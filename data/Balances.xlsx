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co\Desktop\Cloudbeds-Autonomy-Engine\data\"/>
    </mc:Choice>
  </mc:AlternateContent>
  <xr:revisionPtr revIDLastSave="0" documentId="13_ncr:1_{27F4770A-7632-4F45-8DB1-774A2641EB4D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12" i="1"/>
  <c r="A13" i="1"/>
  <c r="A5" i="1"/>
  <c r="A13793" i="1"/>
  <c r="A14" i="1"/>
  <c r="A6" i="1"/>
  <c r="A8" i="1"/>
  <c r="A9" i="1"/>
  <c r="A18" i="1"/>
  <c r="A4" i="1"/>
  <c r="A7" i="1"/>
  <c r="A1224" i="1"/>
  <c r="A11" i="1"/>
  <c r="A78" i="1"/>
  <c r="A3" i="1"/>
  <c r="A17" i="1"/>
  <c r="A13767" i="1"/>
  <c r="A13766" i="1"/>
  <c r="A13765" i="1"/>
  <c r="A13764" i="1"/>
  <c r="A13763" i="1"/>
  <c r="A5832" i="1"/>
  <c r="A13762" i="1"/>
  <c r="A13761" i="1"/>
  <c r="A13760" i="1"/>
  <c r="A5831" i="1"/>
  <c r="A5830" i="1"/>
  <c r="A13759" i="1"/>
  <c r="A13758" i="1"/>
  <c r="A13757" i="1"/>
  <c r="A77" i="1"/>
  <c r="A13756" i="1"/>
  <c r="A13755" i="1"/>
  <c r="A13754" i="1"/>
  <c r="A13753" i="1"/>
  <c r="A13752" i="1"/>
  <c r="A13751" i="1"/>
  <c r="A13750" i="1"/>
  <c r="A5829" i="1"/>
  <c r="A5828" i="1"/>
  <c r="A13749" i="1"/>
  <c r="A5827" i="1"/>
  <c r="A5826" i="1"/>
  <c r="A13748" i="1"/>
  <c r="A13747" i="1"/>
  <c r="A5825" i="1"/>
  <c r="A13746" i="1"/>
  <c r="A13745" i="1"/>
  <c r="A13744" i="1"/>
  <c r="A13743" i="1"/>
  <c r="A13742" i="1"/>
  <c r="A13741" i="1"/>
  <c r="A13740" i="1"/>
  <c r="A13739" i="1"/>
  <c r="A13738" i="1"/>
  <c r="A1223" i="1"/>
  <c r="A13737" i="1"/>
  <c r="A13736" i="1"/>
  <c r="A13735" i="1"/>
  <c r="A13734" i="1"/>
  <c r="A13733" i="1"/>
  <c r="A13732" i="1"/>
  <c r="A13731" i="1"/>
  <c r="A5824" i="1"/>
  <c r="A13730" i="1"/>
  <c r="A13729" i="1"/>
  <c r="A5823" i="1"/>
  <c r="A13728" i="1"/>
  <c r="A13727" i="1"/>
  <c r="A13726" i="1"/>
  <c r="A13725" i="1"/>
  <c r="A5822" i="1"/>
  <c r="A5821" i="1"/>
  <c r="A5820" i="1"/>
  <c r="A1222" i="1"/>
  <c r="A13724" i="1"/>
  <c r="A5819" i="1"/>
  <c r="A13723" i="1"/>
  <c r="A13722" i="1"/>
  <c r="A13721" i="1"/>
  <c r="A13720" i="1"/>
  <c r="A13719" i="1"/>
  <c r="A13718" i="1"/>
  <c r="A13717" i="1"/>
  <c r="A13716" i="1"/>
  <c r="A13715" i="1"/>
  <c r="A13714" i="1"/>
  <c r="A13713" i="1"/>
  <c r="A13712" i="1"/>
  <c r="A13711" i="1"/>
  <c r="A13710" i="1"/>
  <c r="A13709" i="1"/>
  <c r="A5818" i="1"/>
  <c r="A13708" i="1"/>
  <c r="A13707" i="1"/>
  <c r="A13706" i="1"/>
  <c r="A5817" i="1"/>
  <c r="A13705" i="1"/>
  <c r="A13704" i="1"/>
  <c r="A13703" i="1"/>
  <c r="A13702" i="1"/>
  <c r="A5816" i="1"/>
  <c r="A13701" i="1"/>
  <c r="A13700" i="1"/>
  <c r="A13699" i="1"/>
  <c r="A13698" i="1"/>
  <c r="A13697" i="1"/>
  <c r="A13696" i="1"/>
  <c r="A13695" i="1"/>
  <c r="A13694" i="1"/>
  <c r="A13693" i="1"/>
  <c r="A13692" i="1"/>
  <c r="A13691" i="1"/>
  <c r="A5815" i="1"/>
  <c r="A5814" i="1"/>
  <c r="A5813" i="1"/>
  <c r="A728" i="1"/>
  <c r="A13690" i="1"/>
  <c r="A13689" i="1"/>
  <c r="A1221" i="1"/>
  <c r="A5812" i="1"/>
  <c r="A13688" i="1"/>
  <c r="A5811" i="1"/>
  <c r="A13687" i="1"/>
  <c r="A13686" i="1"/>
  <c r="A13685" i="1"/>
  <c r="A13684" i="1"/>
  <c r="A13683" i="1"/>
  <c r="A13682" i="1"/>
  <c r="A13681" i="1"/>
  <c r="A13680" i="1"/>
  <c r="A13679" i="1"/>
  <c r="A13678" i="1"/>
  <c r="A5810" i="1"/>
  <c r="A13677" i="1"/>
  <c r="A13676" i="1"/>
  <c r="A5809" i="1"/>
  <c r="A5808" i="1"/>
  <c r="A727" i="1"/>
  <c r="A13675" i="1"/>
  <c r="A13674" i="1"/>
  <c r="A13673" i="1"/>
  <c r="A13672" i="1"/>
  <c r="A13671" i="1"/>
  <c r="A1220" i="1"/>
  <c r="A13670" i="1"/>
  <c r="A13669" i="1"/>
  <c r="A13668" i="1"/>
  <c r="A13667" i="1"/>
  <c r="A13666" i="1"/>
  <c r="A13665" i="1"/>
  <c r="A13664" i="1"/>
  <c r="A13663" i="1"/>
  <c r="A13662" i="1"/>
  <c r="A13661" i="1"/>
  <c r="A5807" i="1"/>
  <c r="A13660" i="1"/>
  <c r="A13659" i="1"/>
  <c r="A13658" i="1"/>
  <c r="A726" i="1"/>
  <c r="A13657" i="1"/>
  <c r="A13656" i="1"/>
  <c r="A5806" i="1"/>
  <c r="A13655" i="1"/>
  <c r="A13654" i="1"/>
  <c r="A13653" i="1"/>
  <c r="A13652" i="1"/>
  <c r="A13651" i="1"/>
  <c r="A13650" i="1"/>
  <c r="A13649" i="1"/>
  <c r="A13648" i="1"/>
  <c r="A13647" i="1"/>
  <c r="A13646" i="1"/>
  <c r="A5805" i="1"/>
  <c r="A13645" i="1"/>
  <c r="A13644" i="1"/>
  <c r="A5804" i="1"/>
  <c r="A13643" i="1"/>
  <c r="A5803" i="1"/>
  <c r="A13642" i="1"/>
  <c r="A13641" i="1"/>
  <c r="A13640" i="1"/>
  <c r="A1219" i="1"/>
  <c r="A13639" i="1"/>
  <c r="A13638" i="1"/>
  <c r="A13637" i="1"/>
  <c r="A1218" i="1"/>
  <c r="A13636" i="1"/>
  <c r="A13635" i="1"/>
  <c r="A13634" i="1"/>
  <c r="A13633" i="1"/>
  <c r="A5802" i="1"/>
  <c r="A13632" i="1"/>
  <c r="A13631" i="1"/>
  <c r="A13630" i="1"/>
  <c r="A5801" i="1"/>
  <c r="A5800" i="1"/>
  <c r="A5799" i="1"/>
  <c r="A5798" i="1"/>
  <c r="A5797" i="1"/>
  <c r="A5796" i="1"/>
  <c r="A13629" i="1"/>
  <c r="A13628" i="1"/>
  <c r="A13627" i="1"/>
  <c r="A5795" i="1"/>
  <c r="A13626" i="1"/>
  <c r="A13625" i="1"/>
  <c r="A13624" i="1"/>
  <c r="A5794" i="1"/>
  <c r="A13623" i="1"/>
  <c r="A13622" i="1"/>
  <c r="A13621" i="1"/>
  <c r="A13620" i="1"/>
  <c r="A13619" i="1"/>
  <c r="A1217" i="1"/>
  <c r="A5793" i="1"/>
  <c r="A1216" i="1"/>
  <c r="A1215" i="1"/>
  <c r="A1214" i="1"/>
  <c r="A13618" i="1"/>
  <c r="A13617" i="1"/>
  <c r="A5792" i="1"/>
  <c r="A13616" i="1"/>
  <c r="A13615" i="1"/>
  <c r="A5791" i="1"/>
  <c r="A5790" i="1"/>
  <c r="A13614" i="1"/>
  <c r="A13613" i="1"/>
  <c r="A13612" i="1"/>
  <c r="A13611" i="1"/>
  <c r="A13610" i="1"/>
  <c r="A13609" i="1"/>
  <c r="A13608" i="1"/>
  <c r="A13607" i="1"/>
  <c r="A13606" i="1"/>
  <c r="A5789" i="1"/>
  <c r="A13605" i="1"/>
  <c r="A13604" i="1"/>
  <c r="A13603" i="1"/>
  <c r="A13602" i="1"/>
  <c r="A13601" i="1"/>
  <c r="A5788" i="1"/>
  <c r="A13600" i="1"/>
  <c r="A13599" i="1"/>
  <c r="A13598" i="1"/>
  <c r="A5787" i="1"/>
  <c r="A5786" i="1"/>
  <c r="A5785" i="1"/>
  <c r="A5784" i="1"/>
  <c r="A5783" i="1"/>
  <c r="A13597" i="1"/>
  <c r="A126" i="1"/>
  <c r="A5782" i="1"/>
  <c r="A5781" i="1"/>
  <c r="A13596" i="1"/>
  <c r="A13595" i="1"/>
  <c r="A13594" i="1"/>
  <c r="A13593" i="1"/>
  <c r="A13592" i="1"/>
  <c r="A5780" i="1"/>
  <c r="A13591" i="1"/>
  <c r="A13590" i="1"/>
  <c r="A13589" i="1"/>
  <c r="A13588" i="1"/>
  <c r="A5779" i="1"/>
  <c r="A13587" i="1"/>
  <c r="A13586" i="1"/>
  <c r="A13585" i="1"/>
  <c r="A13584" i="1"/>
  <c r="A13583" i="1"/>
  <c r="A13582" i="1"/>
  <c r="A13581" i="1"/>
  <c r="A13580" i="1"/>
  <c r="A5778" i="1"/>
  <c r="A1213" i="1"/>
  <c r="A725" i="1"/>
  <c r="A13579" i="1"/>
  <c r="A13578" i="1"/>
  <c r="A5777" i="1"/>
  <c r="A5776" i="1"/>
  <c r="A13577" i="1"/>
  <c r="A13576" i="1"/>
  <c r="A13575" i="1"/>
  <c r="A13574" i="1"/>
  <c r="A5775" i="1"/>
  <c r="A5774" i="1"/>
  <c r="A13573" i="1"/>
  <c r="A13572" i="1"/>
  <c r="A13571" i="1"/>
  <c r="A13570" i="1"/>
  <c r="A13569" i="1"/>
  <c r="A13568" i="1"/>
  <c r="A13567" i="1"/>
  <c r="A13566" i="1"/>
  <c r="A5773" i="1"/>
  <c r="A13565" i="1"/>
  <c r="A13564" i="1"/>
  <c r="A13563" i="1"/>
  <c r="A13562" i="1"/>
  <c r="A13561" i="1"/>
  <c r="A13560" i="1"/>
  <c r="A5772" i="1"/>
  <c r="A5771" i="1"/>
  <c r="A5770" i="1"/>
  <c r="A5769" i="1"/>
  <c r="A13559" i="1"/>
  <c r="A13558" i="1"/>
  <c r="A13557" i="1"/>
  <c r="A5768" i="1"/>
  <c r="A13556" i="1"/>
  <c r="A5767" i="1"/>
  <c r="A5766" i="1"/>
  <c r="A13555" i="1"/>
  <c r="A13554" i="1"/>
  <c r="A5765" i="1"/>
  <c r="A724" i="1"/>
  <c r="A13553" i="1"/>
  <c r="A13552" i="1"/>
  <c r="A13551" i="1"/>
  <c r="A13550" i="1"/>
  <c r="A13549" i="1"/>
  <c r="A13548" i="1"/>
  <c r="A5764" i="1"/>
  <c r="A13547" i="1"/>
  <c r="A5763" i="1"/>
  <c r="A723" i="1"/>
  <c r="A5762" i="1"/>
  <c r="A5761" i="1"/>
  <c r="A5760" i="1"/>
  <c r="A125" i="1"/>
  <c r="A13546" i="1"/>
  <c r="A13545" i="1"/>
  <c r="A13544" i="1"/>
  <c r="A13543" i="1"/>
  <c r="A13542" i="1"/>
  <c r="A13541" i="1"/>
  <c r="A13540" i="1"/>
  <c r="A13539" i="1"/>
  <c r="A13538" i="1"/>
  <c r="A13537" i="1"/>
  <c r="A32" i="1"/>
  <c r="A13536" i="1"/>
  <c r="A53" i="1"/>
  <c r="A13535" i="1"/>
  <c r="A13534" i="1"/>
  <c r="A13533" i="1"/>
  <c r="A5759" i="1"/>
  <c r="A13532" i="1"/>
  <c r="A13531" i="1"/>
  <c r="A37" i="1"/>
  <c r="A13530" i="1"/>
  <c r="A13529" i="1"/>
  <c r="A13528" i="1"/>
  <c r="A13527" i="1"/>
  <c r="A13526" i="1"/>
  <c r="A13525" i="1"/>
  <c r="A13524" i="1"/>
  <c r="A13523" i="1"/>
  <c r="A5758" i="1"/>
  <c r="A5757" i="1"/>
  <c r="A5756" i="1"/>
  <c r="A13522" i="1"/>
  <c r="A13521" i="1"/>
  <c r="A5755" i="1"/>
  <c r="A13520" i="1"/>
  <c r="A1212" i="1"/>
  <c r="A5754" i="1"/>
  <c r="A13519" i="1"/>
  <c r="A13518" i="1"/>
  <c r="A5753" i="1"/>
  <c r="A13517" i="1"/>
  <c r="A13516" i="1"/>
  <c r="A13515" i="1"/>
  <c r="A5752" i="1"/>
  <c r="A5751" i="1"/>
  <c r="A13514" i="1"/>
  <c r="A13513" i="1"/>
  <c r="A5750" i="1"/>
  <c r="A13512" i="1"/>
  <c r="A13511" i="1"/>
  <c r="A13510" i="1"/>
  <c r="A13509" i="1"/>
  <c r="A13508" i="1"/>
  <c r="A13507" i="1"/>
  <c r="A13506" i="1"/>
  <c r="A5749" i="1"/>
  <c r="A5748" i="1"/>
  <c r="A5747" i="1"/>
  <c r="A5746" i="1"/>
  <c r="A1211" i="1"/>
  <c r="A13505" i="1"/>
  <c r="A13504" i="1"/>
  <c r="A13503" i="1"/>
  <c r="A13502" i="1"/>
  <c r="A13501" i="1"/>
  <c r="A13500" i="1"/>
  <c r="A13499" i="1"/>
  <c r="A13498" i="1"/>
  <c r="A5745" i="1"/>
  <c r="A5744" i="1"/>
  <c r="A13497" i="1"/>
  <c r="A5743" i="1"/>
  <c r="A13496" i="1"/>
  <c r="A13495" i="1"/>
  <c r="A5742" i="1"/>
  <c r="A13494" i="1"/>
  <c r="A13493" i="1"/>
  <c r="A5741" i="1"/>
  <c r="A5740" i="1"/>
  <c r="A13492" i="1"/>
  <c r="A13491" i="1"/>
  <c r="A5739" i="1"/>
  <c r="A13490" i="1"/>
  <c r="A13489" i="1"/>
  <c r="A13488" i="1"/>
  <c r="A13487" i="1"/>
  <c r="A13486" i="1"/>
  <c r="A5738" i="1"/>
  <c r="A13485" i="1"/>
  <c r="A5737" i="1"/>
  <c r="A13484" i="1"/>
  <c r="A13483" i="1"/>
  <c r="A13482" i="1"/>
  <c r="A13481" i="1"/>
  <c r="A13480" i="1"/>
  <c r="A13479" i="1"/>
  <c r="A13478" i="1"/>
  <c r="A13477" i="1"/>
  <c r="A13476" i="1"/>
  <c r="A5736" i="1"/>
  <c r="A5735" i="1"/>
  <c r="A5734" i="1"/>
  <c r="A13475" i="1"/>
  <c r="A13474" i="1"/>
  <c r="A13473" i="1"/>
  <c r="A5733" i="1"/>
  <c r="A5732" i="1"/>
  <c r="A5731" i="1"/>
  <c r="A13472" i="1"/>
  <c r="A13471" i="1"/>
  <c r="A13470" i="1"/>
  <c r="A13469" i="1"/>
  <c r="A13468" i="1"/>
  <c r="A13467" i="1"/>
  <c r="A13466" i="1"/>
  <c r="A13465" i="1"/>
  <c r="A5730" i="1"/>
  <c r="A76" i="1"/>
  <c r="A13464" i="1"/>
  <c r="A75" i="1"/>
  <c r="A13463" i="1"/>
  <c r="A5729" i="1"/>
  <c r="A13462" i="1"/>
  <c r="A5728" i="1"/>
  <c r="A5727" i="1"/>
  <c r="A13461" i="1"/>
  <c r="A13460" i="1"/>
  <c r="A5726" i="1"/>
  <c r="A13459" i="1"/>
  <c r="A13458" i="1"/>
  <c r="A13457" i="1"/>
  <c r="A13456" i="1"/>
  <c r="A13455" i="1"/>
  <c r="A13454" i="1"/>
  <c r="A5725" i="1"/>
  <c r="A13453" i="1"/>
  <c r="A13452" i="1"/>
  <c r="A13451" i="1"/>
  <c r="A13450" i="1"/>
  <c r="A13449" i="1"/>
  <c r="A5724" i="1"/>
  <c r="A5723" i="1"/>
  <c r="A5722" i="1"/>
  <c r="A5721" i="1"/>
  <c r="A5720" i="1"/>
  <c r="A13448" i="1"/>
  <c r="A13447" i="1"/>
  <c r="A13446" i="1"/>
  <c r="A13445" i="1"/>
  <c r="A13444" i="1"/>
  <c r="A13443" i="1"/>
  <c r="A5719" i="1"/>
  <c r="A13442" i="1"/>
  <c r="A5718" i="1"/>
  <c r="A13441" i="1"/>
  <c r="A13440" i="1"/>
  <c r="A13439" i="1"/>
  <c r="A5717" i="1"/>
  <c r="A5716" i="1"/>
  <c r="A13438" i="1"/>
  <c r="A13437" i="1"/>
  <c r="A13436" i="1"/>
  <c r="A5715" i="1"/>
  <c r="A5714" i="1"/>
  <c r="A5713" i="1"/>
  <c r="A13435" i="1"/>
  <c r="A5712" i="1"/>
  <c r="A5711" i="1"/>
  <c r="A13434" i="1"/>
  <c r="A13433" i="1"/>
  <c r="A1210" i="1"/>
  <c r="A13432" i="1"/>
  <c r="A13431" i="1"/>
  <c r="A5710" i="1"/>
  <c r="A13430" i="1"/>
  <c r="A5709" i="1"/>
  <c r="A13429" i="1"/>
  <c r="A13428" i="1"/>
  <c r="A13427" i="1"/>
  <c r="A13426" i="1"/>
  <c r="A13425" i="1"/>
  <c r="A1209" i="1"/>
  <c r="A13424" i="1"/>
  <c r="A13423" i="1"/>
  <c r="A13422" i="1"/>
  <c r="A13421" i="1"/>
  <c r="A13420" i="1"/>
  <c r="A13419" i="1"/>
  <c r="A13418" i="1"/>
  <c r="A13417" i="1"/>
  <c r="A5708" i="1"/>
  <c r="A13416" i="1"/>
  <c r="A13415" i="1"/>
  <c r="A13414" i="1"/>
  <c r="A13413" i="1"/>
  <c r="A13412" i="1"/>
  <c r="A13411" i="1"/>
  <c r="A13410" i="1"/>
  <c r="A13409" i="1"/>
  <c r="A13408" i="1"/>
  <c r="A13407" i="1"/>
  <c r="A13406" i="1"/>
  <c r="A13405" i="1"/>
  <c r="A13404" i="1"/>
  <c r="A13403" i="1"/>
  <c r="A13402" i="1"/>
  <c r="A5707" i="1"/>
  <c r="A5706" i="1"/>
  <c r="A13401" i="1"/>
  <c r="A13400" i="1"/>
  <c r="A13399" i="1"/>
  <c r="A13398" i="1"/>
  <c r="A13397" i="1"/>
  <c r="A5705" i="1"/>
  <c r="A5704" i="1"/>
  <c r="A13396" i="1"/>
  <c r="A13395" i="1"/>
  <c r="A13394" i="1"/>
  <c r="A13393" i="1"/>
  <c r="A13392" i="1"/>
  <c r="A5703" i="1"/>
  <c r="A13391" i="1"/>
  <c r="A5702" i="1"/>
  <c r="A5701" i="1"/>
  <c r="A13390" i="1"/>
  <c r="A13389" i="1"/>
  <c r="A13388" i="1"/>
  <c r="A13387" i="1"/>
  <c r="A5700" i="1"/>
  <c r="A13386" i="1"/>
  <c r="A13385" i="1"/>
  <c r="A13384" i="1"/>
  <c r="A13383" i="1"/>
  <c r="A5699" i="1"/>
  <c r="A13382" i="1"/>
  <c r="A5698" i="1"/>
  <c r="A13381" i="1"/>
  <c r="A13380" i="1"/>
  <c r="A13379" i="1"/>
  <c r="A722" i="1"/>
  <c r="A13378" i="1"/>
  <c r="A13377" i="1"/>
  <c r="A13376" i="1"/>
  <c r="A13375" i="1"/>
  <c r="A13374" i="1"/>
  <c r="A13373" i="1"/>
  <c r="A13372" i="1"/>
  <c r="A13371" i="1"/>
  <c r="A5697" i="1"/>
  <c r="A5696" i="1"/>
  <c r="A13370" i="1"/>
  <c r="A13369" i="1"/>
  <c r="A13368" i="1"/>
  <c r="A5695" i="1"/>
  <c r="A74" i="1"/>
  <c r="A13367" i="1"/>
  <c r="A13366" i="1"/>
  <c r="A13365" i="1"/>
  <c r="A13364" i="1"/>
  <c r="A5694" i="1"/>
  <c r="A13363" i="1"/>
  <c r="A13362" i="1"/>
  <c r="A13361" i="1"/>
  <c r="A13360" i="1"/>
  <c r="A13359" i="1"/>
  <c r="A13358" i="1"/>
  <c r="A13357" i="1"/>
  <c r="A13356" i="1"/>
  <c r="A5693" i="1"/>
  <c r="A13355" i="1"/>
  <c r="A13354" i="1"/>
  <c r="A1208" i="1"/>
  <c r="A13353" i="1"/>
  <c r="A13352" i="1"/>
  <c r="A5692" i="1"/>
  <c r="A13351" i="1"/>
  <c r="A13350" i="1"/>
  <c r="A13349" i="1"/>
  <c r="A5691" i="1"/>
  <c r="A13348" i="1"/>
  <c r="A13347" i="1"/>
  <c r="A13346" i="1"/>
  <c r="A5690" i="1"/>
  <c r="A13345" i="1"/>
  <c r="A13344" i="1"/>
  <c r="A13343" i="1"/>
  <c r="A13342" i="1"/>
  <c r="A5689" i="1"/>
  <c r="A13341" i="1"/>
  <c r="A5688" i="1"/>
  <c r="A5687" i="1"/>
  <c r="A5686" i="1"/>
  <c r="A5685" i="1"/>
  <c r="A13340" i="1"/>
  <c r="A13339" i="1"/>
  <c r="A13338" i="1"/>
  <c r="A13337" i="1"/>
  <c r="A13336" i="1"/>
  <c r="A13335" i="1"/>
  <c r="A13334" i="1"/>
  <c r="A1207" i="1"/>
  <c r="A5684" i="1"/>
  <c r="A13333" i="1"/>
  <c r="A13332" i="1"/>
  <c r="A5683" i="1"/>
  <c r="A13331" i="1"/>
  <c r="A5682" i="1"/>
  <c r="A5681" i="1"/>
  <c r="A5680" i="1"/>
  <c r="A13330" i="1"/>
  <c r="A5679" i="1"/>
  <c r="A13329" i="1"/>
  <c r="A13328" i="1"/>
  <c r="A13327" i="1"/>
  <c r="A13326" i="1"/>
  <c r="A13325" i="1"/>
  <c r="A13324" i="1"/>
  <c r="A721" i="1"/>
  <c r="A13323" i="1"/>
  <c r="A5678" i="1"/>
  <c r="A13322" i="1"/>
  <c r="A13321" i="1"/>
  <c r="A5677" i="1"/>
  <c r="A5676" i="1"/>
  <c r="A13320" i="1"/>
  <c r="A13319" i="1"/>
  <c r="A13318" i="1"/>
  <c r="A13317" i="1"/>
  <c r="A13316" i="1"/>
  <c r="A13315" i="1"/>
  <c r="A13314" i="1"/>
  <c r="A13313" i="1"/>
  <c r="A13312" i="1"/>
  <c r="A13311" i="1"/>
  <c r="A13310" i="1"/>
  <c r="A13309" i="1"/>
  <c r="A13308" i="1"/>
  <c r="A13307" i="1"/>
  <c r="A5675" i="1"/>
  <c r="A5674" i="1"/>
  <c r="A13306" i="1"/>
  <c r="A5673" i="1"/>
  <c r="A13305" i="1"/>
  <c r="A13304" i="1"/>
  <c r="A13303" i="1"/>
  <c r="A13302" i="1"/>
  <c r="A13301" i="1"/>
  <c r="A13300" i="1"/>
  <c r="A13299" i="1"/>
  <c r="A13298" i="1"/>
  <c r="A13297" i="1"/>
  <c r="A13296" i="1"/>
  <c r="A5672" i="1"/>
  <c r="A5671" i="1"/>
  <c r="A5670" i="1"/>
  <c r="A13295" i="1"/>
  <c r="A13294" i="1"/>
  <c r="A13293" i="1"/>
  <c r="A5669" i="1"/>
  <c r="A13292" i="1"/>
  <c r="A5668" i="1"/>
  <c r="A13291" i="1"/>
  <c r="A5667" i="1"/>
  <c r="A13290" i="1"/>
  <c r="A5666" i="1"/>
  <c r="A13289" i="1"/>
  <c r="A13288" i="1"/>
  <c r="A13287" i="1"/>
  <c r="A13286" i="1"/>
  <c r="A1206" i="1"/>
  <c r="A13285" i="1"/>
  <c r="A13284" i="1"/>
  <c r="A13283" i="1"/>
  <c r="A5665" i="1"/>
  <c r="A5664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5663" i="1"/>
  <c r="A13261" i="1"/>
  <c r="A13260" i="1"/>
  <c r="A13259" i="1"/>
  <c r="A13258" i="1"/>
  <c r="A720" i="1"/>
  <c r="A13257" i="1"/>
  <c r="A13256" i="1"/>
  <c r="A13255" i="1"/>
  <c r="A13254" i="1"/>
  <c r="A13253" i="1"/>
  <c r="A5662" i="1"/>
  <c r="A13252" i="1"/>
  <c r="A13251" i="1"/>
  <c r="A13250" i="1"/>
  <c r="A13249" i="1"/>
  <c r="A5661" i="1"/>
  <c r="A13248" i="1"/>
  <c r="A5660" i="1"/>
  <c r="A13247" i="1"/>
  <c r="A13246" i="1"/>
  <c r="A13245" i="1"/>
  <c r="A13244" i="1"/>
  <c r="A13243" i="1"/>
  <c r="A13242" i="1"/>
  <c r="A5659" i="1"/>
  <c r="A13241" i="1"/>
  <c r="A13240" i="1"/>
  <c r="A5658" i="1"/>
  <c r="A5657" i="1"/>
  <c r="A13239" i="1"/>
  <c r="A13238" i="1"/>
  <c r="A5656" i="1"/>
  <c r="A5655" i="1"/>
  <c r="A1205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5654" i="1"/>
  <c r="A5653" i="1"/>
  <c r="A13223" i="1"/>
  <c r="A5652" i="1"/>
  <c r="A5651" i="1"/>
  <c r="A13222" i="1"/>
  <c r="A13221" i="1"/>
  <c r="A5650" i="1"/>
  <c r="A13220" i="1"/>
  <c r="A5649" i="1"/>
  <c r="A5648" i="1"/>
  <c r="A5647" i="1"/>
  <c r="A35" i="1"/>
  <c r="A13219" i="1"/>
  <c r="A5646" i="1"/>
  <c r="A13218" i="1"/>
  <c r="A13217" i="1"/>
  <c r="A13216" i="1"/>
  <c r="A13215" i="1"/>
  <c r="A5645" i="1"/>
  <c r="A5644" i="1"/>
  <c r="A13214" i="1"/>
  <c r="A13213" i="1"/>
  <c r="A13212" i="1"/>
  <c r="A1204" i="1"/>
  <c r="A13211" i="1"/>
  <c r="A13210" i="1"/>
  <c r="A13209" i="1"/>
  <c r="A13208" i="1"/>
  <c r="A13207" i="1"/>
  <c r="A13206" i="1"/>
  <c r="A13205" i="1"/>
  <c r="A13204" i="1"/>
  <c r="A5643" i="1"/>
  <c r="A13203" i="1"/>
  <c r="A1203" i="1"/>
  <c r="A13202" i="1"/>
  <c r="A13201" i="1"/>
  <c r="A13200" i="1"/>
  <c r="A13199" i="1"/>
  <c r="A13198" i="1"/>
  <c r="A13197" i="1"/>
  <c r="A13196" i="1"/>
  <c r="A13195" i="1"/>
  <c r="A13194" i="1"/>
  <c r="A5642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5641" i="1"/>
  <c r="A5640" i="1"/>
  <c r="A13179" i="1"/>
  <c r="A5639" i="1"/>
  <c r="A13178" i="1"/>
  <c r="A13177" i="1"/>
  <c r="A13176" i="1"/>
  <c r="A13175" i="1"/>
  <c r="A13174" i="1"/>
  <c r="A13173" i="1"/>
  <c r="A5638" i="1"/>
  <c r="A13172" i="1"/>
  <c r="A5637" i="1"/>
  <c r="A5636" i="1"/>
  <c r="A13171" i="1"/>
  <c r="A13170" i="1"/>
  <c r="A13169" i="1"/>
  <c r="A719" i="1"/>
  <c r="A13168" i="1"/>
  <c r="A13167" i="1"/>
  <c r="A13166" i="1"/>
  <c r="A13165" i="1"/>
  <c r="A5635" i="1"/>
  <c r="A13164" i="1"/>
  <c r="A5634" i="1"/>
  <c r="A13163" i="1"/>
  <c r="A13162" i="1"/>
  <c r="A5633" i="1"/>
  <c r="A13161" i="1"/>
  <c r="A13160" i="1"/>
  <c r="A13159" i="1"/>
  <c r="A13158" i="1"/>
  <c r="A13157" i="1"/>
  <c r="A5632" i="1"/>
  <c r="A13156" i="1"/>
  <c r="A13155" i="1"/>
  <c r="A1202" i="1"/>
  <c r="A1201" i="1"/>
  <c r="A1200" i="1"/>
  <c r="A1199" i="1"/>
  <c r="A13154" i="1"/>
  <c r="A13153" i="1"/>
  <c r="A5631" i="1"/>
  <c r="A13152" i="1"/>
  <c r="A13151" i="1"/>
  <c r="A13150" i="1"/>
  <c r="A5630" i="1"/>
  <c r="A13149" i="1"/>
  <c r="A5629" i="1"/>
  <c r="A5628" i="1"/>
  <c r="A5627" i="1"/>
  <c r="A5626" i="1"/>
  <c r="A5625" i="1"/>
  <c r="A13148" i="1"/>
  <c r="A13147" i="1"/>
  <c r="A13146" i="1"/>
  <c r="A13145" i="1"/>
  <c r="A13144" i="1"/>
  <c r="A5624" i="1"/>
  <c r="A13143" i="1"/>
  <c r="A13142" i="1"/>
  <c r="A5623" i="1"/>
  <c r="A13141" i="1"/>
  <c r="A13140" i="1"/>
  <c r="A5622" i="1"/>
  <c r="A13139" i="1"/>
  <c r="A13138" i="1"/>
  <c r="A13137" i="1"/>
  <c r="A5621" i="1"/>
  <c r="A13136" i="1"/>
  <c r="A13135" i="1"/>
  <c r="A13134" i="1"/>
  <c r="A13133" i="1"/>
  <c r="A13132" i="1"/>
  <c r="A13131" i="1"/>
  <c r="A5620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5619" i="1"/>
  <c r="A5618" i="1"/>
  <c r="A13119" i="1"/>
  <c r="A13118" i="1"/>
  <c r="A5617" i="1"/>
  <c r="A13117" i="1"/>
  <c r="A13116" i="1"/>
  <c r="A5616" i="1"/>
  <c r="A13115" i="1"/>
  <c r="A13114" i="1"/>
  <c r="A13113" i="1"/>
  <c r="A13112" i="1"/>
  <c r="A13111" i="1"/>
  <c r="A13110" i="1"/>
  <c r="A5615" i="1"/>
  <c r="A1198" i="1"/>
  <c r="A5614" i="1"/>
  <c r="A5613" i="1"/>
  <c r="A5612" i="1"/>
  <c r="A13109" i="1"/>
  <c r="A13108" i="1"/>
  <c r="A13107" i="1"/>
  <c r="A13106" i="1"/>
  <c r="A13105" i="1"/>
  <c r="A5611" i="1"/>
  <c r="A5610" i="1"/>
  <c r="A13104" i="1"/>
  <c r="A13103" i="1"/>
  <c r="A13102" i="1"/>
  <c r="A5609" i="1"/>
  <c r="A13101" i="1"/>
  <c r="A13100" i="1"/>
  <c r="A13099" i="1"/>
  <c r="A13098" i="1"/>
  <c r="A13097" i="1"/>
  <c r="A13096" i="1"/>
  <c r="A13095" i="1"/>
  <c r="A13094" i="1"/>
  <c r="A5608" i="1"/>
  <c r="A13093" i="1"/>
  <c r="A13092" i="1"/>
  <c r="A13091" i="1"/>
  <c r="A5607" i="1"/>
  <c r="A13090" i="1"/>
  <c r="A13089" i="1"/>
  <c r="A13088" i="1"/>
  <c r="A13087" i="1"/>
  <c r="A13086" i="1"/>
  <c r="A13085" i="1"/>
  <c r="A5606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5605" i="1"/>
  <c r="A13072" i="1"/>
  <c r="A13071" i="1"/>
  <c r="A5604" i="1"/>
  <c r="A13070" i="1"/>
  <c r="A5603" i="1"/>
  <c r="A13069" i="1"/>
  <c r="A1197" i="1"/>
  <c r="A5602" i="1"/>
  <c r="A13068" i="1"/>
  <c r="A13067" i="1"/>
  <c r="A13066" i="1"/>
  <c r="A13065" i="1"/>
  <c r="A13064" i="1"/>
  <c r="A5601" i="1"/>
  <c r="A13063" i="1"/>
  <c r="A13062" i="1"/>
  <c r="A13061" i="1"/>
  <c r="A13060" i="1"/>
  <c r="A5600" i="1"/>
  <c r="A13059" i="1"/>
  <c r="A5599" i="1"/>
  <c r="A13058" i="1"/>
  <c r="A5598" i="1"/>
  <c r="A5597" i="1"/>
  <c r="A13057" i="1"/>
  <c r="A5596" i="1"/>
  <c r="A13056" i="1"/>
  <c r="A13055" i="1"/>
  <c r="A5595" i="1"/>
  <c r="A5594" i="1"/>
  <c r="A13054" i="1"/>
  <c r="A13053" i="1"/>
  <c r="A1196" i="1"/>
  <c r="A13052" i="1"/>
  <c r="A13051" i="1"/>
  <c r="A13050" i="1"/>
  <c r="A5593" i="1"/>
  <c r="A13049" i="1"/>
  <c r="A13048" i="1"/>
  <c r="A13047" i="1"/>
  <c r="A13046" i="1"/>
  <c r="A13045" i="1"/>
  <c r="A13044" i="1"/>
  <c r="A13043" i="1"/>
  <c r="A13042" i="1"/>
  <c r="A13041" i="1"/>
  <c r="A13040" i="1"/>
  <c r="A5592" i="1"/>
  <c r="A5591" i="1"/>
  <c r="A5590" i="1"/>
  <c r="A13039" i="1"/>
  <c r="A13038" i="1"/>
  <c r="A13037" i="1"/>
  <c r="A24" i="1"/>
  <c r="A13036" i="1"/>
  <c r="A5589" i="1"/>
  <c r="A13035" i="1"/>
  <c r="A13034" i="1"/>
  <c r="A13033" i="1"/>
  <c r="A13032" i="1"/>
  <c r="A5588" i="1"/>
  <c r="A13031" i="1"/>
  <c r="A13030" i="1"/>
  <c r="A13029" i="1"/>
  <c r="A13028" i="1"/>
  <c r="A13027" i="1"/>
  <c r="A13026" i="1"/>
  <c r="A13025" i="1"/>
  <c r="A13024" i="1"/>
  <c r="A13023" i="1"/>
  <c r="A13022" i="1"/>
  <c r="A1195" i="1"/>
  <c r="A13021" i="1"/>
  <c r="A13020" i="1"/>
  <c r="A13019" i="1"/>
  <c r="A13018" i="1"/>
  <c r="A13017" i="1"/>
  <c r="A13016" i="1"/>
  <c r="A13015" i="1"/>
  <c r="A13014" i="1"/>
  <c r="A5587" i="1"/>
  <c r="A13013" i="1"/>
  <c r="A13012" i="1"/>
  <c r="A5586" i="1"/>
  <c r="A13011" i="1"/>
  <c r="A13010" i="1"/>
  <c r="A13009" i="1"/>
  <c r="A13008" i="1"/>
  <c r="A13007" i="1"/>
  <c r="A13006" i="1"/>
  <c r="A13005" i="1"/>
  <c r="A13004" i="1"/>
  <c r="A1194" i="1"/>
  <c r="A13003" i="1"/>
  <c r="A1193" i="1"/>
  <c r="A13002" i="1"/>
  <c r="A5585" i="1"/>
  <c r="A13001" i="1"/>
  <c r="A13000" i="1"/>
  <c r="A12999" i="1"/>
  <c r="A5584" i="1"/>
  <c r="A12998" i="1"/>
  <c r="A12997" i="1"/>
  <c r="A5583" i="1"/>
  <c r="A12996" i="1"/>
  <c r="A12995" i="1"/>
  <c r="A5582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5581" i="1"/>
  <c r="A1192" i="1"/>
  <c r="A5580" i="1"/>
  <c r="A12973" i="1"/>
  <c r="A12972" i="1"/>
  <c r="A12971" i="1"/>
  <c r="A1191" i="1"/>
  <c r="A12970" i="1"/>
  <c r="A12969" i="1"/>
  <c r="A12968" i="1"/>
  <c r="A12967" i="1"/>
  <c r="A12966" i="1"/>
  <c r="A12965" i="1"/>
  <c r="A5579" i="1"/>
  <c r="A12964" i="1"/>
  <c r="A1190" i="1"/>
  <c r="A12963" i="1"/>
  <c r="A12962" i="1"/>
  <c r="A5578" i="1"/>
  <c r="A12961" i="1"/>
  <c r="A12960" i="1"/>
  <c r="A12959" i="1"/>
  <c r="A12958" i="1"/>
  <c r="A12957" i="1"/>
  <c r="A5577" i="1"/>
  <c r="A12956" i="1"/>
  <c r="A12955" i="1"/>
  <c r="A12954" i="1"/>
  <c r="A12953" i="1"/>
  <c r="A12952" i="1"/>
  <c r="A12951" i="1"/>
  <c r="A5576" i="1"/>
  <c r="A12950" i="1"/>
  <c r="A12949" i="1"/>
  <c r="A12948" i="1"/>
  <c r="A12947" i="1"/>
  <c r="A5575" i="1"/>
  <c r="A5574" i="1"/>
  <c r="A12946" i="1"/>
  <c r="A12945" i="1"/>
  <c r="A12944" i="1"/>
  <c r="A12943" i="1"/>
  <c r="A12942" i="1"/>
  <c r="A12941" i="1"/>
  <c r="A12940" i="1"/>
  <c r="A5573" i="1"/>
  <c r="A12939" i="1"/>
  <c r="A12938" i="1"/>
  <c r="A12937" i="1"/>
  <c r="A12936" i="1"/>
  <c r="A5572" i="1"/>
  <c r="A12935" i="1"/>
  <c r="A5571" i="1"/>
  <c r="A12934" i="1"/>
  <c r="A12933" i="1"/>
  <c r="A12932" i="1"/>
  <c r="A5570" i="1"/>
  <c r="A12931" i="1"/>
  <c r="A12930" i="1"/>
  <c r="A12929" i="1"/>
  <c r="A12928" i="1"/>
  <c r="A12927" i="1"/>
  <c r="A12926" i="1"/>
  <c r="A12925" i="1"/>
  <c r="A12924" i="1"/>
  <c r="A12923" i="1"/>
  <c r="A12922" i="1"/>
  <c r="A5569" i="1"/>
  <c r="A12921" i="1"/>
  <c r="A5568" i="1"/>
  <c r="A12920" i="1"/>
  <c r="A12919" i="1"/>
  <c r="A12918" i="1"/>
  <c r="A5567" i="1"/>
  <c r="A12917" i="1"/>
  <c r="A12916" i="1"/>
  <c r="A5566" i="1"/>
  <c r="A12915" i="1"/>
  <c r="A12914" i="1"/>
  <c r="A12913" i="1"/>
  <c r="A12912" i="1"/>
  <c r="A12911" i="1"/>
  <c r="A12910" i="1"/>
  <c r="A12909" i="1"/>
  <c r="A12908" i="1"/>
  <c r="A5565" i="1"/>
  <c r="A12907" i="1"/>
  <c r="A12906" i="1"/>
  <c r="A12905" i="1"/>
  <c r="A5564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189" i="1"/>
  <c r="A12893" i="1"/>
  <c r="A73" i="1"/>
  <c r="A5563" i="1"/>
  <c r="A12892" i="1"/>
  <c r="A5562" i="1"/>
  <c r="A12891" i="1"/>
  <c r="A5561" i="1"/>
  <c r="A12890" i="1"/>
  <c r="A1188" i="1"/>
  <c r="A5560" i="1"/>
  <c r="A5559" i="1"/>
  <c r="A5558" i="1"/>
  <c r="A12889" i="1"/>
  <c r="A12888" i="1"/>
  <c r="A5557" i="1"/>
  <c r="A12887" i="1"/>
  <c r="A5556" i="1"/>
  <c r="A5555" i="1"/>
  <c r="A12886" i="1"/>
  <c r="A12885" i="1"/>
  <c r="A12884" i="1"/>
  <c r="A12883" i="1"/>
  <c r="A5554" i="1"/>
  <c r="A5553" i="1"/>
  <c r="A12882" i="1"/>
  <c r="A12881" i="1"/>
  <c r="A12880" i="1"/>
  <c r="A12879" i="1"/>
  <c r="A12878" i="1"/>
  <c r="A12877" i="1"/>
  <c r="A1187" i="1"/>
  <c r="A5552" i="1"/>
  <c r="A12876" i="1"/>
  <c r="A12875" i="1"/>
  <c r="A12874" i="1"/>
  <c r="A5551" i="1"/>
  <c r="A1186" i="1"/>
  <c r="A12873" i="1"/>
  <c r="A12872" i="1"/>
  <c r="A1185" i="1"/>
  <c r="A12871" i="1"/>
  <c r="A5550" i="1"/>
  <c r="A12870" i="1"/>
  <c r="A12869" i="1"/>
  <c r="A5549" i="1"/>
  <c r="A12868" i="1"/>
  <c r="A12867" i="1"/>
  <c r="A12866" i="1"/>
  <c r="A12865" i="1"/>
  <c r="A12864" i="1"/>
  <c r="A12863" i="1"/>
  <c r="A12862" i="1"/>
  <c r="A12861" i="1"/>
  <c r="A12860" i="1"/>
  <c r="A5548" i="1"/>
  <c r="A12859" i="1"/>
  <c r="A12858" i="1"/>
  <c r="A12857" i="1"/>
  <c r="A5547" i="1"/>
  <c r="A12856" i="1"/>
  <c r="A5546" i="1"/>
  <c r="A5545" i="1"/>
  <c r="A5544" i="1"/>
  <c r="A5543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5542" i="1"/>
  <c r="A12832" i="1"/>
  <c r="A12831" i="1"/>
  <c r="A12830" i="1"/>
  <c r="A12829" i="1"/>
  <c r="A5541" i="1"/>
  <c r="A12828" i="1"/>
  <c r="A5540" i="1"/>
  <c r="A5539" i="1"/>
  <c r="A5538" i="1"/>
  <c r="A5537" i="1"/>
  <c r="A5536" i="1"/>
  <c r="A12827" i="1"/>
  <c r="A5535" i="1"/>
  <c r="A5534" i="1"/>
  <c r="A12826" i="1"/>
  <c r="A12825" i="1"/>
  <c r="A12824" i="1"/>
  <c r="A12823" i="1"/>
  <c r="A5533" i="1"/>
  <c r="A12822" i="1"/>
  <c r="A12821" i="1"/>
  <c r="A12820" i="1"/>
  <c r="A12819" i="1"/>
  <c r="A1184" i="1"/>
  <c r="A12818" i="1"/>
  <c r="A12817" i="1"/>
  <c r="A12816" i="1"/>
  <c r="A12815" i="1"/>
  <c r="A12814" i="1"/>
  <c r="A12813" i="1"/>
  <c r="A12812" i="1"/>
  <c r="A12811" i="1"/>
  <c r="A12810" i="1"/>
  <c r="A5532" i="1"/>
  <c r="A12809" i="1"/>
  <c r="A12808" i="1"/>
  <c r="A12807" i="1"/>
  <c r="A12806" i="1"/>
  <c r="A5531" i="1"/>
  <c r="A12805" i="1"/>
  <c r="A12804" i="1"/>
  <c r="A12803" i="1"/>
  <c r="A12802" i="1"/>
  <c r="A5530" i="1"/>
  <c r="A12801" i="1"/>
  <c r="A12800" i="1"/>
  <c r="A12799" i="1"/>
  <c r="A5529" i="1"/>
  <c r="A12798" i="1"/>
  <c r="A12797" i="1"/>
  <c r="A5528" i="1"/>
  <c r="A12796" i="1"/>
  <c r="A5527" i="1"/>
  <c r="A12795" i="1"/>
  <c r="A12794" i="1"/>
  <c r="A12793" i="1"/>
  <c r="A5526" i="1"/>
  <c r="A5525" i="1"/>
  <c r="A12792" i="1"/>
  <c r="A1183" i="1"/>
  <c r="A12791" i="1"/>
  <c r="A12790" i="1"/>
  <c r="A12789" i="1"/>
  <c r="A12788" i="1"/>
  <c r="A12787" i="1"/>
  <c r="A12786" i="1"/>
  <c r="A12785" i="1"/>
  <c r="A12784" i="1"/>
  <c r="A28" i="1"/>
  <c r="A12783" i="1"/>
  <c r="A12782" i="1"/>
  <c r="A12781" i="1"/>
  <c r="A12780" i="1"/>
  <c r="A12779" i="1"/>
  <c r="A12778" i="1"/>
  <c r="A5524" i="1"/>
  <c r="A12777" i="1"/>
  <c r="A5523" i="1"/>
  <c r="A12776" i="1"/>
  <c r="A12775" i="1"/>
  <c r="A12774" i="1"/>
  <c r="A1182" i="1"/>
  <c r="A12773" i="1"/>
  <c r="A12772" i="1"/>
  <c r="A12771" i="1"/>
  <c r="A12770" i="1"/>
  <c r="A5522" i="1"/>
  <c r="A12769" i="1"/>
  <c r="A12768" i="1"/>
  <c r="A12767" i="1"/>
  <c r="A12766" i="1"/>
  <c r="A12765" i="1"/>
  <c r="A12764" i="1"/>
  <c r="A5521" i="1"/>
  <c r="A12763" i="1"/>
  <c r="A5520" i="1"/>
  <c r="A12762" i="1"/>
  <c r="A12761" i="1"/>
  <c r="A12760" i="1"/>
  <c r="A12759" i="1"/>
  <c r="A5519" i="1"/>
  <c r="A12758" i="1"/>
  <c r="A5518" i="1"/>
  <c r="A5517" i="1"/>
  <c r="A12757" i="1"/>
  <c r="A12756" i="1"/>
  <c r="A12755" i="1"/>
  <c r="A12754" i="1"/>
  <c r="A12753" i="1"/>
  <c r="A12752" i="1"/>
  <c r="A12751" i="1"/>
  <c r="A5516" i="1"/>
  <c r="A12750" i="1"/>
  <c r="A5515" i="1"/>
  <c r="A12749" i="1"/>
  <c r="A12748" i="1"/>
  <c r="A5514" i="1"/>
  <c r="A12747" i="1"/>
  <c r="A12746" i="1"/>
  <c r="A5513" i="1"/>
  <c r="A12745" i="1"/>
  <c r="A12744" i="1"/>
  <c r="A12743" i="1"/>
  <c r="A12742" i="1"/>
  <c r="A12741" i="1"/>
  <c r="A12740" i="1"/>
  <c r="A5512" i="1"/>
  <c r="A12739" i="1"/>
  <c r="A52" i="1"/>
  <c r="A12738" i="1"/>
  <c r="A12737" i="1"/>
  <c r="A12736" i="1"/>
  <c r="A12735" i="1"/>
  <c r="A5511" i="1"/>
  <c r="A12734" i="1"/>
  <c r="A12733" i="1"/>
  <c r="A12732" i="1"/>
  <c r="A1181" i="1"/>
  <c r="A12731" i="1"/>
  <c r="A12730" i="1"/>
  <c r="A12729" i="1"/>
  <c r="A1180" i="1"/>
  <c r="A12728" i="1"/>
  <c r="A12727" i="1"/>
  <c r="A12726" i="1"/>
  <c r="A12725" i="1"/>
  <c r="A12724" i="1"/>
  <c r="A1179" i="1"/>
  <c r="A12723" i="1"/>
  <c r="A12722" i="1"/>
  <c r="A12721" i="1"/>
  <c r="A5510" i="1"/>
  <c r="A12720" i="1"/>
  <c r="A12719" i="1"/>
  <c r="A12718" i="1"/>
  <c r="A12717" i="1"/>
  <c r="A12716" i="1"/>
  <c r="A12715" i="1"/>
  <c r="A124" i="1"/>
  <c r="A5509" i="1"/>
  <c r="A12714" i="1"/>
  <c r="A12713" i="1"/>
  <c r="A12712" i="1"/>
  <c r="A12711" i="1"/>
  <c r="A5508" i="1"/>
  <c r="A12710" i="1"/>
  <c r="A5507" i="1"/>
  <c r="A12709" i="1"/>
  <c r="A12708" i="1"/>
  <c r="A12707" i="1"/>
  <c r="A12706" i="1"/>
  <c r="A5506" i="1"/>
  <c r="A12705" i="1"/>
  <c r="A12704" i="1"/>
  <c r="A12703" i="1"/>
  <c r="A12702" i="1"/>
  <c r="A12701" i="1"/>
  <c r="A5505" i="1"/>
  <c r="A5504" i="1"/>
  <c r="A12700" i="1"/>
  <c r="A12699" i="1"/>
  <c r="A12698" i="1"/>
  <c r="A12697" i="1"/>
  <c r="A12696" i="1"/>
  <c r="A12695" i="1"/>
  <c r="A12694" i="1"/>
  <c r="A12693" i="1"/>
  <c r="A5503" i="1"/>
  <c r="A5502" i="1"/>
  <c r="A1178" i="1"/>
  <c r="A12692" i="1"/>
  <c r="A5501" i="1"/>
  <c r="A5500" i="1"/>
  <c r="A12691" i="1"/>
  <c r="A12690" i="1"/>
  <c r="A12689" i="1"/>
  <c r="A12688" i="1"/>
  <c r="A5499" i="1"/>
  <c r="A5498" i="1"/>
  <c r="A5497" i="1"/>
  <c r="A12687" i="1"/>
  <c r="A12686" i="1"/>
  <c r="A12685" i="1"/>
  <c r="A12684" i="1"/>
  <c r="A12683" i="1"/>
  <c r="A12682" i="1"/>
  <c r="A12681" i="1"/>
  <c r="A12680" i="1"/>
  <c r="A12679" i="1"/>
  <c r="A12678" i="1"/>
  <c r="A5496" i="1"/>
  <c r="A12677" i="1"/>
  <c r="A5495" i="1"/>
  <c r="A12676" i="1"/>
  <c r="A12675" i="1"/>
  <c r="A12674" i="1"/>
  <c r="A12673" i="1"/>
  <c r="A12672" i="1"/>
  <c r="A12671" i="1"/>
  <c r="A5494" i="1"/>
  <c r="A12670" i="1"/>
  <c r="A12669" i="1"/>
  <c r="A12668" i="1"/>
  <c r="A12667" i="1"/>
  <c r="A12666" i="1"/>
  <c r="A12665" i="1"/>
  <c r="A5493" i="1"/>
  <c r="A12664" i="1"/>
  <c r="A12663" i="1"/>
  <c r="A12662" i="1"/>
  <c r="A5492" i="1"/>
  <c r="A5491" i="1"/>
  <c r="A12661" i="1"/>
  <c r="A12660" i="1"/>
  <c r="A549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5489" i="1"/>
  <c r="A12645" i="1"/>
  <c r="A5488" i="1"/>
  <c r="A12644" i="1"/>
  <c r="A12643" i="1"/>
  <c r="A12642" i="1"/>
  <c r="A12641" i="1"/>
  <c r="A12640" i="1"/>
  <c r="A12639" i="1"/>
  <c r="A12638" i="1"/>
  <c r="A12637" i="1"/>
  <c r="A718" i="1"/>
  <c r="A12636" i="1"/>
  <c r="A5487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5486" i="1"/>
  <c r="A5485" i="1"/>
  <c r="A12620" i="1"/>
  <c r="A5484" i="1"/>
  <c r="A12619" i="1"/>
  <c r="A12618" i="1"/>
  <c r="A12617" i="1"/>
  <c r="A12616" i="1"/>
  <c r="A12615" i="1"/>
  <c r="A5483" i="1"/>
  <c r="A12614" i="1"/>
  <c r="A12613" i="1"/>
  <c r="A1177" i="1"/>
  <c r="A12612" i="1"/>
  <c r="A5482" i="1"/>
  <c r="A12611" i="1"/>
  <c r="A12610" i="1"/>
  <c r="A12609" i="1"/>
  <c r="A12608" i="1"/>
  <c r="A5481" i="1"/>
  <c r="A1176" i="1"/>
  <c r="A12607" i="1"/>
  <c r="A12606" i="1"/>
  <c r="A1175" i="1"/>
  <c r="A5480" i="1"/>
  <c r="A12605" i="1"/>
  <c r="A5479" i="1"/>
  <c r="A12604" i="1"/>
  <c r="A12603" i="1"/>
  <c r="A12602" i="1"/>
  <c r="A5478" i="1"/>
  <c r="A12601" i="1"/>
  <c r="A5477" i="1"/>
  <c r="A12600" i="1"/>
  <c r="A12599" i="1"/>
  <c r="A12598" i="1"/>
  <c r="A12597" i="1"/>
  <c r="A12596" i="1"/>
  <c r="A5476" i="1"/>
  <c r="A5475" i="1"/>
  <c r="A5474" i="1"/>
  <c r="A12595" i="1"/>
  <c r="A12594" i="1"/>
  <c r="A12593" i="1"/>
  <c r="A5473" i="1"/>
  <c r="A12592" i="1"/>
  <c r="A12591" i="1"/>
  <c r="A12590" i="1"/>
  <c r="A12589" i="1"/>
  <c r="A12588" i="1"/>
  <c r="A5472" i="1"/>
  <c r="A12587" i="1"/>
  <c r="A12586" i="1"/>
  <c r="A12585" i="1"/>
  <c r="A1174" i="1"/>
  <c r="A12584" i="1"/>
  <c r="A1173" i="1"/>
  <c r="A12583" i="1"/>
  <c r="A5471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5470" i="1"/>
  <c r="A12568" i="1"/>
  <c r="A12567" i="1"/>
  <c r="A12566" i="1"/>
  <c r="A12565" i="1"/>
  <c r="A5469" i="1"/>
  <c r="A12564" i="1"/>
  <c r="A12563" i="1"/>
  <c r="A12562" i="1"/>
  <c r="A12561" i="1"/>
  <c r="A12560" i="1"/>
  <c r="A51" i="1"/>
  <c r="A12559" i="1"/>
  <c r="A12558" i="1"/>
  <c r="A12557" i="1"/>
  <c r="A12556" i="1"/>
  <c r="A12555" i="1"/>
  <c r="A12554" i="1"/>
  <c r="A5468" i="1"/>
  <c r="A12553" i="1"/>
  <c r="A12552" i="1"/>
  <c r="A12551" i="1"/>
  <c r="A12550" i="1"/>
  <c r="A12549" i="1"/>
  <c r="A12548" i="1"/>
  <c r="A12547" i="1"/>
  <c r="A1172" i="1"/>
  <c r="A12546" i="1"/>
  <c r="A12545" i="1"/>
  <c r="A12544" i="1"/>
  <c r="A12543" i="1"/>
  <c r="A12542" i="1"/>
  <c r="A12541" i="1"/>
  <c r="A5467" i="1"/>
  <c r="A5466" i="1"/>
  <c r="A12540" i="1"/>
  <c r="A1171" i="1"/>
  <c r="A12539" i="1"/>
  <c r="A5465" i="1"/>
  <c r="A12538" i="1"/>
  <c r="A12537" i="1"/>
  <c r="A12536" i="1"/>
  <c r="A12535" i="1"/>
  <c r="A12534" i="1"/>
  <c r="A5464" i="1"/>
  <c r="A5463" i="1"/>
  <c r="A5462" i="1"/>
  <c r="A5461" i="1"/>
  <c r="A12533" i="1"/>
  <c r="A5460" i="1"/>
  <c r="A5459" i="1"/>
  <c r="A12532" i="1"/>
  <c r="A12531" i="1"/>
  <c r="A12530" i="1"/>
  <c r="A12529" i="1"/>
  <c r="A12528" i="1"/>
  <c r="A12527" i="1"/>
  <c r="A12526" i="1"/>
  <c r="A12525" i="1"/>
  <c r="A12524" i="1"/>
  <c r="A12523" i="1"/>
  <c r="A5458" i="1"/>
  <c r="A12522" i="1"/>
  <c r="A12521" i="1"/>
  <c r="A12520" i="1"/>
  <c r="A12519" i="1"/>
  <c r="A5457" i="1"/>
  <c r="A5456" i="1"/>
  <c r="A12518" i="1"/>
  <c r="A12517" i="1"/>
  <c r="A5455" i="1"/>
  <c r="A5454" i="1"/>
  <c r="A12516" i="1"/>
  <c r="A12515" i="1"/>
  <c r="A12514" i="1"/>
  <c r="A5453" i="1"/>
  <c r="A12513" i="1"/>
  <c r="A12512" i="1"/>
  <c r="A12511" i="1"/>
  <c r="A5452" i="1"/>
  <c r="A12510" i="1"/>
  <c r="A1170" i="1"/>
  <c r="A12509" i="1"/>
  <c r="A12508" i="1"/>
  <c r="A12507" i="1"/>
  <c r="A12506" i="1"/>
  <c r="A12505" i="1"/>
  <c r="A12504" i="1"/>
  <c r="A12503" i="1"/>
  <c r="A12502" i="1"/>
  <c r="A1169" i="1"/>
  <c r="A12501" i="1"/>
  <c r="A12500" i="1"/>
  <c r="A5451" i="1"/>
  <c r="A5450" i="1"/>
  <c r="A5449" i="1"/>
  <c r="A12499" i="1"/>
  <c r="A12498" i="1"/>
  <c r="A12497" i="1"/>
  <c r="A12496" i="1"/>
  <c r="A12495" i="1"/>
  <c r="A12494" i="1"/>
  <c r="A1168" i="1"/>
  <c r="A12493" i="1"/>
  <c r="A12492" i="1"/>
  <c r="A1167" i="1"/>
  <c r="A12491" i="1"/>
  <c r="A12490" i="1"/>
  <c r="A12489" i="1"/>
  <c r="A12488" i="1"/>
  <c r="A5448" i="1"/>
  <c r="A5447" i="1"/>
  <c r="A5446" i="1"/>
  <c r="A12487" i="1"/>
  <c r="A12486" i="1"/>
  <c r="A12485" i="1"/>
  <c r="A12484" i="1"/>
  <c r="A12483" i="1"/>
  <c r="A5445" i="1"/>
  <c r="A12482" i="1"/>
  <c r="A12481" i="1"/>
  <c r="A12480" i="1"/>
  <c r="A12479" i="1"/>
  <c r="A12478" i="1"/>
  <c r="A12477" i="1"/>
  <c r="A1166" i="1"/>
  <c r="A12476" i="1"/>
  <c r="A12475" i="1"/>
  <c r="A12474" i="1"/>
  <c r="A12473" i="1"/>
  <c r="A12472" i="1"/>
  <c r="A5444" i="1"/>
  <c r="A1165" i="1"/>
  <c r="A12471" i="1"/>
  <c r="A5443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6" i="1"/>
  <c r="A5442" i="1"/>
  <c r="A12445" i="1"/>
  <c r="A1164" i="1"/>
  <c r="A12444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5441" i="1"/>
  <c r="A12429" i="1"/>
  <c r="A12428" i="1"/>
  <c r="A5440" i="1"/>
  <c r="A12427" i="1"/>
  <c r="A12426" i="1"/>
  <c r="A5439" i="1"/>
  <c r="A12425" i="1"/>
  <c r="A5438" i="1"/>
  <c r="A5437" i="1"/>
  <c r="A12424" i="1"/>
  <c r="A12423" i="1"/>
  <c r="A5436" i="1"/>
  <c r="A12422" i="1"/>
  <c r="A12421" i="1"/>
  <c r="A5435" i="1"/>
  <c r="A12420" i="1"/>
  <c r="A12419" i="1"/>
  <c r="A12418" i="1"/>
  <c r="A12417" i="1"/>
  <c r="A12416" i="1"/>
  <c r="A12415" i="1"/>
  <c r="A12414" i="1"/>
  <c r="A12413" i="1"/>
  <c r="A5434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5433" i="1"/>
  <c r="A5432" i="1"/>
  <c r="A12397" i="1"/>
  <c r="A12396" i="1"/>
  <c r="A5431" i="1"/>
  <c r="A5430" i="1"/>
  <c r="A12395" i="1"/>
  <c r="A12394" i="1"/>
  <c r="A12393" i="1"/>
  <c r="A12392" i="1"/>
  <c r="A5429" i="1"/>
  <c r="A12391" i="1"/>
  <c r="A5428" i="1"/>
  <c r="A12390" i="1"/>
  <c r="A12389" i="1"/>
  <c r="A12388" i="1"/>
  <c r="A12387" i="1"/>
  <c r="A1163" i="1"/>
  <c r="A12386" i="1"/>
  <c r="A12385" i="1"/>
  <c r="A5427" i="1"/>
  <c r="A5426" i="1"/>
  <c r="A12384" i="1"/>
  <c r="A5425" i="1"/>
  <c r="A12383" i="1"/>
  <c r="A12382" i="1"/>
  <c r="A5424" i="1"/>
  <c r="A5423" i="1"/>
  <c r="A5422" i="1"/>
  <c r="A12381" i="1"/>
  <c r="A12380" i="1"/>
  <c r="A12379" i="1"/>
  <c r="A12378" i="1"/>
  <c r="A12377" i="1"/>
  <c r="A5421" i="1"/>
  <c r="A12376" i="1"/>
  <c r="A5420" i="1"/>
  <c r="A12375" i="1"/>
  <c r="A12374" i="1"/>
  <c r="A5419" i="1"/>
  <c r="A12373" i="1"/>
  <c r="A12372" i="1"/>
  <c r="A12371" i="1"/>
  <c r="A12370" i="1"/>
  <c r="A12369" i="1"/>
  <c r="A12368" i="1"/>
  <c r="A5418" i="1"/>
  <c r="A5417" i="1"/>
  <c r="A5416" i="1"/>
  <c r="A12367" i="1"/>
  <c r="A12366" i="1"/>
  <c r="A12365" i="1"/>
  <c r="A12364" i="1"/>
  <c r="A12363" i="1"/>
  <c r="A12362" i="1"/>
  <c r="A5415" i="1"/>
  <c r="A5414" i="1"/>
  <c r="A12361" i="1"/>
  <c r="A12360" i="1"/>
  <c r="A5413" i="1"/>
  <c r="A5412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162" i="1"/>
  <c r="A5411" i="1"/>
  <c r="A5410" i="1"/>
  <c r="A5409" i="1"/>
  <c r="A12344" i="1"/>
  <c r="A34" i="1"/>
  <c r="A5408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5407" i="1"/>
  <c r="A12332" i="1"/>
  <c r="A12331" i="1"/>
  <c r="A5406" i="1"/>
  <c r="A12330" i="1"/>
  <c r="A12329" i="1"/>
  <c r="A5405" i="1"/>
  <c r="A12328" i="1"/>
  <c r="A12327" i="1"/>
  <c r="A12326" i="1"/>
  <c r="A5404" i="1"/>
  <c r="A1161" i="1"/>
  <c r="A5403" i="1"/>
  <c r="A12325" i="1"/>
  <c r="A12324" i="1"/>
  <c r="A12323" i="1"/>
  <c r="A5402" i="1"/>
  <c r="A5401" i="1"/>
  <c r="A12322" i="1"/>
  <c r="A12321" i="1"/>
  <c r="A12320" i="1"/>
  <c r="A5400" i="1"/>
  <c r="A5399" i="1"/>
  <c r="A5398" i="1"/>
  <c r="A12319" i="1"/>
  <c r="A5397" i="1"/>
  <c r="A12318" i="1"/>
  <c r="A5396" i="1"/>
  <c r="A5395" i="1"/>
  <c r="A12317" i="1"/>
  <c r="A12316" i="1"/>
  <c r="A12315" i="1"/>
  <c r="A5394" i="1"/>
  <c r="A12314" i="1"/>
  <c r="A5393" i="1"/>
  <c r="A5392" i="1"/>
  <c r="A12313" i="1"/>
  <c r="A5391" i="1"/>
  <c r="A12312" i="1"/>
  <c r="A5390" i="1"/>
  <c r="A12311" i="1"/>
  <c r="A5389" i="1"/>
  <c r="A5388" i="1"/>
  <c r="A12310" i="1"/>
  <c r="A12309" i="1"/>
  <c r="A12308" i="1"/>
  <c r="A12307" i="1"/>
  <c r="A12306" i="1"/>
  <c r="A5387" i="1"/>
  <c r="A12305" i="1"/>
  <c r="A5386" i="1"/>
  <c r="A5385" i="1"/>
  <c r="A12304" i="1"/>
  <c r="A12303" i="1"/>
  <c r="A12302" i="1"/>
  <c r="A5384" i="1"/>
  <c r="A12301" i="1"/>
  <c r="A5383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5382" i="1"/>
  <c r="A12289" i="1"/>
  <c r="A5381" i="1"/>
  <c r="A12288" i="1"/>
  <c r="A12287" i="1"/>
  <c r="A12286" i="1"/>
  <c r="A12285" i="1"/>
  <c r="A12284" i="1"/>
  <c r="A5380" i="1"/>
  <c r="A12283" i="1"/>
  <c r="A12282" i="1"/>
  <c r="A5379" i="1"/>
  <c r="A12281" i="1"/>
  <c r="A12280" i="1"/>
  <c r="A12279" i="1"/>
  <c r="A12278" i="1"/>
  <c r="A12277" i="1"/>
  <c r="A5378" i="1"/>
  <c r="A12276" i="1"/>
  <c r="A12275" i="1"/>
  <c r="A5377" i="1"/>
  <c r="A5376" i="1"/>
  <c r="A12274" i="1"/>
  <c r="A12273" i="1"/>
  <c r="A12272" i="1"/>
  <c r="A12271" i="1"/>
  <c r="A12270" i="1"/>
  <c r="A12269" i="1"/>
  <c r="A12268" i="1"/>
  <c r="A12267" i="1"/>
  <c r="A5375" i="1"/>
  <c r="A5374" i="1"/>
  <c r="A123" i="1"/>
  <c r="A12266" i="1"/>
  <c r="A717" i="1"/>
  <c r="A12265" i="1"/>
  <c r="A12264" i="1"/>
  <c r="A12263" i="1"/>
  <c r="A12262" i="1"/>
  <c r="A12261" i="1"/>
  <c r="A5373" i="1"/>
  <c r="A5372" i="1"/>
  <c r="A12260" i="1"/>
  <c r="A12259" i="1"/>
  <c r="A1160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5371" i="1"/>
  <c r="A12244" i="1"/>
  <c r="A12243" i="1"/>
  <c r="A12242" i="1"/>
  <c r="A5370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5369" i="1"/>
  <c r="A12230" i="1"/>
  <c r="A12229" i="1"/>
  <c r="A12228" i="1"/>
  <c r="A12227" i="1"/>
  <c r="A5368" i="1"/>
  <c r="A5367" i="1"/>
  <c r="A12226" i="1"/>
  <c r="A12225" i="1"/>
  <c r="A12224" i="1"/>
  <c r="A12223" i="1"/>
  <c r="A5366" i="1"/>
  <c r="A12222" i="1"/>
  <c r="A12221" i="1"/>
  <c r="A5365" i="1"/>
  <c r="A12220" i="1"/>
  <c r="A12219" i="1"/>
  <c r="A12218" i="1"/>
  <c r="A12217" i="1"/>
  <c r="A12216" i="1"/>
  <c r="A5364" i="1"/>
  <c r="A5363" i="1"/>
  <c r="A5362" i="1"/>
  <c r="A5361" i="1"/>
  <c r="A5360" i="1"/>
  <c r="A12215" i="1"/>
  <c r="A5359" i="1"/>
  <c r="A5358" i="1"/>
  <c r="A5357" i="1"/>
  <c r="A12214" i="1"/>
  <c r="A12213" i="1"/>
  <c r="A12212" i="1"/>
  <c r="A12211" i="1"/>
  <c r="A12210" i="1"/>
  <c r="A5356" i="1"/>
  <c r="A12209" i="1"/>
  <c r="A12208" i="1"/>
  <c r="A5355" i="1"/>
  <c r="A12207" i="1"/>
  <c r="A12206" i="1"/>
  <c r="A12205" i="1"/>
  <c r="A12204" i="1"/>
  <c r="A1159" i="1"/>
  <c r="A12203" i="1"/>
  <c r="A12202" i="1"/>
  <c r="A12201" i="1"/>
  <c r="A12200" i="1"/>
  <c r="A5354" i="1"/>
  <c r="A12199" i="1"/>
  <c r="A5353" i="1"/>
  <c r="A5352" i="1"/>
  <c r="A12198" i="1"/>
  <c r="A12197" i="1"/>
  <c r="A5351" i="1"/>
  <c r="A12196" i="1"/>
  <c r="A5350" i="1"/>
  <c r="A12195" i="1"/>
  <c r="A5349" i="1"/>
  <c r="A1158" i="1"/>
  <c r="A12194" i="1"/>
  <c r="A12193" i="1"/>
  <c r="A5348" i="1"/>
  <c r="A12192" i="1"/>
  <c r="A12191" i="1"/>
  <c r="A12190" i="1"/>
  <c r="A12189" i="1"/>
  <c r="A12188" i="1"/>
  <c r="A5347" i="1"/>
  <c r="A12187" i="1"/>
  <c r="A5346" i="1"/>
  <c r="A5345" i="1"/>
  <c r="A5344" i="1"/>
  <c r="A12186" i="1"/>
  <c r="A12185" i="1"/>
  <c r="A1157" i="1"/>
  <c r="A12184" i="1"/>
  <c r="A12183" i="1"/>
  <c r="A12182" i="1"/>
  <c r="A12181" i="1"/>
  <c r="A12180" i="1"/>
  <c r="A1156" i="1"/>
  <c r="A12179" i="1"/>
  <c r="A12178" i="1"/>
  <c r="A12177" i="1"/>
  <c r="A12176" i="1"/>
  <c r="A12175" i="1"/>
  <c r="A12174" i="1"/>
  <c r="A12173" i="1"/>
  <c r="A12172" i="1"/>
  <c r="A12171" i="1"/>
  <c r="A5343" i="1"/>
  <c r="A12170" i="1"/>
  <c r="A12169" i="1"/>
  <c r="A5342" i="1"/>
  <c r="A5341" i="1"/>
  <c r="A5340" i="1"/>
  <c r="A12168" i="1"/>
  <c r="A5339" i="1"/>
  <c r="A12167" i="1"/>
  <c r="A5338" i="1"/>
  <c r="A12166" i="1"/>
  <c r="A5337" i="1"/>
  <c r="A12165" i="1"/>
  <c r="A12164" i="1"/>
  <c r="A12163" i="1"/>
  <c r="A12162" i="1"/>
  <c r="A12161" i="1"/>
  <c r="A12160" i="1"/>
  <c r="A5336" i="1"/>
  <c r="A12159" i="1"/>
  <c r="A12158" i="1"/>
  <c r="A12157" i="1"/>
  <c r="A12156" i="1"/>
  <c r="A12155" i="1"/>
  <c r="A12154" i="1"/>
  <c r="A5335" i="1"/>
  <c r="A12153" i="1"/>
  <c r="A12152" i="1"/>
  <c r="A5334" i="1"/>
  <c r="A12151" i="1"/>
  <c r="A12150" i="1"/>
  <c r="A12149" i="1"/>
  <c r="A12148" i="1"/>
  <c r="A12147" i="1"/>
  <c r="A12146" i="1"/>
  <c r="A12145" i="1"/>
  <c r="A5333" i="1"/>
  <c r="A12144" i="1"/>
  <c r="A5332" i="1"/>
  <c r="A12143" i="1"/>
  <c r="A12142" i="1"/>
  <c r="A12141" i="1"/>
  <c r="A5331" i="1"/>
  <c r="A12140" i="1"/>
  <c r="A12139" i="1"/>
  <c r="A12138" i="1"/>
  <c r="A12137" i="1"/>
  <c r="A12136" i="1"/>
  <c r="A12135" i="1"/>
  <c r="A12134" i="1"/>
  <c r="A12133" i="1"/>
  <c r="A13792" i="1"/>
  <c r="A12132" i="1"/>
  <c r="A12131" i="1"/>
  <c r="A12130" i="1"/>
  <c r="A12129" i="1"/>
  <c r="A12128" i="1"/>
  <c r="A5330" i="1"/>
  <c r="A5329" i="1"/>
  <c r="A12127" i="1"/>
  <c r="A5328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716" i="1"/>
  <c r="A12111" i="1"/>
  <c r="A12110" i="1"/>
  <c r="A12109" i="1"/>
  <c r="A12108" i="1"/>
  <c r="A5327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5326" i="1"/>
  <c r="A12087" i="1"/>
  <c r="A12086" i="1"/>
  <c r="A12085" i="1"/>
  <c r="A12084" i="1"/>
  <c r="A12083" i="1"/>
  <c r="A12082" i="1"/>
  <c r="A12081" i="1"/>
  <c r="A12080" i="1"/>
  <c r="A5325" i="1"/>
  <c r="A12079" i="1"/>
  <c r="A715" i="1"/>
  <c r="A12078" i="1"/>
  <c r="A5324" i="1"/>
  <c r="A1155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5323" i="1"/>
  <c r="A12062" i="1"/>
  <c r="A12061" i="1"/>
  <c r="A12060" i="1"/>
  <c r="A12059" i="1"/>
  <c r="A12058" i="1"/>
  <c r="A12057" i="1"/>
  <c r="A12056" i="1"/>
  <c r="A5322" i="1"/>
  <c r="A5321" i="1"/>
  <c r="A5320" i="1"/>
  <c r="A12055" i="1"/>
  <c r="A12054" i="1"/>
  <c r="A12053" i="1"/>
  <c r="A12052" i="1"/>
  <c r="A12051" i="1"/>
  <c r="A12050" i="1"/>
  <c r="A12049" i="1"/>
  <c r="A1154" i="1"/>
  <c r="A12048" i="1"/>
  <c r="A12047" i="1"/>
  <c r="A5319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5318" i="1"/>
  <c r="A12024" i="1"/>
  <c r="A12023" i="1"/>
  <c r="A12022" i="1"/>
  <c r="A12021" i="1"/>
  <c r="A12020" i="1"/>
  <c r="A5317" i="1"/>
  <c r="A12019" i="1"/>
  <c r="A12018" i="1"/>
  <c r="A72" i="1"/>
  <c r="A12017" i="1"/>
  <c r="A12016" i="1"/>
  <c r="A12015" i="1"/>
  <c r="A12014" i="1"/>
  <c r="A12013" i="1"/>
  <c r="A12012" i="1"/>
  <c r="A12011" i="1"/>
  <c r="A12010" i="1"/>
  <c r="A714" i="1"/>
  <c r="A5316" i="1"/>
  <c r="A12009" i="1"/>
  <c r="A5315" i="1"/>
  <c r="A5314" i="1"/>
  <c r="A12008" i="1"/>
  <c r="A12007" i="1"/>
  <c r="A5313" i="1"/>
  <c r="A12006" i="1"/>
  <c r="A12005" i="1"/>
  <c r="A5312" i="1"/>
  <c r="A12004" i="1"/>
  <c r="A12003" i="1"/>
  <c r="A1153" i="1"/>
  <c r="A12002" i="1"/>
  <c r="A12001" i="1"/>
  <c r="A713" i="1"/>
  <c r="A5311" i="1"/>
  <c r="A122" i="1"/>
  <c r="A5310" i="1"/>
  <c r="A12000" i="1"/>
  <c r="A11999" i="1"/>
  <c r="A11998" i="1"/>
  <c r="A11997" i="1"/>
  <c r="A11996" i="1"/>
  <c r="A5309" i="1"/>
  <c r="A11995" i="1"/>
  <c r="A11994" i="1"/>
  <c r="A11993" i="1"/>
  <c r="A11992" i="1"/>
  <c r="A11991" i="1"/>
  <c r="A5308" i="1"/>
  <c r="A11990" i="1"/>
  <c r="A11989" i="1"/>
  <c r="A10" i="1"/>
  <c r="A11988" i="1"/>
  <c r="A11987" i="1"/>
  <c r="A11986" i="1"/>
  <c r="A11985" i="1"/>
  <c r="A121" i="1"/>
  <c r="A5307" i="1"/>
  <c r="A11984" i="1"/>
  <c r="A5306" i="1"/>
  <c r="A5305" i="1"/>
  <c r="A11983" i="1"/>
  <c r="A1152" i="1"/>
  <c r="A11982" i="1"/>
  <c r="A11981" i="1"/>
  <c r="A712" i="1"/>
  <c r="A5304" i="1"/>
  <c r="A5303" i="1"/>
  <c r="A5302" i="1"/>
  <c r="A11980" i="1"/>
  <c r="A11979" i="1"/>
  <c r="A11978" i="1"/>
  <c r="A11977" i="1"/>
  <c r="A11976" i="1"/>
  <c r="A5301" i="1"/>
  <c r="A11975" i="1"/>
  <c r="A5300" i="1"/>
  <c r="A11974" i="1"/>
  <c r="A11973" i="1"/>
  <c r="A711" i="1"/>
  <c r="A11972" i="1"/>
  <c r="A11971" i="1"/>
  <c r="A5299" i="1"/>
  <c r="A11970" i="1"/>
  <c r="A11969" i="1"/>
  <c r="A11968" i="1"/>
  <c r="A5298" i="1"/>
  <c r="A11967" i="1"/>
  <c r="A11966" i="1"/>
  <c r="A11965" i="1"/>
  <c r="A11964" i="1"/>
  <c r="A5297" i="1"/>
  <c r="A11963" i="1"/>
  <c r="A5296" i="1"/>
  <c r="A5295" i="1"/>
  <c r="A11962" i="1"/>
  <c r="A710" i="1"/>
  <c r="A11961" i="1"/>
  <c r="A11960" i="1"/>
  <c r="A11959" i="1"/>
  <c r="A11958" i="1"/>
  <c r="A11957" i="1"/>
  <c r="A11956" i="1"/>
  <c r="A120" i="1"/>
  <c r="A11955" i="1"/>
  <c r="A119" i="1"/>
  <c r="A11954" i="1"/>
  <c r="A5294" i="1"/>
  <c r="A11953" i="1"/>
  <c r="A11952" i="1"/>
  <c r="A11951" i="1"/>
  <c r="A11950" i="1"/>
  <c r="A11949" i="1"/>
  <c r="A11948" i="1"/>
  <c r="A11947" i="1"/>
  <c r="A11946" i="1"/>
  <c r="A11945" i="1"/>
  <c r="A5293" i="1"/>
  <c r="A11944" i="1"/>
  <c r="A11943" i="1"/>
  <c r="A11942" i="1"/>
  <c r="A5292" i="1"/>
  <c r="A11941" i="1"/>
  <c r="A709" i="1"/>
  <c r="A5291" i="1"/>
  <c r="A5290" i="1"/>
  <c r="A5289" i="1"/>
  <c r="A11940" i="1"/>
  <c r="A5288" i="1"/>
  <c r="A11939" i="1"/>
  <c r="A1151" i="1"/>
  <c r="A11938" i="1"/>
  <c r="A11937" i="1"/>
  <c r="A11936" i="1"/>
  <c r="A11935" i="1"/>
  <c r="A11934" i="1"/>
  <c r="A708" i="1"/>
  <c r="A5287" i="1"/>
  <c r="A11933" i="1"/>
  <c r="A11932" i="1"/>
  <c r="A11931" i="1"/>
  <c r="A11930" i="1"/>
  <c r="A11929" i="1"/>
  <c r="A11928" i="1"/>
  <c r="A5286" i="1"/>
  <c r="A11927" i="1"/>
  <c r="A11926" i="1"/>
  <c r="A11925" i="1"/>
  <c r="A11924" i="1"/>
  <c r="A5285" i="1"/>
  <c r="A11923" i="1"/>
  <c r="A11922" i="1"/>
  <c r="A11921" i="1"/>
  <c r="A11920" i="1"/>
  <c r="A11919" i="1"/>
  <c r="A11918" i="1"/>
  <c r="A5284" i="1"/>
  <c r="A5283" i="1"/>
  <c r="A5282" i="1"/>
  <c r="A5281" i="1"/>
  <c r="A11917" i="1"/>
  <c r="A5280" i="1"/>
  <c r="A5279" i="1"/>
  <c r="A11916" i="1"/>
  <c r="A11915" i="1"/>
  <c r="A5278" i="1"/>
  <c r="A5277" i="1"/>
  <c r="A11914" i="1"/>
  <c r="A5276" i="1"/>
  <c r="A5275" i="1"/>
  <c r="A11913" i="1"/>
  <c r="A5274" i="1"/>
  <c r="A11912" i="1"/>
  <c r="A11911" i="1"/>
  <c r="A11910" i="1"/>
  <c r="A11909" i="1"/>
  <c r="A11908" i="1"/>
  <c r="A11907" i="1"/>
  <c r="A5273" i="1"/>
  <c r="A11906" i="1"/>
  <c r="A5272" i="1"/>
  <c r="A5271" i="1"/>
  <c r="A11905" i="1"/>
  <c r="A11904" i="1"/>
  <c r="A11903" i="1"/>
  <c r="A11902" i="1"/>
  <c r="A11901" i="1"/>
  <c r="A5270" i="1"/>
  <c r="A5269" i="1"/>
  <c r="A11900" i="1"/>
  <c r="A11899" i="1"/>
  <c r="A11898" i="1"/>
  <c r="A11897" i="1"/>
  <c r="A11896" i="1"/>
  <c r="A707" i="1"/>
  <c r="A11895" i="1"/>
  <c r="A11894" i="1"/>
  <c r="A11893" i="1"/>
  <c r="A11892" i="1"/>
  <c r="A11891" i="1"/>
  <c r="A11890" i="1"/>
  <c r="A11889" i="1"/>
  <c r="A11888" i="1"/>
  <c r="A11887" i="1"/>
  <c r="A5268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5267" i="1"/>
  <c r="A11866" i="1"/>
  <c r="A11865" i="1"/>
  <c r="A11864" i="1"/>
  <c r="A5266" i="1"/>
  <c r="A5265" i="1"/>
  <c r="A11863" i="1"/>
  <c r="A11862" i="1"/>
  <c r="A11861" i="1"/>
  <c r="A11860" i="1"/>
  <c r="A11859" i="1"/>
  <c r="A11858" i="1"/>
  <c r="A11857" i="1"/>
  <c r="A11856" i="1"/>
  <c r="A11855" i="1"/>
  <c r="A5264" i="1"/>
  <c r="A11854" i="1"/>
  <c r="A11853" i="1"/>
  <c r="A11852" i="1"/>
  <c r="A11851" i="1"/>
  <c r="A11850" i="1"/>
  <c r="A11849" i="1"/>
  <c r="A11848" i="1"/>
  <c r="A11847" i="1"/>
  <c r="A5263" i="1"/>
  <c r="A11846" i="1"/>
  <c r="A11845" i="1"/>
  <c r="A11844" i="1"/>
  <c r="A11843" i="1"/>
  <c r="A11842" i="1"/>
  <c r="A11841" i="1"/>
  <c r="A5262" i="1"/>
  <c r="A5261" i="1"/>
  <c r="A11840" i="1"/>
  <c r="A11839" i="1"/>
  <c r="A11838" i="1"/>
  <c r="A5260" i="1"/>
  <c r="A11837" i="1"/>
  <c r="A11836" i="1"/>
  <c r="A5259" i="1"/>
  <c r="A11835" i="1"/>
  <c r="A11834" i="1"/>
  <c r="A5258" i="1"/>
  <c r="A11833" i="1"/>
  <c r="A11832" i="1"/>
  <c r="A11831" i="1"/>
  <c r="A5257" i="1"/>
  <c r="A11830" i="1"/>
  <c r="A706" i="1"/>
  <c r="A5256" i="1"/>
  <c r="A11829" i="1"/>
  <c r="A11828" i="1"/>
  <c r="A11827" i="1"/>
  <c r="A11826" i="1"/>
  <c r="A11825" i="1"/>
  <c r="A11824" i="1"/>
  <c r="A11823" i="1"/>
  <c r="A11822" i="1"/>
  <c r="A11821" i="1"/>
  <c r="A11820" i="1"/>
  <c r="A5255" i="1"/>
  <c r="A5254" i="1"/>
  <c r="A11819" i="1"/>
  <c r="A5253" i="1"/>
  <c r="A5252" i="1"/>
  <c r="A11818" i="1"/>
  <c r="A11817" i="1"/>
  <c r="A11816" i="1"/>
  <c r="A118" i="1"/>
  <c r="A5251" i="1"/>
  <c r="A11815" i="1"/>
  <c r="A11814" i="1"/>
  <c r="A11813" i="1"/>
  <c r="A11812" i="1"/>
  <c r="A705" i="1"/>
  <c r="A11811" i="1"/>
  <c r="A11810" i="1"/>
  <c r="A11809" i="1"/>
  <c r="A5250" i="1"/>
  <c r="A11808" i="1"/>
  <c r="A11807" i="1"/>
  <c r="A11806" i="1"/>
  <c r="A11805" i="1"/>
  <c r="A11804" i="1"/>
  <c r="A11803" i="1"/>
  <c r="A704" i="1"/>
  <c r="A5249" i="1"/>
  <c r="A5248" i="1"/>
  <c r="A11802" i="1"/>
  <c r="A11801" i="1"/>
  <c r="A11800" i="1"/>
  <c r="A11799" i="1"/>
  <c r="A11798" i="1"/>
  <c r="A11797" i="1"/>
  <c r="A11796" i="1"/>
  <c r="A5247" i="1"/>
  <c r="A11795" i="1"/>
  <c r="A5246" i="1"/>
  <c r="A11794" i="1"/>
  <c r="A11793" i="1"/>
  <c r="A11792" i="1"/>
  <c r="A11791" i="1"/>
  <c r="A11790" i="1"/>
  <c r="A11789" i="1"/>
  <c r="A11788" i="1"/>
  <c r="A5245" i="1"/>
  <c r="A703" i="1"/>
  <c r="A11787" i="1"/>
  <c r="A11786" i="1"/>
  <c r="A5244" i="1"/>
  <c r="A11785" i="1"/>
  <c r="A5243" i="1"/>
  <c r="A11784" i="1"/>
  <c r="A5242" i="1"/>
  <c r="A11783" i="1"/>
  <c r="A5241" i="1"/>
  <c r="A11782" i="1"/>
  <c r="A11781" i="1"/>
  <c r="A11780" i="1"/>
  <c r="A11779" i="1"/>
  <c r="A5240" i="1"/>
  <c r="A11778" i="1"/>
  <c r="A11777" i="1"/>
  <c r="A11776" i="1"/>
  <c r="A11775" i="1"/>
  <c r="A11774" i="1"/>
  <c r="A11773" i="1"/>
  <c r="A702" i="1"/>
  <c r="A11772" i="1"/>
  <c r="A11771" i="1"/>
  <c r="A5239" i="1"/>
  <c r="A11770" i="1"/>
  <c r="A11769" i="1"/>
  <c r="A11768" i="1"/>
  <c r="A5238" i="1"/>
  <c r="A5237" i="1"/>
  <c r="A11767" i="1"/>
  <c r="A5236" i="1"/>
  <c r="A11766" i="1"/>
  <c r="A11765" i="1"/>
  <c r="A11764" i="1"/>
  <c r="A701" i="1"/>
  <c r="A11763" i="1"/>
  <c r="A5235" i="1"/>
  <c r="A11762" i="1"/>
  <c r="A11761" i="1"/>
  <c r="A11760" i="1"/>
  <c r="A11759" i="1"/>
  <c r="A11758" i="1"/>
  <c r="A5234" i="1"/>
  <c r="A5233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5232" i="1"/>
  <c r="A11744" i="1"/>
  <c r="A11743" i="1"/>
  <c r="A11742" i="1"/>
  <c r="A11741" i="1"/>
  <c r="A11740" i="1"/>
  <c r="A700" i="1"/>
  <c r="A11739" i="1"/>
  <c r="A11738" i="1"/>
  <c r="A11737" i="1"/>
  <c r="A699" i="1"/>
  <c r="A698" i="1"/>
  <c r="A11736" i="1"/>
  <c r="A11735" i="1"/>
  <c r="A11734" i="1"/>
  <c r="A11733" i="1"/>
  <c r="A11732" i="1"/>
  <c r="A11731" i="1"/>
  <c r="A11730" i="1"/>
  <c r="A11729" i="1"/>
  <c r="A697" i="1"/>
  <c r="A11728" i="1"/>
  <c r="A11727" i="1"/>
  <c r="A11726" i="1"/>
  <c r="A11725" i="1"/>
  <c r="A5231" i="1"/>
  <c r="A11724" i="1"/>
  <c r="A11723" i="1"/>
  <c r="A11722" i="1"/>
  <c r="A11721" i="1"/>
  <c r="A5230" i="1"/>
  <c r="A11720" i="1"/>
  <c r="A11719" i="1"/>
  <c r="A11718" i="1"/>
  <c r="A11717" i="1"/>
  <c r="A11716" i="1"/>
  <c r="A5229" i="1"/>
  <c r="A11715" i="1"/>
  <c r="A11714" i="1"/>
  <c r="A11713" i="1"/>
  <c r="A11712" i="1"/>
  <c r="A11711" i="1"/>
  <c r="A11710" i="1"/>
  <c r="A5228" i="1"/>
  <c r="A11709" i="1"/>
  <c r="A5227" i="1"/>
  <c r="A5226" i="1"/>
  <c r="A11708" i="1"/>
  <c r="A11707" i="1"/>
  <c r="A5225" i="1"/>
  <c r="A5224" i="1"/>
  <c r="A5223" i="1"/>
  <c r="A11706" i="1"/>
  <c r="A5222" i="1"/>
  <c r="A11705" i="1"/>
  <c r="A11704" i="1"/>
  <c r="A11703" i="1"/>
  <c r="A11702" i="1"/>
  <c r="A11701" i="1"/>
  <c r="A11700" i="1"/>
  <c r="A11699" i="1"/>
  <c r="A11698" i="1"/>
  <c r="A696" i="1"/>
  <c r="A11697" i="1"/>
  <c r="A11696" i="1"/>
  <c r="A11695" i="1"/>
  <c r="A695" i="1"/>
  <c r="A11694" i="1"/>
  <c r="A11693" i="1"/>
  <c r="A11692" i="1"/>
  <c r="A5221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5220" i="1"/>
  <c r="A11663" i="1"/>
  <c r="A11662" i="1"/>
  <c r="A11661" i="1"/>
  <c r="A11660" i="1"/>
  <c r="A5219" i="1"/>
  <c r="A11659" i="1"/>
  <c r="A11658" i="1"/>
  <c r="A11657" i="1"/>
  <c r="A5218" i="1"/>
  <c r="A694" i="1"/>
  <c r="A11656" i="1"/>
  <c r="A11655" i="1"/>
  <c r="A11654" i="1"/>
  <c r="A11653" i="1"/>
  <c r="A11652" i="1"/>
  <c r="A11651" i="1"/>
  <c r="A11650" i="1"/>
  <c r="A11649" i="1"/>
  <c r="A11648" i="1"/>
  <c r="A5217" i="1"/>
  <c r="A11647" i="1"/>
  <c r="A5216" i="1"/>
  <c r="A5215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5214" i="1"/>
  <c r="A11630" i="1"/>
  <c r="A1150" i="1"/>
  <c r="A5213" i="1"/>
  <c r="A11629" i="1"/>
  <c r="A11628" i="1"/>
  <c r="A11627" i="1"/>
  <c r="A5212" i="1"/>
  <c r="A5211" i="1"/>
  <c r="A11626" i="1"/>
  <c r="A5210" i="1"/>
  <c r="A11625" i="1"/>
  <c r="A5209" i="1"/>
  <c r="A11624" i="1"/>
  <c r="A11623" i="1"/>
  <c r="A11622" i="1"/>
  <c r="A11621" i="1"/>
  <c r="A5208" i="1"/>
  <c r="A11620" i="1"/>
  <c r="A11619" i="1"/>
  <c r="A11618" i="1"/>
  <c r="A11617" i="1"/>
  <c r="A5207" i="1"/>
  <c r="A5206" i="1"/>
  <c r="A5205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5204" i="1"/>
  <c r="A11604" i="1"/>
  <c r="A11603" i="1"/>
  <c r="A11602" i="1"/>
  <c r="A11601" i="1"/>
  <c r="A11600" i="1"/>
  <c r="A11599" i="1"/>
  <c r="A11598" i="1"/>
  <c r="A11597" i="1"/>
  <c r="A693" i="1"/>
  <c r="A692" i="1"/>
  <c r="A11596" i="1"/>
  <c r="A11595" i="1"/>
  <c r="A11594" i="1"/>
  <c r="A11593" i="1"/>
  <c r="A11592" i="1"/>
  <c r="A11591" i="1"/>
  <c r="A5203" i="1"/>
  <c r="A11590" i="1"/>
  <c r="A11589" i="1"/>
  <c r="A11588" i="1"/>
  <c r="A5202" i="1"/>
  <c r="A11587" i="1"/>
  <c r="A11586" i="1"/>
  <c r="A11585" i="1"/>
  <c r="A11584" i="1"/>
  <c r="A11583" i="1"/>
  <c r="A11582" i="1"/>
  <c r="A11581" i="1"/>
  <c r="A11580" i="1"/>
  <c r="A11579" i="1"/>
  <c r="A11578" i="1"/>
  <c r="A691" i="1"/>
  <c r="A11577" i="1"/>
  <c r="A11576" i="1"/>
  <c r="A11575" i="1"/>
  <c r="A11574" i="1"/>
  <c r="A11573" i="1"/>
  <c r="A11572" i="1"/>
  <c r="A11571" i="1"/>
  <c r="A11570" i="1"/>
  <c r="A11569" i="1"/>
  <c r="A5201" i="1"/>
  <c r="A11568" i="1"/>
  <c r="A11567" i="1"/>
  <c r="A11566" i="1"/>
  <c r="A11565" i="1"/>
  <c r="A11564" i="1"/>
  <c r="A11563" i="1"/>
  <c r="A11562" i="1"/>
  <c r="A5200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49" i="1"/>
  <c r="A690" i="1"/>
  <c r="A11540" i="1"/>
  <c r="A11539" i="1"/>
  <c r="A11538" i="1"/>
  <c r="A11537" i="1"/>
  <c r="A11536" i="1"/>
  <c r="A11535" i="1"/>
  <c r="A11534" i="1"/>
  <c r="A11533" i="1"/>
  <c r="A5199" i="1"/>
  <c r="A11532" i="1"/>
  <c r="A11531" i="1"/>
  <c r="A5198" i="1"/>
  <c r="A11530" i="1"/>
  <c r="A5197" i="1"/>
  <c r="A11529" i="1"/>
  <c r="A11528" i="1"/>
  <c r="A11527" i="1"/>
  <c r="A11526" i="1"/>
  <c r="A11525" i="1"/>
  <c r="A11524" i="1"/>
  <c r="A11523" i="1"/>
  <c r="A11522" i="1"/>
  <c r="A5196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5195" i="1"/>
  <c r="A5194" i="1"/>
  <c r="A5193" i="1"/>
  <c r="A11510" i="1"/>
  <c r="A11509" i="1"/>
  <c r="A11508" i="1"/>
  <c r="A11507" i="1"/>
  <c r="A5192" i="1"/>
  <c r="A5191" i="1"/>
  <c r="A11506" i="1"/>
  <c r="A11505" i="1"/>
  <c r="A689" i="1"/>
  <c r="A5190" i="1"/>
  <c r="A11504" i="1"/>
  <c r="A11503" i="1"/>
  <c r="A11502" i="1"/>
  <c r="A11501" i="1"/>
  <c r="A11500" i="1"/>
  <c r="A5189" i="1"/>
  <c r="A11499" i="1"/>
  <c r="A688" i="1"/>
  <c r="A11498" i="1"/>
  <c r="A11497" i="1"/>
  <c r="A5188" i="1"/>
  <c r="A11496" i="1"/>
  <c r="A687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5187" i="1"/>
  <c r="A11475" i="1"/>
  <c r="A5186" i="1"/>
  <c r="A11474" i="1"/>
  <c r="A686" i="1"/>
  <c r="A11473" i="1"/>
  <c r="A11472" i="1"/>
  <c r="A11471" i="1"/>
  <c r="A11470" i="1"/>
  <c r="A11469" i="1"/>
  <c r="A11468" i="1"/>
  <c r="A11467" i="1"/>
  <c r="A11466" i="1"/>
  <c r="A11465" i="1"/>
  <c r="A5185" i="1"/>
  <c r="A11464" i="1"/>
  <c r="A11463" i="1"/>
  <c r="A11462" i="1"/>
  <c r="A5184" i="1"/>
  <c r="A11461" i="1"/>
  <c r="A11460" i="1"/>
  <c r="A11459" i="1"/>
  <c r="A11458" i="1"/>
  <c r="A11457" i="1"/>
  <c r="A5183" i="1"/>
  <c r="A11456" i="1"/>
  <c r="A11455" i="1"/>
  <c r="A11454" i="1"/>
  <c r="A11453" i="1"/>
  <c r="A11452" i="1"/>
  <c r="A11451" i="1"/>
  <c r="A11450" i="1"/>
  <c r="A11449" i="1"/>
  <c r="A11448" i="1"/>
  <c r="A5182" i="1"/>
  <c r="A11447" i="1"/>
  <c r="A5181" i="1"/>
  <c r="A11446" i="1"/>
  <c r="A5180" i="1"/>
  <c r="A11445" i="1"/>
  <c r="A11444" i="1"/>
  <c r="A5179" i="1"/>
  <c r="A11443" i="1"/>
  <c r="A685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5178" i="1"/>
  <c r="A11429" i="1"/>
  <c r="A684" i="1"/>
  <c r="A11428" i="1"/>
  <c r="A683" i="1"/>
  <c r="A11427" i="1"/>
  <c r="A11426" i="1"/>
  <c r="A11425" i="1"/>
  <c r="A11424" i="1"/>
  <c r="A11423" i="1"/>
  <c r="A11422" i="1"/>
  <c r="A11421" i="1"/>
  <c r="A11420" i="1"/>
  <c r="A682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5177" i="1"/>
  <c r="A11406" i="1"/>
  <c r="A11405" i="1"/>
  <c r="A11404" i="1"/>
  <c r="A11403" i="1"/>
  <c r="A11402" i="1"/>
  <c r="A11401" i="1"/>
  <c r="A11400" i="1"/>
  <c r="A5176" i="1"/>
  <c r="A11399" i="1"/>
  <c r="A5175" i="1"/>
  <c r="A681" i="1"/>
  <c r="A5174" i="1"/>
  <c r="A11398" i="1"/>
  <c r="A11397" i="1"/>
  <c r="A11396" i="1"/>
  <c r="A11395" i="1"/>
  <c r="A11394" i="1"/>
  <c r="A11393" i="1"/>
  <c r="A5173" i="1"/>
  <c r="A11392" i="1"/>
  <c r="A11391" i="1"/>
  <c r="A11390" i="1"/>
  <c r="A11389" i="1"/>
  <c r="A5172" i="1"/>
  <c r="A11388" i="1"/>
  <c r="A5171" i="1"/>
  <c r="A11387" i="1"/>
  <c r="A11386" i="1"/>
  <c r="A11385" i="1"/>
  <c r="A11384" i="1"/>
  <c r="A11383" i="1"/>
  <c r="A5170" i="1"/>
  <c r="A11382" i="1"/>
  <c r="A11381" i="1"/>
  <c r="A5169" i="1"/>
  <c r="A11380" i="1"/>
  <c r="A11379" i="1"/>
  <c r="A11378" i="1"/>
  <c r="A5168" i="1"/>
  <c r="A680" i="1"/>
  <c r="A11377" i="1"/>
  <c r="A11376" i="1"/>
  <c r="A11375" i="1"/>
  <c r="A11374" i="1"/>
  <c r="A11373" i="1"/>
  <c r="A11372" i="1"/>
  <c r="A679" i="1"/>
  <c r="A678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5167" i="1"/>
  <c r="A11358" i="1"/>
  <c r="A5166" i="1"/>
  <c r="A11357" i="1"/>
  <c r="A11356" i="1"/>
  <c r="A11355" i="1"/>
  <c r="A11354" i="1"/>
  <c r="A11353" i="1"/>
  <c r="A677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5165" i="1"/>
  <c r="A676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48" i="1"/>
  <c r="A11314" i="1"/>
  <c r="A11313" i="1"/>
  <c r="A11312" i="1"/>
  <c r="A11311" i="1"/>
  <c r="A11310" i="1"/>
  <c r="A11309" i="1"/>
  <c r="A11308" i="1"/>
  <c r="A5164" i="1"/>
  <c r="A11307" i="1"/>
  <c r="A5163" i="1"/>
  <c r="A11306" i="1"/>
  <c r="A11305" i="1"/>
  <c r="A11304" i="1"/>
  <c r="A5162" i="1"/>
  <c r="A11303" i="1"/>
  <c r="A11302" i="1"/>
  <c r="A11301" i="1"/>
  <c r="A11300" i="1"/>
  <c r="A11299" i="1"/>
  <c r="A5161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675" i="1"/>
  <c r="A11276" i="1"/>
  <c r="A674" i="1"/>
  <c r="A11275" i="1"/>
  <c r="A5160" i="1"/>
  <c r="A11274" i="1"/>
  <c r="A11273" i="1"/>
  <c r="A11272" i="1"/>
  <c r="A11271" i="1"/>
  <c r="A11270" i="1"/>
  <c r="A5159" i="1"/>
  <c r="A5158" i="1"/>
  <c r="A11269" i="1"/>
  <c r="A11268" i="1"/>
  <c r="A11267" i="1"/>
  <c r="A11266" i="1"/>
  <c r="A11265" i="1"/>
  <c r="A11264" i="1"/>
  <c r="A5157" i="1"/>
  <c r="A11263" i="1"/>
  <c r="A11262" i="1"/>
  <c r="A11261" i="1"/>
  <c r="A11260" i="1"/>
  <c r="A11259" i="1"/>
  <c r="A11258" i="1"/>
  <c r="A5156" i="1"/>
  <c r="A11257" i="1"/>
  <c r="A5155" i="1"/>
  <c r="A5154" i="1"/>
  <c r="A5153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5152" i="1"/>
  <c r="A5151" i="1"/>
  <c r="A11242" i="1"/>
  <c r="A13788" i="1"/>
  <c r="A5150" i="1"/>
  <c r="A11241" i="1"/>
  <c r="A11240" i="1"/>
  <c r="A11239" i="1"/>
  <c r="A11238" i="1"/>
  <c r="A5149" i="1"/>
  <c r="A5148" i="1"/>
  <c r="A11237" i="1"/>
  <c r="A11236" i="1"/>
  <c r="A11235" i="1"/>
  <c r="A5147" i="1"/>
  <c r="A11234" i="1"/>
  <c r="A11233" i="1"/>
  <c r="A11232" i="1"/>
  <c r="A11231" i="1"/>
  <c r="A5146" i="1"/>
  <c r="A11230" i="1"/>
  <c r="A673" i="1"/>
  <c r="A672" i="1"/>
  <c r="A11229" i="1"/>
  <c r="A11228" i="1"/>
  <c r="A11227" i="1"/>
  <c r="A11226" i="1"/>
  <c r="A11225" i="1"/>
  <c r="A5145" i="1"/>
  <c r="A11224" i="1"/>
  <c r="A11223" i="1"/>
  <c r="A671" i="1"/>
  <c r="A11222" i="1"/>
  <c r="A11221" i="1"/>
  <c r="A5144" i="1"/>
  <c r="A5143" i="1"/>
  <c r="A5142" i="1"/>
  <c r="A11220" i="1"/>
  <c r="A11219" i="1"/>
  <c r="A11218" i="1"/>
  <c r="A11217" i="1"/>
  <c r="A11216" i="1"/>
  <c r="A11215" i="1"/>
  <c r="A11214" i="1"/>
  <c r="A11213" i="1"/>
  <c r="A11212" i="1"/>
  <c r="A5141" i="1"/>
  <c r="A5140" i="1"/>
  <c r="A11211" i="1"/>
  <c r="A11210" i="1"/>
  <c r="A11209" i="1"/>
  <c r="A5139" i="1"/>
  <c r="A11208" i="1"/>
  <c r="A11207" i="1"/>
  <c r="A11206" i="1"/>
  <c r="A11205" i="1"/>
  <c r="A11204" i="1"/>
  <c r="A11203" i="1"/>
  <c r="A11202" i="1"/>
  <c r="A11201" i="1"/>
  <c r="A11200" i="1"/>
  <c r="A11199" i="1"/>
  <c r="A5138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670" i="1"/>
  <c r="A11180" i="1"/>
  <c r="A11179" i="1"/>
  <c r="A11178" i="1"/>
  <c r="A669" i="1"/>
  <c r="A5137" i="1"/>
  <c r="A5136" i="1"/>
  <c r="A11177" i="1"/>
  <c r="A668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5135" i="1"/>
  <c r="A1147" i="1"/>
  <c r="A11161" i="1"/>
  <c r="A11160" i="1"/>
  <c r="A11159" i="1"/>
  <c r="A5134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5133" i="1"/>
  <c r="A5132" i="1"/>
  <c r="A11146" i="1"/>
  <c r="A11145" i="1"/>
  <c r="A11144" i="1"/>
  <c r="A11143" i="1"/>
  <c r="A11142" i="1"/>
  <c r="A11141" i="1"/>
  <c r="A667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5131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5130" i="1"/>
  <c r="A11104" i="1"/>
  <c r="A11103" i="1"/>
  <c r="A11102" i="1"/>
  <c r="A11101" i="1"/>
  <c r="A11100" i="1"/>
  <c r="A11099" i="1"/>
  <c r="A666" i="1"/>
  <c r="A11098" i="1"/>
  <c r="A5129" i="1"/>
  <c r="A11097" i="1"/>
  <c r="A11096" i="1"/>
  <c r="A11095" i="1"/>
  <c r="A11094" i="1"/>
  <c r="A11093" i="1"/>
  <c r="A665" i="1"/>
  <c r="A11092" i="1"/>
  <c r="A11091" i="1"/>
  <c r="A11090" i="1"/>
  <c r="A11089" i="1"/>
  <c r="A11088" i="1"/>
  <c r="A11087" i="1"/>
  <c r="A11086" i="1"/>
  <c r="A11085" i="1"/>
  <c r="A5128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5127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5126" i="1"/>
  <c r="A11050" i="1"/>
  <c r="A11049" i="1"/>
  <c r="A11048" i="1"/>
  <c r="A11047" i="1"/>
  <c r="A11046" i="1"/>
  <c r="A11045" i="1"/>
  <c r="A11044" i="1"/>
  <c r="A11043" i="1"/>
  <c r="A11042" i="1"/>
  <c r="A11041" i="1"/>
  <c r="A664" i="1"/>
  <c r="A5125" i="1"/>
  <c r="A11040" i="1"/>
  <c r="A11039" i="1"/>
  <c r="A11038" i="1"/>
  <c r="A11037" i="1"/>
  <c r="A117" i="1"/>
  <c r="A11036" i="1"/>
  <c r="A11035" i="1"/>
  <c r="A11034" i="1"/>
  <c r="A11033" i="1"/>
  <c r="A5124" i="1"/>
  <c r="A11032" i="1"/>
  <c r="A11031" i="1"/>
  <c r="A11030" i="1"/>
  <c r="A5123" i="1"/>
  <c r="A11029" i="1"/>
  <c r="A11028" i="1"/>
  <c r="A5122" i="1"/>
  <c r="A11027" i="1"/>
  <c r="A11026" i="1"/>
  <c r="A663" i="1"/>
  <c r="A11025" i="1"/>
  <c r="A11024" i="1"/>
  <c r="A11023" i="1"/>
  <c r="A11022" i="1"/>
  <c r="A5121" i="1"/>
  <c r="A5120" i="1"/>
  <c r="A5119" i="1"/>
  <c r="A5118" i="1"/>
  <c r="A11021" i="1"/>
  <c r="A11020" i="1"/>
  <c r="A5117" i="1"/>
  <c r="A5116" i="1"/>
  <c r="A5115" i="1"/>
  <c r="A5114" i="1"/>
  <c r="A11019" i="1"/>
  <c r="A11018" i="1"/>
  <c r="A11017" i="1"/>
  <c r="A11016" i="1"/>
  <c r="A662" i="1"/>
  <c r="A11015" i="1"/>
  <c r="A1146" i="1"/>
  <c r="A11014" i="1"/>
  <c r="A11013" i="1"/>
  <c r="A11012" i="1"/>
  <c r="A5113" i="1"/>
  <c r="A11011" i="1"/>
  <c r="A11010" i="1"/>
  <c r="A661" i="1"/>
  <c r="A71" i="1"/>
  <c r="A11009" i="1"/>
  <c r="A11008" i="1"/>
  <c r="A11007" i="1"/>
  <c r="A1145" i="1"/>
  <c r="A11006" i="1"/>
  <c r="A660" i="1"/>
  <c r="A5112" i="1"/>
  <c r="A5111" i="1"/>
  <c r="A11005" i="1"/>
  <c r="A5110" i="1"/>
  <c r="A11004" i="1"/>
  <c r="A11003" i="1"/>
  <c r="A11002" i="1"/>
  <c r="A5109" i="1"/>
  <c r="A11001" i="1"/>
  <c r="A11000" i="1"/>
  <c r="A5108" i="1"/>
  <c r="A10999" i="1"/>
  <c r="A10998" i="1"/>
  <c r="A5107" i="1"/>
  <c r="A10997" i="1"/>
  <c r="A10996" i="1"/>
  <c r="A10995" i="1"/>
  <c r="A10994" i="1"/>
  <c r="A10993" i="1"/>
  <c r="A5106" i="1"/>
  <c r="A5105" i="1"/>
  <c r="A10992" i="1"/>
  <c r="A10991" i="1"/>
  <c r="A10990" i="1"/>
  <c r="A10989" i="1"/>
  <c r="A10988" i="1"/>
  <c r="A5104" i="1"/>
  <c r="A5103" i="1"/>
  <c r="A659" i="1"/>
  <c r="A10987" i="1"/>
  <c r="A10986" i="1"/>
  <c r="A10985" i="1"/>
  <c r="A10984" i="1"/>
  <c r="A10983" i="1"/>
  <c r="A10982" i="1"/>
  <c r="A5102" i="1"/>
  <c r="A10981" i="1"/>
  <c r="A5101" i="1"/>
  <c r="A5100" i="1"/>
  <c r="A10980" i="1"/>
  <c r="A10979" i="1"/>
  <c r="A10978" i="1"/>
  <c r="A5099" i="1"/>
  <c r="A5098" i="1"/>
  <c r="A10977" i="1"/>
  <c r="A10976" i="1"/>
  <c r="A10975" i="1"/>
  <c r="A10974" i="1"/>
  <c r="A10973" i="1"/>
  <c r="A13787" i="1"/>
  <c r="A10972" i="1"/>
  <c r="A5097" i="1"/>
  <c r="A10971" i="1"/>
  <c r="A5096" i="1"/>
  <c r="A10970" i="1"/>
  <c r="A5095" i="1"/>
  <c r="A5094" i="1"/>
  <c r="A5093" i="1"/>
  <c r="A5092" i="1"/>
  <c r="A5091" i="1"/>
  <c r="A5090" i="1"/>
  <c r="A10969" i="1"/>
  <c r="A5089" i="1"/>
  <c r="A5088" i="1"/>
  <c r="A10968" i="1"/>
  <c r="A5087" i="1"/>
  <c r="A10967" i="1"/>
  <c r="A5086" i="1"/>
  <c r="A10966" i="1"/>
  <c r="A5085" i="1"/>
  <c r="A10965" i="1"/>
  <c r="A10964" i="1"/>
  <c r="A5084" i="1"/>
  <c r="A5083" i="1"/>
  <c r="A10963" i="1"/>
  <c r="A5082" i="1"/>
  <c r="A10962" i="1"/>
  <c r="A10961" i="1"/>
  <c r="A10960" i="1"/>
  <c r="A1144" i="1"/>
  <c r="A5081" i="1"/>
  <c r="A10959" i="1"/>
  <c r="A10958" i="1"/>
  <c r="A10957" i="1"/>
  <c r="A10956" i="1"/>
  <c r="A10955" i="1"/>
  <c r="A10954" i="1"/>
  <c r="A5080" i="1"/>
  <c r="A10953" i="1"/>
  <c r="A5079" i="1"/>
  <c r="A5078" i="1"/>
  <c r="A5077" i="1"/>
  <c r="A10952" i="1"/>
  <c r="A10951" i="1"/>
  <c r="A10950" i="1"/>
  <c r="A10949" i="1"/>
  <c r="A10948" i="1"/>
  <c r="A10947" i="1"/>
  <c r="A10946" i="1"/>
  <c r="A10945" i="1"/>
  <c r="A10944" i="1"/>
  <c r="A5076" i="1"/>
  <c r="A5075" i="1"/>
  <c r="A10943" i="1"/>
  <c r="A10942" i="1"/>
  <c r="A10941" i="1"/>
  <c r="A10940" i="1"/>
  <c r="A10939" i="1"/>
  <c r="A5074" i="1"/>
  <c r="A10938" i="1"/>
  <c r="A10937" i="1"/>
  <c r="A10936" i="1"/>
  <c r="A1143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5073" i="1"/>
  <c r="A10922" i="1"/>
  <c r="A10921" i="1"/>
  <c r="A10920" i="1"/>
  <c r="A10919" i="1"/>
  <c r="A5072" i="1"/>
  <c r="A10918" i="1"/>
  <c r="A5071" i="1"/>
  <c r="A10917" i="1"/>
  <c r="A10916" i="1"/>
  <c r="A10915" i="1"/>
  <c r="A10914" i="1"/>
  <c r="A116" i="1"/>
  <c r="A10913" i="1"/>
  <c r="A10912" i="1"/>
  <c r="A10911" i="1"/>
  <c r="A10910" i="1"/>
  <c r="A5070" i="1"/>
  <c r="A5069" i="1"/>
  <c r="A5068" i="1"/>
  <c r="A5067" i="1"/>
  <c r="A1142" i="1"/>
  <c r="A10909" i="1"/>
  <c r="A10908" i="1"/>
  <c r="A5066" i="1"/>
  <c r="A10907" i="1"/>
  <c r="A5065" i="1"/>
  <c r="A5064" i="1"/>
  <c r="A10906" i="1"/>
  <c r="A5063" i="1"/>
  <c r="A10905" i="1"/>
  <c r="A1141" i="1"/>
  <c r="A1140" i="1"/>
  <c r="A10904" i="1"/>
  <c r="A5062" i="1"/>
  <c r="A10903" i="1"/>
  <c r="A658" i="1"/>
  <c r="A5061" i="1"/>
  <c r="A10902" i="1"/>
  <c r="A10901" i="1"/>
  <c r="A5060" i="1"/>
  <c r="A5059" i="1"/>
  <c r="A5058" i="1"/>
  <c r="A10900" i="1"/>
  <c r="A10899" i="1"/>
  <c r="A10898" i="1"/>
  <c r="A10897" i="1"/>
  <c r="A10896" i="1"/>
  <c r="A5057" i="1"/>
  <c r="A5056" i="1"/>
  <c r="A10895" i="1"/>
  <c r="A10894" i="1"/>
  <c r="A5055" i="1"/>
  <c r="A10893" i="1"/>
  <c r="A1139" i="1"/>
  <c r="A1138" i="1"/>
  <c r="A5054" i="1"/>
  <c r="A10892" i="1"/>
  <c r="A10891" i="1"/>
  <c r="A5053" i="1"/>
  <c r="A10890" i="1"/>
  <c r="A1137" i="1"/>
  <c r="A5052" i="1"/>
  <c r="A10889" i="1"/>
  <c r="A5051" i="1"/>
  <c r="A10888" i="1"/>
  <c r="A10887" i="1"/>
  <c r="A10886" i="1"/>
  <c r="A10885" i="1"/>
  <c r="A657" i="1"/>
  <c r="A10884" i="1"/>
  <c r="A5050" i="1"/>
  <c r="A10883" i="1"/>
  <c r="A5049" i="1"/>
  <c r="A10882" i="1"/>
  <c r="A5048" i="1"/>
  <c r="A10881" i="1"/>
  <c r="A10880" i="1"/>
  <c r="A10879" i="1"/>
  <c r="A10878" i="1"/>
  <c r="A5047" i="1"/>
  <c r="A10877" i="1"/>
  <c r="A10876" i="1"/>
  <c r="A5046" i="1"/>
  <c r="A10875" i="1"/>
  <c r="A10874" i="1"/>
  <c r="A10873" i="1"/>
  <c r="A10872" i="1"/>
  <c r="A10871" i="1"/>
  <c r="A656" i="1"/>
  <c r="A10870" i="1"/>
  <c r="A5045" i="1"/>
  <c r="A1136" i="1"/>
  <c r="A10869" i="1"/>
  <c r="A10868" i="1"/>
  <c r="A5044" i="1"/>
  <c r="A655" i="1"/>
  <c r="A10867" i="1"/>
  <c r="A10866" i="1"/>
  <c r="A10865" i="1"/>
  <c r="A5043" i="1"/>
  <c r="A10864" i="1"/>
  <c r="A10863" i="1"/>
  <c r="A5042" i="1"/>
  <c r="A10862" i="1"/>
  <c r="A10861" i="1"/>
  <c r="A10860" i="1"/>
  <c r="A5041" i="1"/>
  <c r="A5040" i="1"/>
  <c r="A10859" i="1"/>
  <c r="A10858" i="1"/>
  <c r="A10857" i="1"/>
  <c r="A10856" i="1"/>
  <c r="A1135" i="1"/>
  <c r="A10855" i="1"/>
  <c r="A10854" i="1"/>
  <c r="A1134" i="1"/>
  <c r="A10853" i="1"/>
  <c r="A5039" i="1"/>
  <c r="A5038" i="1"/>
  <c r="A10852" i="1"/>
  <c r="A10851" i="1"/>
  <c r="A10850" i="1"/>
  <c r="A10849" i="1"/>
  <c r="A10848" i="1"/>
  <c r="A10847" i="1"/>
  <c r="A10846" i="1"/>
  <c r="A10845" i="1"/>
  <c r="A10844" i="1"/>
  <c r="A5037" i="1"/>
  <c r="A5036" i="1"/>
  <c r="A10843" i="1"/>
  <c r="A10842" i="1"/>
  <c r="A10841" i="1"/>
  <c r="A10840" i="1"/>
  <c r="A10839" i="1"/>
  <c r="A10838" i="1"/>
  <c r="A10837" i="1"/>
  <c r="A10836" i="1"/>
  <c r="A5035" i="1"/>
  <c r="A5034" i="1"/>
  <c r="A5033" i="1"/>
  <c r="A10835" i="1"/>
  <c r="A10834" i="1"/>
  <c r="A10833" i="1"/>
  <c r="A10832" i="1"/>
  <c r="A10831" i="1"/>
  <c r="A10830" i="1"/>
  <c r="A1133" i="1"/>
  <c r="A10829" i="1"/>
  <c r="A10828" i="1"/>
  <c r="A654" i="1"/>
  <c r="A10827" i="1"/>
  <c r="A10826" i="1"/>
  <c r="A10825" i="1"/>
  <c r="A10824" i="1"/>
  <c r="A5032" i="1"/>
  <c r="A5031" i="1"/>
  <c r="A5030" i="1"/>
  <c r="A10823" i="1"/>
  <c r="A5029" i="1"/>
  <c r="A5028" i="1"/>
  <c r="A5027" i="1"/>
  <c r="A10822" i="1"/>
  <c r="A5026" i="1"/>
  <c r="A5025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5024" i="1"/>
  <c r="A10807" i="1"/>
  <c r="A10806" i="1"/>
  <c r="A5023" i="1"/>
  <c r="A10805" i="1"/>
  <c r="A5022" i="1"/>
  <c r="A10804" i="1"/>
  <c r="A10803" i="1"/>
  <c r="A1132" i="1"/>
  <c r="A10802" i="1"/>
  <c r="A10801" i="1"/>
  <c r="A653" i="1"/>
  <c r="A5021" i="1"/>
  <c r="A5020" i="1"/>
  <c r="A10800" i="1"/>
  <c r="A10799" i="1"/>
  <c r="A10798" i="1"/>
  <c r="A10797" i="1"/>
  <c r="A10796" i="1"/>
  <c r="A5019" i="1"/>
  <c r="A5018" i="1"/>
  <c r="A5017" i="1"/>
  <c r="A10795" i="1"/>
  <c r="A10794" i="1"/>
  <c r="A5016" i="1"/>
  <c r="A10793" i="1"/>
  <c r="A5015" i="1"/>
  <c r="A10792" i="1"/>
  <c r="A10791" i="1"/>
  <c r="A5014" i="1"/>
  <c r="A652" i="1"/>
  <c r="A10790" i="1"/>
  <c r="A10789" i="1"/>
  <c r="A5013" i="1"/>
  <c r="A10788" i="1"/>
  <c r="A10787" i="1"/>
  <c r="A10786" i="1"/>
  <c r="A10785" i="1"/>
  <c r="A1131" i="1"/>
  <c r="A10784" i="1"/>
  <c r="A5012" i="1"/>
  <c r="A5011" i="1"/>
  <c r="A651" i="1"/>
  <c r="A1130" i="1"/>
  <c r="A5010" i="1"/>
  <c r="A5009" i="1"/>
  <c r="A10783" i="1"/>
  <c r="A5008" i="1"/>
  <c r="A10782" i="1"/>
  <c r="A5007" i="1"/>
  <c r="A5006" i="1"/>
  <c r="A10781" i="1"/>
  <c r="A10780" i="1"/>
  <c r="A5005" i="1"/>
  <c r="A10779" i="1"/>
  <c r="A10778" i="1"/>
  <c r="A5004" i="1"/>
  <c r="A10777" i="1"/>
  <c r="A1129" i="1"/>
  <c r="A10776" i="1"/>
  <c r="A10775" i="1"/>
  <c r="A5003" i="1"/>
  <c r="A10774" i="1"/>
  <c r="A10773" i="1"/>
  <c r="A10772" i="1"/>
  <c r="A10771" i="1"/>
  <c r="A10770" i="1"/>
  <c r="A10769" i="1"/>
  <c r="A10768" i="1"/>
  <c r="A10767" i="1"/>
  <c r="A1128" i="1"/>
  <c r="A10766" i="1"/>
  <c r="A10765" i="1"/>
  <c r="A5002" i="1"/>
  <c r="A10764" i="1"/>
  <c r="A10763" i="1"/>
  <c r="A10762" i="1"/>
  <c r="A10761" i="1"/>
  <c r="A10760" i="1"/>
  <c r="A10759" i="1"/>
  <c r="A650" i="1"/>
  <c r="A1127" i="1"/>
  <c r="A649" i="1"/>
  <c r="A10758" i="1"/>
  <c r="A10757" i="1"/>
  <c r="A648" i="1"/>
  <c r="A647" i="1"/>
  <c r="A646" i="1"/>
  <c r="A10756" i="1"/>
  <c r="A10755" i="1"/>
  <c r="A5001" i="1"/>
  <c r="A10754" i="1"/>
  <c r="A10753" i="1"/>
  <c r="A10752" i="1"/>
  <c r="A5000" i="1"/>
  <c r="A10751" i="1"/>
  <c r="A10750" i="1"/>
  <c r="A4999" i="1"/>
  <c r="A10749" i="1"/>
  <c r="A4998" i="1"/>
  <c r="A10748" i="1"/>
  <c r="A4997" i="1"/>
  <c r="A10747" i="1"/>
  <c r="A10746" i="1"/>
  <c r="A10745" i="1"/>
  <c r="A10744" i="1"/>
  <c r="A10743" i="1"/>
  <c r="A10742" i="1"/>
  <c r="A4996" i="1"/>
  <c r="A4995" i="1"/>
  <c r="A10741" i="1"/>
  <c r="A645" i="1"/>
  <c r="A10740" i="1"/>
  <c r="A10739" i="1"/>
  <c r="A10738" i="1"/>
  <c r="A4994" i="1"/>
  <c r="A10737" i="1"/>
  <c r="A10736" i="1"/>
  <c r="A4993" i="1"/>
  <c r="A10735" i="1"/>
  <c r="A10734" i="1"/>
  <c r="A10733" i="1"/>
  <c r="A4992" i="1"/>
  <c r="A10732" i="1"/>
  <c r="A4991" i="1"/>
  <c r="A10731" i="1"/>
  <c r="A10730" i="1"/>
  <c r="A10729" i="1"/>
  <c r="A4990" i="1"/>
  <c r="A10728" i="1"/>
  <c r="A10727" i="1"/>
  <c r="A10726" i="1"/>
  <c r="A10725" i="1"/>
  <c r="A10724" i="1"/>
  <c r="A10723" i="1"/>
  <c r="A644" i="1"/>
  <c r="A10722" i="1"/>
  <c r="A10721" i="1"/>
  <c r="A10720" i="1"/>
  <c r="A4989" i="1"/>
  <c r="A4988" i="1"/>
  <c r="A10719" i="1"/>
  <c r="A10718" i="1"/>
  <c r="A10717" i="1"/>
  <c r="A10716" i="1"/>
  <c r="A10715" i="1"/>
  <c r="A10714" i="1"/>
  <c r="A10713" i="1"/>
  <c r="A10712" i="1"/>
  <c r="A10711" i="1"/>
  <c r="A10710" i="1"/>
  <c r="A4987" i="1"/>
  <c r="A10709" i="1"/>
  <c r="A10708" i="1"/>
  <c r="A10707" i="1"/>
  <c r="A10706" i="1"/>
  <c r="A498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126" i="1"/>
  <c r="A10690" i="1"/>
  <c r="A10689" i="1"/>
  <c r="A10688" i="1"/>
  <c r="A10687" i="1"/>
  <c r="A10686" i="1"/>
  <c r="A10685" i="1"/>
  <c r="A4985" i="1"/>
  <c r="A4984" i="1"/>
  <c r="A10684" i="1"/>
  <c r="A10683" i="1"/>
  <c r="A10682" i="1"/>
  <c r="A10681" i="1"/>
  <c r="A10680" i="1"/>
  <c r="A10679" i="1"/>
  <c r="A10678" i="1"/>
  <c r="A10677" i="1"/>
  <c r="A10676" i="1"/>
  <c r="A10675" i="1"/>
  <c r="A4983" i="1"/>
  <c r="A643" i="1"/>
  <c r="A4982" i="1"/>
  <c r="A4981" i="1"/>
  <c r="A10674" i="1"/>
  <c r="A4980" i="1"/>
  <c r="A4979" i="1"/>
  <c r="A4978" i="1"/>
  <c r="A4977" i="1"/>
  <c r="A4976" i="1"/>
  <c r="A10673" i="1"/>
  <c r="A10672" i="1"/>
  <c r="A4975" i="1"/>
  <c r="A10671" i="1"/>
  <c r="A10670" i="1"/>
  <c r="A4974" i="1"/>
  <c r="A1125" i="1"/>
  <c r="A10669" i="1"/>
  <c r="A10668" i="1"/>
  <c r="A10667" i="1"/>
  <c r="A10666" i="1"/>
  <c r="A4973" i="1"/>
  <c r="A10665" i="1"/>
  <c r="A642" i="1"/>
  <c r="A10664" i="1"/>
  <c r="A641" i="1"/>
  <c r="A640" i="1"/>
  <c r="A1124" i="1"/>
  <c r="A10663" i="1"/>
  <c r="A4972" i="1"/>
  <c r="A4971" i="1"/>
  <c r="A10662" i="1"/>
  <c r="A10661" i="1"/>
  <c r="A639" i="1"/>
  <c r="A115" i="1"/>
  <c r="A10660" i="1"/>
  <c r="A4970" i="1"/>
  <c r="A10659" i="1"/>
  <c r="A10658" i="1"/>
  <c r="A4969" i="1"/>
  <c r="A638" i="1"/>
  <c r="A4968" i="1"/>
  <c r="A10657" i="1"/>
  <c r="A10656" i="1"/>
  <c r="A4967" i="1"/>
  <c r="A10655" i="1"/>
  <c r="A10654" i="1"/>
  <c r="A4966" i="1"/>
  <c r="A4965" i="1"/>
  <c r="A10653" i="1"/>
  <c r="A10652" i="1"/>
  <c r="A10651" i="1"/>
  <c r="A4964" i="1"/>
  <c r="A10650" i="1"/>
  <c r="A10649" i="1"/>
  <c r="A10648" i="1"/>
  <c r="A4963" i="1"/>
  <c r="A10647" i="1"/>
  <c r="A4962" i="1"/>
  <c r="A4961" i="1"/>
  <c r="A4960" i="1"/>
  <c r="A10646" i="1"/>
  <c r="A4959" i="1"/>
  <c r="A10645" i="1"/>
  <c r="A4958" i="1"/>
  <c r="A10644" i="1"/>
  <c r="A10643" i="1"/>
  <c r="A10642" i="1"/>
  <c r="A4957" i="1"/>
  <c r="A10641" i="1"/>
  <c r="A4956" i="1"/>
  <c r="A10640" i="1"/>
  <c r="A10639" i="1"/>
  <c r="A637" i="1"/>
  <c r="A10638" i="1"/>
  <c r="A10637" i="1"/>
  <c r="A10636" i="1"/>
  <c r="A10635" i="1"/>
  <c r="A10634" i="1"/>
  <c r="A10633" i="1"/>
  <c r="A10632" i="1"/>
  <c r="A4955" i="1"/>
  <c r="A4954" i="1"/>
  <c r="A10631" i="1"/>
  <c r="A10630" i="1"/>
  <c r="A10629" i="1"/>
  <c r="A10628" i="1"/>
  <c r="A10627" i="1"/>
  <c r="A10626" i="1"/>
  <c r="A10625" i="1"/>
  <c r="A636" i="1"/>
  <c r="A10624" i="1"/>
  <c r="A10623" i="1"/>
  <c r="A10622" i="1"/>
  <c r="A10621" i="1"/>
  <c r="A10620" i="1"/>
  <c r="A10619" i="1"/>
  <c r="A4953" i="1"/>
  <c r="A635" i="1"/>
  <c r="A10618" i="1"/>
  <c r="A10617" i="1"/>
  <c r="A4952" i="1"/>
  <c r="A4951" i="1"/>
  <c r="A10616" i="1"/>
  <c r="A1123" i="1"/>
  <c r="A4950" i="1"/>
  <c r="A4949" i="1"/>
  <c r="A10615" i="1"/>
  <c r="A10614" i="1"/>
  <c r="A4948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4947" i="1"/>
  <c r="A10602" i="1"/>
  <c r="A10601" i="1"/>
  <c r="A4946" i="1"/>
  <c r="A10600" i="1"/>
  <c r="A4945" i="1"/>
  <c r="A10599" i="1"/>
  <c r="A10598" i="1"/>
  <c r="A4944" i="1"/>
  <c r="A4943" i="1"/>
  <c r="A10597" i="1"/>
  <c r="A4942" i="1"/>
  <c r="A4941" i="1"/>
  <c r="A10596" i="1"/>
  <c r="A10595" i="1"/>
  <c r="A4940" i="1"/>
  <c r="A10594" i="1"/>
  <c r="A10593" i="1"/>
  <c r="A4939" i="1"/>
  <c r="A10592" i="1"/>
  <c r="A4938" i="1"/>
  <c r="A10591" i="1"/>
  <c r="A4937" i="1"/>
  <c r="A10590" i="1"/>
  <c r="A10589" i="1"/>
  <c r="A10588" i="1"/>
  <c r="A4936" i="1"/>
  <c r="A4935" i="1"/>
  <c r="A4934" i="1"/>
  <c r="A10587" i="1"/>
  <c r="A4933" i="1"/>
  <c r="A4932" i="1"/>
  <c r="A10586" i="1"/>
  <c r="A10585" i="1"/>
  <c r="A4931" i="1"/>
  <c r="A4930" i="1"/>
  <c r="A10584" i="1"/>
  <c r="A634" i="1"/>
  <c r="A4929" i="1"/>
  <c r="A10583" i="1"/>
  <c r="A4928" i="1"/>
  <c r="A10582" i="1"/>
  <c r="A633" i="1"/>
  <c r="A10581" i="1"/>
  <c r="A10580" i="1"/>
  <c r="A10579" i="1"/>
  <c r="A10578" i="1"/>
  <c r="A10577" i="1"/>
  <c r="A10576" i="1"/>
  <c r="A10575" i="1"/>
  <c r="A10574" i="1"/>
  <c r="A10573" i="1"/>
  <c r="A632" i="1"/>
  <c r="A10572" i="1"/>
  <c r="A10571" i="1"/>
  <c r="A10570" i="1"/>
  <c r="A10569" i="1"/>
  <c r="A10568" i="1"/>
  <c r="A10567" i="1"/>
  <c r="A10566" i="1"/>
  <c r="A4927" i="1"/>
  <c r="A4926" i="1"/>
  <c r="A4925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631" i="1"/>
  <c r="A4924" i="1"/>
  <c r="A10552" i="1"/>
  <c r="A4923" i="1"/>
  <c r="A10551" i="1"/>
  <c r="A4922" i="1"/>
  <c r="A4921" i="1"/>
  <c r="A10550" i="1"/>
  <c r="A10549" i="1"/>
  <c r="A630" i="1"/>
  <c r="A10548" i="1"/>
  <c r="A4920" i="1"/>
  <c r="A10547" i="1"/>
  <c r="A4919" i="1"/>
  <c r="A4918" i="1"/>
  <c r="A4917" i="1"/>
  <c r="A10546" i="1"/>
  <c r="A4916" i="1"/>
  <c r="A4915" i="1"/>
  <c r="A4914" i="1"/>
  <c r="A10545" i="1"/>
  <c r="A10544" i="1"/>
  <c r="A10543" i="1"/>
  <c r="A10542" i="1"/>
  <c r="A10541" i="1"/>
  <c r="A4913" i="1"/>
  <c r="A4912" i="1"/>
  <c r="A10540" i="1"/>
  <c r="A10539" i="1"/>
  <c r="A10538" i="1"/>
  <c r="A10537" i="1"/>
  <c r="A1122" i="1"/>
  <c r="A1121" i="1"/>
  <c r="A4911" i="1"/>
  <c r="A4910" i="1"/>
  <c r="A10536" i="1"/>
  <c r="A10535" i="1"/>
  <c r="A4909" i="1"/>
  <c r="A4908" i="1"/>
  <c r="A10534" i="1"/>
  <c r="A10533" i="1"/>
  <c r="A10532" i="1"/>
  <c r="A4907" i="1"/>
  <c r="A10531" i="1"/>
  <c r="A629" i="1"/>
  <c r="A10530" i="1"/>
  <c r="A10529" i="1"/>
  <c r="A4906" i="1"/>
  <c r="A4905" i="1"/>
  <c r="A10528" i="1"/>
  <c r="A628" i="1"/>
  <c r="A10527" i="1"/>
  <c r="A10526" i="1"/>
  <c r="A10525" i="1"/>
  <c r="A1120" i="1"/>
  <c r="A10524" i="1"/>
  <c r="A1119" i="1"/>
  <c r="A10523" i="1"/>
  <c r="A10522" i="1"/>
  <c r="A10521" i="1"/>
  <c r="A10520" i="1"/>
  <c r="A10519" i="1"/>
  <c r="A10518" i="1"/>
  <c r="A10517" i="1"/>
  <c r="A10516" i="1"/>
  <c r="A10515" i="1"/>
  <c r="A10514" i="1"/>
  <c r="A4904" i="1"/>
  <c r="A10513" i="1"/>
  <c r="A10512" i="1"/>
  <c r="A10511" i="1"/>
  <c r="A10510" i="1"/>
  <c r="A10509" i="1"/>
  <c r="A4903" i="1"/>
  <c r="A10508" i="1"/>
  <c r="A627" i="1"/>
  <c r="A10507" i="1"/>
  <c r="A4902" i="1"/>
  <c r="A10506" i="1"/>
  <c r="A13786" i="1"/>
  <c r="A4901" i="1"/>
  <c r="A10505" i="1"/>
  <c r="A10504" i="1"/>
  <c r="A4900" i="1"/>
  <c r="A4899" i="1"/>
  <c r="A10503" i="1"/>
  <c r="A10502" i="1"/>
  <c r="A4898" i="1"/>
  <c r="A10501" i="1"/>
  <c r="A10500" i="1"/>
  <c r="A10499" i="1"/>
  <c r="A626" i="1"/>
  <c r="A10498" i="1"/>
  <c r="A4897" i="1"/>
  <c r="A10497" i="1"/>
  <c r="A10496" i="1"/>
  <c r="A4896" i="1"/>
  <c r="A10495" i="1"/>
  <c r="A10494" i="1"/>
  <c r="A10493" i="1"/>
  <c r="A4895" i="1"/>
  <c r="A1118" i="1"/>
  <c r="A10492" i="1"/>
  <c r="A10491" i="1"/>
  <c r="A10490" i="1"/>
  <c r="A10489" i="1"/>
  <c r="A10488" i="1"/>
  <c r="A10487" i="1"/>
  <c r="A4894" i="1"/>
  <c r="A4893" i="1"/>
  <c r="A4892" i="1"/>
  <c r="A10486" i="1"/>
  <c r="A4891" i="1"/>
  <c r="A10485" i="1"/>
  <c r="A10484" i="1"/>
  <c r="A10483" i="1"/>
  <c r="A4890" i="1"/>
  <c r="A4889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117" i="1"/>
  <c r="A10468" i="1"/>
  <c r="A10467" i="1"/>
  <c r="A10466" i="1"/>
  <c r="A10465" i="1"/>
  <c r="A10464" i="1"/>
  <c r="A4888" i="1"/>
  <c r="A10463" i="1"/>
  <c r="A4887" i="1"/>
  <c r="A10462" i="1"/>
  <c r="A4886" i="1"/>
  <c r="A10461" i="1"/>
  <c r="A4885" i="1"/>
  <c r="A4884" i="1"/>
  <c r="A1116" i="1"/>
  <c r="A1115" i="1"/>
  <c r="A10460" i="1"/>
  <c r="A4883" i="1"/>
  <c r="A10459" i="1"/>
  <c r="A10458" i="1"/>
  <c r="A10457" i="1"/>
  <c r="A10456" i="1"/>
  <c r="A10455" i="1"/>
  <c r="A4882" i="1"/>
  <c r="A10454" i="1"/>
  <c r="A10453" i="1"/>
  <c r="A10452" i="1"/>
  <c r="A10451" i="1"/>
  <c r="A10450" i="1"/>
  <c r="A10449" i="1"/>
  <c r="A10448" i="1"/>
  <c r="A10447" i="1"/>
  <c r="A4881" i="1"/>
  <c r="A10446" i="1"/>
  <c r="A10445" i="1"/>
  <c r="A10444" i="1"/>
  <c r="A10443" i="1"/>
  <c r="A10442" i="1"/>
  <c r="A4880" i="1"/>
  <c r="A4879" i="1"/>
  <c r="A10441" i="1"/>
  <c r="A4878" i="1"/>
  <c r="A10440" i="1"/>
  <c r="A4877" i="1"/>
  <c r="A4876" i="1"/>
  <c r="A10439" i="1"/>
  <c r="A625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4875" i="1"/>
  <c r="A10427" i="1"/>
  <c r="A10426" i="1"/>
  <c r="A4874" i="1"/>
  <c r="A1114" i="1"/>
  <c r="A4873" i="1"/>
  <c r="A4872" i="1"/>
  <c r="A4871" i="1"/>
  <c r="A10425" i="1"/>
  <c r="A4870" i="1"/>
  <c r="A4869" i="1"/>
  <c r="A4868" i="1"/>
  <c r="A10424" i="1"/>
  <c r="A4867" i="1"/>
  <c r="A10423" i="1"/>
  <c r="A10422" i="1"/>
  <c r="A10421" i="1"/>
  <c r="A10420" i="1"/>
  <c r="A624" i="1"/>
  <c r="A10419" i="1"/>
  <c r="A10418" i="1"/>
  <c r="A1113" i="1"/>
  <c r="A10417" i="1"/>
  <c r="A10416" i="1"/>
  <c r="A10415" i="1"/>
  <c r="A4866" i="1"/>
  <c r="A10414" i="1"/>
  <c r="A10413" i="1"/>
  <c r="A10412" i="1"/>
  <c r="A10411" i="1"/>
  <c r="A10410" i="1"/>
  <c r="A10409" i="1"/>
  <c r="A114" i="1"/>
  <c r="A10408" i="1"/>
  <c r="A10407" i="1"/>
  <c r="A10406" i="1"/>
  <c r="A10405" i="1"/>
  <c r="A10404" i="1"/>
  <c r="A623" i="1"/>
  <c r="A10403" i="1"/>
  <c r="A10402" i="1"/>
  <c r="A10401" i="1"/>
  <c r="A10400" i="1"/>
  <c r="A10399" i="1"/>
  <c r="A10398" i="1"/>
  <c r="A10397" i="1"/>
  <c r="A10396" i="1"/>
  <c r="A10395" i="1"/>
  <c r="A10394" i="1"/>
  <c r="A1112" i="1"/>
  <c r="A10393" i="1"/>
  <c r="A622" i="1"/>
  <c r="A10392" i="1"/>
  <c r="A10391" i="1"/>
  <c r="A10390" i="1"/>
  <c r="A10389" i="1"/>
  <c r="A10388" i="1"/>
  <c r="A10387" i="1"/>
  <c r="A4865" i="1"/>
  <c r="A10386" i="1"/>
  <c r="A4864" i="1"/>
  <c r="A1111" i="1"/>
  <c r="A10385" i="1"/>
  <c r="A10384" i="1"/>
  <c r="A10383" i="1"/>
  <c r="A4863" i="1"/>
  <c r="A4862" i="1"/>
  <c r="A10382" i="1"/>
  <c r="A10381" i="1"/>
  <c r="A10380" i="1"/>
  <c r="A10379" i="1"/>
  <c r="A4861" i="1"/>
  <c r="A4860" i="1"/>
  <c r="A1110" i="1"/>
  <c r="A10378" i="1"/>
  <c r="A1109" i="1"/>
  <c r="A10377" i="1"/>
  <c r="A4859" i="1"/>
  <c r="A4858" i="1"/>
  <c r="A10376" i="1"/>
  <c r="A10375" i="1"/>
  <c r="A10374" i="1"/>
  <c r="A10373" i="1"/>
  <c r="A10372" i="1"/>
  <c r="A621" i="1"/>
  <c r="A4857" i="1"/>
  <c r="A10371" i="1"/>
  <c r="A10370" i="1"/>
  <c r="A10369" i="1"/>
  <c r="A10368" i="1"/>
  <c r="A10367" i="1"/>
  <c r="A10366" i="1"/>
  <c r="A10365" i="1"/>
  <c r="A4856" i="1"/>
  <c r="A10364" i="1"/>
  <c r="A10363" i="1"/>
  <c r="A4855" i="1"/>
  <c r="A10362" i="1"/>
  <c r="A10361" i="1"/>
  <c r="A10360" i="1"/>
  <c r="A10359" i="1"/>
  <c r="A4854" i="1"/>
  <c r="A4853" i="1"/>
  <c r="A10358" i="1"/>
  <c r="A10357" i="1"/>
  <c r="A10356" i="1"/>
  <c r="A10355" i="1"/>
  <c r="A10354" i="1"/>
  <c r="A4852" i="1"/>
  <c r="A10353" i="1"/>
  <c r="A10352" i="1"/>
  <c r="A10351" i="1"/>
  <c r="A10350" i="1"/>
  <c r="A10349" i="1"/>
  <c r="A10348" i="1"/>
  <c r="A10347" i="1"/>
  <c r="A10346" i="1"/>
  <c r="A10345" i="1"/>
  <c r="A10344" i="1"/>
  <c r="A4851" i="1"/>
  <c r="A10343" i="1"/>
  <c r="A10342" i="1"/>
  <c r="A4850" i="1"/>
  <c r="A4849" i="1"/>
  <c r="A10341" i="1"/>
  <c r="A4848" i="1"/>
  <c r="A10340" i="1"/>
  <c r="A1108" i="1"/>
  <c r="A10339" i="1"/>
  <c r="A620" i="1"/>
  <c r="A1107" i="1"/>
  <c r="A4847" i="1"/>
  <c r="A10338" i="1"/>
  <c r="A10337" i="1"/>
  <c r="A1106" i="1"/>
  <c r="A4846" i="1"/>
  <c r="A10336" i="1"/>
  <c r="A10335" i="1"/>
  <c r="A4845" i="1"/>
  <c r="A10334" i="1"/>
  <c r="A4844" i="1"/>
  <c r="A10333" i="1"/>
  <c r="A4843" i="1"/>
  <c r="A4842" i="1"/>
  <c r="A4841" i="1"/>
  <c r="A10332" i="1"/>
  <c r="A4840" i="1"/>
  <c r="A4839" i="1"/>
  <c r="A10331" i="1"/>
  <c r="A619" i="1"/>
  <c r="A1105" i="1"/>
  <c r="A4838" i="1"/>
  <c r="A4837" i="1"/>
  <c r="A10330" i="1"/>
  <c r="A10329" i="1"/>
  <c r="A10328" i="1"/>
  <c r="A10327" i="1"/>
  <c r="A10326" i="1"/>
  <c r="A10325" i="1"/>
  <c r="A10324" i="1"/>
  <c r="A10323" i="1"/>
  <c r="A10322" i="1"/>
  <c r="A1104" i="1"/>
  <c r="A4836" i="1"/>
  <c r="A10321" i="1"/>
  <c r="A1103" i="1"/>
  <c r="A10320" i="1"/>
  <c r="A10319" i="1"/>
  <c r="A10318" i="1"/>
  <c r="A10317" i="1"/>
  <c r="A10316" i="1"/>
  <c r="A4835" i="1"/>
  <c r="A10315" i="1"/>
  <c r="A10314" i="1"/>
  <c r="A4834" i="1"/>
  <c r="A4833" i="1"/>
  <c r="A10313" i="1"/>
  <c r="A10312" i="1"/>
  <c r="A10311" i="1"/>
  <c r="A10310" i="1"/>
  <c r="A10309" i="1"/>
  <c r="A10308" i="1"/>
  <c r="A618" i="1"/>
  <c r="A10307" i="1"/>
  <c r="A10306" i="1"/>
  <c r="A10305" i="1"/>
  <c r="A10304" i="1"/>
  <c r="A10303" i="1"/>
  <c r="A10302" i="1"/>
  <c r="A1102" i="1"/>
  <c r="A10301" i="1"/>
  <c r="A10300" i="1"/>
  <c r="A1101" i="1"/>
  <c r="A4832" i="1"/>
  <c r="A10299" i="1"/>
  <c r="A10298" i="1"/>
  <c r="A10297" i="1"/>
  <c r="A617" i="1"/>
  <c r="A10296" i="1"/>
  <c r="A10295" i="1"/>
  <c r="A10294" i="1"/>
  <c r="A10293" i="1"/>
  <c r="A10292" i="1"/>
  <c r="A4831" i="1"/>
  <c r="A10291" i="1"/>
  <c r="A4830" i="1"/>
  <c r="A4829" i="1"/>
  <c r="A616" i="1"/>
  <c r="A10290" i="1"/>
  <c r="A10289" i="1"/>
  <c r="A10288" i="1"/>
  <c r="A10287" i="1"/>
  <c r="A4828" i="1"/>
  <c r="A4827" i="1"/>
  <c r="A4826" i="1"/>
  <c r="A10286" i="1"/>
  <c r="A10285" i="1"/>
  <c r="A10284" i="1"/>
  <c r="A10283" i="1"/>
  <c r="A10282" i="1"/>
  <c r="A10281" i="1"/>
  <c r="A10280" i="1"/>
  <c r="A10279" i="1"/>
  <c r="A10278" i="1"/>
  <c r="A1100" i="1"/>
  <c r="A4825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99" i="1"/>
  <c r="A10262" i="1"/>
  <c r="A10261" i="1"/>
  <c r="A4824" i="1"/>
  <c r="A10260" i="1"/>
  <c r="A10259" i="1"/>
  <c r="A10258" i="1"/>
  <c r="A10257" i="1"/>
  <c r="A10256" i="1"/>
  <c r="A10255" i="1"/>
  <c r="A4823" i="1"/>
  <c r="A4822" i="1"/>
  <c r="A1098" i="1"/>
  <c r="A10254" i="1"/>
  <c r="A10253" i="1"/>
  <c r="A615" i="1"/>
  <c r="A4821" i="1"/>
  <c r="A10252" i="1"/>
  <c r="A10251" i="1"/>
  <c r="A10250" i="1"/>
  <c r="A10249" i="1"/>
  <c r="A4820" i="1"/>
  <c r="A10248" i="1"/>
  <c r="A10247" i="1"/>
  <c r="A4819" i="1"/>
  <c r="A4818" i="1"/>
  <c r="A1097" i="1"/>
  <c r="A4817" i="1"/>
  <c r="A4816" i="1"/>
  <c r="A10246" i="1"/>
  <c r="A10245" i="1"/>
  <c r="A4815" i="1"/>
  <c r="A10244" i="1"/>
  <c r="A4814" i="1"/>
  <c r="A4813" i="1"/>
  <c r="A614" i="1"/>
  <c r="A10243" i="1"/>
  <c r="A10242" i="1"/>
  <c r="A10241" i="1"/>
  <c r="A613" i="1"/>
  <c r="A10240" i="1"/>
  <c r="A10239" i="1"/>
  <c r="A10238" i="1"/>
  <c r="A612" i="1"/>
  <c r="A10237" i="1"/>
  <c r="A10236" i="1"/>
  <c r="A10235" i="1"/>
  <c r="A10234" i="1"/>
  <c r="A4812" i="1"/>
  <c r="A10233" i="1"/>
  <c r="A4811" i="1"/>
  <c r="A10232" i="1"/>
  <c r="A4810" i="1"/>
  <c r="A4809" i="1"/>
  <c r="A10231" i="1"/>
  <c r="A4808" i="1"/>
  <c r="A10230" i="1"/>
  <c r="A10229" i="1"/>
  <c r="A10228" i="1"/>
  <c r="A10227" i="1"/>
  <c r="A10226" i="1"/>
  <c r="A10225" i="1"/>
  <c r="A10224" i="1"/>
  <c r="A4807" i="1"/>
  <c r="A10223" i="1"/>
  <c r="A10222" i="1"/>
  <c r="A4806" i="1"/>
  <c r="A10221" i="1"/>
  <c r="A4805" i="1"/>
  <c r="A10220" i="1"/>
  <c r="A10219" i="1"/>
  <c r="A10218" i="1"/>
  <c r="A4804" i="1"/>
  <c r="A10217" i="1"/>
  <c r="A611" i="1"/>
  <c r="A1096" i="1"/>
  <c r="A4803" i="1"/>
  <c r="A10216" i="1"/>
  <c r="A610" i="1"/>
  <c r="A609" i="1"/>
  <c r="A4802" i="1"/>
  <c r="A10215" i="1"/>
  <c r="A10214" i="1"/>
  <c r="A4801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4800" i="1"/>
  <c r="A4799" i="1"/>
  <c r="A10202" i="1"/>
  <c r="A10201" i="1"/>
  <c r="A10200" i="1"/>
  <c r="A10199" i="1"/>
  <c r="A10198" i="1"/>
  <c r="A4798" i="1"/>
  <c r="A10197" i="1"/>
  <c r="A4797" i="1"/>
  <c r="A4796" i="1"/>
  <c r="A10196" i="1"/>
  <c r="A10195" i="1"/>
  <c r="A10194" i="1"/>
  <c r="A10193" i="1"/>
  <c r="A10192" i="1"/>
  <c r="A10191" i="1"/>
  <c r="A608" i="1"/>
  <c r="A10190" i="1"/>
  <c r="A4795" i="1"/>
  <c r="A4794" i="1"/>
  <c r="A4793" i="1"/>
  <c r="A10189" i="1"/>
  <c r="A10188" i="1"/>
  <c r="A4792" i="1"/>
  <c r="A10187" i="1"/>
  <c r="A10186" i="1"/>
  <c r="A10185" i="1"/>
  <c r="A4791" i="1"/>
  <c r="A10184" i="1"/>
  <c r="A10183" i="1"/>
  <c r="A10182" i="1"/>
  <c r="A10181" i="1"/>
  <c r="A4790" i="1"/>
  <c r="A4789" i="1"/>
  <c r="A10180" i="1"/>
  <c r="A4788" i="1"/>
  <c r="A10179" i="1"/>
  <c r="A4787" i="1"/>
  <c r="A607" i="1"/>
  <c r="A10178" i="1"/>
  <c r="A10177" i="1"/>
  <c r="A10176" i="1"/>
  <c r="A606" i="1"/>
  <c r="A1095" i="1"/>
  <c r="A10175" i="1"/>
  <c r="A4786" i="1"/>
  <c r="A10174" i="1"/>
  <c r="A10173" i="1"/>
  <c r="A10172" i="1"/>
  <c r="A10171" i="1"/>
  <c r="A10170" i="1"/>
  <c r="A10169" i="1"/>
  <c r="A10168" i="1"/>
  <c r="A10167" i="1"/>
  <c r="A4785" i="1"/>
  <c r="A10166" i="1"/>
  <c r="A10165" i="1"/>
  <c r="A10164" i="1"/>
  <c r="A10163" i="1"/>
  <c r="A10162" i="1"/>
  <c r="A16" i="1"/>
  <c r="A605" i="1"/>
  <c r="A10161" i="1"/>
  <c r="A10160" i="1"/>
  <c r="A10159" i="1"/>
  <c r="A10158" i="1"/>
  <c r="A10157" i="1"/>
  <c r="A604" i="1"/>
  <c r="A31" i="1"/>
  <c r="A10156" i="1"/>
  <c r="A10155" i="1"/>
  <c r="A4784" i="1"/>
  <c r="A10154" i="1"/>
  <c r="A4783" i="1"/>
  <c r="A10153" i="1"/>
  <c r="A4782" i="1"/>
  <c r="A4781" i="1"/>
  <c r="A30" i="1"/>
  <c r="A10152" i="1"/>
  <c r="A4780" i="1"/>
  <c r="A10151" i="1"/>
  <c r="A10150" i="1"/>
  <c r="A10149" i="1"/>
  <c r="A4779" i="1"/>
  <c r="A4778" i="1"/>
  <c r="A4777" i="1"/>
  <c r="A10148" i="1"/>
  <c r="A10147" i="1"/>
  <c r="A10146" i="1"/>
  <c r="A10145" i="1"/>
  <c r="A1094" i="1"/>
  <c r="A10144" i="1"/>
  <c r="A10143" i="1"/>
  <c r="A10142" i="1"/>
  <c r="A10141" i="1"/>
  <c r="A10140" i="1"/>
  <c r="A10139" i="1"/>
  <c r="A10138" i="1"/>
  <c r="A4776" i="1"/>
  <c r="A4775" i="1"/>
  <c r="A10137" i="1"/>
  <c r="A10136" i="1"/>
  <c r="A10135" i="1"/>
  <c r="A10134" i="1"/>
  <c r="A10133" i="1"/>
  <c r="A10132" i="1"/>
  <c r="A10131" i="1"/>
  <c r="A4774" i="1"/>
  <c r="A4773" i="1"/>
  <c r="A4772" i="1"/>
  <c r="A4771" i="1"/>
  <c r="A10130" i="1"/>
  <c r="A4770" i="1"/>
  <c r="A10129" i="1"/>
  <c r="A10128" i="1"/>
  <c r="A10127" i="1"/>
  <c r="A4769" i="1"/>
  <c r="A603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4768" i="1"/>
  <c r="A4767" i="1"/>
  <c r="A10107" i="1"/>
  <c r="A1093" i="1"/>
  <c r="A10106" i="1"/>
  <c r="A10105" i="1"/>
  <c r="A10104" i="1"/>
  <c r="A10103" i="1"/>
  <c r="A10102" i="1"/>
  <c r="A602" i="1"/>
  <c r="A10101" i="1"/>
  <c r="A1092" i="1"/>
  <c r="A10100" i="1"/>
  <c r="A10099" i="1"/>
  <c r="A10098" i="1"/>
  <c r="A4766" i="1"/>
  <c r="A601" i="1"/>
  <c r="A10097" i="1"/>
  <c r="A10096" i="1"/>
  <c r="A10095" i="1"/>
  <c r="A4765" i="1"/>
  <c r="A10094" i="1"/>
  <c r="A10093" i="1"/>
  <c r="A10092" i="1"/>
  <c r="A10091" i="1"/>
  <c r="A1091" i="1"/>
  <c r="A4764" i="1"/>
  <c r="A4763" i="1"/>
  <c r="A10090" i="1"/>
  <c r="A4762" i="1"/>
  <c r="A4761" i="1"/>
  <c r="A10089" i="1"/>
  <c r="A10088" i="1"/>
  <c r="A4760" i="1"/>
  <c r="A4759" i="1"/>
  <c r="A10087" i="1"/>
  <c r="A10086" i="1"/>
  <c r="A4758" i="1"/>
  <c r="A10085" i="1"/>
  <c r="A600" i="1"/>
  <c r="A10084" i="1"/>
  <c r="A4757" i="1"/>
  <c r="A10083" i="1"/>
  <c r="A10082" i="1"/>
  <c r="A10081" i="1"/>
  <c r="A10080" i="1"/>
  <c r="A10079" i="1"/>
  <c r="A10078" i="1"/>
  <c r="A4756" i="1"/>
  <c r="A4755" i="1"/>
  <c r="A4754" i="1"/>
  <c r="A1090" i="1"/>
  <c r="A10077" i="1"/>
  <c r="A10076" i="1"/>
  <c r="A4753" i="1"/>
  <c r="A1089" i="1"/>
  <c r="A10075" i="1"/>
  <c r="A4752" i="1"/>
  <c r="A599" i="1"/>
  <c r="A10074" i="1"/>
  <c r="A4751" i="1"/>
  <c r="A4750" i="1"/>
  <c r="A10073" i="1"/>
  <c r="A10072" i="1"/>
  <c r="A4749" i="1"/>
  <c r="A10071" i="1"/>
  <c r="A10070" i="1"/>
  <c r="A10069" i="1"/>
  <c r="A10068" i="1"/>
  <c r="A10067" i="1"/>
  <c r="A10066" i="1"/>
  <c r="A10065" i="1"/>
  <c r="A10064" i="1"/>
  <c r="A10063" i="1"/>
  <c r="A4748" i="1"/>
  <c r="A10062" i="1"/>
  <c r="A10061" i="1"/>
  <c r="A4747" i="1"/>
  <c r="A10060" i="1"/>
  <c r="A4746" i="1"/>
  <c r="A4745" i="1"/>
  <c r="A1088" i="1"/>
  <c r="A10059" i="1"/>
  <c r="A10058" i="1"/>
  <c r="A10057" i="1"/>
  <c r="A10056" i="1"/>
  <c r="A4744" i="1"/>
  <c r="A10055" i="1"/>
  <c r="A10054" i="1"/>
  <c r="A10053" i="1"/>
  <c r="A10052" i="1"/>
  <c r="A4743" i="1"/>
  <c r="A10051" i="1"/>
  <c r="A10050" i="1"/>
  <c r="A10049" i="1"/>
  <c r="A4742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598" i="1"/>
  <c r="A10034" i="1"/>
  <c r="A10033" i="1"/>
  <c r="A4741" i="1"/>
  <c r="A10032" i="1"/>
  <c r="A10031" i="1"/>
  <c r="A4740" i="1"/>
  <c r="A10030" i="1"/>
  <c r="A10029" i="1"/>
  <c r="A10028" i="1"/>
  <c r="A10027" i="1"/>
  <c r="A10026" i="1"/>
  <c r="A10025" i="1"/>
  <c r="A10024" i="1"/>
  <c r="A10023" i="1"/>
  <c r="A10022" i="1"/>
  <c r="A10021" i="1"/>
  <c r="A597" i="1"/>
  <c r="A10020" i="1"/>
  <c r="A4739" i="1"/>
  <c r="A10019" i="1"/>
  <c r="A10018" i="1"/>
  <c r="A4738" i="1"/>
  <c r="A10017" i="1"/>
  <c r="A13791" i="1"/>
  <c r="A10016" i="1"/>
  <c r="A10015" i="1"/>
  <c r="A10014" i="1"/>
  <c r="A4737" i="1"/>
  <c r="A10013" i="1"/>
  <c r="A10012" i="1"/>
  <c r="A10011" i="1"/>
  <c r="A10010" i="1"/>
  <c r="A10009" i="1"/>
  <c r="A10008" i="1"/>
  <c r="A10007" i="1"/>
  <c r="A10006" i="1"/>
  <c r="A10005" i="1"/>
  <c r="A4736" i="1"/>
  <c r="A10004" i="1"/>
  <c r="A10003" i="1"/>
  <c r="A596" i="1"/>
  <c r="A10002" i="1"/>
  <c r="A10001" i="1"/>
  <c r="A4735" i="1"/>
  <c r="A4734" i="1"/>
  <c r="A4733" i="1"/>
  <c r="A10000" i="1"/>
  <c r="A9999" i="1"/>
  <c r="A9998" i="1"/>
  <c r="A4732" i="1"/>
  <c r="A9997" i="1"/>
  <c r="A9996" i="1"/>
  <c r="A4731" i="1"/>
  <c r="A4730" i="1"/>
  <c r="A9995" i="1"/>
  <c r="A9994" i="1"/>
  <c r="A9993" i="1"/>
  <c r="A9992" i="1"/>
  <c r="A9991" i="1"/>
  <c r="A4729" i="1"/>
  <c r="A9990" i="1"/>
  <c r="A9989" i="1"/>
  <c r="A9988" i="1"/>
  <c r="A9987" i="1"/>
  <c r="A4728" i="1"/>
  <c r="A4727" i="1"/>
  <c r="A9986" i="1"/>
  <c r="A9985" i="1"/>
  <c r="A9984" i="1"/>
  <c r="A9983" i="1"/>
  <c r="A4726" i="1"/>
  <c r="A9982" i="1"/>
  <c r="A9981" i="1"/>
  <c r="A9980" i="1"/>
  <c r="A9979" i="1"/>
  <c r="A4725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4724" i="1"/>
  <c r="A9963" i="1"/>
  <c r="A9962" i="1"/>
  <c r="A9961" i="1"/>
  <c r="A9960" i="1"/>
  <c r="A9959" i="1"/>
  <c r="A9958" i="1"/>
  <c r="A9957" i="1"/>
  <c r="A9956" i="1"/>
  <c r="A9955" i="1"/>
  <c r="A9954" i="1"/>
  <c r="A4723" i="1"/>
  <c r="A9953" i="1"/>
  <c r="A9952" i="1"/>
  <c r="A9951" i="1"/>
  <c r="A9950" i="1"/>
  <c r="A9949" i="1"/>
  <c r="A9948" i="1"/>
  <c r="A9947" i="1"/>
  <c r="A9946" i="1"/>
  <c r="A4722" i="1"/>
  <c r="A4721" i="1"/>
  <c r="A595" i="1"/>
  <c r="A9945" i="1"/>
  <c r="A9944" i="1"/>
  <c r="A9943" i="1"/>
  <c r="A9942" i="1"/>
  <c r="A4720" i="1"/>
  <c r="A4719" i="1"/>
  <c r="A9941" i="1"/>
  <c r="A9940" i="1"/>
  <c r="A9939" i="1"/>
  <c r="A4718" i="1"/>
  <c r="A4717" i="1"/>
  <c r="A9938" i="1"/>
  <c r="A9937" i="1"/>
  <c r="A4716" i="1"/>
  <c r="A9936" i="1"/>
  <c r="A9935" i="1"/>
  <c r="A9934" i="1"/>
  <c r="A9933" i="1"/>
  <c r="A9932" i="1"/>
  <c r="A9931" i="1"/>
  <c r="A4715" i="1"/>
  <c r="A4714" i="1"/>
  <c r="A9930" i="1"/>
  <c r="A4713" i="1"/>
  <c r="A9929" i="1"/>
  <c r="A9928" i="1"/>
  <c r="A9927" i="1"/>
  <c r="A9926" i="1"/>
  <c r="A9925" i="1"/>
  <c r="A4712" i="1"/>
  <c r="A9924" i="1"/>
  <c r="A9923" i="1"/>
  <c r="A9922" i="1"/>
  <c r="A9921" i="1"/>
  <c r="A9920" i="1"/>
  <c r="A9919" i="1"/>
  <c r="A4711" i="1"/>
  <c r="A9918" i="1"/>
  <c r="A9917" i="1"/>
  <c r="A9916" i="1"/>
  <c r="A9915" i="1"/>
  <c r="A9914" i="1"/>
  <c r="A9913" i="1"/>
  <c r="A594" i="1"/>
  <c r="A9912" i="1"/>
  <c r="A9911" i="1"/>
  <c r="A4710" i="1"/>
  <c r="A9910" i="1"/>
  <c r="A4709" i="1"/>
  <c r="A9909" i="1"/>
  <c r="A9908" i="1"/>
  <c r="A9907" i="1"/>
  <c r="A9906" i="1"/>
  <c r="A9905" i="1"/>
  <c r="A9904" i="1"/>
  <c r="A1087" i="1"/>
  <c r="A1086" i="1"/>
  <c r="A9903" i="1"/>
  <c r="A4708" i="1"/>
  <c r="A4707" i="1"/>
  <c r="A9902" i="1"/>
  <c r="A4706" i="1"/>
  <c r="A9901" i="1"/>
  <c r="A9900" i="1"/>
  <c r="A9899" i="1"/>
  <c r="A9898" i="1"/>
  <c r="A4705" i="1"/>
  <c r="A1085" i="1"/>
  <c r="A9897" i="1"/>
  <c r="A9896" i="1"/>
  <c r="A9895" i="1"/>
  <c r="A4704" i="1"/>
  <c r="A13790" i="1"/>
  <c r="A9894" i="1"/>
  <c r="A9893" i="1"/>
  <c r="A4703" i="1"/>
  <c r="A9892" i="1"/>
  <c r="A4702" i="1"/>
  <c r="A9891" i="1"/>
  <c r="A9890" i="1"/>
  <c r="A4701" i="1"/>
  <c r="A9889" i="1"/>
  <c r="A4700" i="1"/>
  <c r="A9888" i="1"/>
  <c r="A9887" i="1"/>
  <c r="A9886" i="1"/>
  <c r="A9885" i="1"/>
  <c r="A9884" i="1"/>
  <c r="A9883" i="1"/>
  <c r="A9882" i="1"/>
  <c r="A9881" i="1"/>
  <c r="A9880" i="1"/>
  <c r="A9879" i="1"/>
  <c r="A593" i="1"/>
  <c r="A4699" i="1"/>
  <c r="A9878" i="1"/>
  <c r="A9877" i="1"/>
  <c r="A4698" i="1"/>
  <c r="A1084" i="1"/>
  <c r="A9876" i="1"/>
  <c r="A9875" i="1"/>
  <c r="A9874" i="1"/>
  <c r="A9873" i="1"/>
  <c r="A4697" i="1"/>
  <c r="A9872" i="1"/>
  <c r="A9871" i="1"/>
  <c r="A9870" i="1"/>
  <c r="A9869" i="1"/>
  <c r="A9868" i="1"/>
  <c r="A9867" i="1"/>
  <c r="A9866" i="1"/>
  <c r="A4696" i="1"/>
  <c r="A9865" i="1"/>
  <c r="A9864" i="1"/>
  <c r="A9863" i="1"/>
  <c r="A9862" i="1"/>
  <c r="A4695" i="1"/>
  <c r="A9861" i="1"/>
  <c r="A70" i="1"/>
  <c r="A4694" i="1"/>
  <c r="A4693" i="1"/>
  <c r="A9860" i="1"/>
  <c r="A9859" i="1"/>
  <c r="A9858" i="1"/>
  <c r="A9857" i="1"/>
  <c r="A9856" i="1"/>
  <c r="A4692" i="1"/>
  <c r="A9855" i="1"/>
  <c r="A9854" i="1"/>
  <c r="A9853" i="1"/>
  <c r="A9852" i="1"/>
  <c r="A9851" i="1"/>
  <c r="A4691" i="1"/>
  <c r="A9850" i="1"/>
  <c r="A4690" i="1"/>
  <c r="A9849" i="1"/>
  <c r="A9848" i="1"/>
  <c r="A4689" i="1"/>
  <c r="A9847" i="1"/>
  <c r="A9846" i="1"/>
  <c r="A9845" i="1"/>
  <c r="A9844" i="1"/>
  <c r="A9843" i="1"/>
  <c r="A9842" i="1"/>
  <c r="A1083" i="1"/>
  <c r="A9841" i="1"/>
  <c r="A9840" i="1"/>
  <c r="A9839" i="1"/>
  <c r="A9838" i="1"/>
  <c r="A9837" i="1"/>
  <c r="A9836" i="1"/>
  <c r="A9835" i="1"/>
  <c r="A9834" i="1"/>
  <c r="A9833" i="1"/>
  <c r="A9832" i="1"/>
  <c r="A4688" i="1"/>
  <c r="A9831" i="1"/>
  <c r="A9830" i="1"/>
  <c r="A9829" i="1"/>
  <c r="A9828" i="1"/>
  <c r="A4687" i="1"/>
  <c r="A4686" i="1"/>
  <c r="A9827" i="1"/>
  <c r="A9826" i="1"/>
  <c r="A9825" i="1"/>
  <c r="A9824" i="1"/>
  <c r="A9823" i="1"/>
  <c r="A592" i="1"/>
  <c r="A4685" i="1"/>
  <c r="A9822" i="1"/>
  <c r="A9821" i="1"/>
  <c r="A1082" i="1"/>
  <c r="A9820" i="1"/>
  <c r="A4684" i="1"/>
  <c r="A9819" i="1"/>
  <c r="A9818" i="1"/>
  <c r="A9817" i="1"/>
  <c r="A9816" i="1"/>
  <c r="A9815" i="1"/>
  <c r="A9814" i="1"/>
  <c r="A9813" i="1"/>
  <c r="A9812" i="1"/>
  <c r="A9811" i="1"/>
  <c r="A4683" i="1"/>
  <c r="A9810" i="1"/>
  <c r="A9809" i="1"/>
  <c r="A4682" i="1"/>
  <c r="A4681" i="1"/>
  <c r="A9808" i="1"/>
  <c r="A9807" i="1"/>
  <c r="A9806" i="1"/>
  <c r="A9805" i="1"/>
  <c r="A9804" i="1"/>
  <c r="A4680" i="1"/>
  <c r="A4679" i="1"/>
  <c r="A9803" i="1"/>
  <c r="A9802" i="1"/>
  <c r="A9801" i="1"/>
  <c r="A9800" i="1"/>
  <c r="A9799" i="1"/>
  <c r="A9798" i="1"/>
  <c r="A9797" i="1"/>
  <c r="A4678" i="1"/>
  <c r="A4677" i="1"/>
  <c r="A4676" i="1"/>
  <c r="A9796" i="1"/>
  <c r="A9795" i="1"/>
  <c r="A9794" i="1"/>
  <c r="A4675" i="1"/>
  <c r="A4674" i="1"/>
  <c r="A9793" i="1"/>
  <c r="A9792" i="1"/>
  <c r="A9791" i="1"/>
  <c r="A9790" i="1"/>
  <c r="A9789" i="1"/>
  <c r="A9788" i="1"/>
  <c r="A113" i="1"/>
  <c r="A9787" i="1"/>
  <c r="A9786" i="1"/>
  <c r="A4673" i="1"/>
  <c r="A9785" i="1"/>
  <c r="A9784" i="1"/>
  <c r="A591" i="1"/>
  <c r="A9783" i="1"/>
  <c r="A9782" i="1"/>
  <c r="A590" i="1"/>
  <c r="A9781" i="1"/>
  <c r="A9780" i="1"/>
  <c r="A9779" i="1"/>
  <c r="A589" i="1"/>
  <c r="A9778" i="1"/>
  <c r="A4672" i="1"/>
  <c r="A9777" i="1"/>
  <c r="A9776" i="1"/>
  <c r="A9775" i="1"/>
  <c r="A588" i="1"/>
  <c r="A9774" i="1"/>
  <c r="A9773" i="1"/>
  <c r="A9772" i="1"/>
  <c r="A587" i="1"/>
  <c r="A4671" i="1"/>
  <c r="A9771" i="1"/>
  <c r="A1081" i="1"/>
  <c r="A4670" i="1"/>
  <c r="A9770" i="1"/>
  <c r="A586" i="1"/>
  <c r="A9769" i="1"/>
  <c r="A9768" i="1"/>
  <c r="A9767" i="1"/>
  <c r="A1080" i="1"/>
  <c r="A4669" i="1"/>
  <c r="A4668" i="1"/>
  <c r="A9766" i="1"/>
  <c r="A4667" i="1"/>
  <c r="A9765" i="1"/>
  <c r="A9764" i="1"/>
  <c r="A4666" i="1"/>
  <c r="A9763" i="1"/>
  <c r="A9762" i="1"/>
  <c r="A4665" i="1"/>
  <c r="A9761" i="1"/>
  <c r="A4664" i="1"/>
  <c r="A4663" i="1"/>
  <c r="A4662" i="1"/>
  <c r="A585" i="1"/>
  <c r="A9760" i="1"/>
  <c r="A4661" i="1"/>
  <c r="A9759" i="1"/>
  <c r="A9758" i="1"/>
  <c r="A9757" i="1"/>
  <c r="A9756" i="1"/>
  <c r="A9755" i="1"/>
  <c r="A4660" i="1"/>
  <c r="A4659" i="1"/>
  <c r="A9754" i="1"/>
  <c r="A9753" i="1"/>
  <c r="A9752" i="1"/>
  <c r="A9751" i="1"/>
  <c r="A4658" i="1"/>
  <c r="A9750" i="1"/>
  <c r="A9749" i="1"/>
  <c r="A9748" i="1"/>
  <c r="A4657" i="1"/>
  <c r="A9747" i="1"/>
  <c r="A1079" i="1"/>
  <c r="A9746" i="1"/>
  <c r="A9745" i="1"/>
  <c r="A4656" i="1"/>
  <c r="A9744" i="1"/>
  <c r="A9743" i="1"/>
  <c r="A9742" i="1"/>
  <c r="A9741" i="1"/>
  <c r="A9740" i="1"/>
  <c r="A9739" i="1"/>
  <c r="A9738" i="1"/>
  <c r="A9737" i="1"/>
  <c r="A4655" i="1"/>
  <c r="A9736" i="1"/>
  <c r="A50" i="1"/>
  <c r="A9735" i="1"/>
  <c r="A9734" i="1"/>
  <c r="A9733" i="1"/>
  <c r="A9732" i="1"/>
  <c r="A9731" i="1"/>
  <c r="A9730" i="1"/>
  <c r="A9729" i="1"/>
  <c r="A4654" i="1"/>
  <c r="A9728" i="1"/>
  <c r="A4653" i="1"/>
  <c r="A4652" i="1"/>
  <c r="A9727" i="1"/>
  <c r="A9726" i="1"/>
  <c r="A9725" i="1"/>
  <c r="A9724" i="1"/>
  <c r="A584" i="1"/>
  <c r="A583" i="1"/>
  <c r="A9723" i="1"/>
  <c r="A9722" i="1"/>
  <c r="A4651" i="1"/>
  <c r="A4650" i="1"/>
  <c r="A9721" i="1"/>
  <c r="A4649" i="1"/>
  <c r="A9720" i="1"/>
  <c r="A4648" i="1"/>
  <c r="A9719" i="1"/>
  <c r="A1078" i="1"/>
  <c r="A9718" i="1"/>
  <c r="A9717" i="1"/>
  <c r="A4647" i="1"/>
  <c r="A4646" i="1"/>
  <c r="A4645" i="1"/>
  <c r="A9716" i="1"/>
  <c r="A9715" i="1"/>
  <c r="A9714" i="1"/>
  <c r="A9713" i="1"/>
  <c r="A9712" i="1"/>
  <c r="A4644" i="1"/>
  <c r="A1077" i="1"/>
  <c r="A9711" i="1"/>
  <c r="A9710" i="1"/>
  <c r="A4643" i="1"/>
  <c r="A9709" i="1"/>
  <c r="A9708" i="1"/>
  <c r="A9707" i="1"/>
  <c r="A9706" i="1"/>
  <c r="A9705" i="1"/>
  <c r="A1076" i="1"/>
  <c r="A9704" i="1"/>
  <c r="A9703" i="1"/>
  <c r="A9702" i="1"/>
  <c r="A9701" i="1"/>
  <c r="A9700" i="1"/>
  <c r="A9699" i="1"/>
  <c r="A9698" i="1"/>
  <c r="A9697" i="1"/>
  <c r="A582" i="1"/>
  <c r="A9696" i="1"/>
  <c r="A9695" i="1"/>
  <c r="A581" i="1"/>
  <c r="A9694" i="1"/>
  <c r="A9693" i="1"/>
  <c r="A9692" i="1"/>
  <c r="A9691" i="1"/>
  <c r="A9690" i="1"/>
  <c r="A1075" i="1"/>
  <c r="A9689" i="1"/>
  <c r="A9688" i="1"/>
  <c r="A9687" i="1"/>
  <c r="A9686" i="1"/>
  <c r="A9685" i="1"/>
  <c r="A4642" i="1"/>
  <c r="A9684" i="1"/>
  <c r="A9683" i="1"/>
  <c r="A9682" i="1"/>
  <c r="A9681" i="1"/>
  <c r="A9680" i="1"/>
  <c r="A9679" i="1"/>
  <c r="A9678" i="1"/>
  <c r="A4641" i="1"/>
  <c r="A4640" i="1"/>
  <c r="A4639" i="1"/>
  <c r="A9677" i="1"/>
  <c r="A9676" i="1"/>
  <c r="A9675" i="1"/>
  <c r="A1074" i="1"/>
  <c r="A9674" i="1"/>
  <c r="A4638" i="1"/>
  <c r="A4637" i="1"/>
  <c r="A4636" i="1"/>
  <c r="A9673" i="1"/>
  <c r="A13785" i="1"/>
  <c r="A9672" i="1"/>
  <c r="A9671" i="1"/>
  <c r="A112" i="1"/>
  <c r="A4635" i="1"/>
  <c r="A9670" i="1"/>
  <c r="A9669" i="1"/>
  <c r="A9668" i="1"/>
  <c r="A9667" i="1"/>
  <c r="A9666" i="1"/>
  <c r="A9665" i="1"/>
  <c r="A9664" i="1"/>
  <c r="A4634" i="1"/>
  <c r="A4633" i="1"/>
  <c r="A580" i="1"/>
  <c r="A579" i="1"/>
  <c r="A9663" i="1"/>
  <c r="A4632" i="1"/>
  <c r="A4631" i="1"/>
  <c r="A9662" i="1"/>
  <c r="A9661" i="1"/>
  <c r="A9660" i="1"/>
  <c r="A9659" i="1"/>
  <c r="A578" i="1"/>
  <c r="A577" i="1"/>
  <c r="A576" i="1"/>
  <c r="A575" i="1"/>
  <c r="A9658" i="1"/>
  <c r="A574" i="1"/>
  <c r="A573" i="1"/>
  <c r="A572" i="1"/>
  <c r="A571" i="1"/>
  <c r="A570" i="1"/>
  <c r="A569" i="1"/>
  <c r="A568" i="1"/>
  <c r="A9657" i="1"/>
  <c r="A567" i="1"/>
  <c r="A566" i="1"/>
  <c r="A565" i="1"/>
  <c r="A9656" i="1"/>
  <c r="A9655" i="1"/>
  <c r="A9654" i="1"/>
  <c r="A9653" i="1"/>
  <c r="A9652" i="1"/>
  <c r="A4630" i="1"/>
  <c r="A9651" i="1"/>
  <c r="A9650" i="1"/>
  <c r="A9649" i="1"/>
  <c r="A9648" i="1"/>
  <c r="A1073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1072" i="1"/>
  <c r="A4629" i="1"/>
  <c r="A9625" i="1"/>
  <c r="A9624" i="1"/>
  <c r="A9623" i="1"/>
  <c r="A4628" i="1"/>
  <c r="A9622" i="1"/>
  <c r="A4627" i="1"/>
  <c r="A9621" i="1"/>
  <c r="A9620" i="1"/>
  <c r="A4626" i="1"/>
  <c r="A9619" i="1"/>
  <c r="A9618" i="1"/>
  <c r="A9617" i="1"/>
  <c r="A69" i="1"/>
  <c r="A13784" i="1"/>
  <c r="A9616" i="1"/>
  <c r="A9615" i="1"/>
  <c r="A4625" i="1"/>
  <c r="A9614" i="1"/>
  <c r="A9613" i="1"/>
  <c r="A4624" i="1"/>
  <c r="A4623" i="1"/>
  <c r="A9612" i="1"/>
  <c r="A9611" i="1"/>
  <c r="A4622" i="1"/>
  <c r="A4621" i="1"/>
  <c r="A9610" i="1"/>
  <c r="A9609" i="1"/>
  <c r="A564" i="1"/>
  <c r="A9608" i="1"/>
  <c r="A9607" i="1"/>
  <c r="A9606" i="1"/>
  <c r="A9605" i="1"/>
  <c r="A9604" i="1"/>
  <c r="A9603" i="1"/>
  <c r="A4620" i="1"/>
  <c r="A9602" i="1"/>
  <c r="A563" i="1"/>
  <c r="A9601" i="1"/>
  <c r="A9600" i="1"/>
  <c r="A4619" i="1"/>
  <c r="A68" i="1"/>
  <c r="A9599" i="1"/>
  <c r="A9598" i="1"/>
  <c r="A9597" i="1"/>
  <c r="A9596" i="1"/>
  <c r="A9595" i="1"/>
  <c r="A9594" i="1"/>
  <c r="A9593" i="1"/>
  <c r="A4618" i="1"/>
  <c r="A9592" i="1"/>
  <c r="A9591" i="1"/>
  <c r="A9590" i="1"/>
  <c r="A9589" i="1"/>
  <c r="A9588" i="1"/>
  <c r="A9587" i="1"/>
  <c r="A4617" i="1"/>
  <c r="A9586" i="1"/>
  <c r="A562" i="1"/>
  <c r="A9585" i="1"/>
  <c r="A9584" i="1"/>
  <c r="A9583" i="1"/>
  <c r="A9582" i="1"/>
  <c r="A9581" i="1"/>
  <c r="A4616" i="1"/>
  <c r="A9580" i="1"/>
  <c r="A4615" i="1"/>
  <c r="A561" i="1"/>
  <c r="A9579" i="1"/>
  <c r="A560" i="1"/>
  <c r="A9578" i="1"/>
  <c r="A9577" i="1"/>
  <c r="A4614" i="1"/>
  <c r="A9576" i="1"/>
  <c r="A9575" i="1"/>
  <c r="A9574" i="1"/>
  <c r="A9573" i="1"/>
  <c r="A4613" i="1"/>
  <c r="A4612" i="1"/>
  <c r="A1071" i="1"/>
  <c r="A9572" i="1"/>
  <c r="A4611" i="1"/>
  <c r="A4610" i="1"/>
  <c r="A9571" i="1"/>
  <c r="A9570" i="1"/>
  <c r="A4609" i="1"/>
  <c r="A9569" i="1"/>
  <c r="A9568" i="1"/>
  <c r="A4608" i="1"/>
  <c r="A9567" i="1"/>
  <c r="A4607" i="1"/>
  <c r="A9566" i="1"/>
  <c r="A9565" i="1"/>
  <c r="A4606" i="1"/>
  <c r="A9564" i="1"/>
  <c r="A9563" i="1"/>
  <c r="A9562" i="1"/>
  <c r="A9561" i="1"/>
  <c r="A9560" i="1"/>
  <c r="A9559" i="1"/>
  <c r="A9558" i="1"/>
  <c r="A9557" i="1"/>
  <c r="A9556" i="1"/>
  <c r="A4605" i="1"/>
  <c r="A9555" i="1"/>
  <c r="A9554" i="1"/>
  <c r="A9553" i="1"/>
  <c r="A9552" i="1"/>
  <c r="A9551" i="1"/>
  <c r="A4604" i="1"/>
  <c r="A9550" i="1"/>
  <c r="A9549" i="1"/>
  <c r="A9548" i="1"/>
  <c r="A9547" i="1"/>
  <c r="A9546" i="1"/>
  <c r="A9545" i="1"/>
  <c r="A9544" i="1"/>
  <c r="A4603" i="1"/>
  <c r="A9543" i="1"/>
  <c r="A9542" i="1"/>
  <c r="A9541" i="1"/>
  <c r="A9540" i="1"/>
  <c r="A9539" i="1"/>
  <c r="A9538" i="1"/>
  <c r="A9537" i="1"/>
  <c r="A4602" i="1"/>
  <c r="A9536" i="1"/>
  <c r="A9535" i="1"/>
  <c r="A9534" i="1"/>
  <c r="A9533" i="1"/>
  <c r="A9532" i="1"/>
  <c r="A4601" i="1"/>
  <c r="A9531" i="1"/>
  <c r="A9530" i="1"/>
  <c r="A9529" i="1"/>
  <c r="A4600" i="1"/>
  <c r="A9528" i="1"/>
  <c r="A9527" i="1"/>
  <c r="A4599" i="1"/>
  <c r="A9526" i="1"/>
  <c r="A4598" i="1"/>
  <c r="A9525" i="1"/>
  <c r="A9524" i="1"/>
  <c r="A4597" i="1"/>
  <c r="A4596" i="1"/>
  <c r="A9523" i="1"/>
  <c r="A9522" i="1"/>
  <c r="A9521" i="1"/>
  <c r="A9520" i="1"/>
  <c r="A4595" i="1"/>
  <c r="A9519" i="1"/>
  <c r="A559" i="1"/>
  <c r="A9518" i="1"/>
  <c r="A9517" i="1"/>
  <c r="A9516" i="1"/>
  <c r="A4594" i="1"/>
  <c r="A9515" i="1"/>
  <c r="A9514" i="1"/>
  <c r="A9513" i="1"/>
  <c r="A9512" i="1"/>
  <c r="A9511" i="1"/>
  <c r="A4593" i="1"/>
  <c r="A9510" i="1"/>
  <c r="A9509" i="1"/>
  <c r="A558" i="1"/>
  <c r="A9508" i="1"/>
  <c r="A557" i="1"/>
  <c r="A36" i="1"/>
  <c r="A9507" i="1"/>
  <c r="A9506" i="1"/>
  <c r="A556" i="1"/>
  <c r="A9505" i="1"/>
  <c r="A9504" i="1"/>
  <c r="A9503" i="1"/>
  <c r="A9502" i="1"/>
  <c r="A9501" i="1"/>
  <c r="A4592" i="1"/>
  <c r="A1070" i="1"/>
  <c r="A9500" i="1"/>
  <c r="A9499" i="1"/>
  <c r="A9498" i="1"/>
  <c r="A4591" i="1"/>
  <c r="A9497" i="1"/>
  <c r="A9496" i="1"/>
  <c r="A555" i="1"/>
  <c r="A9495" i="1"/>
  <c r="A9494" i="1"/>
  <c r="A9493" i="1"/>
  <c r="A9492" i="1"/>
  <c r="A9491" i="1"/>
  <c r="A9490" i="1"/>
  <c r="A1069" i="1"/>
  <c r="A9489" i="1"/>
  <c r="A9488" i="1"/>
  <c r="A4590" i="1"/>
  <c r="A9487" i="1"/>
  <c r="A9486" i="1"/>
  <c r="A9485" i="1"/>
  <c r="A9484" i="1"/>
  <c r="A9483" i="1"/>
  <c r="A4589" i="1"/>
  <c r="A9482" i="1"/>
  <c r="A4588" i="1"/>
  <c r="A9481" i="1"/>
  <c r="A4587" i="1"/>
  <c r="A9480" i="1"/>
  <c r="A4586" i="1"/>
  <c r="A9479" i="1"/>
  <c r="A9478" i="1"/>
  <c r="A9477" i="1"/>
  <c r="A9476" i="1"/>
  <c r="A554" i="1"/>
  <c r="A4585" i="1"/>
  <c r="A9475" i="1"/>
  <c r="A553" i="1"/>
  <c r="A9474" i="1"/>
  <c r="A552" i="1"/>
  <c r="A9473" i="1"/>
  <c r="A9472" i="1"/>
  <c r="A9471" i="1"/>
  <c r="A9470" i="1"/>
  <c r="A4584" i="1"/>
  <c r="A4583" i="1"/>
  <c r="A4582" i="1"/>
  <c r="A4581" i="1"/>
  <c r="A9469" i="1"/>
  <c r="A9468" i="1"/>
  <c r="A9467" i="1"/>
  <c r="A9466" i="1"/>
  <c r="A9465" i="1"/>
  <c r="A9464" i="1"/>
  <c r="A9463" i="1"/>
  <c r="A4580" i="1"/>
  <c r="A9462" i="1"/>
  <c r="A9461" i="1"/>
  <c r="A9460" i="1"/>
  <c r="A9459" i="1"/>
  <c r="A9458" i="1"/>
  <c r="A9457" i="1"/>
  <c r="A9456" i="1"/>
  <c r="A9455" i="1"/>
  <c r="A9454" i="1"/>
  <c r="A9453" i="1"/>
  <c r="A9452" i="1"/>
  <c r="A4579" i="1"/>
  <c r="A4578" i="1"/>
  <c r="A9451" i="1"/>
  <c r="A9450" i="1"/>
  <c r="A4577" i="1"/>
  <c r="A9449" i="1"/>
  <c r="A4576" i="1"/>
  <c r="A4575" i="1"/>
  <c r="A9448" i="1"/>
  <c r="A4574" i="1"/>
  <c r="A9447" i="1"/>
  <c r="A9446" i="1"/>
  <c r="A9445" i="1"/>
  <c r="A9444" i="1"/>
  <c r="A9443" i="1"/>
  <c r="A4573" i="1"/>
  <c r="A9442" i="1"/>
  <c r="A1068" i="1"/>
  <c r="A4572" i="1"/>
  <c r="A4571" i="1"/>
  <c r="A4570" i="1"/>
  <c r="A4569" i="1"/>
  <c r="A9441" i="1"/>
  <c r="A4568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4567" i="1"/>
  <c r="A9425" i="1"/>
  <c r="A9424" i="1"/>
  <c r="A4566" i="1"/>
  <c r="A9423" i="1"/>
  <c r="A9422" i="1"/>
  <c r="A9421" i="1"/>
  <c r="A9420" i="1"/>
  <c r="A4565" i="1"/>
  <c r="A9419" i="1"/>
  <c r="A9418" i="1"/>
  <c r="A551" i="1"/>
  <c r="A4564" i="1"/>
  <c r="A9417" i="1"/>
  <c r="A9416" i="1"/>
  <c r="A4563" i="1"/>
  <c r="A9415" i="1"/>
  <c r="A4562" i="1"/>
  <c r="A9414" i="1"/>
  <c r="A4561" i="1"/>
  <c r="A9413" i="1"/>
  <c r="A9412" i="1"/>
  <c r="A4560" i="1"/>
  <c r="A9411" i="1"/>
  <c r="A9410" i="1"/>
  <c r="A9409" i="1"/>
  <c r="A9408" i="1"/>
  <c r="A9407" i="1"/>
  <c r="A4559" i="1"/>
  <c r="A4558" i="1"/>
  <c r="A4557" i="1"/>
  <c r="A9406" i="1"/>
  <c r="A9405" i="1"/>
  <c r="A9404" i="1"/>
  <c r="A1067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4556" i="1"/>
  <c r="A9387" i="1"/>
  <c r="A4555" i="1"/>
  <c r="A9386" i="1"/>
  <c r="A550" i="1"/>
  <c r="A549" i="1"/>
  <c r="A9385" i="1"/>
  <c r="A548" i="1"/>
  <c r="A9384" i="1"/>
  <c r="A4554" i="1"/>
  <c r="A9383" i="1"/>
  <c r="A1066" i="1"/>
  <c r="A9382" i="1"/>
  <c r="A9381" i="1"/>
  <c r="A9380" i="1"/>
  <c r="A4553" i="1"/>
  <c r="A9379" i="1"/>
  <c r="A4552" i="1"/>
  <c r="A9378" i="1"/>
  <c r="A4551" i="1"/>
  <c r="A4550" i="1"/>
  <c r="A9377" i="1"/>
  <c r="A9376" i="1"/>
  <c r="A4549" i="1"/>
  <c r="A9375" i="1"/>
  <c r="A547" i="1"/>
  <c r="A9374" i="1"/>
  <c r="A9373" i="1"/>
  <c r="A9372" i="1"/>
  <c r="A9371" i="1"/>
  <c r="A9370" i="1"/>
  <c r="A9369" i="1"/>
  <c r="A9368" i="1"/>
  <c r="A9367" i="1"/>
  <c r="A9366" i="1"/>
  <c r="A4548" i="1"/>
  <c r="A9365" i="1"/>
  <c r="A9364" i="1"/>
  <c r="A9363" i="1"/>
  <c r="A9362" i="1"/>
  <c r="A9361" i="1"/>
  <c r="A4547" i="1"/>
  <c r="A546" i="1"/>
  <c r="A9360" i="1"/>
  <c r="A9359" i="1"/>
  <c r="A9358" i="1"/>
  <c r="A9357" i="1"/>
  <c r="A1065" i="1"/>
  <c r="A1064" i="1"/>
  <c r="A1063" i="1"/>
  <c r="A9356" i="1"/>
  <c r="A9355" i="1"/>
  <c r="A9354" i="1"/>
  <c r="A9353" i="1"/>
  <c r="A4546" i="1"/>
  <c r="A9352" i="1"/>
  <c r="A111" i="1"/>
  <c r="A9351" i="1"/>
  <c r="A9350" i="1"/>
  <c r="A9349" i="1"/>
  <c r="A9348" i="1"/>
  <c r="A4545" i="1"/>
  <c r="A9347" i="1"/>
  <c r="A9346" i="1"/>
  <c r="A9345" i="1"/>
  <c r="A9344" i="1"/>
  <c r="A9343" i="1"/>
  <c r="A545" i="1"/>
  <c r="A9342" i="1"/>
  <c r="A9341" i="1"/>
  <c r="A9340" i="1"/>
  <c r="A9339" i="1"/>
  <c r="A9338" i="1"/>
  <c r="A9337" i="1"/>
  <c r="A9336" i="1"/>
  <c r="A67" i="1"/>
  <c r="A9335" i="1"/>
  <c r="A9334" i="1"/>
  <c r="A544" i="1"/>
  <c r="A4544" i="1"/>
  <c r="A543" i="1"/>
  <c r="A9333" i="1"/>
  <c r="A9332" i="1"/>
  <c r="A9331" i="1"/>
  <c r="A9330" i="1"/>
  <c r="A542" i="1"/>
  <c r="A541" i="1"/>
  <c r="A9329" i="1"/>
  <c r="A9328" i="1"/>
  <c r="A9327" i="1"/>
  <c r="A4543" i="1"/>
  <c r="A4542" i="1"/>
  <c r="A9326" i="1"/>
  <c r="A4541" i="1"/>
  <c r="A9325" i="1"/>
  <c r="A9324" i="1"/>
  <c r="A9323" i="1"/>
  <c r="A9322" i="1"/>
  <c r="A9321" i="1"/>
  <c r="A9320" i="1"/>
  <c r="A4540" i="1"/>
  <c r="A9319" i="1"/>
  <c r="A9318" i="1"/>
  <c r="A9317" i="1"/>
  <c r="A9316" i="1"/>
  <c r="A9315" i="1"/>
  <c r="A9314" i="1"/>
  <c r="A9313" i="1"/>
  <c r="A9312" i="1"/>
  <c r="A4539" i="1"/>
  <c r="A4538" i="1"/>
  <c r="A4537" i="1"/>
  <c r="A9311" i="1"/>
  <c r="A9310" i="1"/>
  <c r="A4536" i="1"/>
  <c r="A4535" i="1"/>
  <c r="A9309" i="1"/>
  <c r="A4534" i="1"/>
  <c r="A4533" i="1"/>
  <c r="A9308" i="1"/>
  <c r="A9307" i="1"/>
  <c r="A9306" i="1"/>
  <c r="A4532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4531" i="1"/>
  <c r="A9284" i="1"/>
  <c r="A9283" i="1"/>
  <c r="A9282" i="1"/>
  <c r="A9281" i="1"/>
  <c r="A9280" i="1"/>
  <c r="A540" i="1"/>
  <c r="A9279" i="1"/>
  <c r="A9278" i="1"/>
  <c r="A4530" i="1"/>
  <c r="A9277" i="1"/>
  <c r="A9276" i="1"/>
  <c r="A4529" i="1"/>
  <c r="A9275" i="1"/>
  <c r="A9274" i="1"/>
  <c r="A9273" i="1"/>
  <c r="A9272" i="1"/>
  <c r="A9271" i="1"/>
  <c r="A9270" i="1"/>
  <c r="A9269" i="1"/>
  <c r="A9268" i="1"/>
  <c r="A4528" i="1"/>
  <c r="A9267" i="1"/>
  <c r="A9266" i="1"/>
  <c r="A4527" i="1"/>
  <c r="A4526" i="1"/>
  <c r="A9265" i="1"/>
  <c r="A9264" i="1"/>
  <c r="A4525" i="1"/>
  <c r="A4524" i="1"/>
  <c r="A4523" i="1"/>
  <c r="A9263" i="1"/>
  <c r="A4522" i="1"/>
  <c r="A9262" i="1"/>
  <c r="A4521" i="1"/>
  <c r="A9261" i="1"/>
  <c r="A9260" i="1"/>
  <c r="A9259" i="1"/>
  <c r="A9258" i="1"/>
  <c r="A1062" i="1"/>
  <c r="A9257" i="1"/>
  <c r="A9256" i="1"/>
  <c r="A9255" i="1"/>
  <c r="A4520" i="1"/>
  <c r="A9254" i="1"/>
  <c r="A9253" i="1"/>
  <c r="A4519" i="1"/>
  <c r="A539" i="1"/>
  <c r="A9252" i="1"/>
  <c r="A9251" i="1"/>
  <c r="A9250" i="1"/>
  <c r="A9249" i="1"/>
  <c r="A9248" i="1"/>
  <c r="A4518" i="1"/>
  <c r="A9247" i="1"/>
  <c r="A9246" i="1"/>
  <c r="A4517" i="1"/>
  <c r="A9245" i="1"/>
  <c r="A9244" i="1"/>
  <c r="A9243" i="1"/>
  <c r="A4516" i="1"/>
  <c r="A9242" i="1"/>
  <c r="A4515" i="1"/>
  <c r="A9241" i="1"/>
  <c r="A9240" i="1"/>
  <c r="A9239" i="1"/>
  <c r="A9238" i="1"/>
  <c r="A9237" i="1"/>
  <c r="A9236" i="1"/>
  <c r="A4514" i="1"/>
  <c r="A4513" i="1"/>
  <c r="A9235" i="1"/>
  <c r="A9234" i="1"/>
  <c r="A4512" i="1"/>
  <c r="A9233" i="1"/>
  <c r="A9232" i="1"/>
  <c r="A9231" i="1"/>
  <c r="A4511" i="1"/>
  <c r="A9230" i="1"/>
  <c r="A9229" i="1"/>
  <c r="A9228" i="1"/>
  <c r="A9227" i="1"/>
  <c r="A9226" i="1"/>
  <c r="A9225" i="1"/>
  <c r="A4510" i="1"/>
  <c r="A9224" i="1"/>
  <c r="A9223" i="1"/>
  <c r="A4509" i="1"/>
  <c r="A9222" i="1"/>
  <c r="A9221" i="1"/>
  <c r="A9220" i="1"/>
  <c r="A9219" i="1"/>
  <c r="A538" i="1"/>
  <c r="A9218" i="1"/>
  <c r="A4508" i="1"/>
  <c r="A9217" i="1"/>
  <c r="A9216" i="1"/>
  <c r="A9215" i="1"/>
  <c r="A537" i="1"/>
  <c r="A9214" i="1"/>
  <c r="A9213" i="1"/>
  <c r="A4507" i="1"/>
  <c r="A4506" i="1"/>
  <c r="A9212" i="1"/>
  <c r="A9211" i="1"/>
  <c r="A9210" i="1"/>
  <c r="A9209" i="1"/>
  <c r="A9208" i="1"/>
  <c r="A4505" i="1"/>
  <c r="A4504" i="1"/>
  <c r="A9207" i="1"/>
  <c r="A9206" i="1"/>
  <c r="A9205" i="1"/>
  <c r="A4503" i="1"/>
  <c r="A9204" i="1"/>
  <c r="A9203" i="1"/>
  <c r="A9202" i="1"/>
  <c r="A9201" i="1"/>
  <c r="A9200" i="1"/>
  <c r="A9199" i="1"/>
  <c r="A9198" i="1"/>
  <c r="A4502" i="1"/>
  <c r="A9197" i="1"/>
  <c r="A4501" i="1"/>
  <c r="A9196" i="1"/>
  <c r="A9195" i="1"/>
  <c r="A9194" i="1"/>
  <c r="A9193" i="1"/>
  <c r="A9192" i="1"/>
  <c r="A4500" i="1"/>
  <c r="A9191" i="1"/>
  <c r="A4499" i="1"/>
  <c r="A9190" i="1"/>
  <c r="A9189" i="1"/>
  <c r="A4498" i="1"/>
  <c r="A9188" i="1"/>
  <c r="A9187" i="1"/>
  <c r="A9186" i="1"/>
  <c r="A9185" i="1"/>
  <c r="A9184" i="1"/>
  <c r="A9183" i="1"/>
  <c r="A4497" i="1"/>
  <c r="A9182" i="1"/>
  <c r="A9181" i="1"/>
  <c r="A9180" i="1"/>
  <c r="A4496" i="1"/>
  <c r="A9179" i="1"/>
  <c r="A4495" i="1"/>
  <c r="A4494" i="1"/>
  <c r="A1061" i="1"/>
  <c r="A9178" i="1"/>
  <c r="A9177" i="1"/>
  <c r="A4493" i="1"/>
  <c r="A9176" i="1"/>
  <c r="A9175" i="1"/>
  <c r="A9174" i="1"/>
  <c r="A9173" i="1"/>
  <c r="A9172" i="1"/>
  <c r="A9171" i="1"/>
  <c r="A4492" i="1"/>
  <c r="A9170" i="1"/>
  <c r="A4491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4490" i="1"/>
  <c r="A9153" i="1"/>
  <c r="A9152" i="1"/>
  <c r="A9151" i="1"/>
  <c r="A9150" i="1"/>
  <c r="A9149" i="1"/>
  <c r="A9148" i="1"/>
  <c r="A536" i="1"/>
  <c r="A9147" i="1"/>
  <c r="A4489" i="1"/>
  <c r="A4488" i="1"/>
  <c r="A9146" i="1"/>
  <c r="A9145" i="1"/>
  <c r="A9144" i="1"/>
  <c r="A9143" i="1"/>
  <c r="A9142" i="1"/>
  <c r="A9141" i="1"/>
  <c r="A9140" i="1"/>
  <c r="A4487" i="1"/>
  <c r="A9139" i="1"/>
  <c r="A9138" i="1"/>
  <c r="A9137" i="1"/>
  <c r="A9136" i="1"/>
  <c r="A9135" i="1"/>
  <c r="A9134" i="1"/>
  <c r="A9133" i="1"/>
  <c r="A1060" i="1"/>
  <c r="A1059" i="1"/>
  <c r="A9132" i="1"/>
  <c r="A535" i="1"/>
  <c r="A9131" i="1"/>
  <c r="A9130" i="1"/>
  <c r="A9129" i="1"/>
  <c r="A9128" i="1"/>
  <c r="A4486" i="1"/>
  <c r="A4485" i="1"/>
  <c r="A4484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534" i="1"/>
  <c r="A1058" i="1"/>
  <c r="A9114" i="1"/>
  <c r="A4483" i="1"/>
  <c r="A9113" i="1"/>
  <c r="A9112" i="1"/>
  <c r="A9111" i="1"/>
  <c r="A9110" i="1"/>
  <c r="A9109" i="1"/>
  <c r="A9108" i="1"/>
  <c r="A9107" i="1"/>
  <c r="A9106" i="1"/>
  <c r="A9105" i="1"/>
  <c r="A9104" i="1"/>
  <c r="A9103" i="1"/>
  <c r="A4482" i="1"/>
  <c r="A9102" i="1"/>
  <c r="A9101" i="1"/>
  <c r="A9100" i="1"/>
  <c r="A9099" i="1"/>
  <c r="A4481" i="1"/>
  <c r="A9098" i="1"/>
  <c r="A9097" i="1"/>
  <c r="A9096" i="1"/>
  <c r="A9095" i="1"/>
  <c r="A9094" i="1"/>
  <c r="A9093" i="1"/>
  <c r="A9092" i="1"/>
  <c r="A9091" i="1"/>
  <c r="A533" i="1"/>
  <c r="A9090" i="1"/>
  <c r="A9089" i="1"/>
  <c r="A9088" i="1"/>
  <c r="A9087" i="1"/>
  <c r="A4480" i="1"/>
  <c r="A9086" i="1"/>
  <c r="A9085" i="1"/>
  <c r="A9084" i="1"/>
  <c r="A4479" i="1"/>
  <c r="A9083" i="1"/>
  <c r="A9082" i="1"/>
  <c r="A9081" i="1"/>
  <c r="A9080" i="1"/>
  <c r="A9079" i="1"/>
  <c r="A4478" i="1"/>
  <c r="A9078" i="1"/>
  <c r="A9077" i="1"/>
  <c r="A9076" i="1"/>
  <c r="A9075" i="1"/>
  <c r="A9074" i="1"/>
  <c r="A9073" i="1"/>
  <c r="A4477" i="1"/>
  <c r="A4476" i="1"/>
  <c r="A9072" i="1"/>
  <c r="A9071" i="1"/>
  <c r="A9070" i="1"/>
  <c r="A1057" i="1"/>
  <c r="A4475" i="1"/>
  <c r="A4474" i="1"/>
  <c r="A9069" i="1"/>
  <c r="A9068" i="1"/>
  <c r="A9067" i="1"/>
  <c r="A9066" i="1"/>
  <c r="A9065" i="1"/>
  <c r="A9064" i="1"/>
  <c r="A532" i="1"/>
  <c r="A9063" i="1"/>
  <c r="A9062" i="1"/>
  <c r="A9061" i="1"/>
  <c r="A9060" i="1"/>
  <c r="A9059" i="1"/>
  <c r="A4473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4472" i="1"/>
  <c r="A9046" i="1"/>
  <c r="A9045" i="1"/>
  <c r="A9044" i="1"/>
  <c r="A9043" i="1"/>
  <c r="A9042" i="1"/>
  <c r="A9041" i="1"/>
  <c r="A9040" i="1"/>
  <c r="A4471" i="1"/>
  <c r="A9039" i="1"/>
  <c r="A4470" i="1"/>
  <c r="A9038" i="1"/>
  <c r="A4469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4468" i="1"/>
  <c r="A9023" i="1"/>
  <c r="A9022" i="1"/>
  <c r="A9021" i="1"/>
  <c r="A1056" i="1"/>
  <c r="A9020" i="1"/>
  <c r="A9019" i="1"/>
  <c r="A9018" i="1"/>
  <c r="A9017" i="1"/>
  <c r="A9016" i="1"/>
  <c r="A9015" i="1"/>
  <c r="A9014" i="1"/>
  <c r="A9013" i="1"/>
  <c r="A1378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1055" i="1"/>
  <c r="A8999" i="1"/>
  <c r="A531" i="1"/>
  <c r="A8998" i="1"/>
  <c r="A8997" i="1"/>
  <c r="A8996" i="1"/>
  <c r="A8995" i="1"/>
  <c r="A8994" i="1"/>
  <c r="A8993" i="1"/>
  <c r="A8992" i="1"/>
  <c r="A8991" i="1"/>
  <c r="A8990" i="1"/>
  <c r="A8989" i="1"/>
  <c r="A8988" i="1"/>
  <c r="A4467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4466" i="1"/>
  <c r="A8965" i="1"/>
  <c r="A8964" i="1"/>
  <c r="A8963" i="1"/>
  <c r="A8962" i="1"/>
  <c r="A8961" i="1"/>
  <c r="A8960" i="1"/>
  <c r="A4465" i="1"/>
  <c r="A8959" i="1"/>
  <c r="A8958" i="1"/>
  <c r="A8957" i="1"/>
  <c r="A8956" i="1"/>
  <c r="A8955" i="1"/>
  <c r="A8954" i="1"/>
  <c r="A4464" i="1"/>
  <c r="A8953" i="1"/>
  <c r="A8952" i="1"/>
  <c r="A8951" i="1"/>
  <c r="A4463" i="1"/>
  <c r="A8950" i="1"/>
  <c r="A530" i="1"/>
  <c r="A8949" i="1"/>
  <c r="A8948" i="1"/>
  <c r="A8947" i="1"/>
  <c r="A8946" i="1"/>
  <c r="A8945" i="1"/>
  <c r="A8944" i="1"/>
  <c r="A529" i="1"/>
  <c r="A8943" i="1"/>
  <c r="A4462" i="1"/>
  <c r="A8942" i="1"/>
  <c r="A528" i="1"/>
  <c r="A527" i="1"/>
  <c r="A526" i="1"/>
  <c r="A8941" i="1"/>
  <c r="A8940" i="1"/>
  <c r="A8939" i="1"/>
  <c r="A8938" i="1"/>
  <c r="A8937" i="1"/>
  <c r="A8936" i="1"/>
  <c r="A8935" i="1"/>
  <c r="A8934" i="1"/>
  <c r="A4461" i="1"/>
  <c r="A8933" i="1"/>
  <c r="A8932" i="1"/>
  <c r="A8931" i="1"/>
  <c r="A8930" i="1"/>
  <c r="A8929" i="1"/>
  <c r="A8928" i="1"/>
  <c r="A8927" i="1"/>
  <c r="A8926" i="1"/>
  <c r="A8925" i="1"/>
  <c r="A4460" i="1"/>
  <c r="A8924" i="1"/>
  <c r="A8923" i="1"/>
  <c r="A8922" i="1"/>
  <c r="A4459" i="1"/>
  <c r="A8921" i="1"/>
  <c r="A4458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4457" i="1"/>
  <c r="A8898" i="1"/>
  <c r="A8897" i="1"/>
  <c r="A8896" i="1"/>
  <c r="A525" i="1"/>
  <c r="A4456" i="1"/>
  <c r="A8895" i="1"/>
  <c r="A8894" i="1"/>
  <c r="A8893" i="1"/>
  <c r="A8892" i="1"/>
  <c r="A8891" i="1"/>
  <c r="A8890" i="1"/>
  <c r="A8889" i="1"/>
  <c r="A8888" i="1"/>
  <c r="A8887" i="1"/>
  <c r="A8886" i="1"/>
  <c r="A4455" i="1"/>
  <c r="A524" i="1"/>
  <c r="A8885" i="1"/>
  <c r="A8884" i="1"/>
  <c r="A4454" i="1"/>
  <c r="A523" i="1"/>
  <c r="A8883" i="1"/>
  <c r="A8882" i="1"/>
  <c r="A8881" i="1"/>
  <c r="A8880" i="1"/>
  <c r="A4453" i="1"/>
  <c r="A8879" i="1"/>
  <c r="A8878" i="1"/>
  <c r="A8877" i="1"/>
  <c r="A8876" i="1"/>
  <c r="A4452" i="1"/>
  <c r="A8875" i="1"/>
  <c r="A8874" i="1"/>
  <c r="A8873" i="1"/>
  <c r="A8872" i="1"/>
  <c r="A4451" i="1"/>
  <c r="A4450" i="1"/>
  <c r="A8871" i="1"/>
  <c r="A8870" i="1"/>
  <c r="A8869" i="1"/>
  <c r="A8868" i="1"/>
  <c r="A8867" i="1"/>
  <c r="A8866" i="1"/>
  <c r="A4449" i="1"/>
  <c r="A8865" i="1"/>
  <c r="A8864" i="1"/>
  <c r="A8863" i="1"/>
  <c r="A8862" i="1"/>
  <c r="A8861" i="1"/>
  <c r="A8860" i="1"/>
  <c r="A4448" i="1"/>
  <c r="A4447" i="1"/>
  <c r="A8859" i="1"/>
  <c r="A8858" i="1"/>
  <c r="A4446" i="1"/>
  <c r="A4445" i="1"/>
  <c r="A8857" i="1"/>
  <c r="A8856" i="1"/>
  <c r="A8855" i="1"/>
  <c r="A8854" i="1"/>
  <c r="A8853" i="1"/>
  <c r="A522" i="1"/>
  <c r="A8852" i="1"/>
  <c r="A8851" i="1"/>
  <c r="A8850" i="1"/>
  <c r="A8849" i="1"/>
  <c r="A8848" i="1"/>
  <c r="A8847" i="1"/>
  <c r="A4444" i="1"/>
  <c r="A521" i="1"/>
  <c r="A520" i="1"/>
  <c r="A4443" i="1"/>
  <c r="A8846" i="1"/>
  <c r="A8845" i="1"/>
  <c r="A8844" i="1"/>
  <c r="A4442" i="1"/>
  <c r="A8843" i="1"/>
  <c r="A4441" i="1"/>
  <c r="A23" i="1"/>
  <c r="A22" i="1"/>
  <c r="A8842" i="1"/>
  <c r="A8841" i="1"/>
  <c r="A8840" i="1"/>
  <c r="A4440" i="1"/>
  <c r="A519" i="1"/>
  <c r="A4439" i="1"/>
  <c r="A8839" i="1"/>
  <c r="A4438" i="1"/>
  <c r="A8838" i="1"/>
  <c r="A8837" i="1"/>
  <c r="A8836" i="1"/>
  <c r="A8835" i="1"/>
  <c r="A8834" i="1"/>
  <c r="A8833" i="1"/>
  <c r="A8832" i="1"/>
  <c r="A8831" i="1"/>
  <c r="A8830" i="1"/>
  <c r="A1054" i="1"/>
  <c r="A8829" i="1"/>
  <c r="A8828" i="1"/>
  <c r="A8827" i="1"/>
  <c r="A8826" i="1"/>
  <c r="A4437" i="1"/>
  <c r="A8825" i="1"/>
  <c r="A8824" i="1"/>
  <c r="A8823" i="1"/>
  <c r="A4436" i="1"/>
  <c r="A4435" i="1"/>
  <c r="A8822" i="1"/>
  <c r="A8821" i="1"/>
  <c r="A4434" i="1"/>
  <c r="A4433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4432" i="1"/>
  <c r="A8808" i="1"/>
  <c r="A4431" i="1"/>
  <c r="A8807" i="1"/>
  <c r="A8806" i="1"/>
  <c r="A8805" i="1"/>
  <c r="A8804" i="1"/>
  <c r="A8803" i="1"/>
  <c r="A8802" i="1"/>
  <c r="A8801" i="1"/>
  <c r="A8800" i="1"/>
  <c r="A8799" i="1"/>
  <c r="A4430" i="1"/>
  <c r="A8798" i="1"/>
  <c r="A8797" i="1"/>
  <c r="A8796" i="1"/>
  <c r="A8795" i="1"/>
  <c r="A4429" i="1"/>
  <c r="A1053" i="1"/>
  <c r="A8794" i="1"/>
  <c r="A8793" i="1"/>
  <c r="A8792" i="1"/>
  <c r="A8791" i="1"/>
  <c r="A8790" i="1"/>
  <c r="A8789" i="1"/>
  <c r="A8788" i="1"/>
  <c r="A4428" i="1"/>
  <c r="A8787" i="1"/>
  <c r="A4427" i="1"/>
  <c r="A8786" i="1"/>
  <c r="A8785" i="1"/>
  <c r="A8784" i="1"/>
  <c r="A8783" i="1"/>
  <c r="A8782" i="1"/>
  <c r="A4426" i="1"/>
  <c r="A8781" i="1"/>
  <c r="A8780" i="1"/>
  <c r="A8779" i="1"/>
  <c r="A8778" i="1"/>
  <c r="A8777" i="1"/>
  <c r="A8776" i="1"/>
  <c r="A8775" i="1"/>
  <c r="A8774" i="1"/>
  <c r="A8773" i="1"/>
  <c r="A8772" i="1"/>
  <c r="A4425" i="1"/>
  <c r="A8771" i="1"/>
  <c r="A8770" i="1"/>
  <c r="A8769" i="1"/>
  <c r="A4424" i="1"/>
  <c r="A8768" i="1"/>
  <c r="A4423" i="1"/>
  <c r="A8767" i="1"/>
  <c r="A8766" i="1"/>
  <c r="A4422" i="1"/>
  <c r="A8765" i="1"/>
  <c r="A8764" i="1"/>
  <c r="A8763" i="1"/>
  <c r="A8762" i="1"/>
  <c r="A4421" i="1"/>
  <c r="A8761" i="1"/>
  <c r="A8760" i="1"/>
  <c r="A8759" i="1"/>
  <c r="A8758" i="1"/>
  <c r="A4420" i="1"/>
  <c r="A8757" i="1"/>
  <c r="A8756" i="1"/>
  <c r="A8755" i="1"/>
  <c r="A8754" i="1"/>
  <c r="A8753" i="1"/>
  <c r="A8752" i="1"/>
  <c r="A8751" i="1"/>
  <c r="A8750" i="1"/>
  <c r="A8749" i="1"/>
  <c r="A4419" i="1"/>
  <c r="A4418" i="1"/>
  <c r="A518" i="1"/>
  <c r="A8748" i="1"/>
  <c r="A4417" i="1"/>
  <c r="A517" i="1"/>
  <c r="A4416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4415" i="1"/>
  <c r="A8735" i="1"/>
  <c r="A4414" i="1"/>
  <c r="A8734" i="1"/>
  <c r="A8733" i="1"/>
  <c r="A8732" i="1"/>
  <c r="A8731" i="1"/>
  <c r="A4413" i="1"/>
  <c r="A4412" i="1"/>
  <c r="A4411" i="1"/>
  <c r="A8730" i="1"/>
  <c r="A8729" i="1"/>
  <c r="A8728" i="1"/>
  <c r="A4410" i="1"/>
  <c r="A4409" i="1"/>
  <c r="A8727" i="1"/>
  <c r="A8726" i="1"/>
  <c r="A4408" i="1"/>
  <c r="A4407" i="1"/>
  <c r="A8725" i="1"/>
  <c r="A8724" i="1"/>
  <c r="A8723" i="1"/>
  <c r="A8722" i="1"/>
  <c r="A8721" i="1"/>
  <c r="A8720" i="1"/>
  <c r="A4406" i="1"/>
  <c r="A8719" i="1"/>
  <c r="A8718" i="1"/>
  <c r="A8717" i="1"/>
  <c r="A8716" i="1"/>
  <c r="A4405" i="1"/>
  <c r="A8715" i="1"/>
  <c r="A4404" i="1"/>
  <c r="A4403" i="1"/>
  <c r="A4402" i="1"/>
  <c r="A4401" i="1"/>
  <c r="A8714" i="1"/>
  <c r="A516" i="1"/>
  <c r="A8713" i="1"/>
  <c r="A515" i="1"/>
  <c r="A8712" i="1"/>
  <c r="A8711" i="1"/>
  <c r="A8710" i="1"/>
  <c r="A8709" i="1"/>
  <c r="A4400" i="1"/>
  <c r="A8708" i="1"/>
  <c r="A4399" i="1"/>
  <c r="A4398" i="1"/>
  <c r="A4397" i="1"/>
  <c r="A4396" i="1"/>
  <c r="A8707" i="1"/>
  <c r="A8706" i="1"/>
  <c r="A8705" i="1"/>
  <c r="A8704" i="1"/>
  <c r="A8703" i="1"/>
  <c r="A4395" i="1"/>
  <c r="A8702" i="1"/>
  <c r="A8701" i="1"/>
  <c r="A4394" i="1"/>
  <c r="A8700" i="1"/>
  <c r="A8699" i="1"/>
  <c r="A8698" i="1"/>
  <c r="A8697" i="1"/>
  <c r="A8696" i="1"/>
  <c r="A8695" i="1"/>
  <c r="A8694" i="1"/>
  <c r="A4393" i="1"/>
  <c r="A8693" i="1"/>
  <c r="A514" i="1"/>
  <c r="A8692" i="1"/>
  <c r="A8691" i="1"/>
  <c r="A8690" i="1"/>
  <c r="A8689" i="1"/>
  <c r="A8688" i="1"/>
  <c r="A8687" i="1"/>
  <c r="A8686" i="1"/>
  <c r="A513" i="1"/>
  <c r="A8685" i="1"/>
  <c r="A8684" i="1"/>
  <c r="A8683" i="1"/>
  <c r="A8682" i="1"/>
  <c r="A8681" i="1"/>
  <c r="A8680" i="1"/>
  <c r="A8679" i="1"/>
  <c r="A8678" i="1"/>
  <c r="A8677" i="1"/>
  <c r="A8676" i="1"/>
  <c r="A8675" i="1"/>
  <c r="A4392" i="1"/>
  <c r="A8674" i="1"/>
  <c r="A4391" i="1"/>
  <c r="A8673" i="1"/>
  <c r="A8672" i="1"/>
  <c r="A8671" i="1"/>
  <c r="A8670" i="1"/>
  <c r="A8669" i="1"/>
  <c r="A8668" i="1"/>
  <c r="A8667" i="1"/>
  <c r="A8666" i="1"/>
  <c r="A8665" i="1"/>
  <c r="A8664" i="1"/>
  <c r="A4390" i="1"/>
  <c r="A8663" i="1"/>
  <c r="A8662" i="1"/>
  <c r="A8661" i="1"/>
  <c r="A8660" i="1"/>
  <c r="A8659" i="1"/>
  <c r="A8658" i="1"/>
  <c r="A8657" i="1"/>
  <c r="A8656" i="1"/>
  <c r="A8655" i="1"/>
  <c r="A8654" i="1"/>
  <c r="A8653" i="1"/>
  <c r="A4389" i="1"/>
  <c r="A8652" i="1"/>
  <c r="A512" i="1"/>
  <c r="A8651" i="1"/>
  <c r="A4388" i="1"/>
  <c r="A8650" i="1"/>
  <c r="A8649" i="1"/>
  <c r="A8648" i="1"/>
  <c r="A511" i="1"/>
  <c r="A8647" i="1"/>
  <c r="A8646" i="1"/>
  <c r="A4387" i="1"/>
  <c r="A8645" i="1"/>
  <c r="A8644" i="1"/>
  <c r="A8643" i="1"/>
  <c r="A4386" i="1"/>
  <c r="A510" i="1"/>
  <c r="A509" i="1"/>
  <c r="A8642" i="1"/>
  <c r="A8641" i="1"/>
  <c r="A8640" i="1"/>
  <c r="A8639" i="1"/>
  <c r="A4385" i="1"/>
  <c r="A8638" i="1"/>
  <c r="A4384" i="1"/>
  <c r="A8637" i="1"/>
  <c r="A8636" i="1"/>
  <c r="A8635" i="1"/>
  <c r="A1052" i="1"/>
  <c r="A8634" i="1"/>
  <c r="A8633" i="1"/>
  <c r="A4383" i="1"/>
  <c r="A4382" i="1"/>
  <c r="A4381" i="1"/>
  <c r="A8632" i="1"/>
  <c r="A4380" i="1"/>
  <c r="A8631" i="1"/>
  <c r="A8630" i="1"/>
  <c r="A4379" i="1"/>
  <c r="A8629" i="1"/>
  <c r="A8628" i="1"/>
  <c r="A8627" i="1"/>
  <c r="A8626" i="1"/>
  <c r="A508" i="1"/>
  <c r="A4378" i="1"/>
  <c r="A8625" i="1"/>
  <c r="A8624" i="1"/>
  <c r="A8623" i="1"/>
  <c r="A4377" i="1"/>
  <c r="A8622" i="1"/>
  <c r="A8621" i="1"/>
  <c r="A4376" i="1"/>
  <c r="A8620" i="1"/>
  <c r="A8619" i="1"/>
  <c r="A4375" i="1"/>
  <c r="A4374" i="1"/>
  <c r="A8618" i="1"/>
  <c r="A4373" i="1"/>
  <c r="A4372" i="1"/>
  <c r="A8617" i="1"/>
  <c r="A507" i="1"/>
  <c r="A8616" i="1"/>
  <c r="A8615" i="1"/>
  <c r="A8614" i="1"/>
  <c r="A4371" i="1"/>
  <c r="A4370" i="1"/>
  <c r="A8613" i="1"/>
  <c r="A8612" i="1"/>
  <c r="A4369" i="1"/>
  <c r="A8611" i="1"/>
  <c r="A8610" i="1"/>
  <c r="A4368" i="1"/>
  <c r="A8609" i="1"/>
  <c r="A8608" i="1"/>
  <c r="A1051" i="1"/>
  <c r="A4367" i="1"/>
  <c r="A4366" i="1"/>
  <c r="A506" i="1"/>
  <c r="A8607" i="1"/>
  <c r="A8606" i="1"/>
  <c r="A4365" i="1"/>
  <c r="A505" i="1"/>
  <c r="A4364" i="1"/>
  <c r="A8605" i="1"/>
  <c r="A1050" i="1"/>
  <c r="A8604" i="1"/>
  <c r="A8603" i="1"/>
  <c r="A504" i="1"/>
  <c r="A1049" i="1"/>
  <c r="A8602" i="1"/>
  <c r="A8601" i="1"/>
  <c r="A8600" i="1"/>
  <c r="A8599" i="1"/>
  <c r="A4363" i="1"/>
  <c r="A8598" i="1"/>
  <c r="A503" i="1"/>
  <c r="A4362" i="1"/>
  <c r="A8597" i="1"/>
  <c r="A8596" i="1"/>
  <c r="A8595" i="1"/>
  <c r="A8594" i="1"/>
  <c r="A4361" i="1"/>
  <c r="A8593" i="1"/>
  <c r="A4360" i="1"/>
  <c r="A4359" i="1"/>
  <c r="A4358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4357" i="1"/>
  <c r="A8577" i="1"/>
  <c r="A8576" i="1"/>
  <c r="A8575" i="1"/>
  <c r="A8574" i="1"/>
  <c r="A8573" i="1"/>
  <c r="A8572" i="1"/>
  <c r="A8571" i="1"/>
  <c r="A8570" i="1"/>
  <c r="A4356" i="1"/>
  <c r="A8569" i="1"/>
  <c r="A4355" i="1"/>
  <c r="A8568" i="1"/>
  <c r="A8567" i="1"/>
  <c r="A4354" i="1"/>
  <c r="A8566" i="1"/>
  <c r="A502" i="1"/>
  <c r="A8565" i="1"/>
  <c r="A8564" i="1"/>
  <c r="A8563" i="1"/>
  <c r="A8562" i="1"/>
  <c r="A8561" i="1"/>
  <c r="A8560" i="1"/>
  <c r="A8559" i="1"/>
  <c r="A8558" i="1"/>
  <c r="A8557" i="1"/>
  <c r="A8556" i="1"/>
  <c r="A4353" i="1"/>
  <c r="A8555" i="1"/>
  <c r="A8554" i="1"/>
  <c r="A8553" i="1"/>
  <c r="A8552" i="1"/>
  <c r="A8551" i="1"/>
  <c r="A8550" i="1"/>
  <c r="A4352" i="1"/>
  <c r="A8549" i="1"/>
  <c r="A4351" i="1"/>
  <c r="A8548" i="1"/>
  <c r="A1048" i="1"/>
  <c r="A8547" i="1"/>
  <c r="A4350" i="1"/>
  <c r="A8546" i="1"/>
  <c r="A8545" i="1"/>
  <c r="A4349" i="1"/>
  <c r="A8544" i="1"/>
  <c r="A8543" i="1"/>
  <c r="A8542" i="1"/>
  <c r="A4348" i="1"/>
  <c r="A8541" i="1"/>
  <c r="A8540" i="1"/>
  <c r="A8539" i="1"/>
  <c r="A4347" i="1"/>
  <c r="A4346" i="1"/>
  <c r="A501" i="1"/>
  <c r="A4345" i="1"/>
  <c r="A8538" i="1"/>
  <c r="A8537" i="1"/>
  <c r="A8536" i="1"/>
  <c r="A8535" i="1"/>
  <c r="A1047" i="1"/>
  <c r="A8534" i="1"/>
  <c r="A8533" i="1"/>
  <c r="A8532" i="1"/>
  <c r="A8531" i="1"/>
  <c r="A4344" i="1"/>
  <c r="A4343" i="1"/>
  <c r="A4342" i="1"/>
  <c r="A66" i="1"/>
  <c r="A8530" i="1"/>
  <c r="A8529" i="1"/>
  <c r="A8528" i="1"/>
  <c r="A8527" i="1"/>
  <c r="A8526" i="1"/>
  <c r="A8525" i="1"/>
  <c r="A500" i="1"/>
  <c r="A8524" i="1"/>
  <c r="A4341" i="1"/>
  <c r="A499" i="1"/>
  <c r="A8523" i="1"/>
  <c r="A8522" i="1"/>
  <c r="A4340" i="1"/>
  <c r="A4339" i="1"/>
  <c r="A4338" i="1"/>
  <c r="A4337" i="1"/>
  <c r="A4336" i="1"/>
  <c r="A8521" i="1"/>
  <c r="A8520" i="1"/>
  <c r="A8519" i="1"/>
  <c r="A4335" i="1"/>
  <c r="A4334" i="1"/>
  <c r="A4333" i="1"/>
  <c r="A8518" i="1"/>
  <c r="A4332" i="1"/>
  <c r="A8517" i="1"/>
  <c r="A8516" i="1"/>
  <c r="A4331" i="1"/>
  <c r="A8515" i="1"/>
  <c r="A4330" i="1"/>
  <c r="A4329" i="1"/>
  <c r="A8514" i="1"/>
  <c r="A4328" i="1"/>
  <c r="A4327" i="1"/>
  <c r="A8513" i="1"/>
  <c r="A8512" i="1"/>
  <c r="A8511" i="1"/>
  <c r="A8510" i="1"/>
  <c r="A8509" i="1"/>
  <c r="A4326" i="1"/>
  <c r="A8508" i="1"/>
  <c r="A8507" i="1"/>
  <c r="A8506" i="1"/>
  <c r="A8505" i="1"/>
  <c r="A8504" i="1"/>
  <c r="A8503" i="1"/>
  <c r="A8502" i="1"/>
  <c r="A4325" i="1"/>
  <c r="A8501" i="1"/>
  <c r="A8500" i="1"/>
  <c r="A8499" i="1"/>
  <c r="A8498" i="1"/>
  <c r="A498" i="1"/>
  <c r="A8497" i="1"/>
  <c r="A4324" i="1"/>
  <c r="A8496" i="1"/>
  <c r="A8495" i="1"/>
  <c r="A8494" i="1"/>
  <c r="A8493" i="1"/>
  <c r="A4323" i="1"/>
  <c r="A8492" i="1"/>
  <c r="A4322" i="1"/>
  <c r="A8491" i="1"/>
  <c r="A4321" i="1"/>
  <c r="A8490" i="1"/>
  <c r="A4320" i="1"/>
  <c r="A8489" i="1"/>
  <c r="A8488" i="1"/>
  <c r="A8487" i="1"/>
  <c r="A13782" i="1"/>
  <c r="A8486" i="1"/>
  <c r="A497" i="1"/>
  <c r="A8485" i="1"/>
  <c r="A8484" i="1"/>
  <c r="A8483" i="1"/>
  <c r="A8482" i="1"/>
  <c r="A8481" i="1"/>
  <c r="A8480" i="1"/>
  <c r="A8479" i="1"/>
  <c r="A8478" i="1"/>
  <c r="A4319" i="1"/>
  <c r="A8477" i="1"/>
  <c r="A8476" i="1"/>
  <c r="A4318" i="1"/>
  <c r="A4317" i="1"/>
  <c r="A8475" i="1"/>
  <c r="A496" i="1"/>
  <c r="A8474" i="1"/>
  <c r="A4316" i="1"/>
  <c r="A8473" i="1"/>
  <c r="A8472" i="1"/>
  <c r="A8471" i="1"/>
  <c r="A8470" i="1"/>
  <c r="A495" i="1"/>
  <c r="A4315" i="1"/>
  <c r="A8469" i="1"/>
  <c r="A8468" i="1"/>
  <c r="A8467" i="1"/>
  <c r="A13781" i="1"/>
  <c r="A8466" i="1"/>
  <c r="A8465" i="1"/>
  <c r="A8464" i="1"/>
  <c r="A8463" i="1"/>
  <c r="A4314" i="1"/>
  <c r="A8462" i="1"/>
  <c r="A8461" i="1"/>
  <c r="A8460" i="1"/>
  <c r="A8459" i="1"/>
  <c r="A8458" i="1"/>
  <c r="A8457" i="1"/>
  <c r="A494" i="1"/>
  <c r="A493" i="1"/>
  <c r="A492" i="1"/>
  <c r="A8456" i="1"/>
  <c r="A8455" i="1"/>
  <c r="A8454" i="1"/>
  <c r="A4313" i="1"/>
  <c r="A8453" i="1"/>
  <c r="A4312" i="1"/>
  <c r="A8452" i="1"/>
  <c r="A8451" i="1"/>
  <c r="A8450" i="1"/>
  <c r="A4311" i="1"/>
  <c r="A4310" i="1"/>
  <c r="A8449" i="1"/>
  <c r="A4309" i="1"/>
  <c r="A8448" i="1"/>
  <c r="A8447" i="1"/>
  <c r="A8446" i="1"/>
  <c r="A4308" i="1"/>
  <c r="A8445" i="1"/>
  <c r="A8444" i="1"/>
  <c r="A8443" i="1"/>
  <c r="A1046" i="1"/>
  <c r="A491" i="1"/>
  <c r="A4307" i="1"/>
  <c r="A8442" i="1"/>
  <c r="A4306" i="1"/>
  <c r="A490" i="1"/>
  <c r="A8441" i="1"/>
  <c r="A8440" i="1"/>
  <c r="A8439" i="1"/>
  <c r="A8438" i="1"/>
  <c r="A1045" i="1"/>
  <c r="A65" i="1"/>
  <c r="A8437" i="1"/>
  <c r="A8436" i="1"/>
  <c r="A4305" i="1"/>
  <c r="A8435" i="1"/>
  <c r="A489" i="1"/>
  <c r="A8434" i="1"/>
  <c r="A8433" i="1"/>
  <c r="A4304" i="1"/>
  <c r="A8432" i="1"/>
  <c r="A4303" i="1"/>
  <c r="A1044" i="1"/>
  <c r="A8431" i="1"/>
  <c r="A4302" i="1"/>
  <c r="A8430" i="1"/>
  <c r="A4301" i="1"/>
  <c r="A4300" i="1"/>
  <c r="A4299" i="1"/>
  <c r="A4298" i="1"/>
  <c r="A8429" i="1"/>
  <c r="A488" i="1"/>
  <c r="A4297" i="1"/>
  <c r="A8428" i="1"/>
  <c r="A4296" i="1"/>
  <c r="A8427" i="1"/>
  <c r="A4295" i="1"/>
  <c r="A8426" i="1"/>
  <c r="A4294" i="1"/>
  <c r="A4293" i="1"/>
  <c r="A8425" i="1"/>
  <c r="A1043" i="1"/>
  <c r="A487" i="1"/>
  <c r="A49" i="1"/>
  <c r="A8424" i="1"/>
  <c r="A8423" i="1"/>
  <c r="A8422" i="1"/>
  <c r="A8421" i="1"/>
  <c r="A8420" i="1"/>
  <c r="A4292" i="1"/>
  <c r="A8419" i="1"/>
  <c r="A110" i="1"/>
  <c r="A8418" i="1"/>
  <c r="A8417" i="1"/>
  <c r="A1042" i="1"/>
  <c r="A8416" i="1"/>
  <c r="A1041" i="1"/>
  <c r="A4291" i="1"/>
  <c r="A4290" i="1"/>
  <c r="A4289" i="1"/>
  <c r="A8415" i="1"/>
  <c r="A4288" i="1"/>
  <c r="A4287" i="1"/>
  <c r="A4286" i="1"/>
  <c r="A4285" i="1"/>
  <c r="A4284" i="1"/>
  <c r="A8414" i="1"/>
  <c r="A8413" i="1"/>
  <c r="A4283" i="1"/>
  <c r="A4282" i="1"/>
  <c r="A4281" i="1"/>
  <c r="A8412" i="1"/>
  <c r="A8411" i="1"/>
  <c r="A8410" i="1"/>
  <c r="A8409" i="1"/>
  <c r="A8408" i="1"/>
  <c r="A8407" i="1"/>
  <c r="A8406" i="1"/>
  <c r="A4280" i="1"/>
  <c r="A8405" i="1"/>
  <c r="A8404" i="1"/>
  <c r="A8403" i="1"/>
  <c r="A4279" i="1"/>
  <c r="A4278" i="1"/>
  <c r="A8402" i="1"/>
  <c r="A4277" i="1"/>
  <c r="A8401" i="1"/>
  <c r="A8400" i="1"/>
  <c r="A8399" i="1"/>
  <c r="A8398" i="1"/>
  <c r="A8397" i="1"/>
  <c r="A8396" i="1"/>
  <c r="A4276" i="1"/>
  <c r="A1040" i="1"/>
  <c r="A1039" i="1"/>
  <c r="A8395" i="1"/>
  <c r="A4275" i="1"/>
  <c r="A8394" i="1"/>
  <c r="A4274" i="1"/>
  <c r="A8393" i="1"/>
  <c r="A8392" i="1"/>
  <c r="A4273" i="1"/>
  <c r="A8391" i="1"/>
  <c r="A8390" i="1"/>
  <c r="A8389" i="1"/>
  <c r="A486" i="1"/>
  <c r="A4272" i="1"/>
  <c r="A8388" i="1"/>
  <c r="A8387" i="1"/>
  <c r="A8386" i="1"/>
  <c r="A8385" i="1"/>
  <c r="A8384" i="1"/>
  <c r="A4271" i="1"/>
  <c r="A8383" i="1"/>
  <c r="A64" i="1"/>
  <c r="A485" i="1"/>
  <c r="A8382" i="1"/>
  <c r="A8381" i="1"/>
  <c r="A8380" i="1"/>
  <c r="A8379" i="1"/>
  <c r="A4270" i="1"/>
  <c r="A63" i="1"/>
  <c r="A4269" i="1"/>
  <c r="A4268" i="1"/>
  <c r="A8378" i="1"/>
  <c r="A4267" i="1"/>
  <c r="A484" i="1"/>
  <c r="A4266" i="1"/>
  <c r="A8377" i="1"/>
  <c r="A8376" i="1"/>
  <c r="A483" i="1"/>
  <c r="A4265" i="1"/>
  <c r="A8375" i="1"/>
  <c r="A8374" i="1"/>
  <c r="A8373" i="1"/>
  <c r="A8372" i="1"/>
  <c r="A8371" i="1"/>
  <c r="A8370" i="1"/>
  <c r="A8369" i="1"/>
  <c r="A4264" i="1"/>
  <c r="A8368" i="1"/>
  <c r="A8367" i="1"/>
  <c r="A482" i="1"/>
  <c r="A8366" i="1"/>
  <c r="A8365" i="1"/>
  <c r="A8364" i="1"/>
  <c r="A8363" i="1"/>
  <c r="A8362" i="1"/>
  <c r="A8361" i="1"/>
  <c r="A481" i="1"/>
  <c r="A8360" i="1"/>
  <c r="A8359" i="1"/>
  <c r="A8358" i="1"/>
  <c r="A4263" i="1"/>
  <c r="A8357" i="1"/>
  <c r="A4262" i="1"/>
  <c r="A4261" i="1"/>
  <c r="A4260" i="1"/>
  <c r="A4259" i="1"/>
  <c r="A4258" i="1"/>
  <c r="A8356" i="1"/>
  <c r="A4257" i="1"/>
  <c r="A8355" i="1"/>
  <c r="A8354" i="1"/>
  <c r="A4256" i="1"/>
  <c r="A4255" i="1"/>
  <c r="A109" i="1"/>
  <c r="A8353" i="1"/>
  <c r="A4254" i="1"/>
  <c r="A1038" i="1"/>
  <c r="A4253" i="1"/>
  <c r="A4252" i="1"/>
  <c r="A4251" i="1"/>
  <c r="A8352" i="1"/>
  <c r="A8351" i="1"/>
  <c r="A4250" i="1"/>
  <c r="A8350" i="1"/>
  <c r="A4249" i="1"/>
  <c r="A8349" i="1"/>
  <c r="A8348" i="1"/>
  <c r="A8347" i="1"/>
  <c r="A480" i="1"/>
  <c r="A8346" i="1"/>
  <c r="A8345" i="1"/>
  <c r="A4248" i="1"/>
  <c r="A8344" i="1"/>
  <c r="A8343" i="1"/>
  <c r="A8342" i="1"/>
  <c r="A8341" i="1"/>
  <c r="A479" i="1"/>
  <c r="A8340" i="1"/>
  <c r="A1037" i="1"/>
  <c r="A8339" i="1"/>
  <c r="A8338" i="1"/>
  <c r="A4247" i="1"/>
  <c r="A8337" i="1"/>
  <c r="A8336" i="1"/>
  <c r="A8335" i="1"/>
  <c r="A8334" i="1"/>
  <c r="A8333" i="1"/>
  <c r="A8332" i="1"/>
  <c r="A4246" i="1"/>
  <c r="A4245" i="1"/>
  <c r="A478" i="1"/>
  <c r="A4244" i="1"/>
  <c r="A4243" i="1"/>
  <c r="A4242" i="1"/>
  <c r="A4241" i="1"/>
  <c r="A8331" i="1"/>
  <c r="A477" i="1"/>
  <c r="A4240" i="1"/>
  <c r="A476" i="1"/>
  <c r="A8330" i="1"/>
  <c r="A4239" i="1"/>
  <c r="A4238" i="1"/>
  <c r="A8329" i="1"/>
  <c r="A4237" i="1"/>
  <c r="A4236" i="1"/>
  <c r="A4235" i="1"/>
  <c r="A8328" i="1"/>
  <c r="A4234" i="1"/>
  <c r="A8327" i="1"/>
  <c r="A4233" i="1"/>
  <c r="A8326" i="1"/>
  <c r="A4232" i="1"/>
  <c r="A8325" i="1"/>
  <c r="A4231" i="1"/>
  <c r="A8324" i="1"/>
  <c r="A48" i="1"/>
  <c r="A1036" i="1"/>
  <c r="A8323" i="1"/>
  <c r="A4230" i="1"/>
  <c r="A8322" i="1"/>
  <c r="A4229" i="1"/>
  <c r="A4228" i="1"/>
  <c r="A4227" i="1"/>
  <c r="A8321" i="1"/>
  <c r="A4226" i="1"/>
  <c r="A8320" i="1"/>
  <c r="A8319" i="1"/>
  <c r="A4225" i="1"/>
  <c r="A8318" i="1"/>
  <c r="A4224" i="1"/>
  <c r="A4223" i="1"/>
  <c r="A8317" i="1"/>
  <c r="A475" i="1"/>
  <c r="A8316" i="1"/>
  <c r="A4222" i="1"/>
  <c r="A4221" i="1"/>
  <c r="A4220" i="1"/>
  <c r="A8315" i="1"/>
  <c r="A4219" i="1"/>
  <c r="A4218" i="1"/>
  <c r="A4217" i="1"/>
  <c r="A4216" i="1"/>
  <c r="A8314" i="1"/>
  <c r="A4215" i="1"/>
  <c r="A8313" i="1"/>
  <c r="A8312" i="1"/>
  <c r="A4214" i="1"/>
  <c r="A8311" i="1"/>
  <c r="A8310" i="1"/>
  <c r="A4213" i="1"/>
  <c r="A8309" i="1"/>
  <c r="A8308" i="1"/>
  <c r="A8307" i="1"/>
  <c r="A4212" i="1"/>
  <c r="A4211" i="1"/>
  <c r="A8306" i="1"/>
  <c r="A8305" i="1"/>
  <c r="A8304" i="1"/>
  <c r="A4210" i="1"/>
  <c r="A8303" i="1"/>
  <c r="A8302" i="1"/>
  <c r="A8301" i="1"/>
  <c r="A4209" i="1"/>
  <c r="A4208" i="1"/>
  <c r="A8300" i="1"/>
  <c r="A4207" i="1"/>
  <c r="A8299" i="1"/>
  <c r="A8298" i="1"/>
  <c r="A8297" i="1"/>
  <c r="A4206" i="1"/>
  <c r="A8296" i="1"/>
  <c r="A4205" i="1"/>
  <c r="A8295" i="1"/>
  <c r="A1035" i="1"/>
  <c r="A4204" i="1"/>
  <c r="A8294" i="1"/>
  <c r="A8293" i="1"/>
  <c r="A8292" i="1"/>
  <c r="A8291" i="1"/>
  <c r="A4203" i="1"/>
  <c r="A4202" i="1"/>
  <c r="A4201" i="1"/>
  <c r="A8290" i="1"/>
  <c r="A8289" i="1"/>
  <c r="A4200" i="1"/>
  <c r="A8288" i="1"/>
  <c r="A4199" i="1"/>
  <c r="A8287" i="1"/>
  <c r="A8286" i="1"/>
  <c r="A8285" i="1"/>
  <c r="A8284" i="1"/>
  <c r="A8283" i="1"/>
  <c r="A474" i="1"/>
  <c r="A8282" i="1"/>
  <c r="A8281" i="1"/>
  <c r="A4198" i="1"/>
  <c r="A4197" i="1"/>
  <c r="A8280" i="1"/>
  <c r="A4196" i="1"/>
  <c r="A8279" i="1"/>
  <c r="A4195" i="1"/>
  <c r="A8278" i="1"/>
  <c r="A8277" i="1"/>
  <c r="A4194" i="1"/>
  <c r="A4193" i="1"/>
  <c r="A8276" i="1"/>
  <c r="A4192" i="1"/>
  <c r="A8275" i="1"/>
  <c r="A4191" i="1"/>
  <c r="A8274" i="1"/>
  <c r="A4190" i="1"/>
  <c r="A1034" i="1"/>
  <c r="A4189" i="1"/>
  <c r="A473" i="1"/>
  <c r="A4188" i="1"/>
  <c r="A4187" i="1"/>
  <c r="A472" i="1"/>
  <c r="A8273" i="1"/>
  <c r="A8272" i="1"/>
  <c r="A4186" i="1"/>
  <c r="A8271" i="1"/>
  <c r="A4185" i="1"/>
  <c r="A8270" i="1"/>
  <c r="A8269" i="1"/>
  <c r="A8268" i="1"/>
  <c r="A8267" i="1"/>
  <c r="A4184" i="1"/>
  <c r="A4183" i="1"/>
  <c r="A4182" i="1"/>
  <c r="A4181" i="1"/>
  <c r="A4180" i="1"/>
  <c r="A8266" i="1"/>
  <c r="A4179" i="1"/>
  <c r="A8265" i="1"/>
  <c r="A8264" i="1"/>
  <c r="A4178" i="1"/>
  <c r="A108" i="1"/>
  <c r="A8263" i="1"/>
  <c r="A8262" i="1"/>
  <c r="A8261" i="1"/>
  <c r="A8260" i="1"/>
  <c r="A471" i="1"/>
  <c r="A4177" i="1"/>
  <c r="A4176" i="1"/>
  <c r="A8259" i="1"/>
  <c r="A470" i="1"/>
  <c r="A4175" i="1"/>
  <c r="A8258" i="1"/>
  <c r="A4174" i="1"/>
  <c r="A8257" i="1"/>
  <c r="A4173" i="1"/>
  <c r="A8256" i="1"/>
  <c r="A8255" i="1"/>
  <c r="A8254" i="1"/>
  <c r="A469" i="1"/>
  <c r="A8253" i="1"/>
  <c r="A8252" i="1"/>
  <c r="A8251" i="1"/>
  <c r="A8250" i="1"/>
  <c r="A4172" i="1"/>
  <c r="A8249" i="1"/>
  <c r="A8248" i="1"/>
  <c r="A4171" i="1"/>
  <c r="A4170" i="1"/>
  <c r="A4169" i="1"/>
  <c r="A8247" i="1"/>
  <c r="A4168" i="1"/>
  <c r="A4167" i="1"/>
  <c r="A4166" i="1"/>
  <c r="A8246" i="1"/>
  <c r="A8245" i="1"/>
  <c r="A4165" i="1"/>
  <c r="A4164" i="1"/>
  <c r="A4163" i="1"/>
  <c r="A4162" i="1"/>
  <c r="A8244" i="1"/>
  <c r="A8243" i="1"/>
  <c r="A8242" i="1"/>
  <c r="A4161" i="1"/>
  <c r="A4160" i="1"/>
  <c r="A4159" i="1"/>
  <c r="A4158" i="1"/>
  <c r="A8241" i="1"/>
  <c r="A4157" i="1"/>
  <c r="A8240" i="1"/>
  <c r="A8239" i="1"/>
  <c r="A4156" i="1"/>
  <c r="A4155" i="1"/>
  <c r="A8238" i="1"/>
  <c r="A8237" i="1"/>
  <c r="A4154" i="1"/>
  <c r="A4153" i="1"/>
  <c r="A13780" i="1"/>
  <c r="A4152" i="1"/>
  <c r="A1033" i="1"/>
  <c r="A4151" i="1"/>
  <c r="A4150" i="1"/>
  <c r="A8236" i="1"/>
  <c r="A4149" i="1"/>
  <c r="A8235" i="1"/>
  <c r="A8234" i="1"/>
  <c r="A8233" i="1"/>
  <c r="A8232" i="1"/>
  <c r="A8231" i="1"/>
  <c r="A4148" i="1"/>
  <c r="A4147" i="1"/>
  <c r="A1032" i="1"/>
  <c r="A4146" i="1"/>
  <c r="A8230" i="1"/>
  <c r="A8229" i="1"/>
  <c r="A4145" i="1"/>
  <c r="A4144" i="1"/>
  <c r="A8228" i="1"/>
  <c r="A8227" i="1"/>
  <c r="A8226" i="1"/>
  <c r="A8225" i="1"/>
  <c r="A4143" i="1"/>
  <c r="A8224" i="1"/>
  <c r="A4142" i="1"/>
  <c r="A8223" i="1"/>
  <c r="A4141" i="1"/>
  <c r="A8222" i="1"/>
  <c r="A4140" i="1"/>
  <c r="A8221" i="1"/>
  <c r="A8220" i="1"/>
  <c r="A4139" i="1"/>
  <c r="A4138" i="1"/>
  <c r="A8219" i="1"/>
  <c r="A4137" i="1"/>
  <c r="A8218" i="1"/>
  <c r="A4136" i="1"/>
  <c r="A468" i="1"/>
  <c r="A4135" i="1"/>
  <c r="A8217" i="1"/>
  <c r="A8216" i="1"/>
  <c r="A8215" i="1"/>
  <c r="A4134" i="1"/>
  <c r="A8214" i="1"/>
  <c r="A8213" i="1"/>
  <c r="A8212" i="1"/>
  <c r="A467" i="1"/>
  <c r="A8211" i="1"/>
  <c r="A466" i="1"/>
  <c r="A8210" i="1"/>
  <c r="A4133" i="1"/>
  <c r="A4132" i="1"/>
  <c r="A465" i="1"/>
  <c r="A8209" i="1"/>
  <c r="A4131" i="1"/>
  <c r="A4130" i="1"/>
  <c r="A4129" i="1"/>
  <c r="A1031" i="1"/>
  <c r="A8208" i="1"/>
  <c r="A4128" i="1"/>
  <c r="A4127" i="1"/>
  <c r="A8207" i="1"/>
  <c r="A8206" i="1"/>
  <c r="A8205" i="1"/>
  <c r="A8204" i="1"/>
  <c r="A8203" i="1"/>
  <c r="A4126" i="1"/>
  <c r="A8202" i="1"/>
  <c r="A8201" i="1"/>
  <c r="A8200" i="1"/>
  <c r="A8199" i="1"/>
  <c r="A107" i="1"/>
  <c r="A4125" i="1"/>
  <c r="A8198" i="1"/>
  <c r="A4124" i="1"/>
  <c r="A8197" i="1"/>
  <c r="A8196" i="1"/>
  <c r="A8195" i="1"/>
  <c r="A8194" i="1"/>
  <c r="A4123" i="1"/>
  <c r="A8193" i="1"/>
  <c r="A8192" i="1"/>
  <c r="A8191" i="1"/>
  <c r="A8190" i="1"/>
  <c r="A4122" i="1"/>
  <c r="A4121" i="1"/>
  <c r="A8189" i="1"/>
  <c r="A4120" i="1"/>
  <c r="A8188" i="1"/>
  <c r="A4119" i="1"/>
  <c r="A4118" i="1"/>
  <c r="A4117" i="1"/>
  <c r="A4116" i="1"/>
  <c r="A4115" i="1"/>
  <c r="A8187" i="1"/>
  <c r="A1030" i="1"/>
  <c r="A4114" i="1"/>
  <c r="A1029" i="1"/>
  <c r="A8186" i="1"/>
  <c r="A4113" i="1"/>
  <c r="A8185" i="1"/>
  <c r="A4112" i="1"/>
  <c r="A4111" i="1"/>
  <c r="A4110" i="1"/>
  <c r="A8184" i="1"/>
  <c r="A4109" i="1"/>
  <c r="A4108" i="1"/>
  <c r="A8183" i="1"/>
  <c r="A4107" i="1"/>
  <c r="A8182" i="1"/>
  <c r="A8181" i="1"/>
  <c r="A8180" i="1"/>
  <c r="A4106" i="1"/>
  <c r="A8179" i="1"/>
  <c r="A8178" i="1"/>
  <c r="A8177" i="1"/>
  <c r="A8176" i="1"/>
  <c r="A4105" i="1"/>
  <c r="A8175" i="1"/>
  <c r="A8174" i="1"/>
  <c r="A8173" i="1"/>
  <c r="A8172" i="1"/>
  <c r="A4104" i="1"/>
  <c r="A8171" i="1"/>
  <c r="A8170" i="1"/>
  <c r="A4103" i="1"/>
  <c r="A4102" i="1"/>
  <c r="A464" i="1"/>
  <c r="A4101" i="1"/>
  <c r="A4100" i="1"/>
  <c r="A8169" i="1"/>
  <c r="A8168" i="1"/>
  <c r="A8167" i="1"/>
  <c r="A8166" i="1"/>
  <c r="A4099" i="1"/>
  <c r="A8165" i="1"/>
  <c r="A8164" i="1"/>
  <c r="A4098" i="1"/>
  <c r="A4097" i="1"/>
  <c r="A4096" i="1"/>
  <c r="A8163" i="1"/>
  <c r="A8162" i="1"/>
  <c r="A8161" i="1"/>
  <c r="A8160" i="1"/>
  <c r="A8159" i="1"/>
  <c r="A463" i="1"/>
  <c r="A8158" i="1"/>
  <c r="A1028" i="1"/>
  <c r="A8157" i="1"/>
  <c r="A4095" i="1"/>
  <c r="A462" i="1"/>
  <c r="A1027" i="1"/>
  <c r="A8156" i="1"/>
  <c r="A8155" i="1"/>
  <c r="A4094" i="1"/>
  <c r="A8154" i="1"/>
  <c r="A8153" i="1"/>
  <c r="A8152" i="1"/>
  <c r="A8151" i="1"/>
  <c r="A8150" i="1"/>
  <c r="A8149" i="1"/>
  <c r="A4093" i="1"/>
  <c r="A8148" i="1"/>
  <c r="A8147" i="1"/>
  <c r="A8146" i="1"/>
  <c r="A4092" i="1"/>
  <c r="A8145" i="1"/>
  <c r="A8144" i="1"/>
  <c r="A4091" i="1"/>
  <c r="A8143" i="1"/>
  <c r="A8142" i="1"/>
  <c r="A4090" i="1"/>
  <c r="A8141" i="1"/>
  <c r="A8140" i="1"/>
  <c r="A461" i="1"/>
  <c r="A8139" i="1"/>
  <c r="A8138" i="1"/>
  <c r="A1026" i="1"/>
  <c r="A8137" i="1"/>
  <c r="A8136" i="1"/>
  <c r="A4089" i="1"/>
  <c r="A8135" i="1"/>
  <c r="A4088" i="1"/>
  <c r="A8134" i="1"/>
  <c r="A4087" i="1"/>
  <c r="A8133" i="1"/>
  <c r="A8132" i="1"/>
  <c r="A8131" i="1"/>
  <c r="A8130" i="1"/>
  <c r="A8129" i="1"/>
  <c r="A8128" i="1"/>
  <c r="A4086" i="1"/>
  <c r="A8127" i="1"/>
  <c r="A8126" i="1"/>
  <c r="A8125" i="1"/>
  <c r="A8124" i="1"/>
  <c r="A4085" i="1"/>
  <c r="A8123" i="1"/>
  <c r="A4084" i="1"/>
  <c r="A4083" i="1"/>
  <c r="A4082" i="1"/>
  <c r="A4081" i="1"/>
  <c r="A8122" i="1"/>
  <c r="A8121" i="1"/>
  <c r="A8120" i="1"/>
  <c r="A4080" i="1"/>
  <c r="A8119" i="1"/>
  <c r="A8118" i="1"/>
  <c r="A8117" i="1"/>
  <c r="A4079" i="1"/>
  <c r="A8116" i="1"/>
  <c r="A8115" i="1"/>
  <c r="A8114" i="1"/>
  <c r="A8113" i="1"/>
  <c r="A4078" i="1"/>
  <c r="A8112" i="1"/>
  <c r="A8111" i="1"/>
  <c r="A4077" i="1"/>
  <c r="A8110" i="1"/>
  <c r="A4076" i="1"/>
  <c r="A8109" i="1"/>
  <c r="A4075" i="1"/>
  <c r="A8108" i="1"/>
  <c r="A8107" i="1"/>
  <c r="A8106" i="1"/>
  <c r="A8105" i="1"/>
  <c r="A8104" i="1"/>
  <c r="A8103" i="1"/>
  <c r="A8102" i="1"/>
  <c r="A4074" i="1"/>
  <c r="A8101" i="1"/>
  <c r="A1025" i="1"/>
  <c r="A8100" i="1"/>
  <c r="A8099" i="1"/>
  <c r="A8098" i="1"/>
  <c r="A8097" i="1"/>
  <c r="A8096" i="1"/>
  <c r="A8095" i="1"/>
  <c r="A8094" i="1"/>
  <c r="A8093" i="1"/>
  <c r="A4073" i="1"/>
  <c r="A8092" i="1"/>
  <c r="A460" i="1"/>
  <c r="A8091" i="1"/>
  <c r="A8090" i="1"/>
  <c r="A8089" i="1"/>
  <c r="A8088" i="1"/>
  <c r="A8087" i="1"/>
  <c r="A8086" i="1"/>
  <c r="A8085" i="1"/>
  <c r="A8084" i="1"/>
  <c r="A8083" i="1"/>
  <c r="A8082" i="1"/>
  <c r="A4072" i="1"/>
  <c r="A4071" i="1"/>
  <c r="A8081" i="1"/>
  <c r="A4070" i="1"/>
  <c r="A8080" i="1"/>
  <c r="A8079" i="1"/>
  <c r="A8078" i="1"/>
  <c r="A4069" i="1"/>
  <c r="A8077" i="1"/>
  <c r="A8076" i="1"/>
  <c r="A8075" i="1"/>
  <c r="A4068" i="1"/>
  <c r="A4067" i="1"/>
  <c r="A8074" i="1"/>
  <c r="A8073" i="1"/>
  <c r="A8072" i="1"/>
  <c r="A8071" i="1"/>
  <c r="A8070" i="1"/>
  <c r="A4066" i="1"/>
  <c r="A8069" i="1"/>
  <c r="A8068" i="1"/>
  <c r="A8067" i="1"/>
  <c r="A8066" i="1"/>
  <c r="A4065" i="1"/>
  <c r="A8065" i="1"/>
  <c r="A8064" i="1"/>
  <c r="A8063" i="1"/>
  <c r="A8062" i="1"/>
  <c r="A1024" i="1"/>
  <c r="A8061" i="1"/>
  <c r="A8060" i="1"/>
  <c r="A8059" i="1"/>
  <c r="A8058" i="1"/>
  <c r="A8057" i="1"/>
  <c r="A4064" i="1"/>
  <c r="A8056" i="1"/>
  <c r="A8055" i="1"/>
  <c r="A8054" i="1"/>
  <c r="A4063" i="1"/>
  <c r="A8053" i="1"/>
  <c r="A4062" i="1"/>
  <c r="A4061" i="1"/>
  <c r="A4060" i="1"/>
  <c r="A4059" i="1"/>
  <c r="A8052" i="1"/>
  <c r="A8051" i="1"/>
  <c r="A8050" i="1"/>
  <c r="A8049" i="1"/>
  <c r="A1023" i="1"/>
  <c r="A4058" i="1"/>
  <c r="A4057" i="1"/>
  <c r="A8048" i="1"/>
  <c r="A8047" i="1"/>
  <c r="A8046" i="1"/>
  <c r="A8045" i="1"/>
  <c r="A8044" i="1"/>
  <c r="A4056" i="1"/>
  <c r="A8043" i="1"/>
  <c r="A8042" i="1"/>
  <c r="A4055" i="1"/>
  <c r="A4054" i="1"/>
  <c r="A8041" i="1"/>
  <c r="A8040" i="1"/>
  <c r="A8039" i="1"/>
  <c r="A8038" i="1"/>
  <c r="A8037" i="1"/>
  <c r="A8036" i="1"/>
  <c r="A8035" i="1"/>
  <c r="A8034" i="1"/>
  <c r="A4053" i="1"/>
  <c r="A8033" i="1"/>
  <c r="A8032" i="1"/>
  <c r="A4052" i="1"/>
  <c r="A8031" i="1"/>
  <c r="A106" i="1"/>
  <c r="A4051" i="1"/>
  <c r="A8030" i="1"/>
  <c r="A8029" i="1"/>
  <c r="A8028" i="1"/>
  <c r="A4050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4049" i="1"/>
  <c r="A105" i="1"/>
  <c r="A8012" i="1"/>
  <c r="A8011" i="1"/>
  <c r="A4048" i="1"/>
  <c r="A8010" i="1"/>
  <c r="A8009" i="1"/>
  <c r="A8008" i="1"/>
  <c r="A8007" i="1"/>
  <c r="A8006" i="1"/>
  <c r="A8005" i="1"/>
  <c r="A8004" i="1"/>
  <c r="A8003" i="1"/>
  <c r="A8002" i="1"/>
  <c r="A4047" i="1"/>
  <c r="A8001" i="1"/>
  <c r="A8000" i="1"/>
  <c r="A7999" i="1"/>
  <c r="A4046" i="1"/>
  <c r="A7998" i="1"/>
  <c r="A4045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4044" i="1"/>
  <c r="A7980" i="1"/>
  <c r="A7979" i="1"/>
  <c r="A7978" i="1"/>
  <c r="A459" i="1"/>
  <c r="A7977" i="1"/>
  <c r="A458" i="1"/>
  <c r="A7976" i="1"/>
  <c r="A7975" i="1"/>
  <c r="A7974" i="1"/>
  <c r="A4043" i="1"/>
  <c r="A7973" i="1"/>
  <c r="A7972" i="1"/>
  <c r="A7971" i="1"/>
  <c r="A7970" i="1"/>
  <c r="A7969" i="1"/>
  <c r="A457" i="1"/>
  <c r="A4042" i="1"/>
  <c r="A7968" i="1"/>
  <c r="A4041" i="1"/>
  <c r="A7967" i="1"/>
  <c r="A7966" i="1"/>
  <c r="A7965" i="1"/>
  <c r="A7964" i="1"/>
  <c r="A7963" i="1"/>
  <c r="A4040" i="1"/>
  <c r="A104" i="1"/>
  <c r="A7962" i="1"/>
  <c r="A7961" i="1"/>
  <c r="A1022" i="1"/>
  <c r="A7960" i="1"/>
  <c r="A4039" i="1"/>
  <c r="A7959" i="1"/>
  <c r="A4038" i="1"/>
  <c r="A7958" i="1"/>
  <c r="A4037" i="1"/>
  <c r="A7957" i="1"/>
  <c r="A7956" i="1"/>
  <c r="A7955" i="1"/>
  <c r="A7954" i="1"/>
  <c r="A4036" i="1"/>
  <c r="A7953" i="1"/>
  <c r="A7952" i="1"/>
  <c r="A7951" i="1"/>
  <c r="A7950" i="1"/>
  <c r="A7949" i="1"/>
  <c r="A7948" i="1"/>
  <c r="A7947" i="1"/>
  <c r="A7946" i="1"/>
  <c r="A4035" i="1"/>
  <c r="A4034" i="1"/>
  <c r="A4033" i="1"/>
  <c r="A7945" i="1"/>
  <c r="A4032" i="1"/>
  <c r="A7944" i="1"/>
  <c r="A7943" i="1"/>
  <c r="A7942" i="1"/>
  <c r="A7941" i="1"/>
  <c r="A4031" i="1"/>
  <c r="A7940" i="1"/>
  <c r="A7939" i="1"/>
  <c r="A4030" i="1"/>
  <c r="A7938" i="1"/>
  <c r="A7937" i="1"/>
  <c r="A456" i="1"/>
  <c r="A4029" i="1"/>
  <c r="A7936" i="1"/>
  <c r="A7935" i="1"/>
  <c r="A455" i="1"/>
  <c r="A7934" i="1"/>
  <c r="A7933" i="1"/>
  <c r="A7932" i="1"/>
  <c r="A7931" i="1"/>
  <c r="A4028" i="1"/>
  <c r="A7930" i="1"/>
  <c r="A4027" i="1"/>
  <c r="A4026" i="1"/>
  <c r="A7929" i="1"/>
  <c r="A4025" i="1"/>
  <c r="A7928" i="1"/>
  <c r="A454" i="1"/>
  <c r="A7927" i="1"/>
  <c r="A453" i="1"/>
  <c r="A7926" i="1"/>
  <c r="A7925" i="1"/>
  <c r="A4024" i="1"/>
  <c r="A7924" i="1"/>
  <c r="A4023" i="1"/>
  <c r="A7923" i="1"/>
  <c r="A7922" i="1"/>
  <c r="A7921" i="1"/>
  <c r="A7920" i="1"/>
  <c r="A7919" i="1"/>
  <c r="A7918" i="1"/>
  <c r="A7917" i="1"/>
  <c r="A4022" i="1"/>
  <c r="A7916" i="1"/>
  <c r="A4021" i="1"/>
  <c r="A4020" i="1"/>
  <c r="A7915" i="1"/>
  <c r="A7914" i="1"/>
  <c r="A7913" i="1"/>
  <c r="A7912" i="1"/>
  <c r="A7911" i="1"/>
  <c r="A7910" i="1"/>
  <c r="A7909" i="1"/>
  <c r="A7908" i="1"/>
  <c r="A7907" i="1"/>
  <c r="A7906" i="1"/>
  <c r="A7905" i="1"/>
  <c r="A4019" i="1"/>
  <c r="A7904" i="1"/>
  <c r="A4018" i="1"/>
  <c r="A7903" i="1"/>
  <c r="A7902" i="1"/>
  <c r="A7901" i="1"/>
  <c r="A7900" i="1"/>
  <c r="A7899" i="1"/>
  <c r="A7898" i="1"/>
  <c r="A452" i="1"/>
  <c r="A7897" i="1"/>
  <c r="A7896" i="1"/>
  <c r="A7895" i="1"/>
  <c r="A7894" i="1"/>
  <c r="A7893" i="1"/>
  <c r="A7892" i="1"/>
  <c r="A7891" i="1"/>
  <c r="A7890" i="1"/>
  <c r="A4017" i="1"/>
  <c r="A7889" i="1"/>
  <c r="A4016" i="1"/>
  <c r="A7888" i="1"/>
  <c r="A7887" i="1"/>
  <c r="A7886" i="1"/>
  <c r="A451" i="1"/>
  <c r="A4015" i="1"/>
  <c r="A7885" i="1"/>
  <c r="A4014" i="1"/>
  <c r="A4013" i="1"/>
  <c r="A450" i="1"/>
  <c r="A7884" i="1"/>
  <c r="A7883" i="1"/>
  <c r="A7882" i="1"/>
  <c r="A4012" i="1"/>
  <c r="A4011" i="1"/>
  <c r="A4010" i="1"/>
  <c r="A7881" i="1"/>
  <c r="A4009" i="1"/>
  <c r="A7880" i="1"/>
  <c r="A7879" i="1"/>
  <c r="A7878" i="1"/>
  <c r="A7877" i="1"/>
  <c r="A7876" i="1"/>
  <c r="A4008" i="1"/>
  <c r="A7875" i="1"/>
  <c r="A4007" i="1"/>
  <c r="A7874" i="1"/>
  <c r="A7873" i="1"/>
  <c r="A4006" i="1"/>
  <c r="A7872" i="1"/>
  <c r="A7871" i="1"/>
  <c r="A7870" i="1"/>
  <c r="A7869" i="1"/>
  <c r="A4005" i="1"/>
  <c r="A7868" i="1"/>
  <c r="A7867" i="1"/>
  <c r="A7866" i="1"/>
  <c r="A7865" i="1"/>
  <c r="A7864" i="1"/>
  <c r="A7863" i="1"/>
  <c r="A7862" i="1"/>
  <c r="A7861" i="1"/>
  <c r="A4004" i="1"/>
  <c r="A449" i="1"/>
  <c r="A4003" i="1"/>
  <c r="A7860" i="1"/>
  <c r="A4002" i="1"/>
  <c r="A7859" i="1"/>
  <c r="A4001" i="1"/>
  <c r="A7858" i="1"/>
  <c r="A7857" i="1"/>
  <c r="A7856" i="1"/>
  <c r="A7855" i="1"/>
  <c r="A7854" i="1"/>
  <c r="A4000" i="1"/>
  <c r="A7853" i="1"/>
  <c r="A7852" i="1"/>
  <c r="A3999" i="1"/>
  <c r="A7851" i="1"/>
  <c r="A7850" i="1"/>
  <c r="A3998" i="1"/>
  <c r="A7849" i="1"/>
  <c r="A3997" i="1"/>
  <c r="A3996" i="1"/>
  <c r="A3995" i="1"/>
  <c r="A7848" i="1"/>
  <c r="A7847" i="1"/>
  <c r="A7846" i="1"/>
  <c r="A7845" i="1"/>
  <c r="A448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3994" i="1"/>
  <c r="A7826" i="1"/>
  <c r="A7825" i="1"/>
  <c r="A1021" i="1"/>
  <c r="A447" i="1"/>
  <c r="A7824" i="1"/>
  <c r="A7823" i="1"/>
  <c r="A7822" i="1"/>
  <c r="A7821" i="1"/>
  <c r="A3993" i="1"/>
  <c r="A3992" i="1"/>
  <c r="A7820" i="1"/>
  <c r="A3991" i="1"/>
  <c r="A3990" i="1"/>
  <c r="A7819" i="1"/>
  <c r="A7818" i="1"/>
  <c r="A7817" i="1"/>
  <c r="A7816" i="1"/>
  <c r="A7815" i="1"/>
  <c r="A7814" i="1"/>
  <c r="A3989" i="1"/>
  <c r="A7813" i="1"/>
  <c r="A7812" i="1"/>
  <c r="A7811" i="1"/>
  <c r="A3988" i="1"/>
  <c r="A7810" i="1"/>
  <c r="A7809" i="1"/>
  <c r="A7808" i="1"/>
  <c r="A7807" i="1"/>
  <c r="A446" i="1"/>
  <c r="A3987" i="1"/>
  <c r="A7806" i="1"/>
  <c r="A3986" i="1"/>
  <c r="A7805" i="1"/>
  <c r="A3985" i="1"/>
  <c r="A7804" i="1"/>
  <c r="A7803" i="1"/>
  <c r="A7802" i="1"/>
  <c r="A7801" i="1"/>
  <c r="A7800" i="1"/>
  <c r="A7799" i="1"/>
  <c r="A7798" i="1"/>
  <c r="A7797" i="1"/>
  <c r="A7796" i="1"/>
  <c r="A7795" i="1"/>
  <c r="A3984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3983" i="1"/>
  <c r="A3982" i="1"/>
  <c r="A3981" i="1"/>
  <c r="A3980" i="1"/>
  <c r="A3979" i="1"/>
  <c r="A7774" i="1"/>
  <c r="A7773" i="1"/>
  <c r="A3978" i="1"/>
  <c r="A3977" i="1"/>
  <c r="A7772" i="1"/>
  <c r="A7771" i="1"/>
  <c r="A3976" i="1"/>
  <c r="A7770" i="1"/>
  <c r="A3975" i="1"/>
  <c r="A7769" i="1"/>
  <c r="A7768" i="1"/>
  <c r="A7767" i="1"/>
  <c r="A7766" i="1"/>
  <c r="A7765" i="1"/>
  <c r="A7764" i="1"/>
  <c r="A1020" i="1"/>
  <c r="A7763" i="1"/>
  <c r="A7762" i="1"/>
  <c r="A7761" i="1"/>
  <c r="A7760" i="1"/>
  <c r="A7759" i="1"/>
  <c r="A7758" i="1"/>
  <c r="A7757" i="1"/>
  <c r="A445" i="1"/>
  <c r="A3974" i="1"/>
  <c r="A3973" i="1"/>
  <c r="A3972" i="1"/>
  <c r="A3971" i="1"/>
  <c r="A7756" i="1"/>
  <c r="A3970" i="1"/>
  <c r="A7755" i="1"/>
  <c r="A3969" i="1"/>
  <c r="A7754" i="1"/>
  <c r="A7753" i="1"/>
  <c r="A7752" i="1"/>
  <c r="A1019" i="1"/>
  <c r="A7751" i="1"/>
  <c r="A3968" i="1"/>
  <c r="A444" i="1"/>
  <c r="A443" i="1"/>
  <c r="A442" i="1"/>
  <c r="A3967" i="1"/>
  <c r="A7750" i="1"/>
  <c r="A7749" i="1"/>
  <c r="A7748" i="1"/>
  <c r="A3966" i="1"/>
  <c r="A7747" i="1"/>
  <c r="A3965" i="1"/>
  <c r="A7746" i="1"/>
  <c r="A7745" i="1"/>
  <c r="A3964" i="1"/>
  <c r="A7744" i="1"/>
  <c r="A7743" i="1"/>
  <c r="A7742" i="1"/>
  <c r="A7741" i="1"/>
  <c r="A7740" i="1"/>
  <c r="A7739" i="1"/>
  <c r="A7738" i="1"/>
  <c r="A3963" i="1"/>
  <c r="A7737" i="1"/>
  <c r="A3962" i="1"/>
  <c r="A7736" i="1"/>
  <c r="A7735" i="1"/>
  <c r="A7734" i="1"/>
  <c r="A3961" i="1"/>
  <c r="A7733" i="1"/>
  <c r="A3960" i="1"/>
  <c r="A7732" i="1"/>
  <c r="A7731" i="1"/>
  <c r="A7730" i="1"/>
  <c r="A7729" i="1"/>
  <c r="A7728" i="1"/>
  <c r="A3959" i="1"/>
  <c r="A7727" i="1"/>
  <c r="A3958" i="1"/>
  <c r="A7726" i="1"/>
  <c r="A1018" i="1"/>
  <c r="A7725" i="1"/>
  <c r="A1017" i="1"/>
  <c r="A7724" i="1"/>
  <c r="A7723" i="1"/>
  <c r="A3957" i="1"/>
  <c r="A7722" i="1"/>
  <c r="A1016" i="1"/>
  <c r="A7721" i="1"/>
  <c r="A7720" i="1"/>
  <c r="A7719" i="1"/>
  <c r="A1015" i="1"/>
  <c r="A7718" i="1"/>
  <c r="A3956" i="1"/>
  <c r="A441" i="1"/>
  <c r="A440" i="1"/>
  <c r="A3955" i="1"/>
  <c r="A7717" i="1"/>
  <c r="A3954" i="1"/>
  <c r="A439" i="1"/>
  <c r="A1014" i="1"/>
  <c r="A3953" i="1"/>
  <c r="A438" i="1"/>
  <c r="A7716" i="1"/>
  <c r="A7715" i="1"/>
  <c r="A7714" i="1"/>
  <c r="A7713" i="1"/>
  <c r="A3952" i="1"/>
  <c r="A7712" i="1"/>
  <c r="A3951" i="1"/>
  <c r="A3950" i="1"/>
  <c r="A7711" i="1"/>
  <c r="A7710" i="1"/>
  <c r="A1013" i="1"/>
  <c r="A7709" i="1"/>
  <c r="A3949" i="1"/>
  <c r="A3948" i="1"/>
  <c r="A7708" i="1"/>
  <c r="A7707" i="1"/>
  <c r="A7706" i="1"/>
  <c r="A437" i="1"/>
  <c r="A3947" i="1"/>
  <c r="A7705" i="1"/>
  <c r="A7704" i="1"/>
  <c r="A7703" i="1"/>
  <c r="A7702" i="1"/>
  <c r="A7701" i="1"/>
  <c r="A436" i="1"/>
  <c r="A1012" i="1"/>
  <c r="A7700" i="1"/>
  <c r="A7699" i="1"/>
  <c r="A7698" i="1"/>
  <c r="A7697" i="1"/>
  <c r="A7696" i="1"/>
  <c r="A3946" i="1"/>
  <c r="A7695" i="1"/>
  <c r="A7694" i="1"/>
  <c r="A3945" i="1"/>
  <c r="A7693" i="1"/>
  <c r="A7692" i="1"/>
  <c r="A3944" i="1"/>
  <c r="A7691" i="1"/>
  <c r="A7690" i="1"/>
  <c r="A7689" i="1"/>
  <c r="A7688" i="1"/>
  <c r="A7687" i="1"/>
  <c r="A7686" i="1"/>
  <c r="A7685" i="1"/>
  <c r="A7684" i="1"/>
  <c r="A7683" i="1"/>
  <c r="A7682" i="1"/>
  <c r="A435" i="1"/>
  <c r="A7681" i="1"/>
  <c r="A7680" i="1"/>
  <c r="A434" i="1"/>
  <c r="A7679" i="1"/>
  <c r="A3943" i="1"/>
  <c r="A1011" i="1"/>
  <c r="A7678" i="1"/>
  <c r="A7677" i="1"/>
  <c r="A7676" i="1"/>
  <c r="A3942" i="1"/>
  <c r="A7675" i="1"/>
  <c r="A3941" i="1"/>
  <c r="A433" i="1"/>
  <c r="A7674" i="1"/>
  <c r="A3940" i="1"/>
  <c r="A7673" i="1"/>
  <c r="A7672" i="1"/>
  <c r="A7671" i="1"/>
  <c r="A7670" i="1"/>
  <c r="A7669" i="1"/>
  <c r="A7668" i="1"/>
  <c r="A3939" i="1"/>
  <c r="A7667" i="1"/>
  <c r="A7666" i="1"/>
  <c r="A7665" i="1"/>
  <c r="A3938" i="1"/>
  <c r="A3937" i="1"/>
  <c r="A3936" i="1"/>
  <c r="A393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3934" i="1"/>
  <c r="A7643" i="1"/>
  <c r="A7642" i="1"/>
  <c r="A7641" i="1"/>
  <c r="A7640" i="1"/>
  <c r="A7639" i="1"/>
  <c r="A7638" i="1"/>
  <c r="A7637" i="1"/>
  <c r="A7636" i="1"/>
  <c r="A3933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432" i="1"/>
  <c r="A7622" i="1"/>
  <c r="A7621" i="1"/>
  <c r="A7620" i="1"/>
  <c r="A431" i="1"/>
  <c r="A7619" i="1"/>
  <c r="A430" i="1"/>
  <c r="A7618" i="1"/>
  <c r="A7617" i="1"/>
  <c r="A7616" i="1"/>
  <c r="A3932" i="1"/>
  <c r="A3931" i="1"/>
  <c r="A7615" i="1"/>
  <c r="A7614" i="1"/>
  <c r="A7613" i="1"/>
  <c r="A7612" i="1"/>
  <c r="A7611" i="1"/>
  <c r="A7610" i="1"/>
  <c r="A429" i="1"/>
  <c r="A3930" i="1"/>
  <c r="A3929" i="1"/>
  <c r="A428" i="1"/>
  <c r="A3928" i="1"/>
  <c r="A7609" i="1"/>
  <c r="A427" i="1"/>
  <c r="A3927" i="1"/>
  <c r="A426" i="1"/>
  <c r="A3926" i="1"/>
  <c r="A7608" i="1"/>
  <c r="A7607" i="1"/>
  <c r="A7606" i="1"/>
  <c r="A3925" i="1"/>
  <c r="A7605" i="1"/>
  <c r="A7604" i="1"/>
  <c r="A3924" i="1"/>
  <c r="A7603" i="1"/>
  <c r="A3923" i="1"/>
  <c r="A7602" i="1"/>
  <c r="A1010" i="1"/>
  <c r="A3922" i="1"/>
  <c r="A7601" i="1"/>
  <c r="A7600" i="1"/>
  <c r="A7599" i="1"/>
  <c r="A3921" i="1"/>
  <c r="A7598" i="1"/>
  <c r="A7597" i="1"/>
  <c r="A7596" i="1"/>
  <c r="A7595" i="1"/>
  <c r="A7594" i="1"/>
  <c r="A7593" i="1"/>
  <c r="A7592" i="1"/>
  <c r="A7591" i="1"/>
  <c r="A3920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1009" i="1"/>
  <c r="A7575" i="1"/>
  <c r="A7574" i="1"/>
  <c r="A7573" i="1"/>
  <c r="A7572" i="1"/>
  <c r="A7571" i="1"/>
  <c r="A3919" i="1"/>
  <c r="A7570" i="1"/>
  <c r="A7569" i="1"/>
  <c r="A7568" i="1"/>
  <c r="A7567" i="1"/>
  <c r="A7566" i="1"/>
  <c r="A7565" i="1"/>
  <c r="A1008" i="1"/>
  <c r="A7564" i="1"/>
  <c r="A3918" i="1"/>
  <c r="A7563" i="1"/>
  <c r="A7562" i="1"/>
  <c r="A7561" i="1"/>
  <c r="A3917" i="1"/>
  <c r="A3916" i="1"/>
  <c r="A7560" i="1"/>
  <c r="A7559" i="1"/>
  <c r="A425" i="1"/>
  <c r="A7558" i="1"/>
  <c r="A3915" i="1"/>
  <c r="A7557" i="1"/>
  <c r="A7556" i="1"/>
  <c r="A3914" i="1"/>
  <c r="A3913" i="1"/>
  <c r="A7555" i="1"/>
  <c r="A7554" i="1"/>
  <c r="A424" i="1"/>
  <c r="A7553" i="1"/>
  <c r="A7552" i="1"/>
  <c r="A7551" i="1"/>
  <c r="A7550" i="1"/>
  <c r="A7549" i="1"/>
  <c r="A3912" i="1"/>
  <c r="A7548" i="1"/>
  <c r="A7547" i="1"/>
  <c r="A3911" i="1"/>
  <c r="A7546" i="1"/>
  <c r="A3910" i="1"/>
  <c r="A7545" i="1"/>
  <c r="A3909" i="1"/>
  <c r="A7544" i="1"/>
  <c r="A7543" i="1"/>
  <c r="A7542" i="1"/>
  <c r="A7541" i="1"/>
  <c r="A7540" i="1"/>
  <c r="A7539" i="1"/>
  <c r="A423" i="1"/>
  <c r="A7538" i="1"/>
  <c r="A7537" i="1"/>
  <c r="A7536" i="1"/>
  <c r="A7535" i="1"/>
  <c r="A3908" i="1"/>
  <c r="A7534" i="1"/>
  <c r="A7533" i="1"/>
  <c r="A7532" i="1"/>
  <c r="A7531" i="1"/>
  <c r="A3907" i="1"/>
  <c r="A7530" i="1"/>
  <c r="A7529" i="1"/>
  <c r="A3906" i="1"/>
  <c r="A3905" i="1"/>
  <c r="A7528" i="1"/>
  <c r="A7527" i="1"/>
  <c r="A7526" i="1"/>
  <c r="A3904" i="1"/>
  <c r="A7525" i="1"/>
  <c r="A7524" i="1"/>
  <c r="A7523" i="1"/>
  <c r="A7522" i="1"/>
  <c r="A3903" i="1"/>
  <c r="A7521" i="1"/>
  <c r="A422" i="1"/>
  <c r="A7520" i="1"/>
  <c r="A7519" i="1"/>
  <c r="A7518" i="1"/>
  <c r="A7517" i="1"/>
  <c r="A3902" i="1"/>
  <c r="A3901" i="1"/>
  <c r="A7516" i="1"/>
  <c r="A7515" i="1"/>
  <c r="A7514" i="1"/>
  <c r="A7513" i="1"/>
  <c r="A3900" i="1"/>
  <c r="A3899" i="1"/>
  <c r="A3898" i="1"/>
  <c r="A3897" i="1"/>
  <c r="A7512" i="1"/>
  <c r="A421" i="1"/>
  <c r="A7511" i="1"/>
  <c r="A3896" i="1"/>
  <c r="A7510" i="1"/>
  <c r="A7509" i="1"/>
  <c r="A7508" i="1"/>
  <c r="A7507" i="1"/>
  <c r="A3895" i="1"/>
  <c r="A7506" i="1"/>
  <c r="A7505" i="1"/>
  <c r="A7504" i="1"/>
  <c r="A7503" i="1"/>
  <c r="A7502" i="1"/>
  <c r="A7501" i="1"/>
  <c r="A7500" i="1"/>
  <c r="A3894" i="1"/>
  <c r="A1007" i="1"/>
  <c r="A7499" i="1"/>
  <c r="A420" i="1"/>
  <c r="A3893" i="1"/>
  <c r="A3892" i="1"/>
  <c r="A7498" i="1"/>
  <c r="A7497" i="1"/>
  <c r="A419" i="1"/>
  <c r="A3891" i="1"/>
  <c r="A7496" i="1"/>
  <c r="A3890" i="1"/>
  <c r="A3889" i="1"/>
  <c r="A7495" i="1"/>
  <c r="A1006" i="1"/>
  <c r="A7494" i="1"/>
  <c r="A3888" i="1"/>
  <c r="A3887" i="1"/>
  <c r="A7493" i="1"/>
  <c r="A3886" i="1"/>
  <c r="A7492" i="1"/>
  <c r="A3885" i="1"/>
  <c r="A3884" i="1"/>
  <c r="A7491" i="1"/>
  <c r="A7490" i="1"/>
  <c r="A3883" i="1"/>
  <c r="A7489" i="1"/>
  <c r="A418" i="1"/>
  <c r="A7488" i="1"/>
  <c r="A7487" i="1"/>
  <c r="A7486" i="1"/>
  <c r="A3882" i="1"/>
  <c r="A7485" i="1"/>
  <c r="A7484" i="1"/>
  <c r="A7483" i="1"/>
  <c r="A7482" i="1"/>
  <c r="A7481" i="1"/>
  <c r="A7480" i="1"/>
  <c r="A3881" i="1"/>
  <c r="A3880" i="1"/>
  <c r="A7479" i="1"/>
  <c r="A7478" i="1"/>
  <c r="A7477" i="1"/>
  <c r="A7476" i="1"/>
  <c r="A3879" i="1"/>
  <c r="A3878" i="1"/>
  <c r="A7475" i="1"/>
  <c r="A3877" i="1"/>
  <c r="A7474" i="1"/>
  <c r="A7473" i="1"/>
  <c r="A7472" i="1"/>
  <c r="A7471" i="1"/>
  <c r="A3876" i="1"/>
  <c r="A417" i="1"/>
  <c r="A416" i="1"/>
  <c r="A7470" i="1"/>
  <c r="A7469" i="1"/>
  <c r="A7468" i="1"/>
  <c r="A3875" i="1"/>
  <c r="A3874" i="1"/>
  <c r="A7467" i="1"/>
  <c r="A7466" i="1"/>
  <c r="A3873" i="1"/>
  <c r="A3872" i="1"/>
  <c r="A3871" i="1"/>
  <c r="A1005" i="1"/>
  <c r="A3870" i="1"/>
  <c r="A3869" i="1"/>
  <c r="A7465" i="1"/>
  <c r="A7464" i="1"/>
  <c r="A7463" i="1"/>
  <c r="A7462" i="1"/>
  <c r="A7461" i="1"/>
  <c r="A3868" i="1"/>
  <c r="A7460" i="1"/>
  <c r="A3867" i="1"/>
  <c r="A7459" i="1"/>
  <c r="A7458" i="1"/>
  <c r="A7457" i="1"/>
  <c r="A3866" i="1"/>
  <c r="A7456" i="1"/>
  <c r="A7455" i="1"/>
  <c r="A7454" i="1"/>
  <c r="A7453" i="1"/>
  <c r="A7452" i="1"/>
  <c r="A7451" i="1"/>
  <c r="A7450" i="1"/>
  <c r="A7449" i="1"/>
  <c r="A7448" i="1"/>
  <c r="A415" i="1"/>
  <c r="A3865" i="1"/>
  <c r="A7447" i="1"/>
  <c r="A7446" i="1"/>
  <c r="A7445" i="1"/>
  <c r="A3864" i="1"/>
  <c r="A3863" i="1"/>
  <c r="A7444" i="1"/>
  <c r="A7443" i="1"/>
  <c r="A7442" i="1"/>
  <c r="A7441" i="1"/>
  <c r="A7440" i="1"/>
  <c r="A7439" i="1"/>
  <c r="A7438" i="1"/>
  <c r="A7437" i="1"/>
  <c r="A7436" i="1"/>
  <c r="A7435" i="1"/>
  <c r="A1004" i="1"/>
  <c r="A7434" i="1"/>
  <c r="A7433" i="1"/>
  <c r="A7432" i="1"/>
  <c r="A414" i="1"/>
  <c r="A3862" i="1"/>
  <c r="A7431" i="1"/>
  <c r="A7430" i="1"/>
  <c r="A7429" i="1"/>
  <c r="A3861" i="1"/>
  <c r="A7428" i="1"/>
  <c r="A7427" i="1"/>
  <c r="A413" i="1"/>
  <c r="A412" i="1"/>
  <c r="A7426" i="1"/>
  <c r="A7425" i="1"/>
  <c r="A7424" i="1"/>
  <c r="A7423" i="1"/>
  <c r="A3860" i="1"/>
  <c r="A7422" i="1"/>
  <c r="A3859" i="1"/>
  <c r="A7421" i="1"/>
  <c r="A7420" i="1"/>
  <c r="A3858" i="1"/>
  <c r="A411" i="1"/>
  <c r="A3857" i="1"/>
  <c r="A3856" i="1"/>
  <c r="A410" i="1"/>
  <c r="A7419" i="1"/>
  <c r="A3855" i="1"/>
  <c r="A409" i="1"/>
  <c r="A7418" i="1"/>
  <c r="A7417" i="1"/>
  <c r="A3854" i="1"/>
  <c r="A7416" i="1"/>
  <c r="A1003" i="1"/>
  <c r="A7415" i="1"/>
  <c r="A7414" i="1"/>
  <c r="A7413" i="1"/>
  <c r="A408" i="1"/>
  <c r="A7412" i="1"/>
  <c r="A3853" i="1"/>
  <c r="A1002" i="1"/>
  <c r="A7411" i="1"/>
  <c r="A3852" i="1"/>
  <c r="A7410" i="1"/>
  <c r="A3851" i="1"/>
  <c r="A3850" i="1"/>
  <c r="A407" i="1"/>
  <c r="A3849" i="1"/>
  <c r="A7409" i="1"/>
  <c r="A7408" i="1"/>
  <c r="A3848" i="1"/>
  <c r="A7407" i="1"/>
  <c r="A7406" i="1"/>
  <c r="A7405" i="1"/>
  <c r="A7404" i="1"/>
  <c r="A3847" i="1"/>
  <c r="A3846" i="1"/>
  <c r="A7403" i="1"/>
  <c r="A7402" i="1"/>
  <c r="A7401" i="1"/>
  <c r="A3845" i="1"/>
  <c r="A7400" i="1"/>
  <c r="A7399" i="1"/>
  <c r="A7398" i="1"/>
  <c r="A7397" i="1"/>
  <c r="A7396" i="1"/>
  <c r="A7395" i="1"/>
  <c r="A3844" i="1"/>
  <c r="A7394" i="1"/>
  <c r="A3843" i="1"/>
  <c r="A3842" i="1"/>
  <c r="A7393" i="1"/>
  <c r="A7392" i="1"/>
  <c r="A7391" i="1"/>
  <c r="A7390" i="1"/>
  <c r="A7389" i="1"/>
  <c r="A3841" i="1"/>
  <c r="A3840" i="1"/>
  <c r="A7388" i="1"/>
  <c r="A7387" i="1"/>
  <c r="A7386" i="1"/>
  <c r="A7385" i="1"/>
  <c r="A7384" i="1"/>
  <c r="A7383" i="1"/>
  <c r="A7382" i="1"/>
  <c r="A7381" i="1"/>
  <c r="A7380" i="1"/>
  <c r="A3839" i="1"/>
  <c r="A7379" i="1"/>
  <c r="A7378" i="1"/>
  <c r="A3838" i="1"/>
  <c r="A7377" i="1"/>
  <c r="A7376" i="1"/>
  <c r="A406" i="1"/>
  <c r="A7375" i="1"/>
  <c r="A7374" i="1"/>
  <c r="A7373" i="1"/>
  <c r="A3837" i="1"/>
  <c r="A7372" i="1"/>
  <c r="A7371" i="1"/>
  <c r="A7370" i="1"/>
  <c r="A3836" i="1"/>
  <c r="A405" i="1"/>
  <c r="A3835" i="1"/>
  <c r="A7369" i="1"/>
  <c r="A1001" i="1"/>
  <c r="A7368" i="1"/>
  <c r="A7367" i="1"/>
  <c r="A7366" i="1"/>
  <c r="A7365" i="1"/>
  <c r="A3834" i="1"/>
  <c r="A7364" i="1"/>
  <c r="A7363" i="1"/>
  <c r="A7362" i="1"/>
  <c r="A7361" i="1"/>
  <c r="A7360" i="1"/>
  <c r="A7359" i="1"/>
  <c r="A3833" i="1"/>
  <c r="A7358" i="1"/>
  <c r="A7357" i="1"/>
  <c r="A7356" i="1"/>
  <c r="A7355" i="1"/>
  <c r="A7354" i="1"/>
  <c r="A7353" i="1"/>
  <c r="A3832" i="1"/>
  <c r="A7352" i="1"/>
  <c r="A7351" i="1"/>
  <c r="A7350" i="1"/>
  <c r="A7349" i="1"/>
  <c r="A3831" i="1"/>
  <c r="A7348" i="1"/>
  <c r="A7347" i="1"/>
  <c r="A7346" i="1"/>
  <c r="A7345" i="1"/>
  <c r="A7344" i="1"/>
  <c r="A7343" i="1"/>
  <c r="A3830" i="1"/>
  <c r="A7342" i="1"/>
  <c r="A404" i="1"/>
  <c r="A7341" i="1"/>
  <c r="A7340" i="1"/>
  <c r="A7339" i="1"/>
  <c r="A7338" i="1"/>
  <c r="A3829" i="1"/>
  <c r="A7337" i="1"/>
  <c r="A7336" i="1"/>
  <c r="A7335" i="1"/>
  <c r="A7334" i="1"/>
  <c r="A7333" i="1"/>
  <c r="A7332" i="1"/>
  <c r="A7331" i="1"/>
  <c r="A7330" i="1"/>
  <c r="A3828" i="1"/>
  <c r="A3827" i="1"/>
  <c r="A3826" i="1"/>
  <c r="A7329" i="1"/>
  <c r="A403" i="1"/>
  <c r="A7328" i="1"/>
  <c r="A3825" i="1"/>
  <c r="A3824" i="1"/>
  <c r="A7327" i="1"/>
  <c r="A7326" i="1"/>
  <c r="A7325" i="1"/>
  <c r="A7324" i="1"/>
  <c r="A3823" i="1"/>
  <c r="A3822" i="1"/>
  <c r="A402" i="1"/>
  <c r="A7323" i="1"/>
  <c r="A401" i="1"/>
  <c r="A7322" i="1"/>
  <c r="A7321" i="1"/>
  <c r="A7320" i="1"/>
  <c r="A7319" i="1"/>
  <c r="A7318" i="1"/>
  <c r="A7317" i="1"/>
  <c r="A7316" i="1"/>
  <c r="A3821" i="1"/>
  <c r="A7315" i="1"/>
  <c r="A7314" i="1"/>
  <c r="A7313" i="1"/>
  <c r="A1000" i="1"/>
  <c r="A7312" i="1"/>
  <c r="A7311" i="1"/>
  <c r="A400" i="1"/>
  <c r="A7310" i="1"/>
  <c r="A3820" i="1"/>
  <c r="A7309" i="1"/>
  <c r="A7308" i="1"/>
  <c r="A7307" i="1"/>
  <c r="A3819" i="1"/>
  <c r="A7306" i="1"/>
  <c r="A3818" i="1"/>
  <c r="A7305" i="1"/>
  <c r="A7304" i="1"/>
  <c r="A7303" i="1"/>
  <c r="A7302" i="1"/>
  <c r="A7301" i="1"/>
  <c r="A7300" i="1"/>
  <c r="A3817" i="1"/>
  <c r="A3816" i="1"/>
  <c r="A7299" i="1"/>
  <c r="A7298" i="1"/>
  <c r="A62" i="1"/>
  <c r="A3815" i="1"/>
  <c r="A3814" i="1"/>
  <c r="A7297" i="1"/>
  <c r="A7296" i="1"/>
  <c r="A3813" i="1"/>
  <c r="A7295" i="1"/>
  <c r="A7294" i="1"/>
  <c r="A3812" i="1"/>
  <c r="A7293" i="1"/>
  <c r="A399" i="1"/>
  <c r="A7292" i="1"/>
  <c r="A7291" i="1"/>
  <c r="A3811" i="1"/>
  <c r="A7290" i="1"/>
  <c r="A7289" i="1"/>
  <c r="A3810" i="1"/>
  <c r="A7288" i="1"/>
  <c r="A398" i="1"/>
  <c r="A7287" i="1"/>
  <c r="A3809" i="1"/>
  <c r="A7286" i="1"/>
  <c r="A7285" i="1"/>
  <c r="A7284" i="1"/>
  <c r="A3808" i="1"/>
  <c r="A7283" i="1"/>
  <c r="A7282" i="1"/>
  <c r="A999" i="1"/>
  <c r="A998" i="1"/>
  <c r="A997" i="1"/>
  <c r="A3807" i="1"/>
  <c r="A7281" i="1"/>
  <c r="A7280" i="1"/>
  <c r="A996" i="1"/>
  <c r="A3806" i="1"/>
  <c r="A3805" i="1"/>
  <c r="A7279" i="1"/>
  <c r="A397" i="1"/>
  <c r="A3804" i="1"/>
  <c r="A7278" i="1"/>
  <c r="A7277" i="1"/>
  <c r="A3803" i="1"/>
  <c r="A7276" i="1"/>
  <c r="A3802" i="1"/>
  <c r="A7275" i="1"/>
  <c r="A7274" i="1"/>
  <c r="A7273" i="1"/>
  <c r="A7272" i="1"/>
  <c r="A3801" i="1"/>
  <c r="A7271" i="1"/>
  <c r="A7270" i="1"/>
  <c r="A7269" i="1"/>
  <c r="A3800" i="1"/>
  <c r="A7268" i="1"/>
  <c r="A7267" i="1"/>
  <c r="A7266" i="1"/>
  <c r="A3799" i="1"/>
  <c r="A3798" i="1"/>
  <c r="A3797" i="1"/>
  <c r="A7265" i="1"/>
  <c r="A7264" i="1"/>
  <c r="A3796" i="1"/>
  <c r="A7263" i="1"/>
  <c r="A7262" i="1"/>
  <c r="A3795" i="1"/>
  <c r="A3794" i="1"/>
  <c r="A3793" i="1"/>
  <c r="A3792" i="1"/>
  <c r="A7261" i="1"/>
  <c r="A7260" i="1"/>
  <c r="A7259" i="1"/>
  <c r="A3791" i="1"/>
  <c r="A7258" i="1"/>
  <c r="A7257" i="1"/>
  <c r="A3790" i="1"/>
  <c r="A3789" i="1"/>
  <c r="A3788" i="1"/>
  <c r="A7256" i="1"/>
  <c r="A3787" i="1"/>
  <c r="A7255" i="1"/>
  <c r="A3786" i="1"/>
  <c r="A7254" i="1"/>
  <c r="A7253" i="1"/>
  <c r="A7252" i="1"/>
  <c r="A7251" i="1"/>
  <c r="A7250" i="1"/>
  <c r="A3785" i="1"/>
  <c r="A3784" i="1"/>
  <c r="A7249" i="1"/>
  <c r="A995" i="1"/>
  <c r="A3783" i="1"/>
  <c r="A7248" i="1"/>
  <c r="A3782" i="1"/>
  <c r="A3781" i="1"/>
  <c r="A994" i="1"/>
  <c r="A3780" i="1"/>
  <c r="A7247" i="1"/>
  <c r="A3779" i="1"/>
  <c r="A3778" i="1"/>
  <c r="A7246" i="1"/>
  <c r="A7245" i="1"/>
  <c r="A7244" i="1"/>
  <c r="A7243" i="1"/>
  <c r="A7242" i="1"/>
  <c r="A7241" i="1"/>
  <c r="A3777" i="1"/>
  <c r="A3776" i="1"/>
  <c r="A3775" i="1"/>
  <c r="A3774" i="1"/>
  <c r="A7240" i="1"/>
  <c r="A3773" i="1"/>
  <c r="A7239" i="1"/>
  <c r="A7238" i="1"/>
  <c r="A396" i="1"/>
  <c r="A7237" i="1"/>
  <c r="A3772" i="1"/>
  <c r="A7236" i="1"/>
  <c r="A7235" i="1"/>
  <c r="A7234" i="1"/>
  <c r="A7233" i="1"/>
  <c r="A7232" i="1"/>
  <c r="A993" i="1"/>
  <c r="A7231" i="1"/>
  <c r="A7230" i="1"/>
  <c r="A7229" i="1"/>
  <c r="A3771" i="1"/>
  <c r="A7228" i="1"/>
  <c r="A7227" i="1"/>
  <c r="A7226" i="1"/>
  <c r="A3770" i="1"/>
  <c r="A7225" i="1"/>
  <c r="A7224" i="1"/>
  <c r="A3769" i="1"/>
  <c r="A7223" i="1"/>
  <c r="A7222" i="1"/>
  <c r="A7221" i="1"/>
  <c r="A3768" i="1"/>
  <c r="A3767" i="1"/>
  <c r="A7220" i="1"/>
  <c r="A7219" i="1"/>
  <c r="A3766" i="1"/>
  <c r="A7218" i="1"/>
  <c r="A3765" i="1"/>
  <c r="A3764" i="1"/>
  <c r="A3763" i="1"/>
  <c r="A7217" i="1"/>
  <c r="A3762" i="1"/>
  <c r="A3761" i="1"/>
  <c r="A7216" i="1"/>
  <c r="A7215" i="1"/>
  <c r="A7214" i="1"/>
  <c r="A7213" i="1"/>
  <c r="A7212" i="1"/>
  <c r="A992" i="1"/>
  <c r="A7211" i="1"/>
  <c r="A7210" i="1"/>
  <c r="A7209" i="1"/>
  <c r="A7208" i="1"/>
  <c r="A7207" i="1"/>
  <c r="A3760" i="1"/>
  <c r="A7206" i="1"/>
  <c r="A7205" i="1"/>
  <c r="A7204" i="1"/>
  <c r="A395" i="1"/>
  <c r="A7203" i="1"/>
  <c r="A7202" i="1"/>
  <c r="A3759" i="1"/>
  <c r="A3758" i="1"/>
  <c r="A7201" i="1"/>
  <c r="A7200" i="1"/>
  <c r="A3757" i="1"/>
  <c r="A103" i="1"/>
  <c r="A7199" i="1"/>
  <c r="A7198" i="1"/>
  <c r="A7197" i="1"/>
  <c r="A7196" i="1"/>
  <c r="A7195" i="1"/>
  <c r="A7194" i="1"/>
  <c r="A3756" i="1"/>
  <c r="A7193" i="1"/>
  <c r="A7192" i="1"/>
  <c r="A394" i="1"/>
  <c r="A7191" i="1"/>
  <c r="A7190" i="1"/>
  <c r="A991" i="1"/>
  <c r="A7189" i="1"/>
  <c r="A7188" i="1"/>
  <c r="A3755" i="1"/>
  <c r="A7187" i="1"/>
  <c r="A7186" i="1"/>
  <c r="A7185" i="1"/>
  <c r="A7184" i="1"/>
  <c r="A375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393" i="1"/>
  <c r="A7171" i="1"/>
  <c r="A3753" i="1"/>
  <c r="A3752" i="1"/>
  <c r="A7170" i="1"/>
  <c r="A392" i="1"/>
  <c r="A391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3751" i="1"/>
  <c r="A3750" i="1"/>
  <c r="A3749" i="1"/>
  <c r="A7150" i="1"/>
  <c r="A3748" i="1"/>
  <c r="A3747" i="1"/>
  <c r="A7149" i="1"/>
  <c r="A7148" i="1"/>
  <c r="A7147" i="1"/>
  <c r="A7146" i="1"/>
  <c r="A7145" i="1"/>
  <c r="A7144" i="1"/>
  <c r="A3746" i="1"/>
  <c r="A7143" i="1"/>
  <c r="A7142" i="1"/>
  <c r="A7141" i="1"/>
  <c r="A390" i="1"/>
  <c r="A3745" i="1"/>
  <c r="A3744" i="1"/>
  <c r="A7140" i="1"/>
  <c r="A7139" i="1"/>
  <c r="A3743" i="1"/>
  <c r="A389" i="1"/>
  <c r="A3742" i="1"/>
  <c r="A7138" i="1"/>
  <c r="A7137" i="1"/>
  <c r="A7136" i="1"/>
  <c r="A3741" i="1"/>
  <c r="A3740" i="1"/>
  <c r="A3739" i="1"/>
  <c r="A3738" i="1"/>
  <c r="A7135" i="1"/>
  <c r="A3737" i="1"/>
  <c r="A3736" i="1"/>
  <c r="A7134" i="1"/>
  <c r="A3735" i="1"/>
  <c r="A7133" i="1"/>
  <c r="A3734" i="1"/>
  <c r="A3733" i="1"/>
  <c r="A7132" i="1"/>
  <c r="A7131" i="1"/>
  <c r="A990" i="1"/>
  <c r="A7130" i="1"/>
  <c r="A989" i="1"/>
  <c r="A7129" i="1"/>
  <c r="A7128" i="1"/>
  <c r="A388" i="1"/>
  <c r="A7127" i="1"/>
  <c r="A3732" i="1"/>
  <c r="A7126" i="1"/>
  <c r="A7125" i="1"/>
  <c r="A3731" i="1"/>
  <c r="A988" i="1"/>
  <c r="A7124" i="1"/>
  <c r="A7123" i="1"/>
  <c r="A7122" i="1"/>
  <c r="A7121" i="1"/>
  <c r="A7120" i="1"/>
  <c r="A3730" i="1"/>
  <c r="A3729" i="1"/>
  <c r="A7119" i="1"/>
  <c r="A7118" i="1"/>
  <c r="A7117" i="1"/>
  <c r="A7116" i="1"/>
  <c r="A7115" i="1"/>
  <c r="A7114" i="1"/>
  <c r="A7113" i="1"/>
  <c r="A7112" i="1"/>
  <c r="A7111" i="1"/>
  <c r="A7110" i="1"/>
  <c r="A3728" i="1"/>
  <c r="A7109" i="1"/>
  <c r="A7108" i="1"/>
  <c r="A7107" i="1"/>
  <c r="A7106" i="1"/>
  <c r="A7105" i="1"/>
  <c r="A3727" i="1"/>
  <c r="A3726" i="1"/>
  <c r="A7104" i="1"/>
  <c r="A3725" i="1"/>
  <c r="A3724" i="1"/>
  <c r="A387" i="1"/>
  <c r="A7103" i="1"/>
  <c r="A3723" i="1"/>
  <c r="A7102" i="1"/>
  <c r="A3722" i="1"/>
  <c r="A3721" i="1"/>
  <c r="A7101" i="1"/>
  <c r="A7100" i="1"/>
  <c r="A3720" i="1"/>
  <c r="A7099" i="1"/>
  <c r="A7098" i="1"/>
  <c r="A3719" i="1"/>
  <c r="A3718" i="1"/>
  <c r="A7097" i="1"/>
  <c r="A7096" i="1"/>
  <c r="A7095" i="1"/>
  <c r="A7094" i="1"/>
  <c r="A7093" i="1"/>
  <c r="A987" i="1"/>
  <c r="A3717" i="1"/>
  <c r="A7092" i="1"/>
  <c r="A386" i="1"/>
  <c r="A7091" i="1"/>
  <c r="A7090" i="1"/>
  <c r="A3716" i="1"/>
  <c r="A7089" i="1"/>
  <c r="A7088" i="1"/>
  <c r="A7087" i="1"/>
  <c r="A7086" i="1"/>
  <c r="A7085" i="1"/>
  <c r="A7084" i="1"/>
  <c r="A7083" i="1"/>
  <c r="A7082" i="1"/>
  <c r="A7081" i="1"/>
  <c r="A7080" i="1"/>
  <c r="A7079" i="1"/>
  <c r="A986" i="1"/>
  <c r="A7078" i="1"/>
  <c r="A7077" i="1"/>
  <c r="A7076" i="1"/>
  <c r="A7075" i="1"/>
  <c r="A3715" i="1"/>
  <c r="A7074" i="1"/>
  <c r="A7073" i="1"/>
  <c r="A7072" i="1"/>
  <c r="A3714" i="1"/>
  <c r="A385" i="1"/>
  <c r="A7071" i="1"/>
  <c r="A384" i="1"/>
  <c r="A7070" i="1"/>
  <c r="A3713" i="1"/>
  <c r="A7069" i="1"/>
  <c r="A3712" i="1"/>
  <c r="A7068" i="1"/>
  <c r="A7067" i="1"/>
  <c r="A3711" i="1"/>
  <c r="A3710" i="1"/>
  <c r="A3709" i="1"/>
  <c r="A7066" i="1"/>
  <c r="A3708" i="1"/>
  <c r="A7065" i="1"/>
  <c r="A383" i="1"/>
  <c r="A7064" i="1"/>
  <c r="A7063" i="1"/>
  <c r="A3707" i="1"/>
  <c r="A7062" i="1"/>
  <c r="A3706" i="1"/>
  <c r="A382" i="1"/>
  <c r="A381" i="1"/>
  <c r="A3705" i="1"/>
  <c r="A7061" i="1"/>
  <c r="A3704" i="1"/>
  <c r="A7060" i="1"/>
  <c r="A3703" i="1"/>
  <c r="A7059" i="1"/>
  <c r="A3702" i="1"/>
  <c r="A7058" i="1"/>
  <c r="A3701" i="1"/>
  <c r="A7057" i="1"/>
  <c r="A7056" i="1"/>
  <c r="A3700" i="1"/>
  <c r="A7055" i="1"/>
  <c r="A7054" i="1"/>
  <c r="A7053" i="1"/>
  <c r="A3699" i="1"/>
  <c r="A3698" i="1"/>
  <c r="A3697" i="1"/>
  <c r="A7052" i="1"/>
  <c r="A3696" i="1"/>
  <c r="A7051" i="1"/>
  <c r="A7050" i="1"/>
  <c r="A7049" i="1"/>
  <c r="A985" i="1"/>
  <c r="A7048" i="1"/>
  <c r="A3695" i="1"/>
  <c r="A7047" i="1"/>
  <c r="A7046" i="1"/>
  <c r="A7045" i="1"/>
  <c r="A7044" i="1"/>
  <c r="A3694" i="1"/>
  <c r="A7043" i="1"/>
  <c r="A3693" i="1"/>
  <c r="A7042" i="1"/>
  <c r="A380" i="1"/>
  <c r="A7041" i="1"/>
  <c r="A7040" i="1"/>
  <c r="A7039" i="1"/>
  <c r="A7038" i="1"/>
  <c r="A7037" i="1"/>
  <c r="A3692" i="1"/>
  <c r="A7036" i="1"/>
  <c r="A7035" i="1"/>
  <c r="A7034" i="1"/>
  <c r="A7033" i="1"/>
  <c r="A7032" i="1"/>
  <c r="A379" i="1"/>
  <c r="A7031" i="1"/>
  <c r="A7030" i="1"/>
  <c r="A3691" i="1"/>
  <c r="A7029" i="1"/>
  <c r="A7028" i="1"/>
  <c r="A7027" i="1"/>
  <c r="A7026" i="1"/>
  <c r="A3690" i="1"/>
  <c r="A7025" i="1"/>
  <c r="A3689" i="1"/>
  <c r="A7024" i="1"/>
  <c r="A7023" i="1"/>
  <c r="A7022" i="1"/>
  <c r="A7021" i="1"/>
  <c r="A3688" i="1"/>
  <c r="A7020" i="1"/>
  <c r="A378" i="1"/>
  <c r="A377" i="1"/>
  <c r="A7019" i="1"/>
  <c r="A7018" i="1"/>
  <c r="A7017" i="1"/>
  <c r="A7016" i="1"/>
  <c r="A7015" i="1"/>
  <c r="A7014" i="1"/>
  <c r="A7013" i="1"/>
  <c r="A3687" i="1"/>
  <c r="A7012" i="1"/>
  <c r="A3686" i="1"/>
  <c r="A7011" i="1"/>
  <c r="A3685" i="1"/>
  <c r="A376" i="1"/>
  <c r="A3684" i="1"/>
  <c r="A375" i="1"/>
  <c r="A7010" i="1"/>
  <c r="A3683" i="1"/>
  <c r="A7009" i="1"/>
  <c r="A7008" i="1"/>
  <c r="A3682" i="1"/>
  <c r="A3681" i="1"/>
  <c r="A3680" i="1"/>
  <c r="A7007" i="1"/>
  <c r="A3679" i="1"/>
  <c r="A3678" i="1"/>
  <c r="A984" i="1"/>
  <c r="A3677" i="1"/>
  <c r="A7006" i="1"/>
  <c r="A983" i="1"/>
  <c r="A3676" i="1"/>
  <c r="A982" i="1"/>
  <c r="A7005" i="1"/>
  <c r="A7004" i="1"/>
  <c r="A7003" i="1"/>
  <c r="A981" i="1"/>
  <c r="A3675" i="1"/>
  <c r="A3674" i="1"/>
  <c r="A7002" i="1"/>
  <c r="A3673" i="1"/>
  <c r="A3672" i="1"/>
  <c r="A3671" i="1"/>
  <c r="A980" i="1"/>
  <c r="A979" i="1"/>
  <c r="A374" i="1"/>
  <c r="A7001" i="1"/>
  <c r="A7000" i="1"/>
  <c r="A6999" i="1"/>
  <c r="A6998" i="1"/>
  <c r="A978" i="1"/>
  <c r="A6997" i="1"/>
  <c r="A6996" i="1"/>
  <c r="A6995" i="1"/>
  <c r="A6994" i="1"/>
  <c r="A6993" i="1"/>
  <c r="A3670" i="1"/>
  <c r="A3669" i="1"/>
  <c r="A3668" i="1"/>
  <c r="A3667" i="1"/>
  <c r="A3666" i="1"/>
  <c r="A6992" i="1"/>
  <c r="A373" i="1"/>
  <c r="A6991" i="1"/>
  <c r="A6990" i="1"/>
  <c r="A6989" i="1"/>
  <c r="A6988" i="1"/>
  <c r="A6987" i="1"/>
  <c r="A372" i="1"/>
  <c r="A6986" i="1"/>
  <c r="A6985" i="1"/>
  <c r="A6984" i="1"/>
  <c r="A6983" i="1"/>
  <c r="A6982" i="1"/>
  <c r="A6981" i="1"/>
  <c r="A6980" i="1"/>
  <c r="A3665" i="1"/>
  <c r="A6979" i="1"/>
  <c r="A3664" i="1"/>
  <c r="A3663" i="1"/>
  <c r="A371" i="1"/>
  <c r="A6978" i="1"/>
  <c r="A3662" i="1"/>
  <c r="A6977" i="1"/>
  <c r="A6976" i="1"/>
  <c r="A3661" i="1"/>
  <c r="A3660" i="1"/>
  <c r="A977" i="1"/>
  <c r="A6975" i="1"/>
  <c r="A6974" i="1"/>
  <c r="A47" i="1"/>
  <c r="A6973" i="1"/>
  <c r="A3659" i="1"/>
  <c r="A3658" i="1"/>
  <c r="A6972" i="1"/>
  <c r="A6971" i="1"/>
  <c r="A6970" i="1"/>
  <c r="A3657" i="1"/>
  <c r="A6969" i="1"/>
  <c r="A6968" i="1"/>
  <c r="A6967" i="1"/>
  <c r="A3656" i="1"/>
  <c r="A976" i="1"/>
  <c r="A6966" i="1"/>
  <c r="A6965" i="1"/>
  <c r="A975" i="1"/>
  <c r="A6964" i="1"/>
  <c r="A6963" i="1"/>
  <c r="A6962" i="1"/>
  <c r="A6961" i="1"/>
  <c r="A6960" i="1"/>
  <c r="A3655" i="1"/>
  <c r="A3654" i="1"/>
  <c r="A6959" i="1"/>
  <c r="A3653" i="1"/>
  <c r="A3652" i="1"/>
  <c r="A6958" i="1"/>
  <c r="A6957" i="1"/>
  <c r="A3651" i="1"/>
  <c r="A3650" i="1"/>
  <c r="A6956" i="1"/>
  <c r="A3649" i="1"/>
  <c r="A3648" i="1"/>
  <c r="A370" i="1"/>
  <c r="A6955" i="1"/>
  <c r="A6954" i="1"/>
  <c r="A6953" i="1"/>
  <c r="A6952" i="1"/>
  <c r="A6951" i="1"/>
  <c r="A6950" i="1"/>
  <c r="A6949" i="1"/>
  <c r="A6948" i="1"/>
  <c r="A6947" i="1"/>
  <c r="A6946" i="1"/>
  <c r="A6945" i="1"/>
  <c r="A3647" i="1"/>
  <c r="A6944" i="1"/>
  <c r="A6943" i="1"/>
  <c r="A6942" i="1"/>
  <c r="A6941" i="1"/>
  <c r="A6940" i="1"/>
  <c r="A6939" i="1"/>
  <c r="A6938" i="1"/>
  <c r="A3646" i="1"/>
  <c r="A6937" i="1"/>
  <c r="A6936" i="1"/>
  <c r="A6935" i="1"/>
  <c r="A3645" i="1"/>
  <c r="A6934" i="1"/>
  <c r="A6933" i="1"/>
  <c r="A369" i="1"/>
  <c r="A3644" i="1"/>
  <c r="A6932" i="1"/>
  <c r="A3643" i="1"/>
  <c r="A6931" i="1"/>
  <c r="A3642" i="1"/>
  <c r="A6930" i="1"/>
  <c r="A3641" i="1"/>
  <c r="A6929" i="1"/>
  <c r="A3640" i="1"/>
  <c r="A3639" i="1"/>
  <c r="A3638" i="1"/>
  <c r="A3637" i="1"/>
  <c r="A3636" i="1"/>
  <c r="A6928" i="1"/>
  <c r="A6927" i="1"/>
  <c r="A974" i="1"/>
  <c r="A6926" i="1"/>
  <c r="A6925" i="1"/>
  <c r="A6924" i="1"/>
  <c r="A3635" i="1"/>
  <c r="A6923" i="1"/>
  <c r="A3634" i="1"/>
  <c r="A3633" i="1"/>
  <c r="A6922" i="1"/>
  <c r="A6921" i="1"/>
  <c r="A6920" i="1"/>
  <c r="A3632" i="1"/>
  <c r="A368" i="1"/>
  <c r="A6919" i="1"/>
  <c r="A6918" i="1"/>
  <c r="A6917" i="1"/>
  <c r="A6916" i="1"/>
  <c r="A3631" i="1"/>
  <c r="A6915" i="1"/>
  <c r="A6914" i="1"/>
  <c r="A6913" i="1"/>
  <c r="A6912" i="1"/>
  <c r="A6911" i="1"/>
  <c r="A6910" i="1"/>
  <c r="A6909" i="1"/>
  <c r="A6908" i="1"/>
  <c r="A6907" i="1"/>
  <c r="A367" i="1"/>
  <c r="A3630" i="1"/>
  <c r="A6906" i="1"/>
  <c r="A6905" i="1"/>
  <c r="A973" i="1"/>
  <c r="A6904" i="1"/>
  <c r="A6903" i="1"/>
  <c r="A6902" i="1"/>
  <c r="A6901" i="1"/>
  <c r="A3629" i="1"/>
  <c r="A6900" i="1"/>
  <c r="A6899" i="1"/>
  <c r="A6898" i="1"/>
  <c r="A6897" i="1"/>
  <c r="A6896" i="1"/>
  <c r="A3628" i="1"/>
  <c r="A6895" i="1"/>
  <c r="A6894" i="1"/>
  <c r="A972" i="1"/>
  <c r="A6893" i="1"/>
  <c r="A6892" i="1"/>
  <c r="A3627" i="1"/>
  <c r="A6891" i="1"/>
  <c r="A3626" i="1"/>
  <c r="A6890" i="1"/>
  <c r="A6889" i="1"/>
  <c r="A6888" i="1"/>
  <c r="A6887" i="1"/>
  <c r="A6886" i="1"/>
  <c r="A6885" i="1"/>
  <c r="A6884" i="1"/>
  <c r="A6883" i="1"/>
  <c r="A6882" i="1"/>
  <c r="A6881" i="1"/>
  <c r="A6880" i="1"/>
  <c r="A971" i="1"/>
  <c r="A3625" i="1"/>
  <c r="A6879" i="1"/>
  <c r="A6878" i="1"/>
  <c r="A366" i="1"/>
  <c r="A6877" i="1"/>
  <c r="A6876" i="1"/>
  <c r="A6875" i="1"/>
  <c r="A6874" i="1"/>
  <c r="A3624" i="1"/>
  <c r="A6873" i="1"/>
  <c r="A3623" i="1"/>
  <c r="A3622" i="1"/>
  <c r="A6872" i="1"/>
  <c r="A3621" i="1"/>
  <c r="A6871" i="1"/>
  <c r="A6870" i="1"/>
  <c r="A6869" i="1"/>
  <c r="A3620" i="1"/>
  <c r="A3619" i="1"/>
  <c r="A365" i="1"/>
  <c r="A6868" i="1"/>
  <c r="A6867" i="1"/>
  <c r="A6866" i="1"/>
  <c r="A6865" i="1"/>
  <c r="A6864" i="1"/>
  <c r="A6863" i="1"/>
  <c r="A6862" i="1"/>
  <c r="A3618" i="1"/>
  <c r="A6861" i="1"/>
  <c r="A6860" i="1"/>
  <c r="A6859" i="1"/>
  <c r="A6858" i="1"/>
  <c r="A970" i="1"/>
  <c r="A6857" i="1"/>
  <c r="A3617" i="1"/>
  <c r="A3616" i="1"/>
  <c r="A6856" i="1"/>
  <c r="A6855" i="1"/>
  <c r="A6854" i="1"/>
  <c r="A6853" i="1"/>
  <c r="A6852" i="1"/>
  <c r="A6851" i="1"/>
  <c r="A6850" i="1"/>
  <c r="A3615" i="1"/>
  <c r="A3614" i="1"/>
  <c r="A6849" i="1"/>
  <c r="A6848" i="1"/>
  <c r="A6847" i="1"/>
  <c r="A364" i="1"/>
  <c r="A3613" i="1"/>
  <c r="A6846" i="1"/>
  <c r="A6845" i="1"/>
  <c r="A6844" i="1"/>
  <c r="A6843" i="1"/>
  <c r="A6842" i="1"/>
  <c r="A6841" i="1"/>
  <c r="A6840" i="1"/>
  <c r="A6839" i="1"/>
  <c r="A3612" i="1"/>
  <c r="A6838" i="1"/>
  <c r="A6837" i="1"/>
  <c r="A363" i="1"/>
  <c r="A3611" i="1"/>
  <c r="A6836" i="1"/>
  <c r="A6835" i="1"/>
  <c r="A6834" i="1"/>
  <c r="A6833" i="1"/>
  <c r="A6832" i="1"/>
  <c r="A6831" i="1"/>
  <c r="A6830" i="1"/>
  <c r="A362" i="1"/>
  <c r="A6829" i="1"/>
  <c r="A6828" i="1"/>
  <c r="A361" i="1"/>
  <c r="A3610" i="1"/>
  <c r="A3609" i="1"/>
  <c r="A6827" i="1"/>
  <c r="A6826" i="1"/>
  <c r="A6825" i="1"/>
  <c r="A6824" i="1"/>
  <c r="A6823" i="1"/>
  <c r="A6822" i="1"/>
  <c r="A6821" i="1"/>
  <c r="A3608" i="1"/>
  <c r="A6820" i="1"/>
  <c r="A3607" i="1"/>
  <c r="A3606" i="1"/>
  <c r="A6819" i="1"/>
  <c r="A360" i="1"/>
  <c r="A6818" i="1"/>
  <c r="A6817" i="1"/>
  <c r="A6816" i="1"/>
  <c r="A6815" i="1"/>
  <c r="A6814" i="1"/>
  <c r="A6813" i="1"/>
  <c r="A3605" i="1"/>
  <c r="A359" i="1"/>
  <c r="A3604" i="1"/>
  <c r="A6812" i="1"/>
  <c r="A6811" i="1"/>
  <c r="A6810" i="1"/>
  <c r="A358" i="1"/>
  <c r="A6809" i="1"/>
  <c r="A6808" i="1"/>
  <c r="A6807" i="1"/>
  <c r="A3603" i="1"/>
  <c r="A6806" i="1"/>
  <c r="A6805" i="1"/>
  <c r="A357" i="1"/>
  <c r="A356" i="1"/>
  <c r="A6804" i="1"/>
  <c r="A6803" i="1"/>
  <c r="A3602" i="1"/>
  <c r="A6802" i="1"/>
  <c r="A6801" i="1"/>
  <c r="A6800" i="1"/>
  <c r="A969" i="1"/>
  <c r="A6799" i="1"/>
  <c r="A13779" i="1"/>
  <c r="A6798" i="1"/>
  <c r="A6797" i="1"/>
  <c r="A3601" i="1"/>
  <c r="A6796" i="1"/>
  <c r="A6795" i="1"/>
  <c r="A6794" i="1"/>
  <c r="A6793" i="1"/>
  <c r="A6792" i="1"/>
  <c r="A6791" i="1"/>
  <c r="A6790" i="1"/>
  <c r="A6789" i="1"/>
  <c r="A6788" i="1"/>
  <c r="A6787" i="1"/>
  <c r="A6786" i="1"/>
  <c r="A3600" i="1"/>
  <c r="A6785" i="1"/>
  <c r="A6784" i="1"/>
  <c r="A3599" i="1"/>
  <c r="A6783" i="1"/>
  <c r="A6782" i="1"/>
  <c r="A6781" i="1"/>
  <c r="A6780" i="1"/>
  <c r="A6779" i="1"/>
  <c r="A3598" i="1"/>
  <c r="A6778" i="1"/>
  <c r="A6777" i="1"/>
  <c r="A3597" i="1"/>
  <c r="A6776" i="1"/>
  <c r="A3596" i="1"/>
  <c r="A6775" i="1"/>
  <c r="A6774" i="1"/>
  <c r="A6773" i="1"/>
  <c r="A6772" i="1"/>
  <c r="A6771" i="1"/>
  <c r="A3595" i="1"/>
  <c r="A3594" i="1"/>
  <c r="A3593" i="1"/>
  <c r="A6770" i="1"/>
  <c r="A6769" i="1"/>
  <c r="A6768" i="1"/>
  <c r="A102" i="1"/>
  <c r="A6767" i="1"/>
  <c r="A6766" i="1"/>
  <c r="A6765" i="1"/>
  <c r="A6764" i="1"/>
  <c r="A6763" i="1"/>
  <c r="A6762" i="1"/>
  <c r="A6761" i="1"/>
  <c r="A968" i="1"/>
  <c r="A6760" i="1"/>
  <c r="A6759" i="1"/>
  <c r="A6758" i="1"/>
  <c r="A6757" i="1"/>
  <c r="A6756" i="1"/>
  <c r="A3592" i="1"/>
  <c r="A6755" i="1"/>
  <c r="A3591" i="1"/>
  <c r="A6754" i="1"/>
  <c r="A6753" i="1"/>
  <c r="A355" i="1"/>
  <c r="A6752" i="1"/>
  <c r="A6751" i="1"/>
  <c r="A6750" i="1"/>
  <c r="A967" i="1"/>
  <c r="A6749" i="1"/>
  <c r="A6748" i="1"/>
  <c r="A6747" i="1"/>
  <c r="A6746" i="1"/>
  <c r="A6745" i="1"/>
  <c r="A6744" i="1"/>
  <c r="A6743" i="1"/>
  <c r="A6742" i="1"/>
  <c r="A3590" i="1"/>
  <c r="A3589" i="1"/>
  <c r="A6741" i="1"/>
  <c r="A3588" i="1"/>
  <c r="A6740" i="1"/>
  <c r="A6739" i="1"/>
  <c r="A6738" i="1"/>
  <c r="A6737" i="1"/>
  <c r="A6736" i="1"/>
  <c r="A3587" i="1"/>
  <c r="A6735" i="1"/>
  <c r="A6734" i="1"/>
  <c r="A6733" i="1"/>
  <c r="A6732" i="1"/>
  <c r="A6731" i="1"/>
  <c r="A6730" i="1"/>
  <c r="A6729" i="1"/>
  <c r="A6728" i="1"/>
  <c r="A6727" i="1"/>
  <c r="A6726" i="1"/>
  <c r="A3586" i="1"/>
  <c r="A6725" i="1"/>
  <c r="A6724" i="1"/>
  <c r="A3585" i="1"/>
  <c r="A3584" i="1"/>
  <c r="A3583" i="1"/>
  <c r="A6723" i="1"/>
  <c r="A6722" i="1"/>
  <c r="A6721" i="1"/>
  <c r="A6720" i="1"/>
  <c r="A6719" i="1"/>
  <c r="A6718" i="1"/>
  <c r="A3582" i="1"/>
  <c r="A3581" i="1"/>
  <c r="A6717" i="1"/>
  <c r="A6716" i="1"/>
  <c r="A6715" i="1"/>
  <c r="A354" i="1"/>
  <c r="A353" i="1"/>
  <c r="A6714" i="1"/>
  <c r="A3580" i="1"/>
  <c r="A6713" i="1"/>
  <c r="A6712" i="1"/>
  <c r="A6711" i="1"/>
  <c r="A6710" i="1"/>
  <c r="A6709" i="1"/>
  <c r="A6708" i="1"/>
  <c r="A6707" i="1"/>
  <c r="A6706" i="1"/>
  <c r="A6705" i="1"/>
  <c r="A6704" i="1"/>
  <c r="A6703" i="1"/>
  <c r="A352" i="1"/>
  <c r="A6702" i="1"/>
  <c r="A6701" i="1"/>
  <c r="A6700" i="1"/>
  <c r="A3579" i="1"/>
  <c r="A3578" i="1"/>
  <c r="A6699" i="1"/>
  <c r="A6698" i="1"/>
  <c r="A6697" i="1"/>
  <c r="A6696" i="1"/>
  <c r="A6695" i="1"/>
  <c r="A6694" i="1"/>
  <c r="A6693" i="1"/>
  <c r="A6692" i="1"/>
  <c r="A6691" i="1"/>
  <c r="A6690" i="1"/>
  <c r="A6689" i="1"/>
  <c r="A3577" i="1"/>
  <c r="A3576" i="1"/>
  <c r="A6688" i="1"/>
  <c r="A3575" i="1"/>
  <c r="A6687" i="1"/>
  <c r="A6686" i="1"/>
  <c r="A3574" i="1"/>
  <c r="A6685" i="1"/>
  <c r="A6684" i="1"/>
  <c r="A3573" i="1"/>
  <c r="A6683" i="1"/>
  <c r="A3572" i="1"/>
  <c r="A3571" i="1"/>
  <c r="A3570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3569" i="1"/>
  <c r="A6670" i="1"/>
  <c r="A6669" i="1"/>
  <c r="A6668" i="1"/>
  <c r="A6667" i="1"/>
  <c r="A101" i="1"/>
  <c r="A6666" i="1"/>
  <c r="A6665" i="1"/>
  <c r="A6664" i="1"/>
  <c r="A6663" i="1"/>
  <c r="A6662" i="1"/>
  <c r="A6661" i="1"/>
  <c r="A6660" i="1"/>
  <c r="A6659" i="1"/>
  <c r="A3568" i="1"/>
  <c r="A6658" i="1"/>
  <c r="A6657" i="1"/>
  <c r="A6656" i="1"/>
  <c r="A6655" i="1"/>
  <c r="A3567" i="1"/>
  <c r="A6654" i="1"/>
  <c r="A6653" i="1"/>
  <c r="A6652" i="1"/>
  <c r="A6651" i="1"/>
  <c r="A6650" i="1"/>
  <c r="A6649" i="1"/>
  <c r="A6648" i="1"/>
  <c r="A6647" i="1"/>
  <c r="A6646" i="1"/>
  <c r="A6645" i="1"/>
  <c r="A351" i="1"/>
  <c r="A3566" i="1"/>
  <c r="A6644" i="1"/>
  <c r="A6643" i="1"/>
  <c r="A6642" i="1"/>
  <c r="A966" i="1"/>
  <c r="A6641" i="1"/>
  <c r="A6640" i="1"/>
  <c r="A6639" i="1"/>
  <c r="A3565" i="1"/>
  <c r="A6638" i="1"/>
  <c r="A6637" i="1"/>
  <c r="A3564" i="1"/>
  <c r="A6636" i="1"/>
  <c r="A350" i="1"/>
  <c r="A6635" i="1"/>
  <c r="A6634" i="1"/>
  <c r="A349" i="1"/>
  <c r="A6633" i="1"/>
  <c r="A6632" i="1"/>
  <c r="A6631" i="1"/>
  <c r="A6630" i="1"/>
  <c r="A6629" i="1"/>
  <c r="A6628" i="1"/>
  <c r="A6627" i="1"/>
  <c r="A3563" i="1"/>
  <c r="A6626" i="1"/>
  <c r="A3562" i="1"/>
  <c r="A6625" i="1"/>
  <c r="A6624" i="1"/>
  <c r="A6623" i="1"/>
  <c r="A6622" i="1"/>
  <c r="A6621" i="1"/>
  <c r="A6620" i="1"/>
  <c r="A6619" i="1"/>
  <c r="A6618" i="1"/>
  <c r="A6617" i="1"/>
  <c r="A6616" i="1"/>
  <c r="A348" i="1"/>
  <c r="A6615" i="1"/>
  <c r="A6614" i="1"/>
  <c r="A965" i="1"/>
  <c r="A6613" i="1"/>
  <c r="A3561" i="1"/>
  <c r="A6612" i="1"/>
  <c r="A6611" i="1"/>
  <c r="A347" i="1"/>
  <c r="A346" i="1"/>
  <c r="A6610" i="1"/>
  <c r="A964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345" i="1"/>
  <c r="A6597" i="1"/>
  <c r="A6596" i="1"/>
  <c r="A6595" i="1"/>
  <c r="A6594" i="1"/>
  <c r="A3560" i="1"/>
  <c r="A6593" i="1"/>
  <c r="A3559" i="1"/>
  <c r="A3558" i="1"/>
  <c r="A963" i="1"/>
  <c r="A6592" i="1"/>
  <c r="A6591" i="1"/>
  <c r="A3557" i="1"/>
  <c r="A3556" i="1"/>
  <c r="A6590" i="1"/>
  <c r="A3555" i="1"/>
  <c r="A6589" i="1"/>
  <c r="A6588" i="1"/>
  <c r="A6587" i="1"/>
  <c r="A6586" i="1"/>
  <c r="A6585" i="1"/>
  <c r="A344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3554" i="1"/>
  <c r="A3553" i="1"/>
  <c r="A6571" i="1"/>
  <c r="A962" i="1"/>
  <c r="A6570" i="1"/>
  <c r="A6569" i="1"/>
  <c r="A3552" i="1"/>
  <c r="A6568" i="1"/>
  <c r="A6567" i="1"/>
  <c r="A6566" i="1"/>
  <c r="A6565" i="1"/>
  <c r="A6564" i="1"/>
  <c r="A3551" i="1"/>
  <c r="A6563" i="1"/>
  <c r="A6562" i="1"/>
  <c r="A3550" i="1"/>
  <c r="A3549" i="1"/>
  <c r="A3548" i="1"/>
  <c r="A6561" i="1"/>
  <c r="A3547" i="1"/>
  <c r="A6560" i="1"/>
  <c r="A6559" i="1"/>
  <c r="A6558" i="1"/>
  <c r="A6557" i="1"/>
  <c r="A343" i="1"/>
  <c r="A6556" i="1"/>
  <c r="A6555" i="1"/>
  <c r="A3546" i="1"/>
  <c r="A3545" i="1"/>
  <c r="A6554" i="1"/>
  <c r="A6553" i="1"/>
  <c r="A961" i="1"/>
  <c r="A6552" i="1"/>
  <c r="A3544" i="1"/>
  <c r="A6551" i="1"/>
  <c r="A3543" i="1"/>
  <c r="A6550" i="1"/>
  <c r="A6549" i="1"/>
  <c r="A6548" i="1"/>
  <c r="A6547" i="1"/>
  <c r="A6546" i="1"/>
  <c r="A6545" i="1"/>
  <c r="A3542" i="1"/>
  <c r="A6544" i="1"/>
  <c r="A6543" i="1"/>
  <c r="A960" i="1"/>
  <c r="A6542" i="1"/>
  <c r="A6541" i="1"/>
  <c r="A6540" i="1"/>
  <c r="A6539" i="1"/>
  <c r="A6538" i="1"/>
  <c r="A6537" i="1"/>
  <c r="A6536" i="1"/>
  <c r="A3541" i="1"/>
  <c r="A6535" i="1"/>
  <c r="A6534" i="1"/>
  <c r="A6533" i="1"/>
  <c r="A6532" i="1"/>
  <c r="A6531" i="1"/>
  <c r="A6530" i="1"/>
  <c r="A6529" i="1"/>
  <c r="A3540" i="1"/>
  <c r="A353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3538" i="1"/>
  <c r="A3537" i="1"/>
  <c r="A3536" i="1"/>
  <c r="A3535" i="1"/>
  <c r="A6514" i="1"/>
  <c r="A6513" i="1"/>
  <c r="A6512" i="1"/>
  <c r="A342" i="1"/>
  <c r="A6511" i="1"/>
  <c r="A3534" i="1"/>
  <c r="A6510" i="1"/>
  <c r="A6509" i="1"/>
  <c r="A6508" i="1"/>
  <c r="A3533" i="1"/>
  <c r="A6507" i="1"/>
  <c r="A959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3532" i="1"/>
  <c r="A6493" i="1"/>
  <c r="A6492" i="1"/>
  <c r="A6491" i="1"/>
  <c r="A6490" i="1"/>
  <c r="A6489" i="1"/>
  <c r="A3531" i="1"/>
  <c r="A6488" i="1"/>
  <c r="A3530" i="1"/>
  <c r="A6487" i="1"/>
  <c r="A3529" i="1"/>
  <c r="A6486" i="1"/>
  <c r="A6485" i="1"/>
  <c r="A3528" i="1"/>
  <c r="A6484" i="1"/>
  <c r="A3527" i="1"/>
  <c r="A6483" i="1"/>
  <c r="A3526" i="1"/>
  <c r="A3525" i="1"/>
  <c r="A6482" i="1"/>
  <c r="A6481" i="1"/>
  <c r="A3524" i="1"/>
  <c r="A3523" i="1"/>
  <c r="A6480" i="1"/>
  <c r="A3522" i="1"/>
  <c r="A3521" i="1"/>
  <c r="A3520" i="1"/>
  <c r="A6479" i="1"/>
  <c r="A3519" i="1"/>
  <c r="A6478" i="1"/>
  <c r="A6477" i="1"/>
  <c r="A3518" i="1"/>
  <c r="A6476" i="1"/>
  <c r="A3517" i="1"/>
  <c r="A3516" i="1"/>
  <c r="A6475" i="1"/>
  <c r="A3515" i="1"/>
  <c r="A6474" i="1"/>
  <c r="A6473" i="1"/>
  <c r="A6472" i="1"/>
  <c r="A3514" i="1"/>
  <c r="A6471" i="1"/>
  <c r="A6470" i="1"/>
  <c r="A6469" i="1"/>
  <c r="A6468" i="1"/>
  <c r="A3513" i="1"/>
  <c r="A3512" i="1"/>
  <c r="A3511" i="1"/>
  <c r="A6467" i="1"/>
  <c r="A6466" i="1"/>
  <c r="A6465" i="1"/>
  <c r="A341" i="1"/>
  <c r="A6464" i="1"/>
  <c r="A6463" i="1"/>
  <c r="A6462" i="1"/>
  <c r="A3510" i="1"/>
  <c r="A340" i="1"/>
  <c r="A6461" i="1"/>
  <c r="A3509" i="1"/>
  <c r="A6460" i="1"/>
  <c r="A6459" i="1"/>
  <c r="A6458" i="1"/>
  <c r="A6457" i="1"/>
  <c r="A6456" i="1"/>
  <c r="A6455" i="1"/>
  <c r="A6454" i="1"/>
  <c r="A6453" i="1"/>
  <c r="A6452" i="1"/>
  <c r="A6451" i="1"/>
  <c r="A6450" i="1"/>
  <c r="A3508" i="1"/>
  <c r="A6449" i="1"/>
  <c r="A339" i="1"/>
  <c r="A6448" i="1"/>
  <c r="A6447" i="1"/>
  <c r="A6446" i="1"/>
  <c r="A958" i="1"/>
  <c r="A3507" i="1"/>
  <c r="A13778" i="1"/>
  <c r="A3506" i="1"/>
  <c r="A3505" i="1"/>
  <c r="A3504" i="1"/>
  <c r="A6445" i="1"/>
  <c r="A3503" i="1"/>
  <c r="A6444" i="1"/>
  <c r="A6443" i="1"/>
  <c r="A6442" i="1"/>
  <c r="A3502" i="1"/>
  <c r="A6441" i="1"/>
  <c r="A957" i="1"/>
  <c r="A6440" i="1"/>
  <c r="A6439" i="1"/>
  <c r="A3501" i="1"/>
  <c r="A338" i="1"/>
  <c r="A6438" i="1"/>
  <c r="A6437" i="1"/>
  <c r="A6436" i="1"/>
  <c r="A6435" i="1"/>
  <c r="A6434" i="1"/>
  <c r="A6433" i="1"/>
  <c r="A6432" i="1"/>
  <c r="A46" i="1"/>
  <c r="A6431" i="1"/>
  <c r="A3500" i="1"/>
  <c r="A6430" i="1"/>
  <c r="A6429" i="1"/>
  <c r="A3499" i="1"/>
  <c r="A6428" i="1"/>
  <c r="A6427" i="1"/>
  <c r="A6426" i="1"/>
  <c r="A3498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3497" i="1"/>
  <c r="A3496" i="1"/>
  <c r="A6412" i="1"/>
  <c r="A6411" i="1"/>
  <c r="A6410" i="1"/>
  <c r="A6409" i="1"/>
  <c r="A6408" i="1"/>
  <c r="A3495" i="1"/>
  <c r="A6407" i="1"/>
  <c r="A6406" i="1"/>
  <c r="A6405" i="1"/>
  <c r="A3494" i="1"/>
  <c r="A337" i="1"/>
  <c r="A6404" i="1"/>
  <c r="A6403" i="1"/>
  <c r="A6402" i="1"/>
  <c r="A6401" i="1"/>
  <c r="A6400" i="1"/>
  <c r="A6399" i="1"/>
  <c r="A6398" i="1"/>
  <c r="A6397" i="1"/>
  <c r="A6396" i="1"/>
  <c r="A3493" i="1"/>
  <c r="A3492" i="1"/>
  <c r="A336" i="1"/>
  <c r="A15" i="1"/>
  <c r="A6395" i="1"/>
  <c r="A6394" i="1"/>
  <c r="A6393" i="1"/>
  <c r="A6392" i="1"/>
  <c r="A6391" i="1"/>
  <c r="A6390" i="1"/>
  <c r="A6389" i="1"/>
  <c r="A3491" i="1"/>
  <c r="A3490" i="1"/>
  <c r="A6388" i="1"/>
  <c r="A6387" i="1"/>
  <c r="A3489" i="1"/>
  <c r="A335" i="1"/>
  <c r="A6386" i="1"/>
  <c r="A334" i="1"/>
  <c r="A3488" i="1"/>
  <c r="A3487" i="1"/>
  <c r="A6385" i="1"/>
  <c r="A3486" i="1"/>
  <c r="A3485" i="1"/>
  <c r="A956" i="1"/>
  <c r="A3484" i="1"/>
  <c r="A3483" i="1"/>
  <c r="A6384" i="1"/>
  <c r="A3482" i="1"/>
  <c r="A6383" i="1"/>
  <c r="A3481" i="1"/>
  <c r="A6382" i="1"/>
  <c r="A6381" i="1"/>
  <c r="A6380" i="1"/>
  <c r="A3480" i="1"/>
  <c r="A6379" i="1"/>
  <c r="A6378" i="1"/>
  <c r="A6377" i="1"/>
  <c r="A3479" i="1"/>
  <c r="A3478" i="1"/>
  <c r="A6376" i="1"/>
  <c r="A3477" i="1"/>
  <c r="A333" i="1"/>
  <c r="A6375" i="1"/>
  <c r="A6374" i="1"/>
  <c r="A6373" i="1"/>
  <c r="A6372" i="1"/>
  <c r="A6371" i="1"/>
  <c r="A3476" i="1"/>
  <c r="A3475" i="1"/>
  <c r="A6370" i="1"/>
  <c r="A6369" i="1"/>
  <c r="A6368" i="1"/>
  <c r="A6367" i="1"/>
  <c r="A3474" i="1"/>
  <c r="A6366" i="1"/>
  <c r="A6365" i="1"/>
  <c r="A6364" i="1"/>
  <c r="A6363" i="1"/>
  <c r="A955" i="1"/>
  <c r="A6362" i="1"/>
  <c r="A6361" i="1"/>
  <c r="A6360" i="1"/>
  <c r="A6359" i="1"/>
  <c r="A6358" i="1"/>
  <c r="A954" i="1"/>
  <c r="A953" i="1"/>
  <c r="A6357" i="1"/>
  <c r="A6356" i="1"/>
  <c r="A6355" i="1"/>
  <c r="A6354" i="1"/>
  <c r="A6353" i="1"/>
  <c r="A3473" i="1"/>
  <c r="A3472" i="1"/>
  <c r="A6352" i="1"/>
  <c r="A6351" i="1"/>
  <c r="A952" i="1"/>
  <c r="A6350" i="1"/>
  <c r="A6349" i="1"/>
  <c r="A6348" i="1"/>
  <c r="A6347" i="1"/>
  <c r="A3471" i="1"/>
  <c r="A6346" i="1"/>
  <c r="A3470" i="1"/>
  <c r="A6345" i="1"/>
  <c r="A6344" i="1"/>
  <c r="A3469" i="1"/>
  <c r="A6343" i="1"/>
  <c r="A3468" i="1"/>
  <c r="A6342" i="1"/>
  <c r="A3467" i="1"/>
  <c r="A6341" i="1"/>
  <c r="A6340" i="1"/>
  <c r="A6339" i="1"/>
  <c r="A6338" i="1"/>
  <c r="A6337" i="1"/>
  <c r="A6336" i="1"/>
  <c r="A6335" i="1"/>
  <c r="A6334" i="1"/>
  <c r="A3466" i="1"/>
  <c r="A3465" i="1"/>
  <c r="A6333" i="1"/>
  <c r="A6332" i="1"/>
  <c r="A6331" i="1"/>
  <c r="A6330" i="1"/>
  <c r="A6329" i="1"/>
  <c r="A6328" i="1"/>
  <c r="A6327" i="1"/>
  <c r="A6326" i="1"/>
  <c r="A6325" i="1"/>
  <c r="A3464" i="1"/>
  <c r="A6324" i="1"/>
  <c r="A6323" i="1"/>
  <c r="A951" i="1"/>
  <c r="A6322" i="1"/>
  <c r="A6321" i="1"/>
  <c r="A6320" i="1"/>
  <c r="A6319" i="1"/>
  <c r="A6318" i="1"/>
  <c r="A6317" i="1"/>
  <c r="A3463" i="1"/>
  <c r="A3462" i="1"/>
  <c r="A6316" i="1"/>
  <c r="A3461" i="1"/>
  <c r="A6315" i="1"/>
  <c r="A6314" i="1"/>
  <c r="A6313" i="1"/>
  <c r="A6312" i="1"/>
  <c r="A950" i="1"/>
  <c r="A6311" i="1"/>
  <c r="A332" i="1"/>
  <c r="A6310" i="1"/>
  <c r="A6309" i="1"/>
  <c r="A6308" i="1"/>
  <c r="A6307" i="1"/>
  <c r="A6306" i="1"/>
  <c r="A6305" i="1"/>
  <c r="A6304" i="1"/>
  <c r="A6303" i="1"/>
  <c r="A6302" i="1"/>
  <c r="A331" i="1"/>
  <c r="A6301" i="1"/>
  <c r="A330" i="1"/>
  <c r="A3460" i="1"/>
  <c r="A3459" i="1"/>
  <c r="A3458" i="1"/>
  <c r="A6300" i="1"/>
  <c r="A6299" i="1"/>
  <c r="A6298" i="1"/>
  <c r="A949" i="1"/>
  <c r="A6297" i="1"/>
  <c r="A6296" i="1"/>
  <c r="A6295" i="1"/>
  <c r="A6294" i="1"/>
  <c r="A6293" i="1"/>
  <c r="A6292" i="1"/>
  <c r="A3457" i="1"/>
  <c r="A6291" i="1"/>
  <c r="A3456" i="1"/>
  <c r="A6290" i="1"/>
  <c r="A6289" i="1"/>
  <c r="A6288" i="1"/>
  <c r="A6287" i="1"/>
  <c r="A6286" i="1"/>
  <c r="A6285" i="1"/>
  <c r="A6284" i="1"/>
  <c r="A329" i="1"/>
  <c r="A6283" i="1"/>
  <c r="A6282" i="1"/>
  <c r="A6281" i="1"/>
  <c r="A3455" i="1"/>
  <c r="A6280" i="1"/>
  <c r="A3454" i="1"/>
  <c r="A6279" i="1"/>
  <c r="A6278" i="1"/>
  <c r="A3453" i="1"/>
  <c r="A6277" i="1"/>
  <c r="A6276" i="1"/>
  <c r="A6275" i="1"/>
  <c r="A6274" i="1"/>
  <c r="A6273" i="1"/>
  <c r="A6272" i="1"/>
  <c r="A6271" i="1"/>
  <c r="A3452" i="1"/>
  <c r="A6270" i="1"/>
  <c r="A328" i="1"/>
  <c r="A6269" i="1"/>
  <c r="A6268" i="1"/>
  <c r="A948" i="1"/>
  <c r="A6267" i="1"/>
  <c r="A6266" i="1"/>
  <c r="A6265" i="1"/>
  <c r="A6264" i="1"/>
  <c r="A6263" i="1"/>
  <c r="A6262" i="1"/>
  <c r="A6261" i="1"/>
  <c r="A6260" i="1"/>
  <c r="A6259" i="1"/>
  <c r="A3451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3450" i="1"/>
  <c r="A6246" i="1"/>
  <c r="A3449" i="1"/>
  <c r="A6245" i="1"/>
  <c r="A6244" i="1"/>
  <c r="A6243" i="1"/>
  <c r="A3448" i="1"/>
  <c r="A6242" i="1"/>
  <c r="A6241" i="1"/>
  <c r="A6240" i="1"/>
  <c r="A327" i="1"/>
  <c r="A3447" i="1"/>
  <c r="A6239" i="1"/>
  <c r="A6238" i="1"/>
  <c r="A6237" i="1"/>
  <c r="A3446" i="1"/>
  <c r="A6236" i="1"/>
  <c r="A6235" i="1"/>
  <c r="A326" i="1"/>
  <c r="A947" i="1"/>
  <c r="A6234" i="1"/>
  <c r="A6233" i="1"/>
  <c r="A6232" i="1"/>
  <c r="A325" i="1"/>
  <c r="A6231" i="1"/>
  <c r="A6230" i="1"/>
  <c r="A3445" i="1"/>
  <c r="A6229" i="1"/>
  <c r="A6228" i="1"/>
  <c r="A6227" i="1"/>
  <c r="A6226" i="1"/>
  <c r="A3444" i="1"/>
  <c r="A6225" i="1"/>
  <c r="A6224" i="1"/>
  <c r="A3443" i="1"/>
  <c r="A3442" i="1"/>
  <c r="A6223" i="1"/>
  <c r="A6222" i="1"/>
  <c r="A6221" i="1"/>
  <c r="A6220" i="1"/>
  <c r="A3441" i="1"/>
  <c r="A6219" i="1"/>
  <c r="A6218" i="1"/>
  <c r="A3440" i="1"/>
  <c r="A6217" i="1"/>
  <c r="A6216" i="1"/>
  <c r="A6215" i="1"/>
  <c r="A324" i="1"/>
  <c r="A6214" i="1"/>
  <c r="A6213" i="1"/>
  <c r="A6212" i="1"/>
  <c r="A6211" i="1"/>
  <c r="A6210" i="1"/>
  <c r="A946" i="1"/>
  <c r="A6209" i="1"/>
  <c r="A6208" i="1"/>
  <c r="A6207" i="1"/>
  <c r="A3439" i="1"/>
  <c r="A3438" i="1"/>
  <c r="A343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3436" i="1"/>
  <c r="A3435" i="1"/>
  <c r="A6187" i="1"/>
  <c r="A6186" i="1"/>
  <c r="A3434" i="1"/>
  <c r="A3433" i="1"/>
  <c r="A3432" i="1"/>
  <c r="A3431" i="1"/>
  <c r="A3430" i="1"/>
  <c r="A3429" i="1"/>
  <c r="A945" i="1"/>
  <c r="A3428" i="1"/>
  <c r="A6185" i="1"/>
  <c r="A6184" i="1"/>
  <c r="A3427" i="1"/>
  <c r="A3426" i="1"/>
  <c r="A6183" i="1"/>
  <c r="A6182" i="1"/>
  <c r="A6181" i="1"/>
  <c r="A3425" i="1"/>
  <c r="A3424" i="1"/>
  <c r="A6180" i="1"/>
  <c r="A6179" i="1"/>
  <c r="A323" i="1"/>
  <c r="A6178" i="1"/>
  <c r="A6177" i="1"/>
  <c r="A6176" i="1"/>
  <c r="A3423" i="1"/>
  <c r="A6175" i="1"/>
  <c r="A6174" i="1"/>
  <c r="A3422" i="1"/>
  <c r="A944" i="1"/>
  <c r="A6173" i="1"/>
  <c r="A6172" i="1"/>
  <c r="A6171" i="1"/>
  <c r="A6170" i="1"/>
  <c r="A6169" i="1"/>
  <c r="A6168" i="1"/>
  <c r="A6167" i="1"/>
  <c r="A3421" i="1"/>
  <c r="A3420" i="1"/>
  <c r="A6166" i="1"/>
  <c r="A6165" i="1"/>
  <c r="A6164" i="1"/>
  <c r="A6163" i="1"/>
  <c r="A3419" i="1"/>
  <c r="A6162" i="1"/>
  <c r="A3418" i="1"/>
  <c r="A6161" i="1"/>
  <c r="A3417" i="1"/>
  <c r="A3416" i="1"/>
  <c r="A6160" i="1"/>
  <c r="A6159" i="1"/>
  <c r="A6158" i="1"/>
  <c r="A6157" i="1"/>
  <c r="A6156" i="1"/>
  <c r="A3415" i="1"/>
  <c r="A6155" i="1"/>
  <c r="A3414" i="1"/>
  <c r="A6154" i="1"/>
  <c r="A6153" i="1"/>
  <c r="A6152" i="1"/>
  <c r="A3413" i="1"/>
  <c r="A6151" i="1"/>
  <c r="A6150" i="1"/>
  <c r="A6149" i="1"/>
  <c r="A3412" i="1"/>
  <c r="A6148" i="1"/>
  <c r="A3411" i="1"/>
  <c r="A6147" i="1"/>
  <c r="A322" i="1"/>
  <c r="A3410" i="1"/>
  <c r="A3409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3408" i="1"/>
  <c r="A6130" i="1"/>
  <c r="A3407" i="1"/>
  <c r="A6129" i="1"/>
  <c r="A6128" i="1"/>
  <c r="A943" i="1"/>
  <c r="A6127" i="1"/>
  <c r="A6126" i="1"/>
  <c r="A3406" i="1"/>
  <c r="A6125" i="1"/>
  <c r="A6124" i="1"/>
  <c r="A6123" i="1"/>
  <c r="A6122" i="1"/>
  <c r="A3405" i="1"/>
  <c r="A6121" i="1"/>
  <c r="A3404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3403" i="1"/>
  <c r="A6105" i="1"/>
  <c r="A6104" i="1"/>
  <c r="A3402" i="1"/>
  <c r="A6103" i="1"/>
  <c r="A3401" i="1"/>
  <c r="A6102" i="1"/>
  <c r="A6101" i="1"/>
  <c r="A3400" i="1"/>
  <c r="A3399" i="1"/>
  <c r="A6100" i="1"/>
  <c r="A3398" i="1"/>
  <c r="A6099" i="1"/>
  <c r="A6098" i="1"/>
  <c r="A6097" i="1"/>
  <c r="A3397" i="1"/>
  <c r="A3396" i="1"/>
  <c r="A6096" i="1"/>
  <c r="A3395" i="1"/>
  <c r="A6095" i="1"/>
  <c r="A6094" i="1"/>
  <c r="A6093" i="1"/>
  <c r="A6092" i="1"/>
  <c r="A3394" i="1"/>
  <c r="A6091" i="1"/>
  <c r="A6090" i="1"/>
  <c r="A6089" i="1"/>
  <c r="A6088" i="1"/>
  <c r="A6087" i="1"/>
  <c r="A6086" i="1"/>
  <c r="A3393" i="1"/>
  <c r="A3392" i="1"/>
  <c r="A6085" i="1"/>
  <c r="A6084" i="1"/>
  <c r="A6083" i="1"/>
  <c r="A3391" i="1"/>
  <c r="A6082" i="1"/>
  <c r="A3390" i="1"/>
  <c r="A6081" i="1"/>
  <c r="A6080" i="1"/>
  <c r="A3389" i="1"/>
  <c r="A6079" i="1"/>
  <c r="A3388" i="1"/>
  <c r="A6078" i="1"/>
  <c r="A6077" i="1"/>
  <c r="A6076" i="1"/>
  <c r="A3387" i="1"/>
  <c r="A6075" i="1"/>
  <c r="A6074" i="1"/>
  <c r="A3386" i="1"/>
  <c r="A3385" i="1"/>
  <c r="A3384" i="1"/>
  <c r="A6073" i="1"/>
  <c r="A6072" i="1"/>
  <c r="A3383" i="1"/>
  <c r="A6071" i="1"/>
  <c r="A3382" i="1"/>
  <c r="A6070" i="1"/>
  <c r="A6069" i="1"/>
  <c r="A6068" i="1"/>
  <c r="A6067" i="1"/>
  <c r="A6066" i="1"/>
  <c r="A3381" i="1"/>
  <c r="A6065" i="1"/>
  <c r="A6064" i="1"/>
  <c r="A6063" i="1"/>
  <c r="A6062" i="1"/>
  <c r="A6061" i="1"/>
  <c r="A6060" i="1"/>
  <c r="A6059" i="1"/>
  <c r="A3380" i="1"/>
  <c r="A6058" i="1"/>
  <c r="A6057" i="1"/>
  <c r="A6056" i="1"/>
  <c r="A3379" i="1"/>
  <c r="A3378" i="1"/>
  <c r="A6055" i="1"/>
  <c r="A6054" i="1"/>
  <c r="A6053" i="1"/>
  <c r="A6052" i="1"/>
  <c r="A6051" i="1"/>
  <c r="A6050" i="1"/>
  <c r="A6049" i="1"/>
  <c r="A6048" i="1"/>
  <c r="A6047" i="1"/>
  <c r="A6046" i="1"/>
  <c r="A6045" i="1"/>
  <c r="A321" i="1"/>
  <c r="A6044" i="1"/>
  <c r="A320" i="1"/>
  <c r="A6043" i="1"/>
  <c r="A6042" i="1"/>
  <c r="A3377" i="1"/>
  <c r="A3376" i="1"/>
  <c r="A6041" i="1"/>
  <c r="A6040" i="1"/>
  <c r="A6039" i="1"/>
  <c r="A3375" i="1"/>
  <c r="A3374" i="1"/>
  <c r="A6038" i="1"/>
  <c r="A3373" i="1"/>
  <c r="A942" i="1"/>
  <c r="A3372" i="1"/>
  <c r="A6037" i="1"/>
  <c r="A3371" i="1"/>
  <c r="A6036" i="1"/>
  <c r="A6035" i="1"/>
  <c r="A6034" i="1"/>
  <c r="A6033" i="1"/>
  <c r="A6032" i="1"/>
  <c r="A6031" i="1"/>
  <c r="A941" i="1"/>
  <c r="A3370" i="1"/>
  <c r="A3369" i="1"/>
  <c r="A6030" i="1"/>
  <c r="A6029" i="1"/>
  <c r="A6028" i="1"/>
  <c r="A6027" i="1"/>
  <c r="A940" i="1"/>
  <c r="A6026" i="1"/>
  <c r="A6025" i="1"/>
  <c r="A6024" i="1"/>
  <c r="A6023" i="1"/>
  <c r="A6022" i="1"/>
  <c r="A3368" i="1"/>
  <c r="A6021" i="1"/>
  <c r="A6020" i="1"/>
  <c r="A3367" i="1"/>
  <c r="A6019" i="1"/>
  <c r="A6018" i="1"/>
  <c r="A939" i="1"/>
  <c r="A3366" i="1"/>
  <c r="A6017" i="1"/>
  <c r="A6016" i="1"/>
  <c r="A6015" i="1"/>
  <c r="A6014" i="1"/>
  <c r="A6013" i="1"/>
  <c r="A6012" i="1"/>
  <c r="A3365" i="1"/>
  <c r="A3364" i="1"/>
  <c r="A6011" i="1"/>
  <c r="A6010" i="1"/>
  <c r="A6009" i="1"/>
  <c r="A6008" i="1"/>
  <c r="A3363" i="1"/>
  <c r="A938" i="1"/>
  <c r="A61" i="1"/>
  <c r="A6007" i="1"/>
  <c r="A937" i="1"/>
  <c r="A3362" i="1"/>
  <c r="A6006" i="1"/>
  <c r="A6005" i="1"/>
  <c r="A6004" i="1"/>
  <c r="A6003" i="1"/>
  <c r="A6002" i="1"/>
  <c r="A6001" i="1"/>
  <c r="A3361" i="1"/>
  <c r="A3360" i="1"/>
  <c r="A319" i="1"/>
  <c r="A3359" i="1"/>
  <c r="A6000" i="1"/>
  <c r="A318" i="1"/>
  <c r="A5999" i="1"/>
  <c r="A13777" i="1"/>
  <c r="A5998" i="1"/>
  <c r="A3358" i="1"/>
  <c r="A5997" i="1"/>
  <c r="A5996" i="1"/>
  <c r="A5995" i="1"/>
  <c r="A5994" i="1"/>
  <c r="A5993" i="1"/>
  <c r="A5992" i="1"/>
  <c r="A3357" i="1"/>
  <c r="A3356" i="1"/>
  <c r="A3355" i="1"/>
  <c r="A5991" i="1"/>
  <c r="A5990" i="1"/>
  <c r="A5989" i="1"/>
  <c r="A3354" i="1"/>
  <c r="A3353" i="1"/>
  <c r="A5988" i="1"/>
  <c r="A5987" i="1"/>
  <c r="A5986" i="1"/>
  <c r="A317" i="1"/>
  <c r="A5985" i="1"/>
  <c r="A5984" i="1"/>
  <c r="A316" i="1"/>
  <c r="A5983" i="1"/>
  <c r="A5982" i="1"/>
  <c r="A5981" i="1"/>
  <c r="A5980" i="1"/>
  <c r="A3352" i="1"/>
  <c r="A5979" i="1"/>
  <c r="A3351" i="1"/>
  <c r="A5978" i="1"/>
  <c r="A3350" i="1"/>
  <c r="A936" i="1"/>
  <c r="A5977" i="1"/>
  <c r="A5976" i="1"/>
  <c r="A5975" i="1"/>
  <c r="A5974" i="1"/>
  <c r="A5973" i="1"/>
  <c r="A5972" i="1"/>
  <c r="A5971" i="1"/>
  <c r="A5970" i="1"/>
  <c r="A5969" i="1"/>
  <c r="A3349" i="1"/>
  <c r="A5968" i="1"/>
  <c r="A5967" i="1"/>
  <c r="A3348" i="1"/>
  <c r="A5966" i="1"/>
  <c r="A5965" i="1"/>
  <c r="A5964" i="1"/>
  <c r="A3347" i="1"/>
  <c r="A5963" i="1"/>
  <c r="A3346" i="1"/>
  <c r="A5962" i="1"/>
  <c r="A5961" i="1"/>
  <c r="A5960" i="1"/>
  <c r="A5959" i="1"/>
  <c r="A5958" i="1"/>
  <c r="A5957" i="1"/>
  <c r="A5956" i="1"/>
  <c r="A5955" i="1"/>
  <c r="A315" i="1"/>
  <c r="A5954" i="1"/>
  <c r="A5953" i="1"/>
  <c r="A5952" i="1"/>
  <c r="A5951" i="1"/>
  <c r="A5950" i="1"/>
  <c r="A3345" i="1"/>
  <c r="A3344" i="1"/>
  <c r="A5949" i="1"/>
  <c r="A935" i="1"/>
  <c r="A5948" i="1"/>
  <c r="A5947" i="1"/>
  <c r="A3343" i="1"/>
  <c r="A314" i="1"/>
  <c r="A5946" i="1"/>
  <c r="A5945" i="1"/>
  <c r="A5944" i="1"/>
  <c r="A5943" i="1"/>
  <c r="A934" i="1"/>
  <c r="A5942" i="1"/>
  <c r="A5941" i="1"/>
  <c r="A5940" i="1"/>
  <c r="A313" i="1"/>
  <c r="A5939" i="1"/>
  <c r="A5938" i="1"/>
  <c r="A3342" i="1"/>
  <c r="A5937" i="1"/>
  <c r="A3341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13776" i="1"/>
  <c r="A5924" i="1"/>
  <c r="A5923" i="1"/>
  <c r="A5922" i="1"/>
  <c r="A5921" i="1"/>
  <c r="A5920" i="1"/>
  <c r="A5919" i="1"/>
  <c r="A5918" i="1"/>
  <c r="A3340" i="1"/>
  <c r="A5917" i="1"/>
  <c r="A3339" i="1"/>
  <c r="A5916" i="1"/>
  <c r="A3338" i="1"/>
  <c r="A5915" i="1"/>
  <c r="A5914" i="1"/>
  <c r="A5913" i="1"/>
  <c r="A5912" i="1"/>
  <c r="A3337" i="1"/>
  <c r="A5911" i="1"/>
  <c r="A3336" i="1"/>
  <c r="A5910" i="1"/>
  <c r="A5909" i="1"/>
  <c r="A5908" i="1"/>
  <c r="A312" i="1"/>
  <c r="A3335" i="1"/>
  <c r="A5907" i="1"/>
  <c r="A5906" i="1"/>
  <c r="A5905" i="1"/>
  <c r="A5904" i="1"/>
  <c r="A3334" i="1"/>
  <c r="A5903" i="1"/>
  <c r="A3333" i="1"/>
  <c r="A3332" i="1"/>
  <c r="A3331" i="1"/>
  <c r="A5902" i="1"/>
  <c r="A5901" i="1"/>
  <c r="A3330" i="1"/>
  <c r="A3329" i="1"/>
  <c r="A3328" i="1"/>
  <c r="A3327" i="1"/>
  <c r="A5900" i="1"/>
  <c r="A5899" i="1"/>
  <c r="A5898" i="1"/>
  <c r="A3326" i="1"/>
  <c r="A5897" i="1"/>
  <c r="A5896" i="1"/>
  <c r="A5895" i="1"/>
  <c r="A5894" i="1"/>
  <c r="A933" i="1"/>
  <c r="A5893" i="1"/>
  <c r="A3325" i="1"/>
  <c r="A5892" i="1"/>
  <c r="A5891" i="1"/>
  <c r="A5890" i="1"/>
  <c r="A311" i="1"/>
  <c r="A5889" i="1"/>
  <c r="A3324" i="1"/>
  <c r="A3323" i="1"/>
  <c r="A5888" i="1"/>
  <c r="A3322" i="1"/>
  <c r="A3321" i="1"/>
  <c r="A3320" i="1"/>
  <c r="A3319" i="1"/>
  <c r="A3318" i="1"/>
  <c r="A3317" i="1"/>
  <c r="A3316" i="1"/>
  <c r="A3315" i="1"/>
  <c r="A3314" i="1"/>
  <c r="A3313" i="1"/>
  <c r="A3312" i="1"/>
  <c r="A932" i="1"/>
  <c r="A3311" i="1"/>
  <c r="A310" i="1"/>
  <c r="A3310" i="1"/>
  <c r="A3309" i="1"/>
  <c r="A5887" i="1"/>
  <c r="A3308" i="1"/>
  <c r="A3307" i="1"/>
  <c r="A3306" i="1"/>
  <c r="A3305" i="1"/>
  <c r="A3304" i="1"/>
  <c r="A3303" i="1"/>
  <c r="A3302" i="1"/>
  <c r="A27" i="1"/>
  <c r="A3301" i="1"/>
  <c r="A309" i="1"/>
  <c r="A3300" i="1"/>
  <c r="A3299" i="1"/>
  <c r="A3298" i="1"/>
  <c r="A931" i="1"/>
  <c r="A3297" i="1"/>
  <c r="A3296" i="1"/>
  <c r="A3295" i="1"/>
  <c r="A3294" i="1"/>
  <c r="A3293" i="1"/>
  <c r="A308" i="1"/>
  <c r="A3292" i="1"/>
  <c r="A3291" i="1"/>
  <c r="A307" i="1"/>
  <c r="A5886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13775" i="1"/>
  <c r="A3277" i="1"/>
  <c r="A3276" i="1"/>
  <c r="A3275" i="1"/>
  <c r="A3274" i="1"/>
  <c r="A3273" i="1"/>
  <c r="A306" i="1"/>
  <c r="A3272" i="1"/>
  <c r="A3271" i="1"/>
  <c r="A3270" i="1"/>
  <c r="A3269" i="1"/>
  <c r="A305" i="1"/>
  <c r="A3268" i="1"/>
  <c r="A930" i="1"/>
  <c r="A304" i="1"/>
  <c r="A3267" i="1"/>
  <c r="A3266" i="1"/>
  <c r="A303" i="1"/>
  <c r="A302" i="1"/>
  <c r="A3265" i="1"/>
  <c r="A3264" i="1"/>
  <c r="A3263" i="1"/>
  <c r="A3262" i="1"/>
  <c r="A5885" i="1"/>
  <c r="A3261" i="1"/>
  <c r="A3260" i="1"/>
  <c r="A3259" i="1"/>
  <c r="A5884" i="1"/>
  <c r="A3258" i="1"/>
  <c r="A3257" i="1"/>
  <c r="A301" i="1"/>
  <c r="A929" i="1"/>
  <c r="A3256" i="1"/>
  <c r="A300" i="1"/>
  <c r="A3255" i="1"/>
  <c r="A299" i="1"/>
  <c r="A298" i="1"/>
  <c r="A928" i="1"/>
  <c r="A3254" i="1"/>
  <c r="A3253" i="1"/>
  <c r="A3252" i="1"/>
  <c r="A3251" i="1"/>
  <c r="A3250" i="1"/>
  <c r="A297" i="1"/>
  <c r="A296" i="1"/>
  <c r="A295" i="1"/>
  <c r="A3249" i="1"/>
  <c r="A3248" i="1"/>
  <c r="A927" i="1"/>
  <c r="A3247" i="1"/>
  <c r="A3246" i="1"/>
  <c r="A3245" i="1"/>
  <c r="A3244" i="1"/>
  <c r="A3243" i="1"/>
  <c r="A3242" i="1"/>
  <c r="A3241" i="1"/>
  <c r="A5883" i="1"/>
  <c r="A3240" i="1"/>
  <c r="A3239" i="1"/>
  <c r="A3238" i="1"/>
  <c r="A3237" i="1"/>
  <c r="A3236" i="1"/>
  <c r="A100" i="1"/>
  <c r="A323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3234" i="1"/>
  <c r="A279" i="1"/>
  <c r="A278" i="1"/>
  <c r="A277" i="1"/>
  <c r="A276" i="1"/>
  <c r="A5882" i="1"/>
  <c r="A3233" i="1"/>
  <c r="A3232" i="1"/>
  <c r="A926" i="1"/>
  <c r="A275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925" i="1"/>
  <c r="A3217" i="1"/>
  <c r="A3216" i="1"/>
  <c r="A924" i="1"/>
  <c r="A3215" i="1"/>
  <c r="A3214" i="1"/>
  <c r="A3213" i="1"/>
  <c r="A3212" i="1"/>
  <c r="A3211" i="1"/>
  <c r="A3210" i="1"/>
  <c r="A3209" i="1"/>
  <c r="A923" i="1"/>
  <c r="A3208" i="1"/>
  <c r="A3207" i="1"/>
  <c r="A3206" i="1"/>
  <c r="A3205" i="1"/>
  <c r="A3204" i="1"/>
  <c r="A3203" i="1"/>
  <c r="A3202" i="1"/>
  <c r="A922" i="1"/>
  <c r="A3201" i="1"/>
  <c r="A3200" i="1"/>
  <c r="A3199" i="1"/>
  <c r="A3198" i="1"/>
  <c r="A3197" i="1"/>
  <c r="A3196" i="1"/>
  <c r="A3195" i="1"/>
  <c r="A274" i="1"/>
  <c r="A3194" i="1"/>
  <c r="A3193" i="1"/>
  <c r="A3192" i="1"/>
  <c r="A273" i="1"/>
  <c r="A3191" i="1"/>
  <c r="A3190" i="1"/>
  <c r="A3189" i="1"/>
  <c r="A272" i="1"/>
  <c r="A3188" i="1"/>
  <c r="A3187" i="1"/>
  <c r="A3186" i="1"/>
  <c r="A271" i="1"/>
  <c r="A3185" i="1"/>
  <c r="A3184" i="1"/>
  <c r="A3183" i="1"/>
  <c r="A3182" i="1"/>
  <c r="A5881" i="1"/>
  <c r="A3181" i="1"/>
  <c r="A5880" i="1"/>
  <c r="A3180" i="1"/>
  <c r="A3179" i="1"/>
  <c r="A270" i="1"/>
  <c r="A99" i="1"/>
  <c r="A3178" i="1"/>
  <c r="A3177" i="1"/>
  <c r="A3176" i="1"/>
  <c r="A3175" i="1"/>
  <c r="A3174" i="1"/>
  <c r="A3173" i="1"/>
  <c r="A3172" i="1"/>
  <c r="A269" i="1"/>
  <c r="A3171" i="1"/>
  <c r="A3170" i="1"/>
  <c r="A3169" i="1"/>
  <c r="A3168" i="1"/>
  <c r="A3167" i="1"/>
  <c r="A3166" i="1"/>
  <c r="A98" i="1"/>
  <c r="A3165" i="1"/>
  <c r="A3164" i="1"/>
  <c r="A3163" i="1"/>
  <c r="A45" i="1"/>
  <c r="A3162" i="1"/>
  <c r="A3161" i="1"/>
  <c r="A3160" i="1"/>
  <c r="A3159" i="1"/>
  <c r="A3158" i="1"/>
  <c r="A921" i="1"/>
  <c r="A3157" i="1"/>
  <c r="A3156" i="1"/>
  <c r="A3155" i="1"/>
  <c r="A3154" i="1"/>
  <c r="A3153" i="1"/>
  <c r="A268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267" i="1"/>
  <c r="A3140" i="1"/>
  <c r="A266" i="1"/>
  <c r="A3139" i="1"/>
  <c r="A3138" i="1"/>
  <c r="A265" i="1"/>
  <c r="A264" i="1"/>
  <c r="A3137" i="1"/>
  <c r="A3136" i="1"/>
  <c r="A3135" i="1"/>
  <c r="A3134" i="1"/>
  <c r="A3133" i="1"/>
  <c r="A263" i="1"/>
  <c r="A3132" i="1"/>
  <c r="A3131" i="1"/>
  <c r="A3130" i="1"/>
  <c r="A3129" i="1"/>
  <c r="A262" i="1"/>
  <c r="A261" i="1"/>
  <c r="A3128" i="1"/>
  <c r="A3127" i="1"/>
  <c r="A920" i="1"/>
  <c r="A3126" i="1"/>
  <c r="A3125" i="1"/>
  <c r="A3124" i="1"/>
  <c r="A97" i="1"/>
  <c r="A3123" i="1"/>
  <c r="A3122" i="1"/>
  <c r="A3121" i="1"/>
  <c r="A3120" i="1"/>
  <c r="A919" i="1"/>
  <c r="A3119" i="1"/>
  <c r="A3118" i="1"/>
  <c r="A3117" i="1"/>
  <c r="A3116" i="1"/>
  <c r="A3115" i="1"/>
  <c r="A3114" i="1"/>
  <c r="A3113" i="1"/>
  <c r="A5879" i="1"/>
  <c r="A260" i="1"/>
  <c r="A3112" i="1"/>
  <c r="A259" i="1"/>
  <c r="A918" i="1"/>
  <c r="A3111" i="1"/>
  <c r="A258" i="1"/>
  <c r="A3110" i="1"/>
  <c r="A917" i="1"/>
  <c r="A3109" i="1"/>
  <c r="A3108" i="1"/>
  <c r="A3107" i="1"/>
  <c r="A3106" i="1"/>
  <c r="A3105" i="1"/>
  <c r="A257" i="1"/>
  <c r="A3104" i="1"/>
  <c r="A256" i="1"/>
  <c r="A3103" i="1"/>
  <c r="A3102" i="1"/>
  <c r="A3101" i="1"/>
  <c r="A3100" i="1"/>
  <c r="A5878" i="1"/>
  <c r="A255" i="1"/>
  <c r="A254" i="1"/>
  <c r="A3099" i="1"/>
  <c r="A253" i="1"/>
  <c r="A3098" i="1"/>
  <c r="A252" i="1"/>
  <c r="A3097" i="1"/>
  <c r="A3096" i="1"/>
  <c r="A3095" i="1"/>
  <c r="A251" i="1"/>
  <c r="A3094" i="1"/>
  <c r="A250" i="1"/>
  <c r="A249" i="1"/>
  <c r="A3093" i="1"/>
  <c r="A3092" i="1"/>
  <c r="A248" i="1"/>
  <c r="A916" i="1"/>
  <c r="A3091" i="1"/>
  <c r="A3090" i="1"/>
  <c r="A3089" i="1"/>
  <c r="A247" i="1"/>
  <c r="A3088" i="1"/>
  <c r="A3087" i="1"/>
  <c r="A3086" i="1"/>
  <c r="A5877" i="1"/>
  <c r="A246" i="1"/>
  <c r="A3085" i="1"/>
  <c r="A3084" i="1"/>
  <c r="A915" i="1"/>
  <c r="A3083" i="1"/>
  <c r="A3082" i="1"/>
  <c r="A3081" i="1"/>
  <c r="A3080" i="1"/>
  <c r="A3079" i="1"/>
  <c r="A3078" i="1"/>
  <c r="A3077" i="1"/>
  <c r="A3076" i="1"/>
  <c r="A3075" i="1"/>
  <c r="A3074" i="1"/>
  <c r="A3073" i="1"/>
  <c r="A914" i="1"/>
  <c r="A5876" i="1"/>
  <c r="A245" i="1"/>
  <c r="A244" i="1"/>
  <c r="A3072" i="1"/>
  <c r="A3071" i="1"/>
  <c r="A3070" i="1"/>
  <c r="A913" i="1"/>
  <c r="A3069" i="1"/>
  <c r="A3068" i="1"/>
  <c r="A243" i="1"/>
  <c r="A3067" i="1"/>
  <c r="A3066" i="1"/>
  <c r="A3065" i="1"/>
  <c r="A3064" i="1"/>
  <c r="A3063" i="1"/>
  <c r="A242" i="1"/>
  <c r="A241" i="1"/>
  <c r="A3062" i="1"/>
  <c r="A3061" i="1"/>
  <c r="A3060" i="1"/>
  <c r="A3059" i="1"/>
  <c r="A3058" i="1"/>
  <c r="A3057" i="1"/>
  <c r="A240" i="1"/>
  <c r="A239" i="1"/>
  <c r="A238" i="1"/>
  <c r="A3056" i="1"/>
  <c r="A237" i="1"/>
  <c r="A3055" i="1"/>
  <c r="A912" i="1"/>
  <c r="A3054" i="1"/>
  <c r="A236" i="1"/>
  <c r="A3053" i="1"/>
  <c r="A911" i="1"/>
  <c r="A3052" i="1"/>
  <c r="A3051" i="1"/>
  <c r="A3050" i="1"/>
  <c r="A235" i="1"/>
  <c r="A3049" i="1"/>
  <c r="A3048" i="1"/>
  <c r="A3047" i="1"/>
  <c r="A3046" i="1"/>
  <c r="A3045" i="1"/>
  <c r="A910" i="1"/>
  <c r="A234" i="1"/>
  <c r="A909" i="1"/>
  <c r="A3044" i="1"/>
  <c r="A3043" i="1"/>
  <c r="A3042" i="1"/>
  <c r="A3041" i="1"/>
  <c r="A3040" i="1"/>
  <c r="A5875" i="1"/>
  <c r="A5874" i="1"/>
  <c r="A908" i="1"/>
  <c r="A3039" i="1"/>
  <c r="A3038" i="1"/>
  <c r="A3037" i="1"/>
  <c r="A3036" i="1"/>
  <c r="A233" i="1"/>
  <c r="A3035" i="1"/>
  <c r="A3034" i="1"/>
  <c r="A232" i="1"/>
  <c r="A231" i="1"/>
  <c r="A3033" i="1"/>
  <c r="A3032" i="1"/>
  <c r="A3031" i="1"/>
  <c r="A3030" i="1"/>
  <c r="A907" i="1"/>
  <c r="A3029" i="1"/>
  <c r="A3028" i="1"/>
  <c r="A3027" i="1"/>
  <c r="A3026" i="1"/>
  <c r="A230" i="1"/>
  <c r="A3025" i="1"/>
  <c r="A3024" i="1"/>
  <c r="A3023" i="1"/>
  <c r="A3022" i="1"/>
  <c r="A906" i="1"/>
  <c r="A905" i="1"/>
  <c r="A3021" i="1"/>
  <c r="A3020" i="1"/>
  <c r="A904" i="1"/>
  <c r="A3019" i="1"/>
  <c r="A903" i="1"/>
  <c r="A3018" i="1"/>
  <c r="A3017" i="1"/>
  <c r="A3016" i="1"/>
  <c r="A3015" i="1"/>
  <c r="A3014" i="1"/>
  <c r="A3013" i="1"/>
  <c r="A3012" i="1"/>
  <c r="A229" i="1"/>
  <c r="A3011" i="1"/>
  <c r="A228" i="1"/>
  <c r="A3010" i="1"/>
  <c r="A3009" i="1"/>
  <c r="A3008" i="1"/>
  <c r="A3007" i="1"/>
  <c r="A3006" i="1"/>
  <c r="A3005" i="1"/>
  <c r="A227" i="1"/>
  <c r="A226" i="1"/>
  <c r="A3004" i="1"/>
  <c r="A902" i="1"/>
  <c r="A3003" i="1"/>
  <c r="A3002" i="1"/>
  <c r="A3001" i="1"/>
  <c r="A901" i="1"/>
  <c r="A3000" i="1"/>
  <c r="A2999" i="1"/>
  <c r="A2998" i="1"/>
  <c r="A2997" i="1"/>
  <c r="A2996" i="1"/>
  <c r="A2995" i="1"/>
  <c r="A2994" i="1"/>
  <c r="A2993" i="1"/>
  <c r="A2992" i="1"/>
  <c r="A2991" i="1"/>
  <c r="A2990" i="1"/>
  <c r="A5873" i="1"/>
  <c r="A2989" i="1"/>
  <c r="A225" i="1"/>
  <c r="A224" i="1"/>
  <c r="A2988" i="1"/>
  <c r="A2987" i="1"/>
  <c r="A2986" i="1"/>
  <c r="A223" i="1"/>
  <c r="A2985" i="1"/>
  <c r="A2984" i="1"/>
  <c r="A2983" i="1"/>
  <c r="A222" i="1"/>
  <c r="A2982" i="1"/>
  <c r="A60" i="1"/>
  <c r="A5872" i="1"/>
  <c r="A900" i="1"/>
  <c r="A221" i="1"/>
  <c r="A899" i="1"/>
  <c r="A5871" i="1"/>
  <c r="A2981" i="1"/>
  <c r="A2980" i="1"/>
  <c r="A2979" i="1"/>
  <c r="A2978" i="1"/>
  <c r="A96" i="1"/>
  <c r="A2977" i="1"/>
  <c r="A220" i="1"/>
  <c r="A219" i="1"/>
  <c r="A218" i="1"/>
  <c r="A898" i="1"/>
  <c r="A2976" i="1"/>
  <c r="A2975" i="1"/>
  <c r="A5870" i="1"/>
  <c r="A95" i="1"/>
  <c r="A2974" i="1"/>
  <c r="A2973" i="1"/>
  <c r="A94" i="1"/>
  <c r="A2972" i="1"/>
  <c r="A5869" i="1"/>
  <c r="A2971" i="1"/>
  <c r="A2970" i="1"/>
  <c r="A2969" i="1"/>
  <c r="A217" i="1"/>
  <c r="A2968" i="1"/>
  <c r="A2967" i="1"/>
  <c r="A897" i="1"/>
  <c r="A216" i="1"/>
  <c r="A215" i="1"/>
  <c r="A214" i="1"/>
  <c r="A2966" i="1"/>
  <c r="A2965" i="1"/>
  <c r="A896" i="1"/>
  <c r="A2964" i="1"/>
  <c r="A2963" i="1"/>
  <c r="A895" i="1"/>
  <c r="A894" i="1"/>
  <c r="A2962" i="1"/>
  <c r="A213" i="1"/>
  <c r="A2961" i="1"/>
  <c r="A2960" i="1"/>
  <c r="A212" i="1"/>
  <c r="A2959" i="1"/>
  <c r="A2958" i="1"/>
  <c r="A893" i="1"/>
  <c r="A2957" i="1"/>
  <c r="A2956" i="1"/>
  <c r="A2955" i="1"/>
  <c r="A2954" i="1"/>
  <c r="A211" i="1"/>
  <c r="A210" i="1"/>
  <c r="A2953" i="1"/>
  <c r="A2952" i="1"/>
  <c r="A2951" i="1"/>
  <c r="A209" i="1"/>
  <c r="A208" i="1"/>
  <c r="A2950" i="1"/>
  <c r="A892" i="1"/>
  <c r="A13774" i="1"/>
  <c r="A2949" i="1"/>
  <c r="A2948" i="1"/>
  <c r="A2947" i="1"/>
  <c r="A2946" i="1"/>
  <c r="A2945" i="1"/>
  <c r="A2944" i="1"/>
  <c r="A2943" i="1"/>
  <c r="A207" i="1"/>
  <c r="A2942" i="1"/>
  <c r="A2941" i="1"/>
  <c r="A2940" i="1"/>
  <c r="A2939" i="1"/>
  <c r="A206" i="1"/>
  <c r="A205" i="1"/>
  <c r="A204" i="1"/>
  <c r="A203" i="1"/>
  <c r="A202" i="1"/>
  <c r="A2938" i="1"/>
  <c r="A2937" i="1"/>
  <c r="A2936" i="1"/>
  <c r="A201" i="1"/>
  <c r="A200" i="1"/>
  <c r="A199" i="1"/>
  <c r="A198" i="1"/>
  <c r="A2935" i="1"/>
  <c r="A197" i="1"/>
  <c r="A2934" i="1"/>
  <c r="A2933" i="1"/>
  <c r="A2932" i="1"/>
  <c r="A2931" i="1"/>
  <c r="A196" i="1"/>
  <c r="A2930" i="1"/>
  <c r="A195" i="1"/>
  <c r="A194" i="1"/>
  <c r="A2929" i="1"/>
  <c r="A891" i="1"/>
  <c r="A2928" i="1"/>
  <c r="A2927" i="1"/>
  <c r="A193" i="1"/>
  <c r="A890" i="1"/>
  <c r="A192" i="1"/>
  <c r="A191" i="1"/>
  <c r="A190" i="1"/>
  <c r="A189" i="1"/>
  <c r="A188" i="1"/>
  <c r="A2926" i="1"/>
  <c r="A2925" i="1"/>
  <c r="A187" i="1"/>
  <c r="A2924" i="1"/>
  <c r="A2923" i="1"/>
  <c r="A889" i="1"/>
  <c r="A2922" i="1"/>
  <c r="A2921" i="1"/>
  <c r="A2920" i="1"/>
  <c r="A2919" i="1"/>
  <c r="A2918" i="1"/>
  <c r="A186" i="1"/>
  <c r="A2917" i="1"/>
  <c r="A2916" i="1"/>
  <c r="A2915" i="1"/>
  <c r="A185" i="1"/>
  <c r="A2914" i="1"/>
  <c r="A2913" i="1"/>
  <c r="A888" i="1"/>
  <c r="A184" i="1"/>
  <c r="A183" i="1"/>
  <c r="A2912" i="1"/>
  <c r="A5868" i="1"/>
  <c r="A2911" i="1"/>
  <c r="A887" i="1"/>
  <c r="A886" i="1"/>
  <c r="A2910" i="1"/>
  <c r="A2909" i="1"/>
  <c r="A2908" i="1"/>
  <c r="A885" i="1"/>
  <c r="A2907" i="1"/>
  <c r="A2906" i="1"/>
  <c r="A2905" i="1"/>
  <c r="A2904" i="1"/>
  <c r="A2903" i="1"/>
  <c r="A2902" i="1"/>
  <c r="A2901" i="1"/>
  <c r="A884" i="1"/>
  <c r="A2900" i="1"/>
  <c r="A2899" i="1"/>
  <c r="A2898" i="1"/>
  <c r="A2897" i="1"/>
  <c r="A883" i="1"/>
  <c r="A2896" i="1"/>
  <c r="A2895" i="1"/>
  <c r="A2894" i="1"/>
  <c r="A2893" i="1"/>
  <c r="A2892" i="1"/>
  <c r="A44" i="1"/>
  <c r="A2891" i="1"/>
  <c r="A2890" i="1"/>
  <c r="A2889" i="1"/>
  <c r="A2888" i="1"/>
  <c r="A882" i="1"/>
  <c r="A2887" i="1"/>
  <c r="A2886" i="1"/>
  <c r="A2885" i="1"/>
  <c r="A2884" i="1"/>
  <c r="A881" i="1"/>
  <c r="A2883" i="1"/>
  <c r="A2882" i="1"/>
  <c r="A2881" i="1"/>
  <c r="A2880" i="1"/>
  <c r="A2879" i="1"/>
  <c r="A2878" i="1"/>
  <c r="A2877" i="1"/>
  <c r="A880" i="1"/>
  <c r="A879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93" i="1"/>
  <c r="A92" i="1"/>
  <c r="A91" i="1"/>
  <c r="A182" i="1"/>
  <c r="A2859" i="1"/>
  <c r="A5867" i="1"/>
  <c r="A2858" i="1"/>
  <c r="A2857" i="1"/>
  <c r="A2856" i="1"/>
  <c r="A2855" i="1"/>
  <c r="A2854" i="1"/>
  <c r="A2853" i="1"/>
  <c r="A2852" i="1"/>
  <c r="A2851" i="1"/>
  <c r="A181" i="1"/>
  <c r="A2850" i="1"/>
  <c r="A878" i="1"/>
  <c r="A2849" i="1"/>
  <c r="A2848" i="1"/>
  <c r="A2847" i="1"/>
  <c r="A2846" i="1"/>
  <c r="A2845" i="1"/>
  <c r="A2844" i="1"/>
  <c r="A2843" i="1"/>
  <c r="A2842" i="1"/>
  <c r="A877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876" i="1"/>
  <c r="A2825" i="1"/>
  <c r="A2824" i="1"/>
  <c r="A2823" i="1"/>
  <c r="A2822" i="1"/>
  <c r="A2821" i="1"/>
  <c r="A2820" i="1"/>
  <c r="A180" i="1"/>
  <c r="A2819" i="1"/>
  <c r="A2818" i="1"/>
  <c r="A2817" i="1"/>
  <c r="A875" i="1"/>
  <c r="A2816" i="1"/>
  <c r="A179" i="1"/>
  <c r="A178" i="1"/>
  <c r="A874" i="1"/>
  <c r="A2815" i="1"/>
  <c r="A2814" i="1"/>
  <c r="A2813" i="1"/>
  <c r="A2812" i="1"/>
  <c r="A2811" i="1"/>
  <c r="A177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873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872" i="1"/>
  <c r="A5866" i="1"/>
  <c r="A59" i="1"/>
  <c r="A2767" i="1"/>
  <c r="A871" i="1"/>
  <c r="A2766" i="1"/>
  <c r="A2765" i="1"/>
  <c r="A2764" i="1"/>
  <c r="A2763" i="1"/>
  <c r="A2762" i="1"/>
  <c r="A2761" i="1"/>
  <c r="A2760" i="1"/>
  <c r="A2759" i="1"/>
  <c r="A870" i="1"/>
  <c r="A2758" i="1"/>
  <c r="A2757" i="1"/>
  <c r="A2756" i="1"/>
  <c r="A2755" i="1"/>
  <c r="A5865" i="1"/>
  <c r="A2754" i="1"/>
  <c r="A2753" i="1"/>
  <c r="A2752" i="1"/>
  <c r="A2751" i="1"/>
  <c r="A176" i="1"/>
  <c r="A33" i="1"/>
  <c r="A2750" i="1"/>
  <c r="A2749" i="1"/>
  <c r="A2748" i="1"/>
  <c r="A2747" i="1"/>
  <c r="A2746" i="1"/>
  <c r="A2745" i="1"/>
  <c r="A2744" i="1"/>
  <c r="A2743" i="1"/>
  <c r="A869" i="1"/>
  <c r="A2742" i="1"/>
  <c r="A2741" i="1"/>
  <c r="A868" i="1"/>
  <c r="A2740" i="1"/>
  <c r="A2739" i="1"/>
  <c r="A2738" i="1"/>
  <c r="A2737" i="1"/>
  <c r="A5864" i="1"/>
  <c r="A2736" i="1"/>
  <c r="A2735" i="1"/>
  <c r="A2734" i="1"/>
  <c r="A2733" i="1"/>
  <c r="A2732" i="1"/>
  <c r="A867" i="1"/>
  <c r="A43" i="1"/>
  <c r="A2731" i="1"/>
  <c r="A2730" i="1"/>
  <c r="A2729" i="1"/>
  <c r="A2728" i="1"/>
  <c r="A866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865" i="1"/>
  <c r="A864" i="1"/>
  <c r="A2715" i="1"/>
  <c r="A2714" i="1"/>
  <c r="A2713" i="1"/>
  <c r="A2712" i="1"/>
  <c r="A2711" i="1"/>
  <c r="A2710" i="1"/>
  <c r="A2709" i="1"/>
  <c r="A863" i="1"/>
  <c r="A2708" i="1"/>
  <c r="A2707" i="1"/>
  <c r="A862" i="1"/>
  <c r="A2706" i="1"/>
  <c r="A861" i="1"/>
  <c r="A2705" i="1"/>
  <c r="A2704" i="1"/>
  <c r="A860" i="1"/>
  <c r="A42" i="1"/>
  <c r="A2703" i="1"/>
  <c r="A2702" i="1"/>
  <c r="A2701" i="1"/>
  <c r="A5863" i="1"/>
  <c r="A2700" i="1"/>
  <c r="A2699" i="1"/>
  <c r="A2698" i="1"/>
  <c r="A859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858" i="1"/>
  <c r="A2681" i="1"/>
  <c r="A2680" i="1"/>
  <c r="A90" i="1"/>
  <c r="A2679" i="1"/>
  <c r="A2678" i="1"/>
  <c r="A2677" i="1"/>
  <c r="A2676" i="1"/>
  <c r="A2675" i="1"/>
  <c r="A2674" i="1"/>
  <c r="A2673" i="1"/>
  <c r="A2672" i="1"/>
  <c r="A857" i="1"/>
  <c r="A2671" i="1"/>
  <c r="A2670" i="1"/>
  <c r="A2669" i="1"/>
  <c r="A2668" i="1"/>
  <c r="A2667" i="1"/>
  <c r="A2666" i="1"/>
  <c r="A2665" i="1"/>
  <c r="A2664" i="1"/>
  <c r="A2663" i="1"/>
  <c r="A2662" i="1"/>
  <c r="A856" i="1"/>
  <c r="A2661" i="1"/>
  <c r="A855" i="1"/>
  <c r="A175" i="1"/>
  <c r="A2660" i="1"/>
  <c r="A2659" i="1"/>
  <c r="A2658" i="1"/>
  <c r="A2657" i="1"/>
  <c r="A5862" i="1"/>
  <c r="A58" i="1"/>
  <c r="A57" i="1"/>
  <c r="A56" i="1"/>
  <c r="A55" i="1"/>
  <c r="A2656" i="1"/>
  <c r="A854" i="1"/>
  <c r="A853" i="1"/>
  <c r="A852" i="1"/>
  <c r="A2655" i="1"/>
  <c r="A2654" i="1"/>
  <c r="A2653" i="1"/>
  <c r="A2652" i="1"/>
  <c r="A2651" i="1"/>
  <c r="A2650" i="1"/>
  <c r="A2649" i="1"/>
  <c r="A851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850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849" i="1"/>
  <c r="A2593" i="1"/>
  <c r="A2592" i="1"/>
  <c r="A21" i="1"/>
  <c r="A2591" i="1"/>
  <c r="A2590" i="1"/>
  <c r="A2589" i="1"/>
  <c r="A2588" i="1"/>
  <c r="A2587" i="1"/>
  <c r="A2586" i="1"/>
  <c r="A2585" i="1"/>
  <c r="A2584" i="1"/>
  <c r="A2583" i="1"/>
  <c r="A2582" i="1"/>
  <c r="A848" i="1"/>
  <c r="A2581" i="1"/>
  <c r="A2580" i="1"/>
  <c r="A2579" i="1"/>
  <c r="A2578" i="1"/>
  <c r="A174" i="1"/>
  <c r="A2577" i="1"/>
  <c r="A2576" i="1"/>
  <c r="A847" i="1"/>
  <c r="A2575" i="1"/>
  <c r="A2574" i="1"/>
  <c r="A2573" i="1"/>
  <c r="A2572" i="1"/>
  <c r="A2571" i="1"/>
  <c r="A2570" i="1"/>
  <c r="A5861" i="1"/>
  <c r="A2569" i="1"/>
  <c r="A2568" i="1"/>
  <c r="A2567" i="1"/>
  <c r="A2566" i="1"/>
  <c r="A2565" i="1"/>
  <c r="A2564" i="1"/>
  <c r="A2563" i="1"/>
  <c r="A2562" i="1"/>
  <c r="A2561" i="1"/>
  <c r="A2560" i="1"/>
  <c r="A846" i="1"/>
  <c r="A2559" i="1"/>
  <c r="A2558" i="1"/>
  <c r="A2557" i="1"/>
  <c r="A2556" i="1"/>
  <c r="A2555" i="1"/>
  <c r="A13773" i="1"/>
  <c r="A2554" i="1"/>
  <c r="A2553" i="1"/>
  <c r="A2552" i="1"/>
  <c r="A5860" i="1"/>
  <c r="A2551" i="1"/>
  <c r="A173" i="1"/>
  <c r="A2550" i="1"/>
  <c r="A2549" i="1"/>
  <c r="A2548" i="1"/>
  <c r="A2547" i="1"/>
  <c r="A2546" i="1"/>
  <c r="A2545" i="1"/>
  <c r="A2544" i="1"/>
  <c r="A2543" i="1"/>
  <c r="A2542" i="1"/>
  <c r="A172" i="1"/>
  <c r="A845" i="1"/>
  <c r="A171" i="1"/>
  <c r="A2541" i="1"/>
  <c r="A2540" i="1"/>
  <c r="A844" i="1"/>
  <c r="A843" i="1"/>
  <c r="A2539" i="1"/>
  <c r="A842" i="1"/>
  <c r="A89" i="1"/>
  <c r="A2538" i="1"/>
  <c r="A2537" i="1"/>
  <c r="A2536" i="1"/>
  <c r="A2535" i="1"/>
  <c r="A2534" i="1"/>
  <c r="A2533" i="1"/>
  <c r="A2532" i="1"/>
  <c r="A2531" i="1"/>
  <c r="A841" i="1"/>
  <c r="A2530" i="1"/>
  <c r="A2529" i="1"/>
  <c r="A2528" i="1"/>
  <c r="A2527" i="1"/>
  <c r="A2526" i="1"/>
  <c r="A2525" i="1"/>
  <c r="A2524" i="1"/>
  <c r="A840" i="1"/>
  <c r="A2523" i="1"/>
  <c r="A839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170" i="1"/>
  <c r="A2499" i="1"/>
  <c r="A2498" i="1"/>
  <c r="A838" i="1"/>
  <c r="A2497" i="1"/>
  <c r="A2496" i="1"/>
  <c r="A837" i="1"/>
  <c r="A2495" i="1"/>
  <c r="A2494" i="1"/>
  <c r="A2493" i="1"/>
  <c r="A2492" i="1"/>
  <c r="A2491" i="1"/>
  <c r="A2490" i="1"/>
  <c r="A836" i="1"/>
  <c r="A2489" i="1"/>
  <c r="A41" i="1"/>
  <c r="A835" i="1"/>
  <c r="A2488" i="1"/>
  <c r="A2487" i="1"/>
  <c r="A2486" i="1"/>
  <c r="A2485" i="1"/>
  <c r="A834" i="1"/>
  <c r="A833" i="1"/>
  <c r="A2484" i="1"/>
  <c r="A2483" i="1"/>
  <c r="A832" i="1"/>
  <c r="A2482" i="1"/>
  <c r="A2481" i="1"/>
  <c r="A2480" i="1"/>
  <c r="A831" i="1"/>
  <c r="A2479" i="1"/>
  <c r="A2478" i="1"/>
  <c r="A2477" i="1"/>
  <c r="A2476" i="1"/>
  <c r="A88" i="1"/>
  <c r="A2475" i="1"/>
  <c r="A2474" i="1"/>
  <c r="A2473" i="1"/>
  <c r="A2472" i="1"/>
  <c r="A2471" i="1"/>
  <c r="A2470" i="1"/>
  <c r="A2469" i="1"/>
  <c r="A169" i="1"/>
  <c r="A2468" i="1"/>
  <c r="A2467" i="1"/>
  <c r="A2466" i="1"/>
  <c r="A2465" i="1"/>
  <c r="A2464" i="1"/>
  <c r="A2463" i="1"/>
  <c r="A2462" i="1"/>
  <c r="A2461" i="1"/>
  <c r="A2460" i="1"/>
  <c r="A830" i="1"/>
  <c r="A2459" i="1"/>
  <c r="A2458" i="1"/>
  <c r="A2457" i="1"/>
  <c r="A2456" i="1"/>
  <c r="A2455" i="1"/>
  <c r="A2454" i="1"/>
  <c r="A2453" i="1"/>
  <c r="A168" i="1"/>
  <c r="A829" i="1"/>
  <c r="A2452" i="1"/>
  <c r="A2451" i="1"/>
  <c r="A167" i="1"/>
  <c r="A2450" i="1"/>
  <c r="A2449" i="1"/>
  <c r="A2448" i="1"/>
  <c r="A2447" i="1"/>
  <c r="A828" i="1"/>
  <c r="A2446" i="1"/>
  <c r="A827" i="1"/>
  <c r="A2445" i="1"/>
  <c r="A826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40" i="1"/>
  <c r="A166" i="1"/>
  <c r="A2432" i="1"/>
  <c r="A2431" i="1"/>
  <c r="A2430" i="1"/>
  <c r="A2429" i="1"/>
  <c r="A2428" i="1"/>
  <c r="A825" i="1"/>
  <c r="A87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165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164" i="1"/>
  <c r="A2378" i="1"/>
  <c r="A824" i="1"/>
  <c r="A2377" i="1"/>
  <c r="A2376" i="1"/>
  <c r="A2375" i="1"/>
  <c r="A2374" i="1"/>
  <c r="A2373" i="1"/>
  <c r="A2372" i="1"/>
  <c r="A2371" i="1"/>
  <c r="A2370" i="1"/>
  <c r="A2369" i="1"/>
  <c r="A2368" i="1"/>
  <c r="A2367" i="1"/>
  <c r="A823" i="1"/>
  <c r="A2366" i="1"/>
  <c r="A2365" i="1"/>
  <c r="A2364" i="1"/>
  <c r="A2363" i="1"/>
  <c r="A2362" i="1"/>
  <c r="A2361" i="1"/>
  <c r="A822" i="1"/>
  <c r="A821" i="1"/>
  <c r="A2360" i="1"/>
  <c r="A2359" i="1"/>
  <c r="A2358" i="1"/>
  <c r="A2357" i="1"/>
  <c r="A2356" i="1"/>
  <c r="A2355" i="1"/>
  <c r="A2354" i="1"/>
  <c r="A2353" i="1"/>
  <c r="A2352" i="1"/>
  <c r="A163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820" i="1"/>
  <c r="A2338" i="1"/>
  <c r="A2337" i="1"/>
  <c r="A2336" i="1"/>
  <c r="A5859" i="1"/>
  <c r="A2335" i="1"/>
  <c r="A2334" i="1"/>
  <c r="A162" i="1"/>
  <c r="A2333" i="1"/>
  <c r="A2332" i="1"/>
  <c r="A2331" i="1"/>
  <c r="A2330" i="1"/>
  <c r="A2329" i="1"/>
  <c r="A2328" i="1"/>
  <c r="A2327" i="1"/>
  <c r="A2326" i="1"/>
  <c r="A161" i="1"/>
  <c r="A2325" i="1"/>
  <c r="A2324" i="1"/>
  <c r="A2323" i="1"/>
  <c r="A2322" i="1"/>
  <c r="A2321" i="1"/>
  <c r="A2320" i="1"/>
  <c r="A2319" i="1"/>
  <c r="A2318" i="1"/>
  <c r="A2317" i="1"/>
  <c r="A2316" i="1"/>
  <c r="A2315" i="1"/>
  <c r="A86" i="1"/>
  <c r="A2314" i="1"/>
  <c r="A819" i="1"/>
  <c r="A2313" i="1"/>
  <c r="A2312" i="1"/>
  <c r="A19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818" i="1"/>
  <c r="A2295" i="1"/>
  <c r="A5858" i="1"/>
  <c r="A817" i="1"/>
  <c r="A816" i="1"/>
  <c r="A2294" i="1"/>
  <c r="A2293" i="1"/>
  <c r="A2292" i="1"/>
  <c r="A2291" i="1"/>
  <c r="A2290" i="1"/>
  <c r="A2289" i="1"/>
  <c r="A160" i="1"/>
  <c r="A2288" i="1"/>
  <c r="A2287" i="1"/>
  <c r="A2286" i="1"/>
  <c r="A2285" i="1"/>
  <c r="A2284" i="1"/>
  <c r="A2283" i="1"/>
  <c r="A2282" i="1"/>
  <c r="A2281" i="1"/>
  <c r="A2280" i="1"/>
  <c r="A5857" i="1"/>
  <c r="A2279" i="1"/>
  <c r="A2278" i="1"/>
  <c r="A2277" i="1"/>
  <c r="A2276" i="1"/>
  <c r="A2275" i="1"/>
  <c r="A159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158" i="1"/>
  <c r="A2256" i="1"/>
  <c r="A2255" i="1"/>
  <c r="A2254" i="1"/>
  <c r="A2253" i="1"/>
  <c r="A2252" i="1"/>
  <c r="A2251" i="1"/>
  <c r="A2250" i="1"/>
  <c r="A5856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157" i="1"/>
  <c r="A2234" i="1"/>
  <c r="A2233" i="1"/>
  <c r="A2232" i="1"/>
  <c r="A2231" i="1"/>
  <c r="A2230" i="1"/>
  <c r="A2229" i="1"/>
  <c r="A2228" i="1"/>
  <c r="A2227" i="1"/>
  <c r="A156" i="1"/>
  <c r="A39" i="1"/>
  <c r="A2226" i="1"/>
  <c r="A2225" i="1"/>
  <c r="A2224" i="1"/>
  <c r="A155" i="1"/>
  <c r="A2223" i="1"/>
  <c r="A2222" i="1"/>
  <c r="A2221" i="1"/>
  <c r="A2220" i="1"/>
  <c r="A2219" i="1"/>
  <c r="A2218" i="1"/>
  <c r="A2217" i="1"/>
  <c r="A2216" i="1"/>
  <c r="A815" i="1"/>
  <c r="A2215" i="1"/>
  <c r="A2214" i="1"/>
  <c r="A2213" i="1"/>
  <c r="A2212" i="1"/>
  <c r="A2211" i="1"/>
  <c r="A2210" i="1"/>
  <c r="A2209" i="1"/>
  <c r="A2208" i="1"/>
  <c r="A2207" i="1"/>
  <c r="A2206" i="1"/>
  <c r="A2205" i="1"/>
  <c r="A814" i="1"/>
  <c r="A2204" i="1"/>
  <c r="A2203" i="1"/>
  <c r="A2202" i="1"/>
  <c r="A2201" i="1"/>
  <c r="A2200" i="1"/>
  <c r="A2199" i="1"/>
  <c r="A813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812" i="1"/>
  <c r="A811" i="1"/>
  <c r="A2183" i="1"/>
  <c r="A2182" i="1"/>
  <c r="A2181" i="1"/>
  <c r="A810" i="1"/>
  <c r="A809" i="1"/>
  <c r="A2180" i="1"/>
  <c r="A2179" i="1"/>
  <c r="A2178" i="1"/>
  <c r="A2177" i="1"/>
  <c r="A2176" i="1"/>
  <c r="A2175" i="1"/>
  <c r="A2174" i="1"/>
  <c r="A2173" i="1"/>
  <c r="A808" i="1"/>
  <c r="A2172" i="1"/>
  <c r="A2171" i="1"/>
  <c r="A2170" i="1"/>
  <c r="A2169" i="1"/>
  <c r="A2168" i="1"/>
  <c r="A807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806" i="1"/>
  <c r="A2135" i="1"/>
  <c r="A2134" i="1"/>
  <c r="A2133" i="1"/>
  <c r="A805" i="1"/>
  <c r="A5855" i="1"/>
  <c r="A2132" i="1"/>
  <c r="A5854" i="1"/>
  <c r="A2131" i="1"/>
  <c r="A2130" i="1"/>
  <c r="A2129" i="1"/>
  <c r="A2128" i="1"/>
  <c r="A2127" i="1"/>
  <c r="A2126" i="1"/>
  <c r="A2125" i="1"/>
  <c r="A2124" i="1"/>
  <c r="A804" i="1"/>
  <c r="A2123" i="1"/>
  <c r="A2122" i="1"/>
  <c r="A2121" i="1"/>
  <c r="A2120" i="1"/>
  <c r="A2119" i="1"/>
  <c r="A154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85" i="1"/>
  <c r="A2096" i="1"/>
  <c r="A2095" i="1"/>
  <c r="A803" i="1"/>
  <c r="A2094" i="1"/>
  <c r="A802" i="1"/>
  <c r="A2093" i="1"/>
  <c r="A2092" i="1"/>
  <c r="A2091" i="1"/>
  <c r="A2090" i="1"/>
  <c r="A2089" i="1"/>
  <c r="A801" i="1"/>
  <c r="A2088" i="1"/>
  <c r="A2087" i="1"/>
  <c r="A2086" i="1"/>
  <c r="A800" i="1"/>
  <c r="A2085" i="1"/>
  <c r="A2084" i="1"/>
  <c r="A2083" i="1"/>
  <c r="A2082" i="1"/>
  <c r="A2081" i="1"/>
  <c r="A2080" i="1"/>
  <c r="A153" i="1"/>
  <c r="A2079" i="1"/>
  <c r="A2078" i="1"/>
  <c r="A2077" i="1"/>
  <c r="A2076" i="1"/>
  <c r="A152" i="1"/>
  <c r="A2075" i="1"/>
  <c r="A2074" i="1"/>
  <c r="A2073" i="1"/>
  <c r="A799" i="1"/>
  <c r="A2072" i="1"/>
  <c r="A2071" i="1"/>
  <c r="A2070" i="1"/>
  <c r="A2069" i="1"/>
  <c r="A2068" i="1"/>
  <c r="A2067" i="1"/>
  <c r="A2066" i="1"/>
  <c r="A2065" i="1"/>
  <c r="A2064" i="1"/>
  <c r="A2063" i="1"/>
  <c r="A798" i="1"/>
  <c r="A2062" i="1"/>
  <c r="A2061" i="1"/>
  <c r="A2060" i="1"/>
  <c r="A2059" i="1"/>
  <c r="A2058" i="1"/>
  <c r="A2057" i="1"/>
  <c r="A2056" i="1"/>
  <c r="A797" i="1"/>
  <c r="A2055" i="1"/>
  <c r="A2054" i="1"/>
  <c r="A2053" i="1"/>
  <c r="A151" i="1"/>
  <c r="A2052" i="1"/>
  <c r="A2051" i="1"/>
  <c r="A2050" i="1"/>
  <c r="A2049" i="1"/>
  <c r="A29" i="1"/>
  <c r="A2048" i="1"/>
  <c r="A84" i="1"/>
  <c r="A2047" i="1"/>
  <c r="A2046" i="1"/>
  <c r="A2045" i="1"/>
  <c r="A2044" i="1"/>
  <c r="A2043" i="1"/>
  <c r="A2042" i="1"/>
  <c r="A2041" i="1"/>
  <c r="A2040" i="1"/>
  <c r="A796" i="1"/>
  <c r="A795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150" i="1"/>
  <c r="A149" i="1"/>
  <c r="A2021" i="1"/>
  <c r="A2020" i="1"/>
  <c r="A2019" i="1"/>
  <c r="A2018" i="1"/>
  <c r="A2017" i="1"/>
  <c r="A2016" i="1"/>
  <c r="A2015" i="1"/>
  <c r="A2014" i="1"/>
  <c r="A148" i="1"/>
  <c r="A2013" i="1"/>
  <c r="A2012" i="1"/>
  <c r="A2011" i="1"/>
  <c r="A794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47" i="1"/>
  <c r="A146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793" i="1"/>
  <c r="A1969" i="1"/>
  <c r="A1968" i="1"/>
  <c r="A1967" i="1"/>
  <c r="A1966" i="1"/>
  <c r="A1965" i="1"/>
  <c r="A1964" i="1"/>
  <c r="A1963" i="1"/>
  <c r="A1962" i="1"/>
  <c r="A1961" i="1"/>
  <c r="A1960" i="1"/>
  <c r="A792" i="1"/>
  <c r="A1959" i="1"/>
  <c r="A1958" i="1"/>
  <c r="A1957" i="1"/>
  <c r="A791" i="1"/>
  <c r="A790" i="1"/>
  <c r="A789" i="1"/>
  <c r="A1956" i="1"/>
  <c r="A1955" i="1"/>
  <c r="A1954" i="1"/>
  <c r="A1953" i="1"/>
  <c r="A1952" i="1"/>
  <c r="A788" i="1"/>
  <c r="A1951" i="1"/>
  <c r="A1950" i="1"/>
  <c r="A1949" i="1"/>
  <c r="A1948" i="1"/>
  <c r="A787" i="1"/>
  <c r="A1947" i="1"/>
  <c r="A786" i="1"/>
  <c r="A1946" i="1"/>
  <c r="A1945" i="1"/>
  <c r="A1944" i="1"/>
  <c r="A1943" i="1"/>
  <c r="A1942" i="1"/>
  <c r="A785" i="1"/>
  <c r="A1941" i="1"/>
  <c r="A1940" i="1"/>
  <c r="A1939" i="1"/>
  <c r="A1938" i="1"/>
  <c r="A784" i="1"/>
  <c r="A1937" i="1"/>
  <c r="A1936" i="1"/>
  <c r="A1935" i="1"/>
  <c r="A1934" i="1"/>
  <c r="A1933" i="1"/>
  <c r="A5853" i="1"/>
  <c r="A1932" i="1"/>
  <c r="A1931" i="1"/>
  <c r="A1930" i="1"/>
  <c r="A1929" i="1"/>
  <c r="A1928" i="1"/>
  <c r="A1927" i="1"/>
  <c r="A1926" i="1"/>
  <c r="A1925" i="1"/>
  <c r="A1924" i="1"/>
  <c r="A783" i="1"/>
  <c r="A1923" i="1"/>
  <c r="A1922" i="1"/>
  <c r="A145" i="1"/>
  <c r="A1921" i="1"/>
  <c r="A1920" i="1"/>
  <c r="A5852" i="1"/>
  <c r="A1919" i="1"/>
  <c r="A1918" i="1"/>
  <c r="A1917" i="1"/>
  <c r="A1916" i="1"/>
  <c r="A1915" i="1"/>
  <c r="A1914" i="1"/>
  <c r="A1913" i="1"/>
  <c r="A1912" i="1"/>
  <c r="A1911" i="1"/>
  <c r="A1910" i="1"/>
  <c r="A144" i="1"/>
  <c r="A1909" i="1"/>
  <c r="A1908" i="1"/>
  <c r="A782" i="1"/>
  <c r="A1907" i="1"/>
  <c r="A1906" i="1"/>
  <c r="A1905" i="1"/>
  <c r="A1904" i="1"/>
  <c r="A1903" i="1"/>
  <c r="A1902" i="1"/>
  <c r="A5851" i="1"/>
  <c r="A1901" i="1"/>
  <c r="A1900" i="1"/>
  <c r="A1899" i="1"/>
  <c r="A1898" i="1"/>
  <c r="A1897" i="1"/>
  <c r="A781" i="1"/>
  <c r="A780" i="1"/>
  <c r="A1896" i="1"/>
  <c r="A1895" i="1"/>
  <c r="A779" i="1"/>
  <c r="A1894" i="1"/>
  <c r="A1893" i="1"/>
  <c r="A1892" i="1"/>
  <c r="A1891" i="1"/>
  <c r="A1890" i="1"/>
  <c r="A1889" i="1"/>
  <c r="A143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778" i="1"/>
  <c r="A1869" i="1"/>
  <c r="A1868" i="1"/>
  <c r="A1867" i="1"/>
  <c r="A1866" i="1"/>
  <c r="A26" i="1"/>
  <c r="A1865" i="1"/>
  <c r="A25" i="1"/>
  <c r="A1864" i="1"/>
  <c r="A777" i="1"/>
  <c r="A1863" i="1"/>
  <c r="A142" i="1"/>
  <c r="A141" i="1"/>
  <c r="A1862" i="1"/>
  <c r="A1861" i="1"/>
  <c r="A1860" i="1"/>
  <c r="A1859" i="1"/>
  <c r="A1858" i="1"/>
  <c r="A1857" i="1"/>
  <c r="A1856" i="1"/>
  <c r="A1855" i="1"/>
  <c r="A1854" i="1"/>
  <c r="A776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5850" i="1"/>
  <c r="A140" i="1"/>
  <c r="A775" i="1"/>
  <c r="A1841" i="1"/>
  <c r="A1840" i="1"/>
  <c r="A1839" i="1"/>
  <c r="A774" i="1"/>
  <c r="A773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772" i="1"/>
  <c r="A1826" i="1"/>
  <c r="A1825" i="1"/>
  <c r="A771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770" i="1"/>
  <c r="A1799" i="1"/>
  <c r="A1798" i="1"/>
  <c r="A5849" i="1"/>
  <c r="A1797" i="1"/>
  <c r="A1796" i="1"/>
  <c r="A1795" i="1"/>
  <c r="A1794" i="1"/>
  <c r="A1793" i="1"/>
  <c r="A1792" i="1"/>
  <c r="A1791" i="1"/>
  <c r="A139" i="1"/>
  <c r="A1790" i="1"/>
  <c r="A54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5848" i="1"/>
  <c r="A1774" i="1"/>
  <c r="A1773" i="1"/>
  <c r="A1772" i="1"/>
  <c r="A769" i="1"/>
  <c r="A1771" i="1"/>
  <c r="A1770" i="1"/>
  <c r="A1769" i="1"/>
  <c r="A1768" i="1"/>
  <c r="A1767" i="1"/>
  <c r="A5847" i="1"/>
  <c r="A1766" i="1"/>
  <c r="A768" i="1"/>
  <c r="A1765" i="1"/>
  <c r="A1764" i="1"/>
  <c r="A5846" i="1"/>
  <c r="A767" i="1"/>
  <c r="A1763" i="1"/>
  <c r="A1762" i="1"/>
  <c r="A766" i="1"/>
  <c r="A1761" i="1"/>
  <c r="A1760" i="1"/>
  <c r="A1759" i="1"/>
  <c r="A1758" i="1"/>
  <c r="A1757" i="1"/>
  <c r="A1756" i="1"/>
  <c r="A1755" i="1"/>
  <c r="A1754" i="1"/>
  <c r="A1753" i="1"/>
  <c r="A1752" i="1"/>
  <c r="A1751" i="1"/>
  <c r="A83" i="1"/>
  <c r="A765" i="1"/>
  <c r="A1750" i="1"/>
  <c r="A1749" i="1"/>
  <c r="A1748" i="1"/>
  <c r="A1747" i="1"/>
  <c r="A82" i="1"/>
  <c r="A1746" i="1"/>
  <c r="A764" i="1"/>
  <c r="A1745" i="1"/>
  <c r="A1744" i="1"/>
  <c r="A1743" i="1"/>
  <c r="A1742" i="1"/>
  <c r="A1741" i="1"/>
  <c r="A1740" i="1"/>
  <c r="A1739" i="1"/>
  <c r="A763" i="1"/>
  <c r="A762" i="1"/>
  <c r="A1738" i="1"/>
  <c r="A1737" i="1"/>
  <c r="A1736" i="1"/>
  <c r="A761" i="1"/>
  <c r="A1735" i="1"/>
  <c r="A760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759" i="1"/>
  <c r="A758" i="1"/>
  <c r="A757" i="1"/>
  <c r="A138" i="1"/>
  <c r="A756" i="1"/>
  <c r="A1722" i="1"/>
  <c r="A1721" i="1"/>
  <c r="A1720" i="1"/>
  <c r="A1719" i="1"/>
  <c r="A1718" i="1"/>
  <c r="A1717" i="1"/>
  <c r="A1716" i="1"/>
  <c r="A1715" i="1"/>
  <c r="A5845" i="1"/>
  <c r="A81" i="1"/>
  <c r="A755" i="1"/>
  <c r="A1714" i="1"/>
  <c r="A1713" i="1"/>
  <c r="A1712" i="1"/>
  <c r="A1711" i="1"/>
  <c r="A1710" i="1"/>
  <c r="A13772" i="1"/>
  <c r="A1709" i="1"/>
  <c r="A1708" i="1"/>
  <c r="A1707" i="1"/>
  <c r="A1706" i="1"/>
  <c r="A137" i="1"/>
  <c r="A1705" i="1"/>
  <c r="A1704" i="1"/>
  <c r="A1703" i="1"/>
  <c r="A1702" i="1"/>
  <c r="A136" i="1"/>
  <c r="A1701" i="1"/>
  <c r="A1700" i="1"/>
  <c r="A754" i="1"/>
  <c r="A1699" i="1"/>
  <c r="A135" i="1"/>
  <c r="A1698" i="1"/>
  <c r="A1697" i="1"/>
  <c r="A1696" i="1"/>
  <c r="A1695" i="1"/>
  <c r="A1694" i="1"/>
  <c r="A1693" i="1"/>
  <c r="A1692" i="1"/>
  <c r="A1691" i="1"/>
  <c r="A1690" i="1"/>
  <c r="A753" i="1"/>
  <c r="A1689" i="1"/>
  <c r="A1688" i="1"/>
  <c r="A752" i="1"/>
  <c r="A1687" i="1"/>
  <c r="A1686" i="1"/>
  <c r="A1685" i="1"/>
  <c r="A1684" i="1"/>
  <c r="A1683" i="1"/>
  <c r="A1682" i="1"/>
  <c r="A134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33" i="1"/>
  <c r="A1668" i="1"/>
  <c r="A1667" i="1"/>
  <c r="A1666" i="1"/>
  <c r="A1665" i="1"/>
  <c r="A1664" i="1"/>
  <c r="A1663" i="1"/>
  <c r="A1662" i="1"/>
  <c r="A1661" i="1"/>
  <c r="A1660" i="1"/>
  <c r="A1659" i="1"/>
  <c r="A1658" i="1"/>
  <c r="A751" i="1"/>
  <c r="A750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749" i="1"/>
  <c r="A1632" i="1"/>
  <c r="A1631" i="1"/>
  <c r="A80" i="1"/>
  <c r="A1630" i="1"/>
  <c r="A1629" i="1"/>
  <c r="A748" i="1"/>
  <c r="A1628" i="1"/>
  <c r="A1627" i="1"/>
  <c r="A1626" i="1"/>
  <c r="A1625" i="1"/>
  <c r="A20" i="1"/>
  <c r="A1624" i="1"/>
  <c r="A1623" i="1"/>
  <c r="A38" i="1"/>
  <c r="A1622" i="1"/>
  <c r="A1621" i="1"/>
  <c r="A1620" i="1"/>
  <c r="A1619" i="1"/>
  <c r="A1618" i="1"/>
  <c r="A1617" i="1"/>
  <c r="A1616" i="1"/>
  <c r="A747" i="1"/>
  <c r="A746" i="1"/>
  <c r="A1615" i="1"/>
  <c r="A1614" i="1"/>
  <c r="A1613" i="1"/>
  <c r="A1612" i="1"/>
  <c r="A1611" i="1"/>
  <c r="A1610" i="1"/>
  <c r="A1609" i="1"/>
  <c r="A1608" i="1"/>
  <c r="A1607" i="1"/>
  <c r="A1606" i="1"/>
  <c r="A132" i="1"/>
  <c r="A1605" i="1"/>
  <c r="A1604" i="1"/>
  <c r="A1603" i="1"/>
  <c r="A1602" i="1"/>
  <c r="A1601" i="1"/>
  <c r="A1600" i="1"/>
  <c r="A1599" i="1"/>
  <c r="A1598" i="1"/>
  <c r="A131" i="1"/>
  <c r="A1597" i="1"/>
  <c r="A745" i="1"/>
  <c r="A1596" i="1"/>
  <c r="A1595" i="1"/>
  <c r="A1594" i="1"/>
  <c r="A1593" i="1"/>
  <c r="A1592" i="1"/>
  <c r="A1591" i="1"/>
  <c r="A5844" i="1"/>
  <c r="A1590" i="1"/>
  <c r="A1589" i="1"/>
  <c r="A1588" i="1"/>
  <c r="A1587" i="1"/>
  <c r="A1586" i="1"/>
  <c r="A744" i="1"/>
  <c r="A1585" i="1"/>
  <c r="A1584" i="1"/>
  <c r="A1583" i="1"/>
  <c r="A1582" i="1"/>
  <c r="A743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742" i="1"/>
  <c r="A1567" i="1"/>
  <c r="A5843" i="1"/>
  <c r="A1566" i="1"/>
  <c r="A1565" i="1"/>
  <c r="A1564" i="1"/>
  <c r="A741" i="1"/>
  <c r="A1563" i="1"/>
  <c r="A1562" i="1"/>
  <c r="A1561" i="1"/>
  <c r="A1560" i="1"/>
  <c r="A1559" i="1"/>
  <c r="A1558" i="1"/>
  <c r="A130" i="1"/>
  <c r="A1557" i="1"/>
  <c r="A1556" i="1"/>
  <c r="A1555" i="1"/>
  <c r="A1554" i="1"/>
  <c r="A1553" i="1"/>
  <c r="A1552" i="1"/>
  <c r="A1551" i="1"/>
  <c r="A1550" i="1"/>
  <c r="A1549" i="1"/>
  <c r="A5842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29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5841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5840" i="1"/>
  <c r="A1485" i="1"/>
  <c r="A1484" i="1"/>
  <c r="A1483" i="1"/>
  <c r="A1482" i="1"/>
  <c r="A1481" i="1"/>
  <c r="A5839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740" i="1"/>
  <c r="A739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5838" i="1"/>
  <c r="A128" i="1"/>
  <c r="A1400" i="1"/>
  <c r="A1399" i="1"/>
  <c r="A1398" i="1"/>
  <c r="A1397" i="1"/>
  <c r="A1396" i="1"/>
  <c r="A1395" i="1"/>
  <c r="A127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738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789" i="1"/>
  <c r="A73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736" i="1"/>
  <c r="A1323" i="1"/>
  <c r="A1322" i="1"/>
  <c r="A1321" i="1"/>
  <c r="A1320" i="1"/>
  <c r="A1319" i="1"/>
  <c r="A1318" i="1"/>
  <c r="A1317" i="1"/>
  <c r="A1316" i="1"/>
  <c r="A1315" i="1"/>
  <c r="A1314" i="1"/>
  <c r="A735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734" i="1"/>
  <c r="A1290" i="1"/>
  <c r="A1289" i="1"/>
  <c r="A1288" i="1"/>
  <c r="A1287" i="1"/>
  <c r="A1286" i="1"/>
  <c r="A1285" i="1"/>
  <c r="A1284" i="1"/>
  <c r="A1283" i="1"/>
  <c r="A5837" i="1"/>
  <c r="A1282" i="1"/>
  <c r="A1281" i="1"/>
  <c r="A1280" i="1"/>
  <c r="A1279" i="1"/>
  <c r="A1278" i="1"/>
  <c r="A1277" i="1"/>
  <c r="A1276" i="1"/>
  <c r="A1275" i="1"/>
  <c r="A1274" i="1"/>
  <c r="A5836" i="1"/>
  <c r="A733" i="1"/>
  <c r="A1273" i="1"/>
  <c r="A1272" i="1"/>
  <c r="A732" i="1"/>
  <c r="A731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5835" i="1"/>
  <c r="A1255" i="1"/>
  <c r="A1254" i="1"/>
  <c r="A1253" i="1"/>
  <c r="A1252" i="1"/>
  <c r="A1251" i="1"/>
  <c r="A1250" i="1"/>
  <c r="A1249" i="1"/>
  <c r="A1248" i="1"/>
  <c r="A1247" i="1"/>
  <c r="A1246" i="1"/>
  <c r="A730" i="1"/>
  <c r="A79" i="1"/>
  <c r="A1245" i="1"/>
  <c r="A1244" i="1"/>
  <c r="A1243" i="1"/>
  <c r="A1242" i="1"/>
  <c r="A1241" i="1"/>
  <c r="A1240" i="1"/>
  <c r="A1239" i="1"/>
  <c r="A5834" i="1"/>
  <c r="A1238" i="1"/>
  <c r="A1237" i="1"/>
  <c r="A1236" i="1"/>
  <c r="A1235" i="1"/>
  <c r="A1234" i="1"/>
  <c r="A1233" i="1"/>
  <c r="A1232" i="1"/>
  <c r="A13771" i="1"/>
  <c r="A1231" i="1"/>
  <c r="A1230" i="1"/>
  <c r="A1229" i="1"/>
  <c r="A1228" i="1"/>
  <c r="A5833" i="1"/>
  <c r="A13770" i="1"/>
  <c r="A13769" i="1"/>
  <c r="A13768" i="1"/>
  <c r="A1227" i="1"/>
  <c r="A1226" i="1"/>
  <c r="A729" i="1"/>
  <c r="A1225" i="1"/>
</calcChain>
</file>

<file path=xl/sharedStrings.xml><?xml version="1.0" encoding="utf-8"?>
<sst xmlns="http://schemas.openxmlformats.org/spreadsheetml/2006/main" count="13798" uniqueCount="2043">
  <si>
    <t>Reservation Number</t>
  </si>
  <si>
    <t>Check-Out Date</t>
  </si>
  <si>
    <t>Room Revenue Total</t>
  </si>
  <si>
    <t>Grand Total</t>
  </si>
  <si>
    <t>Reservation Paid Amount</t>
  </si>
  <si>
    <t>Reservation Balance Due</t>
  </si>
  <si>
    <t>2018-06-12</t>
  </si>
  <si>
    <t>2018-06-21</t>
  </si>
  <si>
    <t>2018-10-14</t>
  </si>
  <si>
    <t>2018-07-07</t>
  </si>
  <si>
    <t>2018-07-01</t>
  </si>
  <si>
    <t>2018-07-22</t>
  </si>
  <si>
    <t>2018-06-10</t>
  </si>
  <si>
    <t>2018-06-24</t>
  </si>
  <si>
    <t>2018-07-29</t>
  </si>
  <si>
    <t>2018-06-08</t>
  </si>
  <si>
    <t>2018-06-18</t>
  </si>
  <si>
    <t>2018-06-17</t>
  </si>
  <si>
    <t>2018-08-19</t>
  </si>
  <si>
    <t>2018-06-19</t>
  </si>
  <si>
    <t>2018-06-09</t>
  </si>
  <si>
    <t>2018-06-30</t>
  </si>
  <si>
    <t>2018-06-27</t>
  </si>
  <si>
    <t>2018-06-14</t>
  </si>
  <si>
    <t>2018-06-15</t>
  </si>
  <si>
    <t>2018-07-24</t>
  </si>
  <si>
    <t>2018-09-03</t>
  </si>
  <si>
    <t>2018-06-23</t>
  </si>
  <si>
    <t>2018-07-08</t>
  </si>
  <si>
    <t>2018-06-20</t>
  </si>
  <si>
    <t>2018-08-05</t>
  </si>
  <si>
    <t>2018-06-22</t>
  </si>
  <si>
    <t>2018-07-19</t>
  </si>
  <si>
    <t>2018-07-04</t>
  </si>
  <si>
    <t>2018-07-03</t>
  </si>
  <si>
    <t>2018-07-09</t>
  </si>
  <si>
    <t>2018-07-14</t>
  </si>
  <si>
    <t>2018-07-15</t>
  </si>
  <si>
    <t>2018-06-29</t>
  </si>
  <si>
    <t>2018-06-26</t>
  </si>
  <si>
    <t>2018-06-28</t>
  </si>
  <si>
    <t>2018-07-12</t>
  </si>
  <si>
    <t>2018-07-17</t>
  </si>
  <si>
    <t>2018-07-06</t>
  </si>
  <si>
    <t>2018-08-04</t>
  </si>
  <si>
    <t>2018-09-20</t>
  </si>
  <si>
    <t>2018-07-13</t>
  </si>
  <si>
    <t>2018-07-02</t>
  </si>
  <si>
    <t>2018-07-16</t>
  </si>
  <si>
    <t>2018-07-11</t>
  </si>
  <si>
    <t>2018-07-10</t>
  </si>
  <si>
    <t>2018-07-25</t>
  </si>
  <si>
    <t>2018-08-12</t>
  </si>
  <si>
    <t>2018-07-27</t>
  </si>
  <si>
    <t>2018-08-10</t>
  </si>
  <si>
    <t>2018-07-20</t>
  </si>
  <si>
    <t>2018-07-05</t>
  </si>
  <si>
    <t>2018-07-23</t>
  </si>
  <si>
    <t>2018-07-26</t>
  </si>
  <si>
    <t>2018-07-18</t>
  </si>
  <si>
    <t>2018-10-07</t>
  </si>
  <si>
    <t>2018-08-08</t>
  </si>
  <si>
    <t>2018-07-28</t>
  </si>
  <si>
    <t>2018-08-07</t>
  </si>
  <si>
    <t>2018-09-01</t>
  </si>
  <si>
    <t>2018-08-03</t>
  </si>
  <si>
    <t>2018-07-31</t>
  </si>
  <si>
    <t>2018-07-21</t>
  </si>
  <si>
    <t>2018-08-29</t>
  </si>
  <si>
    <t>2018-08-02</t>
  </si>
  <si>
    <t>2018-08-16</t>
  </si>
  <si>
    <t>2018-08-01</t>
  </si>
  <si>
    <t>2018-08-11</t>
  </si>
  <si>
    <t>2018-07-30</t>
  </si>
  <si>
    <t>2018-08-27</t>
  </si>
  <si>
    <t>2018-08-09</t>
  </si>
  <si>
    <t>2018-08-06</t>
  </si>
  <si>
    <t>2018-08-30</t>
  </si>
  <si>
    <t>2018-08-24</t>
  </si>
  <si>
    <t>2018-11-15</t>
  </si>
  <si>
    <t>2018-08-14</t>
  </si>
  <si>
    <t>2018-08-15</t>
  </si>
  <si>
    <t>2018-08-26</t>
  </si>
  <si>
    <t>2018-08-20</t>
  </si>
  <si>
    <t>2018-08-23</t>
  </si>
  <si>
    <t>2018-08-31</t>
  </si>
  <si>
    <t>2018-08-21</t>
  </si>
  <si>
    <t>2018-08-17</t>
  </si>
  <si>
    <t>2018-10-28</t>
  </si>
  <si>
    <t>2018-09-04</t>
  </si>
  <si>
    <t>2018-09-07</t>
  </si>
  <si>
    <t>2018-08-18</t>
  </si>
  <si>
    <t>2018-08-28</t>
  </si>
  <si>
    <t>2018-08-22</t>
  </si>
  <si>
    <t>2018-11-24</t>
  </si>
  <si>
    <t>2018-09-23</t>
  </si>
  <si>
    <t>2018-09-09</t>
  </si>
  <si>
    <t>2018-09-06</t>
  </si>
  <si>
    <t>2018-09-02</t>
  </si>
  <si>
    <t>2018-09-22</t>
  </si>
  <si>
    <t>2018-09-12</t>
  </si>
  <si>
    <t>2018-09-19</t>
  </si>
  <si>
    <t>2018-09-05</t>
  </si>
  <si>
    <t>2018-10-08</t>
  </si>
  <si>
    <t>2019-03-20</t>
  </si>
  <si>
    <t>2018-09-13</t>
  </si>
  <si>
    <t>2018-09-08</t>
  </si>
  <si>
    <t>2018-10-01</t>
  </si>
  <si>
    <t>2018-09-21</t>
  </si>
  <si>
    <t>2018-09-18</t>
  </si>
  <si>
    <t>2018-09-16</t>
  </si>
  <si>
    <t>2018-10-19</t>
  </si>
  <si>
    <t>2018-09-14</t>
  </si>
  <si>
    <t>2018-09-24</t>
  </si>
  <si>
    <t>2018-09-28</t>
  </si>
  <si>
    <t>2018-09-25</t>
  </si>
  <si>
    <t>2018-11-18</t>
  </si>
  <si>
    <t>2018-11-06</t>
  </si>
  <si>
    <t>2018-09-27</t>
  </si>
  <si>
    <t>2018-10-05</t>
  </si>
  <si>
    <t>2018-09-26</t>
  </si>
  <si>
    <t>2018-09-29</t>
  </si>
  <si>
    <t>2018-10-06</t>
  </si>
  <si>
    <t>2018-09-30</t>
  </si>
  <si>
    <t>2018-11-11</t>
  </si>
  <si>
    <t>2018-10-02</t>
  </si>
  <si>
    <t>2018-10-04</t>
  </si>
  <si>
    <t>2018-10-03</t>
  </si>
  <si>
    <t>2018-10-12</t>
  </si>
  <si>
    <t>2018-10-21</t>
  </si>
  <si>
    <t>2018-10-10</t>
  </si>
  <si>
    <t>2018-11-07</t>
  </si>
  <si>
    <t>2018-11-04</t>
  </si>
  <si>
    <t>2018-10-13</t>
  </si>
  <si>
    <t>2018-10-11</t>
  </si>
  <si>
    <t>2018-10-25</t>
  </si>
  <si>
    <t>2018-10-18</t>
  </si>
  <si>
    <t>2018-10-17</t>
  </si>
  <si>
    <t>2018-10-16</t>
  </si>
  <si>
    <t>2018-10-15</t>
  </si>
  <si>
    <t>2018-10-31</t>
  </si>
  <si>
    <t>2018-11-09</t>
  </si>
  <si>
    <t>2018-10-20</t>
  </si>
  <si>
    <t>2018-10-23</t>
  </si>
  <si>
    <t>2018-10-22</t>
  </si>
  <si>
    <t>2018-10-24</t>
  </si>
  <si>
    <t>2018-10-26</t>
  </si>
  <si>
    <t>2019-01-06</t>
  </si>
  <si>
    <t>2018-11-30</t>
  </si>
  <si>
    <t>2018-12-02</t>
  </si>
  <si>
    <t>2018-11-05</t>
  </si>
  <si>
    <t>2018-10-30</t>
  </si>
  <si>
    <t>2018-11-25</t>
  </si>
  <si>
    <t>2018-11-02</t>
  </si>
  <si>
    <t>2018-11-01</t>
  </si>
  <si>
    <t>2019-03-07</t>
  </si>
  <si>
    <t>2018-11-08</t>
  </si>
  <si>
    <t>2018-11-29</t>
  </si>
  <si>
    <t>2018-11-03</t>
  </si>
  <si>
    <t>2018-12-11</t>
  </si>
  <si>
    <t>2018-11-10</t>
  </si>
  <si>
    <t>2018-11-23</t>
  </si>
  <si>
    <t>2018-11-21</t>
  </si>
  <si>
    <t>2018-12-16</t>
  </si>
  <si>
    <t>2018-11-14</t>
  </si>
  <si>
    <t>2018-11-13</t>
  </si>
  <si>
    <t>2018-11-19</t>
  </si>
  <si>
    <t>2018-11-12</t>
  </si>
  <si>
    <t>2018-11-17</t>
  </si>
  <si>
    <t>2018-11-22</t>
  </si>
  <si>
    <t>2019-06-02</t>
  </si>
  <si>
    <t>2019-01-21</t>
  </si>
  <si>
    <t>2018-11-20</t>
  </si>
  <si>
    <t>2018-11-26</t>
  </si>
  <si>
    <t>2019-01-17</t>
  </si>
  <si>
    <t>2018-12-25</t>
  </si>
  <si>
    <t>2018-11-27</t>
  </si>
  <si>
    <t>2018-11-28</t>
  </si>
  <si>
    <t>2018-12-01</t>
  </si>
  <si>
    <t>2018-12-04</t>
  </si>
  <si>
    <t>2018-12-30</t>
  </si>
  <si>
    <t>2018-12-06</t>
  </si>
  <si>
    <t>2018-12-05</t>
  </si>
  <si>
    <t>2018-12-07</t>
  </si>
  <si>
    <t>2018-12-12</t>
  </si>
  <si>
    <t>2018-12-09</t>
  </si>
  <si>
    <t>2019-03-08</t>
  </si>
  <si>
    <t>2018-12-08</t>
  </si>
  <si>
    <t>2018-12-15</t>
  </si>
  <si>
    <t>2018-12-19</t>
  </si>
  <si>
    <t>2018-12-13</t>
  </si>
  <si>
    <t>2018-12-14</t>
  </si>
  <si>
    <t>2018-12-22</t>
  </si>
  <si>
    <t>2019-02-17</t>
  </si>
  <si>
    <t>2019-01-07</t>
  </si>
  <si>
    <t>2018-12-17</t>
  </si>
  <si>
    <t>2018-12-18</t>
  </si>
  <si>
    <t>2018-12-26</t>
  </si>
  <si>
    <t>2018-12-31</t>
  </si>
  <si>
    <t>2019-01-03</t>
  </si>
  <si>
    <t>2018-12-28</t>
  </si>
  <si>
    <t>2019-01-01</t>
  </si>
  <si>
    <t>2019-01-16</t>
  </si>
  <si>
    <t>2019-01-13</t>
  </si>
  <si>
    <t>2019-01-05</t>
  </si>
  <si>
    <t>2019-02-10</t>
  </si>
  <si>
    <t>2019-01-09</t>
  </si>
  <si>
    <t>2019-01-08</t>
  </si>
  <si>
    <t>2019-01-12</t>
  </si>
  <si>
    <t>2019-04-07</t>
  </si>
  <si>
    <t>2019-01-15</t>
  </si>
  <si>
    <t>2019-01-19</t>
  </si>
  <si>
    <t>2019-02-01</t>
  </si>
  <si>
    <t>2019-05-12</t>
  </si>
  <si>
    <t>2019-10-06</t>
  </si>
  <si>
    <t>2019-01-18</t>
  </si>
  <si>
    <t>2019-01-20</t>
  </si>
  <si>
    <t>2019-01-22</t>
  </si>
  <si>
    <t>2019-05-21</t>
  </si>
  <si>
    <t>2019-02-12</t>
  </si>
  <si>
    <t>2019-02-04</t>
  </si>
  <si>
    <t>2019-01-25</t>
  </si>
  <si>
    <t>2019-02-16</t>
  </si>
  <si>
    <t>2019-01-27</t>
  </si>
  <si>
    <t>2019-02-07</t>
  </si>
  <si>
    <t>2019-01-29</t>
  </si>
  <si>
    <t>2019-02-24</t>
  </si>
  <si>
    <t>2019-03-01</t>
  </si>
  <si>
    <t>2019-02-08</t>
  </si>
  <si>
    <t>2019-02-18</t>
  </si>
  <si>
    <t>2019-02-03</t>
  </si>
  <si>
    <t>2019-02-23</t>
  </si>
  <si>
    <t>2019-02-26</t>
  </si>
  <si>
    <t>2019-02-06</t>
  </si>
  <si>
    <t>2019-02-15</t>
  </si>
  <si>
    <t>2019-03-03</t>
  </si>
  <si>
    <t>2019-02-20</t>
  </si>
  <si>
    <t>2019-06-09</t>
  </si>
  <si>
    <t>2019-02-13</t>
  </si>
  <si>
    <t>2019-02-19</t>
  </si>
  <si>
    <t>2019-11-29</t>
  </si>
  <si>
    <t>2019-03-27</t>
  </si>
  <si>
    <t>2019-02-14</t>
  </si>
  <si>
    <t>2019-03-30</t>
  </si>
  <si>
    <t>2019-05-25</t>
  </si>
  <si>
    <t>2019-04-18</t>
  </si>
  <si>
    <t>2019-03-28</t>
  </si>
  <si>
    <t>2019-08-04</t>
  </si>
  <si>
    <t>2019-03-04</t>
  </si>
  <si>
    <t>2019-03-19</t>
  </si>
  <si>
    <t>2019-03-02</t>
  </si>
  <si>
    <t>2019-02-25</t>
  </si>
  <si>
    <t>2019-02-28</t>
  </si>
  <si>
    <t>2019-03-23</t>
  </si>
  <si>
    <t>2019-03-05</t>
  </si>
  <si>
    <t>2019-06-23</t>
  </si>
  <si>
    <t>2019-03-21</t>
  </si>
  <si>
    <t>2019-04-19</t>
  </si>
  <si>
    <t>2019-03-06</t>
  </si>
  <si>
    <t>2019-03-13</t>
  </si>
  <si>
    <t>2019-03-17</t>
  </si>
  <si>
    <t>2019-03-11</t>
  </si>
  <si>
    <t>2019-04-29</t>
  </si>
  <si>
    <t>2019-06-21</t>
  </si>
  <si>
    <t>2019-08-25</t>
  </si>
  <si>
    <t>2019-04-14</t>
  </si>
  <si>
    <t>2019-03-24</t>
  </si>
  <si>
    <t>2019-03-16</t>
  </si>
  <si>
    <t>2019-03-15</t>
  </si>
  <si>
    <t>2019-03-18</t>
  </si>
  <si>
    <t>2019-03-31</t>
  </si>
  <si>
    <t>2019-07-28</t>
  </si>
  <si>
    <t>2019-04-05</t>
  </si>
  <si>
    <t>2019-04-25</t>
  </si>
  <si>
    <t>2019-03-22</t>
  </si>
  <si>
    <t>2019-05-10</t>
  </si>
  <si>
    <t>2019-03-29</t>
  </si>
  <si>
    <t>2019-05-05</t>
  </si>
  <si>
    <t>2019-04-28</t>
  </si>
  <si>
    <t>2019-04-17</t>
  </si>
  <si>
    <t>2019-08-18</t>
  </si>
  <si>
    <t>2019-05-24</t>
  </si>
  <si>
    <t>2019-04-03</t>
  </si>
  <si>
    <t>2019-04-04</t>
  </si>
  <si>
    <t>2019-04-06</t>
  </si>
  <si>
    <t>2019-06-30</t>
  </si>
  <si>
    <t>2019-04-09</t>
  </si>
  <si>
    <t>2019-04-13</t>
  </si>
  <si>
    <t>2019-04-10</t>
  </si>
  <si>
    <t>2019-04-12</t>
  </si>
  <si>
    <t>2019-04-11</t>
  </si>
  <si>
    <t>2019-04-15</t>
  </si>
  <si>
    <t>2019-04-16</t>
  </si>
  <si>
    <t>2019-04-23</t>
  </si>
  <si>
    <t>2019-04-26</t>
  </si>
  <si>
    <t>2019-04-21</t>
  </si>
  <si>
    <t>2019-05-18</t>
  </si>
  <si>
    <t>2019-07-21</t>
  </si>
  <si>
    <t>2019-04-20</t>
  </si>
  <si>
    <t>2019-05-03</t>
  </si>
  <si>
    <t>2019-05-01</t>
  </si>
  <si>
    <t>2019-04-22</t>
  </si>
  <si>
    <t>2019-05-23</t>
  </si>
  <si>
    <t>2019-04-24</t>
  </si>
  <si>
    <t>2019-04-27</t>
  </si>
  <si>
    <t>2019-04-30</t>
  </si>
  <si>
    <t>2019-05-02</t>
  </si>
  <si>
    <t>2019-05-11</t>
  </si>
  <si>
    <t>2019-05-04</t>
  </si>
  <si>
    <t>2019-05-09</t>
  </si>
  <si>
    <t>2019-08-16</t>
  </si>
  <si>
    <t>2019-05-06</t>
  </si>
  <si>
    <t>2019-06-25</t>
  </si>
  <si>
    <t>2019-05-07</t>
  </si>
  <si>
    <t>2019-05-08</t>
  </si>
  <si>
    <t>2019-05-19</t>
  </si>
  <si>
    <t>2019-07-24</t>
  </si>
  <si>
    <t>2019-05-17</t>
  </si>
  <si>
    <t>2019-05-13</t>
  </si>
  <si>
    <t>2019-05-20</t>
  </si>
  <si>
    <t>2019-06-29</t>
  </si>
  <si>
    <t>2019-05-16</t>
  </si>
  <si>
    <t>2019-05-15</t>
  </si>
  <si>
    <t>2019-05-27</t>
  </si>
  <si>
    <t>2019-06-01</t>
  </si>
  <si>
    <t>2019-05-22</t>
  </si>
  <si>
    <t>2019-05-31</t>
  </si>
  <si>
    <t>2019-06-13</t>
  </si>
  <si>
    <t>2019-06-07</t>
  </si>
  <si>
    <t>2019-05-30</t>
  </si>
  <si>
    <t>2019-05-26</t>
  </si>
  <si>
    <t>2019-05-28</t>
  </si>
  <si>
    <t>2019-06-20</t>
  </si>
  <si>
    <t>2019-05-29</t>
  </si>
  <si>
    <t>2019-07-06</t>
  </si>
  <si>
    <t>2019-06-16</t>
  </si>
  <si>
    <t>2019-06-03</t>
  </si>
  <si>
    <t>2019-06-14</t>
  </si>
  <si>
    <t>2019-06-05</t>
  </si>
  <si>
    <t>2019-06-04</t>
  </si>
  <si>
    <t>2019-06-12</t>
  </si>
  <si>
    <t>2019-06-06</t>
  </si>
  <si>
    <t>2019-07-05</t>
  </si>
  <si>
    <t>2019-06-08</t>
  </si>
  <si>
    <t>2019-06-11</t>
  </si>
  <si>
    <t>2019-06-10</t>
  </si>
  <si>
    <t>2019-06-19</t>
  </si>
  <si>
    <t>2019-07-08</t>
  </si>
  <si>
    <t>2019-06-17</t>
  </si>
  <si>
    <t>2019-08-11</t>
  </si>
  <si>
    <t>2019-07-01</t>
  </si>
  <si>
    <t>2019-07-16</t>
  </si>
  <si>
    <t>2019-07-18</t>
  </si>
  <si>
    <t>2019-06-28</t>
  </si>
  <si>
    <t>2019-06-18</t>
  </si>
  <si>
    <t>2019-06-22</t>
  </si>
  <si>
    <t>2019-07-26</t>
  </si>
  <si>
    <t>2019-06-26</t>
  </si>
  <si>
    <t>2019-09-06</t>
  </si>
  <si>
    <t>2019-06-27</t>
  </si>
  <si>
    <t>2019-09-15</t>
  </si>
  <si>
    <t>2019-09-02</t>
  </si>
  <si>
    <t>2019-09-08</t>
  </si>
  <si>
    <t>2019-07-03</t>
  </si>
  <si>
    <t>2019-07-14</t>
  </si>
  <si>
    <t>2019-07-07</t>
  </si>
  <si>
    <t>2019-07-09</t>
  </si>
  <si>
    <t>2019-07-13</t>
  </si>
  <si>
    <t>2019-07-17</t>
  </si>
  <si>
    <t>2019-07-15</t>
  </si>
  <si>
    <t>2019-07-11</t>
  </si>
  <si>
    <t>2019-09-13</t>
  </si>
  <si>
    <t>2019-07-12</t>
  </si>
  <si>
    <t>2019-09-16</t>
  </si>
  <si>
    <t>2019-08-26</t>
  </si>
  <si>
    <t>2019-08-09</t>
  </si>
  <si>
    <t>2019-07-19</t>
  </si>
  <si>
    <t>2019-07-23</t>
  </si>
  <si>
    <t>2019-09-04</t>
  </si>
  <si>
    <t>2019-07-22</t>
  </si>
  <si>
    <t>2019-10-11</t>
  </si>
  <si>
    <t>2019-08-17</t>
  </si>
  <si>
    <t>2019-07-25</t>
  </si>
  <si>
    <t>2019-08-23</t>
  </si>
  <si>
    <t>2019-08-10</t>
  </si>
  <si>
    <t>2019-07-27</t>
  </si>
  <si>
    <t>2019-08-05</t>
  </si>
  <si>
    <t>2019-08-01</t>
  </si>
  <si>
    <t>2019-09-14</t>
  </si>
  <si>
    <t>2019-08-02</t>
  </si>
  <si>
    <t>2019-09-05</t>
  </si>
  <si>
    <t>2019-10-13</t>
  </si>
  <si>
    <t>2019-11-14</t>
  </si>
  <si>
    <t>2019-09-01</t>
  </si>
  <si>
    <t>2019-08-22</t>
  </si>
  <si>
    <t>2019-09-03</t>
  </si>
  <si>
    <t>2019-09-11</t>
  </si>
  <si>
    <t>2019-09-26</t>
  </si>
  <si>
    <t>2019-08-12</t>
  </si>
  <si>
    <t>2019-08-15</t>
  </si>
  <si>
    <t>2019-08-14</t>
  </si>
  <si>
    <t>2019-09-20</t>
  </si>
  <si>
    <t>2019-09-21</t>
  </si>
  <si>
    <t>2019-08-21</t>
  </si>
  <si>
    <t>2019-08-20</t>
  </si>
  <si>
    <t>2019-11-10</t>
  </si>
  <si>
    <t>2019-09-22</t>
  </si>
  <si>
    <t>2019-09-09</t>
  </si>
  <si>
    <t>2019-08-30</t>
  </si>
  <si>
    <t>2019-08-29</t>
  </si>
  <si>
    <t>2019-09-07</t>
  </si>
  <si>
    <t>2019-08-24</t>
  </si>
  <si>
    <t>2019-09-10</t>
  </si>
  <si>
    <t>2019-10-20</t>
  </si>
  <si>
    <t>2019-11-07</t>
  </si>
  <si>
    <t>2019-09-18</t>
  </si>
  <si>
    <t>2020-08-23</t>
  </si>
  <si>
    <t>2019-11-30</t>
  </si>
  <si>
    <t>2019-10-04</t>
  </si>
  <si>
    <t>2019-09-29</t>
  </si>
  <si>
    <t>2019-09-27</t>
  </si>
  <si>
    <t>2019-09-30</t>
  </si>
  <si>
    <t>2019-10-18</t>
  </si>
  <si>
    <t>2019-09-12</t>
  </si>
  <si>
    <t>2019-09-23</t>
  </si>
  <si>
    <t>2019-09-19</t>
  </si>
  <si>
    <t>2019-09-25</t>
  </si>
  <si>
    <t>2019-10-28</t>
  </si>
  <si>
    <t>2019-09-24</t>
  </si>
  <si>
    <t>2019-10-01</t>
  </si>
  <si>
    <t>2019-11-09</t>
  </si>
  <si>
    <t>2019-10-05</t>
  </si>
  <si>
    <t>2019-09-28</t>
  </si>
  <si>
    <t>2019-10-17</t>
  </si>
  <si>
    <t>2020-01-19</t>
  </si>
  <si>
    <t>2019-10-03</t>
  </si>
  <si>
    <t>2019-10-09</t>
  </si>
  <si>
    <t>2019-10-21</t>
  </si>
  <si>
    <t>2019-10-16</t>
  </si>
  <si>
    <t>2019-10-24</t>
  </si>
  <si>
    <t>2019-10-15</t>
  </si>
  <si>
    <t>2019-12-21</t>
  </si>
  <si>
    <t>2019-10-19</t>
  </si>
  <si>
    <t>2019-10-22</t>
  </si>
  <si>
    <t>2019-12-01</t>
  </si>
  <si>
    <t>2019-10-25</t>
  </si>
  <si>
    <t>2019-10-29</t>
  </si>
  <si>
    <t>2019-11-03</t>
  </si>
  <si>
    <t>2019-10-23</t>
  </si>
  <si>
    <t>2019-10-27</t>
  </si>
  <si>
    <t>2019-10-26</t>
  </si>
  <si>
    <t>2019-10-30</t>
  </si>
  <si>
    <t>2019-11-12</t>
  </si>
  <si>
    <t>2019-11-01</t>
  </si>
  <si>
    <t>2019-10-31</t>
  </si>
  <si>
    <t>2019-11-02</t>
  </si>
  <si>
    <t>2019-11-22</t>
  </si>
  <si>
    <t>2019-11-05</t>
  </si>
  <si>
    <t>2019-11-04</t>
  </si>
  <si>
    <t>2019-11-06</t>
  </si>
  <si>
    <t>2019-11-15</t>
  </si>
  <si>
    <t>2019-12-09</t>
  </si>
  <si>
    <t>2019-11-16</t>
  </si>
  <si>
    <t>2019-11-08</t>
  </si>
  <si>
    <t>2019-11-17</t>
  </si>
  <si>
    <t>2019-11-19</t>
  </si>
  <si>
    <t>2019-12-02</t>
  </si>
  <si>
    <t>2019-11-18</t>
  </si>
  <si>
    <t>2019-11-21</t>
  </si>
  <si>
    <t>2019-11-24</t>
  </si>
  <si>
    <t>2019-11-20</t>
  </si>
  <si>
    <t>2019-11-23</t>
  </si>
  <si>
    <t>2019-11-28</t>
  </si>
  <si>
    <t>2019-12-25</t>
  </si>
  <si>
    <t>2019-11-25</t>
  </si>
  <si>
    <t>2020-01-04</t>
  </si>
  <si>
    <t>2019-12-30</t>
  </si>
  <si>
    <t>2019-11-27</t>
  </si>
  <si>
    <t>2019-12-08</t>
  </si>
  <si>
    <t>2019-12-27</t>
  </si>
  <si>
    <t>2019-12-05</t>
  </si>
  <si>
    <t>2019-12-03</t>
  </si>
  <si>
    <t>2019-12-04</t>
  </si>
  <si>
    <t>2019-12-13</t>
  </si>
  <si>
    <t>2019-12-10</t>
  </si>
  <si>
    <t>2019-12-12</t>
  </si>
  <si>
    <t>2019-12-11</t>
  </si>
  <si>
    <t>2019-12-14</t>
  </si>
  <si>
    <t>2019-12-23</t>
  </si>
  <si>
    <t>2019-12-15</t>
  </si>
  <si>
    <t>2019-12-19</t>
  </si>
  <si>
    <t>2019-12-16</t>
  </si>
  <si>
    <t>2019-12-20</t>
  </si>
  <si>
    <t>2020-01-12</t>
  </si>
  <si>
    <t>2019-12-17</t>
  </si>
  <si>
    <t>2019-12-18</t>
  </si>
  <si>
    <t>2019-12-31</t>
  </si>
  <si>
    <t>2019-12-22</t>
  </si>
  <si>
    <t>2019-12-29</t>
  </si>
  <si>
    <t>2019-12-26</t>
  </si>
  <si>
    <t>2019-12-24</t>
  </si>
  <si>
    <t>2020-01-05</t>
  </si>
  <si>
    <t>2020-01-01</t>
  </si>
  <si>
    <t>2020-01-02</t>
  </si>
  <si>
    <t>2020-01-09</t>
  </si>
  <si>
    <t>2020-01-30</t>
  </si>
  <si>
    <t>2020-01-07</t>
  </si>
  <si>
    <t>2020-01-15</t>
  </si>
  <si>
    <t>2020-01-06</t>
  </si>
  <si>
    <t>2020-01-11</t>
  </si>
  <si>
    <t>2020-01-08</t>
  </si>
  <si>
    <t>2020-01-10</t>
  </si>
  <si>
    <t>2020-01-18</t>
  </si>
  <si>
    <t>2020-01-16</t>
  </si>
  <si>
    <t>2020-01-22</t>
  </si>
  <si>
    <t>2020-01-20</t>
  </si>
  <si>
    <t>2020-01-23</t>
  </si>
  <si>
    <t>2020-01-27</t>
  </si>
  <si>
    <t>2020-01-29</t>
  </si>
  <si>
    <t>2020-01-26</t>
  </si>
  <si>
    <t>2020-01-24</t>
  </si>
  <si>
    <t>2020-01-25</t>
  </si>
  <si>
    <t>2020-01-31</t>
  </si>
  <si>
    <t>2020-02-04</t>
  </si>
  <si>
    <t>2020-02-01</t>
  </si>
  <si>
    <t>2020-02-05</t>
  </si>
  <si>
    <t>2020-02-19</t>
  </si>
  <si>
    <t>2020-02-11</t>
  </si>
  <si>
    <t>2020-02-07</t>
  </si>
  <si>
    <t>2020-02-23</t>
  </si>
  <si>
    <t>2020-03-15</t>
  </si>
  <si>
    <t>2020-02-14</t>
  </si>
  <si>
    <t>2020-02-12</t>
  </si>
  <si>
    <t>2020-02-13</t>
  </si>
  <si>
    <t>2020-02-17</t>
  </si>
  <si>
    <t>2020-02-20</t>
  </si>
  <si>
    <t>2020-03-08</t>
  </si>
  <si>
    <t>2020-03-06</t>
  </si>
  <si>
    <t>2020-03-09</t>
  </si>
  <si>
    <t>2020-03-04</t>
  </si>
  <si>
    <t>2020-02-18</t>
  </si>
  <si>
    <t>2020-03-12</t>
  </si>
  <si>
    <t>2020-02-21</t>
  </si>
  <si>
    <t>2020-02-28</t>
  </si>
  <si>
    <t>2020-09-27</t>
  </si>
  <si>
    <t>2020-02-27</t>
  </si>
  <si>
    <t>2020-03-03</t>
  </si>
  <si>
    <t>2020-02-26</t>
  </si>
  <si>
    <t>2020-03-10</t>
  </si>
  <si>
    <t>2020-09-12</t>
  </si>
  <si>
    <t>2020-03-22</t>
  </si>
  <si>
    <t>2020-03-02</t>
  </si>
  <si>
    <t>2020-03-05</t>
  </si>
  <si>
    <t>2020-03-11</t>
  </si>
  <si>
    <t>2020-03-07</t>
  </si>
  <si>
    <t>2020-03-13</t>
  </si>
  <si>
    <t>2020-03-14</t>
  </si>
  <si>
    <t>2020-03-17</t>
  </si>
  <si>
    <t>2020-03-18</t>
  </si>
  <si>
    <t>2020-04-19</t>
  </si>
  <si>
    <t>2020-03-30</t>
  </si>
  <si>
    <t>2020-04-02</t>
  </si>
  <si>
    <t>2020-04-01</t>
  </si>
  <si>
    <t>2020-03-31</t>
  </si>
  <si>
    <t>2020-04-04</t>
  </si>
  <si>
    <t>2020-04-06</t>
  </si>
  <si>
    <t>2020-04-15</t>
  </si>
  <si>
    <t>2020-04-09</t>
  </si>
  <si>
    <t>2020-04-10</t>
  </si>
  <si>
    <t>2020-04-11</t>
  </si>
  <si>
    <t>2020-04-13</t>
  </si>
  <si>
    <t>2020-04-17</t>
  </si>
  <si>
    <t>2020-04-16</t>
  </si>
  <si>
    <t>2020-04-21</t>
  </si>
  <si>
    <t>2020-05-16</t>
  </si>
  <si>
    <t>2020-05-02</t>
  </si>
  <si>
    <t>2020-04-29</t>
  </si>
  <si>
    <t>2020-05-01</t>
  </si>
  <si>
    <t>2020-05-06</t>
  </si>
  <si>
    <t>2020-05-04</t>
  </si>
  <si>
    <t>2020-05-09</t>
  </si>
  <si>
    <t>2020-05-05</t>
  </si>
  <si>
    <t>2020-05-17</t>
  </si>
  <si>
    <t>2020-05-07</t>
  </si>
  <si>
    <t>2020-05-19</t>
  </si>
  <si>
    <t>2020-05-13</t>
  </si>
  <si>
    <t>2020-05-08</t>
  </si>
  <si>
    <t>2020-05-15</t>
  </si>
  <si>
    <t>2020-05-14</t>
  </si>
  <si>
    <t>2020-05-22</t>
  </si>
  <si>
    <t>2020-05-21</t>
  </si>
  <si>
    <t>2020-11-08</t>
  </si>
  <si>
    <t>2020-05-24</t>
  </si>
  <si>
    <t>2020-05-27</t>
  </si>
  <si>
    <t>2020-05-23</t>
  </si>
  <si>
    <t>2020-05-25</t>
  </si>
  <si>
    <t>2020-05-26</t>
  </si>
  <si>
    <t>2020-05-29</t>
  </si>
  <si>
    <t>2020-05-28</t>
  </si>
  <si>
    <t>2020-05-31</t>
  </si>
  <si>
    <t>2020-05-30</t>
  </si>
  <si>
    <t>2020-06-04</t>
  </si>
  <si>
    <t>2020-06-21</t>
  </si>
  <si>
    <t>2020-06-03</t>
  </si>
  <si>
    <t>2020-06-02</t>
  </si>
  <si>
    <t>2020-06-01</t>
  </si>
  <si>
    <t>2020-06-05</t>
  </si>
  <si>
    <t>2020-08-22</t>
  </si>
  <si>
    <t>2020-06-07</t>
  </si>
  <si>
    <t>2020-06-12</t>
  </si>
  <si>
    <t>2020-06-11</t>
  </si>
  <si>
    <t>2020-06-13</t>
  </si>
  <si>
    <t>2020-06-19</t>
  </si>
  <si>
    <t>2020-06-06</t>
  </si>
  <si>
    <t>2020-07-06</t>
  </si>
  <si>
    <t>2020-06-10</t>
  </si>
  <si>
    <t>2020-06-23</t>
  </si>
  <si>
    <t>2020-07-08</t>
  </si>
  <si>
    <t>2020-06-08</t>
  </si>
  <si>
    <t>2020-06-29</t>
  </si>
  <si>
    <t>2020-06-09</t>
  </si>
  <si>
    <t>2020-07-19</t>
  </si>
  <si>
    <t>2020-06-16</t>
  </si>
  <si>
    <t>2020-06-14</t>
  </si>
  <si>
    <t>2020-06-18</t>
  </si>
  <si>
    <t>2020-06-15</t>
  </si>
  <si>
    <t>2020-08-09</t>
  </si>
  <si>
    <t>2020-07-26</t>
  </si>
  <si>
    <t>2020-06-20</t>
  </si>
  <si>
    <t>2020-06-17</t>
  </si>
  <si>
    <t>2020-07-01</t>
  </si>
  <si>
    <t>2020-06-22</t>
  </si>
  <si>
    <t>2020-08-05</t>
  </si>
  <si>
    <t>2020-07-05</t>
  </si>
  <si>
    <t>2020-06-28</t>
  </si>
  <si>
    <t>2020-06-26</t>
  </si>
  <si>
    <t>2020-06-25</t>
  </si>
  <si>
    <t>2020-07-17</t>
  </si>
  <si>
    <t>2020-07-18</t>
  </si>
  <si>
    <t>2020-07-07</t>
  </si>
  <si>
    <t>2020-07-12</t>
  </si>
  <si>
    <t>2020-07-04</t>
  </si>
  <si>
    <t>2020-08-02</t>
  </si>
  <si>
    <t>2020-07-03</t>
  </si>
  <si>
    <t>2020-10-26</t>
  </si>
  <si>
    <t>2020-07-02</t>
  </si>
  <si>
    <t>2020-07-20</t>
  </si>
  <si>
    <t>2020-07-24</t>
  </si>
  <si>
    <t>2020-09-06</t>
  </si>
  <si>
    <t>2020-08-21</t>
  </si>
  <si>
    <t>2020-07-21</t>
  </si>
  <si>
    <t>2020-09-20</t>
  </si>
  <si>
    <t>2020-07-14</t>
  </si>
  <si>
    <t>2021-05-02</t>
  </si>
  <si>
    <t>2020-08-07</t>
  </si>
  <si>
    <t>2020-07-28</t>
  </si>
  <si>
    <t>2020-07-27</t>
  </si>
  <si>
    <t>2020-09-07</t>
  </si>
  <si>
    <t>2020-08-08</t>
  </si>
  <si>
    <t>2020-08-01</t>
  </si>
  <si>
    <t>2020-08-06</t>
  </si>
  <si>
    <t>2020-08-10</t>
  </si>
  <si>
    <t>2020-10-18</t>
  </si>
  <si>
    <t>2020-08-12</t>
  </si>
  <si>
    <t>2020-08-16</t>
  </si>
  <si>
    <t>2020-08-17</t>
  </si>
  <si>
    <t>2020-08-18</t>
  </si>
  <si>
    <t>2020-11-15</t>
  </si>
  <si>
    <t>2020-08-30</t>
  </si>
  <si>
    <t>2020-09-10</t>
  </si>
  <si>
    <t>2020-08-24</t>
  </si>
  <si>
    <t>2020-08-28</t>
  </si>
  <si>
    <t>2020-09-03</t>
  </si>
  <si>
    <t>2020-09-02</t>
  </si>
  <si>
    <t>2020-11-01</t>
  </si>
  <si>
    <t>2020-09-05</t>
  </si>
  <si>
    <t>2020-10-23</t>
  </si>
  <si>
    <t>2020-10-04</t>
  </si>
  <si>
    <t>2020-10-03</t>
  </si>
  <si>
    <t>2020-09-28</t>
  </si>
  <si>
    <t>2020-09-25</t>
  </si>
  <si>
    <t>2020-09-18</t>
  </si>
  <si>
    <t>2020-10-12</t>
  </si>
  <si>
    <t>2020-09-14</t>
  </si>
  <si>
    <t>2020-10-02</t>
  </si>
  <si>
    <t>2020-09-19</t>
  </si>
  <si>
    <t>2020-10-06</t>
  </si>
  <si>
    <t>2020-09-26</t>
  </si>
  <si>
    <t>2021-08-01</t>
  </si>
  <si>
    <t>2020-10-05</t>
  </si>
  <si>
    <t>2020-10-28</t>
  </si>
  <si>
    <t>2020-10-09</t>
  </si>
  <si>
    <t>2020-10-10</t>
  </si>
  <si>
    <t>2020-10-13</t>
  </si>
  <si>
    <t>2020-10-16</t>
  </si>
  <si>
    <t>2020-10-31</t>
  </si>
  <si>
    <t>2020-10-15</t>
  </si>
  <si>
    <t>2020-10-21</t>
  </si>
  <si>
    <t>2020-10-19</t>
  </si>
  <si>
    <t>2020-10-14</t>
  </si>
  <si>
    <t>2020-10-25</t>
  </si>
  <si>
    <t>2020-10-20</t>
  </si>
  <si>
    <t>2020-10-30</t>
  </si>
  <si>
    <t>2020-11-12</t>
  </si>
  <si>
    <t>2020-11-04</t>
  </si>
  <si>
    <t>2020-11-07</t>
  </si>
  <si>
    <t>2020-11-13</t>
  </si>
  <si>
    <t>2021-04-11</t>
  </si>
  <si>
    <t>2020-11-10</t>
  </si>
  <si>
    <t>2020-11-21</t>
  </si>
  <si>
    <t>2020-12-21</t>
  </si>
  <si>
    <t>2020-11-26</t>
  </si>
  <si>
    <t>2020-11-14</t>
  </si>
  <si>
    <t>2020-12-20</t>
  </si>
  <si>
    <t>2020-11-20</t>
  </si>
  <si>
    <t>2021-01-09</t>
  </si>
  <si>
    <t>2020-12-27</t>
  </si>
  <si>
    <t>2020-12-01</t>
  </si>
  <si>
    <t>2020-12-05</t>
  </si>
  <si>
    <t>2020-11-23</t>
  </si>
  <si>
    <t>2020-12-25</t>
  </si>
  <si>
    <t>2020-11-29</t>
  </si>
  <si>
    <t>2020-12-09</t>
  </si>
  <si>
    <t>2021-05-28</t>
  </si>
  <si>
    <t>2020-12-06</t>
  </si>
  <si>
    <t>2020-12-03</t>
  </si>
  <si>
    <t>2021-09-19</t>
  </si>
  <si>
    <t>2020-12-08</t>
  </si>
  <si>
    <t>2020-12-11</t>
  </si>
  <si>
    <t>2021-01-03</t>
  </si>
  <si>
    <t>2021-01-24</t>
  </si>
  <si>
    <t>2020-12-18</t>
  </si>
  <si>
    <t>2021-01-19</t>
  </si>
  <si>
    <t>2021-01-01</t>
  </si>
  <si>
    <t>2021-03-28</t>
  </si>
  <si>
    <t>2020-12-26</t>
  </si>
  <si>
    <t>2020-12-29</t>
  </si>
  <si>
    <t>2020-12-30</t>
  </si>
  <si>
    <t>2021-12-25</t>
  </si>
  <si>
    <t>2021-02-14</t>
  </si>
  <si>
    <t>2021-06-12</t>
  </si>
  <si>
    <t>2021-01-06</t>
  </si>
  <si>
    <t>2021-01-17</t>
  </si>
  <si>
    <t>2021-01-10</t>
  </si>
  <si>
    <t>2021-01-14</t>
  </si>
  <si>
    <t>2021-01-31</t>
  </si>
  <si>
    <t>2021-01-15</t>
  </si>
  <si>
    <t>2021-01-18</t>
  </si>
  <si>
    <t>2021-03-21</t>
  </si>
  <si>
    <t>2021-10-24</t>
  </si>
  <si>
    <t>2021-09-07</t>
  </si>
  <si>
    <t>2021-01-27</t>
  </si>
  <si>
    <t>2021-08-15</t>
  </si>
  <si>
    <t>2021-02-01</t>
  </si>
  <si>
    <t>2021-01-30</t>
  </si>
  <si>
    <t>2021-01-29</t>
  </si>
  <si>
    <t>2021-03-07</t>
  </si>
  <si>
    <t>2021-02-15</t>
  </si>
  <si>
    <t>2021-04-18</t>
  </si>
  <si>
    <t>2021-06-05</t>
  </si>
  <si>
    <t>2021-10-17</t>
  </si>
  <si>
    <t>2021-02-05</t>
  </si>
  <si>
    <t>2021-02-08</t>
  </si>
  <si>
    <t>2021-02-06</t>
  </si>
  <si>
    <t>2021-02-11</t>
  </si>
  <si>
    <t>2021-02-12</t>
  </si>
  <si>
    <t>2021-03-17</t>
  </si>
  <si>
    <t>2021-02-13</t>
  </si>
  <si>
    <t>2021-02-28</t>
  </si>
  <si>
    <t>2021-02-17</t>
  </si>
  <si>
    <t>2021-02-21</t>
  </si>
  <si>
    <t>2021-08-28</t>
  </si>
  <si>
    <t>2021-02-19</t>
  </si>
  <si>
    <t>2021-02-18</t>
  </si>
  <si>
    <t>2021-02-26</t>
  </si>
  <si>
    <t>2021-02-20</t>
  </si>
  <si>
    <t>2021-03-02</t>
  </si>
  <si>
    <t>2021-02-24</t>
  </si>
  <si>
    <t>2021-02-27</t>
  </si>
  <si>
    <t>2021-04-24</t>
  </si>
  <si>
    <t>2021-02-25</t>
  </si>
  <si>
    <t>2021-03-14</t>
  </si>
  <si>
    <t>2021-03-16</t>
  </si>
  <si>
    <t>2021-06-25</t>
  </si>
  <si>
    <t>2021-03-05</t>
  </si>
  <si>
    <t>2021-03-26</t>
  </si>
  <si>
    <t>2021-07-25</t>
  </si>
  <si>
    <t>2021-03-12</t>
  </si>
  <si>
    <t>2021-03-11</t>
  </si>
  <si>
    <t>2021-05-24</t>
  </si>
  <si>
    <t>2021-05-10</t>
  </si>
  <si>
    <t>2021-03-13</t>
  </si>
  <si>
    <t>2021-07-02</t>
  </si>
  <si>
    <t>2021-05-31</t>
  </si>
  <si>
    <t>2021-03-19</t>
  </si>
  <si>
    <t>2021-08-29</t>
  </si>
  <si>
    <t>2021-03-29</t>
  </si>
  <si>
    <t>2021-05-23</t>
  </si>
  <si>
    <t>2021-03-20</t>
  </si>
  <si>
    <t>2021-07-10</t>
  </si>
  <si>
    <t>2021-03-24</t>
  </si>
  <si>
    <t>2021-07-11</t>
  </si>
  <si>
    <t>2021-05-08</t>
  </si>
  <si>
    <t>2021-04-04</t>
  </si>
  <si>
    <t>2021-04-01</t>
  </si>
  <si>
    <t>2021-03-31</t>
  </si>
  <si>
    <t>2021-04-10</t>
  </si>
  <si>
    <t>2021-04-03</t>
  </si>
  <si>
    <t>2021-08-06</t>
  </si>
  <si>
    <t>2021-10-31</t>
  </si>
  <si>
    <t>2021-04-17</t>
  </si>
  <si>
    <t>2021-05-16</t>
  </si>
  <si>
    <t>2021-04-15</t>
  </si>
  <si>
    <t>2021-04-07</t>
  </si>
  <si>
    <t>2021-04-26</t>
  </si>
  <si>
    <t>2021-07-13</t>
  </si>
  <si>
    <t>2021-04-08</t>
  </si>
  <si>
    <t>2021-04-09</t>
  </si>
  <si>
    <t>2021-06-18</t>
  </si>
  <si>
    <t>2022-06-26</t>
  </si>
  <si>
    <t>2021-04-16</t>
  </si>
  <si>
    <t>2021-04-22</t>
  </si>
  <si>
    <t>2021-05-22</t>
  </si>
  <si>
    <t>2021-04-19</t>
  </si>
  <si>
    <t>2021-08-09</t>
  </si>
  <si>
    <t>2021-06-01</t>
  </si>
  <si>
    <t>2021-07-18</t>
  </si>
  <si>
    <t>2021-06-13</t>
  </si>
  <si>
    <t>2021-04-23</t>
  </si>
  <si>
    <t>2021-06-20</t>
  </si>
  <si>
    <t>2021-06-19</t>
  </si>
  <si>
    <t>2021-05-09</t>
  </si>
  <si>
    <t>2021-07-05</t>
  </si>
  <si>
    <t>2021-09-04</t>
  </si>
  <si>
    <t>2021-04-25</t>
  </si>
  <si>
    <t>2021-05-20</t>
  </si>
  <si>
    <t>2021-07-17</t>
  </si>
  <si>
    <t>2021-04-27</t>
  </si>
  <si>
    <t>2021-07-19</t>
  </si>
  <si>
    <t>2021-04-28</t>
  </si>
  <si>
    <t>2021-05-01</t>
  </si>
  <si>
    <t>2021-04-29</t>
  </si>
  <si>
    <t>2021-05-07</t>
  </si>
  <si>
    <t>2021-05-13</t>
  </si>
  <si>
    <t>2021-05-30</t>
  </si>
  <si>
    <t>2021-07-04</t>
  </si>
  <si>
    <t>2021-05-03</t>
  </si>
  <si>
    <t>2021-05-05</t>
  </si>
  <si>
    <t>2021-05-18</t>
  </si>
  <si>
    <t>2021-06-27</t>
  </si>
  <si>
    <t>2021-05-14</t>
  </si>
  <si>
    <t>2021-05-12</t>
  </si>
  <si>
    <t>2021-05-15</t>
  </si>
  <si>
    <t>2021-06-04</t>
  </si>
  <si>
    <t>2021-06-21</t>
  </si>
  <si>
    <t>2021-09-01</t>
  </si>
  <si>
    <t>2021-05-21</t>
  </si>
  <si>
    <t>2021-06-06</t>
  </si>
  <si>
    <t>2021-07-16</t>
  </si>
  <si>
    <t>2021-06-14</t>
  </si>
  <si>
    <t>2021-05-19</t>
  </si>
  <si>
    <t>2021-09-05</t>
  </si>
  <si>
    <t>2021-05-29</t>
  </si>
  <si>
    <t>2021-05-26</t>
  </si>
  <si>
    <t>2021-05-27</t>
  </si>
  <si>
    <t>2021-06-10</t>
  </si>
  <si>
    <t>2021-06-02</t>
  </si>
  <si>
    <t>2021-07-26</t>
  </si>
  <si>
    <t>2021-07-24</t>
  </si>
  <si>
    <t>2021-06-26</t>
  </si>
  <si>
    <t>2021-09-26</t>
  </si>
  <si>
    <t>2021-06-03</t>
  </si>
  <si>
    <t>2021-06-08</t>
  </si>
  <si>
    <t>2021-06-28</t>
  </si>
  <si>
    <t>2021-06-07</t>
  </si>
  <si>
    <t>2021-08-08</t>
  </si>
  <si>
    <t>2021-06-17</t>
  </si>
  <si>
    <t>2021-06-11</t>
  </si>
  <si>
    <t>2022-06-19</t>
  </si>
  <si>
    <t>2021-07-23</t>
  </si>
  <si>
    <t>2021-06-09</t>
  </si>
  <si>
    <t>2021-08-02</t>
  </si>
  <si>
    <t>2021-08-27</t>
  </si>
  <si>
    <t>2021-10-14</t>
  </si>
  <si>
    <t>2021-08-30</t>
  </si>
  <si>
    <t>2021-09-15</t>
  </si>
  <si>
    <t>2021-06-30</t>
  </si>
  <si>
    <t>2021-06-15</t>
  </si>
  <si>
    <t>2021-06-16</t>
  </si>
  <si>
    <t>2021-06-22</t>
  </si>
  <si>
    <t>2021-06-23</t>
  </si>
  <si>
    <t>2021-10-03</t>
  </si>
  <si>
    <t>2021-06-24</t>
  </si>
  <si>
    <t>2021-07-20</t>
  </si>
  <si>
    <t>2021-07-07</t>
  </si>
  <si>
    <t>2021-07-22</t>
  </si>
  <si>
    <t>2021-06-29</t>
  </si>
  <si>
    <t>2021-07-03</t>
  </si>
  <si>
    <t>2021-09-03</t>
  </si>
  <si>
    <t>2021-07-21</t>
  </si>
  <si>
    <t>2021-07-01</t>
  </si>
  <si>
    <t>2021-07-09</t>
  </si>
  <si>
    <t>2021-11-27</t>
  </si>
  <si>
    <t>2021-08-10</t>
  </si>
  <si>
    <t>2021-08-21</t>
  </si>
  <si>
    <t>2021-08-14</t>
  </si>
  <si>
    <t>2021-07-27</t>
  </si>
  <si>
    <t>2021-09-12</t>
  </si>
  <si>
    <t>2021-07-06</t>
  </si>
  <si>
    <t>2021-07-12</t>
  </si>
  <si>
    <t>2021-07-14</t>
  </si>
  <si>
    <t>2021-07-08</t>
  </si>
  <si>
    <t>2021-07-15</t>
  </si>
  <si>
    <t>2021-08-05</t>
  </si>
  <si>
    <t>2021-09-20</t>
  </si>
  <si>
    <t>2021-08-22</t>
  </si>
  <si>
    <t>2021-08-24</t>
  </si>
  <si>
    <t>2021-10-04</t>
  </si>
  <si>
    <t>2021-09-06</t>
  </si>
  <si>
    <t>2021-09-18</t>
  </si>
  <si>
    <t>2021-10-05</t>
  </si>
  <si>
    <t>2021-07-31</t>
  </si>
  <si>
    <t>2021-08-16</t>
  </si>
  <si>
    <t>2021-07-28</t>
  </si>
  <si>
    <t>2021-11-14</t>
  </si>
  <si>
    <t>2022-04-30</t>
  </si>
  <si>
    <t>2021-12-05</t>
  </si>
  <si>
    <t>2021-09-27</t>
  </si>
  <si>
    <t>2021-08-17</t>
  </si>
  <si>
    <t>2021-09-17</t>
  </si>
  <si>
    <t>2021-10-07</t>
  </si>
  <si>
    <t>2021-07-30</t>
  </si>
  <si>
    <t>2021-08-11</t>
  </si>
  <si>
    <t>2021-09-11</t>
  </si>
  <si>
    <t>2021-07-29</t>
  </si>
  <si>
    <t>2021-09-21</t>
  </si>
  <si>
    <t>2021-08-07</t>
  </si>
  <si>
    <t>2021-08-04</t>
  </si>
  <si>
    <t>2021-08-18</t>
  </si>
  <si>
    <t>2021-08-03</t>
  </si>
  <si>
    <t>2021-10-10</t>
  </si>
  <si>
    <t>2021-08-25</t>
  </si>
  <si>
    <t>2021-08-19</t>
  </si>
  <si>
    <t>2021-08-13</t>
  </si>
  <si>
    <t>2021-08-12</t>
  </si>
  <si>
    <t>2021-11-07</t>
  </si>
  <si>
    <t>2022-07-15</t>
  </si>
  <si>
    <t>2022-01-02</t>
  </si>
  <si>
    <t>2021-10-29</t>
  </si>
  <si>
    <t>2021-11-02</t>
  </si>
  <si>
    <t>2021-11-26</t>
  </si>
  <si>
    <t>2021-08-23</t>
  </si>
  <si>
    <t>2021-10-06</t>
  </si>
  <si>
    <t>2021-09-25</t>
  </si>
  <si>
    <t>2021-08-20</t>
  </si>
  <si>
    <t>2021-08-26</t>
  </si>
  <si>
    <t>2021-09-02</t>
  </si>
  <si>
    <t>2022-05-22</t>
  </si>
  <si>
    <t>2021-09-13</t>
  </si>
  <si>
    <t>2021-10-09</t>
  </si>
  <si>
    <t>2021-11-28</t>
  </si>
  <si>
    <t>2021-08-31</t>
  </si>
  <si>
    <t>2021-11-06</t>
  </si>
  <si>
    <t>2021-10-27</t>
  </si>
  <si>
    <t>2021-10-16</t>
  </si>
  <si>
    <t>2021-09-08</t>
  </si>
  <si>
    <t>2021-09-14</t>
  </si>
  <si>
    <t>2021-11-01</t>
  </si>
  <si>
    <t>2021-10-18</t>
  </si>
  <si>
    <t>2021-12-18</t>
  </si>
  <si>
    <t>2021-12-19</t>
  </si>
  <si>
    <t>2021-09-09</t>
  </si>
  <si>
    <t>2021-12-12</t>
  </si>
  <si>
    <t>2021-09-10</t>
  </si>
  <si>
    <t>2022-09-11</t>
  </si>
  <si>
    <t>2021-09-23</t>
  </si>
  <si>
    <t>2021-09-30</t>
  </si>
  <si>
    <t>2021-09-16</t>
  </si>
  <si>
    <t>2021-10-25</t>
  </si>
  <si>
    <t>2021-11-11</t>
  </si>
  <si>
    <t>2021-09-24</t>
  </si>
  <si>
    <t>2022-02-13</t>
  </si>
  <si>
    <t>2022-03-27</t>
  </si>
  <si>
    <t>2021-09-28</t>
  </si>
  <si>
    <t>2021-09-29</t>
  </si>
  <si>
    <t>2021-09-22</t>
  </si>
  <si>
    <t>2021-11-04</t>
  </si>
  <si>
    <t>2021-11-21</t>
  </si>
  <si>
    <t>2021-10-08</t>
  </si>
  <si>
    <t>2021-10-02</t>
  </si>
  <si>
    <t>2021-10-01</t>
  </si>
  <si>
    <t>2021-11-13</t>
  </si>
  <si>
    <t>2021-10-19</t>
  </si>
  <si>
    <t>2021-10-15</t>
  </si>
  <si>
    <t>2021-10-26</t>
  </si>
  <si>
    <t>2021-10-30</t>
  </si>
  <si>
    <t>2021-10-23</t>
  </si>
  <si>
    <t>2021-10-12</t>
  </si>
  <si>
    <t>2021-12-04</t>
  </si>
  <si>
    <t>2021-10-11</t>
  </si>
  <si>
    <t>2021-10-22</t>
  </si>
  <si>
    <t>2021-10-13</t>
  </si>
  <si>
    <t>2021-10-21</t>
  </si>
  <si>
    <t>2021-10-20</t>
  </si>
  <si>
    <t>2021-12-26</t>
  </si>
  <si>
    <t>2021-10-28</t>
  </si>
  <si>
    <t>2022-04-03</t>
  </si>
  <si>
    <t>2021-11-19</t>
  </si>
  <si>
    <t>2022-01-03</t>
  </si>
  <si>
    <t>2022-06-05</t>
  </si>
  <si>
    <t>2021-11-03</t>
  </si>
  <si>
    <t>2021-11-08</t>
  </si>
  <si>
    <t>2021-11-05</t>
  </si>
  <si>
    <t>2022-11-06</t>
  </si>
  <si>
    <t>2021-11-12</t>
  </si>
  <si>
    <t>2021-12-28</t>
  </si>
  <si>
    <t>2021-11-24</t>
  </si>
  <si>
    <t>2021-11-17</t>
  </si>
  <si>
    <t>2021-11-25</t>
  </si>
  <si>
    <t>2021-11-09</t>
  </si>
  <si>
    <t>2021-11-16</t>
  </si>
  <si>
    <t>2021-11-18</t>
  </si>
  <si>
    <t>2021-11-10</t>
  </si>
  <si>
    <t>2021-12-03</t>
  </si>
  <si>
    <t>2021-11-15</t>
  </si>
  <si>
    <t>2021-11-29</t>
  </si>
  <si>
    <t>2021-11-20</t>
  </si>
  <si>
    <t>2022-09-02</t>
  </si>
  <si>
    <t>2022-01-30</t>
  </si>
  <si>
    <t>2022-03-11</t>
  </si>
  <si>
    <t>2021-12-27</t>
  </si>
  <si>
    <t>2021-12-30</t>
  </si>
  <si>
    <t>2022-01-09</t>
  </si>
  <si>
    <t>2021-11-22</t>
  </si>
  <si>
    <t>2022-05-15</t>
  </si>
  <si>
    <t>2022-05-14</t>
  </si>
  <si>
    <t>2021-11-23</t>
  </si>
  <si>
    <t>2022-05-16</t>
  </si>
  <si>
    <t>2021-12-23</t>
  </si>
  <si>
    <t>2021-12-02</t>
  </si>
  <si>
    <t>2022-01-01</t>
  </si>
  <si>
    <t>2021-12-07</t>
  </si>
  <si>
    <t>2021-11-30</t>
  </si>
  <si>
    <t>2021-12-01</t>
  </si>
  <si>
    <t>2021-12-06</t>
  </si>
  <si>
    <t>2021-12-08</t>
  </si>
  <si>
    <t>2021-12-21</t>
  </si>
  <si>
    <t>2021-12-13</t>
  </si>
  <si>
    <t>2021-12-09</t>
  </si>
  <si>
    <t>2021-12-11</t>
  </si>
  <si>
    <t>2022-04-25</t>
  </si>
  <si>
    <t>2021-12-16</t>
  </si>
  <si>
    <t>2021-12-20</t>
  </si>
  <si>
    <t>2022-01-16</t>
  </si>
  <si>
    <t>2022-01-08</t>
  </si>
  <si>
    <t>2021-12-10</t>
  </si>
  <si>
    <t>2021-12-17</t>
  </si>
  <si>
    <t>2021-12-14</t>
  </si>
  <si>
    <t>2021-12-15</t>
  </si>
  <si>
    <t>2021-12-31</t>
  </si>
  <si>
    <t>2022-02-14</t>
  </si>
  <si>
    <t>2022-01-14</t>
  </si>
  <si>
    <t>2021-12-29</t>
  </si>
  <si>
    <t>2021-12-22</t>
  </si>
  <si>
    <t>2022-01-22</t>
  </si>
  <si>
    <t>2022-06-12</t>
  </si>
  <si>
    <t>2021-12-24</t>
  </si>
  <si>
    <t>2022-01-15</t>
  </si>
  <si>
    <t>2022-01-20</t>
  </si>
  <si>
    <t>2022-01-29</t>
  </si>
  <si>
    <t>2022-04-24</t>
  </si>
  <si>
    <t>2022-01-31</t>
  </si>
  <si>
    <t>2022-07-10</t>
  </si>
  <si>
    <t>2022-03-20</t>
  </si>
  <si>
    <t>2022-02-06</t>
  </si>
  <si>
    <t>2022-01-04</t>
  </si>
  <si>
    <t>2022-07-16</t>
  </si>
  <si>
    <t>2022-01-23</t>
  </si>
  <si>
    <t>2022-01-10</t>
  </si>
  <si>
    <t>2022-07-17</t>
  </si>
  <si>
    <t>2022-01-11</t>
  </si>
  <si>
    <t>2022-01-06</t>
  </si>
  <si>
    <t>2022-01-05</t>
  </si>
  <si>
    <t>2022-01-19</t>
  </si>
  <si>
    <t>2022-01-07</t>
  </si>
  <si>
    <t>2022-04-09</t>
  </si>
  <si>
    <t>2022-06-13</t>
  </si>
  <si>
    <t>2022-06-20</t>
  </si>
  <si>
    <t>2022-01-28</t>
  </si>
  <si>
    <t>2022-01-24</t>
  </si>
  <si>
    <t>2022-04-16</t>
  </si>
  <si>
    <t>2022-01-13</t>
  </si>
  <si>
    <t>2022-01-12</t>
  </si>
  <si>
    <t>2022-02-21</t>
  </si>
  <si>
    <t>2022-02-27</t>
  </si>
  <si>
    <t>2022-01-17</t>
  </si>
  <si>
    <t>2022-01-18</t>
  </si>
  <si>
    <t>2022-01-21</t>
  </si>
  <si>
    <t>2022-01-26</t>
  </si>
  <si>
    <t>2022-02-23</t>
  </si>
  <si>
    <t>2022-09-18</t>
  </si>
  <si>
    <t>2022-03-13</t>
  </si>
  <si>
    <t>2022-02-05</t>
  </si>
  <si>
    <t>2022-01-27</t>
  </si>
  <si>
    <t>2022-06-02</t>
  </si>
  <si>
    <t>2022-01-25</t>
  </si>
  <si>
    <t>2022-02-20</t>
  </si>
  <si>
    <t>2022-02-11</t>
  </si>
  <si>
    <t>2022-04-10</t>
  </si>
  <si>
    <t>2022-03-17</t>
  </si>
  <si>
    <t>2022-03-25</t>
  </si>
  <si>
    <t>2022-02-15</t>
  </si>
  <si>
    <t>2022-02-16</t>
  </si>
  <si>
    <t>2022-05-23</t>
  </si>
  <si>
    <t>2022-02-19</t>
  </si>
  <si>
    <t>2022-10-03</t>
  </si>
  <si>
    <t>2022-02-26</t>
  </si>
  <si>
    <t>2022-02-01</t>
  </si>
  <si>
    <t>2022-10-02</t>
  </si>
  <si>
    <t>2022-02-02</t>
  </si>
  <si>
    <t>2022-02-09</t>
  </si>
  <si>
    <t>2022-03-01</t>
  </si>
  <si>
    <t>2022-02-18</t>
  </si>
  <si>
    <t>2022-02-03</t>
  </si>
  <si>
    <t>2022-03-28</t>
  </si>
  <si>
    <t>2022-02-04</t>
  </si>
  <si>
    <t>2022-02-08</t>
  </si>
  <si>
    <t>2022-07-03</t>
  </si>
  <si>
    <t>2022-03-06</t>
  </si>
  <si>
    <t>2022-03-07</t>
  </si>
  <si>
    <t>2022-02-07</t>
  </si>
  <si>
    <t>2022-02-12</t>
  </si>
  <si>
    <t>2022-02-10</t>
  </si>
  <si>
    <t>2022-02-25</t>
  </si>
  <si>
    <t>2022-02-22</t>
  </si>
  <si>
    <t>2022-08-21</t>
  </si>
  <si>
    <t>2022-08-20</t>
  </si>
  <si>
    <t>2022-06-18</t>
  </si>
  <si>
    <t>2022-02-17</t>
  </si>
  <si>
    <t>2022-09-17</t>
  </si>
  <si>
    <t>2022-02-28</t>
  </si>
  <si>
    <t>2022-05-21</t>
  </si>
  <si>
    <t>2022-03-14</t>
  </si>
  <si>
    <t>2022-03-04</t>
  </si>
  <si>
    <t>2022-06-11</t>
  </si>
  <si>
    <t>2022-03-03</t>
  </si>
  <si>
    <t>2022-03-19</t>
  </si>
  <si>
    <t>2022-03-26</t>
  </si>
  <si>
    <t>2022-02-24</t>
  </si>
  <si>
    <t>2022-03-02</t>
  </si>
  <si>
    <t>2022-03-05</t>
  </si>
  <si>
    <t>2022-03-12</t>
  </si>
  <si>
    <t>2022-04-11</t>
  </si>
  <si>
    <t>2022-03-10</t>
  </si>
  <si>
    <t>2022-07-23</t>
  </si>
  <si>
    <t>2022-04-22</t>
  </si>
  <si>
    <t>2022-04-12</t>
  </si>
  <si>
    <t>2022-03-29</t>
  </si>
  <si>
    <t>2022-04-02</t>
  </si>
  <si>
    <t>2022-03-31</t>
  </si>
  <si>
    <t>2022-03-09</t>
  </si>
  <si>
    <t>2022-03-08</t>
  </si>
  <si>
    <t>2022-05-28</t>
  </si>
  <si>
    <t>2022-03-18</t>
  </si>
  <si>
    <t>2022-03-16</t>
  </si>
  <si>
    <t>2022-03-15</t>
  </si>
  <si>
    <t>2022-05-01</t>
  </si>
  <si>
    <t>2022-04-01</t>
  </si>
  <si>
    <t>2022-10-22</t>
  </si>
  <si>
    <t>2022-04-20</t>
  </si>
  <si>
    <t>2022-07-02</t>
  </si>
  <si>
    <t>2022-04-23</t>
  </si>
  <si>
    <t>2022-05-08</t>
  </si>
  <si>
    <t>2022-07-04</t>
  </si>
  <si>
    <t>2022-08-14</t>
  </si>
  <si>
    <t>2022-05-29</t>
  </si>
  <si>
    <t>2022-03-21</t>
  </si>
  <si>
    <t>2022-05-20</t>
  </si>
  <si>
    <t>2022-03-23</t>
  </si>
  <si>
    <t>2022-06-10</t>
  </si>
  <si>
    <t>2022-05-07</t>
  </si>
  <si>
    <t>2022-04-06</t>
  </si>
  <si>
    <t>2022-03-22</t>
  </si>
  <si>
    <t>2022-04-08</t>
  </si>
  <si>
    <t>2022-04-29</t>
  </si>
  <si>
    <t>2022-03-24</t>
  </si>
  <si>
    <t>2022-04-17</t>
  </si>
  <si>
    <t>2022-07-31</t>
  </si>
  <si>
    <t>2022-05-17</t>
  </si>
  <si>
    <t>2022-04-13</t>
  </si>
  <si>
    <t>2022-03-30</t>
  </si>
  <si>
    <t>2022-04-26</t>
  </si>
  <si>
    <t>2022-04-07</t>
  </si>
  <si>
    <t>2022-04-28</t>
  </si>
  <si>
    <t>2022-04-04</t>
  </si>
  <si>
    <t>2022-06-04</t>
  </si>
  <si>
    <t>2022-04-05</t>
  </si>
  <si>
    <t>2022-04-18</t>
  </si>
  <si>
    <t>2022-04-14</t>
  </si>
  <si>
    <t>2022-05-30</t>
  </si>
  <si>
    <t>2022-04-15</t>
  </si>
  <si>
    <t>2022-09-04</t>
  </si>
  <si>
    <t>2022-08-04</t>
  </si>
  <si>
    <t>2022-07-21</t>
  </si>
  <si>
    <t>2022-09-01</t>
  </si>
  <si>
    <t>2022-05-19</t>
  </si>
  <si>
    <t>2022-07-07</t>
  </si>
  <si>
    <t>2022-04-21</t>
  </si>
  <si>
    <t>2022-11-10</t>
  </si>
  <si>
    <t>2022-12-29</t>
  </si>
  <si>
    <t>2022-10-06</t>
  </si>
  <si>
    <t>2022-07-28</t>
  </si>
  <si>
    <t>2022-12-08</t>
  </si>
  <si>
    <t>2022-12-01</t>
  </si>
  <si>
    <t>2022-09-22</t>
  </si>
  <si>
    <t>2022-08-11</t>
  </si>
  <si>
    <t>2022-11-24</t>
  </si>
  <si>
    <t>2022-06-30</t>
  </si>
  <si>
    <t>2022-10-13</t>
  </si>
  <si>
    <t>2022-05-26</t>
  </si>
  <si>
    <t>2022-09-29</t>
  </si>
  <si>
    <t>2022-08-18</t>
  </si>
  <si>
    <t>2022-06-16</t>
  </si>
  <si>
    <t>2022-05-18</t>
  </si>
  <si>
    <t>2022-11-03</t>
  </si>
  <si>
    <t>2022-10-20</t>
  </si>
  <si>
    <t>2022-05-12</t>
  </si>
  <si>
    <t>2022-09-08</t>
  </si>
  <si>
    <t>2022-09-15</t>
  </si>
  <si>
    <t>2022-04-19</t>
  </si>
  <si>
    <t>2022-12-22</t>
  </si>
  <si>
    <t>2022-06-09</t>
  </si>
  <si>
    <t>2022-08-25</t>
  </si>
  <si>
    <t>2022-10-27</t>
  </si>
  <si>
    <t>2022-07-14</t>
  </si>
  <si>
    <t>2022-06-27</t>
  </si>
  <si>
    <t>2022-05-02</t>
  </si>
  <si>
    <t>2022-10-28</t>
  </si>
  <si>
    <t>2022-05-05</t>
  </si>
  <si>
    <t>2022-07-05</t>
  </si>
  <si>
    <t>2022-05-06</t>
  </si>
  <si>
    <t>2022-04-27</t>
  </si>
  <si>
    <t>2022-10-09</t>
  </si>
  <si>
    <t>2022-05-27</t>
  </si>
  <si>
    <t>2022-07-24</t>
  </si>
  <si>
    <t>2022-05-03</t>
  </si>
  <si>
    <t>2022-10-10</t>
  </si>
  <si>
    <t>2022-05-04</t>
  </si>
  <si>
    <t>2022-05-09</t>
  </si>
  <si>
    <t>2022-09-24</t>
  </si>
  <si>
    <t>2022-09-25</t>
  </si>
  <si>
    <t>2022-06-28</t>
  </si>
  <si>
    <t>2022-05-10</t>
  </si>
  <si>
    <t>2022-05-13</t>
  </si>
  <si>
    <t>2022-08-07</t>
  </si>
  <si>
    <t>2022-06-22</t>
  </si>
  <si>
    <t>2022-08-06</t>
  </si>
  <si>
    <t>2022-06-01</t>
  </si>
  <si>
    <t>2022-05-11</t>
  </si>
  <si>
    <t>2022-10-30</t>
  </si>
  <si>
    <t>2022-06-06</t>
  </si>
  <si>
    <t>2022-07-08</t>
  </si>
  <si>
    <t>2022-09-13</t>
  </si>
  <si>
    <t>2022-06-25</t>
  </si>
  <si>
    <t>2022-07-01</t>
  </si>
  <si>
    <t>2022-08-28</t>
  </si>
  <si>
    <t>2022-06-03</t>
  </si>
  <si>
    <t>2022-06-07</t>
  </si>
  <si>
    <t>2022-07-06</t>
  </si>
  <si>
    <t>2022-05-24</t>
  </si>
  <si>
    <t>2022-10-08</t>
  </si>
  <si>
    <t>2022-06-24</t>
  </si>
  <si>
    <t>2022-05-25</t>
  </si>
  <si>
    <t>2022-06-29</t>
  </si>
  <si>
    <t>2022-06-23</t>
  </si>
  <si>
    <t>2022-05-31</t>
  </si>
  <si>
    <t>2022-06-17</t>
  </si>
  <si>
    <t>2022-07-11</t>
  </si>
  <si>
    <t>2022-06-08</t>
  </si>
  <si>
    <t>2022-07-09</t>
  </si>
  <si>
    <t>2022-11-20</t>
  </si>
  <si>
    <t>2022-06-14</t>
  </si>
  <si>
    <t>2022-06-15</t>
  </si>
  <si>
    <t>2022-06-21</t>
  </si>
  <si>
    <t>2022-10-23</t>
  </si>
  <si>
    <t>2022-07-30</t>
  </si>
  <si>
    <t>2022-07-12</t>
  </si>
  <si>
    <t>2022-07-22</t>
  </si>
  <si>
    <t>2022-09-12</t>
  </si>
  <si>
    <t>2022-08-01</t>
  </si>
  <si>
    <t>2022-08-12</t>
  </si>
  <si>
    <t>2022-07-26</t>
  </si>
  <si>
    <t>2022-07-27</t>
  </si>
  <si>
    <t>2022-09-05</t>
  </si>
  <si>
    <t>2022-07-18</t>
  </si>
  <si>
    <t>2022-08-17</t>
  </si>
  <si>
    <t>2022-08-08</t>
  </si>
  <si>
    <t>2022-10-16</t>
  </si>
  <si>
    <t>2022-08-31</t>
  </si>
  <si>
    <t>2022-07-19</t>
  </si>
  <si>
    <t>2022-08-03</t>
  </si>
  <si>
    <t>2022-07-13</t>
  </si>
  <si>
    <t>2022-08-10</t>
  </si>
  <si>
    <t>2022-12-31</t>
  </si>
  <si>
    <t>2022-07-20</t>
  </si>
  <si>
    <t>2023-05-14</t>
  </si>
  <si>
    <t>2022-08-02</t>
  </si>
  <si>
    <t>2022-09-20</t>
  </si>
  <si>
    <t>2022-08-05</t>
  </si>
  <si>
    <t>2022-09-03</t>
  </si>
  <si>
    <t>2022-07-29</t>
  </si>
  <si>
    <t>2022-08-15</t>
  </si>
  <si>
    <t>2022-07-25</t>
  </si>
  <si>
    <t>2022-08-24</t>
  </si>
  <si>
    <t>2023-05-20</t>
  </si>
  <si>
    <t>2023-05-21</t>
  </si>
  <si>
    <t>2022-08-09</t>
  </si>
  <si>
    <t>2022-09-19</t>
  </si>
  <si>
    <t>2022-09-21</t>
  </si>
  <si>
    <t>2022-08-16</t>
  </si>
  <si>
    <t>2022-11-27</t>
  </si>
  <si>
    <t>2022-09-10</t>
  </si>
  <si>
    <t>2023-06-04</t>
  </si>
  <si>
    <t>2022-08-13</t>
  </si>
  <si>
    <t>2023-08-05</t>
  </si>
  <si>
    <t>2022-08-19</t>
  </si>
  <si>
    <t>2022-08-22</t>
  </si>
  <si>
    <t>2023-02-26</t>
  </si>
  <si>
    <t>2022-09-23</t>
  </si>
  <si>
    <t>2022-08-26</t>
  </si>
  <si>
    <t>2022-08-23</t>
  </si>
  <si>
    <t>2022-11-05</t>
  </si>
  <si>
    <t>2022-08-27</t>
  </si>
  <si>
    <t>2022-08-29</t>
  </si>
  <si>
    <t>2022-09-09</t>
  </si>
  <si>
    <t>2022-09-14</t>
  </si>
  <si>
    <t>2022-09-06</t>
  </si>
  <si>
    <t>2022-09-16</t>
  </si>
  <si>
    <t>2022-08-30</t>
  </si>
  <si>
    <t>2022-09-07</t>
  </si>
  <si>
    <t>2022-09-30</t>
  </si>
  <si>
    <t>2022-10-04</t>
  </si>
  <si>
    <t>2022-10-26</t>
  </si>
  <si>
    <t>2022-10-11</t>
  </si>
  <si>
    <t>2023-06-11</t>
  </si>
  <si>
    <t>2022-10-15</t>
  </si>
  <si>
    <t>2022-11-25</t>
  </si>
  <si>
    <t>2022-10-17</t>
  </si>
  <si>
    <t>2022-12-04</t>
  </si>
  <si>
    <t>2022-11-13</t>
  </si>
  <si>
    <t>2022-12-18</t>
  </si>
  <si>
    <t>2022-11-26</t>
  </si>
  <si>
    <t>2022-09-27</t>
  </si>
  <si>
    <t>2022-11-08</t>
  </si>
  <si>
    <t>2022-11-23</t>
  </si>
  <si>
    <t>2022-11-09</t>
  </si>
  <si>
    <t>2022-10-19</t>
  </si>
  <si>
    <t>2022-10-29</t>
  </si>
  <si>
    <t>2022-09-28</t>
  </si>
  <si>
    <t>2022-10-01</t>
  </si>
  <si>
    <t>2022-11-19</t>
  </si>
  <si>
    <t>2022-12-11</t>
  </si>
  <si>
    <t>2022-10-07</t>
  </si>
  <si>
    <t>2022-10-05</t>
  </si>
  <si>
    <t>2022-10-14</t>
  </si>
  <si>
    <t>2022-10-25</t>
  </si>
  <si>
    <t>2022-10-18</t>
  </si>
  <si>
    <t>2022-10-31</t>
  </si>
  <si>
    <t>2022-11-12</t>
  </si>
  <si>
    <t>2022-10-12</t>
  </si>
  <si>
    <t>2022-10-24</t>
  </si>
  <si>
    <t>2023-07-30</t>
  </si>
  <si>
    <t>2022-11-21</t>
  </si>
  <si>
    <t>2022-10-21</t>
  </si>
  <si>
    <t>2022-12-12</t>
  </si>
  <si>
    <t>2023-02-19</t>
  </si>
  <si>
    <t>2022-11-02</t>
  </si>
  <si>
    <t>2023-04-02</t>
  </si>
  <si>
    <t>2022-11-04</t>
  </si>
  <si>
    <t>2022-11-18</t>
  </si>
  <si>
    <t>2022-11-07</t>
  </si>
  <si>
    <t>2022-11-11</t>
  </si>
  <si>
    <t>2022-11-17</t>
  </si>
  <si>
    <t>2022-12-24</t>
  </si>
  <si>
    <t>2022-11-16</t>
  </si>
  <si>
    <t>2023-10-29</t>
  </si>
  <si>
    <t>2022-12-19</t>
  </si>
  <si>
    <t>2022-11-14</t>
  </si>
  <si>
    <t>2022-11-15</t>
  </si>
  <si>
    <t>2022-12-05</t>
  </si>
  <si>
    <t>2022-12-06</t>
  </si>
  <si>
    <t>2022-11-22</t>
  </si>
  <si>
    <t>2022-11-30</t>
  </si>
  <si>
    <t>2023-01-01</t>
  </si>
  <si>
    <t>2022-12-02</t>
  </si>
  <si>
    <t>2022-12-26</t>
  </si>
  <si>
    <t>2022-11-28</t>
  </si>
  <si>
    <t>2022-12-30</t>
  </si>
  <si>
    <t>2022-11-29</t>
  </si>
  <si>
    <t>2022-12-10</t>
  </si>
  <si>
    <t>2023-01-08</t>
  </si>
  <si>
    <t>2023-06-25</t>
  </si>
  <si>
    <t>2023-01-09</t>
  </si>
  <si>
    <t>2022-12-03</t>
  </si>
  <si>
    <t>2023-02-12</t>
  </si>
  <si>
    <t>2022-12-09</t>
  </si>
  <si>
    <t>2022-12-07</t>
  </si>
  <si>
    <t>2023-01-29</t>
  </si>
  <si>
    <t>2023-01-15</t>
  </si>
  <si>
    <t>2023-01-22</t>
  </si>
  <si>
    <t>2023-03-08</t>
  </si>
  <si>
    <t>2022-12-13</t>
  </si>
  <si>
    <t>2023-07-31</t>
  </si>
  <si>
    <t>2022-12-15</t>
  </si>
  <si>
    <t>2022-12-27</t>
  </si>
  <si>
    <t>2022-12-14</t>
  </si>
  <si>
    <t>2022-12-21</t>
  </si>
  <si>
    <t>2022-12-25</t>
  </si>
  <si>
    <t>2023-01-16</t>
  </si>
  <si>
    <t>2022-12-16</t>
  </si>
  <si>
    <t>2023-01-06</t>
  </si>
  <si>
    <t>2022-12-17</t>
  </si>
  <si>
    <t>2022-12-20</t>
  </si>
  <si>
    <t>2023-03-31</t>
  </si>
  <si>
    <t>2022-12-23</t>
  </si>
  <si>
    <t>2023-01-14</t>
  </si>
  <si>
    <t>2022-12-28</t>
  </si>
  <si>
    <t>2023-12-24</t>
  </si>
  <si>
    <t>2023-01-02</t>
  </si>
  <si>
    <t>2023-03-05</t>
  </si>
  <si>
    <t>2023-01-07</t>
  </si>
  <si>
    <t>2023-01-05</t>
  </si>
  <si>
    <t>2023-01-03</t>
  </si>
  <si>
    <t>2023-01-04</t>
  </si>
  <si>
    <t>2023-02-04</t>
  </si>
  <si>
    <t>2023-01-11</t>
  </si>
  <si>
    <t>2023-01-10</t>
  </si>
  <si>
    <t>2023-01-28</t>
  </si>
  <si>
    <t>2023-01-12</t>
  </si>
  <si>
    <t>2023-01-13</t>
  </si>
  <si>
    <t>2023-01-30</t>
  </si>
  <si>
    <t>2023-05-12</t>
  </si>
  <si>
    <t>2023-03-26</t>
  </si>
  <si>
    <t>2023-01-20</t>
  </si>
  <si>
    <t>2023-08-27</t>
  </si>
  <si>
    <t>2023-01-18</t>
  </si>
  <si>
    <t>2023-01-23</t>
  </si>
  <si>
    <t>2023-01-19</t>
  </si>
  <si>
    <t>2023-04-17</t>
  </si>
  <si>
    <t>2023-06-08</t>
  </si>
  <si>
    <t>2023-02-18</t>
  </si>
  <si>
    <t>2023-01-17</t>
  </si>
  <si>
    <t>2023-01-21</t>
  </si>
  <si>
    <t>2023-04-16</t>
  </si>
  <si>
    <t>2023-01-26</t>
  </si>
  <si>
    <t>2023-02-05</t>
  </si>
  <si>
    <t>2023-01-31</t>
  </si>
  <si>
    <t>2023-04-23</t>
  </si>
  <si>
    <t>2023-01-27</t>
  </si>
  <si>
    <t>2023-01-24</t>
  </si>
  <si>
    <t>2023-01-25</t>
  </si>
  <si>
    <t>2023-02-01</t>
  </si>
  <si>
    <t>2023-07-03</t>
  </si>
  <si>
    <t>2023-02-15</t>
  </si>
  <si>
    <t>2023-02-08</t>
  </si>
  <si>
    <t>2023-02-14</t>
  </si>
  <si>
    <t>2023-02-03</t>
  </si>
  <si>
    <t>2023-05-30</t>
  </si>
  <si>
    <t>2023-02-02</t>
  </si>
  <si>
    <t>2023-04-30</t>
  </si>
  <si>
    <t>2023-03-04</t>
  </si>
  <si>
    <t>2023-02-20</t>
  </si>
  <si>
    <t>2023-02-11</t>
  </si>
  <si>
    <t>2023-02-06</t>
  </si>
  <si>
    <t>2023-02-16</t>
  </si>
  <si>
    <t>2023-02-09</t>
  </si>
  <si>
    <t>2023-03-02</t>
  </si>
  <si>
    <t>2023-02-23</t>
  </si>
  <si>
    <t>2023-06-09</t>
  </si>
  <si>
    <t>2023-02-07</t>
  </si>
  <si>
    <t>2023-04-21</t>
  </si>
  <si>
    <t>2023-03-24</t>
  </si>
  <si>
    <t>2023-03-17</t>
  </si>
  <si>
    <t>2023-03-10</t>
  </si>
  <si>
    <t>2023-05-05</t>
  </si>
  <si>
    <t>2023-04-28</t>
  </si>
  <si>
    <t>2023-03-03</t>
  </si>
  <si>
    <t>2023-02-10</t>
  </si>
  <si>
    <t>2023-02-21</t>
  </si>
  <si>
    <t>2023-02-17</t>
  </si>
  <si>
    <t>2023-04-14</t>
  </si>
  <si>
    <t>2023-04-07</t>
  </si>
  <si>
    <t>2023-05-22</t>
  </si>
  <si>
    <t>2023-03-25</t>
  </si>
  <si>
    <t>2023-02-13</t>
  </si>
  <si>
    <t>2023-02-27</t>
  </si>
  <si>
    <t>2023-03-20</t>
  </si>
  <si>
    <t>2023-03-12</t>
  </si>
  <si>
    <t>2023-07-04</t>
  </si>
  <si>
    <t>2023-03-11</t>
  </si>
  <si>
    <t>2023-02-24</t>
  </si>
  <si>
    <t>2023-08-15</t>
  </si>
  <si>
    <t>2023-02-25</t>
  </si>
  <si>
    <t>2023-03-23</t>
  </si>
  <si>
    <t>2023-02-22</t>
  </si>
  <si>
    <t>2023-04-09</t>
  </si>
  <si>
    <t>2023-04-13</t>
  </si>
  <si>
    <t>2023-04-29</t>
  </si>
  <si>
    <t>2023-05-27</t>
  </si>
  <si>
    <t>2023-03-01</t>
  </si>
  <si>
    <t>2023-06-03</t>
  </si>
  <si>
    <t>2023-11-01</t>
  </si>
  <si>
    <t>2023-03-06</t>
  </si>
  <si>
    <t>2023-03-09</t>
  </si>
  <si>
    <t>2023-03-07</t>
  </si>
  <si>
    <t>2023-03-19</t>
  </si>
  <si>
    <t>2023-03-16</t>
  </si>
  <si>
    <t>2023-12-04</t>
  </si>
  <si>
    <t>2023-03-30</t>
  </si>
  <si>
    <t>2023-09-03</t>
  </si>
  <si>
    <t>2023-05-07</t>
  </si>
  <si>
    <t>2023-04-15</t>
  </si>
  <si>
    <t>2023-05-02</t>
  </si>
  <si>
    <t>2023-03-13</t>
  </si>
  <si>
    <t>2023-03-15</t>
  </si>
  <si>
    <t>2023-04-24</t>
  </si>
  <si>
    <t>2023-03-14</t>
  </si>
  <si>
    <t>2023-04-01</t>
  </si>
  <si>
    <t>2023-08-31</t>
  </si>
  <si>
    <t>2023-05-28</t>
  </si>
  <si>
    <t>2023-04-03</t>
  </si>
  <si>
    <t>2023-09-30</t>
  </si>
  <si>
    <t>2023-04-22</t>
  </si>
  <si>
    <t>2023-03-18</t>
  </si>
  <si>
    <t>2023-03-21</t>
  </si>
  <si>
    <t>2023-03-28</t>
  </si>
  <si>
    <t>2023-03-22</t>
  </si>
  <si>
    <t>2023-07-16</t>
  </si>
  <si>
    <t>2023-04-08</t>
  </si>
  <si>
    <t>2024-07-14</t>
  </si>
  <si>
    <t>2023-05-13</t>
  </si>
  <si>
    <t>2023-03-27</t>
  </si>
  <si>
    <t>2023-05-06</t>
  </si>
  <si>
    <t>2023-03-29</t>
  </si>
  <si>
    <t>2023-05-31</t>
  </si>
  <si>
    <t>2023-04-06</t>
  </si>
  <si>
    <t>2023-04-04</t>
  </si>
  <si>
    <t>2023-09-04</t>
  </si>
  <si>
    <t>2023-04-20</t>
  </si>
  <si>
    <t>2023-04-05</t>
  </si>
  <si>
    <t>2023-05-01</t>
  </si>
  <si>
    <t>2023-06-19</t>
  </si>
  <si>
    <t>2023-04-10</t>
  </si>
  <si>
    <t>2023-06-12</t>
  </si>
  <si>
    <t>2023-04-11</t>
  </si>
  <si>
    <t>2023-04-12</t>
  </si>
  <si>
    <t>2023-05-11</t>
  </si>
  <si>
    <t>2023-05-25</t>
  </si>
  <si>
    <t>2023-05-18</t>
  </si>
  <si>
    <t>2023-04-27</t>
  </si>
  <si>
    <t>2023-10-01</t>
  </si>
  <si>
    <t>2023-04-19</t>
  </si>
  <si>
    <t>2023-04-18</t>
  </si>
  <si>
    <t>2023-05-24</t>
  </si>
  <si>
    <t>2023-06-05</t>
  </si>
  <si>
    <t>2023-06-10</t>
  </si>
  <si>
    <t>2023-10-22</t>
  </si>
  <si>
    <t>2023-04-26</t>
  </si>
  <si>
    <t>2023-05-04</t>
  </si>
  <si>
    <t>2023-06-16</t>
  </si>
  <si>
    <t>2023-05-03</t>
  </si>
  <si>
    <t>2023-04-25</t>
  </si>
  <si>
    <t>2023-09-10</t>
  </si>
  <si>
    <t>2023-08-13</t>
  </si>
  <si>
    <t>2023-08-22</t>
  </si>
  <si>
    <t>2023-05-23</t>
  </si>
  <si>
    <t>2023-05-29</t>
  </si>
  <si>
    <t>2023-07-21</t>
  </si>
  <si>
    <t>2023-05-10</t>
  </si>
  <si>
    <t>2023-06-18</t>
  </si>
  <si>
    <t>2023-07-02</t>
  </si>
  <si>
    <t>2023-06-24</t>
  </si>
  <si>
    <t>2023-05-15</t>
  </si>
  <si>
    <t>2023-05-19</t>
  </si>
  <si>
    <t>2023-09-05</t>
  </si>
  <si>
    <t>2023-05-08</t>
  </si>
  <si>
    <t>2023-07-05</t>
  </si>
  <si>
    <t>2023-05-09</t>
  </si>
  <si>
    <t>2023-09-25</t>
  </si>
  <si>
    <t>2023-06-23</t>
  </si>
  <si>
    <t>2023-06-15</t>
  </si>
  <si>
    <t>2023-07-25</t>
  </si>
  <si>
    <t>2023-05-16</t>
  </si>
  <si>
    <t>2023-09-17</t>
  </si>
  <si>
    <t>2023-05-17</t>
  </si>
  <si>
    <t>2023-07-01</t>
  </si>
  <si>
    <t>2023-06-26</t>
  </si>
  <si>
    <t>2023-07-23</t>
  </si>
  <si>
    <t>2023-05-26</t>
  </si>
  <si>
    <t>2023-06-22</t>
  </si>
  <si>
    <t>2023-07-08</t>
  </si>
  <si>
    <t>2023-06-01</t>
  </si>
  <si>
    <t>2023-06-17</t>
  </si>
  <si>
    <t>2023-06-02</t>
  </si>
  <si>
    <t>2023-08-06</t>
  </si>
  <si>
    <t>2023-07-13</t>
  </si>
  <si>
    <t>2023-06-06</t>
  </si>
  <si>
    <t>2023-08-04</t>
  </si>
  <si>
    <t>2023-07-09</t>
  </si>
  <si>
    <t>2023-11-24</t>
  </si>
  <si>
    <t>2023-07-06</t>
  </si>
  <si>
    <t>2023-07-24</t>
  </si>
  <si>
    <t>2023-06-07</t>
  </si>
  <si>
    <t>2023-07-14</t>
  </si>
  <si>
    <t>2023-07-12</t>
  </si>
  <si>
    <t>2023-06-21</t>
  </si>
  <si>
    <t>2023-07-15</t>
  </si>
  <si>
    <t>2023-06-13</t>
  </si>
  <si>
    <t>2023-07-26</t>
  </si>
  <si>
    <t>2023-06-28</t>
  </si>
  <si>
    <t>2023-06-14</t>
  </si>
  <si>
    <t>2023-07-19</t>
  </si>
  <si>
    <t>2023-08-28</t>
  </si>
  <si>
    <t>2023-08-16</t>
  </si>
  <si>
    <t>2023-09-24</t>
  </si>
  <si>
    <t>2023-08-12</t>
  </si>
  <si>
    <t>2023-11-12</t>
  </si>
  <si>
    <t>2023-11-26</t>
  </si>
  <si>
    <t>2023-08-14</t>
  </si>
  <si>
    <t>2023-08-18</t>
  </si>
  <si>
    <t>2023-06-20</t>
  </si>
  <si>
    <t>2023-06-30</t>
  </si>
  <si>
    <t>2023-07-22</t>
  </si>
  <si>
    <t>2023-07-17</t>
  </si>
  <si>
    <t>2023-06-29</t>
  </si>
  <si>
    <t>2023-09-09</t>
  </si>
  <si>
    <t>2023-06-27</t>
  </si>
  <si>
    <t>2023-09-18</t>
  </si>
  <si>
    <t>2023-07-07</t>
  </si>
  <si>
    <t>2023-07-20</t>
  </si>
  <si>
    <t>2023-10-02</t>
  </si>
  <si>
    <t>2023-09-12</t>
  </si>
  <si>
    <t>2023-10-03</t>
  </si>
  <si>
    <t>2023-07-18</t>
  </si>
  <si>
    <t>2023-08-02</t>
  </si>
  <si>
    <t>2023-10-10</t>
  </si>
  <si>
    <t>2023-08-03</t>
  </si>
  <si>
    <t>2023-07-11</t>
  </si>
  <si>
    <t>2023-12-25</t>
  </si>
  <si>
    <t>2024-07-22</t>
  </si>
  <si>
    <t>2023-07-10</t>
  </si>
  <si>
    <t>2023-07-29</t>
  </si>
  <si>
    <t>2023-10-08</t>
  </si>
  <si>
    <t>2023-10-21</t>
  </si>
  <si>
    <t>2023-10-15</t>
  </si>
  <si>
    <t>2023-09-14</t>
  </si>
  <si>
    <t>2024-06-04</t>
  </si>
  <si>
    <t>2023-09-07</t>
  </si>
  <si>
    <t>2023-08-19</t>
  </si>
  <si>
    <t>2023-08-20</t>
  </si>
  <si>
    <t>2023-07-28</t>
  </si>
  <si>
    <t>2024-07-21</t>
  </si>
  <si>
    <t>2023-08-09</t>
  </si>
  <si>
    <t>2023-07-27</t>
  </si>
  <si>
    <t>2023-08-07</t>
  </si>
  <si>
    <t>2023-08-11</t>
  </si>
  <si>
    <t>2024-04-21</t>
  </si>
  <si>
    <t>2023-09-23</t>
  </si>
  <si>
    <t>2023-11-13</t>
  </si>
  <si>
    <t>2023-08-01</t>
  </si>
  <si>
    <t>2023-09-02</t>
  </si>
  <si>
    <t>2023-08-21</t>
  </si>
  <si>
    <t>2023-09-15</t>
  </si>
  <si>
    <t>2023-08-08</t>
  </si>
  <si>
    <t>2023-08-10</t>
  </si>
  <si>
    <t>2023-08-17</t>
  </si>
  <si>
    <t>2023-08-23</t>
  </si>
  <si>
    <t>2023-11-05</t>
  </si>
  <si>
    <t>2023-08-30</t>
  </si>
  <si>
    <t>2023-08-25</t>
  </si>
  <si>
    <t>2023-09-16</t>
  </si>
  <si>
    <t>2023-09-27</t>
  </si>
  <si>
    <t>2023-08-26</t>
  </si>
  <si>
    <t>2023-09-01</t>
  </si>
  <si>
    <t>2023-08-24</t>
  </si>
  <si>
    <t>2023-09-20</t>
  </si>
  <si>
    <t>2023-09-08</t>
  </si>
  <si>
    <t>2023-08-29</t>
  </si>
  <si>
    <t>2023-09-22</t>
  </si>
  <si>
    <t>2023-09-06</t>
  </si>
  <si>
    <t>2024-06-15</t>
  </si>
  <si>
    <t>2023-10-06</t>
  </si>
  <si>
    <t>2023-11-19</t>
  </si>
  <si>
    <t>2023-09-11</t>
  </si>
  <si>
    <t>2023-09-13</t>
  </si>
  <si>
    <t>2023-10-14</t>
  </si>
  <si>
    <t>2023-10-17</t>
  </si>
  <si>
    <t>2024-08-04</t>
  </si>
  <si>
    <t>2023-10-07</t>
  </si>
  <si>
    <t>2023-11-11</t>
  </si>
  <si>
    <t>2023-09-21</t>
  </si>
  <si>
    <t>2023-09-28</t>
  </si>
  <si>
    <t>2023-10-12</t>
  </si>
  <si>
    <t>2023-10-16</t>
  </si>
  <si>
    <t>2023-10-27</t>
  </si>
  <si>
    <t>2023-10-09</t>
  </si>
  <si>
    <t>2023-11-03</t>
  </si>
  <si>
    <t>2023-11-04</t>
  </si>
  <si>
    <t>2023-09-19</t>
  </si>
  <si>
    <t>2023-10-13</t>
  </si>
  <si>
    <t>2023-09-29</t>
  </si>
  <si>
    <t>2024-06-16</t>
  </si>
  <si>
    <t>2023-11-15</t>
  </si>
  <si>
    <t>2023-10-28</t>
  </si>
  <si>
    <t>2023-09-26</t>
  </si>
  <si>
    <t>2024-05-13</t>
  </si>
  <si>
    <t>2023-10-04</t>
  </si>
  <si>
    <t>2023-10-23</t>
  </si>
  <si>
    <t>2023-10-05</t>
  </si>
  <si>
    <t>2023-10-26</t>
  </si>
  <si>
    <t>2023-10-11</t>
  </si>
  <si>
    <t>2023-10-20</t>
  </si>
  <si>
    <t>2023-10-19</t>
  </si>
  <si>
    <t>2023-12-02</t>
  </si>
  <si>
    <t>2023-12-14</t>
  </si>
  <si>
    <t>2023-12-18</t>
  </si>
  <si>
    <t>2023-10-24</t>
  </si>
  <si>
    <t>2023-11-10</t>
  </si>
  <si>
    <t>2023-11-16</t>
  </si>
  <si>
    <t>2024-05-05</t>
  </si>
  <si>
    <t>2023-10-18</t>
  </si>
  <si>
    <t>2024-06-23</t>
  </si>
  <si>
    <t>2023-12-23</t>
  </si>
  <si>
    <t>2023-10-25</t>
  </si>
  <si>
    <t>2023-12-01</t>
  </si>
  <si>
    <t>2023-11-17</t>
  </si>
  <si>
    <t>2023-11-02</t>
  </si>
  <si>
    <t>2023-10-30</t>
  </si>
  <si>
    <t>2023-11-18</t>
  </si>
  <si>
    <t>2023-11-25</t>
  </si>
  <si>
    <t>2023-11-09</t>
  </si>
  <si>
    <t>2023-10-31</t>
  </si>
  <si>
    <t>2024-02-18</t>
  </si>
  <si>
    <t>2024-04-13</t>
  </si>
  <si>
    <t>2023-11-06</t>
  </si>
  <si>
    <t>2023-11-23</t>
  </si>
  <si>
    <t>2023-11-07</t>
  </si>
  <si>
    <t>2023-11-08</t>
  </si>
  <si>
    <t>2023-11-22</t>
  </si>
  <si>
    <t>2023-11-20</t>
  </si>
  <si>
    <t>2023-12-11</t>
  </si>
  <si>
    <t>2023-11-14</t>
  </si>
  <si>
    <t>2024-01-01</t>
  </si>
  <si>
    <t>2023-11-27</t>
  </si>
  <si>
    <t>2023-12-17</t>
  </si>
  <si>
    <t>2023-12-05</t>
  </si>
  <si>
    <t>2023-12-03</t>
  </si>
  <si>
    <t>2023-11-21</t>
  </si>
  <si>
    <t>2023-12-26</t>
  </si>
  <si>
    <t>2023-12-10</t>
  </si>
  <si>
    <t>2024-04-07</t>
  </si>
  <si>
    <t>2023-11-28</t>
  </si>
  <si>
    <t>2023-11-29</t>
  </si>
  <si>
    <t>2023-12-29</t>
  </si>
  <si>
    <t>2023-11-30</t>
  </si>
  <si>
    <t>2023-12-09</t>
  </si>
  <si>
    <t>2023-12-07</t>
  </si>
  <si>
    <t>2023-12-12</t>
  </si>
  <si>
    <t>2024-05-19</t>
  </si>
  <si>
    <t>2023-12-27</t>
  </si>
  <si>
    <t>2023-12-30</t>
  </si>
  <si>
    <t>2023-12-16</t>
  </si>
  <si>
    <t>2024-05-04</t>
  </si>
  <si>
    <t>2024-03-10</t>
  </si>
  <si>
    <t>2023-12-06</t>
  </si>
  <si>
    <t>2023-12-13</t>
  </si>
  <si>
    <t>2024-04-06</t>
  </si>
  <si>
    <t>2023-12-08</t>
  </si>
  <si>
    <t>2024-02-19</t>
  </si>
  <si>
    <t>2024-04-17</t>
  </si>
  <si>
    <t>2023-12-20</t>
  </si>
  <si>
    <t>2024-06-22</t>
  </si>
  <si>
    <t>2023-12-22</t>
  </si>
  <si>
    <t>2023-12-15</t>
  </si>
  <si>
    <t>2024-01-24</t>
  </si>
  <si>
    <t>2023-12-19</t>
  </si>
  <si>
    <t>2024-02-24</t>
  </si>
  <si>
    <t>2024-01-06</t>
  </si>
  <si>
    <t>2024-09-15</t>
  </si>
  <si>
    <t>2023-12-21</t>
  </si>
  <si>
    <t>2024-02-20</t>
  </si>
  <si>
    <t>2024-03-01</t>
  </si>
  <si>
    <t>2023-12-31</t>
  </si>
  <si>
    <t>2024-01-05</t>
  </si>
  <si>
    <t>2023-12-28</t>
  </si>
  <si>
    <t>2024-01-21</t>
  </si>
  <si>
    <t>2024-08-29</t>
  </si>
  <si>
    <t>2024-01-20</t>
  </si>
  <si>
    <t>2024-03-24</t>
  </si>
  <si>
    <t>2024-01-14</t>
  </si>
  <si>
    <t>2024-01-04</t>
  </si>
  <si>
    <t>2024-01-03</t>
  </si>
  <si>
    <t>2024-02-11</t>
  </si>
  <si>
    <t>2024-01-07</t>
  </si>
  <si>
    <t>2024-02-25</t>
  </si>
  <si>
    <t>2024-01-12</t>
  </si>
  <si>
    <t>2024-02-01</t>
  </si>
  <si>
    <t>2024-09-22</t>
  </si>
  <si>
    <t>2024-01-09</t>
  </si>
  <si>
    <t>2024-01-28</t>
  </si>
  <si>
    <t>2024-01-10</t>
  </si>
  <si>
    <t>2024-02-04</t>
  </si>
  <si>
    <t>2024-01-16</t>
  </si>
  <si>
    <t>2024-02-15</t>
  </si>
  <si>
    <t>2024-01-11</t>
  </si>
  <si>
    <t>2024-01-15</t>
  </si>
  <si>
    <t>2024-06-09</t>
  </si>
  <si>
    <t>2024-01-17</t>
  </si>
  <si>
    <t>2024-01-13</t>
  </si>
  <si>
    <t>2024-03-03</t>
  </si>
  <si>
    <t>2024-01-18</t>
  </si>
  <si>
    <t>2024-02-10</t>
  </si>
  <si>
    <t>2024-01-22</t>
  </si>
  <si>
    <t>2024-05-03</t>
  </si>
  <si>
    <t>2024-01-19</t>
  </si>
  <si>
    <t>2024-01-23</t>
  </si>
  <si>
    <t>2024-05-20</t>
  </si>
  <si>
    <t>2024-01-27</t>
  </si>
  <si>
    <t>2024-01-25</t>
  </si>
  <si>
    <t>2024-07-28</t>
  </si>
  <si>
    <t>2024-01-26</t>
  </si>
  <si>
    <t>2024-01-30</t>
  </si>
  <si>
    <t>2024-02-02</t>
  </si>
  <si>
    <t>2024-09-08</t>
  </si>
  <si>
    <t>2024-02-03</t>
  </si>
  <si>
    <t>2024-02-17</t>
  </si>
  <si>
    <t>2024-03-02</t>
  </si>
  <si>
    <t>2024-02-05</t>
  </si>
  <si>
    <t>2024-02-06</t>
  </si>
  <si>
    <t>2024-02-09</t>
  </si>
  <si>
    <t>2024-03-17</t>
  </si>
  <si>
    <t>2024-04-08</t>
  </si>
  <si>
    <t>2024-02-07</t>
  </si>
  <si>
    <t>2024-02-08</t>
  </si>
  <si>
    <t>2024-03-31</t>
  </si>
  <si>
    <t>2024-02-14</t>
  </si>
  <si>
    <t>2024-05-11</t>
  </si>
  <si>
    <t>2024-02-13</t>
  </si>
  <si>
    <t>2024-02-12</t>
  </si>
  <si>
    <t>2024-03-04</t>
  </si>
  <si>
    <t>2024-04-14</t>
  </si>
  <si>
    <t>2024-03-09</t>
  </si>
  <si>
    <t>2024-02-22</t>
  </si>
  <si>
    <t>2024-06-30</t>
  </si>
  <si>
    <t>2024-04-27</t>
  </si>
  <si>
    <t>2024-02-16</t>
  </si>
  <si>
    <t>2024-03-30</t>
  </si>
  <si>
    <t>2024-02-26</t>
  </si>
  <si>
    <t>2024-02-27</t>
  </si>
  <si>
    <t>2024-03-16</t>
  </si>
  <si>
    <t>2024-02-23</t>
  </si>
  <si>
    <t>2024-02-21</t>
  </si>
  <si>
    <t>2024-05-12</t>
  </si>
  <si>
    <t>2024-04-11</t>
  </si>
  <si>
    <t>2024-03-06</t>
  </si>
  <si>
    <t>2024-03-12</t>
  </si>
  <si>
    <t>2024-03-08</t>
  </si>
  <si>
    <t>2024-03-07</t>
  </si>
  <si>
    <t>2024-06-11</t>
  </si>
  <si>
    <t>2024-02-29</t>
  </si>
  <si>
    <t>2024-02-28</t>
  </si>
  <si>
    <t>2024-03-11</t>
  </si>
  <si>
    <t>2024-03-05</t>
  </si>
  <si>
    <t>2024-04-04</t>
  </si>
  <si>
    <t>2024-03-22</t>
  </si>
  <si>
    <t>2024-03-21</t>
  </si>
  <si>
    <t>2024-04-03</t>
  </si>
  <si>
    <t>2024-03-15</t>
  </si>
  <si>
    <t>2024-06-29</t>
  </si>
  <si>
    <t>2024-03-23</t>
  </si>
  <si>
    <t>2024-05-26</t>
  </si>
  <si>
    <t>2024-04-15</t>
  </si>
  <si>
    <t>2024-06-17</t>
  </si>
  <si>
    <t>2024-04-02</t>
  </si>
  <si>
    <t>2024-03-29</t>
  </si>
  <si>
    <t>2024-03-13</t>
  </si>
  <si>
    <t>2024-08-10</t>
  </si>
  <si>
    <t>2024-04-28</t>
  </si>
  <si>
    <t>2024-03-14</t>
  </si>
  <si>
    <t>2024-04-22</t>
  </si>
  <si>
    <t>2024-03-19</t>
  </si>
  <si>
    <t>2024-04-20</t>
  </si>
  <si>
    <t>2024-03-20</t>
  </si>
  <si>
    <t>2024-03-18</t>
  </si>
  <si>
    <t>2024-03-25</t>
  </si>
  <si>
    <t>2024-07-10</t>
  </si>
  <si>
    <t>2024-04-30</t>
  </si>
  <si>
    <t>2024-03-27</t>
  </si>
  <si>
    <t>2024-03-28</t>
  </si>
  <si>
    <t>2024-12-08</t>
  </si>
  <si>
    <t>2024-03-26</t>
  </si>
  <si>
    <t>2024-06-12</t>
  </si>
  <si>
    <t>2024-05-24</t>
  </si>
  <si>
    <t>2024-05-02</t>
  </si>
  <si>
    <t>2024-05-27</t>
  </si>
  <si>
    <t>2024-06-21</t>
  </si>
  <si>
    <t>2024-04-01</t>
  </si>
  <si>
    <t>2024-04-10</t>
  </si>
  <si>
    <t>2024-04-05</t>
  </si>
  <si>
    <t>2024-04-09</t>
  </si>
  <si>
    <t>2024-07-08</t>
  </si>
  <si>
    <t>2024-04-12</t>
  </si>
  <si>
    <t>2024-08-19</t>
  </si>
  <si>
    <t>2024-04-25</t>
  </si>
  <si>
    <t>2024-06-02</t>
  </si>
  <si>
    <t>2024-04-26</t>
  </si>
  <si>
    <t>2024-08-31</t>
  </si>
  <si>
    <t>2024-09-01</t>
  </si>
  <si>
    <t>2024-04-19</t>
  </si>
  <si>
    <t>2024-05-09</t>
  </si>
  <si>
    <t>2024-07-15</t>
  </si>
  <si>
    <t>2024-04-16</t>
  </si>
  <si>
    <t>2024-04-18</t>
  </si>
  <si>
    <t>2024-05-18</t>
  </si>
  <si>
    <t>2024-07-13</t>
  </si>
  <si>
    <t>2024-05-25</t>
  </si>
  <si>
    <t>2024-04-23</t>
  </si>
  <si>
    <t>2024-07-07</t>
  </si>
  <si>
    <t>2024-05-06</t>
  </si>
  <si>
    <t>2024-04-24</t>
  </si>
  <si>
    <t>2024-05-10</t>
  </si>
  <si>
    <t>2024-04-29</t>
  </si>
  <si>
    <t>2024-05-08</t>
  </si>
  <si>
    <t>2024-06-13</t>
  </si>
  <si>
    <t>2024-05-01</t>
  </si>
  <si>
    <t>2024-06-18</t>
  </si>
  <si>
    <t>2024-07-06</t>
  </si>
  <si>
    <t>2024-05-14</t>
  </si>
  <si>
    <t>2024-05-22</t>
  </si>
  <si>
    <t>2024-05-21</t>
  </si>
  <si>
    <t>2024-05-16</t>
  </si>
  <si>
    <t>2024-05-15</t>
  </si>
  <si>
    <t>2024-05-29</t>
  </si>
  <si>
    <t>2024-06-19</t>
  </si>
  <si>
    <t>2024-07-20</t>
  </si>
  <si>
    <t>2024-05-17</t>
  </si>
  <si>
    <t>2024-06-28</t>
  </si>
  <si>
    <t>2024-08-18</t>
  </si>
  <si>
    <t>2024-07-27</t>
  </si>
  <si>
    <t>2024-06-14</t>
  </si>
  <si>
    <t>2024-05-23</t>
  </si>
  <si>
    <t>2024-06-07</t>
  </si>
  <si>
    <t>2024-07-09</t>
  </si>
  <si>
    <t>2024-06-06</t>
  </si>
  <si>
    <t>2024-06-08</t>
  </si>
  <si>
    <t>2024-06-24</t>
  </si>
  <si>
    <t>2024-05-28</t>
  </si>
  <si>
    <t>2024-06-01</t>
  </si>
  <si>
    <t>2024-06-05</t>
  </si>
  <si>
    <t>2024-05-30</t>
  </si>
  <si>
    <t>2024-05-31</t>
  </si>
  <si>
    <t>2024-06-03</t>
  </si>
  <si>
    <t>2024-06-10</t>
  </si>
  <si>
    <t>2024-07-05</t>
  </si>
  <si>
    <t>2024-08-24</t>
  </si>
  <si>
    <t>2024-07-19</t>
  </si>
  <si>
    <t>2024-07-25</t>
  </si>
  <si>
    <t>2024-06-20</t>
  </si>
  <si>
    <t>2024-07-29</t>
  </si>
  <si>
    <t>2024-07-03</t>
  </si>
  <si>
    <t>2024-08-25</t>
  </si>
  <si>
    <t>2024-07-17</t>
  </si>
  <si>
    <t>2024-07-11</t>
  </si>
  <si>
    <t>2024-06-26</t>
  </si>
  <si>
    <t>2024-07-12</t>
  </si>
  <si>
    <t>2024-06-25</t>
  </si>
  <si>
    <t>2024-07-01</t>
  </si>
  <si>
    <t>2024-06-27</t>
  </si>
  <si>
    <t>2024-11-10</t>
  </si>
  <si>
    <t>2024-07-23</t>
  </si>
  <si>
    <t>2024-07-04</t>
  </si>
  <si>
    <t>2024-08-11</t>
  </si>
  <si>
    <t>2024-07-24</t>
  </si>
  <si>
    <t>2024-07-02</t>
  </si>
  <si>
    <t>2024-09-10</t>
  </si>
  <si>
    <t>2024-08-12</t>
  </si>
  <si>
    <t>2024-07-18</t>
  </si>
  <si>
    <t>2024-08-02</t>
  </si>
  <si>
    <t>2024-08-09</t>
  </si>
  <si>
    <t>2024-07-16</t>
  </si>
  <si>
    <t>2024-08-05</t>
  </si>
  <si>
    <t>2024-07-26</t>
  </si>
  <si>
    <t>2024-08-06</t>
  </si>
  <si>
    <t>2024-08-03</t>
  </si>
  <si>
    <t>2024-07-30</t>
  </si>
  <si>
    <t>2024-07-31</t>
  </si>
  <si>
    <t>2024-08-01</t>
  </si>
  <si>
    <t>2024-08-08</t>
  </si>
  <si>
    <t>2024-08-27</t>
  </si>
  <si>
    <t>2024-09-14</t>
  </si>
  <si>
    <t>2024-08-07</t>
  </si>
  <si>
    <t>2024-08-21</t>
  </si>
  <si>
    <t>2024-08-17</t>
  </si>
  <si>
    <t>2024-08-22</t>
  </si>
  <si>
    <t>2024-08-15</t>
  </si>
  <si>
    <t>2024-08-16</t>
  </si>
  <si>
    <t>2024-08-20</t>
  </si>
  <si>
    <t>2024-08-13</t>
  </si>
  <si>
    <t>2024-08-14</t>
  </si>
  <si>
    <t>2024-09-02</t>
  </si>
  <si>
    <t>2024-09-07</t>
  </si>
  <si>
    <t>2024-08-30</t>
  </si>
  <si>
    <t>2024-08-23</t>
  </si>
  <si>
    <t>2024-08-26</t>
  </si>
  <si>
    <t>2024-08-28</t>
  </si>
  <si>
    <t>2024-09-16</t>
  </si>
  <si>
    <t>2024-09-03</t>
  </si>
  <si>
    <t>2024-09-18</t>
  </si>
  <si>
    <t>2024-09-06</t>
  </si>
  <si>
    <t>2024-09-09</t>
  </si>
  <si>
    <t>2024-09-04</t>
  </si>
  <si>
    <t>2024-09-19</t>
  </si>
  <si>
    <t>2024-09-13</t>
  </si>
  <si>
    <t>2024-09-05</t>
  </si>
  <si>
    <t>2024-09-11</t>
  </si>
  <si>
    <t>2024-09-17</t>
  </si>
  <si>
    <t>2024-09-20</t>
  </si>
  <si>
    <t>2024-09-12</t>
  </si>
  <si>
    <t>2024-09-26</t>
  </si>
  <si>
    <t>2024-12-01</t>
  </si>
  <si>
    <t>2024-12-24</t>
  </si>
  <si>
    <t>2025-04-14</t>
  </si>
  <si>
    <t>2025-03-31</t>
  </si>
  <si>
    <t>2025-05-24</t>
  </si>
  <si>
    <t>2025-08-10</t>
  </si>
  <si>
    <t>2025-07-16</t>
  </si>
  <si>
    <t>2025-06-27</t>
  </si>
  <si>
    <t>2025-09-13</t>
  </si>
  <si>
    <t>2026-01-15</t>
  </si>
  <si>
    <t>2026-03-30</t>
  </si>
  <si>
    <t>2026-04-29</t>
  </si>
  <si>
    <t>2026-04-17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</si>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</sst>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93"/>
  <sheetViews>
    <sheetView tabSelected="1" workbookViewId="0">
      <selection activeCell="A2" sqref="A2"/>
    </sheetView>
  </sheetViews>
  <sheetFormatPr defaultRowHeight="14.4" x14ac:dyDescent="0.3"/>
  <cols>
    <col min="1" max="1" width="18.44140625" bestFit="1" customWidth="1"/>
    <col min="2" max="5" width="0" hidden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tr">
        <f>HYPERLINK("https://us2.cloudbeds.com/connect/10074733072513#/reservations/9080486848629225?display=4RP3DK343Q&amp;reservation_id=9080486848629225", "4RP3DK343Q")</f>
        <v>4RP3DK343Q</v>
      </c>
      <c r="B2" t="s">
        <v>2040</v>
      </c>
      <c r="C2">
        <v>111.6</v>
      </c>
      <c r="D2">
        <v>151.31</v>
      </c>
      <c r="E2">
        <v>152.97999999999999</v>
      </c>
      <c r="F2">
        <v>-1.67</v>
      </c>
    </row>
    <row r="3" spans="1:6" x14ac:dyDescent="0.3">
      <c r="A3" t="str">
        <f>HYPERLINK("https://us2.cloudbeds.com/connect/10074733072513#/reservations/32490601336981?display=N3BT5YRN6&amp;reservation_id=32490601336981", "N3BT5YRN6")</f>
        <v>N3BT5YRN6</v>
      </c>
      <c r="B3" t="s">
        <v>1899</v>
      </c>
      <c r="C3">
        <v>417.82</v>
      </c>
      <c r="D3">
        <v>454.17</v>
      </c>
      <c r="E3">
        <v>455.8</v>
      </c>
      <c r="F3">
        <v>-1.63</v>
      </c>
    </row>
    <row r="4" spans="1:6" x14ac:dyDescent="0.3">
      <c r="A4" t="str">
        <f>HYPERLINK("https://us2.cloudbeds.com/connect/10074733072513#/reservations/83898253435043?display=1QYJFRJSPD&amp;reservation_id=83898253435043", "1QYJFRJSPD")</f>
        <v>1QYJFRJSPD</v>
      </c>
      <c r="B4" t="s">
        <v>2032</v>
      </c>
      <c r="C4">
        <v>536.45000000000005</v>
      </c>
      <c r="D4">
        <v>583.13</v>
      </c>
      <c r="E4">
        <v>584.73</v>
      </c>
      <c r="F4">
        <v>-1.6</v>
      </c>
    </row>
    <row r="5" spans="1:6" x14ac:dyDescent="0.3">
      <c r="A5" t="str">
        <f>HYPERLINK("https://us2.cloudbeds.com/connect/10074733072513#/reservations/214719546536128?display=4KM6233F2J&amp;reservation_id=214719546536128", "4KM6233F2J")</f>
        <v>4KM6233F2J</v>
      </c>
      <c r="B5" t="s">
        <v>2039</v>
      </c>
      <c r="C5">
        <v>102.6</v>
      </c>
      <c r="D5">
        <v>111.53</v>
      </c>
      <c r="E5">
        <v>113.05</v>
      </c>
      <c r="F5">
        <v>-1.52</v>
      </c>
    </row>
    <row r="6" spans="1:6" x14ac:dyDescent="0.3">
      <c r="A6" t="str">
        <f>HYPERLINK("https://us2.cloudbeds.com/connect/10074733072513#/reservations/9080486846206015?display=2GHKKF5BR0&amp;reservation_id=9080486846206015", "2GHKKF5BR0")</f>
        <v>2GHKKF5BR0</v>
      </c>
      <c r="B6" t="s">
        <v>2036</v>
      </c>
      <c r="C6">
        <v>464.4</v>
      </c>
      <c r="D6">
        <v>504.8</v>
      </c>
      <c r="E6">
        <v>506.2</v>
      </c>
      <c r="F6">
        <v>-1.4</v>
      </c>
    </row>
    <row r="7" spans="1:6" x14ac:dyDescent="0.3">
      <c r="A7" t="str">
        <f>HYPERLINK("https://us2.cloudbeds.com/connect/10074733072513#/reservations/79934658117862?display=1NRJDQ1DCU&amp;reservation_id=79934658117862", "1NRJDQ1DCU")</f>
        <v>1NRJDQ1DCU</v>
      </c>
      <c r="B7" t="s">
        <v>2031</v>
      </c>
      <c r="C7">
        <v>468.3</v>
      </c>
      <c r="D7">
        <v>509.05</v>
      </c>
      <c r="E7">
        <v>510.36</v>
      </c>
      <c r="F7">
        <v>-1.31</v>
      </c>
    </row>
    <row r="8" spans="1:6" x14ac:dyDescent="0.3">
      <c r="A8" t="str">
        <f>HYPERLINK("https://us2.cloudbeds.com/connect/10074733072513#/reservations/9080486846052759?display=2BGQ1218DM&amp;reservation_id=9080486846052759", "2BGQ1218DM")</f>
        <v>2BGQ1218DM</v>
      </c>
      <c r="B8" t="s">
        <v>2035</v>
      </c>
      <c r="C8">
        <v>417</v>
      </c>
      <c r="D8">
        <v>453.3</v>
      </c>
      <c r="E8">
        <v>454.53</v>
      </c>
      <c r="F8">
        <v>-1.23</v>
      </c>
    </row>
    <row r="9" spans="1:6" x14ac:dyDescent="0.3">
      <c r="A9" t="str">
        <f>HYPERLINK("https://us2.cloudbeds.com/connect/10074733072513#/reservations/9080486845777841?display=1UE54593UW&amp;reservation_id=9080486845777841", "1UE54593UW")</f>
        <v>1UE54593UW</v>
      </c>
      <c r="B9" t="s">
        <v>2034</v>
      </c>
      <c r="C9">
        <v>398</v>
      </c>
      <c r="D9">
        <v>432.64</v>
      </c>
      <c r="E9">
        <v>433.82</v>
      </c>
      <c r="F9">
        <v>-1.18</v>
      </c>
    </row>
    <row r="10" spans="1:6" x14ac:dyDescent="0.3">
      <c r="A10" t="str">
        <f>HYPERLINK("https://us2.cloudbeds.com/connect/10074733072513#/reservations/17963472675008?display=CPGBBW587&amp;reservation_id=17963472675008", "CPGBBW587")</f>
        <v>CPGBBW587</v>
      </c>
      <c r="B10" t="s">
        <v>1807</v>
      </c>
      <c r="C10">
        <v>298</v>
      </c>
      <c r="D10">
        <v>323.94</v>
      </c>
      <c r="E10">
        <v>324.94</v>
      </c>
      <c r="F10">
        <v>-1</v>
      </c>
    </row>
    <row r="11" spans="1:6" x14ac:dyDescent="0.3">
      <c r="A11" t="str">
        <f>HYPERLINK("https://us2.cloudbeds.com/connect/10074733072513#/reservations/35779631403258?display=PEHKGUQW5&amp;reservation_id=35779631403258", "PEHKGUQW5")</f>
        <v>PEHKGUQW5</v>
      </c>
      <c r="B11" t="s">
        <v>1978</v>
      </c>
      <c r="C11">
        <v>391.5</v>
      </c>
      <c r="D11">
        <v>425.56</v>
      </c>
      <c r="E11">
        <v>426.56</v>
      </c>
      <c r="F11">
        <v>-1</v>
      </c>
    </row>
    <row r="12" spans="1:6" x14ac:dyDescent="0.3">
      <c r="A12" t="str">
        <f>HYPERLINK("https://us2.cloudbeds.com/connect/10074733072513#/reservations/9080486848601808?display=4R2KDYM8ZJ&amp;reservation_id=9080486848601808", "4R2KDYM8ZJ")</f>
        <v>4R2KDYM8ZJ</v>
      </c>
      <c r="B12" t="s">
        <v>2042</v>
      </c>
      <c r="C12">
        <v>76.42</v>
      </c>
      <c r="D12">
        <v>83.07</v>
      </c>
      <c r="E12">
        <v>83.7</v>
      </c>
      <c r="F12">
        <v>-0.63</v>
      </c>
    </row>
    <row r="13" spans="1:6" x14ac:dyDescent="0.3">
      <c r="A13" t="str">
        <f>HYPERLINK("https://us2.cloudbeds.com/connect/10074733072513#/reservations/9080486848503484?display=4ZPC8BEQKG&amp;reservation_id=9080486848503484", "4ZPC8BEQKG")</f>
        <v>4ZPC8BEQKG</v>
      </c>
      <c r="B13" t="s">
        <v>2041</v>
      </c>
      <c r="C13">
        <v>83.5</v>
      </c>
      <c r="D13">
        <v>90.77</v>
      </c>
      <c r="E13">
        <v>91.24</v>
      </c>
      <c r="F13">
        <v>-0.47</v>
      </c>
    </row>
    <row r="14" spans="1:6" x14ac:dyDescent="0.3">
      <c r="A14" t="str">
        <f>HYPERLINK("https://us2.cloudbeds.com/connect/10074733072513#/reservations/144714318110935?display=33TJ487TG0&amp;reservation_id=144714318110935", "33TJ487TG0")</f>
        <v>33TJ487TG0</v>
      </c>
      <c r="B14" t="s">
        <v>2037</v>
      </c>
      <c r="C14">
        <v>638.84</v>
      </c>
      <c r="D14">
        <v>694.44</v>
      </c>
      <c r="E14">
        <v>694.83</v>
      </c>
      <c r="F14">
        <v>-0.39</v>
      </c>
    </row>
    <row r="15" spans="1:6" x14ac:dyDescent="0.3">
      <c r="A15" t="str">
        <f>HYPERLINK("https://us2.cloudbeds.com/connect/10074733072513#/reservations/30684150796537?display=YQW45NYE6&amp;reservation_id=30684150796537", "YQW45NYE6")</f>
        <v>YQW45NYE6</v>
      </c>
      <c r="B15" t="s">
        <v>986</v>
      </c>
      <c r="C15">
        <v>2228</v>
      </c>
      <c r="D15">
        <v>2421.59</v>
      </c>
      <c r="E15">
        <v>2421.84</v>
      </c>
      <c r="F15">
        <v>-0.25</v>
      </c>
    </row>
    <row r="16" spans="1:6" x14ac:dyDescent="0.3">
      <c r="A16" t="str">
        <f>HYPERLINK("https://us2.cloudbeds.com/connect/10074733072513#/reservations/31693688643726?display=MHYR6PDMK&amp;reservation_id=31693688643726", "MHYR6PDMK")</f>
        <v>MHYR6PDMK</v>
      </c>
      <c r="B16" t="s">
        <v>1314</v>
      </c>
      <c r="C16">
        <v>836.59</v>
      </c>
      <c r="D16">
        <v>909.13</v>
      </c>
      <c r="E16">
        <v>909.37</v>
      </c>
      <c r="F16">
        <v>-0.24</v>
      </c>
    </row>
    <row r="17" spans="1:6" x14ac:dyDescent="0.3">
      <c r="A17" t="str">
        <f>HYPERLINK("https://us2.cloudbeds.com/connect/10074733072513#/reservations/19481601040591?display=DS3S20UKX&amp;reservation_id=19481601040591", "DS3S20UKX")</f>
        <v>DS3S20UKX</v>
      </c>
      <c r="B17" t="s">
        <v>2028</v>
      </c>
      <c r="C17">
        <v>214</v>
      </c>
      <c r="D17">
        <v>232.62</v>
      </c>
      <c r="E17">
        <v>232.84</v>
      </c>
      <c r="F17">
        <v>-0.22</v>
      </c>
    </row>
    <row r="18" spans="1:6" x14ac:dyDescent="0.3">
      <c r="A18" t="str">
        <f>HYPERLINK("https://us2.cloudbeds.com/connect/10074733072513#/reservations/88801533300938?display=1U4Y5023BS&amp;reservation_id=88801533300938", "1U4Y5023BS")</f>
        <v>1U4Y5023BS</v>
      </c>
      <c r="B18" t="s">
        <v>2033</v>
      </c>
      <c r="C18">
        <v>550</v>
      </c>
      <c r="D18">
        <v>597.85</v>
      </c>
      <c r="E18">
        <v>717.92</v>
      </c>
      <c r="F18">
        <v>-0.18</v>
      </c>
    </row>
    <row r="19" spans="1:6" x14ac:dyDescent="0.3">
      <c r="A19" t="str">
        <f>HYPERLINK("https://us2.cloudbeds.com/connect/10074733072513#/reservations/30660172124329?display=YQDXF8ZMK&amp;reservation_id=30660172124329", "YQDXF8ZMK")</f>
        <v>YQDXF8ZMK</v>
      </c>
      <c r="B19" t="s">
        <v>408</v>
      </c>
      <c r="C19">
        <v>3433.5</v>
      </c>
      <c r="D19">
        <v>3732.05</v>
      </c>
      <c r="E19">
        <v>3732.21</v>
      </c>
      <c r="F19">
        <v>-0.16</v>
      </c>
    </row>
    <row r="20" spans="1:6" x14ac:dyDescent="0.3">
      <c r="A20" t="str">
        <f>HYPERLINK("https://us2.cloudbeds.com/connect/10074733072513#/reservations/30649663475853?display=YQ5DV33ZE&amp;reservation_id=30649663475853", "YQ5DV33ZE")</f>
        <v>YQ5DV33ZE</v>
      </c>
      <c r="B20" t="s">
        <v>119</v>
      </c>
      <c r="C20">
        <v>2291.6</v>
      </c>
      <c r="D20">
        <v>2490.84</v>
      </c>
      <c r="E20">
        <v>2490.9699999999998</v>
      </c>
      <c r="F20">
        <v>-0.13</v>
      </c>
    </row>
    <row r="21" spans="1:6" x14ac:dyDescent="0.3">
      <c r="A21" t="str">
        <f>HYPERLINK("https://us2.cloudbeds.com/connect/10074733072513#/reservations/30665129558214?display=YQHD4GYXT&amp;reservation_id=30665129558214", "YQHD4GYXT")</f>
        <v>YQHD4GYXT</v>
      </c>
      <c r="B21" t="s">
        <v>493</v>
      </c>
      <c r="C21">
        <v>640</v>
      </c>
      <c r="D21">
        <v>695.55</v>
      </c>
      <c r="E21">
        <v>695.68</v>
      </c>
      <c r="F21">
        <v>-0.13</v>
      </c>
    </row>
    <row r="22" spans="1:6" x14ac:dyDescent="0.3">
      <c r="A22" t="str">
        <f>HYPERLINK("https://us2.cloudbeds.com/connect/10074733072513#/reservations/31685159506049?display=MHF78PJB4&amp;reservation_id=31685159506049", "MHF78PJB4")</f>
        <v>MHF78PJB4</v>
      </c>
      <c r="B22" t="s">
        <v>1349</v>
      </c>
      <c r="C22">
        <v>1546.9</v>
      </c>
      <c r="D22">
        <v>1681.36</v>
      </c>
      <c r="E22">
        <v>1681.48</v>
      </c>
      <c r="F22">
        <v>-0.12</v>
      </c>
    </row>
    <row r="23" spans="1:6" x14ac:dyDescent="0.3">
      <c r="A23" t="str">
        <f>HYPERLINK("https://us2.cloudbeds.com/connect/10074733072513#/reservations/31685310320837?display=MHFB3V7J7&amp;reservation_id=31685310320837", "MHFB3V7J7")</f>
        <v>MHFB3V7J7</v>
      </c>
      <c r="B23" t="s">
        <v>1349</v>
      </c>
      <c r="C23">
        <v>1546.9</v>
      </c>
      <c r="D23">
        <v>1681.36</v>
      </c>
      <c r="E23">
        <v>1681.48</v>
      </c>
      <c r="F23">
        <v>-0.12</v>
      </c>
    </row>
    <row r="24" spans="1:6" x14ac:dyDescent="0.3">
      <c r="A24" t="str">
        <f>HYPERLINK("https://us2.cloudbeds.com/connect/10074733072513#/reservations/31717531402481?display=MX79EKAMM&amp;reservation_id=31717531402481", "MX79EKAMM")</f>
        <v>MX79EKAMM</v>
      </c>
      <c r="B24" t="s">
        <v>1953</v>
      </c>
      <c r="C24">
        <v>1417.8</v>
      </c>
      <c r="D24">
        <v>1541.04</v>
      </c>
      <c r="E24">
        <v>1541.15</v>
      </c>
      <c r="F24">
        <v>-0.11</v>
      </c>
    </row>
    <row r="25" spans="1:6" x14ac:dyDescent="0.3">
      <c r="A25" t="str">
        <f>HYPERLINK("https://us2.cloudbeds.com/connect/10074733072513#/reservations/30655848636634?display=YQA6WJAT0&amp;reservation_id=30655848636634", "YQA6WJAT0")</f>
        <v>YQA6WJAT0</v>
      </c>
      <c r="B25" t="s">
        <v>235</v>
      </c>
      <c r="C25">
        <v>1238.4000000000001</v>
      </c>
      <c r="D25">
        <v>1346.04</v>
      </c>
      <c r="E25">
        <v>1346.14</v>
      </c>
      <c r="F25">
        <v>-0.1</v>
      </c>
    </row>
    <row r="26" spans="1:6" x14ac:dyDescent="0.3">
      <c r="A26" t="str">
        <f>HYPERLINK("https://us2.cloudbeds.com/connect/10074733072513#/reservations/30655890653345?display=YQA820GNM&amp;reservation_id=30655890653345", "YQA820GNM")</f>
        <v>YQA820GNM</v>
      </c>
      <c r="B26" t="s">
        <v>235</v>
      </c>
      <c r="C26">
        <v>1238.4000000000001</v>
      </c>
      <c r="D26">
        <v>1346.04</v>
      </c>
      <c r="E26">
        <v>1346.14</v>
      </c>
      <c r="F26">
        <v>-0.1</v>
      </c>
    </row>
    <row r="27" spans="1:6" x14ac:dyDescent="0.3">
      <c r="A27" t="str">
        <f>HYPERLINK("https://us2.cloudbeds.com/connect/10074733072513#/reservations/30686775677065?display=YR1582R1C&amp;reservation_id=30686775677065", "YR1582R1C")</f>
        <v>YR1582R1C</v>
      </c>
      <c r="B27" t="s">
        <v>895</v>
      </c>
      <c r="C27">
        <v>1074.1400000000001</v>
      </c>
      <c r="D27">
        <v>1167.49</v>
      </c>
      <c r="E27">
        <v>1167.5899999999999</v>
      </c>
      <c r="F27">
        <v>-0.1</v>
      </c>
    </row>
    <row r="28" spans="1:6" x14ac:dyDescent="0.3">
      <c r="A28" t="str">
        <f>HYPERLINK("https://us2.cloudbeds.com/connect/10074733072513#/reservations/31718521180318?display=MX81Z7BJF&amp;reservation_id=31718521180318", "MX81Z7BJF")</f>
        <v>MX81Z7BJF</v>
      </c>
      <c r="B28" t="s">
        <v>1919</v>
      </c>
      <c r="C28">
        <v>3808</v>
      </c>
      <c r="D28">
        <v>4139.2</v>
      </c>
      <c r="E28">
        <v>4139.3</v>
      </c>
      <c r="F28">
        <v>-0.1</v>
      </c>
    </row>
    <row r="29" spans="1:6" x14ac:dyDescent="0.3">
      <c r="A29" t="str">
        <f>HYPERLINK("https://us2.cloudbeds.com/connect/10074733072513#/reservations/30655463137435?display=YQ9U4H843&amp;reservation_id=30655463137435", "YQ9U4H843")</f>
        <v>YQ9U4H843</v>
      </c>
      <c r="B29" t="s">
        <v>244</v>
      </c>
      <c r="C29">
        <v>617.4</v>
      </c>
      <c r="D29">
        <v>671.02</v>
      </c>
      <c r="E29">
        <v>671.11</v>
      </c>
      <c r="F29">
        <v>-0.09</v>
      </c>
    </row>
    <row r="30" spans="1:6" x14ac:dyDescent="0.3">
      <c r="A30" t="str">
        <f>HYPERLINK("https://us2.cloudbeds.com/connect/10074733072513#/reservations/31733964976277?display=MXK0BRZDD&amp;reservation_id=31733964976277", "MXK0BRZDD")</f>
        <v>MXK0BRZDD</v>
      </c>
      <c r="B30" t="s">
        <v>1401</v>
      </c>
      <c r="C30">
        <v>1701</v>
      </c>
      <c r="D30">
        <v>1848.9</v>
      </c>
      <c r="E30">
        <v>1848.99</v>
      </c>
      <c r="F30">
        <v>-0.09</v>
      </c>
    </row>
    <row r="31" spans="1:6" x14ac:dyDescent="0.3">
      <c r="A31" t="str">
        <f>HYPERLINK("https://us2.cloudbeds.com/connect/10074733072513#/reservations/31735858819226?display=MXYFZPNFM&amp;reservation_id=31735858819226", "MXYFZPNFM")</f>
        <v>MXYFZPNFM</v>
      </c>
      <c r="B31" t="s">
        <v>1401</v>
      </c>
      <c r="C31">
        <v>1701</v>
      </c>
      <c r="D31">
        <v>1848.9</v>
      </c>
      <c r="E31">
        <v>1848.99</v>
      </c>
      <c r="F31">
        <v>-0.09</v>
      </c>
    </row>
    <row r="32" spans="1:6" x14ac:dyDescent="0.3">
      <c r="A32" t="str">
        <f>HYPERLINK("https://us2.cloudbeds.com/connect/10074733072513#/reservations/31702920409266?display=MHSW37TMH&amp;reservation_id=31702920409266", "MHSW37TMH")</f>
        <v>MHSW37TMH</v>
      </c>
      <c r="B32" t="s">
        <v>2003</v>
      </c>
      <c r="C32">
        <v>2625.65</v>
      </c>
      <c r="D32">
        <v>2853.99</v>
      </c>
      <c r="E32">
        <v>2854.08</v>
      </c>
      <c r="F32">
        <v>-0.09</v>
      </c>
    </row>
    <row r="33" spans="1:6" x14ac:dyDescent="0.3">
      <c r="A33" t="str">
        <f>HYPERLINK("https://us2.cloudbeds.com/connect/10074733072513#/reservations/30667574776027?display=YQJ9KCEYC&amp;reservation_id=30667574776027", "YQJ9KCEYC")</f>
        <v>YQJ9KCEYC</v>
      </c>
      <c r="B33" t="s">
        <v>574</v>
      </c>
      <c r="C33">
        <v>3136</v>
      </c>
      <c r="D33">
        <v>3408.75</v>
      </c>
      <c r="E33">
        <v>3408.83</v>
      </c>
      <c r="F33">
        <v>-0.08</v>
      </c>
    </row>
    <row r="34" spans="1:6" x14ac:dyDescent="0.3">
      <c r="A34" t="str">
        <f>HYPERLINK("https://us2.cloudbeds.com/connect/10074733072513#/reservations/31715441737921?display=MX5M1XAQ6&amp;reservation_id=31715441737921", "MX5M1XAQ6")</f>
        <v>MX5M1XAQ6</v>
      </c>
      <c r="B34" t="s">
        <v>1878</v>
      </c>
      <c r="C34">
        <v>2453.4</v>
      </c>
      <c r="D34">
        <v>2666.77</v>
      </c>
      <c r="E34">
        <v>2666.85</v>
      </c>
      <c r="F34">
        <v>-0.08</v>
      </c>
    </row>
    <row r="35" spans="1:6" x14ac:dyDescent="0.3">
      <c r="A35" t="str">
        <f>HYPERLINK("https://us2.cloudbeds.com/connect/10074733072513#/reservations/31713644626083?display=MX49461BN&amp;reservation_id=31713644626083", "MX49461BN")</f>
        <v>MX49461BN</v>
      </c>
      <c r="B35" t="s">
        <v>1969</v>
      </c>
      <c r="C35">
        <v>1288.8</v>
      </c>
      <c r="D35">
        <v>1400.85</v>
      </c>
      <c r="E35">
        <v>1400.93</v>
      </c>
      <c r="F35">
        <v>-0.08</v>
      </c>
    </row>
    <row r="36" spans="1:6" x14ac:dyDescent="0.3">
      <c r="A36" t="str">
        <f>HYPERLINK("https://us2.cloudbeds.com/connect/10074733072513#/reservations/31687541932228?display=MHH24N3GR&amp;reservation_id=31687541932228", "MHH24N3GR")</f>
        <v>MHH24N3GR</v>
      </c>
      <c r="B36" t="s">
        <v>1447</v>
      </c>
      <c r="C36">
        <v>985.6</v>
      </c>
      <c r="D36">
        <v>1071.28</v>
      </c>
      <c r="E36">
        <v>1071.3499999999999</v>
      </c>
      <c r="F36">
        <v>-7.0000000000000007E-2</v>
      </c>
    </row>
    <row r="37" spans="1:6" x14ac:dyDescent="0.3">
      <c r="A37" t="str">
        <f>HYPERLINK("https://us2.cloudbeds.com/connect/10074733072513#/reservations/31702349201558?display=MHSHGJ6N1&amp;reservation_id=31702349201558", "MHSHGJ6N1")</f>
        <v>MHSHGJ6N1</v>
      </c>
      <c r="B37" t="s">
        <v>2005</v>
      </c>
      <c r="C37">
        <v>825.6</v>
      </c>
      <c r="D37">
        <v>897.36</v>
      </c>
      <c r="E37">
        <v>897.43</v>
      </c>
      <c r="F37">
        <v>-7.0000000000000007E-2</v>
      </c>
    </row>
    <row r="38" spans="1:6" x14ac:dyDescent="0.3">
      <c r="A38" t="str">
        <f>HYPERLINK("https://us2.cloudbeds.com/connect/10074733072513#/reservations/30648985530510?display=YQ4TKE9D5&amp;reservation_id=30648985530510", "YQ4TKE9D5")</f>
        <v>YQ4TKE9D5</v>
      </c>
      <c r="B38" t="s">
        <v>122</v>
      </c>
      <c r="C38">
        <v>1001</v>
      </c>
      <c r="D38">
        <v>1088.03</v>
      </c>
      <c r="E38">
        <v>1088.0899999999999</v>
      </c>
      <c r="F38">
        <v>-0.06</v>
      </c>
    </row>
    <row r="39" spans="1:6" x14ac:dyDescent="0.3">
      <c r="A39" t="str">
        <f>HYPERLINK("https://us2.cloudbeds.com/connect/10074733072513#/reservations/30661258244287?display=YQED73Y0Y&amp;reservation_id=30661258244287", "YQED73Y0Y")</f>
        <v>YQED73Y0Y</v>
      </c>
      <c r="B39" t="s">
        <v>371</v>
      </c>
      <c r="C39">
        <v>672.84</v>
      </c>
      <c r="D39">
        <v>731.32</v>
      </c>
      <c r="E39">
        <v>731.38</v>
      </c>
      <c r="F39">
        <v>-0.06</v>
      </c>
    </row>
    <row r="40" spans="1:6" x14ac:dyDescent="0.3">
      <c r="A40" t="str">
        <f>HYPERLINK("https://us2.cloudbeds.com/connect/10074733072513#/reservations/30662512107767?display=YQFC8D7QM&amp;reservation_id=30662512107767", "YQFC8D7QM")</f>
        <v>YQFC8D7QM</v>
      </c>
      <c r="B40" t="s">
        <v>447</v>
      </c>
      <c r="C40">
        <v>1169</v>
      </c>
      <c r="D40">
        <v>1270.6400000000001</v>
      </c>
      <c r="E40">
        <v>1270.7</v>
      </c>
      <c r="F40">
        <v>-0.06</v>
      </c>
    </row>
    <row r="41" spans="1:6" x14ac:dyDescent="0.3">
      <c r="A41" t="str">
        <f>HYPERLINK("https://us2.cloudbeds.com/connect/10074733072513#/reservations/30662063886568?display=YQF0QER33&amp;reservation_id=30662063886568", "YQF0QER33")</f>
        <v>YQF0QER33</v>
      </c>
      <c r="B41" t="s">
        <v>460</v>
      </c>
      <c r="C41">
        <v>320.75</v>
      </c>
      <c r="D41">
        <v>348.6</v>
      </c>
      <c r="E41">
        <v>348.66</v>
      </c>
      <c r="F41">
        <v>-0.06</v>
      </c>
    </row>
    <row r="42" spans="1:6" x14ac:dyDescent="0.3">
      <c r="A42" t="str">
        <f>HYPERLINK("https://us2.cloudbeds.com/connect/10074733072513#/reservations/30665576579277?display=YQHZXEM7N&amp;reservation_id=30665576579277", "YQHZXEM7N")</f>
        <v>YQHZXEM7N</v>
      </c>
      <c r="B42" t="s">
        <v>545</v>
      </c>
      <c r="C42">
        <v>408.96</v>
      </c>
      <c r="D42">
        <v>444.48</v>
      </c>
      <c r="E42">
        <v>444.54</v>
      </c>
      <c r="F42">
        <v>-0.06</v>
      </c>
    </row>
    <row r="43" spans="1:6" x14ac:dyDescent="0.3">
      <c r="A43" t="str">
        <f>HYPERLINK("https://us2.cloudbeds.com/connect/10074733072513#/reservations/30665770328281?display=YQHTGR0RY&amp;reservation_id=30665770328281", "YQHTGR0RY")</f>
        <v>YQHTGR0RY</v>
      </c>
      <c r="B43" t="s">
        <v>557</v>
      </c>
      <c r="C43">
        <v>792.41</v>
      </c>
      <c r="D43">
        <v>861.29</v>
      </c>
      <c r="E43">
        <v>861.35</v>
      </c>
      <c r="F43">
        <v>-0.06</v>
      </c>
    </row>
    <row r="44" spans="1:6" x14ac:dyDescent="0.3">
      <c r="A44" t="str">
        <f>HYPERLINK("https://us2.cloudbeds.com/connect/10074733072513#/reservations/30667720597725?display=YQJDBB4SN&amp;reservation_id=30667720597725", "YQJDBB4SN")</f>
        <v>YQJDBB4SN</v>
      </c>
      <c r="B44" t="s">
        <v>638</v>
      </c>
      <c r="C44">
        <v>1313.1</v>
      </c>
      <c r="D44">
        <v>1427.28</v>
      </c>
      <c r="E44">
        <v>1427.34</v>
      </c>
      <c r="F44">
        <v>-0.06</v>
      </c>
    </row>
    <row r="45" spans="1:6" x14ac:dyDescent="0.3">
      <c r="A45" t="str">
        <f>HYPERLINK("https://us2.cloudbeds.com/connect/10074733072513#/reservations/30677311377591?display=YQQRDHZ8K&amp;reservation_id=30677311377591", "YQQRDHZ8K")</f>
        <v>YQQRDHZ8K</v>
      </c>
      <c r="B45" t="s">
        <v>854</v>
      </c>
      <c r="C45">
        <v>1537.2</v>
      </c>
      <c r="D45">
        <v>1670.88</v>
      </c>
      <c r="E45">
        <v>1670.94</v>
      </c>
      <c r="F45">
        <v>-0.06</v>
      </c>
    </row>
    <row r="46" spans="1:6" x14ac:dyDescent="0.3">
      <c r="A46" t="str">
        <f>HYPERLINK("https://us2.cloudbeds.com/connect/10074733072513#/reservations/30684836471029?display=YQWYMTX83&amp;reservation_id=30684836471029", "YQWYMTX83")</f>
        <v>YQWYMTX83</v>
      </c>
      <c r="B46" t="s">
        <v>990</v>
      </c>
      <c r="C46">
        <v>352.83</v>
      </c>
      <c r="D46">
        <v>383.47</v>
      </c>
      <c r="E46">
        <v>383.53</v>
      </c>
      <c r="F46">
        <v>-0.06</v>
      </c>
    </row>
    <row r="47" spans="1:6" x14ac:dyDescent="0.3">
      <c r="A47" t="str">
        <f>HYPERLINK("https://us2.cloudbeds.com/connect/10074733072513#/reservations/31672502808784?display=MH5DSAAQC&amp;reservation_id=31672502808784", "MH5DSAAQC")</f>
        <v>MH5DSAAQC</v>
      </c>
      <c r="B47" t="s">
        <v>1069</v>
      </c>
      <c r="C47">
        <v>1008</v>
      </c>
      <c r="D47">
        <v>1095.6400000000001</v>
      </c>
      <c r="E47">
        <v>1095.7</v>
      </c>
      <c r="F47">
        <v>-0.06</v>
      </c>
    </row>
    <row r="48" spans="1:6" x14ac:dyDescent="0.3">
      <c r="A48" t="str">
        <f>HYPERLINK("https://us2.cloudbeds.com/connect/10074733072513#/reservations/31678835224711?display=MHAAYW4F3&amp;reservation_id=31678835224711", "MHAAYW4F3")</f>
        <v>MHAAYW4F3</v>
      </c>
      <c r="B48" t="s">
        <v>946</v>
      </c>
      <c r="C48">
        <v>470.8</v>
      </c>
      <c r="D48">
        <v>511.7</v>
      </c>
      <c r="E48">
        <v>511.76</v>
      </c>
      <c r="F48">
        <v>-0.06</v>
      </c>
    </row>
    <row r="49" spans="1:6" x14ac:dyDescent="0.3">
      <c r="A49" t="str">
        <f>HYPERLINK("https://us2.cloudbeds.com/connect/10074733072513#/reservations/31680508907716?display=MHBKE8REU&amp;reservation_id=31680508907716", "MHBKE8REU")</f>
        <v>MHBKE8REU</v>
      </c>
      <c r="B49" t="s">
        <v>1310</v>
      </c>
      <c r="C49">
        <v>470.8</v>
      </c>
      <c r="D49">
        <v>511.7</v>
      </c>
      <c r="E49">
        <v>511.76</v>
      </c>
      <c r="F49">
        <v>-0.06</v>
      </c>
    </row>
    <row r="50" spans="1:6" x14ac:dyDescent="0.3">
      <c r="A50" t="str">
        <f>HYPERLINK("https://us2.cloudbeds.com/connect/10074733072513#/reservations/31686945685683?display=MHGJTUM0M&amp;reservation_id=31686945685683", "MHGJTUM0M")</f>
        <v>MHGJTUM0M</v>
      </c>
      <c r="B50" t="s">
        <v>1502</v>
      </c>
      <c r="C50">
        <v>672</v>
      </c>
      <c r="D50">
        <v>730.4</v>
      </c>
      <c r="E50">
        <v>730.46</v>
      </c>
      <c r="F50">
        <v>-0.06</v>
      </c>
    </row>
    <row r="51" spans="1:6" x14ac:dyDescent="0.3">
      <c r="A51" t="str">
        <f>HYPERLINK("https://us2.cloudbeds.com/connect/10074733072513#/reservations/31713151103121?display=MX3TH117E&amp;reservation_id=31713151103121", "MX3TH117E")</f>
        <v>MX3TH117E</v>
      </c>
      <c r="B51" t="s">
        <v>1908</v>
      </c>
      <c r="C51">
        <v>476</v>
      </c>
      <c r="D51">
        <v>517.35</v>
      </c>
      <c r="E51">
        <v>517.41</v>
      </c>
      <c r="F51">
        <v>-0.06</v>
      </c>
    </row>
    <row r="52" spans="1:6" x14ac:dyDescent="0.3">
      <c r="A52" t="str">
        <f>HYPERLINK("https://us2.cloudbeds.com/connect/10074733072513#/reservations/31719070687448?display=MX8FPJ6GM&amp;reservation_id=31719070687448", "MX8FPJ6GM")</f>
        <v>MX8FPJ6GM</v>
      </c>
      <c r="B52" t="s">
        <v>1823</v>
      </c>
      <c r="C52">
        <v>1091</v>
      </c>
      <c r="D52">
        <v>1185.8599999999999</v>
      </c>
      <c r="E52">
        <v>1185.92</v>
      </c>
      <c r="F52">
        <v>-0.06</v>
      </c>
    </row>
    <row r="53" spans="1:6" x14ac:dyDescent="0.3">
      <c r="A53" t="str">
        <f>HYPERLINK("https://us2.cloudbeds.com/connect/10074733072513#/reservations/31702899544222?display=MHSVXY9SE&amp;reservation_id=31702899544222", "MHSVXY9SE")</f>
        <v>MHSVXY9SE</v>
      </c>
      <c r="B53" t="s">
        <v>2003</v>
      </c>
      <c r="C53">
        <v>1115.2</v>
      </c>
      <c r="D53">
        <v>1212.1600000000001</v>
      </c>
      <c r="E53">
        <v>1212.22</v>
      </c>
      <c r="F53">
        <v>-0.06</v>
      </c>
    </row>
    <row r="54" spans="1:6" x14ac:dyDescent="0.3">
      <c r="A54" t="str">
        <f>HYPERLINK("https://us2.cloudbeds.com/connect/10074733072513#/reservations/30651885174917?display=YQ74NG5EG&amp;reservation_id=30651885174917", "YQ74NG5EG")</f>
        <v>YQ74NG5EG</v>
      </c>
      <c r="B54" t="s">
        <v>197</v>
      </c>
      <c r="C54">
        <v>312.8</v>
      </c>
      <c r="D54">
        <v>339.96</v>
      </c>
      <c r="E54">
        <v>340.01</v>
      </c>
      <c r="F54">
        <v>-0.05</v>
      </c>
    </row>
    <row r="55" spans="1:6" x14ac:dyDescent="0.3">
      <c r="A55" t="str">
        <f>HYPERLINK("https://us2.cloudbeds.com/connect/10074733072513#/reservations/30663973429482?display=YQGGJKM0T&amp;reservation_id=30663973429482", "YQGGJKM0T")</f>
        <v>YQGGJKM0T</v>
      </c>
      <c r="B55" t="s">
        <v>528</v>
      </c>
      <c r="C55">
        <v>340.8</v>
      </c>
      <c r="D55">
        <v>370.4</v>
      </c>
      <c r="E55">
        <v>370.45</v>
      </c>
      <c r="F55">
        <v>-0.05</v>
      </c>
    </row>
    <row r="56" spans="1:6" x14ac:dyDescent="0.3">
      <c r="A56" t="str">
        <f>HYPERLINK("https://us2.cloudbeds.com/connect/10074733072513#/reservations/30663982047386?display=YQGGQTFKG&amp;reservation_id=30663982047386", "YQGGQTFKG")</f>
        <v>YQGGQTFKG</v>
      </c>
      <c r="B56" t="s">
        <v>528</v>
      </c>
      <c r="C56">
        <v>340.8</v>
      </c>
      <c r="D56">
        <v>370.4</v>
      </c>
      <c r="E56">
        <v>370.45</v>
      </c>
      <c r="F56">
        <v>-0.05</v>
      </c>
    </row>
    <row r="57" spans="1:6" x14ac:dyDescent="0.3">
      <c r="A57" t="str">
        <f>HYPERLINK("https://us2.cloudbeds.com/connect/10074733072513#/reservations/30663994462361?display=YQGH4BUVS&amp;reservation_id=30663994462361", "YQGH4BUVS")</f>
        <v>YQGH4BUVS</v>
      </c>
      <c r="B57" t="s">
        <v>528</v>
      </c>
      <c r="C57">
        <v>340.8</v>
      </c>
      <c r="D57">
        <v>370.4</v>
      </c>
      <c r="E57">
        <v>370.45</v>
      </c>
      <c r="F57">
        <v>-0.05</v>
      </c>
    </row>
    <row r="58" spans="1:6" x14ac:dyDescent="0.3">
      <c r="A58" t="str">
        <f>HYPERLINK("https://us2.cloudbeds.com/connect/10074733072513#/reservations/30664006885595?display=YQGHERKTG&amp;reservation_id=30664006885595", "YQGHERKTG")</f>
        <v>YQGHERKTG</v>
      </c>
      <c r="B58" t="s">
        <v>528</v>
      </c>
      <c r="C58">
        <v>340.8</v>
      </c>
      <c r="D58">
        <v>370.4</v>
      </c>
      <c r="E58">
        <v>370.45</v>
      </c>
      <c r="F58">
        <v>-0.05</v>
      </c>
    </row>
    <row r="59" spans="1:6" x14ac:dyDescent="0.3">
      <c r="A59" t="str">
        <f>HYPERLINK("https://us2.cloudbeds.com/connect/10074733072513#/reservations/30667993755842?display=YQJKAM5PD&amp;reservation_id=30667993755842", "YQJKAM5PD")</f>
        <v>YQJKAM5PD</v>
      </c>
      <c r="B59" t="s">
        <v>589</v>
      </c>
      <c r="C59">
        <v>340.8</v>
      </c>
      <c r="D59">
        <v>370.4</v>
      </c>
      <c r="E59">
        <v>370.45</v>
      </c>
      <c r="F59">
        <v>-0.05</v>
      </c>
    </row>
    <row r="60" spans="1:6" x14ac:dyDescent="0.3">
      <c r="A60" t="str">
        <f>HYPERLINK("https://us2.cloudbeds.com/connect/10074733072513#/reservations/30687906861268?display=YR214UMMX&amp;reservation_id=30687906861268", "YR214UMMX")</f>
        <v>YR214UMMX</v>
      </c>
      <c r="B60" t="s">
        <v>688</v>
      </c>
      <c r="C60">
        <v>1751.4</v>
      </c>
      <c r="D60">
        <v>1903.72</v>
      </c>
      <c r="E60">
        <v>1903.77</v>
      </c>
      <c r="F60">
        <v>-0.05</v>
      </c>
    </row>
    <row r="61" spans="1:6" x14ac:dyDescent="0.3">
      <c r="A61" t="str">
        <f>HYPERLINK("https://us2.cloudbeds.com/connect/10074733072513#/reservations/30688364572868?display=YR2CRT661&amp;reservation_id=30688364572868", "YR2CRT661")</f>
        <v>YR2CRT661</v>
      </c>
      <c r="B61" t="s">
        <v>868</v>
      </c>
      <c r="C61">
        <v>376.64</v>
      </c>
      <c r="D61">
        <v>409.36</v>
      </c>
      <c r="E61">
        <v>409.41</v>
      </c>
      <c r="F61">
        <v>-0.05</v>
      </c>
    </row>
    <row r="62" spans="1:6" x14ac:dyDescent="0.3">
      <c r="A62" t="str">
        <f>HYPERLINK("https://us2.cloudbeds.com/connect/10074733072513#/reservations/31675351883938?display=MH7KYZ1E3&amp;reservation_id=31675351883938", "MH7KYZ1E3")</f>
        <v>MH7KYZ1E3</v>
      </c>
      <c r="B62" t="s">
        <v>1152</v>
      </c>
      <c r="C62">
        <v>938.7</v>
      </c>
      <c r="D62">
        <v>1020.32</v>
      </c>
      <c r="E62">
        <v>1020.37</v>
      </c>
      <c r="F62">
        <v>-0.05</v>
      </c>
    </row>
    <row r="63" spans="1:6" x14ac:dyDescent="0.3">
      <c r="A63" t="str">
        <f>HYPERLINK("https://us2.cloudbeds.com/connect/10074733072513#/reservations/31680975941765?display=MHBWC2ZGS&amp;reservation_id=31680975941765", "MHBWC2ZGS")</f>
        <v>MHBWC2ZGS</v>
      </c>
      <c r="B63" t="s">
        <v>1203</v>
      </c>
      <c r="C63">
        <v>376.64</v>
      </c>
      <c r="D63">
        <v>409.36</v>
      </c>
      <c r="E63">
        <v>409.41</v>
      </c>
      <c r="F63">
        <v>-0.05</v>
      </c>
    </row>
    <row r="64" spans="1:6" x14ac:dyDescent="0.3">
      <c r="A64" t="str">
        <f>HYPERLINK("https://us2.cloudbeds.com/connect/10074733072513#/reservations/31683277811919?display=MHDP62M6T&amp;reservation_id=31683277811919", "MHDP62M6T")</f>
        <v>MHDP62M6T</v>
      </c>
      <c r="B64" t="s">
        <v>1287</v>
      </c>
      <c r="C64">
        <v>376.64</v>
      </c>
      <c r="D64">
        <v>409.36</v>
      </c>
      <c r="E64">
        <v>409.41</v>
      </c>
      <c r="F64">
        <v>-0.05</v>
      </c>
    </row>
    <row r="65" spans="1:6" x14ac:dyDescent="0.3">
      <c r="A65" t="str">
        <f>HYPERLINK("https://us2.cloudbeds.com/connect/10074733072513#/reservations/31679430013065?display=MHAPSGWUK&amp;reservation_id=31679430013065", "MHAPSGWUK")</f>
        <v>MHAPSGWUK</v>
      </c>
      <c r="B65" t="s">
        <v>1202</v>
      </c>
      <c r="C65">
        <v>376.64</v>
      </c>
      <c r="D65">
        <v>409.36</v>
      </c>
      <c r="E65">
        <v>409.41</v>
      </c>
      <c r="F65">
        <v>-0.05</v>
      </c>
    </row>
    <row r="66" spans="1:6" x14ac:dyDescent="0.3">
      <c r="A66" t="str">
        <f>HYPERLINK("https://us2.cloudbeds.com/connect/10074733072513#/reservations/31680572305600?display=MHBM1NSBZ&amp;reservation_id=31680572305600", "MHBM1NSBZ")</f>
        <v>MHBM1NSBZ</v>
      </c>
      <c r="B66" t="s">
        <v>1215</v>
      </c>
      <c r="C66">
        <v>1020.6</v>
      </c>
      <c r="D66">
        <v>1109.3399999999999</v>
      </c>
      <c r="E66">
        <v>1109.3900000000001</v>
      </c>
      <c r="F66">
        <v>-0.05</v>
      </c>
    </row>
    <row r="67" spans="1:6" x14ac:dyDescent="0.3">
      <c r="A67" t="str">
        <f>HYPERLINK("https://us2.cloudbeds.com/connect/10074733072513#/reservations/31730918662375?display=MXHYH3XKU&amp;reservation_id=31730918662375", "MXHYH3XKU")</f>
        <v>MXHYH3XKU</v>
      </c>
      <c r="B67" t="s">
        <v>1412</v>
      </c>
      <c r="C67">
        <v>3121.2</v>
      </c>
      <c r="D67">
        <v>3392.69</v>
      </c>
      <c r="E67">
        <v>3392.74</v>
      </c>
      <c r="F67">
        <v>-0.05</v>
      </c>
    </row>
    <row r="68" spans="1:6" x14ac:dyDescent="0.3">
      <c r="A68" t="str">
        <f>HYPERLINK("https://us2.cloudbeds.com/connect/10074733072513#/reservations/31689063710944?display=MHX80TRQC&amp;reservation_id=31689063710944", "MHX80TRQC")</f>
        <v>MHX80TRQC</v>
      </c>
      <c r="B68" t="s">
        <v>1465</v>
      </c>
      <c r="C68">
        <v>1094.4000000000001</v>
      </c>
      <c r="D68">
        <v>1189.56</v>
      </c>
      <c r="E68">
        <v>1189.6099999999999</v>
      </c>
      <c r="F68">
        <v>-0.05</v>
      </c>
    </row>
    <row r="69" spans="1:6" x14ac:dyDescent="0.3">
      <c r="A69" t="str">
        <f>HYPERLINK("https://us2.cloudbeds.com/connect/10074733072513#/reservations/31690899882119?display=MHJYV70D4&amp;reservation_id=31690899882119", "MHJYV70D4")</f>
        <v>MHJYV70D4</v>
      </c>
      <c r="B69" t="s">
        <v>1469</v>
      </c>
      <c r="C69">
        <v>981</v>
      </c>
      <c r="D69">
        <v>1066.3</v>
      </c>
      <c r="E69">
        <v>1066.3499999999999</v>
      </c>
      <c r="F69">
        <v>-0.05</v>
      </c>
    </row>
    <row r="70" spans="1:6" x14ac:dyDescent="0.3">
      <c r="A70" t="str">
        <f>HYPERLINK("https://us2.cloudbeds.com/connect/10074733072513#/reservations/31690411737227?display=MHJ9FJYQM&amp;reservation_id=31690411737227", "MHJ9FJYQM")</f>
        <v>MHJ9FJYQM</v>
      </c>
      <c r="B70" t="s">
        <v>1481</v>
      </c>
      <c r="C70">
        <v>1584</v>
      </c>
      <c r="D70">
        <v>1721.76</v>
      </c>
      <c r="E70">
        <v>1721.81</v>
      </c>
      <c r="F70">
        <v>-0.05</v>
      </c>
    </row>
    <row r="71" spans="1:6" x14ac:dyDescent="0.3">
      <c r="A71" t="str">
        <f>HYPERLINK("https://us2.cloudbeds.com/connect/10074733072513#/reservations/31729824600302?display=MXGQXXM8P&amp;reservation_id=31729824600302", "MXGQXXM8P")</f>
        <v>MXGQXXM8P</v>
      </c>
      <c r="B71" t="s">
        <v>1629</v>
      </c>
      <c r="C71">
        <v>504.9</v>
      </c>
      <c r="D71">
        <v>548.78</v>
      </c>
      <c r="E71">
        <v>548.83000000000004</v>
      </c>
      <c r="F71">
        <v>-0.05</v>
      </c>
    </row>
    <row r="72" spans="1:6" x14ac:dyDescent="0.3">
      <c r="A72" t="str">
        <f>HYPERLINK("https://us2.cloudbeds.com/connect/10074733072513#/reservations/31723494936790?display=MXBTR7F2X&amp;reservation_id=31723494936790", "MXBTR7F2X")</f>
        <v>MXBTR7F2X</v>
      </c>
      <c r="B72" t="s">
        <v>1797</v>
      </c>
      <c r="C72">
        <v>225</v>
      </c>
      <c r="D72">
        <v>244.53</v>
      </c>
      <c r="E72">
        <v>244.58</v>
      </c>
      <c r="F72">
        <v>-0.05</v>
      </c>
    </row>
    <row r="73" spans="1:6" x14ac:dyDescent="0.3">
      <c r="A73" t="str">
        <f>HYPERLINK("https://us2.cloudbeds.com/connect/10074733072513#/reservations/31715879047336?display=MX607A3GY&amp;reservation_id=31715879047336", "MX607A3GY")</f>
        <v>MX607A3GY</v>
      </c>
      <c r="B73" t="s">
        <v>1914</v>
      </c>
      <c r="C73">
        <v>1994.4</v>
      </c>
      <c r="D73">
        <v>2167.86</v>
      </c>
      <c r="E73">
        <v>2167.91</v>
      </c>
      <c r="F73">
        <v>-0.05</v>
      </c>
    </row>
    <row r="74" spans="1:6" x14ac:dyDescent="0.3">
      <c r="A74" t="str">
        <f>HYPERLINK("https://us2.cloudbeds.com/connect/10074733072513#/reservations/31712315244788?display=MX38571X1&amp;reservation_id=31712315244788", "MX38571X1")</f>
        <v>MX38571X1</v>
      </c>
      <c r="B74" t="s">
        <v>1986</v>
      </c>
      <c r="C74">
        <v>742.9</v>
      </c>
      <c r="D74">
        <v>807.48</v>
      </c>
      <c r="E74">
        <v>807.53</v>
      </c>
      <c r="F74">
        <v>-0.05</v>
      </c>
    </row>
    <row r="75" spans="1:6" x14ac:dyDescent="0.3">
      <c r="A75" t="str">
        <f>HYPERLINK("https://us2.cloudbeds.com/connect/10074733072513#/reservations/31702560956620?display=MHSMU4JQ3&amp;reservation_id=31702560956620", "MHSMU4JQ3")</f>
        <v>MHSMU4JQ3</v>
      </c>
      <c r="B75" t="s">
        <v>1988</v>
      </c>
      <c r="C75">
        <v>859.2</v>
      </c>
      <c r="D75">
        <v>933.9</v>
      </c>
      <c r="E75">
        <v>933.95</v>
      </c>
      <c r="F75">
        <v>-0.05</v>
      </c>
    </row>
    <row r="76" spans="1:6" x14ac:dyDescent="0.3">
      <c r="A76" t="str">
        <f>HYPERLINK("https://us2.cloudbeds.com/connect/10074733072513#/reservations/31701075398801?display=MHRHVFP6G&amp;reservation_id=31701075398801", "MHRHVFP6G")</f>
        <v>MHRHVFP6G</v>
      </c>
      <c r="B76" t="s">
        <v>1999</v>
      </c>
      <c r="C76">
        <v>1017.6</v>
      </c>
      <c r="D76">
        <v>1106.08</v>
      </c>
      <c r="E76">
        <v>1106.1300000000001</v>
      </c>
      <c r="F76">
        <v>-0.05</v>
      </c>
    </row>
    <row r="77" spans="1:6" x14ac:dyDescent="0.3">
      <c r="A77" t="str">
        <f>HYPERLINK("https://us2.cloudbeds.com/connect/10074733072513#/reservations/17963495059682?display=CPGBUS56S&amp;reservation_id=17963495059682", "CPGBUS56S")</f>
        <v>CPGBUS56S</v>
      </c>
      <c r="B77" t="s">
        <v>2026</v>
      </c>
      <c r="C77">
        <v>376</v>
      </c>
      <c r="D77">
        <v>408.73</v>
      </c>
      <c r="E77">
        <v>1226.29</v>
      </c>
      <c r="F77">
        <v>-0.05</v>
      </c>
    </row>
    <row r="78" spans="1:6" x14ac:dyDescent="0.3">
      <c r="A78" t="str">
        <f>HYPERLINK("https://us2.cloudbeds.com/connect/10074733072513#/reservations/32570002493608?display=N57C1R28X&amp;reservation_id=32570002493608", "N57C1R28X")</f>
        <v>N57C1R28X</v>
      </c>
      <c r="B78" t="s">
        <v>2029</v>
      </c>
      <c r="C78">
        <v>286.2</v>
      </c>
      <c r="D78">
        <v>311.10000000000002</v>
      </c>
      <c r="E78">
        <v>311.14999999999998</v>
      </c>
      <c r="F78">
        <v>-0.05</v>
      </c>
    </row>
    <row r="79" spans="1:6" x14ac:dyDescent="0.3">
      <c r="A79" t="str">
        <f>HYPERLINK("https://us2.cloudbeds.com/connect/10074733072513#/reservations/30645891289279?display=YQ2GX9F7C&amp;reservation_id=30645891289279", "YQ2GX9F7C")</f>
        <v>YQ2GX9F7C</v>
      </c>
      <c r="B79" t="s">
        <v>13</v>
      </c>
      <c r="C79">
        <v>472.6</v>
      </c>
      <c r="D79">
        <v>513.67999999999995</v>
      </c>
      <c r="E79">
        <v>513.72</v>
      </c>
      <c r="F79">
        <v>-0.04</v>
      </c>
    </row>
    <row r="80" spans="1:6" x14ac:dyDescent="0.3">
      <c r="A80" t="str">
        <f>HYPERLINK("https://us2.cloudbeds.com/connect/10074733072513#/reservations/30648707887347?display=YQ4MHAEWW&amp;reservation_id=30648707887347", "YQ4MHAEWW")</f>
        <v>YQ4MHAEWW</v>
      </c>
      <c r="B80" t="s">
        <v>119</v>
      </c>
      <c r="C80">
        <v>256.60000000000002</v>
      </c>
      <c r="D80">
        <v>278.88</v>
      </c>
      <c r="E80">
        <v>278.92</v>
      </c>
      <c r="F80">
        <v>-0.04</v>
      </c>
    </row>
    <row r="81" spans="1:6" x14ac:dyDescent="0.3">
      <c r="A81" t="str">
        <f>HYPERLINK("https://us2.cloudbeds.com/connect/10074733072513#/reservations/30651045929154?display=YQ6G4X8P7&amp;reservation_id=30651045929154", "YQ6G4X8P7")</f>
        <v>YQ6G4X8P7</v>
      </c>
      <c r="B81" t="s">
        <v>156</v>
      </c>
      <c r="C81">
        <v>336.6</v>
      </c>
      <c r="D81">
        <v>365.84</v>
      </c>
      <c r="E81">
        <v>365.88</v>
      </c>
      <c r="F81">
        <v>-0.04</v>
      </c>
    </row>
    <row r="82" spans="1:6" x14ac:dyDescent="0.3">
      <c r="A82" t="str">
        <f>HYPERLINK("https://us2.cloudbeds.com/connect/10074733072513#/reservations/30651915616455?display=YQ75G583B&amp;reservation_id=30651915616455", "YQ75G583B")</f>
        <v>YQ75G583B</v>
      </c>
      <c r="B82" t="s">
        <v>171</v>
      </c>
      <c r="C82">
        <v>276.69</v>
      </c>
      <c r="D82">
        <v>300.72000000000003</v>
      </c>
      <c r="E82">
        <v>300.76</v>
      </c>
      <c r="F82">
        <v>-0.04</v>
      </c>
    </row>
    <row r="83" spans="1:6" x14ac:dyDescent="0.3">
      <c r="A83" t="str">
        <f>HYPERLINK("https://us2.cloudbeds.com/connect/10074733072513#/reservations/30651506716843?display=YQ6S1C0C0&amp;reservation_id=30651506716843", "YQ6S1C0C0")</f>
        <v>YQ6S1C0C0</v>
      </c>
      <c r="B83" t="s">
        <v>148</v>
      </c>
      <c r="C83">
        <v>256.60000000000002</v>
      </c>
      <c r="D83">
        <v>278.88</v>
      </c>
      <c r="E83">
        <v>278.92</v>
      </c>
      <c r="F83">
        <v>-0.04</v>
      </c>
    </row>
    <row r="84" spans="1:6" x14ac:dyDescent="0.3">
      <c r="A84" t="str">
        <f>HYPERLINK("https://us2.cloudbeds.com/connect/10074733072513#/reservations/30652998471871?display=YQ80589MR&amp;reservation_id=30652998471871", "YQ80589MR")</f>
        <v>YQ80589MR</v>
      </c>
      <c r="B84" t="s">
        <v>309</v>
      </c>
      <c r="C84">
        <v>256.60000000000002</v>
      </c>
      <c r="D84">
        <v>278.88</v>
      </c>
      <c r="E84">
        <v>278.92</v>
      </c>
      <c r="F84">
        <v>-0.04</v>
      </c>
    </row>
    <row r="85" spans="1:6" x14ac:dyDescent="0.3">
      <c r="A85" t="str">
        <f>HYPERLINK("https://us2.cloudbeds.com/connect/10074733072513#/reservations/30656983490788?display=YQB2WHAHR&amp;reservation_id=30656983490788", "YQB2WHAHR")</f>
        <v>YQB2WHAHR</v>
      </c>
      <c r="B85" t="s">
        <v>324</v>
      </c>
      <c r="C85">
        <v>912.05</v>
      </c>
      <c r="D85">
        <v>991.36</v>
      </c>
      <c r="E85">
        <v>991.4</v>
      </c>
      <c r="F85">
        <v>-0.04</v>
      </c>
    </row>
    <row r="86" spans="1:6" x14ac:dyDescent="0.3">
      <c r="A86" t="str">
        <f>HYPERLINK("https://us2.cloudbeds.com/connect/10074733072513#/reservations/30659019776141?display=YQCM0XVNJ&amp;reservation_id=30659019776141", "YQCM0XVNJ")</f>
        <v>YQCM0XVNJ</v>
      </c>
      <c r="B86" t="s">
        <v>410</v>
      </c>
      <c r="C86">
        <v>1162.8</v>
      </c>
      <c r="D86">
        <v>1263.92</v>
      </c>
      <c r="E86">
        <v>1263.96</v>
      </c>
      <c r="F86">
        <v>-0.04</v>
      </c>
    </row>
    <row r="87" spans="1:6" x14ac:dyDescent="0.3">
      <c r="A87" t="str">
        <f>HYPERLINK("https://us2.cloudbeds.com/connect/10074733072513#/reservations/30661427568796?display=YQEHHTB8C&amp;reservation_id=30661427568796", "YQEHHTB8C")</f>
        <v>YQEHHTB8C</v>
      </c>
      <c r="B87" t="s">
        <v>439</v>
      </c>
      <c r="C87">
        <v>336.6</v>
      </c>
      <c r="D87">
        <v>365.84</v>
      </c>
      <c r="E87">
        <v>365.88</v>
      </c>
      <c r="F87">
        <v>-0.04</v>
      </c>
    </row>
    <row r="88" spans="1:6" x14ac:dyDescent="0.3">
      <c r="A88" t="str">
        <f>HYPERLINK("https://us2.cloudbeds.com/connect/10074733072513#/reservations/30662071865493?display=YQF105RUN&amp;reservation_id=30662071865493", "YQF105RUN")</f>
        <v>YQF105RUN</v>
      </c>
      <c r="B88" t="s">
        <v>460</v>
      </c>
      <c r="C88">
        <v>256.60000000000002</v>
      </c>
      <c r="D88">
        <v>278.88</v>
      </c>
      <c r="E88">
        <v>278.92</v>
      </c>
      <c r="F88">
        <v>-0.04</v>
      </c>
    </row>
    <row r="89" spans="1:6" x14ac:dyDescent="0.3">
      <c r="A89" t="str">
        <f>HYPERLINK("https://us2.cloudbeds.com/connect/10074733072513#/reservations/30662574883010?display=YQFDSB1YZ&amp;reservation_id=30662574883010", "YQFDSB1YZ")</f>
        <v>YQFDSB1YZ</v>
      </c>
      <c r="B89" t="s">
        <v>483</v>
      </c>
      <c r="C89">
        <v>256.60000000000002</v>
      </c>
      <c r="D89">
        <v>278.88</v>
      </c>
      <c r="E89">
        <v>278.92</v>
      </c>
      <c r="F89">
        <v>-0.04</v>
      </c>
    </row>
    <row r="90" spans="1:6" x14ac:dyDescent="0.3">
      <c r="A90" t="str">
        <f>HYPERLINK("https://us2.cloudbeds.com/connect/10074733072513#/reservations/30665412866208?display=YQHKCD3RK&amp;reservation_id=30665412866208", "YQHKCD3RK")</f>
        <v>YQHKCD3RK</v>
      </c>
      <c r="B90" t="s">
        <v>529</v>
      </c>
      <c r="C90">
        <v>481.5</v>
      </c>
      <c r="D90">
        <v>523.35</v>
      </c>
      <c r="E90">
        <v>523.39</v>
      </c>
      <c r="F90">
        <v>-0.04</v>
      </c>
    </row>
    <row r="91" spans="1:6" x14ac:dyDescent="0.3">
      <c r="A91" t="str">
        <f>HYPERLINK("https://us2.cloudbeds.com/connect/10074733072513#/reservations/30668700061826?display=YQK5C85V1&amp;reservation_id=30668700061826", "YQK5C85V1")</f>
        <v>YQK5C85V1</v>
      </c>
      <c r="B91" t="s">
        <v>619</v>
      </c>
      <c r="C91">
        <v>234.57</v>
      </c>
      <c r="D91">
        <v>254.94</v>
      </c>
      <c r="E91">
        <v>254.98</v>
      </c>
      <c r="F91">
        <v>-0.04</v>
      </c>
    </row>
    <row r="92" spans="1:6" x14ac:dyDescent="0.3">
      <c r="A92" t="str">
        <f>HYPERLINK("https://us2.cloudbeds.com/connect/10074733072513#/reservations/30668685713626?display=YQK504UC3&amp;reservation_id=30668685713626", "YQK504UC3")</f>
        <v>YQK504UC3</v>
      </c>
      <c r="B92" t="s">
        <v>619</v>
      </c>
      <c r="C92">
        <v>234.57</v>
      </c>
      <c r="D92">
        <v>254.94</v>
      </c>
      <c r="E92">
        <v>254.98</v>
      </c>
      <c r="F92">
        <v>-0.04</v>
      </c>
    </row>
    <row r="93" spans="1:6" x14ac:dyDescent="0.3">
      <c r="A93" t="str">
        <f>HYPERLINK("https://us2.cloudbeds.com/connect/10074733072513#/reservations/30668670853267?display=YQK4KKDG5&amp;reservation_id=30668670853267", "YQK4KKDG5")</f>
        <v>YQK4KKDG5</v>
      </c>
      <c r="B93" t="s">
        <v>619</v>
      </c>
      <c r="C93">
        <v>234.57</v>
      </c>
      <c r="D93">
        <v>254.94</v>
      </c>
      <c r="E93">
        <v>254.98</v>
      </c>
      <c r="F93">
        <v>-0.04</v>
      </c>
    </row>
    <row r="94" spans="1:6" x14ac:dyDescent="0.3">
      <c r="A94" t="str">
        <f>HYPERLINK("https://us2.cloudbeds.com/connect/10074733072513#/reservations/30672588501162?display=YQN5Z2ZA2&amp;reservation_id=30672588501162", "YQN5Z2ZA2")</f>
        <v>YQN5Z2ZA2</v>
      </c>
      <c r="B94" t="s">
        <v>667</v>
      </c>
      <c r="C94">
        <v>472.6</v>
      </c>
      <c r="D94">
        <v>513.67999999999995</v>
      </c>
      <c r="E94">
        <v>513.72</v>
      </c>
      <c r="F94">
        <v>-0.04</v>
      </c>
    </row>
    <row r="95" spans="1:6" x14ac:dyDescent="0.3">
      <c r="A95" t="str">
        <f>HYPERLINK("https://us2.cloudbeds.com/connect/10074733072513#/reservations/30673905414301?display=YQZ6CHPUR&amp;reservation_id=30673905414301", "YQZ6CHPUR")</f>
        <v>YQZ6CHPUR</v>
      </c>
      <c r="B95" t="s">
        <v>710</v>
      </c>
      <c r="C95">
        <v>481.5</v>
      </c>
      <c r="D95">
        <v>523.35</v>
      </c>
      <c r="E95">
        <v>523.39</v>
      </c>
      <c r="F95">
        <v>-0.04</v>
      </c>
    </row>
    <row r="96" spans="1:6" x14ac:dyDescent="0.3">
      <c r="A96" t="str">
        <f>HYPERLINK("https://us2.cloudbeds.com/connect/10074733072513#/reservations/30672102060212?display=YQMQ9TQD7&amp;reservation_id=30672102060212", "YQMQ9TQD7")</f>
        <v>YQMQ9TQD7</v>
      </c>
      <c r="B96" t="s">
        <v>717</v>
      </c>
      <c r="C96">
        <v>1079</v>
      </c>
      <c r="D96">
        <v>1172.83</v>
      </c>
      <c r="E96">
        <v>1172.8699999999999</v>
      </c>
      <c r="F96">
        <v>-0.04</v>
      </c>
    </row>
    <row r="97" spans="1:6" x14ac:dyDescent="0.3">
      <c r="A97" t="str">
        <f>HYPERLINK("https://us2.cloudbeds.com/connect/10074733072513#/reservations/30688089985170?display=YR25RBCHY&amp;reservation_id=30688089985170", "YR25RBCHY")</f>
        <v>YR25RBCHY</v>
      </c>
      <c r="B97" t="s">
        <v>832</v>
      </c>
      <c r="C97">
        <v>1224.9000000000001</v>
      </c>
      <c r="D97">
        <v>1331.43</v>
      </c>
      <c r="E97">
        <v>1331.47</v>
      </c>
      <c r="F97">
        <v>-0.04</v>
      </c>
    </row>
    <row r="98" spans="1:6" x14ac:dyDescent="0.3">
      <c r="A98" t="str">
        <f>HYPERLINK("https://us2.cloudbeds.com/connect/10074733072513#/reservations/30687171399843?display=YR1FBPCRN&amp;reservation_id=30687171399843", "YR1FBPCRN")</f>
        <v>YR1FBPCRN</v>
      </c>
      <c r="B98" t="s">
        <v>786</v>
      </c>
      <c r="C98">
        <v>804.6</v>
      </c>
      <c r="D98">
        <v>874.56</v>
      </c>
      <c r="E98">
        <v>874.6</v>
      </c>
      <c r="F98">
        <v>-0.04</v>
      </c>
    </row>
    <row r="99" spans="1:6" x14ac:dyDescent="0.3">
      <c r="A99" t="str">
        <f>HYPERLINK("https://us2.cloudbeds.com/connect/10074733072513#/reservations/30677389770902?display=YQQTDY4PG&amp;reservation_id=30677389770902", "YQQTDY4PG")</f>
        <v>YQQTDY4PG</v>
      </c>
      <c r="B99" t="s">
        <v>859</v>
      </c>
      <c r="C99">
        <v>1036.8</v>
      </c>
      <c r="D99">
        <v>1126.96</v>
      </c>
      <c r="E99">
        <v>1127</v>
      </c>
      <c r="F99">
        <v>-0.04</v>
      </c>
    </row>
    <row r="100" spans="1:6" x14ac:dyDescent="0.3">
      <c r="A100" t="str">
        <f>HYPERLINK("https://us2.cloudbeds.com/connect/10074733072513#/reservations/30676393050283?display=YQQ3V5UGC&amp;reservation_id=30676393050283", "YQQ3V5UGC")</f>
        <v>YQQ3V5UGC</v>
      </c>
      <c r="B100" t="s">
        <v>873</v>
      </c>
      <c r="C100">
        <v>804.6</v>
      </c>
      <c r="D100">
        <v>874.56</v>
      </c>
      <c r="E100">
        <v>874.6</v>
      </c>
      <c r="F100">
        <v>-0.04</v>
      </c>
    </row>
    <row r="101" spans="1:6" x14ac:dyDescent="0.3">
      <c r="A101" t="str">
        <f>HYPERLINK("https://us2.cloudbeds.com/connect/10074733072513#/reservations/30683374915776?display=YQVH5GEJE&amp;reservation_id=30683374915776", "YQVH5GEJE")</f>
        <v>YQVH5GEJE</v>
      </c>
      <c r="B101" t="s">
        <v>1010</v>
      </c>
      <c r="C101">
        <v>336.72</v>
      </c>
      <c r="D101">
        <v>365.97</v>
      </c>
      <c r="E101">
        <v>366.01</v>
      </c>
      <c r="F101">
        <v>-0.04</v>
      </c>
    </row>
    <row r="102" spans="1:6" x14ac:dyDescent="0.3">
      <c r="A102" t="str">
        <f>HYPERLINK("https://us2.cloudbeds.com/connect/10074733072513#/reservations/30681263743180?display=YQTTD94DR&amp;reservation_id=30681263743180", "YQTTD94DR")</f>
        <v>YQTTD94DR</v>
      </c>
      <c r="B102" t="s">
        <v>1030</v>
      </c>
      <c r="C102">
        <v>481.5</v>
      </c>
      <c r="D102">
        <v>523.35</v>
      </c>
      <c r="E102">
        <v>523.39</v>
      </c>
      <c r="F102">
        <v>-0.04</v>
      </c>
    </row>
    <row r="103" spans="1:6" x14ac:dyDescent="0.3">
      <c r="A103" t="str">
        <f>HYPERLINK("https://us2.cloudbeds.com/connect/10074733072513#/reservations/31673228542101?display=MH5WD8UJ2&amp;reservation_id=31673228542101", "MH5WD8UJ2")</f>
        <v>MH5WD8UJ2</v>
      </c>
      <c r="B103" t="s">
        <v>981</v>
      </c>
      <c r="C103">
        <v>282.48</v>
      </c>
      <c r="D103">
        <v>307.02</v>
      </c>
      <c r="E103">
        <v>307.06</v>
      </c>
      <c r="F103">
        <v>-0.04</v>
      </c>
    </row>
    <row r="104" spans="1:6" x14ac:dyDescent="0.3">
      <c r="A104" t="str">
        <f>HYPERLINK("https://us2.cloudbeds.com/connect/10074733072513#/reservations/31678130884752?display=MH9PM1RKW&amp;reservation_id=31678130884752", "MH9PM1RKW")</f>
        <v>MH9PM1RKW</v>
      </c>
      <c r="B104" t="s">
        <v>1266</v>
      </c>
      <c r="C104">
        <v>282.48</v>
      </c>
      <c r="D104">
        <v>307.02</v>
      </c>
      <c r="E104">
        <v>307.06</v>
      </c>
      <c r="F104">
        <v>-0.04</v>
      </c>
    </row>
    <row r="105" spans="1:6" x14ac:dyDescent="0.3">
      <c r="A105" t="str">
        <f>HYPERLINK("https://us2.cloudbeds.com/connect/10074733072513#/reservations/31678084366467?display=MH9ZFRD3W&amp;reservation_id=31678084366467", "MH9ZFRD3W")</f>
        <v>MH9ZFRD3W</v>
      </c>
      <c r="B105" t="s">
        <v>1266</v>
      </c>
      <c r="C105">
        <v>282.48</v>
      </c>
      <c r="D105">
        <v>307.02</v>
      </c>
      <c r="E105">
        <v>307.06</v>
      </c>
      <c r="F105">
        <v>-0.04</v>
      </c>
    </row>
    <row r="106" spans="1:6" x14ac:dyDescent="0.3">
      <c r="A106" t="str">
        <f>HYPERLINK("https://us2.cloudbeds.com/connect/10074733072513#/reservations/31677400543402?display=MH97070DU&amp;reservation_id=31677400543402", "MH97070DU")</f>
        <v>MH97070DU</v>
      </c>
      <c r="B106" t="s">
        <v>1266</v>
      </c>
      <c r="C106">
        <v>336.72</v>
      </c>
      <c r="D106">
        <v>365.97</v>
      </c>
      <c r="E106">
        <v>366.01</v>
      </c>
      <c r="F106">
        <v>-0.04</v>
      </c>
    </row>
    <row r="107" spans="1:6" x14ac:dyDescent="0.3">
      <c r="A107" t="str">
        <f>HYPERLINK("https://us2.cloudbeds.com/connect/10074733072513#/reservations/31679743742151?display=MHB0T1W2K&amp;reservation_id=31679743742151", "MHB0T1W2K")</f>
        <v>MHB0T1W2K</v>
      </c>
      <c r="B107" t="s">
        <v>1203</v>
      </c>
      <c r="C107">
        <v>984.6</v>
      </c>
      <c r="D107">
        <v>1070.22</v>
      </c>
      <c r="E107">
        <v>1070.26</v>
      </c>
      <c r="F107">
        <v>-0.04</v>
      </c>
    </row>
    <row r="108" spans="1:6" x14ac:dyDescent="0.3">
      <c r="A108" t="str">
        <f>HYPERLINK("https://us2.cloudbeds.com/connect/10074733072513#/reservations/31678677082242?display=MHA6KKJD2&amp;reservation_id=31678677082242", "MHA6KKJD2")</f>
        <v>MHA6KKJD2</v>
      </c>
      <c r="B108" t="s">
        <v>1170</v>
      </c>
      <c r="C108">
        <v>1116</v>
      </c>
      <c r="D108">
        <v>1213.05</v>
      </c>
      <c r="E108">
        <v>1213.0899999999999</v>
      </c>
      <c r="F108">
        <v>-0.04</v>
      </c>
    </row>
    <row r="109" spans="1:6" x14ac:dyDescent="0.3">
      <c r="A109" t="str">
        <f>HYPERLINK("https://us2.cloudbeds.com/connect/10074733072513#/reservations/31679720415380?display=MHB09CSNP&amp;reservation_id=31679720415380", "MHB09CSNP")</f>
        <v>MHB09CSNP</v>
      </c>
      <c r="B109" t="s">
        <v>1203</v>
      </c>
      <c r="C109">
        <v>282.48</v>
      </c>
      <c r="D109">
        <v>307.02</v>
      </c>
      <c r="E109">
        <v>307.06</v>
      </c>
      <c r="F109">
        <v>-0.04</v>
      </c>
    </row>
    <row r="110" spans="1:6" x14ac:dyDescent="0.3">
      <c r="A110" t="str">
        <f>HYPERLINK("https://us2.cloudbeds.com/connect/10074733072513#/reservations/31684047491227?display=MHEBS34E9&amp;reservation_id=31684047491227", "MHEBS34E9")</f>
        <v>MHEBS34E9</v>
      </c>
      <c r="B110" t="s">
        <v>1221</v>
      </c>
      <c r="C110">
        <v>282.48</v>
      </c>
      <c r="D110">
        <v>307.02</v>
      </c>
      <c r="E110">
        <v>307.06</v>
      </c>
      <c r="F110">
        <v>-0.04</v>
      </c>
    </row>
    <row r="111" spans="1:6" x14ac:dyDescent="0.3">
      <c r="A111" t="str">
        <f>HYPERLINK("https://us2.cloudbeds.com/connect/10074733072513#/reservations/31692817469633?display=MHY4V5NFM&amp;reservation_id=31692817469633", "MHY4V5NFM")</f>
        <v>MHY4V5NFM</v>
      </c>
      <c r="B111" t="s">
        <v>1414</v>
      </c>
      <c r="C111">
        <v>1297</v>
      </c>
      <c r="D111">
        <v>1409.8</v>
      </c>
      <c r="E111">
        <v>1409.84</v>
      </c>
      <c r="F111">
        <v>-0.04</v>
      </c>
    </row>
    <row r="112" spans="1:6" x14ac:dyDescent="0.3">
      <c r="A112" t="str">
        <f>HYPERLINK("https://us2.cloudbeds.com/connect/10074733072513#/reservations/31693284638957?display=MHYGT3CZS&amp;reservation_id=31693284638957", "MHYGT3CZS")</f>
        <v>MHYGT3CZS</v>
      </c>
      <c r="B112" t="s">
        <v>1375</v>
      </c>
      <c r="C112">
        <v>1381.85</v>
      </c>
      <c r="D112">
        <v>1502.03</v>
      </c>
      <c r="E112">
        <v>1502.07</v>
      </c>
      <c r="F112">
        <v>-0.04</v>
      </c>
    </row>
    <row r="113" spans="1:6" x14ac:dyDescent="0.3">
      <c r="A113" t="str">
        <f>HYPERLINK("https://us2.cloudbeds.com/connect/10074733072513#/reservations/31734589644930?display=MXKGAXVF9&amp;reservation_id=31734589644930", "MXKGAXVF9")</f>
        <v>MXKGAXVF9</v>
      </c>
      <c r="B113" t="s">
        <v>1498</v>
      </c>
      <c r="C113">
        <v>2281.5</v>
      </c>
      <c r="D113">
        <v>2479.9499999999998</v>
      </c>
      <c r="E113">
        <v>2479.9899999999998</v>
      </c>
      <c r="F113">
        <v>-0.04</v>
      </c>
    </row>
    <row r="114" spans="1:6" x14ac:dyDescent="0.3">
      <c r="A114" t="str">
        <f>HYPERLINK("https://us2.cloudbeds.com/connect/10074733072513#/reservations/31735645065428?display=MXYA9HMWS&amp;reservation_id=31735645065428", "MXYA9HMWS")</f>
        <v>MXYA9HMWS</v>
      </c>
      <c r="B114" t="s">
        <v>1551</v>
      </c>
      <c r="C114">
        <v>456.56</v>
      </c>
      <c r="D114">
        <v>496.24</v>
      </c>
      <c r="E114">
        <v>496.28</v>
      </c>
      <c r="F114">
        <v>-0.04</v>
      </c>
    </row>
    <row r="115" spans="1:6" x14ac:dyDescent="0.3">
      <c r="A115" t="str">
        <f>HYPERLINK("https://us2.cloudbeds.com/connect/10074733072513#/reservations/31729284259989?display=MXGCZUTWT&amp;reservation_id=31729284259989", "MXGCZUTWT")</f>
        <v>MXGCZUTWT</v>
      </c>
      <c r="B115" t="s">
        <v>1641</v>
      </c>
      <c r="C115">
        <v>931.5</v>
      </c>
      <c r="D115">
        <v>1012.5</v>
      </c>
      <c r="E115">
        <v>1012.54</v>
      </c>
      <c r="F115">
        <v>-0.04</v>
      </c>
    </row>
    <row r="116" spans="1:6" x14ac:dyDescent="0.3">
      <c r="A116" t="str">
        <f>HYPERLINK("https://us2.cloudbeds.com/connect/10074733072513#/reservations/31733904232579?display=MXJVQKF29&amp;reservation_id=31733904232579", "MXJVQKF29")</f>
        <v>MXJVQKF29</v>
      </c>
      <c r="B116" t="s">
        <v>1673</v>
      </c>
      <c r="C116">
        <v>931.5</v>
      </c>
      <c r="D116">
        <v>1012.5</v>
      </c>
      <c r="E116">
        <v>1012.54</v>
      </c>
      <c r="F116">
        <v>-0.04</v>
      </c>
    </row>
    <row r="117" spans="1:6" x14ac:dyDescent="0.3">
      <c r="A117" t="str">
        <f>HYPERLINK("https://us2.cloudbeds.com/connect/10074733072513#/reservations/31731293708423?display=MXHV3BPHM&amp;reservation_id=31731293708423", "MXHV3BPHM")</f>
        <v>MXHV3BPHM</v>
      </c>
      <c r="B117" t="s">
        <v>1671</v>
      </c>
      <c r="C117">
        <v>975.6</v>
      </c>
      <c r="D117">
        <v>1060.44</v>
      </c>
      <c r="E117">
        <v>1060.48</v>
      </c>
      <c r="F117">
        <v>-0.04</v>
      </c>
    </row>
    <row r="118" spans="1:6" x14ac:dyDescent="0.3">
      <c r="A118" t="str">
        <f>HYPERLINK("https://us2.cloudbeds.com/connect/10074733072513#/reservations/31723354456193?display=MXBQ7PCEP&amp;reservation_id=31723354456193", "MXBQ7PCEP")</f>
        <v>MXBQ7PCEP</v>
      </c>
      <c r="B118" t="s">
        <v>1517</v>
      </c>
      <c r="C118">
        <v>472.6</v>
      </c>
      <c r="D118">
        <v>513.67999999999995</v>
      </c>
      <c r="E118">
        <v>513.72</v>
      </c>
      <c r="F118">
        <v>-0.04</v>
      </c>
    </row>
    <row r="119" spans="1:6" x14ac:dyDescent="0.3">
      <c r="A119" t="str">
        <f>HYPERLINK("https://us2.cloudbeds.com/connect/10074733072513#/reservations/31723113996489?display=MXBK307Y2&amp;reservation_id=31723113996489", "MXBK307Y2")</f>
        <v>MXBK307Y2</v>
      </c>
      <c r="B119" t="s">
        <v>1793</v>
      </c>
      <c r="C119">
        <v>523.20000000000005</v>
      </c>
      <c r="D119">
        <v>568.67999999999995</v>
      </c>
      <c r="E119">
        <v>568.72</v>
      </c>
      <c r="F119">
        <v>-0.04</v>
      </c>
    </row>
    <row r="120" spans="1:6" x14ac:dyDescent="0.3">
      <c r="A120" t="str">
        <f>HYPERLINK("https://us2.cloudbeds.com/connect/10074733072513#/reservations/31723097538813?display=MXBJM48WK&amp;reservation_id=31723097538813", "MXBJM48WK")</f>
        <v>MXBJM48WK</v>
      </c>
      <c r="B120" t="s">
        <v>1793</v>
      </c>
      <c r="C120">
        <v>523.20000000000005</v>
      </c>
      <c r="D120">
        <v>568.67999999999995</v>
      </c>
      <c r="E120">
        <v>568.72</v>
      </c>
      <c r="F120">
        <v>-0.04</v>
      </c>
    </row>
    <row r="121" spans="1:6" x14ac:dyDescent="0.3">
      <c r="A121" t="str">
        <f>HYPERLINK("https://us2.cloudbeds.com/connect/10074733072513#/reservations/31721426665690?display=MXA9W6P7Z&amp;reservation_id=31721426665690", "MXA9W6P7Z")</f>
        <v>MXA9W6P7Z</v>
      </c>
      <c r="B121" t="s">
        <v>1805</v>
      </c>
      <c r="C121">
        <v>481.5</v>
      </c>
      <c r="D121">
        <v>523.35</v>
      </c>
      <c r="E121">
        <v>523.39</v>
      </c>
      <c r="F121">
        <v>-0.04</v>
      </c>
    </row>
    <row r="122" spans="1:6" x14ac:dyDescent="0.3">
      <c r="A122" t="str">
        <f>HYPERLINK("https://us2.cloudbeds.com/connect/10074733072513#/reservations/31723132375242?display=MXBKXGYBW&amp;reservation_id=31723132375242", "MXBKXGYBW")</f>
        <v>MXBKXGYBW</v>
      </c>
      <c r="B122" t="s">
        <v>1812</v>
      </c>
      <c r="C122">
        <v>516</v>
      </c>
      <c r="D122">
        <v>560.85</v>
      </c>
      <c r="E122">
        <v>560.89</v>
      </c>
      <c r="F122">
        <v>-0.04</v>
      </c>
    </row>
    <row r="123" spans="1:6" x14ac:dyDescent="0.3">
      <c r="A123" t="str">
        <f>HYPERLINK("https://us2.cloudbeds.com/connect/10074733072513#/reservations/31718714011850?display=MX86YR5N7&amp;reservation_id=31718714011850", "MX86YR5N7")</f>
        <v>MX86YR5N7</v>
      </c>
      <c r="B123" t="s">
        <v>1798</v>
      </c>
      <c r="C123">
        <v>856.6</v>
      </c>
      <c r="D123">
        <v>931.08</v>
      </c>
      <c r="E123">
        <v>931.12</v>
      </c>
      <c r="F123">
        <v>-0.04</v>
      </c>
    </row>
    <row r="124" spans="1:6" x14ac:dyDescent="0.3">
      <c r="A124" t="str">
        <f>HYPERLINK("https://us2.cloudbeds.com/connect/10074733072513#/reservations/31713387045101?display=MX42HWFHD&amp;reservation_id=31713387045101", "MX42HWFHD")</f>
        <v>MX42HWFHD</v>
      </c>
      <c r="B124" t="s">
        <v>1853</v>
      </c>
      <c r="C124">
        <v>1164.5999999999999</v>
      </c>
      <c r="D124">
        <v>1265.8800000000001</v>
      </c>
      <c r="E124">
        <v>1265.92</v>
      </c>
      <c r="F124">
        <v>-0.04</v>
      </c>
    </row>
    <row r="125" spans="1:6" x14ac:dyDescent="0.3">
      <c r="A125" t="str">
        <f>HYPERLINK("https://us2.cloudbeds.com/connect/10074733072513#/reservations/31702968094958?display=MHT0AER6G&amp;reservation_id=31702968094958", "MHT0AER6G")</f>
        <v>MHT0AER6G</v>
      </c>
      <c r="B125" t="s">
        <v>2003</v>
      </c>
      <c r="C125">
        <v>1553.8</v>
      </c>
      <c r="D125">
        <v>1688.94</v>
      </c>
      <c r="E125">
        <v>1688.98</v>
      </c>
      <c r="F125">
        <v>-0.04</v>
      </c>
    </row>
    <row r="126" spans="1:6" x14ac:dyDescent="0.3">
      <c r="A126" t="str">
        <f>HYPERLINK("https://us2.cloudbeds.com/connect/10074733072513#/reservations/31701959807178?display=MHS7X7Z3B&amp;reservation_id=31701959807178", "MHS7X7Z3B")</f>
        <v>MHS7X7Z3B</v>
      </c>
      <c r="B126" t="s">
        <v>2014</v>
      </c>
      <c r="C126">
        <v>456.56</v>
      </c>
      <c r="D126">
        <v>496.24</v>
      </c>
      <c r="E126">
        <v>496.28</v>
      </c>
      <c r="F126">
        <v>-0.04</v>
      </c>
    </row>
    <row r="127" spans="1:6" x14ac:dyDescent="0.3">
      <c r="A127" t="str">
        <f>HYPERLINK("https://us2.cloudbeds.com/connect/10074733072513#/reservations/30647854330108?display=YQ40NXVT3&amp;reservation_id=30647854330108", "YQ40NXVT3")</f>
        <v>YQ40NXVT3</v>
      </c>
      <c r="B127" t="s">
        <v>53</v>
      </c>
      <c r="C127">
        <v>348.8</v>
      </c>
      <c r="D127">
        <v>379.12</v>
      </c>
      <c r="E127">
        <v>379.15</v>
      </c>
      <c r="F127">
        <v>-0.03</v>
      </c>
    </row>
    <row r="128" spans="1:6" x14ac:dyDescent="0.3">
      <c r="A128" t="str">
        <f>HYPERLINK("https://us2.cloudbeds.com/connect/10074733072513#/reservations/30646979362959?display=YQ3BBPNK2&amp;reservation_id=30646979362959", "YQ3BBPNK2")</f>
        <v>YQ3BBPNK2</v>
      </c>
      <c r="B128" t="s">
        <v>53</v>
      </c>
      <c r="C128">
        <v>309.60000000000002</v>
      </c>
      <c r="D128">
        <v>336.51</v>
      </c>
      <c r="E128">
        <v>336.54</v>
      </c>
      <c r="F128">
        <v>-0.03</v>
      </c>
    </row>
    <row r="129" spans="1:6" x14ac:dyDescent="0.3">
      <c r="A129" t="str">
        <f>HYPERLINK("https://us2.cloudbeds.com/connect/10074733072513#/reservations/30648588382355?display=YQ4JFX1NJ&amp;reservation_id=30648588382355", "YQ4JFX1NJ")</f>
        <v>YQ4JFX1NJ</v>
      </c>
      <c r="B129" t="s">
        <v>95</v>
      </c>
      <c r="C129">
        <v>309.60000000000002</v>
      </c>
      <c r="D129">
        <v>336.51</v>
      </c>
      <c r="E129">
        <v>336.54</v>
      </c>
      <c r="F129">
        <v>-0.03</v>
      </c>
    </row>
    <row r="130" spans="1:6" x14ac:dyDescent="0.3">
      <c r="A130" t="str">
        <f>HYPERLINK("https://us2.cloudbeds.com/connect/10074733072513#/reservations/30649064652998?display=YQ4VY4WGA&amp;reservation_id=30649064652998", "YQ4VY4WGA")</f>
        <v>YQ4VY4WGA</v>
      </c>
      <c r="B130" t="s">
        <v>99</v>
      </c>
      <c r="C130">
        <v>372.8</v>
      </c>
      <c r="D130">
        <v>405.2</v>
      </c>
      <c r="E130">
        <v>405.23</v>
      </c>
      <c r="F130">
        <v>-0.03</v>
      </c>
    </row>
    <row r="131" spans="1:6" x14ac:dyDescent="0.3">
      <c r="A131" t="str">
        <f>HYPERLINK("https://us2.cloudbeds.com/connect/10074733072513#/reservations/30651786129609?display=YQ725W2ZH&amp;reservation_id=30651786129609", "YQ725W2ZH")</f>
        <v>YQ725W2ZH</v>
      </c>
      <c r="B131" t="s">
        <v>113</v>
      </c>
      <c r="C131">
        <v>388.8</v>
      </c>
      <c r="D131">
        <v>422.6</v>
      </c>
      <c r="E131">
        <v>422.63</v>
      </c>
      <c r="F131">
        <v>-0.03</v>
      </c>
    </row>
    <row r="132" spans="1:6" x14ac:dyDescent="0.3">
      <c r="A132" t="str">
        <f>HYPERLINK("https://us2.cloudbeds.com/connect/10074733072513#/reservations/30650123137172?display=YQ5PMMSKA&amp;reservation_id=30650123137172", "YQ5PMMSKA")</f>
        <v>YQ5PMMSKA</v>
      </c>
      <c r="B132" t="s">
        <v>114</v>
      </c>
      <c r="C132">
        <v>348.8</v>
      </c>
      <c r="D132">
        <v>379.12</v>
      </c>
      <c r="E132">
        <v>379.15</v>
      </c>
      <c r="F132">
        <v>-0.03</v>
      </c>
    </row>
    <row r="133" spans="1:6" x14ac:dyDescent="0.3">
      <c r="A133" t="str">
        <f>HYPERLINK("https://us2.cloudbeds.com/connect/10074733072513#/reservations/30649858658532?display=YQ5XUMBS2&amp;reservation_id=30649858658532", "YQ5XUMBS2")</f>
        <v>YQ5XUMBS2</v>
      </c>
      <c r="B133" t="s">
        <v>136</v>
      </c>
      <c r="C133">
        <v>192.45</v>
      </c>
      <c r="D133">
        <v>209.16</v>
      </c>
      <c r="E133">
        <v>209.19</v>
      </c>
      <c r="F133">
        <v>-0.03</v>
      </c>
    </row>
    <row r="134" spans="1:6" x14ac:dyDescent="0.3">
      <c r="A134" t="str">
        <f>HYPERLINK("https://us2.cloudbeds.com/connect/10074733072513#/reservations/30649357295829?display=YQ563U6MT&amp;reservation_id=30649357295829", "YQ563U6MT")</f>
        <v>YQ563U6MT</v>
      </c>
      <c r="B134" t="s">
        <v>135</v>
      </c>
      <c r="C134">
        <v>192.45</v>
      </c>
      <c r="D134">
        <v>209.16</v>
      </c>
      <c r="E134">
        <v>209.19</v>
      </c>
      <c r="F134">
        <v>-0.03</v>
      </c>
    </row>
    <row r="135" spans="1:6" x14ac:dyDescent="0.3">
      <c r="A135" t="str">
        <f>HYPERLINK("https://us2.cloudbeds.com/connect/10074733072513#/reservations/30649821982872?display=YQ5HWZQXE&amp;reservation_id=30649821982872", "YQ5HWZQXE")</f>
        <v>YQ5HWZQXE</v>
      </c>
      <c r="B135" t="s">
        <v>152</v>
      </c>
      <c r="C135">
        <v>372.8</v>
      </c>
      <c r="D135">
        <v>405.2</v>
      </c>
      <c r="E135">
        <v>405.23</v>
      </c>
      <c r="F135">
        <v>-0.03</v>
      </c>
    </row>
    <row r="136" spans="1:6" x14ac:dyDescent="0.3">
      <c r="A136" t="str">
        <f>HYPERLINK("https://us2.cloudbeds.com/connect/10074733072513#/reservations/30650914177171?display=YQ6CTNNQC&amp;reservation_id=30650914177171", "YQ6CTNNQC")</f>
        <v>YQ6CTNNQC</v>
      </c>
      <c r="B136" t="s">
        <v>152</v>
      </c>
      <c r="C136">
        <v>372.8</v>
      </c>
      <c r="D136">
        <v>405.2</v>
      </c>
      <c r="E136">
        <v>405.23</v>
      </c>
      <c r="F136">
        <v>-0.03</v>
      </c>
    </row>
    <row r="137" spans="1:6" x14ac:dyDescent="0.3">
      <c r="A137" t="str">
        <f>HYPERLINK("https://us2.cloudbeds.com/connect/10074733072513#/reservations/30651049439388?display=YQ6GBPJHE&amp;reservation_id=30651049439388", "YQ6GBPJHE")</f>
        <v>YQ6GBPJHE</v>
      </c>
      <c r="B137" t="s">
        <v>156</v>
      </c>
      <c r="C137">
        <v>192.45</v>
      </c>
      <c r="D137">
        <v>209.16</v>
      </c>
      <c r="E137">
        <v>209.19</v>
      </c>
      <c r="F137">
        <v>-0.03</v>
      </c>
    </row>
    <row r="138" spans="1:6" x14ac:dyDescent="0.3">
      <c r="A138" t="str">
        <f>HYPERLINK("https://us2.cloudbeds.com/connect/10074733072513#/reservations/30650563182828?display=YQ63UZPV5&amp;reservation_id=30650563182828", "YQ63UZPV5")</f>
        <v>YQ63UZPV5</v>
      </c>
      <c r="B138" t="s">
        <v>162</v>
      </c>
      <c r="C138">
        <v>192.45</v>
      </c>
      <c r="D138">
        <v>209.16</v>
      </c>
      <c r="E138">
        <v>209.19</v>
      </c>
      <c r="F138">
        <v>-0.03</v>
      </c>
    </row>
    <row r="139" spans="1:6" x14ac:dyDescent="0.3">
      <c r="A139" t="str">
        <f>HYPERLINK("https://us2.cloudbeds.com/connect/10074733072513#/reservations/30653275951232?display=YQ8787EW4&amp;reservation_id=30653275951232", "YQ8787EW4")</f>
        <v>YQ8787EW4</v>
      </c>
      <c r="B139" t="s">
        <v>198</v>
      </c>
      <c r="C139">
        <v>486</v>
      </c>
      <c r="D139">
        <v>528.25</v>
      </c>
      <c r="E139">
        <v>528.28</v>
      </c>
      <c r="F139">
        <v>-0.03</v>
      </c>
    </row>
    <row r="140" spans="1:6" x14ac:dyDescent="0.3">
      <c r="A140" t="str">
        <f>HYPERLINK("https://us2.cloudbeds.com/connect/10074733072513#/reservations/30652040568977?display=YQ78MH7NC&amp;reservation_id=30652040568977", "YQ78MH7NC")</f>
        <v>YQ78MH7NC</v>
      </c>
      <c r="B140" t="s">
        <v>222</v>
      </c>
      <c r="C140">
        <v>879</v>
      </c>
      <c r="D140">
        <v>955.44</v>
      </c>
      <c r="E140">
        <v>955.47</v>
      </c>
      <c r="F140">
        <v>-0.03</v>
      </c>
    </row>
    <row r="141" spans="1:6" x14ac:dyDescent="0.3">
      <c r="A141" t="str">
        <f>HYPERLINK("https://us2.cloudbeds.com/connect/10074733072513#/reservations/30652437147834?display=YQ7XQUKKH&amp;reservation_id=30652437147834", "YQ7XQUKKH")</f>
        <v>YQ7XQUKKH</v>
      </c>
      <c r="B141" t="s">
        <v>232</v>
      </c>
      <c r="C141">
        <v>436</v>
      </c>
      <c r="D141">
        <v>473.9</v>
      </c>
      <c r="E141">
        <v>473.93</v>
      </c>
      <c r="F141">
        <v>-0.03</v>
      </c>
    </row>
    <row r="142" spans="1:6" x14ac:dyDescent="0.3">
      <c r="A142" t="str">
        <f>HYPERLINK("https://us2.cloudbeds.com/connect/10074733072513#/reservations/30652026622177?display=YQ78AP4Z3&amp;reservation_id=30652026622177", "YQ78AP4Z3")</f>
        <v>YQ78AP4Z3</v>
      </c>
      <c r="B142" t="s">
        <v>222</v>
      </c>
      <c r="C142">
        <v>1008</v>
      </c>
      <c r="D142">
        <v>1095.67</v>
      </c>
      <c r="E142">
        <v>1095.7</v>
      </c>
      <c r="F142">
        <v>-0.03</v>
      </c>
    </row>
    <row r="143" spans="1:6" x14ac:dyDescent="0.3">
      <c r="A143" t="str">
        <f>HYPERLINK("https://us2.cloudbeds.com/connect/10074733072513#/reservations/30652999528593?display=YQ8064N1N&amp;reservation_id=30652999528593", "YQ8064N1N")</f>
        <v>YQ8064N1N</v>
      </c>
      <c r="B143" t="s">
        <v>249</v>
      </c>
      <c r="C143">
        <v>309.60000000000002</v>
      </c>
      <c r="D143">
        <v>336.51</v>
      </c>
      <c r="E143">
        <v>336.54</v>
      </c>
      <c r="F143">
        <v>-0.03</v>
      </c>
    </row>
    <row r="144" spans="1:6" x14ac:dyDescent="0.3">
      <c r="A144" t="str">
        <f>HYPERLINK("https://us2.cloudbeds.com/connect/10074733072513#/reservations/30656173936825?display=YQAF9T9FX&amp;reservation_id=30656173936825", "YQAF9T9FX")</f>
        <v>YQAF9T9FX</v>
      </c>
      <c r="B144" t="s">
        <v>155</v>
      </c>
      <c r="C144">
        <v>192.45</v>
      </c>
      <c r="D144">
        <v>209.16</v>
      </c>
      <c r="E144">
        <v>209.19</v>
      </c>
      <c r="F144">
        <v>-0.03</v>
      </c>
    </row>
    <row r="145" spans="1:6" x14ac:dyDescent="0.3">
      <c r="A145" t="str">
        <f>HYPERLINK("https://us2.cloudbeds.com/connect/10074733072513#/reservations/30654161723596?display=YQ8TT4G33&amp;reservation_id=30654161723596", "YQ8TT4G33")</f>
        <v>YQ8TT4G33</v>
      </c>
      <c r="B145" t="s">
        <v>261</v>
      </c>
      <c r="C145">
        <v>309.60000000000002</v>
      </c>
      <c r="D145">
        <v>336.51</v>
      </c>
      <c r="E145">
        <v>336.54</v>
      </c>
      <c r="F145">
        <v>-0.03</v>
      </c>
    </row>
    <row r="146" spans="1:6" x14ac:dyDescent="0.3">
      <c r="A146" t="str">
        <f>HYPERLINK("https://us2.cloudbeds.com/connect/10074733072513#/reservations/30654203338882?display=YQ8UV7GAC&amp;reservation_id=30654203338882", "YQ8UV7GAC")</f>
        <v>YQ8UV7GAC</v>
      </c>
      <c r="B146" t="s">
        <v>245</v>
      </c>
      <c r="C146">
        <v>192.45</v>
      </c>
      <c r="D146">
        <v>209.16</v>
      </c>
      <c r="E146">
        <v>209.19</v>
      </c>
      <c r="F146">
        <v>-0.03</v>
      </c>
    </row>
    <row r="147" spans="1:6" x14ac:dyDescent="0.3">
      <c r="A147" t="str">
        <f>HYPERLINK("https://us2.cloudbeds.com/connect/10074733072513#/reservations/30653656486117?display=YQ8GW3GRF&amp;reservation_id=30653656486117", "YQ8GW3GRF")</f>
        <v>YQ8GW3GRF</v>
      </c>
      <c r="B147" t="s">
        <v>257</v>
      </c>
      <c r="C147">
        <v>192.45</v>
      </c>
      <c r="D147">
        <v>209.16</v>
      </c>
      <c r="E147">
        <v>209.19</v>
      </c>
      <c r="F147">
        <v>-0.03</v>
      </c>
    </row>
    <row r="148" spans="1:6" x14ac:dyDescent="0.3">
      <c r="A148" t="str">
        <f>HYPERLINK("https://us2.cloudbeds.com/connect/10074733072513#/reservations/30658963853567?display=YQCKJDRG4&amp;reservation_id=30658963853567", "YQCKJDRG4")</f>
        <v>YQCKJDRG4</v>
      </c>
      <c r="B148" t="s">
        <v>297</v>
      </c>
      <c r="C148">
        <v>354.45</v>
      </c>
      <c r="D148">
        <v>385.26</v>
      </c>
      <c r="E148">
        <v>385.29</v>
      </c>
      <c r="F148">
        <v>-0.03</v>
      </c>
    </row>
    <row r="149" spans="1:6" x14ac:dyDescent="0.3">
      <c r="A149" t="str">
        <f>HYPERLINK("https://us2.cloudbeds.com/connect/10074733072513#/reservations/30652674334895?display=YQ7ZSUN87&amp;reservation_id=30652674334895", "YQ7ZSUN87")</f>
        <v>YQ7ZSUN87</v>
      </c>
      <c r="B149" t="s">
        <v>273</v>
      </c>
      <c r="C149">
        <v>192.45</v>
      </c>
      <c r="D149">
        <v>209.16</v>
      </c>
      <c r="E149">
        <v>209.19</v>
      </c>
      <c r="F149">
        <v>-0.03</v>
      </c>
    </row>
    <row r="150" spans="1:6" x14ac:dyDescent="0.3">
      <c r="A150" t="str">
        <f>HYPERLINK("https://us2.cloudbeds.com/connect/10074733072513#/reservations/30652686754022?display=YQ7P6D9DD&amp;reservation_id=30652686754022", "YQ7P6D9DD")</f>
        <v>YQ7P6D9DD</v>
      </c>
      <c r="B150" t="s">
        <v>273</v>
      </c>
      <c r="C150">
        <v>192.45</v>
      </c>
      <c r="D150">
        <v>209.16</v>
      </c>
      <c r="E150">
        <v>209.19</v>
      </c>
      <c r="F150">
        <v>-0.03</v>
      </c>
    </row>
    <row r="151" spans="1:6" x14ac:dyDescent="0.3">
      <c r="A151" t="str">
        <f>HYPERLINK("https://us2.cloudbeds.com/connect/10074733072513#/reservations/30654491623590?display=YQ95AAEXK&amp;reservation_id=30654491623590", "YQ95AAEXK")</f>
        <v>YQ95AAEXK</v>
      </c>
      <c r="B151" t="s">
        <v>275</v>
      </c>
      <c r="C151">
        <v>348.8</v>
      </c>
      <c r="D151">
        <v>379.12</v>
      </c>
      <c r="E151">
        <v>379.15</v>
      </c>
      <c r="F151">
        <v>-0.03</v>
      </c>
    </row>
    <row r="152" spans="1:6" x14ac:dyDescent="0.3">
      <c r="A152" t="str">
        <f>HYPERLINK("https://us2.cloudbeds.com/connect/10074733072513#/reservations/30654015938789?display=YQ8Q56QZM&amp;reservation_id=30654015938789", "YQ8Q56QZM")</f>
        <v>YQ8Q56QZM</v>
      </c>
      <c r="B152" t="s">
        <v>317</v>
      </c>
      <c r="C152">
        <v>348.8</v>
      </c>
      <c r="D152">
        <v>379.12</v>
      </c>
      <c r="E152">
        <v>379.15</v>
      </c>
      <c r="F152">
        <v>-0.03</v>
      </c>
    </row>
    <row r="153" spans="1:6" x14ac:dyDescent="0.3">
      <c r="A153" t="str">
        <f>HYPERLINK("https://us2.cloudbeds.com/connect/10074733072513#/reservations/30656393535680?display=YQAKU1RK4&amp;reservation_id=30656393535680", "YQAKU1RK4")</f>
        <v>YQAKU1RK4</v>
      </c>
      <c r="B153" t="s">
        <v>321</v>
      </c>
      <c r="C153">
        <v>192.45</v>
      </c>
      <c r="D153">
        <v>209.16</v>
      </c>
      <c r="E153">
        <v>209.19</v>
      </c>
      <c r="F153">
        <v>-0.03</v>
      </c>
    </row>
    <row r="154" spans="1:6" x14ac:dyDescent="0.3">
      <c r="A154" t="str">
        <f>HYPERLINK("https://us2.cloudbeds.com/connect/10074733072513#/reservations/30656320753873?display=YQAJ1MMN0&amp;reservation_id=30656320753873", "YQAJ1MMN0")</f>
        <v>YQAJ1MMN0</v>
      </c>
      <c r="B154" t="s">
        <v>329</v>
      </c>
      <c r="C154">
        <v>348.8</v>
      </c>
      <c r="D154">
        <v>379.12</v>
      </c>
      <c r="E154">
        <v>379.15</v>
      </c>
      <c r="F154">
        <v>-0.03</v>
      </c>
    </row>
    <row r="155" spans="1:6" x14ac:dyDescent="0.3">
      <c r="A155" t="str">
        <f>HYPERLINK("https://us2.cloudbeds.com/connect/10074733072513#/reservations/30658611699857?display=YQCBJFY0J&amp;reservation_id=30658611699857", "YQCBJFY0J")</f>
        <v>YQCBJFY0J</v>
      </c>
      <c r="B155" t="s">
        <v>367</v>
      </c>
      <c r="C155">
        <v>536.4</v>
      </c>
      <c r="D155">
        <v>583.04</v>
      </c>
      <c r="E155">
        <v>583.07000000000005</v>
      </c>
      <c r="F155">
        <v>-0.03</v>
      </c>
    </row>
    <row r="156" spans="1:6" x14ac:dyDescent="0.3">
      <c r="A156" t="str">
        <f>HYPERLINK("https://us2.cloudbeds.com/connect/10074733072513#/reservations/30658020765857?display=YQBTG60TM&amp;reservation_id=30658020765857", "YQBTG60TM")</f>
        <v>YQBTG60TM</v>
      </c>
      <c r="B156" t="s">
        <v>372</v>
      </c>
      <c r="C156">
        <v>354.45</v>
      </c>
      <c r="D156">
        <v>385.26</v>
      </c>
      <c r="E156">
        <v>385.29</v>
      </c>
      <c r="F156">
        <v>-0.03</v>
      </c>
    </row>
    <row r="157" spans="1:6" x14ac:dyDescent="0.3">
      <c r="A157" t="str">
        <f>HYPERLINK("https://us2.cloudbeds.com/connect/10074733072513#/reservations/30658559635587?display=YQCA8XSPE&amp;reservation_id=30658559635587", "YQCA8XSPE")</f>
        <v>YQCA8XSPE</v>
      </c>
      <c r="B157" t="s">
        <v>368</v>
      </c>
      <c r="C157">
        <v>309.60000000000002</v>
      </c>
      <c r="D157">
        <v>336.51</v>
      </c>
      <c r="E157">
        <v>336.54</v>
      </c>
      <c r="F157">
        <v>-0.03</v>
      </c>
    </row>
    <row r="158" spans="1:6" x14ac:dyDescent="0.3">
      <c r="A158" t="str">
        <f>HYPERLINK("https://us2.cloudbeds.com/connect/10074733072513#/reservations/30659377123488?display=YQCV4TMC2&amp;reservation_id=30659377123488", "YQCV4TMC2")</f>
        <v>YQCV4TMC2</v>
      </c>
      <c r="B158" t="s">
        <v>356</v>
      </c>
      <c r="C158">
        <v>412.8</v>
      </c>
      <c r="D158">
        <v>448.68</v>
      </c>
      <c r="E158">
        <v>448.71</v>
      </c>
      <c r="F158">
        <v>-0.03</v>
      </c>
    </row>
    <row r="159" spans="1:6" x14ac:dyDescent="0.3">
      <c r="A159" t="str">
        <f>HYPERLINK("https://us2.cloudbeds.com/connect/10074733072513#/reservations/30658720100526?display=YQCEBT1GB&amp;reservation_id=30658720100526", "YQCEBT1GB")</f>
        <v>YQCEBT1GB</v>
      </c>
      <c r="B159" t="s">
        <v>375</v>
      </c>
      <c r="C159">
        <v>412.8</v>
      </c>
      <c r="D159">
        <v>448.68</v>
      </c>
      <c r="E159">
        <v>448.71</v>
      </c>
      <c r="F159">
        <v>-0.03</v>
      </c>
    </row>
    <row r="160" spans="1:6" x14ac:dyDescent="0.3">
      <c r="A160" t="str">
        <f>HYPERLINK("https://us2.cloudbeds.com/connect/10074733072513#/reservations/30659197403264?display=YQCQXBJAG&amp;reservation_id=30659197403264", "YQCQXBJAG")</f>
        <v>YQCQXBJAG</v>
      </c>
      <c r="B160" t="s">
        <v>264</v>
      </c>
      <c r="C160">
        <v>510.3</v>
      </c>
      <c r="D160">
        <v>554.66999999999996</v>
      </c>
      <c r="E160">
        <v>554.70000000000005</v>
      </c>
      <c r="F160">
        <v>-0.03</v>
      </c>
    </row>
    <row r="161" spans="1:6" x14ac:dyDescent="0.3">
      <c r="A161" t="str">
        <f>HYPERLINK("https://us2.cloudbeds.com/connect/10074733072513#/reservations/30660976992387?display=YQE60VCQQ&amp;reservation_id=30660976992387", "YQE60VCQQ")</f>
        <v>YQE60VCQQ</v>
      </c>
      <c r="B161" t="s">
        <v>408</v>
      </c>
      <c r="C161">
        <v>412.8</v>
      </c>
      <c r="D161">
        <v>448.68</v>
      </c>
      <c r="E161">
        <v>448.71</v>
      </c>
      <c r="F161">
        <v>-0.03</v>
      </c>
    </row>
    <row r="162" spans="1:6" x14ac:dyDescent="0.3">
      <c r="A162" t="str">
        <f>HYPERLINK("https://us2.cloudbeds.com/connect/10074733072513#/reservations/30659665047741?display=YQD5GMJKE&amp;reservation_id=30659665047741", "YQD5GMJKE")</f>
        <v>YQD5GMJKE</v>
      </c>
      <c r="B162" t="s">
        <v>361</v>
      </c>
      <c r="C162">
        <v>405.97</v>
      </c>
      <c r="D162">
        <v>441.26</v>
      </c>
      <c r="E162">
        <v>441.29</v>
      </c>
      <c r="F162">
        <v>-0.03</v>
      </c>
    </row>
    <row r="163" spans="1:6" x14ac:dyDescent="0.3">
      <c r="A163" t="str">
        <f>HYPERLINK("https://us2.cloudbeds.com/connect/10074733072513#/reservations/30662326628521?display=YQF7H003F&amp;reservation_id=30662326628521", "YQF7H003F")</f>
        <v>YQF7H003F</v>
      </c>
      <c r="B163" t="s">
        <v>417</v>
      </c>
      <c r="C163">
        <v>312.89999999999998</v>
      </c>
      <c r="D163">
        <v>340.09</v>
      </c>
      <c r="E163">
        <v>340.12</v>
      </c>
      <c r="F163">
        <v>-0.03</v>
      </c>
    </row>
    <row r="164" spans="1:6" x14ac:dyDescent="0.3">
      <c r="A164" t="str">
        <f>HYPERLINK("https://us2.cloudbeds.com/connect/10074733072513#/reservations/30660195365056?display=YQDJ1SBAU&amp;reservation_id=30660195365056", "YQDJ1SBAU")</f>
        <v>YQDJ1SBAU</v>
      </c>
      <c r="B164" t="s">
        <v>420</v>
      </c>
      <c r="C164">
        <v>348.8</v>
      </c>
      <c r="D164">
        <v>379.12</v>
      </c>
      <c r="E164">
        <v>379.15</v>
      </c>
      <c r="F164">
        <v>-0.03</v>
      </c>
    </row>
    <row r="165" spans="1:6" x14ac:dyDescent="0.3">
      <c r="A165" t="str">
        <f>HYPERLINK("https://us2.cloudbeds.com/connect/10074733072513#/reservations/30662974681270?display=YQFZ2F0SX&amp;reservation_id=30662974681270", "YQFZ2F0SX")</f>
        <v>YQFZ2F0SX</v>
      </c>
      <c r="B165" t="s">
        <v>417</v>
      </c>
      <c r="C165">
        <v>312.89999999999998</v>
      </c>
      <c r="D165">
        <v>340.09</v>
      </c>
      <c r="E165">
        <v>340.12</v>
      </c>
      <c r="F165">
        <v>-0.03</v>
      </c>
    </row>
    <row r="166" spans="1:6" x14ac:dyDescent="0.3">
      <c r="A166" t="str">
        <f>HYPERLINK("https://us2.cloudbeds.com/connect/10074733072513#/reservations/30662404477111?display=YQF9GY8DY&amp;reservation_id=30662404477111", "YQF9GY8DY")</f>
        <v>YQF9GY8DY</v>
      </c>
      <c r="B166" t="s">
        <v>446</v>
      </c>
      <c r="C166">
        <v>588.6</v>
      </c>
      <c r="D166">
        <v>639.78</v>
      </c>
      <c r="E166">
        <v>639.80999999999995</v>
      </c>
      <c r="F166">
        <v>-0.03</v>
      </c>
    </row>
    <row r="167" spans="1:6" x14ac:dyDescent="0.3">
      <c r="A167" t="str">
        <f>HYPERLINK("https://us2.cloudbeds.com/connect/10074733072513#/reservations/30661983514810?display=YQEVZMBR9&amp;reservation_id=30661983514810", "YQEVZMBR9")</f>
        <v>YQEVZMBR9</v>
      </c>
      <c r="B167" t="s">
        <v>451</v>
      </c>
      <c r="C167">
        <v>192.45</v>
      </c>
      <c r="D167">
        <v>209.16</v>
      </c>
      <c r="E167">
        <v>209.19</v>
      </c>
      <c r="F167">
        <v>-0.03</v>
      </c>
    </row>
    <row r="168" spans="1:6" x14ac:dyDescent="0.3">
      <c r="A168" t="str">
        <f>HYPERLINK("https://us2.cloudbeds.com/connect/10074733072513#/reservations/30661989396704?display=YQEVTY10G&amp;reservation_id=30661989396704", "YQEVTY10G")</f>
        <v>YQEVTY10G</v>
      </c>
      <c r="B168" t="s">
        <v>451</v>
      </c>
      <c r="C168">
        <v>192.45</v>
      </c>
      <c r="D168">
        <v>209.16</v>
      </c>
      <c r="E168">
        <v>209.19</v>
      </c>
      <c r="F168">
        <v>-0.03</v>
      </c>
    </row>
    <row r="169" spans="1:6" x14ac:dyDescent="0.3">
      <c r="A169" t="str">
        <f>HYPERLINK("https://us2.cloudbeds.com/connect/10074733072513#/reservations/30662989713588?display=YQFZF4AYB&amp;reservation_id=30662989713588", "YQFZF4AYB")</f>
        <v>YQFZF4AYB</v>
      </c>
      <c r="B169" t="s">
        <v>456</v>
      </c>
      <c r="C169">
        <v>192.45</v>
      </c>
      <c r="D169">
        <v>209.16</v>
      </c>
      <c r="E169">
        <v>209.19</v>
      </c>
      <c r="F169">
        <v>-0.03</v>
      </c>
    </row>
    <row r="170" spans="1:6" x14ac:dyDescent="0.3">
      <c r="A170" t="str">
        <f>HYPERLINK("https://us2.cloudbeds.com/connect/10074733072513#/reservations/30662864961711?display=YQFY8UU9D&amp;reservation_id=30662864961711", "YQFY8UU9D")</f>
        <v>YQFY8UU9D</v>
      </c>
      <c r="B170" t="s">
        <v>468</v>
      </c>
      <c r="C170">
        <v>309.60000000000002</v>
      </c>
      <c r="D170">
        <v>336.51</v>
      </c>
      <c r="E170">
        <v>336.54</v>
      </c>
      <c r="F170">
        <v>-0.03</v>
      </c>
    </row>
    <row r="171" spans="1:6" x14ac:dyDescent="0.3">
      <c r="A171" t="str">
        <f>HYPERLINK("https://us2.cloudbeds.com/connect/10074733072513#/reservations/30662595391738?display=YQFECKZ9C&amp;reservation_id=30662595391738", "YQFECKZ9C")</f>
        <v>YQFECKZ9C</v>
      </c>
      <c r="B171" t="s">
        <v>483</v>
      </c>
      <c r="C171">
        <v>192.45</v>
      </c>
      <c r="D171">
        <v>209.16</v>
      </c>
      <c r="E171">
        <v>209.19</v>
      </c>
      <c r="F171">
        <v>-0.03</v>
      </c>
    </row>
    <row r="172" spans="1:6" x14ac:dyDescent="0.3">
      <c r="A172" t="str">
        <f>HYPERLINK("https://us2.cloudbeds.com/connect/10074733072513#/reservations/30662588133528?display=YQFE6GP8K&amp;reservation_id=30662588133528", "YQFE6GP8K")</f>
        <v>YQFE6GP8K</v>
      </c>
      <c r="B172" t="s">
        <v>483</v>
      </c>
      <c r="C172">
        <v>192.45</v>
      </c>
      <c r="D172">
        <v>209.16</v>
      </c>
      <c r="E172">
        <v>209.19</v>
      </c>
      <c r="F172">
        <v>-0.03</v>
      </c>
    </row>
    <row r="173" spans="1:6" x14ac:dyDescent="0.3">
      <c r="A173" t="str">
        <f>HYPERLINK("https://us2.cloudbeds.com/connect/10074733072513#/reservations/30664940707987?display=YQH8A8KCN&amp;reservation_id=30664940707987", "YQH8A8KCN")</f>
        <v>YQH8A8KCN</v>
      </c>
      <c r="B173" t="s">
        <v>488</v>
      </c>
      <c r="C173">
        <v>330.3</v>
      </c>
      <c r="D173">
        <v>359.01</v>
      </c>
      <c r="E173">
        <v>359.04</v>
      </c>
      <c r="F173">
        <v>-0.03</v>
      </c>
    </row>
    <row r="174" spans="1:6" x14ac:dyDescent="0.3">
      <c r="A174" t="str">
        <f>HYPERLINK("https://us2.cloudbeds.com/connect/10074733072513#/reservations/30665090912402?display=YQHC4U94M&amp;reservation_id=30665090912402", "YQHC4U94M")</f>
        <v>YQHC4U94M</v>
      </c>
      <c r="B174" t="s">
        <v>498</v>
      </c>
      <c r="C174">
        <v>330.3</v>
      </c>
      <c r="D174">
        <v>359.01</v>
      </c>
      <c r="E174">
        <v>359.04</v>
      </c>
      <c r="F174">
        <v>-0.03</v>
      </c>
    </row>
    <row r="175" spans="1:6" x14ac:dyDescent="0.3">
      <c r="A175" t="str">
        <f>HYPERLINK("https://us2.cloudbeds.com/connect/10074733072513#/reservations/30664083251440?display=YQGJD7KY0&amp;reservation_id=30664083251440", "YQGJD7KY0")</f>
        <v>YQGJD7KY0</v>
      </c>
      <c r="B175" t="s">
        <v>531</v>
      </c>
      <c r="C175">
        <v>778.4</v>
      </c>
      <c r="D175">
        <v>846.09</v>
      </c>
      <c r="E175">
        <v>846.12</v>
      </c>
      <c r="F175">
        <v>-0.03</v>
      </c>
    </row>
    <row r="176" spans="1:6" x14ac:dyDescent="0.3">
      <c r="A176" t="str">
        <f>HYPERLINK("https://us2.cloudbeds.com/connect/10074733072513#/reservations/30667002728640?display=YQXS008TT&amp;reservation_id=30667002728640", "YQXS008TT")</f>
        <v>YQXS008TT</v>
      </c>
      <c r="B176" t="s">
        <v>575</v>
      </c>
      <c r="C176">
        <v>597.6</v>
      </c>
      <c r="D176">
        <v>649.55999999999995</v>
      </c>
      <c r="E176">
        <v>649.59</v>
      </c>
      <c r="F176">
        <v>-0.03</v>
      </c>
    </row>
    <row r="177" spans="1:6" x14ac:dyDescent="0.3">
      <c r="A177" t="str">
        <f>HYPERLINK("https://us2.cloudbeds.com/connect/10074733072513#/reservations/30670234648828?display=YQYBJ8AZF&amp;reservation_id=30670234648828", "YQYBJ8AZF")</f>
        <v>YQYBJ8AZF</v>
      </c>
      <c r="B177" t="s">
        <v>607</v>
      </c>
      <c r="C177">
        <v>318.57</v>
      </c>
      <c r="D177">
        <v>346.26</v>
      </c>
      <c r="E177">
        <v>346.29</v>
      </c>
      <c r="F177">
        <v>-0.03</v>
      </c>
    </row>
    <row r="178" spans="1:6" x14ac:dyDescent="0.3">
      <c r="A178" t="str">
        <f>HYPERLINK("https://us2.cloudbeds.com/connect/10074733072513#/reservations/30666565378257?display=YQXGR7F95&amp;reservation_id=30666565378257", "YQXGR7F95")</f>
        <v>YQXGR7F95</v>
      </c>
      <c r="B178" t="s">
        <v>610</v>
      </c>
      <c r="C178">
        <v>192.45</v>
      </c>
      <c r="D178">
        <v>209.16</v>
      </c>
      <c r="E178">
        <v>209.19</v>
      </c>
      <c r="F178">
        <v>-0.03</v>
      </c>
    </row>
    <row r="179" spans="1:6" x14ac:dyDescent="0.3">
      <c r="A179" t="str">
        <f>HYPERLINK("https://us2.cloudbeds.com/connect/10074733072513#/reservations/30666559455469?display=YQXGM7YHZ&amp;reservation_id=30666559455469", "YQXGM7YHZ")</f>
        <v>YQXGM7YHZ</v>
      </c>
      <c r="B179" t="s">
        <v>610</v>
      </c>
      <c r="C179">
        <v>192.45</v>
      </c>
      <c r="D179">
        <v>209.16</v>
      </c>
      <c r="E179">
        <v>209.19</v>
      </c>
      <c r="F179">
        <v>-0.03</v>
      </c>
    </row>
    <row r="180" spans="1:6" x14ac:dyDescent="0.3">
      <c r="A180" t="str">
        <f>HYPERLINK("https://us2.cloudbeds.com/connect/10074733072513#/reservations/30667497218195?display=YQJ7KW9B1&amp;reservation_id=30667497218195", "YQJ7KW9B1")</f>
        <v>YQJ7KW9B1</v>
      </c>
      <c r="B180" t="s">
        <v>614</v>
      </c>
      <c r="C180">
        <v>536.4</v>
      </c>
      <c r="D180">
        <v>583.04</v>
      </c>
      <c r="E180">
        <v>583.07000000000005</v>
      </c>
      <c r="F180">
        <v>-0.03</v>
      </c>
    </row>
    <row r="181" spans="1:6" x14ac:dyDescent="0.3">
      <c r="A181" t="str">
        <f>HYPERLINK("https://us2.cloudbeds.com/connect/10074733072513#/reservations/30668759273698?display=YQK6T5RY6&amp;reservation_id=30668759273698", "YQK6T5RY6")</f>
        <v>YQK6T5RY6</v>
      </c>
      <c r="B181" t="s">
        <v>627</v>
      </c>
      <c r="C181">
        <v>536.4</v>
      </c>
      <c r="D181">
        <v>583.04</v>
      </c>
      <c r="E181">
        <v>583.07000000000005</v>
      </c>
      <c r="F181">
        <v>-0.03</v>
      </c>
    </row>
    <row r="182" spans="1:6" x14ac:dyDescent="0.3">
      <c r="A182" t="str">
        <f>HYPERLINK("https://us2.cloudbeds.com/connect/10074733072513#/reservations/30670334226598?display=YQYE477CY&amp;reservation_id=30670334226598", "YQYE477CY")</f>
        <v>YQYE477CY</v>
      </c>
      <c r="B182" t="s">
        <v>632</v>
      </c>
      <c r="C182">
        <v>309.60000000000002</v>
      </c>
      <c r="D182">
        <v>336.51</v>
      </c>
      <c r="E182">
        <v>336.54</v>
      </c>
      <c r="F182">
        <v>-0.03</v>
      </c>
    </row>
    <row r="183" spans="1:6" x14ac:dyDescent="0.3">
      <c r="A183" t="str">
        <f>HYPERLINK("https://us2.cloudbeds.com/connect/10074733072513#/reservations/30668918182082?display=YQKAV5N0P&amp;reservation_id=30668918182082", "YQKAV5N0P")</f>
        <v>YQKAV5N0P</v>
      </c>
      <c r="B183" t="s">
        <v>654</v>
      </c>
      <c r="C183">
        <v>356</v>
      </c>
      <c r="D183">
        <v>386.94</v>
      </c>
      <c r="E183">
        <v>386.97</v>
      </c>
      <c r="F183">
        <v>-0.03</v>
      </c>
    </row>
    <row r="184" spans="1:6" x14ac:dyDescent="0.3">
      <c r="A184" t="str">
        <f>HYPERLINK("https://us2.cloudbeds.com/connect/10074733072513#/reservations/30670210547961?display=YQYAVUMX5&amp;reservation_id=30670210547961", "YQYAVUMX5")</f>
        <v>YQYAVUMX5</v>
      </c>
      <c r="B184" t="s">
        <v>544</v>
      </c>
      <c r="C184">
        <v>420.3</v>
      </c>
      <c r="D184">
        <v>456.84</v>
      </c>
      <c r="E184">
        <v>456.87</v>
      </c>
      <c r="F184">
        <v>-0.03</v>
      </c>
    </row>
    <row r="185" spans="1:6" x14ac:dyDescent="0.3">
      <c r="A185" t="str">
        <f>HYPERLINK("https://us2.cloudbeds.com/connect/10074733072513#/reservations/30670858420417?display=YQYRH7MZR&amp;reservation_id=30670858420417", "YQYRH7MZR")</f>
        <v>YQYRH7MZR</v>
      </c>
      <c r="B185" t="s">
        <v>544</v>
      </c>
      <c r="C185">
        <v>536.4</v>
      </c>
      <c r="D185">
        <v>583.04</v>
      </c>
      <c r="E185">
        <v>583.07000000000005</v>
      </c>
      <c r="F185">
        <v>-0.03</v>
      </c>
    </row>
    <row r="186" spans="1:6" x14ac:dyDescent="0.3">
      <c r="A186" t="str">
        <f>HYPERLINK("https://us2.cloudbeds.com/connect/10074733072513#/reservations/30670515921117?display=YQYXPE4M5&amp;reservation_id=30670515921117", "YQYXPE4M5")</f>
        <v>YQYXPE4M5</v>
      </c>
      <c r="B186" t="s">
        <v>664</v>
      </c>
      <c r="C186">
        <v>348.65</v>
      </c>
      <c r="D186">
        <v>378.95</v>
      </c>
      <c r="E186">
        <v>378.98</v>
      </c>
      <c r="F186">
        <v>-0.03</v>
      </c>
    </row>
    <row r="187" spans="1:6" x14ac:dyDescent="0.3">
      <c r="A187" t="str">
        <f>HYPERLINK("https://us2.cloudbeds.com/connect/10074733072513#/reservations/30671234146480?display=YQM441R33&amp;reservation_id=30671234146480", "YQM441R33")</f>
        <v>YQM441R33</v>
      </c>
      <c r="B187" t="s">
        <v>669</v>
      </c>
      <c r="C187">
        <v>276</v>
      </c>
      <c r="D187">
        <v>299.98</v>
      </c>
      <c r="E187">
        <v>300.01</v>
      </c>
      <c r="F187">
        <v>-0.03</v>
      </c>
    </row>
    <row r="188" spans="1:6" x14ac:dyDescent="0.3">
      <c r="A188" t="str">
        <f>HYPERLINK("https://us2.cloudbeds.com/connect/10074733072513#/reservations/30668027318465?display=YQJY5W3EJ&amp;reservation_id=30668027318465", "YQJY5W3EJ")</f>
        <v>YQJY5W3EJ</v>
      </c>
      <c r="B188" t="s">
        <v>671</v>
      </c>
      <c r="C188">
        <v>476</v>
      </c>
      <c r="D188">
        <v>517.38</v>
      </c>
      <c r="E188">
        <v>517.41</v>
      </c>
      <c r="F188">
        <v>-0.03</v>
      </c>
    </row>
    <row r="189" spans="1:6" x14ac:dyDescent="0.3">
      <c r="A189" t="str">
        <f>HYPERLINK("https://us2.cloudbeds.com/connect/10074733072513#/reservations/30672530247893?display=YQN47VZSG&amp;reservation_id=30672530247893", "YQN47VZSG")</f>
        <v>YQN47VZSG</v>
      </c>
      <c r="B189" t="s">
        <v>667</v>
      </c>
      <c r="C189">
        <v>630</v>
      </c>
      <c r="D189">
        <v>684.78</v>
      </c>
      <c r="E189">
        <v>684.81</v>
      </c>
      <c r="F189">
        <v>-0.03</v>
      </c>
    </row>
    <row r="190" spans="1:6" x14ac:dyDescent="0.3">
      <c r="A190" t="str">
        <f>HYPERLINK("https://us2.cloudbeds.com/connect/10074733072513#/reservations/30668562178293?display=YQK1RWC45&amp;reservation_id=30668562178293", "YQK1RWC45")</f>
        <v>YQK1RWC45</v>
      </c>
      <c r="B190" t="s">
        <v>657</v>
      </c>
      <c r="C190">
        <v>832</v>
      </c>
      <c r="D190">
        <v>904.35</v>
      </c>
      <c r="E190">
        <v>904.38</v>
      </c>
      <c r="F190">
        <v>-0.03</v>
      </c>
    </row>
    <row r="191" spans="1:6" x14ac:dyDescent="0.3">
      <c r="A191" t="str">
        <f>HYPERLINK("https://us2.cloudbeds.com/connect/10074733072513#/reservations/30669257900227?display=YQKJKKS7V&amp;reservation_id=30669257900227", "YQKJKKS7V")</f>
        <v>YQKJKKS7V</v>
      </c>
      <c r="B191" t="s">
        <v>672</v>
      </c>
      <c r="C191">
        <v>1036</v>
      </c>
      <c r="D191">
        <v>1126.0999999999999</v>
      </c>
      <c r="E191">
        <v>1126.1300000000001</v>
      </c>
      <c r="F191">
        <v>-0.03</v>
      </c>
    </row>
    <row r="192" spans="1:6" x14ac:dyDescent="0.3">
      <c r="A192" t="str">
        <f>HYPERLINK("https://us2.cloudbeds.com/connect/10074733072513#/reservations/30669238812839?display=YQKJ4HNQA&amp;reservation_id=30669238812839", "YQKJ4HNQA")</f>
        <v>YQKJ4HNQA</v>
      </c>
      <c r="B192" t="s">
        <v>672</v>
      </c>
      <c r="C192">
        <v>395</v>
      </c>
      <c r="D192">
        <v>429.34</v>
      </c>
      <c r="E192">
        <v>429.37</v>
      </c>
      <c r="F192">
        <v>-0.03</v>
      </c>
    </row>
    <row r="193" spans="1:6" x14ac:dyDescent="0.3">
      <c r="A193" t="str">
        <f>HYPERLINK("https://us2.cloudbeds.com/connect/10074733072513#/reservations/30666259435721?display=YQX9085A7&amp;reservation_id=30666259435721", "YQX9085A7")</f>
        <v>YQX9085A7</v>
      </c>
      <c r="B193" t="s">
        <v>673</v>
      </c>
      <c r="C193">
        <v>476</v>
      </c>
      <c r="D193">
        <v>517.38</v>
      </c>
      <c r="E193">
        <v>517.41</v>
      </c>
      <c r="F193">
        <v>-0.03</v>
      </c>
    </row>
    <row r="194" spans="1:6" x14ac:dyDescent="0.3">
      <c r="A194" t="str">
        <f>HYPERLINK("https://us2.cloudbeds.com/connect/10074733072513#/reservations/30672423973007?display=YQN1HBGED&amp;reservation_id=30672423973007", "YQN1HBGED")</f>
        <v>YQN1HBGED</v>
      </c>
      <c r="B194" t="s">
        <v>676</v>
      </c>
      <c r="C194">
        <v>450</v>
      </c>
      <c r="D194">
        <v>489.12</v>
      </c>
      <c r="E194">
        <v>489.15</v>
      </c>
      <c r="F194">
        <v>-0.03</v>
      </c>
    </row>
    <row r="195" spans="1:6" x14ac:dyDescent="0.3">
      <c r="A195" t="str">
        <f>HYPERLINK("https://us2.cloudbeds.com/connect/10074733072513#/reservations/30671223808196?display=YQM3SB4NP&amp;reservation_id=30671223808196", "YQM3SB4NP")</f>
        <v>YQM3SB4NP</v>
      </c>
      <c r="B195" t="s">
        <v>669</v>
      </c>
      <c r="C195">
        <v>276</v>
      </c>
      <c r="D195">
        <v>299.98</v>
      </c>
      <c r="E195">
        <v>300.01</v>
      </c>
      <c r="F195">
        <v>-0.03</v>
      </c>
    </row>
    <row r="196" spans="1:6" x14ac:dyDescent="0.3">
      <c r="A196" t="str">
        <f>HYPERLINK("https://us2.cloudbeds.com/connect/10074733072513#/reservations/30669434503335?display=YQKZ4X37B&amp;reservation_id=30669434503335", "YQKZ4X37B")</f>
        <v>YQKZ4X37B</v>
      </c>
      <c r="B196" t="s">
        <v>549</v>
      </c>
      <c r="C196">
        <v>345</v>
      </c>
      <c r="D196">
        <v>374.99</v>
      </c>
      <c r="E196">
        <v>375.02</v>
      </c>
      <c r="F196">
        <v>-0.03</v>
      </c>
    </row>
    <row r="197" spans="1:6" x14ac:dyDescent="0.3">
      <c r="A197" t="str">
        <f>HYPERLINK("https://us2.cloudbeds.com/connect/10074733072513#/reservations/30670921785542?display=YQYT4YU94&amp;reservation_id=30670921785542", "YQYT4YU94")</f>
        <v>YQYT4YU94</v>
      </c>
      <c r="B197" t="s">
        <v>679</v>
      </c>
      <c r="C197">
        <v>596</v>
      </c>
      <c r="D197">
        <v>647.82000000000005</v>
      </c>
      <c r="E197">
        <v>647.85</v>
      </c>
      <c r="F197">
        <v>-0.03</v>
      </c>
    </row>
    <row r="198" spans="1:6" x14ac:dyDescent="0.3">
      <c r="A198" t="str">
        <f>HYPERLINK("https://us2.cloudbeds.com/connect/10074733072513#/reservations/30670448287907?display=YQYH1D4SV&amp;reservation_id=30670448287907", "YQYH1D4SV")</f>
        <v>YQYH1D4SV</v>
      </c>
      <c r="B198" t="s">
        <v>680</v>
      </c>
      <c r="C198">
        <v>476</v>
      </c>
      <c r="D198">
        <v>517.38</v>
      </c>
      <c r="E198">
        <v>517.41</v>
      </c>
      <c r="F198">
        <v>-0.03</v>
      </c>
    </row>
    <row r="199" spans="1:6" x14ac:dyDescent="0.3">
      <c r="A199" t="str">
        <f>HYPERLINK("https://us2.cloudbeds.com/connect/10074733072513#/reservations/30670461235368?display=YQYHCAE68&amp;reservation_id=30670461235368", "YQYHCAE68")</f>
        <v>YQYHCAE68</v>
      </c>
      <c r="B199" t="s">
        <v>680</v>
      </c>
      <c r="C199">
        <v>476</v>
      </c>
      <c r="D199">
        <v>517.38</v>
      </c>
      <c r="E199">
        <v>517.41</v>
      </c>
      <c r="F199">
        <v>-0.03</v>
      </c>
    </row>
    <row r="200" spans="1:6" x14ac:dyDescent="0.3">
      <c r="A200" t="str">
        <f>HYPERLINK("https://us2.cloudbeds.com/connect/10074733072513#/reservations/30670444859588?display=YQYGVGZZG&amp;reservation_id=30670444859588", "YQYGVGZZG")</f>
        <v>YQYGVGZZG</v>
      </c>
      <c r="B200" t="s">
        <v>680</v>
      </c>
      <c r="C200">
        <v>476</v>
      </c>
      <c r="D200">
        <v>517.38</v>
      </c>
      <c r="E200">
        <v>517.41</v>
      </c>
      <c r="F200">
        <v>-0.03</v>
      </c>
    </row>
    <row r="201" spans="1:6" x14ac:dyDescent="0.3">
      <c r="A201" t="str">
        <f>HYPERLINK("https://us2.cloudbeds.com/connect/10074733072513#/reservations/30671650205928?display=YQMEZT9H5&amp;reservation_id=30671650205928", "YQMEZT9H5")</f>
        <v>YQMEZT9H5</v>
      </c>
      <c r="B201" t="s">
        <v>681</v>
      </c>
      <c r="C201">
        <v>476</v>
      </c>
      <c r="D201">
        <v>517.38</v>
      </c>
      <c r="E201">
        <v>517.41</v>
      </c>
      <c r="F201">
        <v>-0.03</v>
      </c>
    </row>
    <row r="202" spans="1:6" x14ac:dyDescent="0.3">
      <c r="A202" t="str">
        <f>HYPERLINK("https://us2.cloudbeds.com/connect/10074733072513#/reservations/30670590550156?display=YQYKMBQX6&amp;reservation_id=30670590550156", "YQYKMBQX6")</f>
        <v>YQYKMBQX6</v>
      </c>
      <c r="B202" t="s">
        <v>684</v>
      </c>
      <c r="C202">
        <v>476</v>
      </c>
      <c r="D202">
        <v>517.38</v>
      </c>
      <c r="E202">
        <v>517.41</v>
      </c>
      <c r="F202">
        <v>-0.03</v>
      </c>
    </row>
    <row r="203" spans="1:6" x14ac:dyDescent="0.3">
      <c r="A203" t="str">
        <f>HYPERLINK("https://us2.cloudbeds.com/connect/10074733072513#/reservations/30670590546049?display=YQYKMBMPZ&amp;reservation_id=30670590546049", "YQYKMBMPZ")</f>
        <v>YQYKMBMPZ</v>
      </c>
      <c r="B203" t="s">
        <v>684</v>
      </c>
      <c r="C203">
        <v>476</v>
      </c>
      <c r="D203">
        <v>517.38</v>
      </c>
      <c r="E203">
        <v>517.41</v>
      </c>
      <c r="F203">
        <v>-0.03</v>
      </c>
    </row>
    <row r="204" spans="1:6" x14ac:dyDescent="0.3">
      <c r="A204" t="str">
        <f>HYPERLINK("https://us2.cloudbeds.com/connect/10074733072513#/reservations/30670600560883?display=YQYKUQC4X&amp;reservation_id=30670600560883", "YQYKUQC4X")</f>
        <v>YQYKUQC4X</v>
      </c>
      <c r="B204" t="s">
        <v>684</v>
      </c>
      <c r="C204">
        <v>476</v>
      </c>
      <c r="D204">
        <v>517.38</v>
      </c>
      <c r="E204">
        <v>517.41</v>
      </c>
      <c r="F204">
        <v>-0.03</v>
      </c>
    </row>
    <row r="205" spans="1:6" x14ac:dyDescent="0.3">
      <c r="A205" t="str">
        <f>HYPERLINK("https://us2.cloudbeds.com/connect/10074733072513#/reservations/30672174575840?display=YQMS51YJF&amp;reservation_id=30672174575840", "YQMS51YJF")</f>
        <v>YQMS51YJF</v>
      </c>
      <c r="B205" t="s">
        <v>680</v>
      </c>
      <c r="C205">
        <v>476</v>
      </c>
      <c r="D205">
        <v>517.38</v>
      </c>
      <c r="E205">
        <v>517.41</v>
      </c>
      <c r="F205">
        <v>-0.03</v>
      </c>
    </row>
    <row r="206" spans="1:6" x14ac:dyDescent="0.3">
      <c r="A206" t="str">
        <f>HYPERLINK("https://us2.cloudbeds.com/connect/10074733072513#/reservations/30670612213915?display=YQYY7KKQZ&amp;reservation_id=30670612213915", "YQYY7KKQZ")</f>
        <v>YQYY7KKQZ</v>
      </c>
      <c r="B206" t="s">
        <v>684</v>
      </c>
      <c r="C206">
        <v>476</v>
      </c>
      <c r="D206">
        <v>517.38</v>
      </c>
      <c r="E206">
        <v>517.41</v>
      </c>
      <c r="F206">
        <v>-0.03</v>
      </c>
    </row>
    <row r="207" spans="1:6" x14ac:dyDescent="0.3">
      <c r="A207" t="str">
        <f>HYPERLINK("https://us2.cloudbeds.com/connect/10074733072513#/reservations/30669538644167?display=YQKQQBW04&amp;reservation_id=30669538644167", "YQKQQBW04")</f>
        <v>YQKQQBW04</v>
      </c>
      <c r="B207" t="s">
        <v>686</v>
      </c>
      <c r="C207">
        <v>1035</v>
      </c>
      <c r="D207">
        <v>1125.02</v>
      </c>
      <c r="E207">
        <v>1125.05</v>
      </c>
      <c r="F207">
        <v>-0.03</v>
      </c>
    </row>
    <row r="208" spans="1:6" x14ac:dyDescent="0.3">
      <c r="A208" t="str">
        <f>HYPERLINK("https://us2.cloudbeds.com/connect/10074733072513#/reservations/30672465666215?display=YQN2JGM6V&amp;reservation_id=30672465666215", "YQN2JGM6V")</f>
        <v>YQN2JGM6V</v>
      </c>
      <c r="B208" t="s">
        <v>691</v>
      </c>
      <c r="C208">
        <v>354.45</v>
      </c>
      <c r="D208">
        <v>385.26</v>
      </c>
      <c r="E208">
        <v>385.29</v>
      </c>
      <c r="F208">
        <v>-0.03</v>
      </c>
    </row>
    <row r="209" spans="1:6" x14ac:dyDescent="0.3">
      <c r="A209" t="str">
        <f>HYPERLINK("https://us2.cloudbeds.com/connect/10074733072513#/reservations/30673514086613?display=YQNTCXH11&amp;reservation_id=30673514086613", "YQNTCXH11")</f>
        <v>YQNTCXH11</v>
      </c>
      <c r="B209" t="s">
        <v>591</v>
      </c>
      <c r="C209">
        <v>224.48</v>
      </c>
      <c r="D209">
        <v>243.98</v>
      </c>
      <c r="E209">
        <v>244.01</v>
      </c>
      <c r="F209">
        <v>-0.03</v>
      </c>
    </row>
    <row r="210" spans="1:6" x14ac:dyDescent="0.3">
      <c r="A210" t="str">
        <f>HYPERLINK("https://us2.cloudbeds.com/connect/10074733072513#/reservations/30672125079775?display=YQMQTABYZ&amp;reservation_id=30672125079775", "YQMQTABYZ")</f>
        <v>YQMQTABYZ</v>
      </c>
      <c r="B210" t="s">
        <v>694</v>
      </c>
      <c r="C210">
        <v>356</v>
      </c>
      <c r="D210">
        <v>386.94</v>
      </c>
      <c r="E210">
        <v>386.97</v>
      </c>
      <c r="F210">
        <v>-0.03</v>
      </c>
    </row>
    <row r="211" spans="1:6" x14ac:dyDescent="0.3">
      <c r="A211" t="str">
        <f>HYPERLINK("https://us2.cloudbeds.com/connect/10074733072513#/reservations/30672141918354?display=YQMRAGU2N&amp;reservation_id=30672141918354", "YQMRAGU2N")</f>
        <v>YQMRAGU2N</v>
      </c>
      <c r="B211" t="s">
        <v>694</v>
      </c>
      <c r="C211">
        <v>372.8</v>
      </c>
      <c r="D211">
        <v>405.2</v>
      </c>
      <c r="E211">
        <v>405.23</v>
      </c>
      <c r="F211">
        <v>-0.03</v>
      </c>
    </row>
    <row r="212" spans="1:6" x14ac:dyDescent="0.3">
      <c r="A212" t="str">
        <f>HYPERLINK("https://us2.cloudbeds.com/connect/10074733072513#/reservations/30672394764500?display=YQN0PNZ14&amp;reservation_id=30672394764500", "YQN0PNZ14")</f>
        <v>YQN0PNZ14</v>
      </c>
      <c r="B212" t="s">
        <v>676</v>
      </c>
      <c r="C212">
        <v>356</v>
      </c>
      <c r="D212">
        <v>386.94</v>
      </c>
      <c r="E212">
        <v>386.97</v>
      </c>
      <c r="F212">
        <v>-0.03</v>
      </c>
    </row>
    <row r="213" spans="1:6" x14ac:dyDescent="0.3">
      <c r="A213" t="str">
        <f>HYPERLINK("https://us2.cloudbeds.com/connect/10074733072513#/reservations/30672405803205?display=YQN120TJB&amp;reservation_id=30672405803205", "YQN120TJB")</f>
        <v>YQN120TJB</v>
      </c>
      <c r="B213" t="s">
        <v>676</v>
      </c>
      <c r="C213">
        <v>316</v>
      </c>
      <c r="D213">
        <v>343.46</v>
      </c>
      <c r="E213">
        <v>343.49</v>
      </c>
      <c r="F213">
        <v>-0.03</v>
      </c>
    </row>
    <row r="214" spans="1:6" x14ac:dyDescent="0.3">
      <c r="A214" t="str">
        <f>HYPERLINK("https://us2.cloudbeds.com/connect/10074733072513#/reservations/30670904054014?display=YQYSMNGT3&amp;reservation_id=30670904054014", "YQYSMNGT3")</f>
        <v>YQYSMNGT3</v>
      </c>
      <c r="B214" t="s">
        <v>702</v>
      </c>
      <c r="C214">
        <v>316</v>
      </c>
      <c r="D214">
        <v>343.46</v>
      </c>
      <c r="E214">
        <v>343.49</v>
      </c>
      <c r="F214">
        <v>-0.03</v>
      </c>
    </row>
    <row r="215" spans="1:6" x14ac:dyDescent="0.3">
      <c r="A215" t="str">
        <f>HYPERLINK("https://us2.cloudbeds.com/connect/10074733072513#/reservations/30673225687198?display=YQNM0CCER&amp;reservation_id=30673225687198", "YQNM0CCER")</f>
        <v>YQNM0CCER</v>
      </c>
      <c r="B215" t="s">
        <v>703</v>
      </c>
      <c r="C215">
        <v>348.8</v>
      </c>
      <c r="D215">
        <v>379.12</v>
      </c>
      <c r="E215">
        <v>379.15</v>
      </c>
      <c r="F215">
        <v>-0.03</v>
      </c>
    </row>
    <row r="216" spans="1:6" x14ac:dyDescent="0.3">
      <c r="A216" t="str">
        <f>HYPERLINK("https://us2.cloudbeds.com/connect/10074733072513#/reservations/30670651670678?display=YQYM7TXU7&amp;reservation_id=30670651670678", "YQYM7TXU7")</f>
        <v>YQYM7TXU7</v>
      </c>
      <c r="B216" t="s">
        <v>702</v>
      </c>
      <c r="C216">
        <v>596</v>
      </c>
      <c r="D216">
        <v>647.82000000000005</v>
      </c>
      <c r="E216">
        <v>647.85</v>
      </c>
      <c r="F216">
        <v>-0.03</v>
      </c>
    </row>
    <row r="217" spans="1:6" x14ac:dyDescent="0.3">
      <c r="A217" t="str">
        <f>HYPERLINK("https://us2.cloudbeds.com/connect/10074733072513#/reservations/30670355320978?display=YQYEM06Q9&amp;reservation_id=30670355320978", "YQYEM06Q9")</f>
        <v>YQYEM06Q9</v>
      </c>
      <c r="B217" t="s">
        <v>706</v>
      </c>
      <c r="C217">
        <v>367.52</v>
      </c>
      <c r="D217">
        <v>399.46</v>
      </c>
      <c r="E217">
        <v>399.49</v>
      </c>
      <c r="F217">
        <v>-0.03</v>
      </c>
    </row>
    <row r="218" spans="1:6" x14ac:dyDescent="0.3">
      <c r="A218" t="str">
        <f>HYPERLINK("https://us2.cloudbeds.com/connect/10074733072513#/reservations/30671516967114?display=YQMBBHNRB&amp;reservation_id=30671516967114", "YQMBBHNRB")</f>
        <v>YQMBBHNRB</v>
      </c>
      <c r="B218" t="s">
        <v>714</v>
      </c>
      <c r="C218">
        <v>490.2</v>
      </c>
      <c r="D218">
        <v>532.82000000000005</v>
      </c>
      <c r="E218">
        <v>532.85</v>
      </c>
      <c r="F218">
        <v>-0.03</v>
      </c>
    </row>
    <row r="219" spans="1:6" x14ac:dyDescent="0.3">
      <c r="A219" t="str">
        <f>HYPERLINK("https://us2.cloudbeds.com/connect/10074733072513#/reservations/30674055516359?display=YQZA73JN0&amp;reservation_id=30674055516359", "YQZA73JN0")</f>
        <v>YQZA73JN0</v>
      </c>
      <c r="B219" t="s">
        <v>715</v>
      </c>
      <c r="C219">
        <v>436</v>
      </c>
      <c r="D219">
        <v>473.9</v>
      </c>
      <c r="E219">
        <v>473.93</v>
      </c>
      <c r="F219">
        <v>-0.03</v>
      </c>
    </row>
    <row r="220" spans="1:6" x14ac:dyDescent="0.3">
      <c r="A220" t="str">
        <f>HYPERLINK("https://us2.cloudbeds.com/connect/10074733072513#/reservations/30674067493087?display=YQZAH6SK6&amp;reservation_id=30674067493087", "YQZAH6SK6")</f>
        <v>YQZAH6SK6</v>
      </c>
      <c r="B220" t="s">
        <v>715</v>
      </c>
      <c r="C220">
        <v>456</v>
      </c>
      <c r="D220">
        <v>495.64</v>
      </c>
      <c r="E220">
        <v>495.67</v>
      </c>
      <c r="F220">
        <v>-0.03</v>
      </c>
    </row>
    <row r="221" spans="1:6" x14ac:dyDescent="0.3">
      <c r="A221" t="str">
        <f>HYPERLINK("https://us2.cloudbeds.com/connect/10074733072513#/reservations/30671034495150?display=YQYW0N7HQ&amp;reservation_id=30671034495150", "YQYW0N7HQ")</f>
        <v>YQYW0N7HQ</v>
      </c>
      <c r="B221" t="s">
        <v>722</v>
      </c>
      <c r="C221">
        <v>395</v>
      </c>
      <c r="D221">
        <v>429.34</v>
      </c>
      <c r="E221">
        <v>429.37</v>
      </c>
      <c r="F221">
        <v>-0.03</v>
      </c>
    </row>
    <row r="222" spans="1:6" x14ac:dyDescent="0.3">
      <c r="A222" t="str">
        <f>HYPERLINK("https://us2.cloudbeds.com/connect/10074733072513#/reservations/30673070788813?display=YQNX1P3BC&amp;reservation_id=30673070788813", "YQNX1P3BC")</f>
        <v>YQNX1P3BC</v>
      </c>
      <c r="B222" t="s">
        <v>725</v>
      </c>
      <c r="C222">
        <v>276</v>
      </c>
      <c r="D222">
        <v>299.98</v>
      </c>
      <c r="E222">
        <v>300.01</v>
      </c>
      <c r="F222">
        <v>-0.03</v>
      </c>
    </row>
    <row r="223" spans="1:6" x14ac:dyDescent="0.3">
      <c r="A223" t="str">
        <f>HYPERLINK("https://us2.cloudbeds.com/connect/10074733072513#/reservations/30671012393106?display=YQYVF26QT&amp;reservation_id=30671012393106", "YQYVF26QT")</f>
        <v>YQYVF26QT</v>
      </c>
      <c r="B223" t="s">
        <v>722</v>
      </c>
      <c r="C223">
        <v>316</v>
      </c>
      <c r="D223">
        <v>343.46</v>
      </c>
      <c r="E223">
        <v>343.49</v>
      </c>
      <c r="F223">
        <v>-0.03</v>
      </c>
    </row>
    <row r="224" spans="1:6" x14ac:dyDescent="0.3">
      <c r="A224" t="str">
        <f>HYPERLINK("https://us2.cloudbeds.com/connect/10074733072513#/reservations/30673892196506?display=YQZ61CWCJ&amp;reservation_id=30673892196506", "YQZ61CWCJ")</f>
        <v>YQZ61CWCJ</v>
      </c>
      <c r="B224" t="s">
        <v>710</v>
      </c>
      <c r="C224">
        <v>348.65</v>
      </c>
      <c r="D224">
        <v>378.95</v>
      </c>
      <c r="E224">
        <v>378.98</v>
      </c>
      <c r="F224">
        <v>-0.03</v>
      </c>
    </row>
    <row r="225" spans="1:6" x14ac:dyDescent="0.3">
      <c r="A225" t="str">
        <f>HYPERLINK("https://us2.cloudbeds.com/connect/10074733072513#/reservations/30672207184007?display=YQMSWX0QP&amp;reservation_id=30672207184007", "YQMSWX0QP")</f>
        <v>YQMSWX0QP</v>
      </c>
      <c r="B225" t="s">
        <v>716</v>
      </c>
      <c r="C225">
        <v>396</v>
      </c>
      <c r="D225">
        <v>430.42</v>
      </c>
      <c r="E225">
        <v>430.45</v>
      </c>
      <c r="F225">
        <v>-0.03</v>
      </c>
    </row>
    <row r="226" spans="1:6" x14ac:dyDescent="0.3">
      <c r="A226" t="str">
        <f>HYPERLINK("https://us2.cloudbeds.com/connect/10074733072513#/reservations/30672458403990?display=YQN2DCJGH&amp;reservation_id=30672458403990", "YQN2DCJGH")</f>
        <v>YQN2DCJGH</v>
      </c>
      <c r="B226" t="s">
        <v>745</v>
      </c>
      <c r="C226">
        <v>516</v>
      </c>
      <c r="D226">
        <v>560.86</v>
      </c>
      <c r="E226">
        <v>560.89</v>
      </c>
      <c r="F226">
        <v>-0.03</v>
      </c>
    </row>
    <row r="227" spans="1:6" x14ac:dyDescent="0.3">
      <c r="A227" t="str">
        <f>HYPERLINK("https://us2.cloudbeds.com/connect/10074733072513#/reservations/30673605890221?display=YQNVNW2SE&amp;reservation_id=30673605890221", "YQNVNW2SE")</f>
        <v>YQNVNW2SE</v>
      </c>
      <c r="B227" t="s">
        <v>746</v>
      </c>
      <c r="C227">
        <v>276</v>
      </c>
      <c r="D227">
        <v>299.98</v>
      </c>
      <c r="E227">
        <v>300.01</v>
      </c>
      <c r="F227">
        <v>-0.03</v>
      </c>
    </row>
    <row r="228" spans="1:6" x14ac:dyDescent="0.3">
      <c r="A228" t="str">
        <f>HYPERLINK("https://us2.cloudbeds.com/connect/10074733072513#/reservations/30674195267746?display=YQZDPVCNX&amp;reservation_id=30674195267746", "YQZDPVCNX")</f>
        <v>YQZDPVCNX</v>
      </c>
      <c r="B228" t="s">
        <v>751</v>
      </c>
      <c r="C228">
        <v>960</v>
      </c>
      <c r="D228">
        <v>1043.49</v>
      </c>
      <c r="E228">
        <v>1043.52</v>
      </c>
      <c r="F228">
        <v>-0.03</v>
      </c>
    </row>
    <row r="229" spans="1:6" x14ac:dyDescent="0.3">
      <c r="A229" t="str">
        <f>HYPERLINK("https://us2.cloudbeds.com/connect/10074733072513#/reservations/30672072024251?display=YQMPHJ05J&amp;reservation_id=30672072024251", "YQMPHJ05J")</f>
        <v>YQMPHJ05J</v>
      </c>
      <c r="B229" t="s">
        <v>751</v>
      </c>
      <c r="C229">
        <v>960</v>
      </c>
      <c r="D229">
        <v>1043.49</v>
      </c>
      <c r="E229">
        <v>1043.52</v>
      </c>
      <c r="F229">
        <v>-0.03</v>
      </c>
    </row>
    <row r="230" spans="1:6" x14ac:dyDescent="0.3">
      <c r="A230" t="str">
        <f>HYPERLINK("https://us2.cloudbeds.com/connect/10074733072513#/reservations/30673371709601?display=YQNPZGYW4&amp;reservation_id=30673371709601", "YQNPZGYW4")</f>
        <v>YQNPZGYW4</v>
      </c>
      <c r="B230" t="s">
        <v>764</v>
      </c>
      <c r="C230">
        <v>222.36</v>
      </c>
      <c r="D230">
        <v>241.68</v>
      </c>
      <c r="E230">
        <v>241.71</v>
      </c>
      <c r="F230">
        <v>-0.03</v>
      </c>
    </row>
    <row r="231" spans="1:6" x14ac:dyDescent="0.3">
      <c r="A231" t="str">
        <f>HYPERLINK("https://us2.cloudbeds.com/connect/10074733072513#/reservations/30674226483375?display=YQZEJ906N&amp;reservation_id=30674226483375", "YQZEJ906N")</f>
        <v>YQZEJ906N</v>
      </c>
      <c r="B231" t="s">
        <v>770</v>
      </c>
      <c r="C231">
        <v>536</v>
      </c>
      <c r="D231">
        <v>582.6</v>
      </c>
      <c r="E231">
        <v>582.63</v>
      </c>
      <c r="F231">
        <v>-0.03</v>
      </c>
    </row>
    <row r="232" spans="1:6" x14ac:dyDescent="0.3">
      <c r="A232" t="str">
        <f>HYPERLINK("https://us2.cloudbeds.com/connect/10074733072513#/reservations/30685742768289?display=YR0BS3K4E&amp;reservation_id=30685742768289", "YR0BS3K4E")</f>
        <v>YR0BS3K4E</v>
      </c>
      <c r="B232" t="s">
        <v>771</v>
      </c>
      <c r="C232">
        <v>476</v>
      </c>
      <c r="D232">
        <v>517.38</v>
      </c>
      <c r="E232">
        <v>517.41</v>
      </c>
      <c r="F232">
        <v>-0.03</v>
      </c>
    </row>
    <row r="233" spans="1:6" x14ac:dyDescent="0.3">
      <c r="A233" t="str">
        <f>HYPERLINK("https://us2.cloudbeds.com/connect/10074733072513#/reservations/30672632627334?display=YQN6S9K6Q&amp;reservation_id=30672632627334", "YQN6S9K6Q")</f>
        <v>YQN6S9K6Q</v>
      </c>
      <c r="B233" t="s">
        <v>774</v>
      </c>
      <c r="C233">
        <v>445</v>
      </c>
      <c r="D233">
        <v>483.69</v>
      </c>
      <c r="E233">
        <v>483.72</v>
      </c>
      <c r="F233">
        <v>-0.03</v>
      </c>
    </row>
    <row r="234" spans="1:6" x14ac:dyDescent="0.3">
      <c r="A234" t="str">
        <f>HYPERLINK("https://us2.cloudbeds.com/connect/10074733072513#/reservations/30671128830146?display=YQM1E87T1&amp;reservation_id=30671128830146", "YQM1E87T1")</f>
        <v>YQM1E87T1</v>
      </c>
      <c r="B234" t="s">
        <v>776</v>
      </c>
      <c r="C234">
        <v>209.28</v>
      </c>
      <c r="D234">
        <v>227.46</v>
      </c>
      <c r="E234">
        <v>227.49</v>
      </c>
      <c r="F234">
        <v>-0.03</v>
      </c>
    </row>
    <row r="235" spans="1:6" x14ac:dyDescent="0.3">
      <c r="A235" t="str">
        <f>HYPERLINK("https://us2.cloudbeds.com/connect/10074733072513#/reservations/30678703358083?display=YQRTW9Y8Y&amp;reservation_id=30678703358083", "YQRTW9Y8Y")</f>
        <v>YQRTW9Y8Y</v>
      </c>
      <c r="B235" t="s">
        <v>779</v>
      </c>
      <c r="C235">
        <v>536</v>
      </c>
      <c r="D235">
        <v>582.6</v>
      </c>
      <c r="E235">
        <v>582.63</v>
      </c>
      <c r="F235">
        <v>-0.03</v>
      </c>
    </row>
    <row r="236" spans="1:6" x14ac:dyDescent="0.3">
      <c r="A236" t="str">
        <f>HYPERLINK("https://us2.cloudbeds.com/connect/10074733072513#/reservations/30685767090318?display=YR0CFKDDK&amp;reservation_id=30685767090318", "YR0CFKDDK")</f>
        <v>YR0CFKDDK</v>
      </c>
      <c r="B236" t="s">
        <v>771</v>
      </c>
      <c r="C236">
        <v>476</v>
      </c>
      <c r="D236">
        <v>517.38</v>
      </c>
      <c r="E236">
        <v>517.41</v>
      </c>
      <c r="F236">
        <v>-0.03</v>
      </c>
    </row>
    <row r="237" spans="1:6" x14ac:dyDescent="0.3">
      <c r="A237" t="str">
        <f>HYPERLINK("https://us2.cloudbeds.com/connect/10074733072513#/reservations/30674163589369?display=YQZCW7T9Z&amp;reservation_id=30674163589369", "YQZCW7T9Z")</f>
        <v>YQZCW7T9Z</v>
      </c>
      <c r="B237" t="s">
        <v>784</v>
      </c>
      <c r="C237">
        <v>378.08</v>
      </c>
      <c r="D237">
        <v>410.94</v>
      </c>
      <c r="E237">
        <v>410.97</v>
      </c>
      <c r="F237">
        <v>-0.03</v>
      </c>
    </row>
    <row r="238" spans="1:6" x14ac:dyDescent="0.3">
      <c r="A238" t="str">
        <f>HYPERLINK("https://us2.cloudbeds.com/connect/10074733072513#/reservations/30686392127692?display=YR0SEYWP3&amp;reservation_id=30686392127692", "YR0SEYWP3")</f>
        <v>YR0SEYWP3</v>
      </c>
      <c r="B238" t="s">
        <v>786</v>
      </c>
      <c r="C238">
        <v>598.5</v>
      </c>
      <c r="D238">
        <v>650.54</v>
      </c>
      <c r="E238">
        <v>650.57000000000005</v>
      </c>
      <c r="F238">
        <v>-0.03</v>
      </c>
    </row>
    <row r="239" spans="1:6" x14ac:dyDescent="0.3">
      <c r="A239" t="str">
        <f>HYPERLINK("https://us2.cloudbeds.com/connect/10074733072513#/reservations/30685786329238?display=YR0CVRP06&amp;reservation_id=30685786329238", "YR0CVRP06")</f>
        <v>YR0CVRP06</v>
      </c>
      <c r="B239" t="s">
        <v>771</v>
      </c>
      <c r="C239">
        <v>476</v>
      </c>
      <c r="D239">
        <v>517.38</v>
      </c>
      <c r="E239">
        <v>517.41</v>
      </c>
      <c r="F239">
        <v>-0.03</v>
      </c>
    </row>
    <row r="240" spans="1:6" x14ac:dyDescent="0.3">
      <c r="A240" t="str">
        <f>HYPERLINK("https://us2.cloudbeds.com/connect/10074733072513#/reservations/30686326145240?display=YR0QP0UQS&amp;reservation_id=30686326145240", "YR0QP0UQS")</f>
        <v>YR0QP0UQS</v>
      </c>
      <c r="B240" t="s">
        <v>786</v>
      </c>
      <c r="C240">
        <v>428.8</v>
      </c>
      <c r="D240">
        <v>466.08</v>
      </c>
      <c r="E240">
        <v>466.11</v>
      </c>
      <c r="F240">
        <v>-0.03</v>
      </c>
    </row>
    <row r="241" spans="1:6" x14ac:dyDescent="0.3">
      <c r="A241" t="str">
        <f>HYPERLINK("https://us2.cloudbeds.com/connect/10074733072513#/reservations/30673998983342?display=YQZ8PEFUA&amp;reservation_id=30673998983342", "YQZ8PEFUA")</f>
        <v>YQZ8PEFUA</v>
      </c>
      <c r="B241" t="s">
        <v>781</v>
      </c>
      <c r="C241">
        <v>330.3</v>
      </c>
      <c r="D241">
        <v>359.01</v>
      </c>
      <c r="E241">
        <v>359.04</v>
      </c>
      <c r="F241">
        <v>-0.03</v>
      </c>
    </row>
    <row r="242" spans="1:6" x14ac:dyDescent="0.3">
      <c r="A242" t="str">
        <f>HYPERLINK("https://us2.cloudbeds.com/connect/10074733072513#/reservations/30678304198867?display=YQRJPNESR&amp;reservation_id=30678304198867", "YQRJPNESR")</f>
        <v>YQRJPNESR</v>
      </c>
      <c r="B242" t="s">
        <v>789</v>
      </c>
      <c r="C242">
        <v>354.16</v>
      </c>
      <c r="D242">
        <v>384.94</v>
      </c>
      <c r="E242">
        <v>384.97</v>
      </c>
      <c r="F242">
        <v>-0.03</v>
      </c>
    </row>
    <row r="243" spans="1:6" x14ac:dyDescent="0.3">
      <c r="A243" t="str">
        <f>HYPERLINK("https://us2.cloudbeds.com/connect/10074733072513#/reservations/30674491392205?display=YQZYBYG00&amp;reservation_id=30674491392205", "YQZYBYG00")</f>
        <v>YQZYBYG00</v>
      </c>
      <c r="B243" t="s">
        <v>781</v>
      </c>
      <c r="C243">
        <v>224.48</v>
      </c>
      <c r="D243">
        <v>243.98</v>
      </c>
      <c r="E243">
        <v>244.01</v>
      </c>
      <c r="F243">
        <v>-0.03</v>
      </c>
    </row>
    <row r="244" spans="1:6" x14ac:dyDescent="0.3">
      <c r="A244" t="str">
        <f>HYPERLINK("https://us2.cloudbeds.com/connect/10074733072513#/reservations/30687350325417?display=YR1JUY8FQ&amp;reservation_id=30687350325417", "YR1JUY8FQ")</f>
        <v>YR1JUY8FQ</v>
      </c>
      <c r="B244" t="s">
        <v>795</v>
      </c>
      <c r="C244">
        <v>516</v>
      </c>
      <c r="D244">
        <v>560.86</v>
      </c>
      <c r="E244">
        <v>560.89</v>
      </c>
      <c r="F244">
        <v>-0.03</v>
      </c>
    </row>
    <row r="245" spans="1:6" x14ac:dyDescent="0.3">
      <c r="A245" t="str">
        <f>HYPERLINK("https://us2.cloudbeds.com/connect/10074733072513#/reservations/30679490564277?display=YQSH32QVQ&amp;reservation_id=30679490564277", "YQSH32QVQ")</f>
        <v>YQSH32QVQ</v>
      </c>
      <c r="B245" t="s">
        <v>758</v>
      </c>
      <c r="C245">
        <v>436</v>
      </c>
      <c r="D245">
        <v>473.9</v>
      </c>
      <c r="E245">
        <v>473.93</v>
      </c>
      <c r="F245">
        <v>-0.03</v>
      </c>
    </row>
    <row r="246" spans="1:6" x14ac:dyDescent="0.3">
      <c r="A246" t="str">
        <f>HYPERLINK("https://us2.cloudbeds.com/connect/10074733072513#/reservations/30679929495710?display=YQSSA6Z4A&amp;reservation_id=30679929495710", "YQSSA6Z4A")</f>
        <v>YQSSA6Z4A</v>
      </c>
      <c r="B246" t="s">
        <v>803</v>
      </c>
      <c r="C246">
        <v>516</v>
      </c>
      <c r="D246">
        <v>560.86</v>
      </c>
      <c r="E246">
        <v>560.89</v>
      </c>
      <c r="F246">
        <v>-0.03</v>
      </c>
    </row>
    <row r="247" spans="1:6" x14ac:dyDescent="0.3">
      <c r="A247" t="str">
        <f>HYPERLINK("https://us2.cloudbeds.com/connect/10074733072513#/reservations/30679793623190?display=YQSZRKSW7&amp;reservation_id=30679793623190", "YQSZRKSW7")</f>
        <v>YQSZRKSW7</v>
      </c>
      <c r="B247" t="s">
        <v>779</v>
      </c>
      <c r="C247">
        <v>476</v>
      </c>
      <c r="D247">
        <v>517.38</v>
      </c>
      <c r="E247">
        <v>517.41</v>
      </c>
      <c r="F247">
        <v>-0.03</v>
      </c>
    </row>
    <row r="248" spans="1:6" x14ac:dyDescent="0.3">
      <c r="A248" t="str">
        <f>HYPERLINK("https://us2.cloudbeds.com/connect/10074733072513#/reservations/30679950315726?display=YQSSRP2JT&amp;reservation_id=30679950315726", "YQSSRP2JT")</f>
        <v>YQSSRP2JT</v>
      </c>
      <c r="B248" t="s">
        <v>807</v>
      </c>
      <c r="C248">
        <v>490.2</v>
      </c>
      <c r="D248">
        <v>532.82000000000005</v>
      </c>
      <c r="E248">
        <v>532.85</v>
      </c>
      <c r="F248">
        <v>-0.03</v>
      </c>
    </row>
    <row r="249" spans="1:6" x14ac:dyDescent="0.3">
      <c r="A249" t="str">
        <f>HYPERLINK("https://us2.cloudbeds.com/connect/10074733072513#/reservations/30679564673176?display=YQSXWJ070&amp;reservation_id=30679564673176", "YQSXWJ070")</f>
        <v>YQSXWJ070</v>
      </c>
      <c r="B249" t="s">
        <v>810</v>
      </c>
      <c r="C249">
        <v>1092</v>
      </c>
      <c r="D249">
        <v>1186.97</v>
      </c>
      <c r="E249">
        <v>1187</v>
      </c>
      <c r="F249">
        <v>-0.03</v>
      </c>
    </row>
    <row r="250" spans="1:6" x14ac:dyDescent="0.3">
      <c r="A250" t="str">
        <f>HYPERLINK("https://us2.cloudbeds.com/connect/10074733072513#/reservations/30679545041043?display=YQSXG0NHS&amp;reservation_id=30679545041043", "YQSXG0NHS")</f>
        <v>YQSXG0NHS</v>
      </c>
      <c r="B250" t="s">
        <v>810</v>
      </c>
      <c r="C250">
        <v>1092</v>
      </c>
      <c r="D250">
        <v>1186.97</v>
      </c>
      <c r="E250">
        <v>1187</v>
      </c>
      <c r="F250">
        <v>-0.03</v>
      </c>
    </row>
    <row r="251" spans="1:6" x14ac:dyDescent="0.3">
      <c r="A251" t="str">
        <f>HYPERLINK("https://us2.cloudbeds.com/connect/10074733072513#/reservations/30679588106455?display=YQSJJB2CC&amp;reservation_id=30679588106455", "YQSJJB2CC")</f>
        <v>YQSJJB2CC</v>
      </c>
      <c r="B251" t="s">
        <v>810</v>
      </c>
      <c r="C251">
        <v>1092</v>
      </c>
      <c r="D251">
        <v>1186.97</v>
      </c>
      <c r="E251">
        <v>1187</v>
      </c>
      <c r="F251">
        <v>-0.03</v>
      </c>
    </row>
    <row r="252" spans="1:6" x14ac:dyDescent="0.3">
      <c r="A252" t="str">
        <f>HYPERLINK("https://us2.cloudbeds.com/connect/10074733072513#/reservations/30679701545104?display=YQSMFWM36&amp;reservation_id=30679701545104", "YQSMFWM36")</f>
        <v>YQSMFWM36</v>
      </c>
      <c r="B252" t="s">
        <v>812</v>
      </c>
      <c r="C252">
        <v>339</v>
      </c>
      <c r="D252">
        <v>368.46</v>
      </c>
      <c r="E252">
        <v>368.49</v>
      </c>
      <c r="F252">
        <v>-0.03</v>
      </c>
    </row>
    <row r="253" spans="1:6" x14ac:dyDescent="0.3">
      <c r="A253" t="str">
        <f>HYPERLINK("https://us2.cloudbeds.com/connect/10074733072513#/reservations/30679390212351?display=YQSEHFCEB&amp;reservation_id=30679390212351", "YQSEHFCEB")</f>
        <v>YQSEHFCEB</v>
      </c>
      <c r="B253" t="s">
        <v>707</v>
      </c>
      <c r="C253">
        <v>546</v>
      </c>
      <c r="D253">
        <v>593.47</v>
      </c>
      <c r="E253">
        <v>593.5</v>
      </c>
      <c r="F253">
        <v>-0.03</v>
      </c>
    </row>
    <row r="254" spans="1:6" x14ac:dyDescent="0.3">
      <c r="A254" t="str">
        <f>HYPERLINK("https://us2.cloudbeds.com/connect/10074733072513#/reservations/30687984443619?display=YR234BHGT&amp;reservation_id=30687984443619", "YR234BHGT")</f>
        <v>YR234BHGT</v>
      </c>
      <c r="B254" t="s">
        <v>815</v>
      </c>
      <c r="C254">
        <v>556</v>
      </c>
      <c r="D254">
        <v>604.34</v>
      </c>
      <c r="E254">
        <v>604.37</v>
      </c>
      <c r="F254">
        <v>-0.03</v>
      </c>
    </row>
    <row r="255" spans="1:6" x14ac:dyDescent="0.3">
      <c r="A255" t="str">
        <f>HYPERLINK("https://us2.cloudbeds.com/connect/10074733072513#/reservations/30683772846295?display=YQVRH0KMX&amp;reservation_id=30683772846295", "YQVRH0KMX")</f>
        <v>YQVRH0KMX</v>
      </c>
      <c r="B255" t="s">
        <v>760</v>
      </c>
      <c r="C255">
        <v>436</v>
      </c>
      <c r="D255">
        <v>473.9</v>
      </c>
      <c r="E255">
        <v>473.93</v>
      </c>
      <c r="F255">
        <v>-0.03</v>
      </c>
    </row>
    <row r="256" spans="1:6" x14ac:dyDescent="0.3">
      <c r="A256" t="str">
        <f>HYPERLINK("https://us2.cloudbeds.com/connect/10074733072513#/reservations/31680314319096?display=MHBFF63S2&amp;reservation_id=31680314319096", "MHBFF63S2")</f>
        <v>MHBFF63S2</v>
      </c>
      <c r="B256" t="s">
        <v>819</v>
      </c>
      <c r="C256">
        <v>556</v>
      </c>
      <c r="D256">
        <v>604.34</v>
      </c>
      <c r="E256">
        <v>604.37</v>
      </c>
      <c r="F256">
        <v>-0.03</v>
      </c>
    </row>
    <row r="257" spans="1:6" x14ac:dyDescent="0.3">
      <c r="A257" t="str">
        <f>HYPERLINK("https://us2.cloudbeds.com/connect/10074733072513#/reservations/30677762666634?display=YQR5V2H35&amp;reservation_id=30677762666634", "YQR5V2H35")</f>
        <v>YQR5V2H35</v>
      </c>
      <c r="B257" t="s">
        <v>821</v>
      </c>
      <c r="C257">
        <v>1024</v>
      </c>
      <c r="D257">
        <v>1113.06</v>
      </c>
      <c r="E257">
        <v>1113.0899999999999</v>
      </c>
      <c r="F257">
        <v>-0.03</v>
      </c>
    </row>
    <row r="258" spans="1:6" x14ac:dyDescent="0.3">
      <c r="A258" t="str">
        <f>HYPERLINK("https://us2.cloudbeds.com/connect/10074733072513#/reservations/30679613358224?display=YQSK7KZDG&amp;reservation_id=30679613358224", "YQSK7KZDG")</f>
        <v>YQSK7KZDG</v>
      </c>
      <c r="B258" t="s">
        <v>821</v>
      </c>
      <c r="C258">
        <v>396</v>
      </c>
      <c r="D258">
        <v>430.42</v>
      </c>
      <c r="E258">
        <v>430.45</v>
      </c>
      <c r="F258">
        <v>-0.03</v>
      </c>
    </row>
    <row r="259" spans="1:6" x14ac:dyDescent="0.3">
      <c r="A259" t="str">
        <f>HYPERLINK("https://us2.cloudbeds.com/connect/10074733072513#/reservations/30677708492928?display=YQR4XCV3H&amp;reservation_id=30677708492928", "YQR4XCV3H")</f>
        <v>YQR4XCV3H</v>
      </c>
      <c r="B259" t="s">
        <v>821</v>
      </c>
      <c r="C259">
        <v>476</v>
      </c>
      <c r="D259">
        <v>517.38</v>
      </c>
      <c r="E259">
        <v>517.41</v>
      </c>
      <c r="F259">
        <v>-0.03</v>
      </c>
    </row>
    <row r="260" spans="1:6" x14ac:dyDescent="0.3">
      <c r="A260" t="str">
        <f>HYPERLINK("https://us2.cloudbeds.com/connect/10074733072513#/reservations/30687537848469?display=YR1ZNPBVH&amp;reservation_id=30687537848469", "YR1ZNPBVH")</f>
        <v>YR1ZNPBVH</v>
      </c>
      <c r="B260" t="s">
        <v>824</v>
      </c>
      <c r="C260">
        <v>420.3</v>
      </c>
      <c r="D260">
        <v>456.84</v>
      </c>
      <c r="E260">
        <v>456.87</v>
      </c>
      <c r="F260">
        <v>-0.03</v>
      </c>
    </row>
    <row r="261" spans="1:6" x14ac:dyDescent="0.3">
      <c r="A261" t="str">
        <f>HYPERLINK("https://us2.cloudbeds.com/connect/10074733072513#/reservations/30676575453399?display=YQQ8JWXFH&amp;reservation_id=30676575453399", "YQQ8JWXFH")</f>
        <v>YQQ8JWXFH</v>
      </c>
      <c r="B261" t="s">
        <v>831</v>
      </c>
      <c r="C261">
        <v>636</v>
      </c>
      <c r="D261">
        <v>691.3</v>
      </c>
      <c r="E261">
        <v>691.33</v>
      </c>
      <c r="F261">
        <v>-0.03</v>
      </c>
    </row>
    <row r="262" spans="1:6" x14ac:dyDescent="0.3">
      <c r="A262" t="str">
        <f>HYPERLINK("https://us2.cloudbeds.com/connect/10074733072513#/reservations/30676559134867?display=YQQ867FJX&amp;reservation_id=30676559134867", "YQQ867FJX")</f>
        <v>YQQ867FJX</v>
      </c>
      <c r="B262" t="s">
        <v>831</v>
      </c>
      <c r="C262">
        <v>636</v>
      </c>
      <c r="D262">
        <v>691.3</v>
      </c>
      <c r="E262">
        <v>691.33</v>
      </c>
      <c r="F262">
        <v>-0.03</v>
      </c>
    </row>
    <row r="263" spans="1:6" x14ac:dyDescent="0.3">
      <c r="A263" t="str">
        <f>HYPERLINK("https://us2.cloudbeds.com/connect/10074733072513#/reservations/30678292930782?display=YQRJG6TMN&amp;reservation_id=30678292930782", "YQRJG6TMN")</f>
        <v>YQRJG6TMN</v>
      </c>
      <c r="B263" t="s">
        <v>840</v>
      </c>
      <c r="C263">
        <v>476</v>
      </c>
      <c r="D263">
        <v>517.38</v>
      </c>
      <c r="E263">
        <v>517.41</v>
      </c>
      <c r="F263">
        <v>-0.03</v>
      </c>
    </row>
    <row r="264" spans="1:6" x14ac:dyDescent="0.3">
      <c r="A264" t="str">
        <f>HYPERLINK("https://us2.cloudbeds.com/connect/10074733072513#/reservations/30686657388726?display=YR127B8W8&amp;reservation_id=30686657388726", "YR127B8W8")</f>
        <v>YR127B8W8</v>
      </c>
      <c r="B264" t="s">
        <v>826</v>
      </c>
      <c r="C264">
        <v>608.4</v>
      </c>
      <c r="D264">
        <v>661.3</v>
      </c>
      <c r="E264">
        <v>661.33</v>
      </c>
      <c r="F264">
        <v>-0.03</v>
      </c>
    </row>
    <row r="265" spans="1:6" x14ac:dyDescent="0.3">
      <c r="A265" t="str">
        <f>HYPERLINK("https://us2.cloudbeds.com/connect/10074733072513#/reservations/30678956310725?display=YQS3EJE07&amp;reservation_id=30678956310725", "YQS3EJE07")</f>
        <v>YQS3EJE07</v>
      </c>
      <c r="B265" t="s">
        <v>842</v>
      </c>
      <c r="C265">
        <v>378.08</v>
      </c>
      <c r="D265">
        <v>410.94</v>
      </c>
      <c r="E265">
        <v>410.97</v>
      </c>
      <c r="F265">
        <v>-0.03</v>
      </c>
    </row>
    <row r="266" spans="1:6" x14ac:dyDescent="0.3">
      <c r="A266" t="str">
        <f>HYPERLINK("https://us2.cloudbeds.com/connect/10074733072513#/reservations/30679375417547?display=YQSE4WMZV&amp;reservation_id=30679375417547", "YQSE4WMZV")</f>
        <v>YQSE4WMZV</v>
      </c>
      <c r="B266" t="s">
        <v>843</v>
      </c>
      <c r="C266">
        <v>1008</v>
      </c>
      <c r="D266">
        <v>1095.67</v>
      </c>
      <c r="E266">
        <v>1095.7</v>
      </c>
      <c r="F266">
        <v>-0.03</v>
      </c>
    </row>
    <row r="267" spans="1:6" x14ac:dyDescent="0.3">
      <c r="A267" t="str">
        <f>HYPERLINK("https://us2.cloudbeds.com/connect/10074733072513#/reservations/30678799040641?display=YQRWDW513&amp;reservation_id=30678799040641", "YQRWDW513")</f>
        <v>YQRWDW513</v>
      </c>
      <c r="B267" t="s">
        <v>831</v>
      </c>
      <c r="C267">
        <v>636</v>
      </c>
      <c r="D267">
        <v>691.3</v>
      </c>
      <c r="E267">
        <v>691.33</v>
      </c>
      <c r="F267">
        <v>-0.03</v>
      </c>
    </row>
    <row r="268" spans="1:6" x14ac:dyDescent="0.3">
      <c r="A268" t="str">
        <f>HYPERLINK("https://us2.cloudbeds.com/connect/10074733072513#/reservations/30679332733084?display=YQSD1WUZC&amp;reservation_id=30679332733084", "YQSD1WUZC")</f>
        <v>YQSD1WUZC</v>
      </c>
      <c r="B268" t="s">
        <v>850</v>
      </c>
      <c r="C268">
        <v>276</v>
      </c>
      <c r="D268">
        <v>299.98</v>
      </c>
      <c r="E268">
        <v>300.01</v>
      </c>
      <c r="F268">
        <v>-0.03</v>
      </c>
    </row>
    <row r="269" spans="1:6" x14ac:dyDescent="0.3">
      <c r="A269" t="str">
        <f>HYPERLINK("https://us2.cloudbeds.com/connect/10074733072513#/reservations/30678372511893?display=YQRYHABUH&amp;reservation_id=30678372511893", "YQRYHABUH")</f>
        <v>YQRYHABUH</v>
      </c>
      <c r="B269" t="s">
        <v>856</v>
      </c>
      <c r="C269">
        <v>316</v>
      </c>
      <c r="D269">
        <v>343.46</v>
      </c>
      <c r="E269">
        <v>343.49</v>
      </c>
      <c r="F269">
        <v>-0.03</v>
      </c>
    </row>
    <row r="270" spans="1:6" x14ac:dyDescent="0.3">
      <c r="A270" t="str">
        <f>HYPERLINK("https://us2.cloudbeds.com/connect/10074733072513#/reservations/30687207645363?display=YR1G9AW4Q&amp;reservation_id=30687207645363", "YR1G9AW4Q")</f>
        <v>YR1G9AW4Q</v>
      </c>
      <c r="B270" t="s">
        <v>786</v>
      </c>
      <c r="C270">
        <v>536.4</v>
      </c>
      <c r="D270">
        <v>583.04</v>
      </c>
      <c r="E270">
        <v>583.07000000000005</v>
      </c>
      <c r="F270">
        <v>-0.03</v>
      </c>
    </row>
    <row r="271" spans="1:6" x14ac:dyDescent="0.3">
      <c r="A271" t="str">
        <f>HYPERLINK("https://us2.cloudbeds.com/connect/10074733072513#/reservations/30678404178116?display=YQRMB0H61&amp;reservation_id=30678404178116", "YQRMB0H61")</f>
        <v>YQRMB0H61</v>
      </c>
      <c r="B271" t="s">
        <v>856</v>
      </c>
      <c r="C271">
        <v>209.28</v>
      </c>
      <c r="D271">
        <v>227.46</v>
      </c>
      <c r="E271">
        <v>227.49</v>
      </c>
      <c r="F271">
        <v>-0.03</v>
      </c>
    </row>
    <row r="272" spans="1:6" x14ac:dyDescent="0.3">
      <c r="A272" t="str">
        <f>HYPERLINK("https://us2.cloudbeds.com/connect/10074733072513#/reservations/30686253605068?display=YR0ZTSD2R&amp;reservation_id=30686253605068", "YR0ZTSD2R")</f>
        <v>YR0ZTSD2R</v>
      </c>
      <c r="B272" t="s">
        <v>861</v>
      </c>
      <c r="C272">
        <v>476</v>
      </c>
      <c r="D272">
        <v>517.38</v>
      </c>
      <c r="E272">
        <v>517.41</v>
      </c>
      <c r="F272">
        <v>-0.03</v>
      </c>
    </row>
    <row r="273" spans="1:6" x14ac:dyDescent="0.3">
      <c r="A273" t="str">
        <f>HYPERLINK("https://us2.cloudbeds.com/connect/10074733072513#/reservations/30676830834918?display=YQQF4AUJE&amp;reservation_id=30676830834918", "YQQF4AUJE")</f>
        <v>YQQF4AUJE</v>
      </c>
      <c r="B273" t="s">
        <v>830</v>
      </c>
      <c r="C273">
        <v>545.4</v>
      </c>
      <c r="D273">
        <v>592.82000000000005</v>
      </c>
      <c r="E273">
        <v>592.85</v>
      </c>
      <c r="F273">
        <v>-0.03</v>
      </c>
    </row>
    <row r="274" spans="1:6" x14ac:dyDescent="0.3">
      <c r="A274" t="str">
        <f>HYPERLINK("https://us2.cloudbeds.com/connect/10074733072513#/reservations/30685828051143?display=YR0E10Z4B&amp;reservation_id=30685828051143", "YR0E10Z4B")</f>
        <v>YR0E10Z4B</v>
      </c>
      <c r="B274" t="s">
        <v>771</v>
      </c>
      <c r="C274">
        <v>476</v>
      </c>
      <c r="D274">
        <v>517.38</v>
      </c>
      <c r="E274">
        <v>517.41</v>
      </c>
      <c r="F274">
        <v>-0.03</v>
      </c>
    </row>
    <row r="275" spans="1:6" x14ac:dyDescent="0.3">
      <c r="A275" t="str">
        <f>HYPERLINK("https://us2.cloudbeds.com/connect/10074733072513#/reservations/30677069770904?display=YQQY7QM6S&amp;reservation_id=30677069770904", "YQQY7QM6S")</f>
        <v>YQQY7QM6S</v>
      </c>
      <c r="B275" t="s">
        <v>818</v>
      </c>
      <c r="C275">
        <v>516</v>
      </c>
      <c r="D275">
        <v>560.86</v>
      </c>
      <c r="E275">
        <v>560.89</v>
      </c>
      <c r="F275">
        <v>-0.03</v>
      </c>
    </row>
    <row r="276" spans="1:6" x14ac:dyDescent="0.3">
      <c r="A276" t="str">
        <f>HYPERLINK("https://us2.cloudbeds.com/connect/10074733072513#/reservations/30677724782740?display=YQR4W4BAC&amp;reservation_id=30677724782740", "YQR4W4BAC")</f>
        <v>YQR4W4BAC</v>
      </c>
      <c r="B276" t="s">
        <v>865</v>
      </c>
      <c r="C276">
        <v>276</v>
      </c>
      <c r="D276">
        <v>299.98</v>
      </c>
      <c r="E276">
        <v>300.01</v>
      </c>
      <c r="F276">
        <v>-0.03</v>
      </c>
    </row>
    <row r="277" spans="1:6" x14ac:dyDescent="0.3">
      <c r="A277" t="str">
        <f>HYPERLINK("https://us2.cloudbeds.com/connect/10074733072513#/reservations/30677710196892?display=YQR4JRFGW&amp;reservation_id=30677710196892", "YQR4JRFGW")</f>
        <v>YQR4JRFGW</v>
      </c>
      <c r="B277" t="s">
        <v>865</v>
      </c>
      <c r="C277">
        <v>276</v>
      </c>
      <c r="D277">
        <v>299.98</v>
      </c>
      <c r="E277">
        <v>300.01</v>
      </c>
      <c r="F277">
        <v>-0.03</v>
      </c>
    </row>
    <row r="278" spans="1:6" x14ac:dyDescent="0.3">
      <c r="A278" t="str">
        <f>HYPERLINK("https://us2.cloudbeds.com/connect/10074733072513#/reservations/30677693010141?display=YQR45B7CB&amp;reservation_id=30677693010141", "YQR45B7CB")</f>
        <v>YQR45B7CB</v>
      </c>
      <c r="B278" t="s">
        <v>865</v>
      </c>
      <c r="C278">
        <v>276</v>
      </c>
      <c r="D278">
        <v>299.98</v>
      </c>
      <c r="E278">
        <v>300.01</v>
      </c>
      <c r="F278">
        <v>-0.03</v>
      </c>
    </row>
    <row r="279" spans="1:6" x14ac:dyDescent="0.3">
      <c r="A279" t="str">
        <f>HYPERLINK("https://us2.cloudbeds.com/connect/10074733072513#/reservations/30677678452895?display=YQR3Q24RM&amp;reservation_id=30677678452895", "YQR3Q24RM")</f>
        <v>YQR3Q24RM</v>
      </c>
      <c r="B279" t="s">
        <v>865</v>
      </c>
      <c r="C279">
        <v>276</v>
      </c>
      <c r="D279">
        <v>299.98</v>
      </c>
      <c r="E279">
        <v>300.01</v>
      </c>
      <c r="F279">
        <v>-0.03</v>
      </c>
    </row>
    <row r="280" spans="1:6" x14ac:dyDescent="0.3">
      <c r="A280" t="str">
        <f>HYPERLINK("https://us2.cloudbeds.com/connect/10074733072513#/reservations/30677384851627?display=YQQT9G8HX&amp;reservation_id=30677384851627", "YQQT9G8HX")</f>
        <v>YQQT9G8HX</v>
      </c>
      <c r="B280" t="s">
        <v>865</v>
      </c>
      <c r="C280">
        <v>276</v>
      </c>
      <c r="D280">
        <v>299.98</v>
      </c>
      <c r="E280">
        <v>300.01</v>
      </c>
      <c r="F280">
        <v>-0.03</v>
      </c>
    </row>
    <row r="281" spans="1:6" x14ac:dyDescent="0.3">
      <c r="A281" t="str">
        <f>HYPERLINK("https://us2.cloudbeds.com/connect/10074733072513#/reservations/30677370155240?display=YQQSU3A7G&amp;reservation_id=30677370155240", "YQQSU3A7G")</f>
        <v>YQQSU3A7G</v>
      </c>
      <c r="B281" t="s">
        <v>865</v>
      </c>
      <c r="C281">
        <v>276</v>
      </c>
      <c r="D281">
        <v>299.98</v>
      </c>
      <c r="E281">
        <v>300.01</v>
      </c>
      <c r="F281">
        <v>-0.03</v>
      </c>
    </row>
    <row r="282" spans="1:6" x14ac:dyDescent="0.3">
      <c r="A282" t="str">
        <f>HYPERLINK("https://us2.cloudbeds.com/connect/10074733072513#/reservations/30677365272769?display=YQQSPWEPR&amp;reservation_id=30677365272769", "YQQSPWEPR")</f>
        <v>YQQSPWEPR</v>
      </c>
      <c r="B282" t="s">
        <v>865</v>
      </c>
      <c r="C282">
        <v>276</v>
      </c>
      <c r="D282">
        <v>299.98</v>
      </c>
      <c r="E282">
        <v>300.01</v>
      </c>
      <c r="F282">
        <v>-0.03</v>
      </c>
    </row>
    <row r="283" spans="1:6" x14ac:dyDescent="0.3">
      <c r="A283" t="str">
        <f>HYPERLINK("https://us2.cloudbeds.com/connect/10074733072513#/reservations/30677347041411?display=YQQSAK4DE&amp;reservation_id=30677347041411", "YQQSAK4DE")</f>
        <v>YQQSAK4DE</v>
      </c>
      <c r="B283" t="s">
        <v>865</v>
      </c>
      <c r="C283">
        <v>276</v>
      </c>
      <c r="D283">
        <v>299.98</v>
      </c>
      <c r="E283">
        <v>300.01</v>
      </c>
      <c r="F283">
        <v>-0.03</v>
      </c>
    </row>
    <row r="284" spans="1:6" x14ac:dyDescent="0.3">
      <c r="A284" t="str">
        <f>HYPERLINK("https://us2.cloudbeds.com/connect/10074733072513#/reservations/30677341999323?display=YQQS6BRCT&amp;reservation_id=30677341999323", "YQQS6BRCT")</f>
        <v>YQQS6BRCT</v>
      </c>
      <c r="B284" t="s">
        <v>865</v>
      </c>
      <c r="C284">
        <v>276</v>
      </c>
      <c r="D284">
        <v>299.98</v>
      </c>
      <c r="E284">
        <v>300.01</v>
      </c>
      <c r="F284">
        <v>-0.03</v>
      </c>
    </row>
    <row r="285" spans="1:6" x14ac:dyDescent="0.3">
      <c r="A285" t="str">
        <f>HYPERLINK("https://us2.cloudbeds.com/connect/10074733072513#/reservations/30677313630349?display=YQQRFEDU0&amp;reservation_id=30677313630349", "YQQRFEDU0")</f>
        <v>YQQRFEDU0</v>
      </c>
      <c r="B285" t="s">
        <v>865</v>
      </c>
      <c r="C285">
        <v>276</v>
      </c>
      <c r="D285">
        <v>299.98</v>
      </c>
      <c r="E285">
        <v>300.01</v>
      </c>
      <c r="F285">
        <v>-0.03</v>
      </c>
    </row>
    <row r="286" spans="1:6" x14ac:dyDescent="0.3">
      <c r="A286" t="str">
        <f>HYPERLINK("https://us2.cloudbeds.com/connect/10074733072513#/reservations/30677301076183?display=YQQR4S2ZZ&amp;reservation_id=30677301076183", "YQQR4S2ZZ")</f>
        <v>YQQR4S2ZZ</v>
      </c>
      <c r="B286" t="s">
        <v>865</v>
      </c>
      <c r="C286">
        <v>276</v>
      </c>
      <c r="D286">
        <v>299.98</v>
      </c>
      <c r="E286">
        <v>300.01</v>
      </c>
      <c r="F286">
        <v>-0.03</v>
      </c>
    </row>
    <row r="287" spans="1:6" x14ac:dyDescent="0.3">
      <c r="A287" t="str">
        <f>HYPERLINK("https://us2.cloudbeds.com/connect/10074733072513#/reservations/30677297778924?display=YQQR22AVQ&amp;reservation_id=30677297778924", "YQQR22AVQ")</f>
        <v>YQQR22AVQ</v>
      </c>
      <c r="B287" t="s">
        <v>865</v>
      </c>
      <c r="C287">
        <v>276</v>
      </c>
      <c r="D287">
        <v>299.98</v>
      </c>
      <c r="E287">
        <v>300.01</v>
      </c>
      <c r="F287">
        <v>-0.03</v>
      </c>
    </row>
    <row r="288" spans="1:6" x14ac:dyDescent="0.3">
      <c r="A288" t="str">
        <f>HYPERLINK("https://us2.cloudbeds.com/connect/10074733072513#/reservations/30677283762350?display=YQQQN89U4&amp;reservation_id=30677283762350", "YQQQN89U4")</f>
        <v>YQQQN89U4</v>
      </c>
      <c r="B288" t="s">
        <v>865</v>
      </c>
      <c r="C288">
        <v>276</v>
      </c>
      <c r="D288">
        <v>299.98</v>
      </c>
      <c r="E288">
        <v>300.01</v>
      </c>
      <c r="F288">
        <v>-0.03</v>
      </c>
    </row>
    <row r="289" spans="1:6" x14ac:dyDescent="0.3">
      <c r="A289" t="str">
        <f>HYPERLINK("https://us2.cloudbeds.com/connect/10074733072513#/reservations/30677176701112?display=YQQNVW5D6&amp;reservation_id=30677176701112", "YQQNVW5D6")</f>
        <v>YQQNVW5D6</v>
      </c>
      <c r="B289" t="s">
        <v>865</v>
      </c>
      <c r="C289">
        <v>276</v>
      </c>
      <c r="D289">
        <v>299.98</v>
      </c>
      <c r="E289">
        <v>300.01</v>
      </c>
      <c r="F289">
        <v>-0.03</v>
      </c>
    </row>
    <row r="290" spans="1:6" x14ac:dyDescent="0.3">
      <c r="A290" t="str">
        <f>HYPERLINK("https://us2.cloudbeds.com/connect/10074733072513#/reservations/30677163512061?display=YQQNKS57W&amp;reservation_id=30677163512061", "YQQNKS57W")</f>
        <v>YQQNKS57W</v>
      </c>
      <c r="B290" t="s">
        <v>865</v>
      </c>
      <c r="C290">
        <v>276</v>
      </c>
      <c r="D290">
        <v>299.98</v>
      </c>
      <c r="E290">
        <v>300.01</v>
      </c>
      <c r="F290">
        <v>-0.03</v>
      </c>
    </row>
    <row r="291" spans="1:6" x14ac:dyDescent="0.3">
      <c r="A291" t="str">
        <f>HYPERLINK("https://us2.cloudbeds.com/connect/10074733072513#/reservations/30677156864215?display=YQQNF85N3&amp;reservation_id=30677156864215", "YQQNF85N3")</f>
        <v>YQQNF85N3</v>
      </c>
      <c r="B291" t="s">
        <v>865</v>
      </c>
      <c r="C291">
        <v>276</v>
      </c>
      <c r="D291">
        <v>299.98</v>
      </c>
      <c r="E291">
        <v>300.01</v>
      </c>
      <c r="F291">
        <v>-0.03</v>
      </c>
    </row>
    <row r="292" spans="1:6" x14ac:dyDescent="0.3">
      <c r="A292" t="str">
        <f>HYPERLINK("https://us2.cloudbeds.com/connect/10074733072513#/reservations/30677139665119?display=YQQN0ZJ7C&amp;reservation_id=30677139665119", "YQQN0ZJ7C")</f>
        <v>YQQN0ZJ7C</v>
      </c>
      <c r="B292" t="s">
        <v>865</v>
      </c>
      <c r="C292">
        <v>276</v>
      </c>
      <c r="D292">
        <v>299.98</v>
      </c>
      <c r="E292">
        <v>300.01</v>
      </c>
      <c r="F292">
        <v>-0.03</v>
      </c>
    </row>
    <row r="293" spans="1:6" x14ac:dyDescent="0.3">
      <c r="A293" t="str">
        <f>HYPERLINK("https://us2.cloudbeds.com/connect/10074733072513#/reservations/30677124497565?display=YQQMKVH8H&amp;reservation_id=30677124497565", "YQQMKVH8H")</f>
        <v>YQQMKVH8H</v>
      </c>
      <c r="B293" t="s">
        <v>865</v>
      </c>
      <c r="C293">
        <v>276</v>
      </c>
      <c r="D293">
        <v>299.98</v>
      </c>
      <c r="E293">
        <v>300.01</v>
      </c>
      <c r="F293">
        <v>-0.03</v>
      </c>
    </row>
    <row r="294" spans="1:6" x14ac:dyDescent="0.3">
      <c r="A294" t="str">
        <f>HYPERLINK("https://us2.cloudbeds.com/connect/10074733072513#/reservations/30677123375232?display=YQQMAYY97&amp;reservation_id=30677123375232", "YQQMAYY97")</f>
        <v>YQQMAYY97</v>
      </c>
      <c r="B294" t="s">
        <v>865</v>
      </c>
      <c r="C294">
        <v>276</v>
      </c>
      <c r="D294">
        <v>299.98</v>
      </c>
      <c r="E294">
        <v>300.01</v>
      </c>
      <c r="F294">
        <v>-0.03</v>
      </c>
    </row>
    <row r="295" spans="1:6" x14ac:dyDescent="0.3">
      <c r="A295" t="str">
        <f>HYPERLINK("https://us2.cloudbeds.com/connect/10074733072513#/reservations/30677736612090?display=YQR593GTH&amp;reservation_id=30677736612090", "YQR593GTH")</f>
        <v>YQR593GTH</v>
      </c>
      <c r="B295" t="s">
        <v>865</v>
      </c>
      <c r="C295">
        <v>276</v>
      </c>
      <c r="D295">
        <v>299.98</v>
      </c>
      <c r="E295">
        <v>300.01</v>
      </c>
      <c r="F295">
        <v>-0.03</v>
      </c>
    </row>
    <row r="296" spans="1:6" x14ac:dyDescent="0.3">
      <c r="A296" t="str">
        <f>HYPERLINK("https://us2.cloudbeds.com/connect/10074733072513#/reservations/30677763440845?display=YQR5VZ213&amp;reservation_id=30677763440845", "YQR5VZ213")</f>
        <v>YQR5VZ213</v>
      </c>
      <c r="B296" t="s">
        <v>877</v>
      </c>
      <c r="C296">
        <v>413.63</v>
      </c>
      <c r="D296">
        <v>449.59</v>
      </c>
      <c r="E296">
        <v>449.62</v>
      </c>
      <c r="F296">
        <v>-0.03</v>
      </c>
    </row>
    <row r="297" spans="1:6" x14ac:dyDescent="0.3">
      <c r="A297" t="str">
        <f>HYPERLINK("https://us2.cloudbeds.com/connect/10074733072513#/reservations/31678117068931?display=MH9PADCUZ&amp;reservation_id=31678117068931", "MH9PADCUZ")</f>
        <v>MH9PADCUZ</v>
      </c>
      <c r="B297" t="s">
        <v>878</v>
      </c>
      <c r="C297">
        <v>516</v>
      </c>
      <c r="D297">
        <v>560.86</v>
      </c>
      <c r="E297">
        <v>560.89</v>
      </c>
      <c r="F297">
        <v>-0.03</v>
      </c>
    </row>
    <row r="298" spans="1:6" x14ac:dyDescent="0.3">
      <c r="A298" t="str">
        <f>HYPERLINK("https://us2.cloudbeds.com/connect/10074733072513#/reservations/30677458579668?display=YQQV5YS1K&amp;reservation_id=30677458579668", "YQQV5YS1K")</f>
        <v>YQQV5YS1K</v>
      </c>
      <c r="B298" t="s">
        <v>877</v>
      </c>
      <c r="C298">
        <v>316</v>
      </c>
      <c r="D298">
        <v>343.46</v>
      </c>
      <c r="E298">
        <v>343.49</v>
      </c>
      <c r="F298">
        <v>-0.03</v>
      </c>
    </row>
    <row r="299" spans="1:6" x14ac:dyDescent="0.3">
      <c r="A299" t="str">
        <f>HYPERLINK("https://us2.cloudbeds.com/connect/10074733072513#/reservations/30678265417892?display=YQRXQ0AAP&amp;reservation_id=30678265417892", "YQRXQ0AAP")</f>
        <v>YQRXQ0AAP</v>
      </c>
      <c r="B299" t="s">
        <v>827</v>
      </c>
      <c r="C299">
        <v>556</v>
      </c>
      <c r="D299">
        <v>604.34</v>
      </c>
      <c r="E299">
        <v>604.37</v>
      </c>
      <c r="F299">
        <v>-0.03</v>
      </c>
    </row>
    <row r="300" spans="1:6" x14ac:dyDescent="0.3">
      <c r="A300" t="str">
        <f>HYPERLINK("https://us2.cloudbeds.com/connect/10074733072513#/reservations/30677663437014?display=YQR3DDA4W&amp;reservation_id=30677663437014", "YQR3DDA4W")</f>
        <v>YQR3DDA4W</v>
      </c>
      <c r="B300" t="s">
        <v>865</v>
      </c>
      <c r="C300">
        <v>224.48</v>
      </c>
      <c r="D300">
        <v>243.98</v>
      </c>
      <c r="E300">
        <v>244.01</v>
      </c>
      <c r="F300">
        <v>-0.03</v>
      </c>
    </row>
    <row r="301" spans="1:6" x14ac:dyDescent="0.3">
      <c r="A301" t="str">
        <f>HYPERLINK("https://us2.cloudbeds.com/connect/10074733072513#/reservations/30676903002270?display=YQQGW62VT&amp;reservation_id=30676903002270", "YQQGW62VT")</f>
        <v>YQQGW62VT</v>
      </c>
      <c r="B301" t="s">
        <v>783</v>
      </c>
      <c r="C301">
        <v>407</v>
      </c>
      <c r="D301">
        <v>442.38</v>
      </c>
      <c r="E301">
        <v>442.41</v>
      </c>
      <c r="F301">
        <v>-0.03</v>
      </c>
    </row>
    <row r="302" spans="1:6" x14ac:dyDescent="0.3">
      <c r="A302" t="str">
        <f>HYPERLINK("https://us2.cloudbeds.com/connect/10074733072513#/reservations/30676428001410?display=YQQ4RYG6E&amp;reservation_id=30676428001410", "YQQ4RYG6E")</f>
        <v>YQQ4RYG6E</v>
      </c>
      <c r="B302" t="s">
        <v>873</v>
      </c>
      <c r="C302">
        <v>510.3</v>
      </c>
      <c r="D302">
        <v>554.66999999999996</v>
      </c>
      <c r="E302">
        <v>554.70000000000005</v>
      </c>
      <c r="F302">
        <v>-0.03</v>
      </c>
    </row>
    <row r="303" spans="1:6" x14ac:dyDescent="0.3">
      <c r="A303" t="str">
        <f>HYPERLINK("https://us2.cloudbeds.com/connect/10074733072513#/reservations/30684369023105?display=YQW9ZZ44G&amp;reservation_id=30684369023105", "YQW9ZZ44G")</f>
        <v>YQW9ZZ44G</v>
      </c>
      <c r="B303" t="s">
        <v>883</v>
      </c>
      <c r="C303">
        <v>456</v>
      </c>
      <c r="D303">
        <v>495.64</v>
      </c>
      <c r="E303">
        <v>495.67</v>
      </c>
      <c r="F303">
        <v>-0.03</v>
      </c>
    </row>
    <row r="304" spans="1:6" x14ac:dyDescent="0.3">
      <c r="A304" t="str">
        <f>HYPERLINK("https://us2.cloudbeds.com/connect/10074733072513#/reservations/30685919998161?display=YR0GCX9YK&amp;reservation_id=30685919998161", "YR0GCX9YK")</f>
        <v>YR0GCX9YK</v>
      </c>
      <c r="B304" t="s">
        <v>884</v>
      </c>
      <c r="C304">
        <v>556</v>
      </c>
      <c r="D304">
        <v>604.34</v>
      </c>
      <c r="E304">
        <v>604.37</v>
      </c>
      <c r="F304">
        <v>-0.03</v>
      </c>
    </row>
    <row r="305" spans="1:6" x14ac:dyDescent="0.3">
      <c r="A305" t="str">
        <f>HYPERLINK("https://us2.cloudbeds.com/connect/10074733072513#/reservations/30685936640211?display=YR0GQJCK5&amp;reservation_id=30685936640211", "YR0GQJCK5")</f>
        <v>YR0GQJCK5</v>
      </c>
      <c r="B305" t="s">
        <v>884</v>
      </c>
      <c r="C305">
        <v>556</v>
      </c>
      <c r="D305">
        <v>604.34</v>
      </c>
      <c r="E305">
        <v>604.37</v>
      </c>
      <c r="F305">
        <v>-0.03</v>
      </c>
    </row>
    <row r="306" spans="1:6" x14ac:dyDescent="0.3">
      <c r="A306" t="str">
        <f>HYPERLINK("https://us2.cloudbeds.com/connect/10074733072513#/reservations/30677065162996?display=YQQY3UET9&amp;reservation_id=30677065162996", "YQQY3UET9")</f>
        <v>YQQY3UET9</v>
      </c>
      <c r="B306" t="s">
        <v>818</v>
      </c>
      <c r="C306">
        <v>316</v>
      </c>
      <c r="D306">
        <v>343.46</v>
      </c>
      <c r="E306">
        <v>343.49</v>
      </c>
      <c r="F306">
        <v>-0.03</v>
      </c>
    </row>
    <row r="307" spans="1:6" x14ac:dyDescent="0.3">
      <c r="A307" t="str">
        <f>HYPERLINK("https://us2.cloudbeds.com/connect/10074733072513#/reservations/30677170172067?display=YQQNQFFVB&amp;reservation_id=30677170172067", "YQQNQFFVB")</f>
        <v>YQQNQFFVB</v>
      </c>
      <c r="B307" t="s">
        <v>783</v>
      </c>
      <c r="C307">
        <v>316</v>
      </c>
      <c r="D307">
        <v>343.46</v>
      </c>
      <c r="E307">
        <v>343.49</v>
      </c>
      <c r="F307">
        <v>-0.03</v>
      </c>
    </row>
    <row r="308" spans="1:6" x14ac:dyDescent="0.3">
      <c r="A308" t="str">
        <f>HYPERLINK("https://us2.cloudbeds.com/connect/10074733072513#/reservations/30688370294960?display=YR2CWNDKP&amp;reservation_id=30688370294960", "YR2CWNDKP")</f>
        <v>YR2CWNDKP</v>
      </c>
      <c r="B308" t="s">
        <v>845</v>
      </c>
      <c r="C308">
        <v>1074.4000000000001</v>
      </c>
      <c r="D308">
        <v>1167.8399999999999</v>
      </c>
      <c r="E308">
        <v>1167.8699999999999</v>
      </c>
      <c r="F308">
        <v>-0.03</v>
      </c>
    </row>
    <row r="309" spans="1:6" x14ac:dyDescent="0.3">
      <c r="A309" t="str">
        <f>HYPERLINK("https://us2.cloudbeds.com/connect/10074733072513#/reservations/30676817137858?display=YQQEPPPV0&amp;reservation_id=30676817137858", "YQQEPPPV0")</f>
        <v>YQQEPPPV0</v>
      </c>
      <c r="B309" t="s">
        <v>783</v>
      </c>
      <c r="C309">
        <v>234.45</v>
      </c>
      <c r="D309">
        <v>254.82</v>
      </c>
      <c r="E309">
        <v>254.85</v>
      </c>
      <c r="F309">
        <v>-0.03</v>
      </c>
    </row>
    <row r="310" spans="1:6" x14ac:dyDescent="0.3">
      <c r="A310" t="str">
        <f>HYPERLINK("https://us2.cloudbeds.com/connect/10074733072513#/reservations/30688605294792?display=YR2XWSKPQ&amp;reservation_id=30688605294792", "YR2XWSKPQ")</f>
        <v>YR2XWSKPQ</v>
      </c>
      <c r="B310" t="s">
        <v>792</v>
      </c>
      <c r="C310">
        <v>316</v>
      </c>
      <c r="D310">
        <v>343.46</v>
      </c>
      <c r="E310">
        <v>343.49</v>
      </c>
      <c r="F310">
        <v>-0.03</v>
      </c>
    </row>
    <row r="311" spans="1:6" x14ac:dyDescent="0.3">
      <c r="A311" t="str">
        <f>HYPERLINK("https://us2.cloudbeds.com/connect/10074733072513#/reservations/30685943222454?display=YR0GW4HU2&amp;reservation_id=30685943222454", "YR0GW4HU2")</f>
        <v>YR0GW4HU2</v>
      </c>
      <c r="B311" t="s">
        <v>845</v>
      </c>
      <c r="C311">
        <v>169</v>
      </c>
      <c r="D311">
        <v>183.67</v>
      </c>
      <c r="E311">
        <v>183.7</v>
      </c>
      <c r="F311">
        <v>-0.03</v>
      </c>
    </row>
    <row r="312" spans="1:6" x14ac:dyDescent="0.3">
      <c r="A312" t="str">
        <f>HYPERLINK("https://us2.cloudbeds.com/connect/10074733072513#/reservations/30687748554917?display=YR1U3EJ4D&amp;reservation_id=30687748554917", "YR1U3EJ4D")</f>
        <v>YR1U3EJ4D</v>
      </c>
      <c r="B312" t="s">
        <v>912</v>
      </c>
      <c r="C312">
        <v>436</v>
      </c>
      <c r="D312">
        <v>473.9</v>
      </c>
      <c r="E312">
        <v>473.93</v>
      </c>
      <c r="F312">
        <v>-0.03</v>
      </c>
    </row>
    <row r="313" spans="1:6" x14ac:dyDescent="0.3">
      <c r="A313" t="str">
        <f>HYPERLINK("https://us2.cloudbeds.com/connect/10074733072513#/reservations/30684194922701?display=YQW59UHAA&amp;reservation_id=30684194922701", "YQW59UHAA")</f>
        <v>YQW59UHAA</v>
      </c>
      <c r="B313" t="s">
        <v>914</v>
      </c>
      <c r="C313">
        <v>536.4</v>
      </c>
      <c r="D313">
        <v>583.04</v>
      </c>
      <c r="E313">
        <v>583.07000000000005</v>
      </c>
      <c r="F313">
        <v>-0.03</v>
      </c>
    </row>
    <row r="314" spans="1:6" x14ac:dyDescent="0.3">
      <c r="A314" t="str">
        <f>HYPERLINK("https://us2.cloudbeds.com/connect/10074733072513#/reservations/30687243145436?display=YR1H68QUJ&amp;reservation_id=30687243145436", "YR1H68QUJ")</f>
        <v>YR1H68QUJ</v>
      </c>
      <c r="B314" t="s">
        <v>815</v>
      </c>
      <c r="C314">
        <v>224.48</v>
      </c>
      <c r="D314">
        <v>243.98</v>
      </c>
      <c r="E314">
        <v>244.01</v>
      </c>
      <c r="F314">
        <v>-0.03</v>
      </c>
    </row>
    <row r="315" spans="1:6" x14ac:dyDescent="0.3">
      <c r="A315" t="str">
        <f>HYPERLINK("https://us2.cloudbeds.com/connect/10074733072513#/reservations/30687856730252?display=YR1WSYNMS&amp;reservation_id=30687856730252", "YR1WSYNMS")</f>
        <v>YR1WSYNMS</v>
      </c>
      <c r="B315" t="s">
        <v>912</v>
      </c>
      <c r="C315">
        <v>354.45</v>
      </c>
      <c r="D315">
        <v>385.26</v>
      </c>
      <c r="E315">
        <v>385.29</v>
      </c>
      <c r="F315">
        <v>-0.03</v>
      </c>
    </row>
    <row r="316" spans="1:6" x14ac:dyDescent="0.3">
      <c r="A316" t="str">
        <f>HYPERLINK("https://us2.cloudbeds.com/connect/10074733072513#/reservations/30685881905406?display=YR0FDEA2N&amp;reservation_id=30685881905406", "YR0FDEA2N")</f>
        <v>YR0FDEA2N</v>
      </c>
      <c r="B316" t="s">
        <v>922</v>
      </c>
      <c r="C316">
        <v>401.4</v>
      </c>
      <c r="D316">
        <v>436.29</v>
      </c>
      <c r="E316">
        <v>436.32</v>
      </c>
      <c r="F316">
        <v>-0.03</v>
      </c>
    </row>
    <row r="317" spans="1:6" x14ac:dyDescent="0.3">
      <c r="A317" t="str">
        <f>HYPERLINK("https://us2.cloudbeds.com/connect/10074733072513#/reservations/30688101245127?display=YR263RN8H&amp;reservation_id=30688101245127", "YR263RN8H")</f>
        <v>YR263RN8H</v>
      </c>
      <c r="B317" t="s">
        <v>923</v>
      </c>
      <c r="C317">
        <v>270.3</v>
      </c>
      <c r="D317">
        <v>293.79000000000002</v>
      </c>
      <c r="E317">
        <v>293.82</v>
      </c>
      <c r="F317">
        <v>-0.03</v>
      </c>
    </row>
    <row r="318" spans="1:6" x14ac:dyDescent="0.3">
      <c r="A318" t="str">
        <f>HYPERLINK("https://us2.cloudbeds.com/connect/10074733072513#/reservations/30686931619991?display=YR197J5AJ&amp;reservation_id=30686931619991", "YR197J5AJ")</f>
        <v>YR197J5AJ</v>
      </c>
      <c r="B318" t="s">
        <v>921</v>
      </c>
      <c r="C318">
        <v>596</v>
      </c>
      <c r="D318">
        <v>647.82000000000005</v>
      </c>
      <c r="E318">
        <v>647.85</v>
      </c>
      <c r="F318">
        <v>-0.03</v>
      </c>
    </row>
    <row r="319" spans="1:6" x14ac:dyDescent="0.3">
      <c r="A319" t="str">
        <f>HYPERLINK("https://us2.cloudbeds.com/connect/10074733072513#/reservations/30683068977300?display=YQV9HGEB2&amp;reservation_id=30683068977300", "YQV9HGEB2")</f>
        <v>YQV9HGEB2</v>
      </c>
      <c r="B319" t="s">
        <v>924</v>
      </c>
      <c r="C319">
        <v>436</v>
      </c>
      <c r="D319">
        <v>473.9</v>
      </c>
      <c r="E319">
        <v>473.93</v>
      </c>
      <c r="F319">
        <v>-0.03</v>
      </c>
    </row>
    <row r="320" spans="1:6" x14ac:dyDescent="0.3">
      <c r="A320" t="str">
        <f>HYPERLINK("https://us2.cloudbeds.com/connect/10074733072513#/reservations/30687646314718?display=YR1RG7JYX&amp;reservation_id=30687646314718", "YR1RG7JYX")</f>
        <v>YR1RG7JYX</v>
      </c>
      <c r="B320" t="s">
        <v>881</v>
      </c>
      <c r="C320">
        <v>516</v>
      </c>
      <c r="D320">
        <v>560.86</v>
      </c>
      <c r="E320">
        <v>560.89</v>
      </c>
      <c r="F320">
        <v>-0.03</v>
      </c>
    </row>
    <row r="321" spans="1:6" x14ac:dyDescent="0.3">
      <c r="A321" t="str">
        <f>HYPERLINK("https://us2.cloudbeds.com/connect/10074733072513#/reservations/30687629525150?display=YR1R22D7P&amp;reservation_id=30687629525150", "YR1R22D7P")</f>
        <v>YR1R22D7P</v>
      </c>
      <c r="B321" t="s">
        <v>881</v>
      </c>
      <c r="C321">
        <v>516</v>
      </c>
      <c r="D321">
        <v>560.86</v>
      </c>
      <c r="E321">
        <v>560.89</v>
      </c>
      <c r="F321">
        <v>-0.03</v>
      </c>
    </row>
    <row r="322" spans="1:6" x14ac:dyDescent="0.3">
      <c r="A322" t="str">
        <f>HYPERLINK("https://us2.cloudbeds.com/connect/10074733072513#/reservations/30686074511601?display=YR0KARS92&amp;reservation_id=30686074511601", "YR0KARS92")</f>
        <v>YR0KARS92</v>
      </c>
      <c r="B322" t="s">
        <v>944</v>
      </c>
      <c r="C322">
        <v>338</v>
      </c>
      <c r="D322">
        <v>367.38</v>
      </c>
      <c r="E322">
        <v>367.41</v>
      </c>
      <c r="F322">
        <v>-0.03</v>
      </c>
    </row>
    <row r="323" spans="1:6" x14ac:dyDescent="0.3">
      <c r="A323" t="str">
        <f>HYPERLINK("https://us2.cloudbeds.com/connect/10074733072513#/reservations/30685876502673?display=YR0F8SVTH&amp;reservation_id=30685876502673", "YR0F8SVTH")</f>
        <v>YR0F8SVTH</v>
      </c>
      <c r="B323" t="s">
        <v>922</v>
      </c>
      <c r="C323">
        <v>510.3</v>
      </c>
      <c r="D323">
        <v>554.66999999999996</v>
      </c>
      <c r="E323">
        <v>554.70000000000005</v>
      </c>
      <c r="F323">
        <v>-0.03</v>
      </c>
    </row>
    <row r="324" spans="1:6" x14ac:dyDescent="0.3">
      <c r="A324" t="str">
        <f>HYPERLINK("https://us2.cloudbeds.com/connect/10074733072513#/reservations/30685986521336?display=YR0X2YD4D&amp;reservation_id=30685986521336", "YR0X2YD4D")</f>
        <v>YR0X2YD4D</v>
      </c>
      <c r="B324" t="s">
        <v>882</v>
      </c>
      <c r="C324">
        <v>1421</v>
      </c>
      <c r="D324">
        <v>1544.6</v>
      </c>
      <c r="E324">
        <v>1544.63</v>
      </c>
      <c r="F324">
        <v>-0.03</v>
      </c>
    </row>
    <row r="325" spans="1:6" x14ac:dyDescent="0.3">
      <c r="A325" t="str">
        <f>HYPERLINK("https://us2.cloudbeds.com/connect/10074733072513#/reservations/30685335269530?display=YR01EGBP6&amp;reservation_id=30685335269530", "YR01EGBP6")</f>
        <v>YR01EGBP6</v>
      </c>
      <c r="B325" t="s">
        <v>958</v>
      </c>
      <c r="C325">
        <v>567</v>
      </c>
      <c r="D325">
        <v>616.29999999999995</v>
      </c>
      <c r="E325">
        <v>616.33000000000004</v>
      </c>
      <c r="F325">
        <v>-0.03</v>
      </c>
    </row>
    <row r="326" spans="1:6" x14ac:dyDescent="0.3">
      <c r="A326" t="str">
        <f>HYPERLINK("https://us2.cloudbeds.com/connect/10074733072513#/reservations/30685935816861?display=YR0GPTFX5&amp;reservation_id=30685935816861", "YR0GPTFX5")</f>
        <v>YR0GPTFX5</v>
      </c>
      <c r="B326" t="s">
        <v>882</v>
      </c>
      <c r="C326">
        <v>556</v>
      </c>
      <c r="D326">
        <v>604.34</v>
      </c>
      <c r="E326">
        <v>604.37</v>
      </c>
      <c r="F326">
        <v>-0.03</v>
      </c>
    </row>
    <row r="327" spans="1:6" x14ac:dyDescent="0.3">
      <c r="A327" t="str">
        <f>HYPERLINK("https://us2.cloudbeds.com/connect/10074733072513#/reservations/30685747990751?display=YR0BWGUPS&amp;reservation_id=30685747990751", "YR0BWGUPS")</f>
        <v>YR0BWGUPS</v>
      </c>
      <c r="B327" t="s">
        <v>882</v>
      </c>
      <c r="C327">
        <v>556</v>
      </c>
      <c r="D327">
        <v>604.34</v>
      </c>
      <c r="E327">
        <v>604.37</v>
      </c>
      <c r="F327">
        <v>-0.03</v>
      </c>
    </row>
    <row r="328" spans="1:6" x14ac:dyDescent="0.3">
      <c r="A328" t="str">
        <f>HYPERLINK("https://us2.cloudbeds.com/connect/10074733072513#/reservations/30686005690507?display=YR0XXQQMC&amp;reservation_id=30686005690507", "YR0XXQQMC")</f>
        <v>YR0XXQQMC</v>
      </c>
      <c r="B328" t="s">
        <v>961</v>
      </c>
      <c r="C328">
        <v>224.48</v>
      </c>
      <c r="D328">
        <v>243.98</v>
      </c>
      <c r="E328">
        <v>244.01</v>
      </c>
      <c r="F328">
        <v>-0.03</v>
      </c>
    </row>
    <row r="329" spans="1:6" x14ac:dyDescent="0.3">
      <c r="A329" t="str">
        <f>HYPERLINK("https://us2.cloudbeds.com/connect/10074733072513#/reservations/30684803989632?display=YQWKMEU1T&amp;reservation_id=30684803989632", "YQWKMEU1T")</f>
        <v>YQWKMEU1T</v>
      </c>
      <c r="B329" t="s">
        <v>956</v>
      </c>
      <c r="C329">
        <v>224.48</v>
      </c>
      <c r="D329">
        <v>243.98</v>
      </c>
      <c r="E329">
        <v>244.01</v>
      </c>
      <c r="F329">
        <v>-0.03</v>
      </c>
    </row>
    <row r="330" spans="1:6" x14ac:dyDescent="0.3">
      <c r="A330" t="str">
        <f>HYPERLINK("https://us2.cloudbeds.com/connect/10074733072513#/reservations/30686080065675?display=YR0KFHDEB&amp;reservation_id=30686080065675", "YR0KFHDEB")</f>
        <v>YR0KFHDEB</v>
      </c>
      <c r="B330" t="s">
        <v>918</v>
      </c>
      <c r="C330">
        <v>316</v>
      </c>
      <c r="D330">
        <v>343.46</v>
      </c>
      <c r="E330">
        <v>343.49</v>
      </c>
      <c r="F330">
        <v>-0.03</v>
      </c>
    </row>
    <row r="331" spans="1:6" x14ac:dyDescent="0.3">
      <c r="A331" t="str">
        <f>HYPERLINK("https://us2.cloudbeds.com/connect/10074733072513#/reservations/30682733211842?display=YQV0VC8P7&amp;reservation_id=30682733211842", "YQV0VC8P7")</f>
        <v>YQV0VC8P7</v>
      </c>
      <c r="B331" t="s">
        <v>967</v>
      </c>
      <c r="C331">
        <v>556</v>
      </c>
      <c r="D331">
        <v>604.34</v>
      </c>
      <c r="E331">
        <v>604.37</v>
      </c>
      <c r="F331">
        <v>-0.03</v>
      </c>
    </row>
    <row r="332" spans="1:6" x14ac:dyDescent="0.3">
      <c r="A332" t="str">
        <f>HYPERLINK("https://us2.cloudbeds.com/connect/10074733072513#/reservations/30685425172694?display=YR03ZA1FG&amp;reservation_id=30685425172694", "YR03ZA1FG")</f>
        <v>YR03ZA1FG</v>
      </c>
      <c r="B332" t="s">
        <v>933</v>
      </c>
      <c r="C332">
        <v>556</v>
      </c>
      <c r="D332">
        <v>604.34</v>
      </c>
      <c r="E332">
        <v>604.37</v>
      </c>
      <c r="F332">
        <v>-0.03</v>
      </c>
    </row>
    <row r="333" spans="1:6" x14ac:dyDescent="0.3">
      <c r="A333" t="str">
        <f>HYPERLINK("https://us2.cloudbeds.com/connect/10074733072513#/reservations/30685871804649?display=YR0F4U7R5&amp;reservation_id=30685871804649", "YR0F4U7R5")</f>
        <v>YR0F4U7R5</v>
      </c>
      <c r="B333" t="s">
        <v>929</v>
      </c>
      <c r="C333">
        <v>1671.1</v>
      </c>
      <c r="D333">
        <v>1816.46</v>
      </c>
      <c r="E333">
        <v>1816.49</v>
      </c>
      <c r="F333">
        <v>-0.03</v>
      </c>
    </row>
    <row r="334" spans="1:6" x14ac:dyDescent="0.3">
      <c r="A334" t="str">
        <f>HYPERLINK("https://us2.cloudbeds.com/connect/10074733072513#/reservations/30684689428697?display=YQWHUTT4S&amp;reservation_id=30684689428697", "YQWHUTT4S")</f>
        <v>YQWHUTT4S</v>
      </c>
      <c r="B334" t="s">
        <v>953</v>
      </c>
      <c r="C334">
        <v>645</v>
      </c>
      <c r="D334">
        <v>701.09</v>
      </c>
      <c r="E334">
        <v>701.12</v>
      </c>
      <c r="F334">
        <v>-0.03</v>
      </c>
    </row>
    <row r="335" spans="1:6" x14ac:dyDescent="0.3">
      <c r="A335" t="str">
        <f>HYPERLINK("https://us2.cloudbeds.com/connect/10074733072513#/reservations/30684996898970?display=YQWPQ5MWS&amp;reservation_id=30684996898970", "YQWPQ5MWS")</f>
        <v>YQWPQ5MWS</v>
      </c>
      <c r="B335" t="s">
        <v>980</v>
      </c>
      <c r="C335">
        <v>516</v>
      </c>
      <c r="D335">
        <v>560.86</v>
      </c>
      <c r="E335">
        <v>560.89</v>
      </c>
      <c r="F335">
        <v>-0.03</v>
      </c>
    </row>
    <row r="336" spans="1:6" x14ac:dyDescent="0.3">
      <c r="A336" t="str">
        <f>HYPERLINK("https://us2.cloudbeds.com/connect/10074733072513#/reservations/30684941717660?display=YQWZCY6EV&amp;reservation_id=30684941717660", "YQWZCY6EV")</f>
        <v>YQWZCY6EV</v>
      </c>
      <c r="B336" t="s">
        <v>980</v>
      </c>
      <c r="C336">
        <v>354.45</v>
      </c>
      <c r="D336">
        <v>385.26</v>
      </c>
      <c r="E336">
        <v>385.29</v>
      </c>
      <c r="F336">
        <v>-0.03</v>
      </c>
    </row>
    <row r="337" spans="1:6" x14ac:dyDescent="0.3">
      <c r="A337" t="str">
        <f>HYPERLINK("https://us2.cloudbeds.com/connect/10074733072513#/reservations/30684987859086?display=YQWPXX4TW&amp;reservation_id=30684987859086", "YQWPXX4TW")</f>
        <v>YQWPXX4TW</v>
      </c>
      <c r="B337" t="s">
        <v>927</v>
      </c>
      <c r="C337">
        <v>756</v>
      </c>
      <c r="D337">
        <v>821.74</v>
      </c>
      <c r="E337">
        <v>821.77</v>
      </c>
      <c r="F337">
        <v>-0.03</v>
      </c>
    </row>
    <row r="338" spans="1:6" x14ac:dyDescent="0.3">
      <c r="A338" t="str">
        <f>HYPERLINK("https://us2.cloudbeds.com/connect/10074733072513#/reservations/30684340367529?display=YQW90XZFN&amp;reservation_id=30684340367529", "YQW90XZFN")</f>
        <v>YQW90XZFN</v>
      </c>
      <c r="B338" t="s">
        <v>989</v>
      </c>
      <c r="C338">
        <v>672.94</v>
      </c>
      <c r="D338">
        <v>731.46</v>
      </c>
      <c r="E338">
        <v>731.49</v>
      </c>
      <c r="F338">
        <v>-0.03</v>
      </c>
    </row>
    <row r="339" spans="1:6" x14ac:dyDescent="0.3">
      <c r="A339" t="str">
        <f>HYPERLINK("https://us2.cloudbeds.com/connect/10074733072513#/reservations/30684675387612?display=YQWHJ25JE&amp;reservation_id=30684675387612", "YQWHJ25JE")</f>
        <v>YQWHJ25JE</v>
      </c>
      <c r="B339" t="s">
        <v>930</v>
      </c>
      <c r="C339">
        <v>412.8</v>
      </c>
      <c r="D339">
        <v>448.68</v>
      </c>
      <c r="E339">
        <v>448.71</v>
      </c>
      <c r="F339">
        <v>-0.03</v>
      </c>
    </row>
    <row r="340" spans="1:6" x14ac:dyDescent="0.3">
      <c r="A340" t="str">
        <f>HYPERLINK("https://us2.cloudbeds.com/connect/10074733072513#/reservations/30684111491283?display=YQW35XUET&amp;reservation_id=30684111491283", "YQW35XUET")</f>
        <v>YQW35XUET</v>
      </c>
      <c r="B340" t="s">
        <v>964</v>
      </c>
      <c r="C340">
        <v>1092</v>
      </c>
      <c r="D340">
        <v>1186.97</v>
      </c>
      <c r="E340">
        <v>1187</v>
      </c>
      <c r="F340">
        <v>-0.03</v>
      </c>
    </row>
    <row r="341" spans="1:6" x14ac:dyDescent="0.3">
      <c r="A341" t="str">
        <f>HYPERLINK("https://us2.cloudbeds.com/connect/10074733072513#/reservations/30682974236831?display=YQV73K4YP&amp;reservation_id=30682974236831", "YQV73K4YP")</f>
        <v>YQV73K4YP</v>
      </c>
      <c r="B341" t="s">
        <v>945</v>
      </c>
      <c r="C341">
        <v>436</v>
      </c>
      <c r="D341">
        <v>473.9</v>
      </c>
      <c r="E341">
        <v>473.93</v>
      </c>
      <c r="F341">
        <v>-0.03</v>
      </c>
    </row>
    <row r="342" spans="1:6" x14ac:dyDescent="0.3">
      <c r="A342" t="str">
        <f>HYPERLINK("https://us2.cloudbeds.com/connect/10074733072513#/reservations/30684385894551?display=YQWA5VJZE&amp;reservation_id=30684385894551", "YQWA5VJZE")</f>
        <v>YQWA5VJZE</v>
      </c>
      <c r="B342" t="s">
        <v>999</v>
      </c>
      <c r="C342">
        <v>219</v>
      </c>
      <c r="D342">
        <v>238.02</v>
      </c>
      <c r="E342">
        <v>238.05</v>
      </c>
      <c r="F342">
        <v>-0.03</v>
      </c>
    </row>
    <row r="343" spans="1:6" x14ac:dyDescent="0.3">
      <c r="A343" t="str">
        <f>HYPERLINK("https://us2.cloudbeds.com/connect/10074733072513#/reservations/30683458814092?display=YQVJG7766&amp;reservation_id=30683458814092", "YQVJG7766")</f>
        <v>YQVJG7766</v>
      </c>
      <c r="B343" t="s">
        <v>1000</v>
      </c>
      <c r="C343">
        <v>595</v>
      </c>
      <c r="D343">
        <v>646.74</v>
      </c>
      <c r="E343">
        <v>646.77</v>
      </c>
      <c r="F343">
        <v>-0.03</v>
      </c>
    </row>
    <row r="344" spans="1:6" x14ac:dyDescent="0.3">
      <c r="A344" t="str">
        <f>HYPERLINK("https://us2.cloudbeds.com/connect/10074733072513#/reservations/30683956101332?display=YQVW6HVVG&amp;reservation_id=30683956101332", "YQVW6HVVG")</f>
        <v>YQVW6HVVG</v>
      </c>
      <c r="B344" t="s">
        <v>749</v>
      </c>
      <c r="C344">
        <v>395</v>
      </c>
      <c r="D344">
        <v>429.34</v>
      </c>
      <c r="E344">
        <v>429.37</v>
      </c>
      <c r="F344">
        <v>-0.03</v>
      </c>
    </row>
    <row r="345" spans="1:6" x14ac:dyDescent="0.3">
      <c r="A345" t="str">
        <f>HYPERLINK("https://us2.cloudbeds.com/connect/10074733072513#/reservations/30683543351516?display=YQVYYGJMA&amp;reservation_id=30683543351516", "YQVYYGJMA")</f>
        <v>YQVYYGJMA</v>
      </c>
      <c r="B345" t="s">
        <v>948</v>
      </c>
      <c r="C345">
        <v>476</v>
      </c>
      <c r="D345">
        <v>517.38</v>
      </c>
      <c r="E345">
        <v>517.41</v>
      </c>
      <c r="F345">
        <v>-0.03</v>
      </c>
    </row>
    <row r="346" spans="1:6" x14ac:dyDescent="0.3">
      <c r="A346" t="str">
        <f>HYPERLINK("https://us2.cloudbeds.com/connect/10074733072513#/reservations/30683560460450?display=YQVM2UMBS&amp;reservation_id=30683560460450", "YQVM2UMBS")</f>
        <v>YQVM2UMBS</v>
      </c>
      <c r="B346" t="s">
        <v>948</v>
      </c>
      <c r="C346">
        <v>309.8</v>
      </c>
      <c r="D346">
        <v>336.72</v>
      </c>
      <c r="E346">
        <v>336.75</v>
      </c>
      <c r="F346">
        <v>-0.03</v>
      </c>
    </row>
    <row r="347" spans="1:6" x14ac:dyDescent="0.3">
      <c r="A347" t="str">
        <f>HYPERLINK("https://us2.cloudbeds.com/connect/10074733072513#/reservations/30682285289675?display=YQUMGM5Y7&amp;reservation_id=30682285289675", "YQUMGM5Y7")</f>
        <v>YQUMGM5Y7</v>
      </c>
      <c r="B347" t="s">
        <v>1005</v>
      </c>
      <c r="C347">
        <v>476</v>
      </c>
      <c r="D347">
        <v>517.38</v>
      </c>
      <c r="E347">
        <v>517.41</v>
      </c>
      <c r="F347">
        <v>-0.03</v>
      </c>
    </row>
    <row r="348" spans="1:6" x14ac:dyDescent="0.3">
      <c r="A348" t="str">
        <f>HYPERLINK("https://us2.cloudbeds.com/connect/10074733072513#/reservations/30683570221259?display=YQVMB59EV&amp;reservation_id=30683570221259", "YQVMB59EV")</f>
        <v>YQVMB59EV</v>
      </c>
      <c r="B348" t="s">
        <v>948</v>
      </c>
      <c r="C348">
        <v>309.8</v>
      </c>
      <c r="D348">
        <v>336.72</v>
      </c>
      <c r="E348">
        <v>336.75</v>
      </c>
      <c r="F348">
        <v>-0.03</v>
      </c>
    </row>
    <row r="349" spans="1:6" x14ac:dyDescent="0.3">
      <c r="A349" t="str">
        <f>HYPERLINK("https://us2.cloudbeds.com/connect/10074733072513#/reservations/30683652161757?display=YQVZE8D8B&amp;reservation_id=30683652161757", "YQVZE8D8B")</f>
        <v>YQVZE8D8B</v>
      </c>
      <c r="B349" t="s">
        <v>948</v>
      </c>
      <c r="C349">
        <v>356</v>
      </c>
      <c r="D349">
        <v>386.94</v>
      </c>
      <c r="E349">
        <v>386.97</v>
      </c>
      <c r="F349">
        <v>-0.03</v>
      </c>
    </row>
    <row r="350" spans="1:6" x14ac:dyDescent="0.3">
      <c r="A350" t="str">
        <f>HYPERLINK("https://us2.cloudbeds.com/connect/10074733072513#/reservations/30683579809969?display=YQVMJ83GU&amp;reservation_id=30683579809969", "YQVMJ83GU")</f>
        <v>YQVMJ83GU</v>
      </c>
      <c r="B350" t="s">
        <v>948</v>
      </c>
      <c r="C350">
        <v>424.75</v>
      </c>
      <c r="D350">
        <v>461.67</v>
      </c>
      <c r="E350">
        <v>461.7</v>
      </c>
      <c r="F350">
        <v>-0.03</v>
      </c>
    </row>
    <row r="351" spans="1:6" x14ac:dyDescent="0.3">
      <c r="A351" t="str">
        <f>HYPERLINK("https://us2.cloudbeds.com/connect/10074733072513#/reservations/30683333251205?display=YQVG9B837&amp;reservation_id=30683333251205", "YQVG9B837")</f>
        <v>YQVG9B837</v>
      </c>
      <c r="B351" t="s">
        <v>1010</v>
      </c>
      <c r="C351">
        <v>436</v>
      </c>
      <c r="D351">
        <v>473.9</v>
      </c>
      <c r="E351">
        <v>473.93</v>
      </c>
      <c r="F351">
        <v>-0.03</v>
      </c>
    </row>
    <row r="352" spans="1:6" x14ac:dyDescent="0.3">
      <c r="A352" t="str">
        <f>HYPERLINK("https://us2.cloudbeds.com/connect/10074733072513#/reservations/30683444535517?display=YQVJ45TX3&amp;reservation_id=30683444535517", "YQVJ45TX3")</f>
        <v>YQVJ45TX3</v>
      </c>
      <c r="B352" t="s">
        <v>1022</v>
      </c>
      <c r="C352">
        <v>356</v>
      </c>
      <c r="D352">
        <v>386.94</v>
      </c>
      <c r="E352">
        <v>386.97</v>
      </c>
      <c r="F352">
        <v>-0.03</v>
      </c>
    </row>
    <row r="353" spans="1:6" x14ac:dyDescent="0.3">
      <c r="A353" t="str">
        <f>HYPERLINK("https://us2.cloudbeds.com/connect/10074733072513#/reservations/30682277159143?display=YQUM9QUJF&amp;reservation_id=30682277159143", "YQUM9QUJF")</f>
        <v>YQUM9QUJF</v>
      </c>
      <c r="B353" t="s">
        <v>926</v>
      </c>
      <c r="C353">
        <v>516</v>
      </c>
      <c r="D353">
        <v>560.86</v>
      </c>
      <c r="E353">
        <v>560.89</v>
      </c>
      <c r="F353">
        <v>-0.03</v>
      </c>
    </row>
    <row r="354" spans="1:6" x14ac:dyDescent="0.3">
      <c r="A354" t="str">
        <f>HYPERLINK("https://us2.cloudbeds.com/connect/10074733072513#/reservations/30681908854925?display=YQUCT8AHJ&amp;reservation_id=30681908854925", "YQUCT8AHJ")</f>
        <v>YQUCT8AHJ</v>
      </c>
      <c r="B354" t="s">
        <v>926</v>
      </c>
      <c r="C354">
        <v>516</v>
      </c>
      <c r="D354">
        <v>560.86</v>
      </c>
      <c r="E354">
        <v>560.89</v>
      </c>
      <c r="F354">
        <v>-0.03</v>
      </c>
    </row>
    <row r="355" spans="1:6" x14ac:dyDescent="0.3">
      <c r="A355" t="str">
        <f>HYPERLINK("https://us2.cloudbeds.com/connect/10074733072513#/reservations/30682401984758?display=YQUPG2CYS&amp;reservation_id=30682401984758", "YQUPG2CYS")</f>
        <v>YQUPG2CYS</v>
      </c>
      <c r="B355" t="s">
        <v>960</v>
      </c>
      <c r="C355">
        <v>556</v>
      </c>
      <c r="D355">
        <v>604.34</v>
      </c>
      <c r="E355">
        <v>604.37</v>
      </c>
      <c r="F355">
        <v>-0.03</v>
      </c>
    </row>
    <row r="356" spans="1:6" x14ac:dyDescent="0.3">
      <c r="A356" t="str">
        <f>HYPERLINK("https://us2.cloudbeds.com/connect/10074733072513#/reservations/30681687535746?display=YQU77KPVQ&amp;reservation_id=30681687535746", "YQU77KPVQ")</f>
        <v>YQU77KPVQ</v>
      </c>
      <c r="B356" t="s">
        <v>926</v>
      </c>
      <c r="C356">
        <v>596</v>
      </c>
      <c r="D356">
        <v>647.82000000000005</v>
      </c>
      <c r="E356">
        <v>647.85</v>
      </c>
      <c r="F356">
        <v>-0.03</v>
      </c>
    </row>
    <row r="357" spans="1:6" x14ac:dyDescent="0.3">
      <c r="A357" t="str">
        <f>HYPERLINK("https://us2.cloudbeds.com/connect/10074733072513#/reservations/31676684198028?display=MH8YN5YBB&amp;reservation_id=31676684198028", "MH8YN5YBB")</f>
        <v>MH8YN5YBB</v>
      </c>
      <c r="B357" t="s">
        <v>1034</v>
      </c>
      <c r="C357">
        <v>556</v>
      </c>
      <c r="D357">
        <v>604.34</v>
      </c>
      <c r="E357">
        <v>604.37</v>
      </c>
      <c r="F357">
        <v>-0.03</v>
      </c>
    </row>
    <row r="358" spans="1:6" x14ac:dyDescent="0.3">
      <c r="A358" t="str">
        <f>HYPERLINK("https://us2.cloudbeds.com/connect/10074733072513#/reservations/31675677294818?display=MH7SW42YR&amp;reservation_id=31675677294818", "MH7SW42YR")</f>
        <v>MH7SW42YR</v>
      </c>
      <c r="B358" t="s">
        <v>1034</v>
      </c>
      <c r="C358">
        <v>556</v>
      </c>
      <c r="D358">
        <v>604.34</v>
      </c>
      <c r="E358">
        <v>604.37</v>
      </c>
      <c r="F358">
        <v>-0.03</v>
      </c>
    </row>
    <row r="359" spans="1:6" x14ac:dyDescent="0.3">
      <c r="A359" t="str">
        <f>HYPERLINK("https://us2.cloudbeds.com/connect/10074733072513#/reservations/30682350751880?display=YQUZ5SZSD&amp;reservation_id=30682350751880", "YQUZ5SZSD")</f>
        <v>YQUZ5SZSD</v>
      </c>
      <c r="B359" t="s">
        <v>1023</v>
      </c>
      <c r="C359">
        <v>412.8</v>
      </c>
      <c r="D359">
        <v>448.68</v>
      </c>
      <c r="E359">
        <v>448.71</v>
      </c>
      <c r="F359">
        <v>-0.03</v>
      </c>
    </row>
    <row r="360" spans="1:6" x14ac:dyDescent="0.3">
      <c r="A360" t="str">
        <f>HYPERLINK("https://us2.cloudbeds.com/connect/10074733072513#/reservations/30682462458053?display=YQUR124MV&amp;reservation_id=30682462458053", "YQUR124MV")</f>
        <v>YQUR124MV</v>
      </c>
      <c r="B360" t="s">
        <v>1023</v>
      </c>
      <c r="C360">
        <v>1110</v>
      </c>
      <c r="D360">
        <v>1206.54</v>
      </c>
      <c r="E360">
        <v>1206.57</v>
      </c>
      <c r="F360">
        <v>-0.03</v>
      </c>
    </row>
    <row r="361" spans="1:6" x14ac:dyDescent="0.3">
      <c r="A361" t="str">
        <f>HYPERLINK("https://us2.cloudbeds.com/connect/10074733072513#/reservations/30682588721292?display=YQUU8HJTN&amp;reservation_id=30682588721292", "YQUU8HJTN")</f>
        <v>YQUU8HJTN</v>
      </c>
      <c r="B361" t="s">
        <v>1039</v>
      </c>
      <c r="C361">
        <v>219</v>
      </c>
      <c r="D361">
        <v>238.02</v>
      </c>
      <c r="E361">
        <v>238.05</v>
      </c>
      <c r="F361">
        <v>-0.03</v>
      </c>
    </row>
    <row r="362" spans="1:6" x14ac:dyDescent="0.3">
      <c r="A362" t="str">
        <f>HYPERLINK("https://us2.cloudbeds.com/connect/10074733072513#/reservations/31675773948114?display=MH7VEKJRK&amp;reservation_id=31675773948114", "MH7VEKJRK")</f>
        <v>MH7VEKJRK</v>
      </c>
      <c r="B362" t="s">
        <v>982</v>
      </c>
      <c r="C362">
        <v>675</v>
      </c>
      <c r="D362">
        <v>733.7</v>
      </c>
      <c r="E362">
        <v>733.73</v>
      </c>
      <c r="F362">
        <v>-0.03</v>
      </c>
    </row>
    <row r="363" spans="1:6" x14ac:dyDescent="0.3">
      <c r="A363" t="str">
        <f>HYPERLINK("https://us2.cloudbeds.com/connect/10074733072513#/reservations/30681480810654?display=YQU1VABP1&amp;reservation_id=30681480810654", "YQU1VABP1")</f>
        <v>YQU1VABP1</v>
      </c>
      <c r="B363" t="s">
        <v>970</v>
      </c>
      <c r="C363">
        <v>536.4</v>
      </c>
      <c r="D363">
        <v>583.04</v>
      </c>
      <c r="E363">
        <v>583.07000000000005</v>
      </c>
      <c r="F363">
        <v>-0.03</v>
      </c>
    </row>
    <row r="364" spans="1:6" x14ac:dyDescent="0.3">
      <c r="A364" t="str">
        <f>HYPERLINK("https://us2.cloudbeds.com/connect/10074733072513#/reservations/30681270071544?display=YQTTXK7JE&amp;reservation_id=30681270071544", "YQTTXK7JE")</f>
        <v>YQTTXK7JE</v>
      </c>
      <c r="B364" t="s">
        <v>1015</v>
      </c>
      <c r="C364">
        <v>516</v>
      </c>
      <c r="D364">
        <v>560.86</v>
      </c>
      <c r="E364">
        <v>560.89</v>
      </c>
      <c r="F364">
        <v>-0.03</v>
      </c>
    </row>
    <row r="365" spans="1:6" x14ac:dyDescent="0.3">
      <c r="A365" t="str">
        <f>HYPERLINK("https://us2.cloudbeds.com/connect/10074733072513#/reservations/31678337933455?display=MH9UVY903&amp;reservation_id=31678337933455", "MH9UVY903")</f>
        <v>MH9UVY903</v>
      </c>
      <c r="B365" t="s">
        <v>1050</v>
      </c>
      <c r="C365">
        <v>556</v>
      </c>
      <c r="D365">
        <v>604.34</v>
      </c>
      <c r="E365">
        <v>604.37</v>
      </c>
      <c r="F365">
        <v>-0.03</v>
      </c>
    </row>
    <row r="366" spans="1:6" x14ac:dyDescent="0.3">
      <c r="A366" t="str">
        <f>HYPERLINK("https://us2.cloudbeds.com/connect/10074733072513#/reservations/31673241759938?display=MH5WZDZ5J&amp;reservation_id=31673241759938", "MH5WZDZ5J")</f>
        <v>MH5WZDZ5J</v>
      </c>
      <c r="B366" t="s">
        <v>981</v>
      </c>
      <c r="C366">
        <v>258</v>
      </c>
      <c r="D366">
        <v>280.42</v>
      </c>
      <c r="E366">
        <v>280.45</v>
      </c>
      <c r="F366">
        <v>-0.03</v>
      </c>
    </row>
    <row r="367" spans="1:6" x14ac:dyDescent="0.3">
      <c r="A367" t="str">
        <f>HYPERLINK("https://us2.cloudbeds.com/connect/10074733072513#/reservations/30681789317336?display=YQU9RF0AD&amp;reservation_id=30681789317336", "YQU9RF0AD")</f>
        <v>YQU9RF0AD</v>
      </c>
      <c r="B367" t="s">
        <v>969</v>
      </c>
      <c r="C367">
        <v>316</v>
      </c>
      <c r="D367">
        <v>343.46</v>
      </c>
      <c r="E367">
        <v>343.49</v>
      </c>
      <c r="F367">
        <v>-0.03</v>
      </c>
    </row>
    <row r="368" spans="1:6" x14ac:dyDescent="0.3">
      <c r="A368" t="str">
        <f>HYPERLINK("https://us2.cloudbeds.com/connect/10074733072513#/reservations/30681686536354?display=YQU76PW86&amp;reservation_id=30681686536354", "YQU76PW86")</f>
        <v>YQU76PW86</v>
      </c>
      <c r="B368" t="s">
        <v>1046</v>
      </c>
      <c r="C368">
        <v>556</v>
      </c>
      <c r="D368">
        <v>604.34</v>
      </c>
      <c r="E368">
        <v>604.37</v>
      </c>
      <c r="F368">
        <v>-0.03</v>
      </c>
    </row>
    <row r="369" spans="1:6" x14ac:dyDescent="0.3">
      <c r="A369" t="str">
        <f>HYPERLINK("https://us2.cloudbeds.com/connect/10074733072513#/reservations/30681982435463?display=YQUEP9QJS&amp;reservation_id=30681982435463", "YQUEP9QJS")</f>
        <v>YQUEP9QJS</v>
      </c>
      <c r="B369" t="s">
        <v>1038</v>
      </c>
      <c r="C369">
        <v>219</v>
      </c>
      <c r="D369">
        <v>238.02</v>
      </c>
      <c r="E369">
        <v>238.05</v>
      </c>
      <c r="F369">
        <v>-0.03</v>
      </c>
    </row>
    <row r="370" spans="1:6" x14ac:dyDescent="0.3">
      <c r="A370" t="str">
        <f>HYPERLINK("https://us2.cloudbeds.com/connect/10074733072513#/reservations/31672542949593?display=MH5ET5A1H&amp;reservation_id=31672542949593", "MH5ET5A1H")</f>
        <v>MH5ET5A1H</v>
      </c>
      <c r="B370" t="s">
        <v>1069</v>
      </c>
      <c r="C370">
        <v>476</v>
      </c>
      <c r="D370">
        <v>517.38</v>
      </c>
      <c r="E370">
        <v>517.41</v>
      </c>
      <c r="F370">
        <v>-0.03</v>
      </c>
    </row>
    <row r="371" spans="1:6" x14ac:dyDescent="0.3">
      <c r="A371" t="str">
        <f>HYPERLINK("https://us2.cloudbeds.com/connect/10074733072513#/reservations/31671690084494?display=MH4Q302GJ&amp;reservation_id=31671690084494", "MH4Q302GJ")</f>
        <v>MH4Q302GJ</v>
      </c>
      <c r="B371" t="s">
        <v>1008</v>
      </c>
      <c r="C371">
        <v>219</v>
      </c>
      <c r="D371">
        <v>238.02</v>
      </c>
      <c r="E371">
        <v>238.05</v>
      </c>
      <c r="F371">
        <v>-0.03</v>
      </c>
    </row>
    <row r="372" spans="1:6" x14ac:dyDescent="0.3">
      <c r="A372" t="str">
        <f>HYPERLINK("https://us2.cloudbeds.com/connect/10074733072513#/reservations/31675694145709?display=MH7TDAWCU&amp;reservation_id=31675694145709", "MH7TDAWCU")</f>
        <v>MH7TDAWCU</v>
      </c>
      <c r="B372" t="s">
        <v>1034</v>
      </c>
      <c r="C372">
        <v>556</v>
      </c>
      <c r="D372">
        <v>604.34</v>
      </c>
      <c r="E372">
        <v>604.37</v>
      </c>
      <c r="F372">
        <v>-0.03</v>
      </c>
    </row>
    <row r="373" spans="1:6" x14ac:dyDescent="0.3">
      <c r="A373" t="str">
        <f>HYPERLINK("https://us2.cloudbeds.com/connect/10074733072513#/reservations/31676542144644?display=MH8X2CQFB&amp;reservation_id=31676542144644", "MH8X2CQFB")</f>
        <v>MH8X2CQFB</v>
      </c>
      <c r="B373" t="s">
        <v>1034</v>
      </c>
      <c r="C373">
        <v>556</v>
      </c>
      <c r="D373">
        <v>604.34</v>
      </c>
      <c r="E373">
        <v>604.37</v>
      </c>
      <c r="F373">
        <v>-0.03</v>
      </c>
    </row>
    <row r="374" spans="1:6" x14ac:dyDescent="0.3">
      <c r="A374" t="str">
        <f>HYPERLINK("https://us2.cloudbeds.com/connect/10074733072513#/reservations/31672088305808?display=MH538Q5Y4&amp;reservation_id=31672088305808", "MH538Q5Y4")</f>
        <v>MH538Q5Y4</v>
      </c>
      <c r="B374" t="s">
        <v>1068</v>
      </c>
      <c r="C374">
        <v>1184</v>
      </c>
      <c r="D374">
        <v>1286.98</v>
      </c>
      <c r="E374">
        <v>1287.01</v>
      </c>
      <c r="F374">
        <v>-0.03</v>
      </c>
    </row>
    <row r="375" spans="1:6" x14ac:dyDescent="0.3">
      <c r="A375" t="str">
        <f>HYPERLINK("https://us2.cloudbeds.com/connect/10074733072513#/reservations/31672054673597?display=MH52DEA27&amp;reservation_id=31672054673597", "MH52DEA27")</f>
        <v>MH52DEA27</v>
      </c>
      <c r="B375" t="s">
        <v>1061</v>
      </c>
      <c r="C375">
        <v>1184</v>
      </c>
      <c r="D375">
        <v>1286.98</v>
      </c>
      <c r="E375">
        <v>1287.01</v>
      </c>
      <c r="F375">
        <v>-0.03</v>
      </c>
    </row>
    <row r="376" spans="1:6" x14ac:dyDescent="0.3">
      <c r="A376" t="str">
        <f>HYPERLINK("https://us2.cloudbeds.com/connect/10074733072513#/reservations/31677004194043?display=MH8TT0089&amp;reservation_id=31677004194043", "MH8TT0089")</f>
        <v>MH8TT0089</v>
      </c>
      <c r="B376" t="s">
        <v>1086</v>
      </c>
      <c r="C376">
        <v>751.5</v>
      </c>
      <c r="D376">
        <v>816.85</v>
      </c>
      <c r="E376">
        <v>816.88</v>
      </c>
      <c r="F376">
        <v>-0.03</v>
      </c>
    </row>
    <row r="377" spans="1:6" x14ac:dyDescent="0.3">
      <c r="A377" t="str">
        <f>HYPERLINK("https://us2.cloudbeds.com/connect/10074733072513#/reservations/31680992350403?display=MHBWPUB4A&amp;reservation_id=31680992350403", "MHBWPUB4A")</f>
        <v>MHBWPUB4A</v>
      </c>
      <c r="B377" t="s">
        <v>1087</v>
      </c>
      <c r="C377">
        <v>636</v>
      </c>
      <c r="D377">
        <v>691.3</v>
      </c>
      <c r="E377">
        <v>691.33</v>
      </c>
      <c r="F377">
        <v>-0.03</v>
      </c>
    </row>
    <row r="378" spans="1:6" x14ac:dyDescent="0.3">
      <c r="A378" t="str">
        <f>HYPERLINK("https://us2.cloudbeds.com/connect/10074733072513#/reservations/31672875823324?display=MH5NCS079&amp;reservation_id=31672875823324", "MH5NCS079")</f>
        <v>MH5NCS079</v>
      </c>
      <c r="B378" t="s">
        <v>1088</v>
      </c>
      <c r="C378">
        <v>545</v>
      </c>
      <c r="D378">
        <v>592.39</v>
      </c>
      <c r="E378">
        <v>592.41999999999996</v>
      </c>
      <c r="F378">
        <v>-0.03</v>
      </c>
    </row>
    <row r="379" spans="1:6" x14ac:dyDescent="0.3">
      <c r="A379" t="str">
        <f>HYPERLINK("https://us2.cloudbeds.com/connect/10074733072513#/reservations/31672656560288?display=MH5HPVMZS&amp;reservation_id=31672656560288", "MH5HPVMZS")</f>
        <v>MH5HPVMZS</v>
      </c>
      <c r="B379" t="s">
        <v>1053</v>
      </c>
      <c r="C379">
        <v>316</v>
      </c>
      <c r="D379">
        <v>343.46</v>
      </c>
      <c r="E379">
        <v>343.49</v>
      </c>
      <c r="F379">
        <v>-0.03</v>
      </c>
    </row>
    <row r="380" spans="1:6" x14ac:dyDescent="0.3">
      <c r="A380" t="str">
        <f>HYPERLINK("https://us2.cloudbeds.com/connect/10074733072513#/reservations/31672101634206?display=MH53K11ZW&amp;reservation_id=31672101634206", "MH53K11ZW")</f>
        <v>MH53K11ZW</v>
      </c>
      <c r="B380" t="s">
        <v>1061</v>
      </c>
      <c r="C380">
        <v>356</v>
      </c>
      <c r="D380">
        <v>386.94</v>
      </c>
      <c r="E380">
        <v>386.97</v>
      </c>
      <c r="F380">
        <v>-0.03</v>
      </c>
    </row>
    <row r="381" spans="1:6" x14ac:dyDescent="0.3">
      <c r="A381" t="str">
        <f>HYPERLINK("https://us2.cloudbeds.com/connect/10074733072513#/reservations/31672501256402?display=MH5DR049G&amp;reservation_id=31672501256402", "MH5DR049G")</f>
        <v>MH5DR049G</v>
      </c>
      <c r="B381" t="s">
        <v>1069</v>
      </c>
      <c r="C381">
        <v>476</v>
      </c>
      <c r="D381">
        <v>517.38</v>
      </c>
      <c r="E381">
        <v>517.41</v>
      </c>
      <c r="F381">
        <v>-0.03</v>
      </c>
    </row>
    <row r="382" spans="1:6" x14ac:dyDescent="0.3">
      <c r="A382" t="str">
        <f>HYPERLINK("https://us2.cloudbeds.com/connect/10074733072513#/reservations/31672422351037?display=MH5BQFFXR&amp;reservation_id=31672422351037", "MH5BQFFXR")</f>
        <v>MH5BQFFXR</v>
      </c>
      <c r="B382" t="s">
        <v>1097</v>
      </c>
      <c r="C382">
        <v>1071</v>
      </c>
      <c r="D382">
        <v>1164.1500000000001</v>
      </c>
      <c r="E382">
        <v>1164.18</v>
      </c>
      <c r="F382">
        <v>-0.03</v>
      </c>
    </row>
    <row r="383" spans="1:6" x14ac:dyDescent="0.3">
      <c r="A383" t="str">
        <f>HYPERLINK("https://us2.cloudbeds.com/connect/10074733072513#/reservations/31671789912201?display=MH4SY5UYK&amp;reservation_id=31671789912201", "MH4SY5UYK")</f>
        <v>MH4SY5UYK</v>
      </c>
      <c r="B383" t="s">
        <v>1064</v>
      </c>
      <c r="C383">
        <v>436</v>
      </c>
      <c r="D383">
        <v>473.9</v>
      </c>
      <c r="E383">
        <v>473.93</v>
      </c>
      <c r="F383">
        <v>-0.03</v>
      </c>
    </row>
    <row r="384" spans="1:6" x14ac:dyDescent="0.3">
      <c r="A384" t="str">
        <f>HYPERLINK("https://us2.cloudbeds.com/connect/10074733072513#/reservations/31683287498945?display=MHDPE87X4&amp;reservation_id=31683287498945", "MHDPE87X4")</f>
        <v>MHDPE87X4</v>
      </c>
      <c r="B384" t="s">
        <v>1100</v>
      </c>
      <c r="C384">
        <v>556</v>
      </c>
      <c r="D384">
        <v>604.34</v>
      </c>
      <c r="E384">
        <v>604.37</v>
      </c>
      <c r="F384">
        <v>-0.03</v>
      </c>
    </row>
    <row r="385" spans="1:6" x14ac:dyDescent="0.3">
      <c r="A385" t="str">
        <f>HYPERLINK("https://us2.cloudbeds.com/connect/10074733072513#/reservations/31672627908844?display=MH5H1QDT9&amp;reservation_id=31672627908844", "MH5H1QDT9")</f>
        <v>MH5H1QDT9</v>
      </c>
      <c r="B385" t="s">
        <v>1098</v>
      </c>
      <c r="C385">
        <v>316</v>
      </c>
      <c r="D385">
        <v>343.46</v>
      </c>
      <c r="E385">
        <v>343.49</v>
      </c>
      <c r="F385">
        <v>-0.03</v>
      </c>
    </row>
    <row r="386" spans="1:6" x14ac:dyDescent="0.3">
      <c r="A386" t="str">
        <f>HYPERLINK("https://us2.cloudbeds.com/connect/10074733072513#/reservations/31672798089433?display=MH5YD9V7R&amp;reservation_id=31672798089433", "MH5YD9V7R")</f>
        <v>MH5YD9V7R</v>
      </c>
      <c r="B386" t="s">
        <v>1103</v>
      </c>
      <c r="C386">
        <v>632.4</v>
      </c>
      <c r="D386">
        <v>687.39</v>
      </c>
      <c r="E386">
        <v>687.42</v>
      </c>
      <c r="F386">
        <v>-0.03</v>
      </c>
    </row>
    <row r="387" spans="1:6" x14ac:dyDescent="0.3">
      <c r="A387" t="str">
        <f>HYPERLINK("https://us2.cloudbeds.com/connect/10074733072513#/reservations/31673571369171?display=MH685BJY5&amp;reservation_id=31673571369171", "MH685BJY5")</f>
        <v>MH685BJY5</v>
      </c>
      <c r="B387" t="s">
        <v>1107</v>
      </c>
      <c r="C387">
        <v>316</v>
      </c>
      <c r="D387">
        <v>343.46</v>
      </c>
      <c r="E387">
        <v>343.49</v>
      </c>
      <c r="F387">
        <v>-0.03</v>
      </c>
    </row>
    <row r="388" spans="1:6" x14ac:dyDescent="0.3">
      <c r="A388" t="str">
        <f>HYPERLINK("https://us2.cloudbeds.com/connect/10074733072513#/reservations/31682722029751?display=MHDAWE72W&amp;reservation_id=31682722029751", "MHDAWE72W")</f>
        <v>MHDAWE72W</v>
      </c>
      <c r="B388" t="s">
        <v>1115</v>
      </c>
      <c r="C388">
        <v>536.4</v>
      </c>
      <c r="D388">
        <v>583.04</v>
      </c>
      <c r="E388">
        <v>583.07000000000005</v>
      </c>
      <c r="F388">
        <v>-0.03</v>
      </c>
    </row>
    <row r="389" spans="1:6" x14ac:dyDescent="0.3">
      <c r="A389" t="str">
        <f>HYPERLINK("https://us2.cloudbeds.com/connect/10074733072513#/reservations/31673684557956?display=MH6B1Q7UB&amp;reservation_id=31673684557956", "MH6B1Q7UB")</f>
        <v>MH6B1Q7UB</v>
      </c>
      <c r="B389" t="s">
        <v>1121</v>
      </c>
      <c r="C389">
        <v>412.8</v>
      </c>
      <c r="D389">
        <v>448.68</v>
      </c>
      <c r="E389">
        <v>448.71</v>
      </c>
      <c r="F389">
        <v>-0.03</v>
      </c>
    </row>
    <row r="390" spans="1:6" x14ac:dyDescent="0.3">
      <c r="A390" t="str">
        <f>HYPERLINK("https://us2.cloudbeds.com/connect/10074733072513#/reservations/31673087148209?display=MH5SQ1E9M&amp;reservation_id=31673087148209", "MH5SQ1E9M")</f>
        <v>MH5SQ1E9M</v>
      </c>
      <c r="B390" t="s">
        <v>1123</v>
      </c>
      <c r="C390">
        <v>219</v>
      </c>
      <c r="D390">
        <v>238.02</v>
      </c>
      <c r="E390">
        <v>238.05</v>
      </c>
      <c r="F390">
        <v>-0.03</v>
      </c>
    </row>
    <row r="391" spans="1:6" x14ac:dyDescent="0.3">
      <c r="A391" t="str">
        <f>HYPERLINK("https://us2.cloudbeds.com/connect/10074733072513#/reservations/31674918559937?display=MH79JB5DP&amp;reservation_id=31674918559937", "MH79JB5DP")</f>
        <v>MH79JB5DP</v>
      </c>
      <c r="B391" t="s">
        <v>1128</v>
      </c>
      <c r="C391">
        <v>234.49</v>
      </c>
      <c r="D391">
        <v>254.86</v>
      </c>
      <c r="E391">
        <v>254.89</v>
      </c>
      <c r="F391">
        <v>-0.03</v>
      </c>
    </row>
    <row r="392" spans="1:6" x14ac:dyDescent="0.3">
      <c r="A392" t="str">
        <f>HYPERLINK("https://us2.cloudbeds.com/connect/10074733072513#/reservations/31673586647189?display=MH68X7Z1D&amp;reservation_id=31673586647189", "MH68X7Z1D")</f>
        <v>MH68X7Z1D</v>
      </c>
      <c r="B392" t="s">
        <v>1107</v>
      </c>
      <c r="C392">
        <v>1184</v>
      </c>
      <c r="D392">
        <v>1286.98</v>
      </c>
      <c r="E392">
        <v>1287.01</v>
      </c>
      <c r="F392">
        <v>-0.03</v>
      </c>
    </row>
    <row r="393" spans="1:6" x14ac:dyDescent="0.3">
      <c r="A393" t="str">
        <f>HYPERLINK("https://us2.cloudbeds.com/connect/10074733072513#/reservations/31672823808133?display=MH5M1WK1C&amp;reservation_id=31672823808133", "MH5M1WK1C")</f>
        <v>MH5M1WK1C</v>
      </c>
      <c r="B393" t="s">
        <v>1094</v>
      </c>
      <c r="C393">
        <v>316</v>
      </c>
      <c r="D393">
        <v>343.46</v>
      </c>
      <c r="E393">
        <v>343.49</v>
      </c>
      <c r="F393">
        <v>-0.03</v>
      </c>
    </row>
    <row r="394" spans="1:6" x14ac:dyDescent="0.3">
      <c r="A394" t="str">
        <f>HYPERLINK("https://us2.cloudbeds.com/connect/10074733072513#/reservations/31672667054240?display=MH5X1QN2D&amp;reservation_id=31672667054240", "MH5X1QN2D")</f>
        <v>MH5X1QN2D</v>
      </c>
      <c r="B394" t="s">
        <v>1132</v>
      </c>
      <c r="C394">
        <v>436</v>
      </c>
      <c r="D394">
        <v>473.9</v>
      </c>
      <c r="E394">
        <v>473.93</v>
      </c>
      <c r="F394">
        <v>-0.03</v>
      </c>
    </row>
    <row r="395" spans="1:6" x14ac:dyDescent="0.3">
      <c r="A395" t="str">
        <f>HYPERLINK("https://us2.cloudbeds.com/connect/10074733072513#/reservations/31674144133301?display=MH6MQAJRV&amp;reservation_id=31674144133301", "MH6MQAJRV")</f>
        <v>MH6MQAJRV</v>
      </c>
      <c r="B395" t="s">
        <v>1133</v>
      </c>
      <c r="C395">
        <v>645</v>
      </c>
      <c r="D395">
        <v>701.09</v>
      </c>
      <c r="E395">
        <v>701.12</v>
      </c>
      <c r="F395">
        <v>-0.03</v>
      </c>
    </row>
    <row r="396" spans="1:6" x14ac:dyDescent="0.3">
      <c r="A396" t="str">
        <f>HYPERLINK("https://us2.cloudbeds.com/connect/10074733072513#/reservations/31674274341060?display=MH6Q43R6K&amp;reservation_id=31674274341060", "MH6Q43R6K")</f>
        <v>MH6Q43R6K</v>
      </c>
      <c r="B396" t="s">
        <v>1122</v>
      </c>
      <c r="C396">
        <v>436</v>
      </c>
      <c r="D396">
        <v>473.9</v>
      </c>
      <c r="E396">
        <v>473.93</v>
      </c>
      <c r="F396">
        <v>-0.03</v>
      </c>
    </row>
    <row r="397" spans="1:6" x14ac:dyDescent="0.3">
      <c r="A397" t="str">
        <f>HYPERLINK("https://us2.cloudbeds.com/connect/10074733072513#/reservations/31674161844466?display=MH6N88EHU&amp;reservation_id=31674161844466", "MH6N88EHU")</f>
        <v>MH6N88EHU</v>
      </c>
      <c r="B397" t="s">
        <v>1133</v>
      </c>
      <c r="C397">
        <v>436</v>
      </c>
      <c r="D397">
        <v>473.9</v>
      </c>
      <c r="E397">
        <v>473.93</v>
      </c>
      <c r="F397">
        <v>-0.03</v>
      </c>
    </row>
    <row r="398" spans="1:6" x14ac:dyDescent="0.3">
      <c r="A398" t="str">
        <f>HYPERLINK("https://us2.cloudbeds.com/connect/10074733072513#/reservations/31673924116694?display=MH6H5QAD1&amp;reservation_id=31673924116694", "MH6H5QAD1")</f>
        <v>MH6H5QAD1</v>
      </c>
      <c r="B398" t="s">
        <v>1149</v>
      </c>
      <c r="C398">
        <v>875.7</v>
      </c>
      <c r="D398">
        <v>951.86</v>
      </c>
      <c r="E398">
        <v>951.89</v>
      </c>
      <c r="F398">
        <v>-0.03</v>
      </c>
    </row>
    <row r="399" spans="1:6" x14ac:dyDescent="0.3">
      <c r="A399" t="str">
        <f>HYPERLINK("https://us2.cloudbeds.com/connect/10074733072513#/reservations/31674870575257?display=MH78BSUBX&amp;reservation_id=31674870575257", "MH78BSUBX")</f>
        <v>MH78BSUBX</v>
      </c>
      <c r="B399" t="s">
        <v>1128</v>
      </c>
      <c r="C399">
        <v>516</v>
      </c>
      <c r="D399">
        <v>560.86</v>
      </c>
      <c r="E399">
        <v>560.89</v>
      </c>
      <c r="F399">
        <v>-0.03</v>
      </c>
    </row>
    <row r="400" spans="1:6" x14ac:dyDescent="0.3">
      <c r="A400" t="str">
        <f>HYPERLINK("https://us2.cloudbeds.com/connect/10074733072513#/reservations/31673675108562?display=MH6AQR9Q2&amp;reservation_id=31673675108562", "MH6AQR9Q2")</f>
        <v>MH6AQR9Q2</v>
      </c>
      <c r="B400" t="s">
        <v>1143</v>
      </c>
      <c r="C400">
        <v>545</v>
      </c>
      <c r="D400">
        <v>592.39</v>
      </c>
      <c r="E400">
        <v>592.41999999999996</v>
      </c>
      <c r="F400">
        <v>-0.03</v>
      </c>
    </row>
    <row r="401" spans="1:6" x14ac:dyDescent="0.3">
      <c r="A401" t="str">
        <f>HYPERLINK("https://us2.cloudbeds.com/connect/10074733072513#/reservations/31673429065940?display=MH64HBQB1&amp;reservation_id=31673429065940", "MH64HBQB1")</f>
        <v>MH64HBQB1</v>
      </c>
      <c r="B401" t="s">
        <v>1145</v>
      </c>
      <c r="C401">
        <v>219</v>
      </c>
      <c r="D401">
        <v>238.02</v>
      </c>
      <c r="E401">
        <v>238.05</v>
      </c>
      <c r="F401">
        <v>-0.03</v>
      </c>
    </row>
    <row r="402" spans="1:6" x14ac:dyDescent="0.3">
      <c r="A402" t="str">
        <f>HYPERLINK("https://us2.cloudbeds.com/connect/10074733072513#/reservations/31674026819747?display=MH6JQD5TP&amp;reservation_id=31674026819747", "MH6JQD5TP")</f>
        <v>MH6JQD5TP</v>
      </c>
      <c r="B402" t="s">
        <v>1129</v>
      </c>
      <c r="C402">
        <v>219</v>
      </c>
      <c r="D402">
        <v>238.02</v>
      </c>
      <c r="E402">
        <v>238.05</v>
      </c>
      <c r="F402">
        <v>-0.03</v>
      </c>
    </row>
    <row r="403" spans="1:6" x14ac:dyDescent="0.3">
      <c r="A403" t="str">
        <f>HYPERLINK("https://us2.cloudbeds.com/connect/10074733072513#/reservations/31673131868387?display=MH5TUZRYJ&amp;reservation_id=31673131868387", "MH5TUZRYJ")</f>
        <v>MH5TUZRYJ</v>
      </c>
      <c r="B403" t="s">
        <v>1143</v>
      </c>
      <c r="C403">
        <v>219</v>
      </c>
      <c r="D403">
        <v>238.02</v>
      </c>
      <c r="E403">
        <v>238.05</v>
      </c>
      <c r="F403">
        <v>-0.03</v>
      </c>
    </row>
    <row r="404" spans="1:6" x14ac:dyDescent="0.3">
      <c r="A404" t="str">
        <f>HYPERLINK("https://us2.cloudbeds.com/connect/10074733072513#/reservations/31673881845988?display=MH6G352AX&amp;reservation_id=31673881845988", "MH6G352AX")</f>
        <v>MH6G352AX</v>
      </c>
      <c r="B404" t="s">
        <v>1157</v>
      </c>
      <c r="C404">
        <v>330.88</v>
      </c>
      <c r="D404">
        <v>359.64</v>
      </c>
      <c r="E404">
        <v>359.67</v>
      </c>
      <c r="F404">
        <v>-0.03</v>
      </c>
    </row>
    <row r="405" spans="1:6" x14ac:dyDescent="0.3">
      <c r="A405" t="str">
        <f>HYPERLINK("https://us2.cloudbeds.com/connect/10074733072513#/reservations/31675183206540?display=MH7GBGBDQ&amp;reservation_id=31675183206540", "MH7GBGBDQ")</f>
        <v>MH7GBGBDQ</v>
      </c>
      <c r="B405" t="s">
        <v>1029</v>
      </c>
      <c r="C405">
        <v>436</v>
      </c>
      <c r="D405">
        <v>473.9</v>
      </c>
      <c r="E405">
        <v>473.93</v>
      </c>
      <c r="F405">
        <v>-0.03</v>
      </c>
    </row>
    <row r="406" spans="1:6" x14ac:dyDescent="0.3">
      <c r="A406" t="str">
        <f>HYPERLINK("https://us2.cloudbeds.com/connect/10074733072513#/reservations/31675332698243?display=MH7K5X5ND&amp;reservation_id=31675332698243", "MH7K5X5ND")</f>
        <v>MH7K5X5ND</v>
      </c>
      <c r="B406" t="s">
        <v>1029</v>
      </c>
      <c r="C406">
        <v>356</v>
      </c>
      <c r="D406">
        <v>386.94</v>
      </c>
      <c r="E406">
        <v>386.97</v>
      </c>
      <c r="F406">
        <v>-0.03</v>
      </c>
    </row>
    <row r="407" spans="1:6" x14ac:dyDescent="0.3">
      <c r="A407" t="str">
        <f>HYPERLINK("https://us2.cloudbeds.com/connect/10074733072513#/reservations/31672995123447?display=MH5QEENCH&amp;reservation_id=31672995123447", "MH5QEENCH")</f>
        <v>MH5QEENCH</v>
      </c>
      <c r="B407" t="s">
        <v>1163</v>
      </c>
      <c r="C407">
        <v>316</v>
      </c>
      <c r="D407">
        <v>343.46</v>
      </c>
      <c r="E407">
        <v>343.49</v>
      </c>
      <c r="F407">
        <v>-0.03</v>
      </c>
    </row>
    <row r="408" spans="1:6" x14ac:dyDescent="0.3">
      <c r="A408" t="str">
        <f>HYPERLINK("https://us2.cloudbeds.com/connect/10074733072513#/reservations/31675311055035?display=MH7JK9UAK&amp;reservation_id=31675311055035", "MH7JK9UAK")</f>
        <v>MH7JK9UAK</v>
      </c>
      <c r="B408" t="s">
        <v>1109</v>
      </c>
      <c r="C408">
        <v>219</v>
      </c>
      <c r="D408">
        <v>238.02</v>
      </c>
      <c r="E408">
        <v>238.05</v>
      </c>
      <c r="F408">
        <v>-0.03</v>
      </c>
    </row>
    <row r="409" spans="1:6" x14ac:dyDescent="0.3">
      <c r="A409" t="str">
        <f>HYPERLINK("https://us2.cloudbeds.com/connect/10074733072513#/reservations/31675151044804?display=MH7FHCD4Z&amp;reservation_id=31675151044804", "MH7FHCD4Z")</f>
        <v>MH7FHCD4Z</v>
      </c>
      <c r="B409" t="s">
        <v>1109</v>
      </c>
      <c r="C409">
        <v>219</v>
      </c>
      <c r="D409">
        <v>238.02</v>
      </c>
      <c r="E409">
        <v>238.05</v>
      </c>
      <c r="F409">
        <v>-0.03</v>
      </c>
    </row>
    <row r="410" spans="1:6" x14ac:dyDescent="0.3">
      <c r="A410" t="str">
        <f>HYPERLINK("https://us2.cloudbeds.com/connect/10074733072513#/reservations/31673122312343?display=MH5TMMUJG&amp;reservation_id=31673122312343", "MH5TMMUJG")</f>
        <v>MH5TMMUJG</v>
      </c>
      <c r="B410" t="s">
        <v>1146</v>
      </c>
      <c r="C410">
        <v>736</v>
      </c>
      <c r="D410">
        <v>800</v>
      </c>
      <c r="E410">
        <v>800.03</v>
      </c>
      <c r="F410">
        <v>-0.03</v>
      </c>
    </row>
    <row r="411" spans="1:6" x14ac:dyDescent="0.3">
      <c r="A411" t="str">
        <f>HYPERLINK("https://us2.cloudbeds.com/connect/10074733072513#/reservations/31676213440645?display=MH89M7483&amp;reservation_id=31676213440645", "MH89M7483")</f>
        <v>MH89M7483</v>
      </c>
      <c r="B411" t="s">
        <v>1009</v>
      </c>
      <c r="C411">
        <v>656</v>
      </c>
      <c r="D411">
        <v>713.04</v>
      </c>
      <c r="E411">
        <v>713.07</v>
      </c>
      <c r="F411">
        <v>-0.03</v>
      </c>
    </row>
    <row r="412" spans="1:6" x14ac:dyDescent="0.3">
      <c r="A412" t="str">
        <f>HYPERLINK("https://us2.cloudbeds.com/connect/10074733072513#/reservations/31675459068038?display=MH7ND3JP4&amp;reservation_id=31675459068038", "MH7ND3JP4")</f>
        <v>MH7ND3JP4</v>
      </c>
      <c r="B412" t="s">
        <v>1171</v>
      </c>
      <c r="C412">
        <v>686.7</v>
      </c>
      <c r="D412">
        <v>746.41</v>
      </c>
      <c r="E412">
        <v>746.44</v>
      </c>
      <c r="F412">
        <v>-0.03</v>
      </c>
    </row>
    <row r="413" spans="1:6" x14ac:dyDescent="0.3">
      <c r="A413" t="str">
        <f>HYPERLINK("https://us2.cloudbeds.com/connect/10074733072513#/reservations/31682476208323?display=MHD4N4SZR&amp;reservation_id=31682476208323", "MHD4N4SZR")</f>
        <v>MHD4N4SZR</v>
      </c>
      <c r="B413" t="s">
        <v>1174</v>
      </c>
      <c r="C413">
        <v>436</v>
      </c>
      <c r="D413">
        <v>473.9</v>
      </c>
      <c r="E413">
        <v>473.93</v>
      </c>
      <c r="F413">
        <v>-0.03</v>
      </c>
    </row>
    <row r="414" spans="1:6" x14ac:dyDescent="0.3">
      <c r="A414" t="str">
        <f>HYPERLINK("https://us2.cloudbeds.com/connect/10074733072513#/reservations/31682502922392?display=MHD5CM7J2&amp;reservation_id=31682502922392", "MHD5CM7J2")</f>
        <v>MHD5CM7J2</v>
      </c>
      <c r="B414" t="s">
        <v>1174</v>
      </c>
      <c r="C414">
        <v>436</v>
      </c>
      <c r="D414">
        <v>473.9</v>
      </c>
      <c r="E414">
        <v>473.93</v>
      </c>
      <c r="F414">
        <v>-0.03</v>
      </c>
    </row>
    <row r="415" spans="1:6" x14ac:dyDescent="0.3">
      <c r="A415" t="str">
        <f>HYPERLINK("https://us2.cloudbeds.com/connect/10074733072513#/reservations/31673136410819?display=MH5U1J7S1&amp;reservation_id=31673136410819", "MH5U1J7S1")</f>
        <v>MH5U1J7S1</v>
      </c>
      <c r="B415" t="s">
        <v>1176</v>
      </c>
      <c r="C415">
        <v>316</v>
      </c>
      <c r="D415">
        <v>343.46</v>
      </c>
      <c r="E415">
        <v>343.49</v>
      </c>
      <c r="F415">
        <v>-0.03</v>
      </c>
    </row>
    <row r="416" spans="1:6" x14ac:dyDescent="0.3">
      <c r="A416" t="str">
        <f>HYPERLINK("https://us2.cloudbeds.com/connect/10074733072513#/reservations/31674441408696?display=MH6UCWZ08&amp;reservation_id=31674441408696", "MH6UCWZ08")</f>
        <v>MH6UCWZ08</v>
      </c>
      <c r="B416" t="s">
        <v>1185</v>
      </c>
      <c r="C416">
        <v>219</v>
      </c>
      <c r="D416">
        <v>238.02</v>
      </c>
      <c r="E416">
        <v>238.05</v>
      </c>
      <c r="F416">
        <v>-0.03</v>
      </c>
    </row>
    <row r="417" spans="1:6" x14ac:dyDescent="0.3">
      <c r="A417" t="str">
        <f>HYPERLINK("https://us2.cloudbeds.com/connect/10074733072513#/reservations/31674453897436?display=MH6UNH82U&amp;reservation_id=31674453897436", "MH6UNH82U")</f>
        <v>MH6UNH82U</v>
      </c>
      <c r="B417" t="s">
        <v>1185</v>
      </c>
      <c r="C417">
        <v>219</v>
      </c>
      <c r="D417">
        <v>238.02</v>
      </c>
      <c r="E417">
        <v>238.05</v>
      </c>
      <c r="F417">
        <v>-0.03</v>
      </c>
    </row>
    <row r="418" spans="1:6" x14ac:dyDescent="0.3">
      <c r="A418" t="str">
        <f>HYPERLINK("https://us2.cloudbeds.com/connect/10074733072513#/reservations/31673914130587?display=MH6GUCEDZ&amp;reservation_id=31673914130587", "MH6GUCEDZ")</f>
        <v>MH6GUCEDZ</v>
      </c>
      <c r="B418" t="s">
        <v>1006</v>
      </c>
      <c r="C418">
        <v>316</v>
      </c>
      <c r="D418">
        <v>343.46</v>
      </c>
      <c r="E418">
        <v>343.49</v>
      </c>
      <c r="F418">
        <v>-0.03</v>
      </c>
    </row>
    <row r="419" spans="1:6" x14ac:dyDescent="0.3">
      <c r="A419" t="str">
        <f>HYPERLINK("https://us2.cloudbeds.com/connect/10074733072513#/reservations/31674925596891?display=MH79P8W8Q&amp;reservation_id=31674925596891", "MH79P8W8Q")</f>
        <v>MH79P8W8Q</v>
      </c>
      <c r="B419" t="s">
        <v>1159</v>
      </c>
      <c r="C419">
        <v>481.28</v>
      </c>
      <c r="D419">
        <v>523.12</v>
      </c>
      <c r="E419">
        <v>523.15</v>
      </c>
      <c r="F419">
        <v>-0.03</v>
      </c>
    </row>
    <row r="420" spans="1:6" x14ac:dyDescent="0.3">
      <c r="A420" t="str">
        <f>HYPERLINK("https://us2.cloudbeds.com/connect/10074733072513#/reservations/31675819811045?display=MH7WK9QXD&amp;reservation_id=31675819811045", "MH7WK9QXD")</f>
        <v>MH7WK9QXD</v>
      </c>
      <c r="B420" t="s">
        <v>1159</v>
      </c>
      <c r="C420">
        <v>436</v>
      </c>
      <c r="D420">
        <v>473.9</v>
      </c>
      <c r="E420">
        <v>473.93</v>
      </c>
      <c r="F420">
        <v>-0.03</v>
      </c>
    </row>
    <row r="421" spans="1:6" x14ac:dyDescent="0.3">
      <c r="A421" t="str">
        <f>HYPERLINK("https://us2.cloudbeds.com/connect/10074733072513#/reservations/31674093977772?display=MH6YH0VBD&amp;reservation_id=31674093977772", "MH6YH0VBD")</f>
        <v>MH6YH0VBD</v>
      </c>
      <c r="B421" t="s">
        <v>1158</v>
      </c>
      <c r="C421">
        <v>517.5</v>
      </c>
      <c r="D421">
        <v>562.49</v>
      </c>
      <c r="E421">
        <v>562.52</v>
      </c>
      <c r="F421">
        <v>-0.03</v>
      </c>
    </row>
    <row r="422" spans="1:6" x14ac:dyDescent="0.3">
      <c r="A422" t="str">
        <f>HYPERLINK("https://us2.cloudbeds.com/connect/10074733072513#/reservations/31677534085306?display=MH9ADR0E9&amp;reservation_id=31677534085306", "MH9ADR0E9")</f>
        <v>MH9ADR0E9</v>
      </c>
      <c r="B422" t="s">
        <v>1009</v>
      </c>
      <c r="C422">
        <v>656</v>
      </c>
      <c r="D422">
        <v>713.04</v>
      </c>
      <c r="E422">
        <v>713.07</v>
      </c>
      <c r="F422">
        <v>-0.03</v>
      </c>
    </row>
    <row r="423" spans="1:6" x14ac:dyDescent="0.3">
      <c r="A423" t="str">
        <f>HYPERLINK("https://us2.cloudbeds.com/connect/10074733072513#/reservations/31675531845857?display=MH7P8FZNJ&amp;reservation_id=31675531845857", "MH7P8FZNJ")</f>
        <v>MH7P8FZNJ</v>
      </c>
      <c r="B423" t="s">
        <v>1193</v>
      </c>
      <c r="C423">
        <v>224.48</v>
      </c>
      <c r="D423">
        <v>243.98</v>
      </c>
      <c r="E423">
        <v>244.01</v>
      </c>
      <c r="F423">
        <v>-0.03</v>
      </c>
    </row>
    <row r="424" spans="1:6" x14ac:dyDescent="0.3">
      <c r="A424" t="str">
        <f>HYPERLINK("https://us2.cloudbeds.com/connect/10074733072513#/reservations/31674297122997?display=MH6QNAP8B&amp;reservation_id=31674297122997", "MH6QNAP8B")</f>
        <v>MH6QNAP8B</v>
      </c>
      <c r="B424" t="s">
        <v>1183</v>
      </c>
      <c r="C424">
        <v>545</v>
      </c>
      <c r="D424">
        <v>592.39</v>
      </c>
      <c r="E424">
        <v>592.41999999999996</v>
      </c>
      <c r="F424">
        <v>-0.03</v>
      </c>
    </row>
    <row r="425" spans="1:6" x14ac:dyDescent="0.3">
      <c r="A425" t="str">
        <f>HYPERLINK("https://us2.cloudbeds.com/connect/10074733072513#/reservations/31675995009203?display=MH8430VDG&amp;reservation_id=31675995009203", "MH8430VDG")</f>
        <v>MH8430VDG</v>
      </c>
      <c r="B425" t="s">
        <v>1166</v>
      </c>
      <c r="C425">
        <v>556</v>
      </c>
      <c r="D425">
        <v>604.34</v>
      </c>
      <c r="E425">
        <v>604.37</v>
      </c>
      <c r="F425">
        <v>-0.03</v>
      </c>
    </row>
    <row r="426" spans="1:6" x14ac:dyDescent="0.3">
      <c r="A426" t="str">
        <f>HYPERLINK("https://us2.cloudbeds.com/connect/10074733072513#/reservations/31674542166168?display=MH6WVVEUV&amp;reservation_id=31674542166168", "MH6WVVEUV")</f>
        <v>MH6WVVEUV</v>
      </c>
      <c r="B426" t="s">
        <v>1200</v>
      </c>
      <c r="C426">
        <v>395</v>
      </c>
      <c r="D426">
        <v>429.34</v>
      </c>
      <c r="E426">
        <v>429.37</v>
      </c>
      <c r="F426">
        <v>-0.03</v>
      </c>
    </row>
    <row r="427" spans="1:6" x14ac:dyDescent="0.3">
      <c r="A427" t="str">
        <f>HYPERLINK("https://us2.cloudbeds.com/connect/10074733072513#/reservations/31674517831828?display=MH6WBEABZ&amp;reservation_id=31674517831828", "MH6WBEABZ")</f>
        <v>MH6WBEABZ</v>
      </c>
      <c r="B427" t="s">
        <v>1200</v>
      </c>
      <c r="C427">
        <v>395</v>
      </c>
      <c r="D427">
        <v>429.34</v>
      </c>
      <c r="E427">
        <v>429.37</v>
      </c>
      <c r="F427">
        <v>-0.03</v>
      </c>
    </row>
    <row r="428" spans="1:6" x14ac:dyDescent="0.3">
      <c r="A428" t="str">
        <f>HYPERLINK("https://us2.cloudbeds.com/connect/10074733072513#/reservations/31674670657756?display=MH7389UCF&amp;reservation_id=31674670657756", "MH7389UCF")</f>
        <v>MH7389UCF</v>
      </c>
      <c r="B428" t="s">
        <v>1198</v>
      </c>
      <c r="C428">
        <v>316</v>
      </c>
      <c r="D428">
        <v>343.46</v>
      </c>
      <c r="E428">
        <v>343.49</v>
      </c>
      <c r="F428">
        <v>-0.03</v>
      </c>
    </row>
    <row r="429" spans="1:6" x14ac:dyDescent="0.3">
      <c r="A429" t="str">
        <f>HYPERLINK("https://us2.cloudbeds.com/connect/10074733072513#/reservations/31674678026372?display=MH73EGVPS&amp;reservation_id=31674678026372", "MH73EGVPS")</f>
        <v>MH73EGVPS</v>
      </c>
      <c r="B429" t="s">
        <v>1198</v>
      </c>
      <c r="C429">
        <v>219</v>
      </c>
      <c r="D429">
        <v>238.02</v>
      </c>
      <c r="E429">
        <v>238.05</v>
      </c>
      <c r="F429">
        <v>-0.03</v>
      </c>
    </row>
    <row r="430" spans="1:6" x14ac:dyDescent="0.3">
      <c r="A430" t="str">
        <f>HYPERLINK("https://us2.cloudbeds.com/connect/10074733072513#/reservations/31679248928914?display=MHAY7R243&amp;reservation_id=31679248928914", "MHAY7R243")</f>
        <v>MHAY7R243</v>
      </c>
      <c r="B430" t="s">
        <v>1141</v>
      </c>
      <c r="C430">
        <v>316</v>
      </c>
      <c r="D430">
        <v>343.46</v>
      </c>
      <c r="E430">
        <v>343.49</v>
      </c>
      <c r="F430">
        <v>-0.03</v>
      </c>
    </row>
    <row r="431" spans="1:6" x14ac:dyDescent="0.3">
      <c r="A431" t="str">
        <f>HYPERLINK("https://us2.cloudbeds.com/connect/10074733072513#/reservations/31674732884193?display=MH74RPF92&amp;reservation_id=31674732884193", "MH74RPF92")</f>
        <v>MH74RPF92</v>
      </c>
      <c r="B431" t="s">
        <v>1090</v>
      </c>
      <c r="C431">
        <v>316</v>
      </c>
      <c r="D431">
        <v>343.46</v>
      </c>
      <c r="E431">
        <v>343.49</v>
      </c>
      <c r="F431">
        <v>-0.03</v>
      </c>
    </row>
    <row r="432" spans="1:6" x14ac:dyDescent="0.3">
      <c r="A432" t="str">
        <f>HYPERLINK("https://us2.cloudbeds.com/connect/10074733072513#/reservations/31674551599249?display=MH706TV2U&amp;reservation_id=31674551599249", "MH706TV2U")</f>
        <v>MH706TV2U</v>
      </c>
      <c r="B432" t="s">
        <v>1200</v>
      </c>
      <c r="C432">
        <v>316</v>
      </c>
      <c r="D432">
        <v>343.46</v>
      </c>
      <c r="E432">
        <v>343.49</v>
      </c>
      <c r="F432">
        <v>-0.03</v>
      </c>
    </row>
    <row r="433" spans="1:6" x14ac:dyDescent="0.3">
      <c r="A433" t="str">
        <f>HYPERLINK("https://us2.cloudbeds.com/connect/10074733072513#/reservations/31681699446998?display=MHCHS5B9S&amp;reservation_id=31681699446998", "MHCHS5B9S")</f>
        <v>MHCHS5B9S</v>
      </c>
      <c r="B433" t="s">
        <v>1235</v>
      </c>
      <c r="C433">
        <v>716</v>
      </c>
      <c r="D433">
        <v>778.26</v>
      </c>
      <c r="E433">
        <v>778.29</v>
      </c>
      <c r="F433">
        <v>-0.03</v>
      </c>
    </row>
    <row r="434" spans="1:6" x14ac:dyDescent="0.3">
      <c r="A434" t="str">
        <f>HYPERLINK("https://us2.cloudbeds.com/connect/10074733072513#/reservations/31675192844450?display=MH7GJKHYM&amp;reservation_id=31675192844450", "MH7GJKHYM")</f>
        <v>MH7GJKHYM</v>
      </c>
      <c r="B434" t="s">
        <v>1155</v>
      </c>
      <c r="C434">
        <v>316</v>
      </c>
      <c r="D434">
        <v>343.46</v>
      </c>
      <c r="E434">
        <v>343.49</v>
      </c>
      <c r="F434">
        <v>-0.03</v>
      </c>
    </row>
    <row r="435" spans="1:6" x14ac:dyDescent="0.3">
      <c r="A435" t="str">
        <f>HYPERLINK("https://us2.cloudbeds.com/connect/10074733072513#/reservations/31675195928776?display=MH7GM7BU3&amp;reservation_id=31675195928776", "MH7GM7BU3")</f>
        <v>MH7GM7BU3</v>
      </c>
      <c r="B435" t="s">
        <v>1155</v>
      </c>
      <c r="C435">
        <v>316</v>
      </c>
      <c r="D435">
        <v>343.46</v>
      </c>
      <c r="E435">
        <v>343.49</v>
      </c>
      <c r="F435">
        <v>-0.03</v>
      </c>
    </row>
    <row r="436" spans="1:6" x14ac:dyDescent="0.3">
      <c r="A436" t="str">
        <f>HYPERLINK("https://us2.cloudbeds.com/connect/10074733072513#/reservations/31681069605081?display=MHC1P2223&amp;reservation_id=31681069605081", "MHC1P2223")</f>
        <v>MHC1P2223</v>
      </c>
      <c r="B436" t="s">
        <v>1239</v>
      </c>
      <c r="C436">
        <v>420.3</v>
      </c>
      <c r="D436">
        <v>456.84</v>
      </c>
      <c r="E436">
        <v>456.87</v>
      </c>
      <c r="F436">
        <v>-0.03</v>
      </c>
    </row>
    <row r="437" spans="1:6" x14ac:dyDescent="0.3">
      <c r="A437" t="str">
        <f>HYPERLINK("https://us2.cloudbeds.com/connect/10074733072513#/reservations/31677024694483?display=MH8UD9F8N&amp;reservation_id=31677024694483", "MH8UD9F8N")</f>
        <v>MH8UD9F8N</v>
      </c>
      <c r="B437" t="s">
        <v>1086</v>
      </c>
      <c r="C437">
        <v>600.29999999999995</v>
      </c>
      <c r="D437">
        <v>652.5</v>
      </c>
      <c r="E437">
        <v>652.53</v>
      </c>
      <c r="F437">
        <v>-0.03</v>
      </c>
    </row>
    <row r="438" spans="1:6" x14ac:dyDescent="0.3">
      <c r="A438" t="str">
        <f>HYPERLINK("https://us2.cloudbeds.com/connect/10074733072513#/reservations/31675655119012?display=MH7SDE06Z&amp;reservation_id=31675655119012", "MH7SDE06Z")</f>
        <v>MH7SDE06Z</v>
      </c>
      <c r="B438" t="s">
        <v>1193</v>
      </c>
      <c r="C438">
        <v>219</v>
      </c>
      <c r="D438">
        <v>238.02</v>
      </c>
      <c r="E438">
        <v>238.05</v>
      </c>
      <c r="F438">
        <v>-0.03</v>
      </c>
    </row>
    <row r="439" spans="1:6" x14ac:dyDescent="0.3">
      <c r="A439" t="str">
        <f>HYPERLINK("https://us2.cloudbeds.com/connect/10074733072513#/reservations/31678353916034?display=MH9VC40CM&amp;reservation_id=31678353916034", "MH9VC40CM")</f>
        <v>MH9VC40CM</v>
      </c>
      <c r="B439" t="s">
        <v>1184</v>
      </c>
      <c r="C439">
        <v>356</v>
      </c>
      <c r="D439">
        <v>386.94</v>
      </c>
      <c r="E439">
        <v>386.97</v>
      </c>
      <c r="F439">
        <v>-0.03</v>
      </c>
    </row>
    <row r="440" spans="1:6" x14ac:dyDescent="0.3">
      <c r="A440" t="str">
        <f>HYPERLINK("https://us2.cloudbeds.com/connect/10074733072513#/reservations/31675590488200?display=MH7QZUXE9&amp;reservation_id=31675590488200", "MH7QZUXE9")</f>
        <v>MH7QZUXE9</v>
      </c>
      <c r="B440" t="s">
        <v>1193</v>
      </c>
      <c r="C440">
        <v>316</v>
      </c>
      <c r="D440">
        <v>343.46</v>
      </c>
      <c r="E440">
        <v>343.49</v>
      </c>
      <c r="F440">
        <v>-0.03</v>
      </c>
    </row>
    <row r="441" spans="1:6" x14ac:dyDescent="0.3">
      <c r="A441" t="str">
        <f>HYPERLINK("https://us2.cloudbeds.com/connect/10074733072513#/reservations/31684368847044?display=MHEK22B0B&amp;reservation_id=31684368847044", "MHEK22B0B")</f>
        <v>MHEK22B0B</v>
      </c>
      <c r="B441" t="s">
        <v>1168</v>
      </c>
      <c r="C441">
        <v>476</v>
      </c>
      <c r="D441">
        <v>517.38</v>
      </c>
      <c r="E441">
        <v>517.41</v>
      </c>
      <c r="F441">
        <v>-0.03</v>
      </c>
    </row>
    <row r="442" spans="1:6" x14ac:dyDescent="0.3">
      <c r="A442" t="str">
        <f>HYPERLINK("https://us2.cloudbeds.com/connect/10074733072513#/reservations/31675215151288?display=MH7H5E8EE&amp;reservation_id=31675215151288", "MH7H5E8EE")</f>
        <v>MH7H5E8EE</v>
      </c>
      <c r="B442" t="s">
        <v>1245</v>
      </c>
      <c r="C442">
        <v>334.97</v>
      </c>
      <c r="D442">
        <v>364.08</v>
      </c>
      <c r="E442">
        <v>364.11</v>
      </c>
      <c r="F442">
        <v>-0.03</v>
      </c>
    </row>
    <row r="443" spans="1:6" x14ac:dyDescent="0.3">
      <c r="A443" t="str">
        <f>HYPERLINK("https://us2.cloudbeds.com/connect/10074733072513#/reservations/31677058158776?display=MH8V8GYY7&amp;reservation_id=31677058158776", "MH8V8GYY7")</f>
        <v>MH8V8GYY7</v>
      </c>
      <c r="B443" t="s">
        <v>1236</v>
      </c>
      <c r="C443">
        <v>219</v>
      </c>
      <c r="D443">
        <v>238.02</v>
      </c>
      <c r="E443">
        <v>238.05</v>
      </c>
      <c r="F443">
        <v>-0.03</v>
      </c>
    </row>
    <row r="444" spans="1:6" x14ac:dyDescent="0.3">
      <c r="A444" t="str">
        <f>HYPERLINK("https://us2.cloudbeds.com/connect/10074733072513#/reservations/31676260790463?display=MH8AT4NB2&amp;reservation_id=31676260790463", "MH8AT4NB2")</f>
        <v>MH8AT4NB2</v>
      </c>
      <c r="B444" t="s">
        <v>1240</v>
      </c>
      <c r="C444">
        <v>316</v>
      </c>
      <c r="D444">
        <v>343.46</v>
      </c>
      <c r="E444">
        <v>343.49</v>
      </c>
      <c r="F444">
        <v>-0.03</v>
      </c>
    </row>
    <row r="445" spans="1:6" x14ac:dyDescent="0.3">
      <c r="A445" t="str">
        <f>HYPERLINK("https://us2.cloudbeds.com/connect/10074733072513#/reservations/31683689177330?display=MHE2MVH7D&amp;reservation_id=31683689177330", "MHE2MVH7D")</f>
        <v>MHE2MVH7D</v>
      </c>
      <c r="B445" t="s">
        <v>1246</v>
      </c>
      <c r="C445">
        <v>354.45</v>
      </c>
      <c r="D445">
        <v>385.26</v>
      </c>
      <c r="E445">
        <v>385.29</v>
      </c>
      <c r="F445">
        <v>-0.03</v>
      </c>
    </row>
    <row r="446" spans="1:6" x14ac:dyDescent="0.3">
      <c r="A446" t="str">
        <f>HYPERLINK("https://us2.cloudbeds.com/connect/10074733072513#/reservations/31676695634127?display=MH8YWQSQQ&amp;reservation_id=31676695634127", "MH8YWQSQQ")</f>
        <v>MH8YWQSQQ</v>
      </c>
      <c r="B446" t="s">
        <v>1253</v>
      </c>
      <c r="C446">
        <v>476</v>
      </c>
      <c r="D446">
        <v>517.38</v>
      </c>
      <c r="E446">
        <v>517.41</v>
      </c>
      <c r="F446">
        <v>-0.03</v>
      </c>
    </row>
    <row r="447" spans="1:6" x14ac:dyDescent="0.3">
      <c r="A447" t="str">
        <f>HYPERLINK("https://us2.cloudbeds.com/connect/10074733072513#/reservations/31676258934965?display=MH8ARJ2FS&amp;reservation_id=31676258934965", "MH8ARJ2FS")</f>
        <v>MH8ARJ2FS</v>
      </c>
      <c r="B447" t="s">
        <v>1226</v>
      </c>
      <c r="C447">
        <v>219</v>
      </c>
      <c r="D447">
        <v>238.02</v>
      </c>
      <c r="E447">
        <v>238.05</v>
      </c>
      <c r="F447">
        <v>-0.03</v>
      </c>
    </row>
    <row r="448" spans="1:6" x14ac:dyDescent="0.3">
      <c r="A448" t="str">
        <f>HYPERLINK("https://us2.cloudbeds.com/connect/10074733072513#/reservations/31677105459331?display=MH8WFCSGC&amp;reservation_id=31677105459331", "MH8WFCSGC")</f>
        <v>MH8WFCSGC</v>
      </c>
      <c r="B448" t="s">
        <v>1175</v>
      </c>
      <c r="C448">
        <v>591.6</v>
      </c>
      <c r="D448">
        <v>643.04</v>
      </c>
      <c r="E448">
        <v>643.07000000000005</v>
      </c>
      <c r="F448">
        <v>-0.03</v>
      </c>
    </row>
    <row r="449" spans="1:6" x14ac:dyDescent="0.3">
      <c r="A449" t="str">
        <f>HYPERLINK("https://us2.cloudbeds.com/connect/10074733072513#/reservations/31681000235203?display=MHBWWXZHY&amp;reservation_id=31681000235203", "MHBWWXZHY")</f>
        <v>MHBWWXZHY</v>
      </c>
      <c r="B449" t="s">
        <v>1244</v>
      </c>
      <c r="C449">
        <v>473.45</v>
      </c>
      <c r="D449">
        <v>514.61</v>
      </c>
      <c r="E449">
        <v>514.64</v>
      </c>
      <c r="F449">
        <v>-0.03</v>
      </c>
    </row>
    <row r="450" spans="1:6" x14ac:dyDescent="0.3">
      <c r="A450" t="str">
        <f>HYPERLINK("https://us2.cloudbeds.com/connect/10074733072513#/reservations/31675474280658?display=MH7NPUU3H&amp;reservation_id=31675474280658", "MH7NPUU3H")</f>
        <v>MH7NPUU3H</v>
      </c>
      <c r="B450" t="s">
        <v>1205</v>
      </c>
      <c r="C450">
        <v>219</v>
      </c>
      <c r="D450">
        <v>238.02</v>
      </c>
      <c r="E450">
        <v>238.05</v>
      </c>
      <c r="F450">
        <v>-0.03</v>
      </c>
    </row>
    <row r="451" spans="1:6" x14ac:dyDescent="0.3">
      <c r="A451" t="str">
        <f>HYPERLINK("https://us2.cloudbeds.com/connect/10074733072513#/reservations/31675456442586?display=MH7NATHSW&amp;reservation_id=31675456442586", "MH7NATHSW")</f>
        <v>MH7NATHSW</v>
      </c>
      <c r="B451" t="s">
        <v>1205</v>
      </c>
      <c r="C451">
        <v>219</v>
      </c>
      <c r="D451">
        <v>238.02</v>
      </c>
      <c r="E451">
        <v>238.05</v>
      </c>
      <c r="F451">
        <v>-0.03</v>
      </c>
    </row>
    <row r="452" spans="1:6" x14ac:dyDescent="0.3">
      <c r="A452" t="str">
        <f>HYPERLINK("https://us2.cloudbeds.com/connect/10074733072513#/reservations/31680284627089?display=MHBEN4TF9&amp;reservation_id=31680284627089", "MHBEN4TF9")</f>
        <v>MHBEN4TF9</v>
      </c>
      <c r="B452" t="s">
        <v>819</v>
      </c>
      <c r="C452">
        <v>695</v>
      </c>
      <c r="D452">
        <v>755.44</v>
      </c>
      <c r="E452">
        <v>755.47</v>
      </c>
      <c r="F452">
        <v>-0.03</v>
      </c>
    </row>
    <row r="453" spans="1:6" x14ac:dyDescent="0.3">
      <c r="A453" t="str">
        <f>HYPERLINK("https://us2.cloudbeds.com/connect/10074733072513#/reservations/31681131446486?display=MHC3B6TD4&amp;reservation_id=31681131446486", "MHC3B6TD4")</f>
        <v>MHC3B6TD4</v>
      </c>
      <c r="B453" t="s">
        <v>1136</v>
      </c>
      <c r="C453">
        <v>596</v>
      </c>
      <c r="D453">
        <v>647.82000000000005</v>
      </c>
      <c r="E453">
        <v>647.85</v>
      </c>
      <c r="F453">
        <v>-0.03</v>
      </c>
    </row>
    <row r="454" spans="1:6" x14ac:dyDescent="0.3">
      <c r="A454" t="str">
        <f>HYPERLINK("https://us2.cloudbeds.com/connect/10074733072513#/reservations/31680564920520?display=MHBYSGFHK&amp;reservation_id=31680564920520", "MHBYSGFHK")</f>
        <v>MHBYSGFHK</v>
      </c>
      <c r="B454" t="s">
        <v>1179</v>
      </c>
      <c r="C454">
        <v>680.4</v>
      </c>
      <c r="D454">
        <v>739.56</v>
      </c>
      <c r="E454">
        <v>739.59</v>
      </c>
      <c r="F454">
        <v>-0.03</v>
      </c>
    </row>
    <row r="455" spans="1:6" x14ac:dyDescent="0.3">
      <c r="A455" t="str">
        <f>HYPERLINK("https://us2.cloudbeds.com/connect/10074733072513#/reservations/31679671386300?display=MHAW11XK2&amp;reservation_id=31679671386300", "MHAW11XK2")</f>
        <v>MHAW11XK2</v>
      </c>
      <c r="B455" t="s">
        <v>1243</v>
      </c>
      <c r="C455">
        <v>351.36</v>
      </c>
      <c r="D455">
        <v>381.9</v>
      </c>
      <c r="E455">
        <v>381.93</v>
      </c>
      <c r="F455">
        <v>-0.03</v>
      </c>
    </row>
    <row r="456" spans="1:6" x14ac:dyDescent="0.3">
      <c r="A456" t="str">
        <f>HYPERLINK("https://us2.cloudbeds.com/connect/10074733072513#/reservations/31675948466332?display=MH82TPRAF&amp;reservation_id=31675948466332", "MH82TPRAF")</f>
        <v>MH82TPRAF</v>
      </c>
      <c r="B456" t="s">
        <v>1243</v>
      </c>
      <c r="C456">
        <v>351.36</v>
      </c>
      <c r="D456">
        <v>381.9</v>
      </c>
      <c r="E456">
        <v>381.93</v>
      </c>
      <c r="F456">
        <v>-0.03</v>
      </c>
    </row>
    <row r="457" spans="1:6" x14ac:dyDescent="0.3">
      <c r="A457" t="str">
        <f>HYPERLINK("https://us2.cloudbeds.com/connect/10074733072513#/reservations/31679959834840?display=MHB6D929U&amp;reservation_id=31679959834840", "MHB6D929U")</f>
        <v>MHB6D929U</v>
      </c>
      <c r="B457" t="s">
        <v>1267</v>
      </c>
      <c r="C457">
        <v>396</v>
      </c>
      <c r="D457">
        <v>430.42</v>
      </c>
      <c r="E457">
        <v>430.45</v>
      </c>
      <c r="F457">
        <v>-0.03</v>
      </c>
    </row>
    <row r="458" spans="1:6" x14ac:dyDescent="0.3">
      <c r="A458" t="str">
        <f>HYPERLINK("https://us2.cloudbeds.com/connect/10074733072513#/reservations/31680592646283?display=MHBMXSWC8&amp;reservation_id=31680592646283", "MHBMXSWC8")</f>
        <v>MHBMXSWC8</v>
      </c>
      <c r="B458" t="s">
        <v>1179</v>
      </c>
      <c r="C458">
        <v>1287.9000000000001</v>
      </c>
      <c r="D458">
        <v>1399.92</v>
      </c>
      <c r="E458">
        <v>1399.95</v>
      </c>
      <c r="F458">
        <v>-0.03</v>
      </c>
    </row>
    <row r="459" spans="1:6" x14ac:dyDescent="0.3">
      <c r="A459" t="str">
        <f>HYPERLINK("https://us2.cloudbeds.com/connect/10074733072513#/reservations/31677428175079?display=MH97NGTSF&amp;reservation_id=31677428175079", "MH97NGTSF")</f>
        <v>MH97NGTSF</v>
      </c>
      <c r="B459" t="s">
        <v>1257</v>
      </c>
      <c r="C459">
        <v>395</v>
      </c>
      <c r="D459">
        <v>429.34</v>
      </c>
      <c r="E459">
        <v>429.37</v>
      </c>
      <c r="F459">
        <v>-0.03</v>
      </c>
    </row>
    <row r="460" spans="1:6" x14ac:dyDescent="0.3">
      <c r="A460" t="str">
        <f>HYPERLINK("https://us2.cloudbeds.com/connect/10074733072513#/reservations/31680494534882?display=MHBK24T8G&amp;reservation_id=31680494534882", "MHBK24T8G")</f>
        <v>MHBK24T8G</v>
      </c>
      <c r="B460" t="s">
        <v>1179</v>
      </c>
      <c r="C460">
        <v>354.45</v>
      </c>
      <c r="D460">
        <v>385.26</v>
      </c>
      <c r="E460">
        <v>385.29</v>
      </c>
      <c r="F460">
        <v>-0.03</v>
      </c>
    </row>
    <row r="461" spans="1:6" x14ac:dyDescent="0.3">
      <c r="A461" t="str">
        <f>HYPERLINK("https://us2.cloudbeds.com/connect/10074733072513#/reservations/31677921374440?display=MH9KACTRY&amp;reservation_id=31677921374440", "MH9KACTRY")</f>
        <v>MH9KACTRY</v>
      </c>
      <c r="B461" t="s">
        <v>1276</v>
      </c>
      <c r="C461">
        <v>354.45</v>
      </c>
      <c r="D461">
        <v>385.26</v>
      </c>
      <c r="E461">
        <v>385.29</v>
      </c>
      <c r="F461">
        <v>-0.03</v>
      </c>
    </row>
    <row r="462" spans="1:6" x14ac:dyDescent="0.3">
      <c r="A462" t="str">
        <f>HYPERLINK("https://us2.cloudbeds.com/connect/10074733072513#/reservations/31679615238312?display=MHAUJN5CT&amp;reservation_id=31679615238312", "MHAUJN5CT")</f>
        <v>MHAUJN5CT</v>
      </c>
      <c r="B462" t="s">
        <v>1276</v>
      </c>
      <c r="C462">
        <v>356</v>
      </c>
      <c r="D462">
        <v>386.94</v>
      </c>
      <c r="E462">
        <v>386.97</v>
      </c>
      <c r="F462">
        <v>-0.03</v>
      </c>
    </row>
    <row r="463" spans="1:6" x14ac:dyDescent="0.3">
      <c r="A463" t="str">
        <f>HYPERLINK("https://us2.cloudbeds.com/connect/10074733072513#/reservations/31677901938845?display=MH9JR02Y7&amp;reservation_id=31677901938845", "MH9JR02Y7")</f>
        <v>MH9JR02Y7</v>
      </c>
      <c r="B463" t="s">
        <v>1276</v>
      </c>
      <c r="C463">
        <v>396</v>
      </c>
      <c r="D463">
        <v>430.42</v>
      </c>
      <c r="E463">
        <v>430.45</v>
      </c>
      <c r="F463">
        <v>-0.03</v>
      </c>
    </row>
    <row r="464" spans="1:6" x14ac:dyDescent="0.3">
      <c r="A464" t="str">
        <f>HYPERLINK("https://us2.cloudbeds.com/connect/10074733072513#/reservations/31679624642795?display=MHAURKS97&amp;reservation_id=31679624642795", "MHAURKS97")</f>
        <v>MHAURKS97</v>
      </c>
      <c r="B464" t="s">
        <v>1222</v>
      </c>
      <c r="C464">
        <v>354.45</v>
      </c>
      <c r="D464">
        <v>385.26</v>
      </c>
      <c r="E464">
        <v>385.29</v>
      </c>
      <c r="F464">
        <v>-0.03</v>
      </c>
    </row>
    <row r="465" spans="1:6" x14ac:dyDescent="0.3">
      <c r="A465" t="str">
        <f>HYPERLINK("https://us2.cloudbeds.com/connect/10074733072513#/reservations/31682786201787?display=MHDCKHTJ5&amp;reservation_id=31682786201787", "MHDCKHTJ5")</f>
        <v>MHDCKHTJ5</v>
      </c>
      <c r="B465" t="s">
        <v>1079</v>
      </c>
      <c r="C465">
        <v>856</v>
      </c>
      <c r="D465">
        <v>930.44</v>
      </c>
      <c r="E465">
        <v>930.47</v>
      </c>
      <c r="F465">
        <v>-0.03</v>
      </c>
    </row>
    <row r="466" spans="1:6" x14ac:dyDescent="0.3">
      <c r="A466" t="str">
        <f>HYPERLINK("https://us2.cloudbeds.com/connect/10074733072513#/reservations/31679819145378?display=MHB2QY5ST&amp;reservation_id=31679819145378", "MHB2QY5ST")</f>
        <v>MHB2QY5ST</v>
      </c>
      <c r="B466" t="s">
        <v>1244</v>
      </c>
      <c r="C466">
        <v>676</v>
      </c>
      <c r="D466">
        <v>734.78</v>
      </c>
      <c r="E466">
        <v>734.81</v>
      </c>
      <c r="F466">
        <v>-0.03</v>
      </c>
    </row>
    <row r="467" spans="1:6" x14ac:dyDescent="0.3">
      <c r="A467" t="str">
        <f>HYPERLINK("https://us2.cloudbeds.com/connect/10074733072513#/reservations/31682779590849?display=MHDCEVUUN&amp;reservation_id=31682779590849", "MHDCEVUUN")</f>
        <v>MHDCEVUUN</v>
      </c>
      <c r="B467" t="s">
        <v>1079</v>
      </c>
      <c r="C467">
        <v>856</v>
      </c>
      <c r="D467">
        <v>930.44</v>
      </c>
      <c r="E467">
        <v>930.47</v>
      </c>
      <c r="F467">
        <v>-0.03</v>
      </c>
    </row>
    <row r="468" spans="1:6" x14ac:dyDescent="0.3">
      <c r="A468" t="str">
        <f>HYPERLINK("https://us2.cloudbeds.com/connect/10074733072513#/reservations/31680341442781?display=MHBG51SQU&amp;reservation_id=31680341442781", "MHBG51SQU")</f>
        <v>MHBG51SQU</v>
      </c>
      <c r="B468" t="s">
        <v>1271</v>
      </c>
      <c r="C468">
        <v>596</v>
      </c>
      <c r="D468">
        <v>647.82000000000005</v>
      </c>
      <c r="E468">
        <v>647.85</v>
      </c>
      <c r="F468">
        <v>-0.03</v>
      </c>
    </row>
    <row r="469" spans="1:6" x14ac:dyDescent="0.3">
      <c r="A469" t="str">
        <f>HYPERLINK("https://us2.cloudbeds.com/connect/10074733072513#/reservations/31680433893535?display=MHBXH0ETU&amp;reservation_id=31680433893535", "MHBXH0ETU")</f>
        <v>MHBXH0ETU</v>
      </c>
      <c r="B469" t="s">
        <v>1264</v>
      </c>
      <c r="C469">
        <v>596</v>
      </c>
      <c r="D469">
        <v>647.82000000000005</v>
      </c>
      <c r="E469">
        <v>647.85</v>
      </c>
      <c r="F469">
        <v>-0.03</v>
      </c>
    </row>
    <row r="470" spans="1:6" x14ac:dyDescent="0.3">
      <c r="A470" t="str">
        <f>HYPERLINK("https://us2.cloudbeds.com/connect/10074733072513#/reservations/31678129770716?display=MH9PY3RYA&amp;reservation_id=31678129770716", "MH9PY3RYA")</f>
        <v>MH9PY3RYA</v>
      </c>
      <c r="B470" t="s">
        <v>1264</v>
      </c>
      <c r="C470">
        <v>596</v>
      </c>
      <c r="D470">
        <v>647.82000000000005</v>
      </c>
      <c r="E470">
        <v>647.85</v>
      </c>
      <c r="F470">
        <v>-0.03</v>
      </c>
    </row>
    <row r="471" spans="1:6" x14ac:dyDescent="0.3">
      <c r="A471" t="str">
        <f>HYPERLINK("https://us2.cloudbeds.com/connect/10074733072513#/reservations/31680440402129?display=MHBXMGXJ1&amp;reservation_id=31680440402129", "MHBXMGXJ1")</f>
        <v>MHBXMGXJ1</v>
      </c>
      <c r="B471" t="s">
        <v>1264</v>
      </c>
      <c r="C471">
        <v>396</v>
      </c>
      <c r="D471">
        <v>430.42</v>
      </c>
      <c r="E471">
        <v>430.45</v>
      </c>
      <c r="F471">
        <v>-0.03</v>
      </c>
    </row>
    <row r="472" spans="1:6" x14ac:dyDescent="0.3">
      <c r="A472" t="str">
        <f>HYPERLINK("https://us2.cloudbeds.com/connect/10074733072513#/reservations/31678441877639?display=MHA0K9M6S&amp;reservation_id=31678441877639", "MHA0K9M6S")</f>
        <v>MHA0K9M6S</v>
      </c>
      <c r="B472" t="s">
        <v>1261</v>
      </c>
      <c r="C472">
        <v>536.4</v>
      </c>
      <c r="D472">
        <v>583.04</v>
      </c>
      <c r="E472">
        <v>583.07000000000005</v>
      </c>
      <c r="F472">
        <v>-0.03</v>
      </c>
    </row>
    <row r="473" spans="1:6" x14ac:dyDescent="0.3">
      <c r="A473" t="str">
        <f>HYPERLINK("https://us2.cloudbeds.com/connect/10074733072513#/reservations/31681199276166?display=MHC52DBJW&amp;reservation_id=31681199276166", "MHC52DBJW")</f>
        <v>MHC52DBJW</v>
      </c>
      <c r="B473" t="s">
        <v>1261</v>
      </c>
      <c r="C473">
        <v>320.39999999999998</v>
      </c>
      <c r="D473">
        <v>348.24</v>
      </c>
      <c r="E473">
        <v>348.27</v>
      </c>
      <c r="F473">
        <v>-0.03</v>
      </c>
    </row>
    <row r="474" spans="1:6" x14ac:dyDescent="0.3">
      <c r="A474" t="str">
        <f>HYPERLINK("https://us2.cloudbeds.com/connect/10074733072513#/reservations/31678290477275?display=MH9TZKZ81&amp;reservation_id=31678290477275", "MH9TZKZ81")</f>
        <v>MH9TZKZ81</v>
      </c>
      <c r="B474" t="s">
        <v>1206</v>
      </c>
      <c r="C474">
        <v>596</v>
      </c>
      <c r="D474">
        <v>647.82000000000005</v>
      </c>
      <c r="E474">
        <v>647.85</v>
      </c>
      <c r="F474">
        <v>-0.03</v>
      </c>
    </row>
    <row r="475" spans="1:6" x14ac:dyDescent="0.3">
      <c r="A475" t="str">
        <f>HYPERLINK("https://us2.cloudbeds.com/connect/10074733072513#/reservations/31686444060802?display=MHG72V73Z&amp;reservation_id=31686444060802", "MHG72V73Z")</f>
        <v>MHG72V73Z</v>
      </c>
      <c r="B475" t="s">
        <v>1218</v>
      </c>
      <c r="C475">
        <v>659.1</v>
      </c>
      <c r="D475">
        <v>716.41</v>
      </c>
      <c r="E475">
        <v>716.44</v>
      </c>
      <c r="F475">
        <v>-0.03</v>
      </c>
    </row>
    <row r="476" spans="1:6" x14ac:dyDescent="0.3">
      <c r="A476" t="str">
        <f>HYPERLINK("https://us2.cloudbeds.com/connect/10074733072513#/reservations/31682384220330?display=MHD2BJ5JT&amp;reservation_id=31682384220330", "MHD2BJ5JT")</f>
        <v>MHD2BJ5JT</v>
      </c>
      <c r="B476" t="s">
        <v>946</v>
      </c>
      <c r="C476">
        <v>396</v>
      </c>
      <c r="D476">
        <v>430.42</v>
      </c>
      <c r="E476">
        <v>430.45</v>
      </c>
      <c r="F476">
        <v>-0.03</v>
      </c>
    </row>
    <row r="477" spans="1:6" x14ac:dyDescent="0.3">
      <c r="A477" t="str">
        <f>HYPERLINK("https://us2.cloudbeds.com/connect/10074733072513#/reservations/31682323902670?display=MHD0QNZG0&amp;reservation_id=31682323902670", "MHD0QNZG0")</f>
        <v>MHD0QNZG0</v>
      </c>
      <c r="B477" t="s">
        <v>946</v>
      </c>
      <c r="C477">
        <v>596</v>
      </c>
      <c r="D477">
        <v>647.82000000000005</v>
      </c>
      <c r="E477">
        <v>647.85</v>
      </c>
      <c r="F477">
        <v>-0.03</v>
      </c>
    </row>
    <row r="478" spans="1:6" x14ac:dyDescent="0.3">
      <c r="A478" t="str">
        <f>HYPERLINK("https://us2.cloudbeds.com/connect/10074733072513#/reservations/31678886113520?display=MHABVT6A7&amp;reservation_id=31678886113520", "MHABVT6A7")</f>
        <v>MHABVT6A7</v>
      </c>
      <c r="B478" t="s">
        <v>1079</v>
      </c>
      <c r="C478">
        <v>556</v>
      </c>
      <c r="D478">
        <v>604.34</v>
      </c>
      <c r="E478">
        <v>604.37</v>
      </c>
      <c r="F478">
        <v>-0.03</v>
      </c>
    </row>
    <row r="479" spans="1:6" x14ac:dyDescent="0.3">
      <c r="A479" t="str">
        <f>HYPERLINK("https://us2.cloudbeds.com/connect/10074733072513#/reservations/31683659067552?display=MHE1UXM6T&amp;reservation_id=31683659067552", "MHE1UXM6T")</f>
        <v>MHE1UXM6T</v>
      </c>
      <c r="B479" t="s">
        <v>1302</v>
      </c>
      <c r="C479">
        <v>836</v>
      </c>
      <c r="D479">
        <v>908.7</v>
      </c>
      <c r="E479">
        <v>908.73</v>
      </c>
      <c r="F479">
        <v>-0.03</v>
      </c>
    </row>
    <row r="480" spans="1:6" x14ac:dyDescent="0.3">
      <c r="A480" t="str">
        <f>HYPERLINK("https://us2.cloudbeds.com/connect/10074733072513#/reservations/31680693416081?display=MHBP4S1KG&amp;reservation_id=31680693416081", "MHBP4S1KG")</f>
        <v>MHBP4S1KG</v>
      </c>
      <c r="B480" t="s">
        <v>1294</v>
      </c>
      <c r="C480">
        <v>316</v>
      </c>
      <c r="D480">
        <v>343.46</v>
      </c>
      <c r="E480">
        <v>343.49</v>
      </c>
      <c r="F480">
        <v>-0.03</v>
      </c>
    </row>
    <row r="481" spans="1:6" x14ac:dyDescent="0.3">
      <c r="A481" t="str">
        <f>HYPERLINK("https://us2.cloudbeds.com/connect/10074733072513#/reservations/31682915156138?display=MHDFU97VP&amp;reservation_id=31682915156138", "MHDFU97VP")</f>
        <v>MHDFU97VP</v>
      </c>
      <c r="B481" t="s">
        <v>1118</v>
      </c>
      <c r="C481">
        <v>596</v>
      </c>
      <c r="D481">
        <v>647.82000000000005</v>
      </c>
      <c r="E481">
        <v>647.85</v>
      </c>
      <c r="F481">
        <v>-0.03</v>
      </c>
    </row>
    <row r="482" spans="1:6" x14ac:dyDescent="0.3">
      <c r="A482" t="str">
        <f>HYPERLINK("https://us2.cloudbeds.com/connect/10074733072513#/reservations/31682944364740?display=MHDGYU0EU&amp;reservation_id=31682944364740", "MHDGYU0EU")</f>
        <v>MHDGYU0EU</v>
      </c>
      <c r="B482" t="s">
        <v>1287</v>
      </c>
      <c r="C482">
        <v>695</v>
      </c>
      <c r="D482">
        <v>755.44</v>
      </c>
      <c r="E482">
        <v>755.47</v>
      </c>
      <c r="F482">
        <v>-0.03</v>
      </c>
    </row>
    <row r="483" spans="1:6" x14ac:dyDescent="0.3">
      <c r="A483" t="str">
        <f>HYPERLINK("https://us2.cloudbeds.com/connect/10074733072513#/reservations/31682933837970?display=MHDGD12WT&amp;reservation_id=31682933837970", "MHDGD12WT")</f>
        <v>MHDGD12WT</v>
      </c>
      <c r="B483" t="s">
        <v>1287</v>
      </c>
      <c r="C483">
        <v>745</v>
      </c>
      <c r="D483">
        <v>809.79</v>
      </c>
      <c r="E483">
        <v>809.82</v>
      </c>
      <c r="F483">
        <v>-0.03</v>
      </c>
    </row>
    <row r="484" spans="1:6" x14ac:dyDescent="0.3">
      <c r="A484" t="str">
        <f>HYPERLINK("https://us2.cloudbeds.com/connect/10074733072513#/reservations/31679863111875?display=MHB3UNK4W&amp;reservation_id=31679863111875", "MHB3UNK4W")</f>
        <v>MHB3UNK4W</v>
      </c>
      <c r="B484" t="s">
        <v>1308</v>
      </c>
      <c r="C484">
        <v>596</v>
      </c>
      <c r="D484">
        <v>647.82000000000005</v>
      </c>
      <c r="E484">
        <v>647.85</v>
      </c>
      <c r="F484">
        <v>-0.03</v>
      </c>
    </row>
    <row r="485" spans="1:6" x14ac:dyDescent="0.3">
      <c r="A485" t="str">
        <f>HYPERLINK("https://us2.cloudbeds.com/connect/10074733072513#/reservations/31683244540116?display=MHDZB0RJE&amp;reservation_id=31683244540116", "MHDZB0RJE")</f>
        <v>MHDZB0RJE</v>
      </c>
      <c r="B485" t="s">
        <v>1287</v>
      </c>
      <c r="C485">
        <v>396</v>
      </c>
      <c r="D485">
        <v>430.42</v>
      </c>
      <c r="E485">
        <v>430.45</v>
      </c>
      <c r="F485">
        <v>-0.03</v>
      </c>
    </row>
    <row r="486" spans="1:6" x14ac:dyDescent="0.3">
      <c r="A486" t="str">
        <f>HYPERLINK("https://us2.cloudbeds.com/connect/10074733072513#/reservations/31682875637987?display=MHDETVJG1&amp;reservation_id=31682875637987", "MHDETVJG1")</f>
        <v>MHDETVJG1</v>
      </c>
      <c r="B486" t="s">
        <v>1203</v>
      </c>
      <c r="C486">
        <v>219</v>
      </c>
      <c r="D486">
        <v>238.02</v>
      </c>
      <c r="E486">
        <v>238.05</v>
      </c>
      <c r="F486">
        <v>-0.03</v>
      </c>
    </row>
    <row r="487" spans="1:6" x14ac:dyDescent="0.3">
      <c r="A487" t="str">
        <f>HYPERLINK("https://us2.cloudbeds.com/connect/10074733072513#/reservations/31684104765645?display=MHEDACT0N&amp;reservation_id=31684104765645", "MHEDACT0N")</f>
        <v>MHEDACT0N</v>
      </c>
      <c r="B487" t="s">
        <v>1139</v>
      </c>
      <c r="C487">
        <v>516</v>
      </c>
      <c r="D487">
        <v>560.86</v>
      </c>
      <c r="E487">
        <v>560.89</v>
      </c>
      <c r="F487">
        <v>-0.03</v>
      </c>
    </row>
    <row r="488" spans="1:6" x14ac:dyDescent="0.3">
      <c r="A488" t="str">
        <f>HYPERLINK("https://us2.cloudbeds.com/connect/10074733072513#/reservations/31690482639034?display=MHJB9CK29&amp;reservation_id=31690482639034", "MHJB9CK29")</f>
        <v>MHJB9CK29</v>
      </c>
      <c r="B488" t="s">
        <v>1284</v>
      </c>
      <c r="C488">
        <v>596</v>
      </c>
      <c r="D488">
        <v>647.82000000000005</v>
      </c>
      <c r="E488">
        <v>647.85</v>
      </c>
      <c r="F488">
        <v>-0.03</v>
      </c>
    </row>
    <row r="489" spans="1:6" x14ac:dyDescent="0.3">
      <c r="A489" t="str">
        <f>HYPERLINK("https://us2.cloudbeds.com/connect/10074733072513#/reservations/31679138488473?display=MHAXDMTJ2&amp;reservation_id=31679138488473", "MHAXDMTJ2")</f>
        <v>MHAXDMTJ2</v>
      </c>
      <c r="B489" t="s">
        <v>1292</v>
      </c>
      <c r="C489">
        <v>356</v>
      </c>
      <c r="D489">
        <v>386.94</v>
      </c>
      <c r="E489">
        <v>386.97</v>
      </c>
      <c r="F489">
        <v>-0.03</v>
      </c>
    </row>
    <row r="490" spans="1:6" x14ac:dyDescent="0.3">
      <c r="A490" t="str">
        <f>HYPERLINK("https://us2.cloudbeds.com/connect/10074733072513#/reservations/31680896958594?display=MHBUBFUBE&amp;reservation_id=31680896958594", "MHBUBFUBE")</f>
        <v>MHBUBFUBE</v>
      </c>
      <c r="B490" t="s">
        <v>1289</v>
      </c>
      <c r="C490">
        <v>219</v>
      </c>
      <c r="D490">
        <v>238.02</v>
      </c>
      <c r="E490">
        <v>238.05</v>
      </c>
      <c r="F490">
        <v>-0.03</v>
      </c>
    </row>
    <row r="491" spans="1:6" x14ac:dyDescent="0.3">
      <c r="A491" t="str">
        <f>HYPERLINK("https://us2.cloudbeds.com/connect/10074733072513#/reservations/31687804772528?display=MHH8SB0RD&amp;reservation_id=31687804772528", "MHH8SB0RD")</f>
        <v>MHH8SB0RD</v>
      </c>
      <c r="B491" t="s">
        <v>1311</v>
      </c>
      <c r="C491">
        <v>219</v>
      </c>
      <c r="D491">
        <v>238.02</v>
      </c>
      <c r="E491">
        <v>238.05</v>
      </c>
      <c r="F491">
        <v>-0.03</v>
      </c>
    </row>
    <row r="492" spans="1:6" x14ac:dyDescent="0.3">
      <c r="A492" t="str">
        <f>HYPERLINK("https://us2.cloudbeds.com/connect/10074733072513#/reservations/31684659835083?display=MHERGEGYN&amp;reservation_id=31684659835083", "MHERGEGYN")</f>
        <v>MHERGEGYN</v>
      </c>
      <c r="B492" t="s">
        <v>1300</v>
      </c>
      <c r="C492">
        <v>784</v>
      </c>
      <c r="D492">
        <v>852.18</v>
      </c>
      <c r="E492">
        <v>852.21</v>
      </c>
      <c r="F492">
        <v>-0.03</v>
      </c>
    </row>
    <row r="493" spans="1:6" x14ac:dyDescent="0.3">
      <c r="A493" t="str">
        <f>HYPERLINK("https://us2.cloudbeds.com/connect/10074733072513#/reservations/31679430082699?display=MHAPSXUSZ&amp;reservation_id=31679430082699", "MHAPSXUSZ")</f>
        <v>MHAPSXUSZ</v>
      </c>
      <c r="B493" t="s">
        <v>1187</v>
      </c>
      <c r="C493">
        <v>536.4</v>
      </c>
      <c r="D493">
        <v>583.04</v>
      </c>
      <c r="E493">
        <v>583.07000000000005</v>
      </c>
      <c r="F493">
        <v>-0.03</v>
      </c>
    </row>
    <row r="494" spans="1:6" x14ac:dyDescent="0.3">
      <c r="A494" t="str">
        <f>HYPERLINK("https://us2.cloudbeds.com/connect/10074733072513#/reservations/31683735904460?display=MHE3TBPH1&amp;reservation_id=31683735904460", "MHE3TBPH1")</f>
        <v>MHE3TBPH1</v>
      </c>
      <c r="B494" t="s">
        <v>1246</v>
      </c>
      <c r="C494">
        <v>420.3</v>
      </c>
      <c r="D494">
        <v>456.84</v>
      </c>
      <c r="E494">
        <v>456.87</v>
      </c>
      <c r="F494">
        <v>-0.03</v>
      </c>
    </row>
    <row r="495" spans="1:6" x14ac:dyDescent="0.3">
      <c r="A495" t="str">
        <f>HYPERLINK("https://us2.cloudbeds.com/connect/10074733072513#/reservations/31679883481237?display=MHB4ETDQC&amp;reservation_id=31679883481237", "MHB4ETDQC")</f>
        <v>MHB4ETDQC</v>
      </c>
      <c r="B495" t="s">
        <v>1308</v>
      </c>
      <c r="C495">
        <v>596</v>
      </c>
      <c r="D495">
        <v>647.82000000000005</v>
      </c>
      <c r="E495">
        <v>647.85</v>
      </c>
      <c r="F495">
        <v>-0.03</v>
      </c>
    </row>
    <row r="496" spans="1:6" x14ac:dyDescent="0.3">
      <c r="A496" t="str">
        <f>HYPERLINK("https://us2.cloudbeds.com/connect/10074733072513#/reservations/31683542311105?display=MHDVV3ZRZ&amp;reservation_id=31683542311105", "MHDVV3ZRZ")</f>
        <v>MHDVV3ZRZ</v>
      </c>
      <c r="B496" t="s">
        <v>1227</v>
      </c>
      <c r="C496">
        <v>645</v>
      </c>
      <c r="D496">
        <v>701.09</v>
      </c>
      <c r="E496">
        <v>701.12</v>
      </c>
      <c r="F496">
        <v>-0.03</v>
      </c>
    </row>
    <row r="497" spans="1:6" x14ac:dyDescent="0.3">
      <c r="A497" t="str">
        <f>HYPERLINK("https://us2.cloudbeds.com/connect/10074733072513#/reservations/31679890108666?display=MHB4KFRJX&amp;reservation_id=31679890108666", "MHB4KFRJX")</f>
        <v>MHB4KFRJX</v>
      </c>
      <c r="B497" t="s">
        <v>1308</v>
      </c>
      <c r="C497">
        <v>636</v>
      </c>
      <c r="D497">
        <v>691.3</v>
      </c>
      <c r="E497">
        <v>691.33</v>
      </c>
      <c r="F497">
        <v>-0.03</v>
      </c>
    </row>
    <row r="498" spans="1:6" x14ac:dyDescent="0.3">
      <c r="A498" t="str">
        <f>HYPERLINK("https://us2.cloudbeds.com/connect/10074733072513#/reservations/31680175104133?display=MHBBTQ8DR&amp;reservation_id=31680175104133", "MHBBTQ8DR")</f>
        <v>MHBBTQ8DR</v>
      </c>
      <c r="B498" t="s">
        <v>1302</v>
      </c>
      <c r="C498">
        <v>1303</v>
      </c>
      <c r="D498">
        <v>1416.33</v>
      </c>
      <c r="E498">
        <v>1416.36</v>
      </c>
      <c r="F498">
        <v>-0.03</v>
      </c>
    </row>
    <row r="499" spans="1:6" x14ac:dyDescent="0.3">
      <c r="A499" t="str">
        <f>HYPERLINK("https://us2.cloudbeds.com/connect/10074733072513#/reservations/31680656670968?display=MHBZ6SXX7&amp;reservation_id=31680656670968", "MHBZ6SXX7")</f>
        <v>MHBZ6SXX7</v>
      </c>
      <c r="B499" t="s">
        <v>1290</v>
      </c>
      <c r="C499">
        <v>676</v>
      </c>
      <c r="D499">
        <v>734.78</v>
      </c>
      <c r="E499">
        <v>734.81</v>
      </c>
      <c r="F499">
        <v>-0.03</v>
      </c>
    </row>
    <row r="500" spans="1:6" x14ac:dyDescent="0.3">
      <c r="A500" t="str">
        <f>HYPERLINK("https://us2.cloudbeds.com/connect/10074733072513#/reservations/31680671481998?display=MHBZJBN4A&amp;reservation_id=31680671481998", "MHBZJBN4A")</f>
        <v>MHBZJBN4A</v>
      </c>
      <c r="B500" t="s">
        <v>1290</v>
      </c>
      <c r="C500">
        <v>676</v>
      </c>
      <c r="D500">
        <v>734.78</v>
      </c>
      <c r="E500">
        <v>734.81</v>
      </c>
      <c r="F500">
        <v>-0.03</v>
      </c>
    </row>
    <row r="501" spans="1:6" x14ac:dyDescent="0.3">
      <c r="A501" t="str">
        <f>HYPERLINK("https://us2.cloudbeds.com/connect/10074733072513#/reservations/31687055196324?display=MHGMN8VZW&amp;reservation_id=31687055196324", "MHGMN8VZW")</f>
        <v>MHGMN8VZW</v>
      </c>
      <c r="B501" t="s">
        <v>1318</v>
      </c>
      <c r="C501">
        <v>309.60000000000002</v>
      </c>
      <c r="D501">
        <v>336.51</v>
      </c>
      <c r="E501">
        <v>336.54</v>
      </c>
      <c r="F501">
        <v>-0.03</v>
      </c>
    </row>
    <row r="502" spans="1:6" x14ac:dyDescent="0.3">
      <c r="A502" t="str">
        <f>HYPERLINK("https://us2.cloudbeds.com/connect/10074733072513#/reservations/31687901135033?display=MHHBAJEWA&amp;reservation_id=31687901135033", "MHHBAJEWA")</f>
        <v>MHHBAJEWA</v>
      </c>
      <c r="B502" t="s">
        <v>1311</v>
      </c>
      <c r="C502">
        <v>316</v>
      </c>
      <c r="D502">
        <v>343.46</v>
      </c>
      <c r="E502">
        <v>343.49</v>
      </c>
      <c r="F502">
        <v>-0.03</v>
      </c>
    </row>
    <row r="503" spans="1:6" x14ac:dyDescent="0.3">
      <c r="A503" t="str">
        <f>HYPERLINK("https://us2.cloudbeds.com/connect/10074733072513#/reservations/31680341438671?display=MHBG51P1C&amp;reservation_id=31680341438671", "MHBG51P1C")</f>
        <v>MHBG51P1C</v>
      </c>
      <c r="B503" t="s">
        <v>1311</v>
      </c>
      <c r="C503">
        <v>556</v>
      </c>
      <c r="D503">
        <v>604.34</v>
      </c>
      <c r="E503">
        <v>604.37</v>
      </c>
      <c r="F503">
        <v>-0.03</v>
      </c>
    </row>
    <row r="504" spans="1:6" x14ac:dyDescent="0.3">
      <c r="A504" t="str">
        <f>HYPERLINK("https://us2.cloudbeds.com/connect/10074733072513#/reservations/31685271404686?display=MHFA44ATU&amp;reservation_id=31685271404686", "MHFA44ATU")</f>
        <v>MHFA44ATU</v>
      </c>
      <c r="B504" t="s">
        <v>1232</v>
      </c>
      <c r="C504">
        <v>276</v>
      </c>
      <c r="D504">
        <v>299.98</v>
      </c>
      <c r="E504">
        <v>300.01</v>
      </c>
      <c r="F504">
        <v>-0.03</v>
      </c>
    </row>
    <row r="505" spans="1:6" x14ac:dyDescent="0.3">
      <c r="A505" t="str">
        <f>HYPERLINK("https://us2.cloudbeds.com/connect/10074733072513#/reservations/31680968749207?display=MHBW60JPX&amp;reservation_id=31680968749207", "MHBW60JPX")</f>
        <v>MHBW60JPX</v>
      </c>
      <c r="B505" t="s">
        <v>1325</v>
      </c>
      <c r="C505">
        <v>596</v>
      </c>
      <c r="D505">
        <v>647.82000000000005</v>
      </c>
      <c r="E505">
        <v>647.85</v>
      </c>
      <c r="F505">
        <v>-0.03</v>
      </c>
    </row>
    <row r="506" spans="1:6" x14ac:dyDescent="0.3">
      <c r="A506" t="str">
        <f>HYPERLINK("https://us2.cloudbeds.com/connect/10074733072513#/reservations/31695193043151?display=MHMWYAX0W&amp;reservation_id=31695193043151", "MHMWYAX0W")</f>
        <v>MHMWYAX0W</v>
      </c>
      <c r="B506" t="s">
        <v>1315</v>
      </c>
      <c r="C506">
        <v>556</v>
      </c>
      <c r="D506">
        <v>604.34</v>
      </c>
      <c r="E506">
        <v>604.37</v>
      </c>
      <c r="F506">
        <v>-0.03</v>
      </c>
    </row>
    <row r="507" spans="1:6" x14ac:dyDescent="0.3">
      <c r="A507" t="str">
        <f>HYPERLINK("https://us2.cloudbeds.com/connect/10074733072513#/reservations/31680948994266?display=MHBVMBTAW&amp;reservation_id=31680948994266", "MHBVMBTAW")</f>
        <v>MHBVMBTAW</v>
      </c>
      <c r="B507" t="s">
        <v>1325</v>
      </c>
      <c r="C507">
        <v>745</v>
      </c>
      <c r="D507">
        <v>809.79</v>
      </c>
      <c r="E507">
        <v>809.82</v>
      </c>
      <c r="F507">
        <v>-0.03</v>
      </c>
    </row>
    <row r="508" spans="1:6" x14ac:dyDescent="0.3">
      <c r="A508" t="str">
        <f>HYPERLINK("https://us2.cloudbeds.com/connect/10074733072513#/reservations/31681018106025?display=MHC0EY0RN&amp;reservation_id=31681018106025", "MHC0EY0RN")</f>
        <v>MHC0EY0RN</v>
      </c>
      <c r="B508" t="s">
        <v>1325</v>
      </c>
      <c r="C508">
        <v>2190</v>
      </c>
      <c r="D508">
        <v>2380.5</v>
      </c>
      <c r="E508">
        <v>2380.5300000000002</v>
      </c>
      <c r="F508">
        <v>-0.03</v>
      </c>
    </row>
    <row r="509" spans="1:6" x14ac:dyDescent="0.3">
      <c r="A509" t="str">
        <f>HYPERLINK("https://us2.cloudbeds.com/connect/10074733072513#/reservations/31683159068821?display=MHDM4VFX6&amp;reservation_id=31683159068821", "MHDM4VFX6")</f>
        <v>MHDM4VFX6</v>
      </c>
      <c r="B509" t="s">
        <v>1329</v>
      </c>
      <c r="C509">
        <v>745</v>
      </c>
      <c r="D509">
        <v>809.79</v>
      </c>
      <c r="E509">
        <v>809.82</v>
      </c>
      <c r="F509">
        <v>-0.03</v>
      </c>
    </row>
    <row r="510" spans="1:6" x14ac:dyDescent="0.3">
      <c r="A510" t="str">
        <f>HYPERLINK("https://us2.cloudbeds.com/connect/10074733072513#/reservations/31683182907590?display=MHDMP1R24&amp;reservation_id=31683182907590", "MHDMP1R24")</f>
        <v>MHDMP1R24</v>
      </c>
      <c r="B510" t="s">
        <v>1298</v>
      </c>
      <c r="C510">
        <v>671.4</v>
      </c>
      <c r="D510">
        <v>729.78</v>
      </c>
      <c r="E510">
        <v>729.81</v>
      </c>
      <c r="F510">
        <v>-0.03</v>
      </c>
    </row>
    <row r="511" spans="1:6" x14ac:dyDescent="0.3">
      <c r="A511" t="str">
        <f>HYPERLINK("https://us2.cloudbeds.com/connect/10074733072513#/reservations/31691775774916?display=MHKBAQ0M3&amp;reservation_id=31691775774916", "MHKBAQ0M3")</f>
        <v>MHKBAQ0M3</v>
      </c>
      <c r="B511" t="s">
        <v>1237</v>
      </c>
      <c r="C511">
        <v>516</v>
      </c>
      <c r="D511">
        <v>560.86</v>
      </c>
      <c r="E511">
        <v>560.89</v>
      </c>
      <c r="F511">
        <v>-0.03</v>
      </c>
    </row>
    <row r="512" spans="1:6" x14ac:dyDescent="0.3">
      <c r="A512" t="str">
        <f>HYPERLINK("https://us2.cloudbeds.com/connect/10074733072513#/reservations/31685447995547?display=MHFEY17Y4&amp;reservation_id=31685447995547", "MHFEY17Y4")</f>
        <v>MHFEY17Y4</v>
      </c>
      <c r="B512" t="s">
        <v>1262</v>
      </c>
      <c r="C512">
        <v>420.3</v>
      </c>
      <c r="D512">
        <v>456.84</v>
      </c>
      <c r="E512">
        <v>456.87</v>
      </c>
      <c r="F512">
        <v>-0.03</v>
      </c>
    </row>
    <row r="513" spans="1:6" x14ac:dyDescent="0.3">
      <c r="A513" t="str">
        <f>HYPERLINK("https://us2.cloudbeds.com/connect/10074733072513#/reservations/31681720226026?display=MHCXCMX4C&amp;reservation_id=31681720226026", "MHCXCMX4C")</f>
        <v>MHCXCMX4C</v>
      </c>
      <c r="B513" t="s">
        <v>1333</v>
      </c>
      <c r="C513">
        <v>676</v>
      </c>
      <c r="D513">
        <v>734.78</v>
      </c>
      <c r="E513">
        <v>734.81</v>
      </c>
      <c r="F513">
        <v>-0.03</v>
      </c>
    </row>
    <row r="514" spans="1:6" x14ac:dyDescent="0.3">
      <c r="A514" t="str">
        <f>HYPERLINK("https://us2.cloudbeds.com/connect/10074733072513#/reservations/31683274141913?display=MHDP2WX4J&amp;reservation_id=31683274141913", "MHDP2WX4J")</f>
        <v>MHDP2WX4J</v>
      </c>
      <c r="B514" t="s">
        <v>1204</v>
      </c>
      <c r="C514">
        <v>556</v>
      </c>
      <c r="D514">
        <v>604.34</v>
      </c>
      <c r="E514">
        <v>604.37</v>
      </c>
      <c r="F514">
        <v>-0.03</v>
      </c>
    </row>
    <row r="515" spans="1:6" x14ac:dyDescent="0.3">
      <c r="A515" t="str">
        <f>HYPERLINK("https://us2.cloudbeds.com/connect/10074733072513#/reservations/31681952231676?display=MHCZAAEQK&amp;reservation_id=31681952231676", "MHCZAAEQK")</f>
        <v>MHCZAAEQK</v>
      </c>
      <c r="B515" t="s">
        <v>1336</v>
      </c>
      <c r="C515">
        <v>875.7</v>
      </c>
      <c r="D515">
        <v>951.86</v>
      </c>
      <c r="E515">
        <v>951.89</v>
      </c>
      <c r="F515">
        <v>-0.03</v>
      </c>
    </row>
    <row r="516" spans="1:6" x14ac:dyDescent="0.3">
      <c r="A516" t="str">
        <f>HYPERLINK("https://us2.cloudbeds.com/connect/10074733072513#/reservations/31686141567132?display=MHFWBST4T&amp;reservation_id=31686141567132", "MHFWBST4T")</f>
        <v>MHFWBST4T</v>
      </c>
      <c r="B516" t="s">
        <v>1027</v>
      </c>
      <c r="C516">
        <v>536.4</v>
      </c>
      <c r="D516">
        <v>583.04</v>
      </c>
      <c r="E516">
        <v>583.07000000000005</v>
      </c>
      <c r="F516">
        <v>-0.03</v>
      </c>
    </row>
    <row r="517" spans="1:6" x14ac:dyDescent="0.3">
      <c r="A517" t="str">
        <f>HYPERLINK("https://us2.cloudbeds.com/connect/10074733072513#/reservations/31683622699138?display=MHE0WTM1Z&amp;reservation_id=31683622699138", "MHE0WTM1Z")</f>
        <v>MHE0WTM1Z</v>
      </c>
      <c r="B517" t="s">
        <v>1335</v>
      </c>
      <c r="C517">
        <v>395</v>
      </c>
      <c r="D517">
        <v>429.34</v>
      </c>
      <c r="E517">
        <v>429.37</v>
      </c>
      <c r="F517">
        <v>-0.03</v>
      </c>
    </row>
    <row r="518" spans="1:6" x14ac:dyDescent="0.3">
      <c r="A518" t="str">
        <f>HYPERLINK("https://us2.cloudbeds.com/connect/10074733072513#/reservations/31683758039175?display=MHE4F0N7W&amp;reservation_id=31683758039175", "MHE4F0N7W")</f>
        <v>MHE4F0N7W</v>
      </c>
      <c r="B518" t="s">
        <v>1297</v>
      </c>
      <c r="C518">
        <v>556</v>
      </c>
      <c r="D518">
        <v>604.34</v>
      </c>
      <c r="E518">
        <v>604.37</v>
      </c>
      <c r="F518">
        <v>-0.03</v>
      </c>
    </row>
    <row r="519" spans="1:6" x14ac:dyDescent="0.3">
      <c r="A519" t="str">
        <f>HYPERLINK("https://us2.cloudbeds.com/connect/10074733072513#/reservations/31685385113756?display=MHFD10EVA&amp;reservation_id=31685385113756", "MHFD10EVA")</f>
        <v>MHFD10EVA</v>
      </c>
      <c r="B519" t="s">
        <v>1214</v>
      </c>
      <c r="C519">
        <v>536.4</v>
      </c>
      <c r="D519">
        <v>583.04</v>
      </c>
      <c r="E519">
        <v>583.07000000000005</v>
      </c>
      <c r="F519">
        <v>-0.03</v>
      </c>
    </row>
    <row r="520" spans="1:6" x14ac:dyDescent="0.3">
      <c r="A520" t="str">
        <f>HYPERLINK("https://us2.cloudbeds.com/connect/10074733072513#/reservations/31684831285379?display=MHEVT0BV7&amp;reservation_id=31684831285379", "MHEVT0BV7")</f>
        <v>MHEVT0BV7</v>
      </c>
      <c r="B520" t="s">
        <v>1328</v>
      </c>
      <c r="C520">
        <v>516</v>
      </c>
      <c r="D520">
        <v>560.86</v>
      </c>
      <c r="E520">
        <v>560.89</v>
      </c>
      <c r="F520">
        <v>-0.03</v>
      </c>
    </row>
    <row r="521" spans="1:6" x14ac:dyDescent="0.3">
      <c r="A521" t="str">
        <f>HYPERLINK("https://us2.cloudbeds.com/connect/10074733072513#/reservations/31684803481777?display=MHEV5XMKR&amp;reservation_id=31684803481777", "MHEV5XMKR")</f>
        <v>MHEV5XMKR</v>
      </c>
      <c r="B521" t="s">
        <v>1328</v>
      </c>
      <c r="C521">
        <v>516</v>
      </c>
      <c r="D521">
        <v>560.86</v>
      </c>
      <c r="E521">
        <v>560.89</v>
      </c>
      <c r="F521">
        <v>-0.03</v>
      </c>
    </row>
    <row r="522" spans="1:6" x14ac:dyDescent="0.3">
      <c r="A522" t="str">
        <f>HYPERLINK("https://us2.cloudbeds.com/connect/10074733072513#/reservations/31691808538821?display=MHKC5DNTN&amp;reservation_id=31691808538821", "MHKC5DNTN")</f>
        <v>MHKC5DNTN</v>
      </c>
      <c r="B522" t="s">
        <v>1237</v>
      </c>
      <c r="C522">
        <v>450</v>
      </c>
      <c r="D522">
        <v>489.12</v>
      </c>
      <c r="E522">
        <v>489.15</v>
      </c>
      <c r="F522">
        <v>-0.03</v>
      </c>
    </row>
    <row r="523" spans="1:6" x14ac:dyDescent="0.3">
      <c r="A523" t="str">
        <f>HYPERLINK("https://us2.cloudbeds.com/connect/10074733072513#/reservations/31692220797105?display=MHKMN1DQW&amp;reservation_id=31692220797105", "MHKMN1DQW")</f>
        <v>MHKMN1DQW</v>
      </c>
      <c r="B523" t="s">
        <v>1354</v>
      </c>
      <c r="C523">
        <v>396</v>
      </c>
      <c r="D523">
        <v>430.42</v>
      </c>
      <c r="E523">
        <v>430.45</v>
      </c>
      <c r="F523">
        <v>-0.03</v>
      </c>
    </row>
    <row r="524" spans="1:6" x14ac:dyDescent="0.3">
      <c r="A524" t="str">
        <f>HYPERLINK("https://us2.cloudbeds.com/connect/10074733072513#/reservations/31686097109154?display=MHFV7CPXE&amp;reservation_id=31686097109154", "MHFV7CPXE")</f>
        <v>MHFV7CPXE</v>
      </c>
      <c r="B524" t="s">
        <v>1356</v>
      </c>
      <c r="C524">
        <v>396</v>
      </c>
      <c r="D524">
        <v>430.42</v>
      </c>
      <c r="E524">
        <v>430.45</v>
      </c>
      <c r="F524">
        <v>-0.03</v>
      </c>
    </row>
    <row r="525" spans="1:6" x14ac:dyDescent="0.3">
      <c r="A525" t="str">
        <f>HYPERLINK("https://us2.cloudbeds.com/connect/10074733072513#/reservations/31684159193306?display=MHEEN9DGP&amp;reservation_id=31684159193306", "MHEEN9DGP")</f>
        <v>MHEEN9DGP</v>
      </c>
      <c r="B525" t="s">
        <v>1340</v>
      </c>
      <c r="C525">
        <v>219</v>
      </c>
      <c r="D525">
        <v>238.02</v>
      </c>
      <c r="E525">
        <v>238.05</v>
      </c>
      <c r="F525">
        <v>-0.03</v>
      </c>
    </row>
    <row r="526" spans="1:6" x14ac:dyDescent="0.3">
      <c r="A526" t="str">
        <f>HYPERLINK("https://us2.cloudbeds.com/connect/10074733072513#/reservations/31688277733519?display=MHHKV4SEY&amp;reservation_id=31688277733519", "MHHKV4SEY")</f>
        <v>MHHKV4SEY</v>
      </c>
      <c r="B526" t="s">
        <v>1168</v>
      </c>
      <c r="C526">
        <v>576</v>
      </c>
      <c r="D526">
        <v>626.08000000000004</v>
      </c>
      <c r="E526">
        <v>626.11</v>
      </c>
      <c r="F526">
        <v>-0.03</v>
      </c>
    </row>
    <row r="527" spans="1:6" x14ac:dyDescent="0.3">
      <c r="A527" t="str">
        <f>HYPERLINK("https://us2.cloudbeds.com/connect/10074733072513#/reservations/31683845931201?display=MHE6N4E5N&amp;reservation_id=31683845931201", "MHE6N4E5N")</f>
        <v>MHE6N4E5N</v>
      </c>
      <c r="B527" t="s">
        <v>1362</v>
      </c>
      <c r="C527">
        <v>436</v>
      </c>
      <c r="D527">
        <v>473.9</v>
      </c>
      <c r="E527">
        <v>473.93</v>
      </c>
      <c r="F527">
        <v>-0.03</v>
      </c>
    </row>
    <row r="528" spans="1:6" x14ac:dyDescent="0.3">
      <c r="A528" t="str">
        <f>HYPERLINK("https://us2.cloudbeds.com/connect/10074733072513#/reservations/31688292216985?display=MHHYABT7X&amp;reservation_id=31688292216985", "MHHYABT7X")</f>
        <v>MHHYABT7X</v>
      </c>
      <c r="B528" t="s">
        <v>1168</v>
      </c>
      <c r="C528">
        <v>576</v>
      </c>
      <c r="D528">
        <v>626.08000000000004</v>
      </c>
      <c r="E528">
        <v>626.11</v>
      </c>
      <c r="F528">
        <v>-0.03</v>
      </c>
    </row>
    <row r="529" spans="1:6" x14ac:dyDescent="0.3">
      <c r="A529" t="str">
        <f>HYPERLINK("https://us2.cloudbeds.com/connect/10074733072513#/reservations/31685629390981?display=MHFJ8WR9F&amp;reservation_id=31685629390981", "MHFJ8WR9F")</f>
        <v>MHFJ8WR9F</v>
      </c>
      <c r="B529" t="s">
        <v>1347</v>
      </c>
      <c r="C529">
        <v>536.4</v>
      </c>
      <c r="D529">
        <v>583.04</v>
      </c>
      <c r="E529">
        <v>583.07000000000005</v>
      </c>
      <c r="F529">
        <v>-0.03</v>
      </c>
    </row>
    <row r="530" spans="1:6" x14ac:dyDescent="0.3">
      <c r="A530" t="str">
        <f>HYPERLINK("https://us2.cloudbeds.com/connect/10074733072513#/reservations/31687198773410?display=MHGQCB6QP&amp;reservation_id=31687198773410", "MHGQCB6QP")</f>
        <v>MHGQCB6QP</v>
      </c>
      <c r="B530" t="s">
        <v>1364</v>
      </c>
      <c r="C530">
        <v>309.60000000000002</v>
      </c>
      <c r="D530">
        <v>336.51</v>
      </c>
      <c r="E530">
        <v>336.54</v>
      </c>
      <c r="F530">
        <v>-0.03</v>
      </c>
    </row>
    <row r="531" spans="1:6" x14ac:dyDescent="0.3">
      <c r="A531" t="str">
        <f>HYPERLINK("https://us2.cloudbeds.com/connect/10074733072513#/reservations/31683086467296?display=MHDK9Z7FW&amp;reservation_id=31683086467296", "MHDK9Z7FW")</f>
        <v>MHDK9Z7FW</v>
      </c>
      <c r="B531" t="s">
        <v>1349</v>
      </c>
      <c r="C531">
        <v>556</v>
      </c>
      <c r="D531">
        <v>604.34</v>
      </c>
      <c r="E531">
        <v>604.37</v>
      </c>
      <c r="F531">
        <v>-0.03</v>
      </c>
    </row>
    <row r="532" spans="1:6" x14ac:dyDescent="0.3">
      <c r="A532" t="str">
        <f>HYPERLINK("https://us2.cloudbeds.com/connect/10074733072513#/reservations/31694437286110?display=MHMDB1G8F&amp;reservation_id=31694437286110", "MHMDB1G8F")</f>
        <v>MHMDB1G8F</v>
      </c>
      <c r="B532" t="s">
        <v>1315</v>
      </c>
      <c r="C532">
        <v>556</v>
      </c>
      <c r="D532">
        <v>604.34</v>
      </c>
      <c r="E532">
        <v>604.37</v>
      </c>
      <c r="F532">
        <v>-0.03</v>
      </c>
    </row>
    <row r="533" spans="1:6" x14ac:dyDescent="0.3">
      <c r="A533" t="str">
        <f>HYPERLINK("https://us2.cloudbeds.com/connect/10074733072513#/reservations/31686561816797?display=MHGA37VB7&amp;reservation_id=31686561816797", "MHGA37VB7")</f>
        <v>MHGA37VB7</v>
      </c>
      <c r="B533" t="s">
        <v>1342</v>
      </c>
      <c r="C533">
        <v>1344</v>
      </c>
      <c r="D533">
        <v>1460.9</v>
      </c>
      <c r="E533">
        <v>1460.93</v>
      </c>
      <c r="F533">
        <v>-0.03</v>
      </c>
    </row>
    <row r="534" spans="1:6" x14ac:dyDescent="0.3">
      <c r="A534" t="str">
        <f>HYPERLINK("https://us2.cloudbeds.com/connect/10074733072513#/reservations/31683643981971?display=MHE1HRTH2&amp;reservation_id=31683643981971", "MHE1HRTH2")</f>
        <v>MHE1HRTH2</v>
      </c>
      <c r="B534" t="s">
        <v>1259</v>
      </c>
      <c r="C534">
        <v>356</v>
      </c>
      <c r="D534">
        <v>386.94</v>
      </c>
      <c r="E534">
        <v>386.97</v>
      </c>
      <c r="F534">
        <v>-0.03</v>
      </c>
    </row>
    <row r="535" spans="1:6" x14ac:dyDescent="0.3">
      <c r="A535" t="str">
        <f>HYPERLINK("https://us2.cloudbeds.com/connect/10074733072513#/reservations/31684750229633?display=MHETQYSJG&amp;reservation_id=31684750229633", "MHETQYSJG")</f>
        <v>MHETQYSJG</v>
      </c>
      <c r="B535" t="s">
        <v>1376</v>
      </c>
      <c r="C535">
        <v>536</v>
      </c>
      <c r="D535">
        <v>582.6</v>
      </c>
      <c r="E535">
        <v>582.63</v>
      </c>
      <c r="F535">
        <v>-0.03</v>
      </c>
    </row>
    <row r="536" spans="1:6" x14ac:dyDescent="0.3">
      <c r="A536" t="str">
        <f>HYPERLINK("https://us2.cloudbeds.com/connect/10074733072513#/reservations/31685129224338?display=MHF6G7VEH&amp;reservation_id=31685129224338", "MHF6G7VEH")</f>
        <v>MHF6G7VEH</v>
      </c>
      <c r="B536" t="s">
        <v>1224</v>
      </c>
      <c r="C536">
        <v>2130</v>
      </c>
      <c r="D536">
        <v>2315.2800000000002</v>
      </c>
      <c r="E536">
        <v>2315.31</v>
      </c>
      <c r="F536">
        <v>-0.03</v>
      </c>
    </row>
    <row r="537" spans="1:6" x14ac:dyDescent="0.3">
      <c r="A537" t="str">
        <f>HYPERLINK("https://us2.cloudbeds.com/connect/10074733072513#/reservations/31690541482124?display=MHJCQ0047&amp;reservation_id=31690541482124", "MHJCQ0047")</f>
        <v>MHJCQ0047</v>
      </c>
      <c r="B537" t="s">
        <v>1348</v>
      </c>
      <c r="C537">
        <v>636</v>
      </c>
      <c r="D537">
        <v>691.3</v>
      </c>
      <c r="E537">
        <v>691.33</v>
      </c>
      <c r="F537">
        <v>-0.03</v>
      </c>
    </row>
    <row r="538" spans="1:6" x14ac:dyDescent="0.3">
      <c r="A538" t="str">
        <f>HYPERLINK("https://us2.cloudbeds.com/connect/10074733072513#/reservations/31686760063104?display=MHGEQTB0S&amp;reservation_id=31686760063104", "MHGEQTB0S")</f>
        <v>MHGEQTB0S</v>
      </c>
      <c r="B538" t="s">
        <v>1354</v>
      </c>
      <c r="C538">
        <v>588.6</v>
      </c>
      <c r="D538">
        <v>639.78</v>
      </c>
      <c r="E538">
        <v>639.80999999999995</v>
      </c>
      <c r="F538">
        <v>-0.03</v>
      </c>
    </row>
    <row r="539" spans="1:6" x14ac:dyDescent="0.3">
      <c r="A539" t="str">
        <f>HYPERLINK("https://us2.cloudbeds.com/connect/10074733072513#/reservations/31692460904661?display=MHKSRGP8H&amp;reservation_id=31692460904661", "MHKSRGP8H")</f>
        <v>MHKSRGP8H</v>
      </c>
      <c r="B539" t="s">
        <v>1354</v>
      </c>
      <c r="C539">
        <v>316</v>
      </c>
      <c r="D539">
        <v>343.46</v>
      </c>
      <c r="E539">
        <v>343.49</v>
      </c>
      <c r="F539">
        <v>-0.03</v>
      </c>
    </row>
    <row r="540" spans="1:6" x14ac:dyDescent="0.3">
      <c r="A540" t="str">
        <f>HYPERLINK("https://us2.cloudbeds.com/connect/10074733072513#/reservations/31693033193703?display=MHYAF2X6N&amp;reservation_id=31693033193703", "MHYAF2X6N")</f>
        <v>MHYAF2X6N</v>
      </c>
      <c r="B540" t="s">
        <v>1212</v>
      </c>
      <c r="C540">
        <v>1210</v>
      </c>
      <c r="D540">
        <v>1315.24</v>
      </c>
      <c r="E540">
        <v>1315.27</v>
      </c>
      <c r="F540">
        <v>-0.03</v>
      </c>
    </row>
    <row r="541" spans="1:6" x14ac:dyDescent="0.3">
      <c r="A541" t="str">
        <f>HYPERLINK("https://us2.cloudbeds.com/connect/10074733072513#/reservations/31690495586553?display=MHJBK9TEB&amp;reservation_id=31690495586553", "MHJBK9TEB")</f>
        <v>MHJBK9TEB</v>
      </c>
      <c r="B541" t="s">
        <v>1375</v>
      </c>
      <c r="C541">
        <v>556</v>
      </c>
      <c r="D541">
        <v>604.34</v>
      </c>
      <c r="E541">
        <v>604.37</v>
      </c>
      <c r="F541">
        <v>-0.03</v>
      </c>
    </row>
    <row r="542" spans="1:6" x14ac:dyDescent="0.3">
      <c r="A542" t="str">
        <f>HYPERLINK("https://us2.cloudbeds.com/connect/10074733072513#/reservations/31688041320651?display=MHHETQAZB&amp;reservation_id=31688041320651", "MHHETQAZB")</f>
        <v>MHHETQAZB</v>
      </c>
      <c r="B542" t="s">
        <v>1399</v>
      </c>
      <c r="C542">
        <v>545</v>
      </c>
      <c r="D542">
        <v>592.39</v>
      </c>
      <c r="E542">
        <v>592.41999999999996</v>
      </c>
      <c r="F542">
        <v>-0.03</v>
      </c>
    </row>
    <row r="543" spans="1:6" x14ac:dyDescent="0.3">
      <c r="A543" t="str">
        <f>HYPERLINK("https://us2.cloudbeds.com/connect/10074733072513#/reservations/31688666026226?display=MHHUSXMDA&amp;reservation_id=31688666026226", "MHHUSXMDA")</f>
        <v>MHHUSXMDA</v>
      </c>
      <c r="B543" t="s">
        <v>1410</v>
      </c>
      <c r="C543">
        <v>309.60000000000002</v>
      </c>
      <c r="D543">
        <v>336.51</v>
      </c>
      <c r="E543">
        <v>336.54</v>
      </c>
      <c r="F543">
        <v>-0.03</v>
      </c>
    </row>
    <row r="544" spans="1:6" x14ac:dyDescent="0.3">
      <c r="A544" t="str">
        <f>HYPERLINK("https://us2.cloudbeds.com/connect/10074733072513#/reservations/31693856546960?display=MHYVGBXQD&amp;reservation_id=31693856546960", "MHYVGBXQD")</f>
        <v>MHYVGBXQD</v>
      </c>
      <c r="B544" t="s">
        <v>1411</v>
      </c>
      <c r="C544">
        <v>395</v>
      </c>
      <c r="D544">
        <v>429.34</v>
      </c>
      <c r="E544">
        <v>429.37</v>
      </c>
      <c r="F544">
        <v>-0.03</v>
      </c>
    </row>
    <row r="545" spans="1:6" x14ac:dyDescent="0.3">
      <c r="A545" t="str">
        <f>HYPERLINK("https://us2.cloudbeds.com/connect/10074733072513#/reservations/31687846650056?display=MHH9UYASD&amp;reservation_id=31687846650056", "MHH9UYASD")</f>
        <v>MHH9UYASD</v>
      </c>
      <c r="B545" t="s">
        <v>1413</v>
      </c>
      <c r="C545">
        <v>356</v>
      </c>
      <c r="D545">
        <v>386.94</v>
      </c>
      <c r="E545">
        <v>386.97</v>
      </c>
      <c r="F545">
        <v>-0.03</v>
      </c>
    </row>
    <row r="546" spans="1:6" x14ac:dyDescent="0.3">
      <c r="A546" t="str">
        <f>HYPERLINK("https://us2.cloudbeds.com/connect/10074733072513#/reservations/31689685852292?display=MHXNUGRQG&amp;reservation_id=31689685852292", "MHXNUGRQG")</f>
        <v>MHXNUGRQG</v>
      </c>
      <c r="B546" t="s">
        <v>1418</v>
      </c>
      <c r="C546">
        <v>317.60000000000002</v>
      </c>
      <c r="D546">
        <v>345.2</v>
      </c>
      <c r="E546">
        <v>345.23</v>
      </c>
      <c r="F546">
        <v>-0.03</v>
      </c>
    </row>
    <row r="547" spans="1:6" x14ac:dyDescent="0.3">
      <c r="A547" t="str">
        <f>HYPERLINK("https://us2.cloudbeds.com/connect/10074733072513#/reservations/31688916426898?display=MHX48NEZF&amp;reservation_id=31688916426898", "MHX48NEZF")</f>
        <v>MHX48NEZF</v>
      </c>
      <c r="B547" t="s">
        <v>1419</v>
      </c>
      <c r="C547">
        <v>436</v>
      </c>
      <c r="D547">
        <v>473.9</v>
      </c>
      <c r="E547">
        <v>473.93</v>
      </c>
      <c r="F547">
        <v>-0.03</v>
      </c>
    </row>
    <row r="548" spans="1:6" x14ac:dyDescent="0.3">
      <c r="A548" t="str">
        <f>HYPERLINK("https://us2.cloudbeds.com/connect/10074733072513#/reservations/31687835521165?display=MHH9Y8YG9&amp;reservation_id=31687835521165", "MHH9Y8YG9")</f>
        <v>MHH9Y8YG9</v>
      </c>
      <c r="B548" t="s">
        <v>1416</v>
      </c>
      <c r="C548">
        <v>436</v>
      </c>
      <c r="D548">
        <v>473.9</v>
      </c>
      <c r="E548">
        <v>473.93</v>
      </c>
      <c r="F548">
        <v>-0.03</v>
      </c>
    </row>
    <row r="549" spans="1:6" x14ac:dyDescent="0.3">
      <c r="A549" t="str">
        <f>HYPERLINK("https://us2.cloudbeds.com/connect/10074733072513#/reservations/31687855927501?display=MHHA5FG33&amp;reservation_id=31687855927501", "MHHA5FG33")</f>
        <v>MHHA5FG33</v>
      </c>
      <c r="B549" t="s">
        <v>1416</v>
      </c>
      <c r="C549">
        <v>436</v>
      </c>
      <c r="D549">
        <v>473.9</v>
      </c>
      <c r="E549">
        <v>473.93</v>
      </c>
      <c r="F549">
        <v>-0.03</v>
      </c>
    </row>
    <row r="550" spans="1:6" x14ac:dyDescent="0.3">
      <c r="A550" t="str">
        <f>HYPERLINK("https://us2.cloudbeds.com/connect/10074733072513#/reservations/31692980867205?display=MHY93VG58&amp;reservation_id=31692980867205", "MHY93VG58")</f>
        <v>MHY93VG58</v>
      </c>
      <c r="B550" t="s">
        <v>1424</v>
      </c>
      <c r="C550">
        <v>436</v>
      </c>
      <c r="D550">
        <v>473.9</v>
      </c>
      <c r="E550">
        <v>473.93</v>
      </c>
      <c r="F550">
        <v>-0.03</v>
      </c>
    </row>
    <row r="551" spans="1:6" x14ac:dyDescent="0.3">
      <c r="A551" t="str">
        <f>HYPERLINK("https://us2.cloudbeds.com/connect/10074733072513#/reservations/31693061861532?display=MHYB6893Q&amp;reservation_id=31693061861532", "MHYB6893Q")</f>
        <v>MHYB6893Q</v>
      </c>
      <c r="B551" t="s">
        <v>1397</v>
      </c>
      <c r="C551">
        <v>316</v>
      </c>
      <c r="D551">
        <v>343.46</v>
      </c>
      <c r="E551">
        <v>343.49</v>
      </c>
      <c r="F551">
        <v>-0.03</v>
      </c>
    </row>
    <row r="552" spans="1:6" x14ac:dyDescent="0.3">
      <c r="A552" t="str">
        <f>HYPERLINK("https://us2.cloudbeds.com/connect/10074733072513#/reservations/31693670142191?display=MHYQZ5J71&amp;reservation_id=31693670142191", "MHYQZ5J71")</f>
        <v>MHYQZ5J71</v>
      </c>
      <c r="B552" t="s">
        <v>1438</v>
      </c>
      <c r="C552">
        <v>436</v>
      </c>
      <c r="D552">
        <v>473.9</v>
      </c>
      <c r="E552">
        <v>473.93</v>
      </c>
      <c r="F552">
        <v>-0.03</v>
      </c>
    </row>
    <row r="553" spans="1:6" x14ac:dyDescent="0.3">
      <c r="A553" t="str">
        <f>HYPERLINK("https://us2.cloudbeds.com/connect/10074733072513#/reservations/31689103958221?display=MHX91RPQR&amp;reservation_id=31689103958221", "MHX91RPQR")</f>
        <v>MHX91RPQR</v>
      </c>
      <c r="B553" t="s">
        <v>1439</v>
      </c>
      <c r="C553">
        <v>436</v>
      </c>
      <c r="D553">
        <v>473.9</v>
      </c>
      <c r="E553">
        <v>473.93</v>
      </c>
      <c r="F553">
        <v>-0.03</v>
      </c>
    </row>
    <row r="554" spans="1:6" x14ac:dyDescent="0.3">
      <c r="A554" t="str">
        <f>HYPERLINK("https://us2.cloudbeds.com/connect/10074733072513#/reservations/31689113776260?display=MHX9A3WF4&amp;reservation_id=31689113776260", "MHX9A3WF4")</f>
        <v>MHX9A3WF4</v>
      </c>
      <c r="B554" t="s">
        <v>1439</v>
      </c>
      <c r="C554">
        <v>436</v>
      </c>
      <c r="D554">
        <v>473.9</v>
      </c>
      <c r="E554">
        <v>473.93</v>
      </c>
      <c r="F554">
        <v>-0.03</v>
      </c>
    </row>
    <row r="555" spans="1:6" x14ac:dyDescent="0.3">
      <c r="A555" t="str">
        <f>HYPERLINK("https://us2.cloudbeds.com/connect/10074733072513#/reservations/31689457934556?display=MHXX3AMVE&amp;reservation_id=31689457934556", "MHXX3AMVE")</f>
        <v>MHXX3AMVE</v>
      </c>
      <c r="B555" t="s">
        <v>1443</v>
      </c>
      <c r="C555">
        <v>316</v>
      </c>
      <c r="D555">
        <v>343.46</v>
      </c>
      <c r="E555">
        <v>343.49</v>
      </c>
      <c r="F555">
        <v>-0.03</v>
      </c>
    </row>
    <row r="556" spans="1:6" x14ac:dyDescent="0.3">
      <c r="A556" t="str">
        <f>HYPERLINK("https://us2.cloudbeds.com/connect/10074733072513#/reservations/31689777991833?display=MHXQ96P3Q&amp;reservation_id=31689777991833", "MHXQ96P3Q")</f>
        <v>MHXQ96P3Q</v>
      </c>
      <c r="B556" t="s">
        <v>1439</v>
      </c>
      <c r="C556">
        <v>450</v>
      </c>
      <c r="D556">
        <v>489.12</v>
      </c>
      <c r="E556">
        <v>489.15</v>
      </c>
      <c r="F556">
        <v>-0.03</v>
      </c>
    </row>
    <row r="557" spans="1:6" x14ac:dyDescent="0.3">
      <c r="A557" t="str">
        <f>HYPERLINK("https://us2.cloudbeds.com/connect/10074733072513#/reservations/31689074147575?display=MHX89N8FU&amp;reservation_id=31689074147575", "MHX89N8FU")</f>
        <v>MHX89N8FU</v>
      </c>
      <c r="B557" t="s">
        <v>1439</v>
      </c>
      <c r="C557">
        <v>476</v>
      </c>
      <c r="D557">
        <v>517.38</v>
      </c>
      <c r="E557">
        <v>517.41</v>
      </c>
      <c r="F557">
        <v>-0.03</v>
      </c>
    </row>
    <row r="558" spans="1:6" x14ac:dyDescent="0.3">
      <c r="A558" t="str">
        <f>HYPERLINK("https://us2.cloudbeds.com/connect/10074733072513#/reservations/31689438490845?display=MHXHJUYA2&amp;reservation_id=31689438490845", "MHXHJUYA2")</f>
        <v>MHXHJUYA2</v>
      </c>
      <c r="B558" t="s">
        <v>1443</v>
      </c>
      <c r="C558">
        <v>395</v>
      </c>
      <c r="D558">
        <v>429.34</v>
      </c>
      <c r="E558">
        <v>429.37</v>
      </c>
      <c r="F558">
        <v>-0.03</v>
      </c>
    </row>
    <row r="559" spans="1:6" x14ac:dyDescent="0.3">
      <c r="A559" t="str">
        <f>HYPERLINK("https://us2.cloudbeds.com/connect/10074733072513#/reservations/31695154774201?display=MHMVM1YYX&amp;reservation_id=31695154774201", "MHMVM1YYX")</f>
        <v>MHMVM1YYX</v>
      </c>
      <c r="B559" t="s">
        <v>1327</v>
      </c>
      <c r="C559">
        <v>556</v>
      </c>
      <c r="D559">
        <v>604.34</v>
      </c>
      <c r="E559">
        <v>604.37</v>
      </c>
      <c r="F559">
        <v>-0.03</v>
      </c>
    </row>
    <row r="560" spans="1:6" x14ac:dyDescent="0.3">
      <c r="A560" t="str">
        <f>HYPERLINK("https://us2.cloudbeds.com/connect/10074733072513#/reservations/31688648581374?display=MHHUDS88E&amp;reservation_id=31688648581374", "MHHUDS88E")</f>
        <v>MHHUDS88E</v>
      </c>
      <c r="B560" t="s">
        <v>1454</v>
      </c>
      <c r="C560">
        <v>436</v>
      </c>
      <c r="D560">
        <v>473.9</v>
      </c>
      <c r="E560">
        <v>473.93</v>
      </c>
      <c r="F560">
        <v>-0.03</v>
      </c>
    </row>
    <row r="561" spans="1:6" x14ac:dyDescent="0.3">
      <c r="A561" t="str">
        <f>HYPERLINK("https://us2.cloudbeds.com/connect/10074733072513#/reservations/31687654834419?display=MHH50TPKB&amp;reservation_id=31687654834419", "MHH50TPKB")</f>
        <v>MHH50TPKB</v>
      </c>
      <c r="B561" t="s">
        <v>1456</v>
      </c>
      <c r="C561">
        <v>330.3</v>
      </c>
      <c r="D561">
        <v>359.01</v>
      </c>
      <c r="E561">
        <v>359.04</v>
      </c>
      <c r="F561">
        <v>-0.03</v>
      </c>
    </row>
    <row r="562" spans="1:6" x14ac:dyDescent="0.3">
      <c r="A562" t="str">
        <f>HYPERLINK("https://us2.cloudbeds.com/connect/10074733072513#/reservations/31688670810250?display=MHHUWJQEZ&amp;reservation_id=31688670810250", "MHHUWJQEZ")</f>
        <v>MHHUWJQEZ</v>
      </c>
      <c r="B562" t="s">
        <v>1458</v>
      </c>
      <c r="C562">
        <v>316</v>
      </c>
      <c r="D562">
        <v>343.46</v>
      </c>
      <c r="E562">
        <v>343.49</v>
      </c>
      <c r="F562">
        <v>-0.03</v>
      </c>
    </row>
    <row r="563" spans="1:6" x14ac:dyDescent="0.3">
      <c r="A563" t="str">
        <f>HYPERLINK("https://us2.cloudbeds.com/connect/10074733072513#/reservations/31694701961414?display=MHMK37FK7&amp;reservation_id=31694701961414", "MHMK37FK7")</f>
        <v>MHMK37FK7</v>
      </c>
      <c r="B563" t="s">
        <v>1466</v>
      </c>
      <c r="C563">
        <v>316</v>
      </c>
      <c r="D563">
        <v>343.46</v>
      </c>
      <c r="E563">
        <v>343.49</v>
      </c>
      <c r="F563">
        <v>-0.03</v>
      </c>
    </row>
    <row r="564" spans="1:6" x14ac:dyDescent="0.3">
      <c r="A564" t="str">
        <f>HYPERLINK("https://us2.cloudbeds.com/connect/10074733072513#/reservations/31690718220426?display=MHJHA108B&amp;reservation_id=31690718220426", "MHJHA108B")</f>
        <v>MHJHA108B</v>
      </c>
      <c r="B564" t="s">
        <v>1423</v>
      </c>
      <c r="C564">
        <v>4845</v>
      </c>
      <c r="D564">
        <v>5266.49</v>
      </c>
      <c r="E564">
        <v>5266.52</v>
      </c>
      <c r="F564">
        <v>-0.03</v>
      </c>
    </row>
    <row r="565" spans="1:6" x14ac:dyDescent="0.3">
      <c r="A565" t="str">
        <f>HYPERLINK("https://us2.cloudbeds.com/connect/10074733072513#/reservations/31687369040074?display=MHGUNU46Y&amp;reservation_id=31687369040074", "MHGUNU46Y")</f>
        <v>MHGUNU46Y</v>
      </c>
      <c r="B565" t="s">
        <v>1475</v>
      </c>
      <c r="C565">
        <v>316</v>
      </c>
      <c r="D565">
        <v>343.46</v>
      </c>
      <c r="E565">
        <v>343.49</v>
      </c>
      <c r="F565">
        <v>-0.03</v>
      </c>
    </row>
    <row r="566" spans="1:6" x14ac:dyDescent="0.3">
      <c r="A566" t="str">
        <f>HYPERLINK("https://us2.cloudbeds.com/connect/10074733072513#/reservations/31693294686370?display=MHYH4XW0U&amp;reservation_id=31693294686370", "MHYH4XW0U")</f>
        <v>MHYH4XW0U</v>
      </c>
      <c r="B566" t="s">
        <v>1480</v>
      </c>
      <c r="C566">
        <v>316</v>
      </c>
      <c r="D566">
        <v>343.46</v>
      </c>
      <c r="E566">
        <v>343.49</v>
      </c>
      <c r="F566">
        <v>-0.03</v>
      </c>
    </row>
    <row r="567" spans="1:6" x14ac:dyDescent="0.3">
      <c r="A567" t="str">
        <f>HYPERLINK("https://us2.cloudbeds.com/connect/10074733072513#/reservations/31690450010271?display=MHJAESYUT&amp;reservation_id=31690450010271", "MHJAESYUT")</f>
        <v>MHJAESYUT</v>
      </c>
      <c r="B567" t="s">
        <v>1481</v>
      </c>
      <c r="C567">
        <v>316</v>
      </c>
      <c r="D567">
        <v>343.46</v>
      </c>
      <c r="E567">
        <v>343.49</v>
      </c>
      <c r="F567">
        <v>-0.03</v>
      </c>
    </row>
    <row r="568" spans="1:6" x14ac:dyDescent="0.3">
      <c r="A568" t="str">
        <f>HYPERLINK("https://us2.cloudbeds.com/connect/10074733072513#/reservations/31692457316510?display=MHKSZFUBY&amp;reservation_id=31692457316510", "MHKSZFUBY")</f>
        <v>MHKSZFUBY</v>
      </c>
      <c r="B568" t="s">
        <v>1482</v>
      </c>
      <c r="C568">
        <v>316</v>
      </c>
      <c r="D568">
        <v>343.46</v>
      </c>
      <c r="E568">
        <v>343.49</v>
      </c>
      <c r="F568">
        <v>-0.03</v>
      </c>
    </row>
    <row r="569" spans="1:6" x14ac:dyDescent="0.3">
      <c r="A569" t="str">
        <f>HYPERLINK("https://us2.cloudbeds.com/connect/10074733072513#/reservations/31690591035618?display=MHJE1PTQ8&amp;reservation_id=31690591035618", "MHJE1PTQ8")</f>
        <v>MHJE1PTQ8</v>
      </c>
      <c r="B569" t="s">
        <v>1483</v>
      </c>
      <c r="C569">
        <v>316</v>
      </c>
      <c r="D569">
        <v>343.46</v>
      </c>
      <c r="E569">
        <v>343.49</v>
      </c>
      <c r="F569">
        <v>-0.03</v>
      </c>
    </row>
    <row r="570" spans="1:6" x14ac:dyDescent="0.3">
      <c r="A570" t="str">
        <f>HYPERLINK("https://us2.cloudbeds.com/connect/10074733072513#/reservations/31689352351957?display=MHXFD9N7N&amp;reservation_id=31689352351957", "MHXFD9N7N")</f>
        <v>MHXFD9N7N</v>
      </c>
      <c r="B570" t="s">
        <v>1484</v>
      </c>
      <c r="C570">
        <v>356</v>
      </c>
      <c r="D570">
        <v>386.94</v>
      </c>
      <c r="E570">
        <v>386.97</v>
      </c>
      <c r="F570">
        <v>-0.03</v>
      </c>
    </row>
    <row r="571" spans="1:6" x14ac:dyDescent="0.3">
      <c r="A571" t="str">
        <f>HYPERLINK("https://us2.cloudbeds.com/connect/10074733072513#/reservations/31691085299906?display=MHJQMXHYV&amp;reservation_id=31691085299906", "MHJQMXHYV")</f>
        <v>MHJQMXHYV</v>
      </c>
      <c r="B571" t="s">
        <v>1423</v>
      </c>
      <c r="C571">
        <v>316</v>
      </c>
      <c r="D571">
        <v>343.46</v>
      </c>
      <c r="E571">
        <v>343.49</v>
      </c>
      <c r="F571">
        <v>-0.03</v>
      </c>
    </row>
    <row r="572" spans="1:6" x14ac:dyDescent="0.3">
      <c r="A572" t="str">
        <f>HYPERLINK("https://us2.cloudbeds.com/connect/10074733072513#/reservations/31695754453228?display=MHNDWNK3X&amp;reservation_id=31695754453228", "MHNDWNK3X")</f>
        <v>MHNDWNK3X</v>
      </c>
      <c r="B572" t="s">
        <v>1485</v>
      </c>
      <c r="C572">
        <v>316</v>
      </c>
      <c r="D572">
        <v>343.46</v>
      </c>
      <c r="E572">
        <v>343.49</v>
      </c>
      <c r="F572">
        <v>-0.03</v>
      </c>
    </row>
    <row r="573" spans="1:6" x14ac:dyDescent="0.3">
      <c r="A573" t="str">
        <f>HYPERLINK("https://us2.cloudbeds.com/connect/10074733072513#/reservations/31694919909590?display=MHMPM06MD&amp;reservation_id=31694919909590", "MHMPM06MD")</f>
        <v>MHMPM06MD</v>
      </c>
      <c r="B573" t="s">
        <v>1486</v>
      </c>
      <c r="C573">
        <v>316</v>
      </c>
      <c r="D573">
        <v>343.46</v>
      </c>
      <c r="E573">
        <v>343.49</v>
      </c>
      <c r="F573">
        <v>-0.03</v>
      </c>
    </row>
    <row r="574" spans="1:6" x14ac:dyDescent="0.3">
      <c r="A574" t="str">
        <f>HYPERLINK("https://us2.cloudbeds.com/connect/10074733072513#/reservations/31683377528974?display=MHDRZ5EZR&amp;reservation_id=31683377528974", "MHDRZ5EZR")</f>
        <v>MHDRZ5EZR</v>
      </c>
      <c r="B574" t="s">
        <v>1487</v>
      </c>
      <c r="C574">
        <v>316</v>
      </c>
      <c r="D574">
        <v>343.46</v>
      </c>
      <c r="E574">
        <v>343.49</v>
      </c>
      <c r="F574">
        <v>-0.03</v>
      </c>
    </row>
    <row r="575" spans="1:6" x14ac:dyDescent="0.3">
      <c r="A575" t="str">
        <f>HYPERLINK("https://us2.cloudbeds.com/connect/10074733072513#/reservations/31688268820625?display=MHHKNKRVV&amp;reservation_id=31688268820625", "MHHKNKRVV")</f>
        <v>MHHKNKRVV</v>
      </c>
      <c r="B575" t="s">
        <v>1489</v>
      </c>
      <c r="C575">
        <v>316</v>
      </c>
      <c r="D575">
        <v>343.46</v>
      </c>
      <c r="E575">
        <v>343.49</v>
      </c>
      <c r="F575">
        <v>-0.03</v>
      </c>
    </row>
    <row r="576" spans="1:6" x14ac:dyDescent="0.3">
      <c r="A576" t="str">
        <f>HYPERLINK("https://us2.cloudbeds.com/connect/10074733072513#/reservations/31694155952291?display=MHM64QVR7&amp;reservation_id=31694155952291", "MHM64QVR7")</f>
        <v>MHM64QVR7</v>
      </c>
      <c r="B576" t="s">
        <v>1490</v>
      </c>
      <c r="C576">
        <v>316</v>
      </c>
      <c r="D576">
        <v>343.46</v>
      </c>
      <c r="E576">
        <v>343.49</v>
      </c>
      <c r="F576">
        <v>-0.03</v>
      </c>
    </row>
    <row r="577" spans="1:6" x14ac:dyDescent="0.3">
      <c r="A577" t="str">
        <f>HYPERLINK("https://us2.cloudbeds.com/connect/10074733072513#/reservations/31687434141857?display=MHGWCQMEV&amp;reservation_id=31687434141857", "MHGWCQMEV")</f>
        <v>MHGWCQMEV</v>
      </c>
      <c r="B577" t="s">
        <v>1487</v>
      </c>
      <c r="C577">
        <v>356</v>
      </c>
      <c r="D577">
        <v>386.94</v>
      </c>
      <c r="E577">
        <v>386.97</v>
      </c>
      <c r="F577">
        <v>-0.03</v>
      </c>
    </row>
    <row r="578" spans="1:6" x14ac:dyDescent="0.3">
      <c r="A578" t="str">
        <f>HYPERLINK("https://us2.cloudbeds.com/connect/10074733072513#/reservations/31695674962166?display=MHNBVMYXG&amp;reservation_id=31695674962166", "MHNBVMYXG")</f>
        <v>MHNBVMYXG</v>
      </c>
      <c r="B578" t="s">
        <v>1491</v>
      </c>
      <c r="C578">
        <v>316</v>
      </c>
      <c r="D578">
        <v>343.46</v>
      </c>
      <c r="E578">
        <v>343.49</v>
      </c>
      <c r="F578">
        <v>-0.03</v>
      </c>
    </row>
    <row r="579" spans="1:6" x14ac:dyDescent="0.3">
      <c r="A579" t="str">
        <f>HYPERLINK("https://us2.cloudbeds.com/connect/10074733072513#/reservations/31694484271325?display=MHMEHYUHS&amp;reservation_id=31694484271325", "MHMEHYUHS")</f>
        <v>MHMEHYUHS</v>
      </c>
      <c r="B579" t="s">
        <v>1492</v>
      </c>
      <c r="C579">
        <v>716</v>
      </c>
      <c r="D579">
        <v>778.26</v>
      </c>
      <c r="E579">
        <v>778.29</v>
      </c>
      <c r="F579">
        <v>-0.03</v>
      </c>
    </row>
    <row r="580" spans="1:6" x14ac:dyDescent="0.3">
      <c r="A580" t="str">
        <f>HYPERLINK("https://us2.cloudbeds.com/connect/10074733072513#/reservations/31694498316424?display=MHMETGZPU&amp;reservation_id=31694498316424", "MHMETGZPU")</f>
        <v>MHMETGZPU</v>
      </c>
      <c r="B580" t="s">
        <v>1492</v>
      </c>
      <c r="C580">
        <v>716</v>
      </c>
      <c r="D580">
        <v>778.26</v>
      </c>
      <c r="E580">
        <v>778.29</v>
      </c>
      <c r="F580">
        <v>-0.03</v>
      </c>
    </row>
    <row r="581" spans="1:6" x14ac:dyDescent="0.3">
      <c r="A581" t="str">
        <f>HYPERLINK("https://us2.cloudbeds.com/connect/10074733072513#/reservations/31695027695761?display=MHMSDTGT0&amp;reservation_id=31695027695761", "MHMSDTGT0")</f>
        <v>MHMSDTGT0</v>
      </c>
      <c r="B581" t="s">
        <v>1489</v>
      </c>
      <c r="C581">
        <v>356</v>
      </c>
      <c r="D581">
        <v>386.94</v>
      </c>
      <c r="E581">
        <v>386.97</v>
      </c>
      <c r="F581">
        <v>-0.03</v>
      </c>
    </row>
    <row r="582" spans="1:6" x14ac:dyDescent="0.3">
      <c r="A582" t="str">
        <f>HYPERLINK("https://us2.cloudbeds.com/connect/10074733072513#/reservations/31694844326089?display=MHMNZ8WB9&amp;reservation_id=31694844326089", "MHMNZ8WB9")</f>
        <v>MHMNZ8WB9</v>
      </c>
      <c r="B582" t="s">
        <v>1474</v>
      </c>
      <c r="C582">
        <v>219</v>
      </c>
      <c r="D582">
        <v>238.02</v>
      </c>
      <c r="E582">
        <v>238.05</v>
      </c>
      <c r="F582">
        <v>-0.03</v>
      </c>
    </row>
    <row r="583" spans="1:6" x14ac:dyDescent="0.3">
      <c r="A583" t="str">
        <f>HYPERLINK("https://us2.cloudbeds.com/connect/10074733072513#/reservations/31688772993171?display=MHX0JP6AT&amp;reservation_id=31688772993171", "MHX0JP6AT")</f>
        <v>MHX0JP6AT</v>
      </c>
      <c r="B583" t="s">
        <v>1500</v>
      </c>
      <c r="C583">
        <v>396</v>
      </c>
      <c r="D583">
        <v>430.42</v>
      </c>
      <c r="E583">
        <v>430.45</v>
      </c>
      <c r="F583">
        <v>-0.03</v>
      </c>
    </row>
    <row r="584" spans="1:6" x14ac:dyDescent="0.3">
      <c r="A584" t="str">
        <f>HYPERLINK("https://us2.cloudbeds.com/connect/10074733072513#/reservations/31694338801822?display=MHMAR00Z3&amp;reservation_id=31694338801822", "MHMAR00Z3")</f>
        <v>MHMAR00Z3</v>
      </c>
      <c r="B584" t="s">
        <v>1470</v>
      </c>
      <c r="C584">
        <v>516</v>
      </c>
      <c r="D584">
        <v>560.86</v>
      </c>
      <c r="E584">
        <v>560.89</v>
      </c>
      <c r="F584">
        <v>-0.03</v>
      </c>
    </row>
    <row r="585" spans="1:6" x14ac:dyDescent="0.3">
      <c r="A585" t="str">
        <f>HYPERLINK("https://us2.cloudbeds.com/connect/10074733072513#/reservations/31694755889345?display=MHMYFN36V&amp;reservation_id=31694755889345", "MHMYFN36V")</f>
        <v>MHMYFN36V</v>
      </c>
      <c r="B585" t="s">
        <v>1497</v>
      </c>
      <c r="C585">
        <v>576</v>
      </c>
      <c r="D585">
        <v>626.08000000000004</v>
      </c>
      <c r="E585">
        <v>626.11</v>
      </c>
      <c r="F585">
        <v>-0.03</v>
      </c>
    </row>
    <row r="586" spans="1:6" x14ac:dyDescent="0.3">
      <c r="A586" t="str">
        <f>HYPERLINK("https://us2.cloudbeds.com/connect/10074733072513#/reservations/31694903652487?display=MHMP89R6U&amp;reservation_id=31694903652487", "MHMP89R6U")</f>
        <v>MHMP89R6U</v>
      </c>
      <c r="B586" t="s">
        <v>1486</v>
      </c>
      <c r="C586">
        <v>356</v>
      </c>
      <c r="D586">
        <v>386.94</v>
      </c>
      <c r="E586">
        <v>386.97</v>
      </c>
      <c r="F586">
        <v>-0.03</v>
      </c>
    </row>
    <row r="587" spans="1:6" x14ac:dyDescent="0.3">
      <c r="A587" t="str">
        <f>HYPERLINK("https://us2.cloudbeds.com/connect/10074733072513#/reservations/31692517826738?display=MHKU9GN9V&amp;reservation_id=31692517826738", "MHKU9GN9V")</f>
        <v>MHKU9GN9V</v>
      </c>
      <c r="B587" t="s">
        <v>1486</v>
      </c>
      <c r="C587">
        <v>436</v>
      </c>
      <c r="D587">
        <v>473.9</v>
      </c>
      <c r="E587">
        <v>473.93</v>
      </c>
      <c r="F587">
        <v>-0.03</v>
      </c>
    </row>
    <row r="588" spans="1:6" x14ac:dyDescent="0.3">
      <c r="A588" t="str">
        <f>HYPERLINK("https://us2.cloudbeds.com/connect/10074733072513#/reservations/31734515273944?display=MXKEDSJ89&amp;reservation_id=31734515273944", "MXKEDSJ89")</f>
        <v>MXKEDSJ89</v>
      </c>
      <c r="B588" t="s">
        <v>1510</v>
      </c>
      <c r="C588">
        <v>219</v>
      </c>
      <c r="D588">
        <v>238.02</v>
      </c>
      <c r="E588">
        <v>238.05</v>
      </c>
      <c r="F588">
        <v>-0.03</v>
      </c>
    </row>
    <row r="589" spans="1:6" x14ac:dyDescent="0.3">
      <c r="A589" t="str">
        <f>HYPERLINK("https://us2.cloudbeds.com/connect/10074733072513#/reservations/31688238125243?display=MHHJUZN6S&amp;reservation_id=31688238125243", "MHHJUZN6S")</f>
        <v>MHHJUZN6S</v>
      </c>
      <c r="B589" t="s">
        <v>1514</v>
      </c>
      <c r="C589">
        <v>436</v>
      </c>
      <c r="D589">
        <v>473.9</v>
      </c>
      <c r="E589">
        <v>473.93</v>
      </c>
      <c r="F589">
        <v>-0.03</v>
      </c>
    </row>
    <row r="590" spans="1:6" x14ac:dyDescent="0.3">
      <c r="A590" t="str">
        <f>HYPERLINK("https://us2.cloudbeds.com/connect/10074733072513#/reservations/31723337355453?display=MXBPQBH9H&amp;reservation_id=31723337355453", "MXBPQBH9H")</f>
        <v>MXBPQBH9H</v>
      </c>
      <c r="B590" t="s">
        <v>1517</v>
      </c>
      <c r="C590">
        <v>219</v>
      </c>
      <c r="D590">
        <v>238.02</v>
      </c>
      <c r="E590">
        <v>238.05</v>
      </c>
      <c r="F590">
        <v>-0.03</v>
      </c>
    </row>
    <row r="591" spans="1:6" x14ac:dyDescent="0.3">
      <c r="A591" t="str">
        <f>HYPERLINK("https://us2.cloudbeds.com/connect/10074733072513#/reservations/31730335928539?display=MXH6KZ4GR&amp;reservation_id=31730335928539", "MXH6KZ4GR")</f>
        <v>MXH6KZ4GR</v>
      </c>
      <c r="B591" t="s">
        <v>1519</v>
      </c>
      <c r="C591">
        <v>796</v>
      </c>
      <c r="D591">
        <v>865.22</v>
      </c>
      <c r="E591">
        <v>865.25</v>
      </c>
      <c r="F591">
        <v>-0.03</v>
      </c>
    </row>
    <row r="592" spans="1:6" x14ac:dyDescent="0.3">
      <c r="A592" t="str">
        <f>HYPERLINK("https://us2.cloudbeds.com/connect/10074733072513#/reservations/31693456699528?display=MHYY967EX&amp;reservation_id=31693456699528", "MHYY967EX")</f>
        <v>MHYY967EX</v>
      </c>
      <c r="B592" t="s">
        <v>1525</v>
      </c>
      <c r="C592">
        <v>564</v>
      </c>
      <c r="D592">
        <v>613.04</v>
      </c>
      <c r="E592">
        <v>613.07000000000005</v>
      </c>
      <c r="F592">
        <v>-0.03</v>
      </c>
    </row>
    <row r="593" spans="1:6" x14ac:dyDescent="0.3">
      <c r="A593" t="str">
        <f>HYPERLINK("https://us2.cloudbeds.com/connect/10074733072513#/reservations/31691312017569?display=MHJWFZ9H5&amp;reservation_id=31691312017569", "MHJWFZ9H5")</f>
        <v>MHJWFZ9H5</v>
      </c>
      <c r="B593" t="s">
        <v>1534</v>
      </c>
      <c r="C593">
        <v>536.4</v>
      </c>
      <c r="D593">
        <v>583.04</v>
      </c>
      <c r="E593">
        <v>583.07000000000005</v>
      </c>
      <c r="F593">
        <v>-0.03</v>
      </c>
    </row>
    <row r="594" spans="1:6" x14ac:dyDescent="0.3">
      <c r="A594" t="str">
        <f>HYPERLINK("https://us2.cloudbeds.com/connect/10074733072513#/reservations/31730888933536?display=MXHKP1AE0&amp;reservation_id=31730888933536", "MXHKP1AE0")</f>
        <v>MXHKP1AE0</v>
      </c>
      <c r="B594" t="s">
        <v>1537</v>
      </c>
      <c r="C594">
        <v>510.3</v>
      </c>
      <c r="D594">
        <v>554.66999999999996</v>
      </c>
      <c r="E594">
        <v>554.70000000000005</v>
      </c>
      <c r="F594">
        <v>-0.03</v>
      </c>
    </row>
    <row r="595" spans="1:6" x14ac:dyDescent="0.3">
      <c r="A595" t="str">
        <f>HYPERLINK("https://us2.cloudbeds.com/connect/10074733072513#/reservations/31694488125621?display=MHMEKU5RN&amp;reservation_id=31694488125621", "MHMEKU5RN")</f>
        <v>MHMEKU5RN</v>
      </c>
      <c r="B595" t="s">
        <v>1535</v>
      </c>
      <c r="C595">
        <v>437.6</v>
      </c>
      <c r="D595">
        <v>475.64</v>
      </c>
      <c r="E595">
        <v>475.67</v>
      </c>
      <c r="F595">
        <v>-0.03</v>
      </c>
    </row>
    <row r="596" spans="1:6" x14ac:dyDescent="0.3">
      <c r="A596" t="str">
        <f>HYPERLINK("https://us2.cloudbeds.com/connect/10074733072513#/reservations/31730286018787?display=MXH5BYAN3&amp;reservation_id=31730286018787", "MXH5BYAN3")</f>
        <v>MXH5BYAN3</v>
      </c>
      <c r="B596" t="s">
        <v>1547</v>
      </c>
      <c r="C596">
        <v>676</v>
      </c>
      <c r="D596">
        <v>734.78</v>
      </c>
      <c r="E596">
        <v>734.81</v>
      </c>
      <c r="F596">
        <v>-0.03</v>
      </c>
    </row>
    <row r="597" spans="1:6" x14ac:dyDescent="0.3">
      <c r="A597" t="str">
        <f>HYPERLINK("https://us2.cloudbeds.com/connect/10074733072513#/reservations/31694121328776?display=MHM58KGVP&amp;reservation_id=31694121328776", "MHM58KGVP")</f>
        <v>MHM58KGVP</v>
      </c>
      <c r="B597" t="s">
        <v>1490</v>
      </c>
      <c r="C597">
        <v>476</v>
      </c>
      <c r="D597">
        <v>517.38</v>
      </c>
      <c r="E597">
        <v>517.41</v>
      </c>
      <c r="F597">
        <v>-0.03</v>
      </c>
    </row>
    <row r="598" spans="1:6" x14ac:dyDescent="0.3">
      <c r="A598" t="str">
        <f>HYPERLINK("https://us2.cloudbeds.com/connect/10074733072513#/reservations/31695636209796?display=MHNAW0A98&amp;reservation_id=31695636209796", "MHNAW0A98")</f>
        <v>MHNAW0A98</v>
      </c>
      <c r="B598" t="s">
        <v>1457</v>
      </c>
      <c r="C598">
        <v>510.3</v>
      </c>
      <c r="D598">
        <v>554.66999999999996</v>
      </c>
      <c r="E598">
        <v>554.70000000000005</v>
      </c>
      <c r="F598">
        <v>-0.03</v>
      </c>
    </row>
    <row r="599" spans="1:6" x14ac:dyDescent="0.3">
      <c r="A599" t="str">
        <f>HYPERLINK("https://us2.cloudbeds.com/connect/10074733072513#/reservations/31735821815940?display=MXYEQJ1AW&amp;reservation_id=31735821815940", "MXYEQJ1AW")</f>
        <v>MXYEQJ1AW</v>
      </c>
      <c r="B599" t="s">
        <v>1401</v>
      </c>
      <c r="C599">
        <v>636</v>
      </c>
      <c r="D599">
        <v>691.3</v>
      </c>
      <c r="E599">
        <v>691.33</v>
      </c>
      <c r="F599">
        <v>-0.03</v>
      </c>
    </row>
    <row r="600" spans="1:6" x14ac:dyDescent="0.3">
      <c r="A600" t="str">
        <f>HYPERLINK("https://us2.cloudbeds.com/connect/10074733072513#/reservations/31691586257088?display=MHK6FW9ZE&amp;reservation_id=31691586257088", "MHK6FW9ZE")</f>
        <v>MHK6FW9ZE</v>
      </c>
      <c r="B600" t="s">
        <v>1484</v>
      </c>
      <c r="C600">
        <v>595</v>
      </c>
      <c r="D600">
        <v>646.74</v>
      </c>
      <c r="E600">
        <v>646.77</v>
      </c>
      <c r="F600">
        <v>-0.03</v>
      </c>
    </row>
    <row r="601" spans="1:6" x14ac:dyDescent="0.3">
      <c r="A601" t="str">
        <f>HYPERLINK("https://us2.cloudbeds.com/connect/10074733072513#/reservations/31726244745363?display=MXE12UUR2&amp;reservation_id=31726244745363", "MXE12UUR2")</f>
        <v>MXE12UUR2</v>
      </c>
      <c r="B601" t="s">
        <v>1566</v>
      </c>
      <c r="C601">
        <v>716</v>
      </c>
      <c r="D601">
        <v>778.26</v>
      </c>
      <c r="E601">
        <v>778.29</v>
      </c>
      <c r="F601">
        <v>-0.03</v>
      </c>
    </row>
    <row r="602" spans="1:6" x14ac:dyDescent="0.3">
      <c r="A602" t="str">
        <f>HYPERLINK("https://us2.cloudbeds.com/connect/10074733072513#/reservations/31693027160280?display=MHYA9WYSN&amp;reservation_id=31693027160280", "MHYA9WYSN")</f>
        <v>MHYA9WYSN</v>
      </c>
      <c r="B602" t="s">
        <v>1480</v>
      </c>
      <c r="C602">
        <v>476</v>
      </c>
      <c r="D602">
        <v>517.38</v>
      </c>
      <c r="E602">
        <v>517.41</v>
      </c>
      <c r="F602">
        <v>-0.03</v>
      </c>
    </row>
    <row r="603" spans="1:6" x14ac:dyDescent="0.3">
      <c r="A603" t="str">
        <f>HYPERLINK("https://us2.cloudbeds.com/connect/10074733072513#/reservations/31690562855067?display=MHJDB0ZB5&amp;reservation_id=31690562855067", "MHJDB0ZB5")</f>
        <v>MHJDB0ZB5</v>
      </c>
      <c r="B603" t="s">
        <v>1567</v>
      </c>
      <c r="C603">
        <v>476</v>
      </c>
      <c r="D603">
        <v>517.38</v>
      </c>
      <c r="E603">
        <v>517.41</v>
      </c>
      <c r="F603">
        <v>-0.03</v>
      </c>
    </row>
    <row r="604" spans="1:6" x14ac:dyDescent="0.3">
      <c r="A604" t="str">
        <f>HYPERLINK("https://us2.cloudbeds.com/connect/10074733072513#/reservations/31735785013384?display=MXYDSHVH0&amp;reservation_id=31735785013384", "MXYDSHVH0")</f>
        <v>MXYDSHVH0</v>
      </c>
      <c r="B604" t="s">
        <v>1401</v>
      </c>
      <c r="C604">
        <v>510.3</v>
      </c>
      <c r="D604">
        <v>554.66999999999996</v>
      </c>
      <c r="E604">
        <v>554.70000000000005</v>
      </c>
      <c r="F604">
        <v>-0.03</v>
      </c>
    </row>
    <row r="605" spans="1:6" x14ac:dyDescent="0.3">
      <c r="A605" t="str">
        <f>HYPERLINK("https://us2.cloudbeds.com/connect/10074733072513#/reservations/31730640425183?display=MXHEDG6ZS&amp;reservation_id=31730640425183", "MXHEDG6ZS")</f>
        <v>MXHEDG6ZS</v>
      </c>
      <c r="B605" t="s">
        <v>1573</v>
      </c>
      <c r="C605">
        <v>1016</v>
      </c>
      <c r="D605">
        <v>1104.3599999999999</v>
      </c>
      <c r="E605">
        <v>1104.3900000000001</v>
      </c>
      <c r="F605">
        <v>-0.03</v>
      </c>
    </row>
    <row r="606" spans="1:6" x14ac:dyDescent="0.3">
      <c r="A606" t="str">
        <f>HYPERLINK("https://us2.cloudbeds.com/connect/10074733072513#/reservations/31736195895476?display=MXYZC0BNG&amp;reservation_id=31736195895476", "MXYZC0BNG")</f>
        <v>MXYZC0BNG</v>
      </c>
      <c r="B606" t="s">
        <v>1564</v>
      </c>
      <c r="C606">
        <v>716</v>
      </c>
      <c r="D606">
        <v>778.26</v>
      </c>
      <c r="E606">
        <v>778.29</v>
      </c>
      <c r="F606">
        <v>-0.03</v>
      </c>
    </row>
    <row r="607" spans="1:6" x14ac:dyDescent="0.3">
      <c r="A607" t="str">
        <f>HYPERLINK("https://us2.cloudbeds.com/connect/10074733072513#/reservations/31691097362598?display=MHJQWZ6H2&amp;reservation_id=31691097362598", "MHJQWZ6H2")</f>
        <v>MHJQWZ6H2</v>
      </c>
      <c r="B607" t="s">
        <v>1485</v>
      </c>
      <c r="C607">
        <v>219</v>
      </c>
      <c r="D607">
        <v>238.02</v>
      </c>
      <c r="E607">
        <v>238.05</v>
      </c>
      <c r="F607">
        <v>-0.03</v>
      </c>
    </row>
    <row r="608" spans="1:6" x14ac:dyDescent="0.3">
      <c r="A608" t="str">
        <f>HYPERLINK("https://us2.cloudbeds.com/connect/10074733072513#/reservations/31729432051914?display=MXGGHXEE2&amp;reservation_id=31729432051914", "MXGGHXEE2")</f>
        <v>MXGGHXEE2</v>
      </c>
      <c r="B608" t="s">
        <v>1566</v>
      </c>
      <c r="C608">
        <v>536</v>
      </c>
      <c r="D608">
        <v>582.6</v>
      </c>
      <c r="E608">
        <v>582.63</v>
      </c>
      <c r="F608">
        <v>-0.03</v>
      </c>
    </row>
    <row r="609" spans="1:6" x14ac:dyDescent="0.3">
      <c r="A609" t="str">
        <f>HYPERLINK("https://us2.cloudbeds.com/connect/10074733072513#/reservations/31690278781083?display=MHJ62FVMK&amp;reservation_id=31690278781083", "MHJ62FVMK")</f>
        <v>MHJ62FVMK</v>
      </c>
      <c r="B609" t="s">
        <v>1520</v>
      </c>
      <c r="C609">
        <v>283.5</v>
      </c>
      <c r="D609">
        <v>308.13</v>
      </c>
      <c r="E609">
        <v>308.16000000000003</v>
      </c>
      <c r="F609">
        <v>-0.03</v>
      </c>
    </row>
    <row r="610" spans="1:6" x14ac:dyDescent="0.3">
      <c r="A610" t="str">
        <f>HYPERLINK("https://us2.cloudbeds.com/connect/10074733072513#/reservations/31731959685305?display=MXXF3UXXA&amp;reservation_id=31731959685305", "MXXF3UXXA")</f>
        <v>MXXF3UXXA</v>
      </c>
      <c r="B610" t="s">
        <v>1577</v>
      </c>
      <c r="C610">
        <v>716</v>
      </c>
      <c r="D610">
        <v>778.26</v>
      </c>
      <c r="E610">
        <v>778.29</v>
      </c>
      <c r="F610">
        <v>-0.03</v>
      </c>
    </row>
    <row r="611" spans="1:6" x14ac:dyDescent="0.3">
      <c r="A611" t="str">
        <f>HYPERLINK("https://us2.cloudbeds.com/connect/10074733072513#/reservations/31691618595044?display=MHK7A88HM&amp;reservation_id=31691618595044", "MHK7A88HM")</f>
        <v>MHK7A88HM</v>
      </c>
      <c r="B611" t="s">
        <v>1484</v>
      </c>
      <c r="C611">
        <v>495.3</v>
      </c>
      <c r="D611">
        <v>538.36</v>
      </c>
      <c r="E611">
        <v>538.39</v>
      </c>
      <c r="F611">
        <v>-0.03</v>
      </c>
    </row>
    <row r="612" spans="1:6" x14ac:dyDescent="0.3">
      <c r="A612" t="str">
        <f>HYPERLINK("https://us2.cloudbeds.com/connect/10074733072513#/reservations/31694730305675?display=MHMKR46D7&amp;reservation_id=31694730305675", "MHMKR46D7")</f>
        <v>MHMKR46D7</v>
      </c>
      <c r="B612" t="s">
        <v>1576</v>
      </c>
      <c r="C612">
        <v>510.3</v>
      </c>
      <c r="D612">
        <v>554.66999999999996</v>
      </c>
      <c r="E612">
        <v>554.70000000000005</v>
      </c>
      <c r="F612">
        <v>-0.03</v>
      </c>
    </row>
    <row r="613" spans="1:6" x14ac:dyDescent="0.3">
      <c r="A613" t="str">
        <f>HYPERLINK("https://us2.cloudbeds.com/connect/10074733072513#/reservations/31731781734579?display=MXXAXSR32&amp;reservation_id=31731781734579", "MXXAXSR32")</f>
        <v>MXXAXSR32</v>
      </c>
      <c r="B613" t="s">
        <v>1344</v>
      </c>
      <c r="C613">
        <v>510.3</v>
      </c>
      <c r="D613">
        <v>554.66999999999996</v>
      </c>
      <c r="E613">
        <v>554.70000000000005</v>
      </c>
      <c r="F613">
        <v>-0.03</v>
      </c>
    </row>
    <row r="614" spans="1:6" x14ac:dyDescent="0.3">
      <c r="A614" t="str">
        <f>HYPERLINK("https://us2.cloudbeds.com/connect/10074733072513#/reservations/31734004998339?display=MXK1CJDK5&amp;reservation_id=31734004998339", "MXK1CJDK5")</f>
        <v>MXK1CJDK5</v>
      </c>
      <c r="B614" t="s">
        <v>1344</v>
      </c>
      <c r="C614">
        <v>510.3</v>
      </c>
      <c r="D614">
        <v>554.66999999999996</v>
      </c>
      <c r="E614">
        <v>554.70000000000005</v>
      </c>
      <c r="F614">
        <v>-0.03</v>
      </c>
    </row>
    <row r="615" spans="1:6" x14ac:dyDescent="0.3">
      <c r="A615" t="str">
        <f>HYPERLINK("https://us2.cloudbeds.com/connect/10074733072513#/reservations/31694335807622?display=MHMAZFN7P&amp;reservation_id=31694335807622", "MHMAZFN7P")</f>
        <v>MHMAZFN7P</v>
      </c>
      <c r="B615" t="s">
        <v>1441</v>
      </c>
      <c r="C615">
        <v>356</v>
      </c>
      <c r="D615">
        <v>386.94</v>
      </c>
      <c r="E615">
        <v>386.97</v>
      </c>
      <c r="F615">
        <v>-0.03</v>
      </c>
    </row>
    <row r="616" spans="1:6" x14ac:dyDescent="0.3">
      <c r="A616" t="str">
        <f>HYPERLINK("https://us2.cloudbeds.com/connect/10074733072513#/reservations/31734615154845?display=MXKGW2U88&amp;reservation_id=31734615154845", "MXKGW2U88")</f>
        <v>MXKGW2U88</v>
      </c>
      <c r="B616" t="s">
        <v>1553</v>
      </c>
      <c r="C616">
        <v>510.3</v>
      </c>
      <c r="D616">
        <v>554.66999999999996</v>
      </c>
      <c r="E616">
        <v>554.70000000000005</v>
      </c>
      <c r="F616">
        <v>-0.03</v>
      </c>
    </row>
    <row r="617" spans="1:6" x14ac:dyDescent="0.3">
      <c r="A617" t="str">
        <f>HYPERLINK("https://us2.cloudbeds.com/connect/10074733072513#/reservations/31692657168518?display=MHY0S0364&amp;reservation_id=31692657168518", "MHY0S0364")</f>
        <v>MHY0S0364</v>
      </c>
      <c r="B617" t="s">
        <v>1583</v>
      </c>
      <c r="C617">
        <v>356</v>
      </c>
      <c r="D617">
        <v>386.94</v>
      </c>
      <c r="E617">
        <v>386.97</v>
      </c>
      <c r="F617">
        <v>-0.03</v>
      </c>
    </row>
    <row r="618" spans="1:6" x14ac:dyDescent="0.3">
      <c r="A618" t="str">
        <f>HYPERLINK("https://us2.cloudbeds.com/connect/10074733072513#/reservations/31687736004842?display=MHH73BF94&amp;reservation_id=31687736004842", "MHH73BF94")</f>
        <v>MHH73BF94</v>
      </c>
      <c r="B618" t="s">
        <v>1598</v>
      </c>
      <c r="C618">
        <v>356</v>
      </c>
      <c r="D618">
        <v>386.94</v>
      </c>
      <c r="E618">
        <v>386.97</v>
      </c>
      <c r="F618">
        <v>-0.03</v>
      </c>
    </row>
    <row r="619" spans="1:6" x14ac:dyDescent="0.3">
      <c r="A619" t="str">
        <f>HYPERLINK("https://us2.cloudbeds.com/connect/10074733072513#/reservations/31691439882459?display=MHK2ZXAFP&amp;reservation_id=31691439882459", "MHK2ZXAFP")</f>
        <v>MHK2ZXAFP</v>
      </c>
      <c r="B619" t="s">
        <v>1563</v>
      </c>
      <c r="C619">
        <v>556</v>
      </c>
      <c r="D619">
        <v>604.34</v>
      </c>
      <c r="E619">
        <v>604.37</v>
      </c>
      <c r="F619">
        <v>-0.03</v>
      </c>
    </row>
    <row r="620" spans="1:6" x14ac:dyDescent="0.3">
      <c r="A620" t="str">
        <f>HYPERLINK("https://us2.cloudbeds.com/connect/10074733072513#/reservations/31691961196752?display=MHKG24YYK&amp;reservation_id=31691961196752", "MHKG24YYK")</f>
        <v>MHKG24YYK</v>
      </c>
      <c r="B620" t="s">
        <v>1557</v>
      </c>
      <c r="C620">
        <v>219</v>
      </c>
      <c r="D620">
        <v>238.02</v>
      </c>
      <c r="E620">
        <v>238.05</v>
      </c>
      <c r="F620">
        <v>-0.03</v>
      </c>
    </row>
    <row r="621" spans="1:6" x14ac:dyDescent="0.3">
      <c r="A621" t="str">
        <f>HYPERLINK("https://us2.cloudbeds.com/connect/10074733072513#/reservations/31731724460249?display=MXX93J2JA&amp;reservation_id=31731724460249", "MXX93J2JA")</f>
        <v>MXX93J2JA</v>
      </c>
      <c r="B621" t="s">
        <v>1603</v>
      </c>
      <c r="C621">
        <v>356</v>
      </c>
      <c r="D621">
        <v>386.94</v>
      </c>
      <c r="E621">
        <v>386.97</v>
      </c>
      <c r="F621">
        <v>-0.03</v>
      </c>
    </row>
    <row r="622" spans="1:6" x14ac:dyDescent="0.3">
      <c r="A622" t="str">
        <f>HYPERLINK("https://us2.cloudbeds.com/connect/10074733072513#/reservations/31729979502822?display=MXGUH625H&amp;reservation_id=31729979502822", "MXGUH625H")</f>
        <v>MXGUH625H</v>
      </c>
      <c r="B622" t="s">
        <v>1607</v>
      </c>
      <c r="C622">
        <v>596</v>
      </c>
      <c r="D622">
        <v>647.82000000000005</v>
      </c>
      <c r="E622">
        <v>647.85</v>
      </c>
      <c r="F622">
        <v>-0.03</v>
      </c>
    </row>
    <row r="623" spans="1:6" x14ac:dyDescent="0.3">
      <c r="A623" t="str">
        <f>HYPERLINK("https://us2.cloudbeds.com/connect/10074733072513#/reservations/31735392534773?display=MXY3RJYZP&amp;reservation_id=31735392534773", "MXY3RJYZP")</f>
        <v>MXY3RJYZP</v>
      </c>
      <c r="B623" t="s">
        <v>1603</v>
      </c>
      <c r="C623">
        <v>219</v>
      </c>
      <c r="D623">
        <v>238.02</v>
      </c>
      <c r="E623">
        <v>238.05</v>
      </c>
      <c r="F623">
        <v>-0.03</v>
      </c>
    </row>
    <row r="624" spans="1:6" x14ac:dyDescent="0.3">
      <c r="A624" t="str">
        <f>HYPERLINK("https://us2.cloudbeds.com/connect/10074733072513#/reservations/31735949480136?display=MXYX27FWW&amp;reservation_id=31735949480136", "MXYX27FWW")</f>
        <v>MXYX27FWW</v>
      </c>
      <c r="B624" t="s">
        <v>1449</v>
      </c>
      <c r="C624">
        <v>516</v>
      </c>
      <c r="D624">
        <v>560.86</v>
      </c>
      <c r="E624">
        <v>560.89</v>
      </c>
      <c r="F624">
        <v>-0.03</v>
      </c>
    </row>
    <row r="625" spans="1:6" x14ac:dyDescent="0.3">
      <c r="A625" t="str">
        <f>HYPERLINK("https://us2.cloudbeds.com/connect/10074733072513#/reservations/31734345539836?display=MXKA2ZFTF&amp;reservation_id=31734345539836", "MXKA2ZFTF")</f>
        <v>MXKA2ZFTF</v>
      </c>
      <c r="B625" t="s">
        <v>1478</v>
      </c>
      <c r="C625">
        <v>356</v>
      </c>
      <c r="D625">
        <v>386.94</v>
      </c>
      <c r="E625">
        <v>386.97</v>
      </c>
      <c r="F625">
        <v>-0.03</v>
      </c>
    </row>
    <row r="626" spans="1:6" x14ac:dyDescent="0.3">
      <c r="A626" t="str">
        <f>HYPERLINK("https://us2.cloudbeds.com/connect/10074733072513#/reservations/31736072982711?display=MXYY7C458&amp;reservation_id=31736072982711", "MXYY7C458")</f>
        <v>MXYY7C458</v>
      </c>
      <c r="B626" t="s">
        <v>1590</v>
      </c>
      <c r="C626">
        <v>516</v>
      </c>
      <c r="D626">
        <v>560.86</v>
      </c>
      <c r="E626">
        <v>560.89</v>
      </c>
      <c r="F626">
        <v>-0.03</v>
      </c>
    </row>
    <row r="627" spans="1:6" x14ac:dyDescent="0.3">
      <c r="A627" t="str">
        <f>HYPERLINK("https://us2.cloudbeds.com/connect/10074733072513#/reservations/31736149704919?display=MXYN6214Y&amp;reservation_id=31736149704919", "MXYN6214Y")</f>
        <v>MXYN6214Y</v>
      </c>
      <c r="B627" t="s">
        <v>1590</v>
      </c>
      <c r="C627">
        <v>356</v>
      </c>
      <c r="D627">
        <v>386.94</v>
      </c>
      <c r="E627">
        <v>386.97</v>
      </c>
      <c r="F627">
        <v>-0.03</v>
      </c>
    </row>
    <row r="628" spans="1:6" x14ac:dyDescent="0.3">
      <c r="A628" t="str">
        <f>HYPERLINK("https://us2.cloudbeds.com/connect/10074733072513#/reservations/31733421117591?display=MXJJF82A5&amp;reservation_id=31733421117591", "MXJJF82A5")</f>
        <v>MXJJF82A5</v>
      </c>
      <c r="B628" t="s">
        <v>1569</v>
      </c>
      <c r="C628">
        <v>596</v>
      </c>
      <c r="D628">
        <v>647.82000000000005</v>
      </c>
      <c r="E628">
        <v>647.85</v>
      </c>
      <c r="F628">
        <v>-0.03</v>
      </c>
    </row>
    <row r="629" spans="1:6" x14ac:dyDescent="0.3">
      <c r="A629" t="str">
        <f>HYPERLINK("https://us2.cloudbeds.com/connect/10074733072513#/reservations/31736147542198?display=MXYN47S5Y&amp;reservation_id=31736147542198", "MXYN47S5Y")</f>
        <v>MXYN47S5Y</v>
      </c>
      <c r="B629" t="s">
        <v>1590</v>
      </c>
      <c r="C629">
        <v>219</v>
      </c>
      <c r="D629">
        <v>238.02</v>
      </c>
      <c r="E629">
        <v>238.05</v>
      </c>
      <c r="F629">
        <v>-0.03</v>
      </c>
    </row>
    <row r="630" spans="1:6" x14ac:dyDescent="0.3">
      <c r="A630" t="str">
        <f>HYPERLINK("https://us2.cloudbeds.com/connect/10074733072513#/reservations/31732504830087?display=MXXT1K0Y5&amp;reservation_id=31732504830087", "MXXT1K0Y5")</f>
        <v>MXXT1K0Y5</v>
      </c>
      <c r="B630" t="s">
        <v>1604</v>
      </c>
      <c r="C630">
        <v>680.4</v>
      </c>
      <c r="D630">
        <v>739.56</v>
      </c>
      <c r="E630">
        <v>739.59</v>
      </c>
      <c r="F630">
        <v>-0.03</v>
      </c>
    </row>
    <row r="631" spans="1:6" x14ac:dyDescent="0.3">
      <c r="A631" t="str">
        <f>HYPERLINK("https://us2.cloudbeds.com/connect/10074733072513#/reservations/31729317789824?display=MXGDK6QSA&amp;reservation_id=31729317789824", "MXGDK6QSA")</f>
        <v>MXGDK6QSA</v>
      </c>
      <c r="B631" t="s">
        <v>1604</v>
      </c>
      <c r="C631">
        <v>680.4</v>
      </c>
      <c r="D631">
        <v>739.56</v>
      </c>
      <c r="E631">
        <v>739.59</v>
      </c>
      <c r="F631">
        <v>-0.03</v>
      </c>
    </row>
    <row r="632" spans="1:6" x14ac:dyDescent="0.3">
      <c r="A632" t="str">
        <f>HYPERLINK("https://us2.cloudbeds.com/connect/10074733072513#/reservations/31729402138763?display=MXGFPB1VV&amp;reservation_id=31729402138763", "MXGFPB1VV")</f>
        <v>MXGFPB1VV</v>
      </c>
      <c r="B632" t="s">
        <v>1615</v>
      </c>
      <c r="C632">
        <v>510.3</v>
      </c>
      <c r="D632">
        <v>554.66999999999996</v>
      </c>
      <c r="E632">
        <v>554.70000000000005</v>
      </c>
      <c r="F632">
        <v>-0.03</v>
      </c>
    </row>
    <row r="633" spans="1:6" x14ac:dyDescent="0.3">
      <c r="A633" t="str">
        <f>HYPERLINK("https://us2.cloudbeds.com/connect/10074733072513#/reservations/31735014265080?display=MXKR5KZYQ&amp;reservation_id=31735014265080", "MXKR5KZYQ")</f>
        <v>MXKR5KZYQ</v>
      </c>
      <c r="B633" t="s">
        <v>1599</v>
      </c>
      <c r="C633">
        <v>356</v>
      </c>
      <c r="D633">
        <v>386.94</v>
      </c>
      <c r="E633">
        <v>386.97</v>
      </c>
      <c r="F633">
        <v>-0.03</v>
      </c>
    </row>
    <row r="634" spans="1:6" x14ac:dyDescent="0.3">
      <c r="A634" t="str">
        <f>HYPERLINK("https://us2.cloudbeds.com/connect/10074733072513#/reservations/31733300678849?display=MXJGCMMJA&amp;reservation_id=31733300678849", "MXJGCMMJA")</f>
        <v>MXJGCMMJA</v>
      </c>
      <c r="B634" t="s">
        <v>1589</v>
      </c>
      <c r="C634">
        <v>356</v>
      </c>
      <c r="D634">
        <v>386.94</v>
      </c>
      <c r="E634">
        <v>386.97</v>
      </c>
      <c r="F634">
        <v>-0.03</v>
      </c>
    </row>
    <row r="635" spans="1:6" x14ac:dyDescent="0.3">
      <c r="A635" t="str">
        <f>HYPERLINK("https://us2.cloudbeds.com/connect/10074733072513#/reservations/31734764286083?display=MXKKPRNHM&amp;reservation_id=31734764286083", "MXKKPRNHM")</f>
        <v>MXKKPRNHM</v>
      </c>
      <c r="B635" t="s">
        <v>1634</v>
      </c>
      <c r="C635">
        <v>356</v>
      </c>
      <c r="D635">
        <v>386.94</v>
      </c>
      <c r="E635">
        <v>386.97</v>
      </c>
      <c r="F635">
        <v>-0.03</v>
      </c>
    </row>
    <row r="636" spans="1:6" x14ac:dyDescent="0.3">
      <c r="A636" t="str">
        <f>HYPERLINK("https://us2.cloudbeds.com/connect/10074733072513#/reservations/31735531589772?display=MXY7CS29K&amp;reservation_id=31735531589772", "MXY7CS29K")</f>
        <v>MXY7CS29K</v>
      </c>
      <c r="B636" t="s">
        <v>1619</v>
      </c>
      <c r="C636">
        <v>219</v>
      </c>
      <c r="D636">
        <v>238.02</v>
      </c>
      <c r="E636">
        <v>238.05</v>
      </c>
      <c r="F636">
        <v>-0.03</v>
      </c>
    </row>
    <row r="637" spans="1:6" x14ac:dyDescent="0.3">
      <c r="A637" t="str">
        <f>HYPERLINK("https://us2.cloudbeds.com/connect/10074733072513#/reservations/31731170070665?display=MXHRV3C7V&amp;reservation_id=31731170070665", "MXHRV3C7V")</f>
        <v>MXHRV3C7V</v>
      </c>
      <c r="B637" t="s">
        <v>1611</v>
      </c>
      <c r="C637">
        <v>510.3</v>
      </c>
      <c r="D637">
        <v>554.66999999999996</v>
      </c>
      <c r="E637">
        <v>554.70000000000005</v>
      </c>
      <c r="F637">
        <v>-0.03</v>
      </c>
    </row>
    <row r="638" spans="1:6" x14ac:dyDescent="0.3">
      <c r="A638" t="str">
        <f>HYPERLINK("https://us2.cloudbeds.com/connect/10074733072513#/reservations/31735668289718?display=MXYAT3V87&amp;reservation_id=31735668289718", "MXYAT3V87")</f>
        <v>MXYAT3V87</v>
      </c>
      <c r="B638" t="s">
        <v>1631</v>
      </c>
      <c r="C638">
        <v>819</v>
      </c>
      <c r="D638">
        <v>890.22</v>
      </c>
      <c r="E638">
        <v>890.25</v>
      </c>
      <c r="F638">
        <v>-0.03</v>
      </c>
    </row>
    <row r="639" spans="1:6" x14ac:dyDescent="0.3">
      <c r="A639" t="str">
        <f>HYPERLINK("https://us2.cloudbeds.com/connect/10074733072513#/reservations/31729256640732?display=MXGC1YBVN&amp;reservation_id=31729256640732", "MXGC1YBVN")</f>
        <v>MXGC1YBVN</v>
      </c>
      <c r="B639" t="s">
        <v>1641</v>
      </c>
      <c r="C639">
        <v>751.5</v>
      </c>
      <c r="D639">
        <v>816.85</v>
      </c>
      <c r="E639">
        <v>816.88</v>
      </c>
      <c r="F639">
        <v>-0.03</v>
      </c>
    </row>
    <row r="640" spans="1:6" x14ac:dyDescent="0.3">
      <c r="A640" t="str">
        <f>HYPERLINK("https://us2.cloudbeds.com/connect/10074733072513#/reservations/31734914597099?display=MXKZKJB5V&amp;reservation_id=31734914597099", "MXKZKJB5V")</f>
        <v>MXKZKJB5V</v>
      </c>
      <c r="B640" t="s">
        <v>1600</v>
      </c>
      <c r="C640">
        <v>679.5</v>
      </c>
      <c r="D640">
        <v>738.59</v>
      </c>
      <c r="E640">
        <v>738.62</v>
      </c>
      <c r="F640">
        <v>-0.03</v>
      </c>
    </row>
    <row r="641" spans="1:6" x14ac:dyDescent="0.3">
      <c r="A641" t="str">
        <f>HYPERLINK("https://us2.cloudbeds.com/connect/10074733072513#/reservations/31734299050239?display=MXK8THRNQ&amp;reservation_id=31734299050239", "MXK8THRNQ")</f>
        <v>MXK8THRNQ</v>
      </c>
      <c r="B641" t="s">
        <v>1643</v>
      </c>
      <c r="C641">
        <v>645</v>
      </c>
      <c r="D641">
        <v>701.09</v>
      </c>
      <c r="E641">
        <v>701.12</v>
      </c>
      <c r="F641">
        <v>-0.03</v>
      </c>
    </row>
    <row r="642" spans="1:6" x14ac:dyDescent="0.3">
      <c r="A642" t="str">
        <f>HYPERLINK("https://us2.cloudbeds.com/connect/10074733072513#/reservations/31728748093571?display=MXFW1R9GM&amp;reservation_id=31728748093571", "MXFW1R9GM")</f>
        <v>MXFW1R9GM</v>
      </c>
      <c r="B642" t="s">
        <v>1644</v>
      </c>
      <c r="C642">
        <v>1226.7</v>
      </c>
      <c r="D642">
        <v>1333.39</v>
      </c>
      <c r="E642">
        <v>1333.42</v>
      </c>
      <c r="F642">
        <v>-0.03</v>
      </c>
    </row>
    <row r="643" spans="1:6" x14ac:dyDescent="0.3">
      <c r="A643" t="str">
        <f>HYPERLINK("https://us2.cloudbeds.com/connect/10074733072513#/reservations/31727847022755?display=MXF910YUE&amp;reservation_id=31727847022755", "MXF910YUE")</f>
        <v>MXF910YUE</v>
      </c>
      <c r="B643" t="s">
        <v>1645</v>
      </c>
      <c r="C643">
        <v>745</v>
      </c>
      <c r="D643">
        <v>809.79</v>
      </c>
      <c r="E643">
        <v>809.82</v>
      </c>
      <c r="F643">
        <v>-0.03</v>
      </c>
    </row>
    <row r="644" spans="1:6" x14ac:dyDescent="0.3">
      <c r="A644" t="str">
        <f>HYPERLINK("https://us2.cloudbeds.com/connect/10074733072513#/reservations/31730041172176?display=MXGW363GR&amp;reservation_id=31730041172176", "MXGW363GR")</f>
        <v>MXGW363GR</v>
      </c>
      <c r="B644" t="s">
        <v>1607</v>
      </c>
      <c r="C644">
        <v>516</v>
      </c>
      <c r="D644">
        <v>560.86</v>
      </c>
      <c r="E644">
        <v>560.89</v>
      </c>
      <c r="F644">
        <v>-0.03</v>
      </c>
    </row>
    <row r="645" spans="1:6" x14ac:dyDescent="0.3">
      <c r="A645" t="str">
        <f>HYPERLINK("https://us2.cloudbeds.com/connect/10074733072513#/reservations/31728512872597?display=MXFQ1FU9C&amp;reservation_id=31728512872597", "MXFQ1FU9C")</f>
        <v>MXFQ1FU9C</v>
      </c>
      <c r="B645" t="s">
        <v>1519</v>
      </c>
      <c r="C645">
        <v>776</v>
      </c>
      <c r="D645">
        <v>843.48</v>
      </c>
      <c r="E645">
        <v>843.51</v>
      </c>
      <c r="F645">
        <v>-0.03</v>
      </c>
    </row>
    <row r="646" spans="1:6" x14ac:dyDescent="0.3">
      <c r="A646" t="str">
        <f>HYPERLINK("https://us2.cloudbeds.com/connect/10074733072513#/reservations/31714020003977?display=MX4XNNFWD&amp;reservation_id=31714020003977", "MX4XNNFWD")</f>
        <v>MX4XNNFWD</v>
      </c>
      <c r="B646" t="s">
        <v>1656</v>
      </c>
      <c r="C646">
        <v>636</v>
      </c>
      <c r="D646">
        <v>691.3</v>
      </c>
      <c r="E646">
        <v>691.33</v>
      </c>
      <c r="F646">
        <v>-0.03</v>
      </c>
    </row>
    <row r="647" spans="1:6" x14ac:dyDescent="0.3">
      <c r="A647" t="str">
        <f>HYPERLINK("https://us2.cloudbeds.com/connect/10074733072513#/reservations/31735390494871?display=MXY3PSTXD&amp;reservation_id=31735390494871", "MXY3PSTXD")</f>
        <v>MXY3PSTXD</v>
      </c>
      <c r="B647" t="s">
        <v>1613</v>
      </c>
      <c r="C647">
        <v>219</v>
      </c>
      <c r="D647">
        <v>238.02</v>
      </c>
      <c r="E647">
        <v>238.05</v>
      </c>
      <c r="F647">
        <v>-0.03</v>
      </c>
    </row>
    <row r="648" spans="1:6" x14ac:dyDescent="0.3">
      <c r="A648" t="str">
        <f>HYPERLINK("https://us2.cloudbeds.com/connect/10074733072513#/reservations/31727847018646?display=MXF910X4U&amp;reservation_id=31727847018646", "MXF910X4U")</f>
        <v>MXF910X4U</v>
      </c>
      <c r="B648" t="s">
        <v>1639</v>
      </c>
      <c r="C648">
        <v>356</v>
      </c>
      <c r="D648">
        <v>386.94</v>
      </c>
      <c r="E648">
        <v>386.97</v>
      </c>
      <c r="F648">
        <v>-0.03</v>
      </c>
    </row>
    <row r="649" spans="1:6" x14ac:dyDescent="0.3">
      <c r="A649" t="str">
        <f>HYPERLINK("https://us2.cloudbeds.com/connect/10074733072513#/reservations/31735419936994?display=MXY4HN5G3&amp;reservation_id=31735419936994", "MXY4HN5G3")</f>
        <v>MXY4HN5G3</v>
      </c>
      <c r="B649" t="s">
        <v>1613</v>
      </c>
      <c r="C649">
        <v>219</v>
      </c>
      <c r="D649">
        <v>238.02</v>
      </c>
      <c r="E649">
        <v>238.05</v>
      </c>
      <c r="F649">
        <v>-0.03</v>
      </c>
    </row>
    <row r="650" spans="1:6" x14ac:dyDescent="0.3">
      <c r="A650" t="str">
        <f>HYPERLINK("https://us2.cloudbeds.com/connect/10074733072513#/reservations/31713979449581?display=MX4HMGWV8&amp;reservation_id=31713979449581", "MX4HMGWV8")</f>
        <v>MX4HMGWV8</v>
      </c>
      <c r="B650" t="s">
        <v>1656</v>
      </c>
      <c r="C650">
        <v>636</v>
      </c>
      <c r="D650">
        <v>691.3</v>
      </c>
      <c r="E650">
        <v>691.33</v>
      </c>
      <c r="F650">
        <v>-0.03</v>
      </c>
    </row>
    <row r="651" spans="1:6" x14ac:dyDescent="0.3">
      <c r="A651" t="str">
        <f>HYPERLINK("https://us2.cloudbeds.com/connect/10074733072513#/reservations/31732207329486?display=MXXYEZKM9&amp;reservation_id=31732207329486", "MXXYEZKM9")</f>
        <v>MXXYEZKM9</v>
      </c>
      <c r="B651" t="s">
        <v>1537</v>
      </c>
      <c r="C651">
        <v>896</v>
      </c>
      <c r="D651">
        <v>973.92</v>
      </c>
      <c r="E651">
        <v>973.95</v>
      </c>
      <c r="F651">
        <v>-0.03</v>
      </c>
    </row>
    <row r="652" spans="1:6" x14ac:dyDescent="0.3">
      <c r="A652" t="str">
        <f>HYPERLINK("https://us2.cloudbeds.com/connect/10074733072513#/reservations/31731274522843?display=MXHUK5TUF&amp;reservation_id=31731274522843", "MXHUK5TUF")</f>
        <v>MXHUK5TUF</v>
      </c>
      <c r="B652" t="s">
        <v>1577</v>
      </c>
      <c r="C652">
        <v>695</v>
      </c>
      <c r="D652">
        <v>755.44</v>
      </c>
      <c r="E652">
        <v>755.47</v>
      </c>
      <c r="F652">
        <v>-0.03</v>
      </c>
    </row>
    <row r="653" spans="1:6" x14ac:dyDescent="0.3">
      <c r="A653" t="str">
        <f>HYPERLINK("https://us2.cloudbeds.com/connect/10074733072513#/reservations/31730775023751?display=MXHHRWK2B&amp;reservation_id=31730775023751", "MXHHRWK2B")</f>
        <v>MXHHRWK2B</v>
      </c>
      <c r="B653" t="s">
        <v>1572</v>
      </c>
      <c r="C653">
        <v>676</v>
      </c>
      <c r="D653">
        <v>734.78</v>
      </c>
      <c r="E653">
        <v>734.81</v>
      </c>
      <c r="F653">
        <v>-0.03</v>
      </c>
    </row>
    <row r="654" spans="1:6" x14ac:dyDescent="0.3">
      <c r="A654" t="str">
        <f>HYPERLINK("https://us2.cloudbeds.com/connect/10074733072513#/reservations/31732626542748?display=MXXW57S5K&amp;reservation_id=31732626542748", "MXXW57S5K")</f>
        <v>MXXW57S5K</v>
      </c>
      <c r="B654" t="s">
        <v>1660</v>
      </c>
      <c r="C654">
        <v>671.4</v>
      </c>
      <c r="D654">
        <v>729.78</v>
      </c>
      <c r="E654">
        <v>729.81</v>
      </c>
      <c r="F654">
        <v>-0.03</v>
      </c>
    </row>
    <row r="655" spans="1:6" x14ac:dyDescent="0.3">
      <c r="A655" t="str">
        <f>HYPERLINK("https://us2.cloudbeds.com/connect/10074733072513#/reservations/31734540550340?display=MXKF25UTM&amp;reservation_id=31734540550340", "MXKF25UTM")</f>
        <v>MXKF25UTM</v>
      </c>
      <c r="B655" t="s">
        <v>1646</v>
      </c>
      <c r="C655">
        <v>556</v>
      </c>
      <c r="D655">
        <v>604.34</v>
      </c>
      <c r="E655">
        <v>604.37</v>
      </c>
      <c r="F655">
        <v>-0.03</v>
      </c>
    </row>
    <row r="656" spans="1:6" x14ac:dyDescent="0.3">
      <c r="A656" t="str">
        <f>HYPERLINK("https://us2.cloudbeds.com/connect/10074733072513#/reservations/31733881159815?display=MXJV75DVK&amp;reservation_id=31733881159815", "MXJV75DVK")</f>
        <v>MXJV75DVK</v>
      </c>
      <c r="B656" t="s">
        <v>1629</v>
      </c>
      <c r="C656">
        <v>516</v>
      </c>
      <c r="D656">
        <v>560.86</v>
      </c>
      <c r="E656">
        <v>560.89</v>
      </c>
      <c r="F656">
        <v>-0.03</v>
      </c>
    </row>
    <row r="657" spans="1:6" x14ac:dyDescent="0.3">
      <c r="A657" t="str">
        <f>HYPERLINK("https://us2.cloudbeds.com/connect/10074733072513#/reservations/31721205121180?display=MXA4ACVZZ&amp;reservation_id=31721205121180", "MXA4ACVZZ")</f>
        <v>MXA4ACVZZ</v>
      </c>
      <c r="B657" t="s">
        <v>1668</v>
      </c>
      <c r="C657">
        <v>676</v>
      </c>
      <c r="D657">
        <v>734.78</v>
      </c>
      <c r="E657">
        <v>734.81</v>
      </c>
      <c r="F657">
        <v>-0.03</v>
      </c>
    </row>
    <row r="658" spans="1:6" x14ac:dyDescent="0.3">
      <c r="A658" t="str">
        <f>HYPERLINK("https://us2.cloudbeds.com/connect/10074733072513#/reservations/31731323199687?display=MXHVS7DJB&amp;reservation_id=31731323199687", "MXHVS7DJB")</f>
        <v>MXHVS7DJB</v>
      </c>
      <c r="B658" t="s">
        <v>1659</v>
      </c>
      <c r="C658">
        <v>676</v>
      </c>
      <c r="D658">
        <v>734.78</v>
      </c>
      <c r="E658">
        <v>734.81</v>
      </c>
      <c r="F658">
        <v>-0.03</v>
      </c>
    </row>
    <row r="659" spans="1:6" x14ac:dyDescent="0.3">
      <c r="A659" t="str">
        <f>HYPERLINK("https://us2.cloudbeds.com/connect/10074733072513#/reservations/31729842516193?display=MXGR0M6VH&amp;reservation_id=31729842516193", "MXGR0M6VH")</f>
        <v>MXGR0M6VH</v>
      </c>
      <c r="B659" t="s">
        <v>1629</v>
      </c>
      <c r="C659">
        <v>516</v>
      </c>
      <c r="D659">
        <v>560.86</v>
      </c>
      <c r="E659">
        <v>560.89</v>
      </c>
      <c r="F659">
        <v>-0.03</v>
      </c>
    </row>
    <row r="660" spans="1:6" x14ac:dyDescent="0.3">
      <c r="A660" t="str">
        <f>HYPERLINK("https://us2.cloudbeds.com/connect/10074733072513#/reservations/31724135678137?display=MXCD6H0W0&amp;reservation_id=31724135678137", "MXCD6H0W0")</f>
        <v>MXCD6H0W0</v>
      </c>
      <c r="B660" t="s">
        <v>1637</v>
      </c>
      <c r="C660">
        <v>536.4</v>
      </c>
      <c r="D660">
        <v>583.04</v>
      </c>
      <c r="E660">
        <v>583.07000000000005</v>
      </c>
      <c r="F660">
        <v>-0.03</v>
      </c>
    </row>
    <row r="661" spans="1:6" x14ac:dyDescent="0.3">
      <c r="A661" t="str">
        <f>HYPERLINK("https://us2.cloudbeds.com/connect/10074733072513#/reservations/31729853313277?display=MXGR9PYKU&amp;reservation_id=31729853313277", "MXGR9PYKU")</f>
        <v>MXGR9PYKU</v>
      </c>
      <c r="B661" t="s">
        <v>1572</v>
      </c>
      <c r="C661">
        <v>776</v>
      </c>
      <c r="D661">
        <v>843.48</v>
      </c>
      <c r="E661">
        <v>843.51</v>
      </c>
      <c r="F661">
        <v>-0.03</v>
      </c>
    </row>
    <row r="662" spans="1:6" x14ac:dyDescent="0.3">
      <c r="A662" t="str">
        <f>HYPERLINK("https://us2.cloudbeds.com/connect/10074733072513#/reservations/31728661971161?display=MXFTS6QXM&amp;reservation_id=31728661971161", "MXFTS6QXM")</f>
        <v>MXFTS6QXM</v>
      </c>
      <c r="B662" t="s">
        <v>1679</v>
      </c>
      <c r="C662">
        <v>356</v>
      </c>
      <c r="D662">
        <v>386.94</v>
      </c>
      <c r="E662">
        <v>386.97</v>
      </c>
      <c r="F662">
        <v>-0.03</v>
      </c>
    </row>
    <row r="663" spans="1:6" x14ac:dyDescent="0.3">
      <c r="A663" t="str">
        <f>HYPERLINK("https://us2.cloudbeds.com/connect/10074733072513#/reservations/31728792428694?display=MXG066W98&amp;reservation_id=31728792428694", "MXG066W98")</f>
        <v>MXG066W98</v>
      </c>
      <c r="B663" t="s">
        <v>1588</v>
      </c>
      <c r="C663">
        <v>510.3</v>
      </c>
      <c r="D663">
        <v>554.66999999999996</v>
      </c>
      <c r="E663">
        <v>554.70000000000005</v>
      </c>
      <c r="F663">
        <v>-0.03</v>
      </c>
    </row>
    <row r="664" spans="1:6" x14ac:dyDescent="0.3">
      <c r="A664" t="str">
        <f>HYPERLINK("https://us2.cloudbeds.com/connect/10074733072513#/reservations/31728246857863?display=MXFJ85YVR&amp;reservation_id=31728246857863", "MXFJ85YVR")</f>
        <v>MXFJ85YVR</v>
      </c>
      <c r="B664" t="s">
        <v>1655</v>
      </c>
      <c r="C664">
        <v>608.84</v>
      </c>
      <c r="D664">
        <v>661.78</v>
      </c>
      <c r="E664">
        <v>661.81</v>
      </c>
      <c r="F664">
        <v>-0.03</v>
      </c>
    </row>
    <row r="665" spans="1:6" x14ac:dyDescent="0.3">
      <c r="A665" t="str">
        <f>HYPERLINK("https://us2.cloudbeds.com/connect/10074733072513#/reservations/31730875519123?display=MXHKDZ1AY&amp;reservation_id=31730875519123", "MXHKDZ1AY")</f>
        <v>MXHKDZ1AY</v>
      </c>
      <c r="B665" t="s">
        <v>1528</v>
      </c>
      <c r="C665">
        <v>1344</v>
      </c>
      <c r="D665">
        <v>1460.9</v>
      </c>
      <c r="E665">
        <v>1460.93</v>
      </c>
      <c r="F665">
        <v>-0.03</v>
      </c>
    </row>
    <row r="666" spans="1:6" x14ac:dyDescent="0.3">
      <c r="A666" t="str">
        <f>HYPERLINK("https://us2.cloudbeds.com/connect/10074733072513#/reservations/31723214639327?display=MXBMYSPA1&amp;reservation_id=31723214639327", "MXBMYSPA1")</f>
        <v>MXBMYSPA1</v>
      </c>
      <c r="B666" t="s">
        <v>1626</v>
      </c>
      <c r="C666">
        <v>596</v>
      </c>
      <c r="D666">
        <v>647.82000000000005</v>
      </c>
      <c r="E666">
        <v>647.85</v>
      </c>
      <c r="F666">
        <v>-0.03</v>
      </c>
    </row>
    <row r="667" spans="1:6" x14ac:dyDescent="0.3">
      <c r="A667" t="str">
        <f>HYPERLINK("https://us2.cloudbeds.com/connect/10074733072513#/reservations/31727782350978?display=MXF7CG2HK&amp;reservation_id=31727782350978", "MXF7CG2HK")</f>
        <v>MXF7CG2HK</v>
      </c>
      <c r="B667" t="s">
        <v>1531</v>
      </c>
      <c r="C667">
        <v>636</v>
      </c>
      <c r="D667">
        <v>691.3</v>
      </c>
      <c r="E667">
        <v>691.33</v>
      </c>
      <c r="F667">
        <v>-0.03</v>
      </c>
    </row>
    <row r="668" spans="1:6" x14ac:dyDescent="0.3">
      <c r="A668" t="str">
        <f>HYPERLINK("https://us2.cloudbeds.com/connect/10074733072513#/reservations/31728883970268?display=MXG2HD8GB&amp;reservation_id=31728883970268", "MXG2HD8GB")</f>
        <v>MXG2HD8GB</v>
      </c>
      <c r="B668" t="s">
        <v>1667</v>
      </c>
      <c r="C668">
        <v>556</v>
      </c>
      <c r="D668">
        <v>604.34</v>
      </c>
      <c r="E668">
        <v>604.37</v>
      </c>
      <c r="F668">
        <v>-0.03</v>
      </c>
    </row>
    <row r="669" spans="1:6" x14ac:dyDescent="0.3">
      <c r="A669" t="str">
        <f>HYPERLINK("https://us2.cloudbeds.com/connect/10074733072513#/reservations/31730222944396?display=MXH3ZF64U&amp;reservation_id=31730222944396", "MXH3ZF64U")</f>
        <v>MXH3ZF64U</v>
      </c>
      <c r="B669" t="s">
        <v>1693</v>
      </c>
      <c r="C669">
        <v>689.28</v>
      </c>
      <c r="D669">
        <v>749.22</v>
      </c>
      <c r="E669">
        <v>749.25</v>
      </c>
      <c r="F669">
        <v>-0.03</v>
      </c>
    </row>
    <row r="670" spans="1:6" x14ac:dyDescent="0.3">
      <c r="A670" t="str">
        <f>HYPERLINK("https://us2.cloudbeds.com/connect/10074733072513#/reservations/31728939933848?display=MXG3VJHCD&amp;reservation_id=31728939933848", "MXG3VJHCD")</f>
        <v>MXG3VJHCD</v>
      </c>
      <c r="B670" t="s">
        <v>1686</v>
      </c>
      <c r="C670">
        <v>219</v>
      </c>
      <c r="D670">
        <v>238.02</v>
      </c>
      <c r="E670">
        <v>238.05</v>
      </c>
      <c r="F670">
        <v>-0.03</v>
      </c>
    </row>
    <row r="671" spans="1:6" x14ac:dyDescent="0.3">
      <c r="A671" t="str">
        <f>HYPERLINK("https://us2.cloudbeds.com/connect/10074733072513#/reservations/31727624700033?display=MXF3BX6R8&amp;reservation_id=31727624700033", "MXF3BX6R8")</f>
        <v>MXF3BX6R8</v>
      </c>
      <c r="B671" t="s">
        <v>1641</v>
      </c>
      <c r="C671">
        <v>476</v>
      </c>
      <c r="D671">
        <v>517.38</v>
      </c>
      <c r="E671">
        <v>517.41</v>
      </c>
      <c r="F671">
        <v>-0.03</v>
      </c>
    </row>
    <row r="672" spans="1:6" x14ac:dyDescent="0.3">
      <c r="A672" t="str">
        <f>HYPERLINK("https://us2.cloudbeds.com/connect/10074733072513#/reservations/31724055048415?display=MXCB4HCR3&amp;reservation_id=31724055048415", "MXCB4HCR3")</f>
        <v>MXCB4HCR3</v>
      </c>
      <c r="B672" t="s">
        <v>1637</v>
      </c>
      <c r="C672">
        <v>420.3</v>
      </c>
      <c r="D672">
        <v>456.84</v>
      </c>
      <c r="E672">
        <v>456.87</v>
      </c>
      <c r="F672">
        <v>-0.03</v>
      </c>
    </row>
    <row r="673" spans="1:6" x14ac:dyDescent="0.3">
      <c r="A673" t="str">
        <f>HYPERLINK("https://us2.cloudbeds.com/connect/10074733072513#/reservations/31733181968628?display=MXJDBJD3T&amp;reservation_id=31733181968628", "MXJDBJD3T")</f>
        <v>MXJDBJD3T</v>
      </c>
      <c r="B673" t="s">
        <v>1672</v>
      </c>
      <c r="C673">
        <v>358.66</v>
      </c>
      <c r="D673">
        <v>389.83</v>
      </c>
      <c r="E673">
        <v>389.86</v>
      </c>
      <c r="F673">
        <v>-0.03</v>
      </c>
    </row>
    <row r="674" spans="1:6" x14ac:dyDescent="0.3">
      <c r="A674" t="str">
        <f>HYPERLINK("https://us2.cloudbeds.com/connect/10074733072513#/reservations/31728124891325?display=MXFG4APA4&amp;reservation_id=31728124891325", "MXFG4APA4")</f>
        <v>MXFG4APA4</v>
      </c>
      <c r="B674" t="s">
        <v>1637</v>
      </c>
      <c r="C674">
        <v>388.92</v>
      </c>
      <c r="D674">
        <v>422.73</v>
      </c>
      <c r="E674">
        <v>422.76</v>
      </c>
      <c r="F674">
        <v>-0.03</v>
      </c>
    </row>
    <row r="675" spans="1:6" x14ac:dyDescent="0.3">
      <c r="A675" t="str">
        <f>HYPERLINK("https://us2.cloudbeds.com/connect/10074733072513#/reservations/31726053884128?display=MXDT6WUW9&amp;reservation_id=31726053884128", "MXDT6WUW9")</f>
        <v>MXDT6WUW9</v>
      </c>
      <c r="B675" t="s">
        <v>1588</v>
      </c>
      <c r="C675">
        <v>676</v>
      </c>
      <c r="D675">
        <v>734.78</v>
      </c>
      <c r="E675">
        <v>734.81</v>
      </c>
      <c r="F675">
        <v>-0.03</v>
      </c>
    </row>
    <row r="676" spans="1:6" x14ac:dyDescent="0.3">
      <c r="A676" t="str">
        <f>HYPERLINK("https://us2.cloudbeds.com/connect/10074733072513#/reservations/31731406303378?display=MXX0W9TH0&amp;reservation_id=31731406303378", "MXX0W9TH0")</f>
        <v>MXX0W9TH0</v>
      </c>
      <c r="B676" t="s">
        <v>1701</v>
      </c>
      <c r="C676">
        <v>219</v>
      </c>
      <c r="D676">
        <v>238.02</v>
      </c>
      <c r="E676">
        <v>238.05</v>
      </c>
      <c r="F676">
        <v>-0.03</v>
      </c>
    </row>
    <row r="677" spans="1:6" x14ac:dyDescent="0.3">
      <c r="A677" t="str">
        <f>HYPERLINK("https://us2.cloudbeds.com/connect/10074733072513#/reservations/31728703389876?display=MXFUU4B98&amp;reservation_id=31728703389876", "MXFUU4B98")</f>
        <v>MXFUU4B98</v>
      </c>
      <c r="B677" t="s">
        <v>1713</v>
      </c>
      <c r="C677">
        <v>450</v>
      </c>
      <c r="D677">
        <v>489.12</v>
      </c>
      <c r="E677">
        <v>489.15</v>
      </c>
      <c r="F677">
        <v>-0.03</v>
      </c>
    </row>
    <row r="678" spans="1:6" x14ac:dyDescent="0.3">
      <c r="A678" t="str">
        <f>HYPERLINK("https://us2.cloudbeds.com/connect/10074733072513#/reservations/31726581633264?display=MXE9N0B3B&amp;reservation_id=31726581633264", "MXE9N0B3B")</f>
        <v>MXE9N0B3B</v>
      </c>
      <c r="B678" t="s">
        <v>1640</v>
      </c>
      <c r="C678">
        <v>532.1</v>
      </c>
      <c r="D678">
        <v>578.36</v>
      </c>
      <c r="E678">
        <v>578.39</v>
      </c>
      <c r="F678">
        <v>-0.03</v>
      </c>
    </row>
    <row r="679" spans="1:6" x14ac:dyDescent="0.3">
      <c r="A679" t="str">
        <f>HYPERLINK("https://us2.cloudbeds.com/connect/10074733072513#/reservations/31726559572098?display=MXE94DEU5&amp;reservation_id=31726559572098", "MXE94DEU5")</f>
        <v>MXE94DEU5</v>
      </c>
      <c r="B679" t="s">
        <v>1640</v>
      </c>
      <c r="C679">
        <v>532.1</v>
      </c>
      <c r="D679">
        <v>578.36</v>
      </c>
      <c r="E679">
        <v>578.39</v>
      </c>
      <c r="F679">
        <v>-0.03</v>
      </c>
    </row>
    <row r="680" spans="1:6" x14ac:dyDescent="0.3">
      <c r="A680" t="str">
        <f>HYPERLINK("https://us2.cloudbeds.com/connect/10074733072513#/reservations/31718967148673?display=MX8D492J1&amp;reservation_id=31718967148673", "MX8D492J1")</f>
        <v>MX8D492J1</v>
      </c>
      <c r="B680" t="s">
        <v>1715</v>
      </c>
      <c r="C680">
        <v>388.92</v>
      </c>
      <c r="D680">
        <v>422.73</v>
      </c>
      <c r="E680">
        <v>422.76</v>
      </c>
      <c r="F680">
        <v>-0.03</v>
      </c>
    </row>
    <row r="681" spans="1:6" x14ac:dyDescent="0.3">
      <c r="A681" t="str">
        <f>HYPERLINK("https://us2.cloudbeds.com/connect/10074733072513#/reservations/31730377162987?display=MXH7MGX0X&amp;reservation_id=31730377162987", "MXH7MGX0X")</f>
        <v>MXH7MGX0X</v>
      </c>
      <c r="B681" t="s">
        <v>1691</v>
      </c>
      <c r="C681">
        <v>476</v>
      </c>
      <c r="D681">
        <v>517.38</v>
      </c>
      <c r="E681">
        <v>517.41</v>
      </c>
      <c r="F681">
        <v>-0.03</v>
      </c>
    </row>
    <row r="682" spans="1:6" x14ac:dyDescent="0.3">
      <c r="A682" t="str">
        <f>HYPERLINK("https://us2.cloudbeds.com/connect/10074733072513#/reservations/31729082941604?display=MXG7K5UKP&amp;reservation_id=31729082941604", "MXG7K5UKP")</f>
        <v>MXG7K5UKP</v>
      </c>
      <c r="B682" t="s">
        <v>1720</v>
      </c>
      <c r="C682">
        <v>522.4</v>
      </c>
      <c r="D682">
        <v>567.82000000000005</v>
      </c>
      <c r="E682">
        <v>567.85</v>
      </c>
      <c r="F682">
        <v>-0.03</v>
      </c>
    </row>
    <row r="683" spans="1:6" x14ac:dyDescent="0.3">
      <c r="A683" t="str">
        <f>HYPERLINK("https://us2.cloudbeds.com/connect/10074733072513#/reservations/31726722330832?display=MXED9YEW0&amp;reservation_id=31726722330832", "MXED9YEW0")</f>
        <v>MXED9YEW0</v>
      </c>
      <c r="B683" t="s">
        <v>1721</v>
      </c>
      <c r="C683">
        <v>595</v>
      </c>
      <c r="D683">
        <v>646.74</v>
      </c>
      <c r="E683">
        <v>646.77</v>
      </c>
      <c r="F683">
        <v>-0.03</v>
      </c>
    </row>
    <row r="684" spans="1:6" x14ac:dyDescent="0.3">
      <c r="A684" t="str">
        <f>HYPERLINK("https://us2.cloudbeds.com/connect/10074733072513#/reservations/31725158330496?display=MXD6ARNW8&amp;reservation_id=31725158330496", "MXD6ARNW8")</f>
        <v>MXD6ARNW8</v>
      </c>
      <c r="B684" t="s">
        <v>1718</v>
      </c>
      <c r="C684">
        <v>219</v>
      </c>
      <c r="D684">
        <v>238.02</v>
      </c>
      <c r="E684">
        <v>238.05</v>
      </c>
      <c r="F684">
        <v>-0.03</v>
      </c>
    </row>
    <row r="685" spans="1:6" x14ac:dyDescent="0.3">
      <c r="A685" t="str">
        <f>HYPERLINK("https://us2.cloudbeds.com/connect/10074733072513#/reservations/31723737981155?display=MXC315HAA&amp;reservation_id=31723737981155", "MXC315HAA")</f>
        <v>MXC315HAA</v>
      </c>
      <c r="B685" t="s">
        <v>1645</v>
      </c>
      <c r="C685">
        <v>548</v>
      </c>
      <c r="D685">
        <v>595.65</v>
      </c>
      <c r="E685">
        <v>595.67999999999995</v>
      </c>
      <c r="F685">
        <v>-0.03</v>
      </c>
    </row>
    <row r="686" spans="1:6" x14ac:dyDescent="0.3">
      <c r="A686" t="str">
        <f>HYPERLINK("https://us2.cloudbeds.com/connect/10074733072513#/reservations/31717151084770?display=MX6WNUDVX&amp;reservation_id=31717151084770", "MX6WNUDVX")</f>
        <v>MX6WNUDVX</v>
      </c>
      <c r="B686" t="s">
        <v>1690</v>
      </c>
      <c r="C686">
        <v>636</v>
      </c>
      <c r="D686">
        <v>691.3</v>
      </c>
      <c r="E686">
        <v>691.33</v>
      </c>
      <c r="F686">
        <v>-0.03</v>
      </c>
    </row>
    <row r="687" spans="1:6" x14ac:dyDescent="0.3">
      <c r="A687" t="str">
        <f>HYPERLINK("https://us2.cloudbeds.com/connect/10074733072513#/reservations/31727840272594?display=MXF8SARE3&amp;reservation_id=31727840272594", "MXF8SARE3")</f>
        <v>MXF8SARE3</v>
      </c>
      <c r="B687" t="s">
        <v>1704</v>
      </c>
      <c r="C687">
        <v>516</v>
      </c>
      <c r="D687">
        <v>560.86</v>
      </c>
      <c r="E687">
        <v>560.89</v>
      </c>
      <c r="F687">
        <v>-0.03</v>
      </c>
    </row>
    <row r="688" spans="1:6" x14ac:dyDescent="0.3">
      <c r="A688" t="str">
        <f>HYPERLINK("https://us2.cloudbeds.com/connect/10074733072513#/reservations/31727123001520?display=MXENHGNA0&amp;reservation_id=31727123001520", "MXENHGNA0")</f>
        <v>MXENHGNA0</v>
      </c>
      <c r="B688" t="s">
        <v>1709</v>
      </c>
      <c r="C688">
        <v>219</v>
      </c>
      <c r="D688">
        <v>238.02</v>
      </c>
      <c r="E688">
        <v>238.05</v>
      </c>
      <c r="F688">
        <v>-0.03</v>
      </c>
    </row>
    <row r="689" spans="1:6" x14ac:dyDescent="0.3">
      <c r="A689" t="str">
        <f>HYPERLINK("https://us2.cloudbeds.com/connect/10074733072513#/reservations/31726493647057?display=MXE7EQWMY&amp;reservation_id=31726493647057", "MXE7EQWMY")</f>
        <v>MXE7EQWMY</v>
      </c>
      <c r="B689" t="s">
        <v>1695</v>
      </c>
      <c r="C689">
        <v>219</v>
      </c>
      <c r="D689">
        <v>238.02</v>
      </c>
      <c r="E689">
        <v>238.05</v>
      </c>
      <c r="F689">
        <v>-0.03</v>
      </c>
    </row>
    <row r="690" spans="1:6" x14ac:dyDescent="0.3">
      <c r="A690" t="str">
        <f>HYPERLINK("https://us2.cloudbeds.com/connect/10074733072513#/reservations/31725829673090?display=MXDNFUUTD&amp;reservation_id=31725829673090", "MXDNFUUTD")</f>
        <v>MXDNFUUTD</v>
      </c>
      <c r="B690" t="s">
        <v>1722</v>
      </c>
      <c r="C690">
        <v>263.45999999999998</v>
      </c>
      <c r="D690">
        <v>286.35000000000002</v>
      </c>
      <c r="E690">
        <v>286.38</v>
      </c>
      <c r="F690">
        <v>-0.03</v>
      </c>
    </row>
    <row r="691" spans="1:6" x14ac:dyDescent="0.3">
      <c r="A691" t="str">
        <f>HYPERLINK("https://us2.cloudbeds.com/connect/10074733072513#/reservations/31714099806417?display=MX4KP03F5&amp;reservation_id=31714099806417", "MX4KP03F5")</f>
        <v>MX4KP03F5</v>
      </c>
      <c r="B691" t="s">
        <v>1731</v>
      </c>
      <c r="C691">
        <v>636</v>
      </c>
      <c r="D691">
        <v>691.3</v>
      </c>
      <c r="E691">
        <v>691.33</v>
      </c>
      <c r="F691">
        <v>-0.03</v>
      </c>
    </row>
    <row r="692" spans="1:6" x14ac:dyDescent="0.3">
      <c r="A692" t="str">
        <f>HYPERLINK("https://us2.cloudbeds.com/connect/10074733072513#/reservations/31727002415260?display=MXEKER73U&amp;reservation_id=31727002415260", "MXEKER73U")</f>
        <v>MXEKER73U</v>
      </c>
      <c r="B692" t="s">
        <v>1719</v>
      </c>
      <c r="C692">
        <v>219</v>
      </c>
      <c r="D692">
        <v>238.02</v>
      </c>
      <c r="E692">
        <v>238.05</v>
      </c>
      <c r="F692">
        <v>-0.03</v>
      </c>
    </row>
    <row r="693" spans="1:6" x14ac:dyDescent="0.3">
      <c r="A693" t="str">
        <f>HYPERLINK("https://us2.cloudbeds.com/connect/10074733072513#/reservations/31721081352413?display=MXA150U51&amp;reservation_id=31721081352413", "MXA150U51")</f>
        <v>MXA150U51</v>
      </c>
      <c r="B693" t="s">
        <v>1733</v>
      </c>
      <c r="C693">
        <v>476</v>
      </c>
      <c r="D693">
        <v>517.38</v>
      </c>
      <c r="E693">
        <v>517.41</v>
      </c>
      <c r="F693">
        <v>-0.03</v>
      </c>
    </row>
    <row r="694" spans="1:6" x14ac:dyDescent="0.3">
      <c r="A694" t="str">
        <f>HYPERLINK("https://us2.cloudbeds.com/connect/10074733072513#/reservations/31727140954271?display=MXENWY8RP&amp;reservation_id=31727140954271", "MXENWY8RP")</f>
        <v>MXENWY8RP</v>
      </c>
      <c r="B694" t="s">
        <v>1677</v>
      </c>
      <c r="C694">
        <v>556</v>
      </c>
      <c r="D694">
        <v>604.34</v>
      </c>
      <c r="E694">
        <v>604.37</v>
      </c>
      <c r="F694">
        <v>-0.03</v>
      </c>
    </row>
    <row r="695" spans="1:6" x14ac:dyDescent="0.3">
      <c r="A695" t="str">
        <f>HYPERLINK("https://us2.cloudbeds.com/connect/10074733072513#/reservations/31723470762121?display=MXBT6RP3R&amp;reservation_id=31723470762121", "MXBT6RP3R")</f>
        <v>MXBT6RP3R</v>
      </c>
      <c r="B695" t="s">
        <v>1725</v>
      </c>
      <c r="C695">
        <v>219</v>
      </c>
      <c r="D695">
        <v>238.02</v>
      </c>
      <c r="E695">
        <v>238.05</v>
      </c>
      <c r="F695">
        <v>-0.03</v>
      </c>
    </row>
    <row r="696" spans="1:6" x14ac:dyDescent="0.3">
      <c r="A696" t="str">
        <f>HYPERLINK("https://us2.cloudbeds.com/connect/10074733072513#/reservations/31724270768373?display=MXCGYE3PH&amp;reservation_id=31724270768373", "MXCGYE3PH")</f>
        <v>MXCGYE3PH</v>
      </c>
      <c r="B696" t="s">
        <v>1749</v>
      </c>
      <c r="C696">
        <v>219</v>
      </c>
      <c r="D696">
        <v>238.02</v>
      </c>
      <c r="E696">
        <v>238.05</v>
      </c>
      <c r="F696">
        <v>-0.03</v>
      </c>
    </row>
    <row r="697" spans="1:6" x14ac:dyDescent="0.3">
      <c r="A697" t="str">
        <f>HYPERLINK("https://us2.cloudbeds.com/connect/10074733072513#/reservations/31726942765307?display=MXEXUHC4J&amp;reservation_id=31726942765307", "MXEXUHC4J")</f>
        <v>MXEXUHC4J</v>
      </c>
      <c r="B697" t="s">
        <v>1735</v>
      </c>
      <c r="C697">
        <v>356</v>
      </c>
      <c r="D697">
        <v>386.94</v>
      </c>
      <c r="E697">
        <v>386.97</v>
      </c>
      <c r="F697">
        <v>-0.03</v>
      </c>
    </row>
    <row r="698" spans="1:6" x14ac:dyDescent="0.3">
      <c r="A698" t="str">
        <f>HYPERLINK("https://us2.cloudbeds.com/connect/10074733072513#/reservations/31722882990209?display=MXBE674YP&amp;reservation_id=31722882990209", "MXBE674YP")</f>
        <v>MXBE674YP</v>
      </c>
      <c r="B698" t="s">
        <v>1735</v>
      </c>
      <c r="C698">
        <v>356</v>
      </c>
      <c r="D698">
        <v>386.94</v>
      </c>
      <c r="E698">
        <v>386.97</v>
      </c>
      <c r="F698">
        <v>-0.03</v>
      </c>
    </row>
    <row r="699" spans="1:6" x14ac:dyDescent="0.3">
      <c r="A699" t="str">
        <f>HYPERLINK("https://us2.cloudbeds.com/connect/10074733072513#/reservations/31726961344640?display=MXEJ1Z2XD&amp;reservation_id=31726961344640", "MXEJ1Z2XD")</f>
        <v>MXEJ1Z2XD</v>
      </c>
      <c r="B699" t="s">
        <v>1735</v>
      </c>
      <c r="C699">
        <v>219</v>
      </c>
      <c r="D699">
        <v>238.02</v>
      </c>
      <c r="E699">
        <v>238.05</v>
      </c>
      <c r="F699">
        <v>-0.03</v>
      </c>
    </row>
    <row r="700" spans="1:6" x14ac:dyDescent="0.3">
      <c r="A700" t="str">
        <f>HYPERLINK("https://us2.cloudbeds.com/connect/10074733072513#/reservations/31722633830650?display=MXB7R3U03&amp;reservation_id=31722633830650", "MXB7R3U03")</f>
        <v>MXB7R3U03</v>
      </c>
      <c r="B700" t="s">
        <v>1723</v>
      </c>
      <c r="C700">
        <v>695</v>
      </c>
      <c r="D700">
        <v>755.44</v>
      </c>
      <c r="E700">
        <v>755.47</v>
      </c>
      <c r="F700">
        <v>-0.03</v>
      </c>
    </row>
    <row r="701" spans="1:6" x14ac:dyDescent="0.3">
      <c r="A701" t="str">
        <f>HYPERLINK("https://us2.cloudbeds.com/connect/10074733072513#/reservations/31724527886569?display=MXCN77QY0&amp;reservation_id=31724527886569", "MXCN77QY0")</f>
        <v>MXCN77QY0</v>
      </c>
      <c r="B701" t="s">
        <v>1755</v>
      </c>
      <c r="C701">
        <v>595</v>
      </c>
      <c r="D701">
        <v>646.74</v>
      </c>
      <c r="E701">
        <v>646.77</v>
      </c>
      <c r="F701">
        <v>-0.03</v>
      </c>
    </row>
    <row r="702" spans="1:6" x14ac:dyDescent="0.3">
      <c r="A702" t="str">
        <f>HYPERLINK("https://us2.cloudbeds.com/connect/10074733072513#/reservations/31725772407002?display=MXDM0YDVD&amp;reservation_id=31725772407002", "MXDM0YDVD")</f>
        <v>MXDM0YDVD</v>
      </c>
      <c r="B702" t="s">
        <v>1748</v>
      </c>
      <c r="C702">
        <v>436</v>
      </c>
      <c r="D702">
        <v>473.9</v>
      </c>
      <c r="E702">
        <v>473.93</v>
      </c>
      <c r="F702">
        <v>-0.03</v>
      </c>
    </row>
    <row r="703" spans="1:6" x14ac:dyDescent="0.3">
      <c r="A703" t="str">
        <f>HYPERLINK("https://us2.cloudbeds.com/connect/10074733072513#/reservations/31725494259933?display=MXDEU3XRB&amp;reservation_id=31725494259933", "MXDEU3XRB")</f>
        <v>MXDEU3XRB</v>
      </c>
      <c r="B703" t="s">
        <v>1762</v>
      </c>
      <c r="C703">
        <v>1260</v>
      </c>
      <c r="D703">
        <v>1369.59</v>
      </c>
      <c r="E703">
        <v>1369.62</v>
      </c>
      <c r="F703">
        <v>-0.03</v>
      </c>
    </row>
    <row r="704" spans="1:6" x14ac:dyDescent="0.3">
      <c r="A704" t="str">
        <f>HYPERLINK("https://us2.cloudbeds.com/connect/10074733072513#/reservations/31724797645001?display=MXCU3N7MV&amp;reservation_id=31724797645001", "MXCU3N7MV")</f>
        <v>MXCU3N7MV</v>
      </c>
      <c r="B704" t="s">
        <v>1752</v>
      </c>
      <c r="C704">
        <v>695</v>
      </c>
      <c r="D704">
        <v>755.44</v>
      </c>
      <c r="E704">
        <v>755.47</v>
      </c>
      <c r="F704">
        <v>-0.03</v>
      </c>
    </row>
    <row r="705" spans="1:6" x14ac:dyDescent="0.3">
      <c r="A705" t="str">
        <f>HYPERLINK("https://us2.cloudbeds.com/connect/10074733072513#/reservations/31722569015435?display=MXB65FATM&amp;reservation_id=31722569015435", "MXB65FATM")</f>
        <v>MXB65FATM</v>
      </c>
      <c r="B705" t="s">
        <v>1723</v>
      </c>
      <c r="C705">
        <v>412.8</v>
      </c>
      <c r="D705">
        <v>448.68</v>
      </c>
      <c r="E705">
        <v>448.71</v>
      </c>
      <c r="F705">
        <v>-0.03</v>
      </c>
    </row>
    <row r="706" spans="1:6" x14ac:dyDescent="0.3">
      <c r="A706" t="str">
        <f>HYPERLINK("https://us2.cloudbeds.com/connect/10074733072513#/reservations/31726482215059?display=MXE755SWF&amp;reservation_id=31726482215059", "MXE755SWF")</f>
        <v>MXE755SWF</v>
      </c>
      <c r="B706" t="s">
        <v>1769</v>
      </c>
      <c r="C706">
        <v>476</v>
      </c>
      <c r="D706">
        <v>517.38</v>
      </c>
      <c r="E706">
        <v>517.41</v>
      </c>
      <c r="F706">
        <v>-0.03</v>
      </c>
    </row>
    <row r="707" spans="1:6" x14ac:dyDescent="0.3">
      <c r="A707" t="str">
        <f>HYPERLINK("https://us2.cloudbeds.com/connect/10074733072513#/reservations/31719912956042?display=MX949QXXD&amp;reservation_id=31719912956042", "MX949QXXD")</f>
        <v>MX949QXXD</v>
      </c>
      <c r="B707" t="s">
        <v>1771</v>
      </c>
      <c r="C707">
        <v>219</v>
      </c>
      <c r="D707">
        <v>238.02</v>
      </c>
      <c r="E707">
        <v>238.05</v>
      </c>
      <c r="F707">
        <v>-0.03</v>
      </c>
    </row>
    <row r="708" spans="1:6" x14ac:dyDescent="0.3">
      <c r="A708" t="str">
        <f>HYPERLINK("https://us2.cloudbeds.com/connect/10074733072513#/reservations/31722482835704?display=MXB3VQ8AM&amp;reservation_id=31722482835704", "MXB3VQ8AM")</f>
        <v>MXB3VQ8AM</v>
      </c>
      <c r="B708" t="s">
        <v>1790</v>
      </c>
      <c r="C708">
        <v>420.3</v>
      </c>
      <c r="D708">
        <v>456.84</v>
      </c>
      <c r="E708">
        <v>456.87</v>
      </c>
      <c r="F708">
        <v>-0.03</v>
      </c>
    </row>
    <row r="709" spans="1:6" x14ac:dyDescent="0.3">
      <c r="A709" t="str">
        <f>HYPERLINK("https://us2.cloudbeds.com/connect/10074733072513#/reservations/31718367039702?display=MX7UQ85AN&amp;reservation_id=31718367039702", "MX7UQ85AN")</f>
        <v>MX7UQ85AN</v>
      </c>
      <c r="B709" t="s">
        <v>1666</v>
      </c>
      <c r="C709">
        <v>536.4</v>
      </c>
      <c r="D709">
        <v>583.04</v>
      </c>
      <c r="E709">
        <v>583.07000000000005</v>
      </c>
      <c r="F709">
        <v>-0.03</v>
      </c>
    </row>
    <row r="710" spans="1:6" x14ac:dyDescent="0.3">
      <c r="A710" t="str">
        <f>HYPERLINK("https://us2.cloudbeds.com/connect/10074733072513#/reservations/31718675263706?display=MX85M4VA1&amp;reservation_id=31718675263706", "MX85M4VA1")</f>
        <v>MX85M4VA1</v>
      </c>
      <c r="B710" t="s">
        <v>1798</v>
      </c>
      <c r="C710">
        <v>482.4</v>
      </c>
      <c r="D710">
        <v>524.34</v>
      </c>
      <c r="E710">
        <v>524.37</v>
      </c>
      <c r="F710">
        <v>-0.03</v>
      </c>
    </row>
    <row r="711" spans="1:6" x14ac:dyDescent="0.3">
      <c r="A711" t="str">
        <f>HYPERLINK("https://us2.cloudbeds.com/connect/10074733072513#/reservations/31723078148296?display=MXBJ5PN66&amp;reservation_id=31723078148296", "MXBJ5PN66")</f>
        <v>MXBJ5PN66</v>
      </c>
      <c r="B711" t="s">
        <v>1793</v>
      </c>
      <c r="C711">
        <v>219</v>
      </c>
      <c r="D711">
        <v>238.02</v>
      </c>
      <c r="E711">
        <v>238.05</v>
      </c>
      <c r="F711">
        <v>-0.03</v>
      </c>
    </row>
    <row r="712" spans="1:6" x14ac:dyDescent="0.3">
      <c r="A712" t="str">
        <f>HYPERLINK("https://us2.cloudbeds.com/connect/10074733072513#/reservations/31722622189715?display=MXB7H9WEG&amp;reservation_id=31722622189715", "MXB7H9WEG")</f>
        <v>MXB7H9WEG</v>
      </c>
      <c r="B712" t="s">
        <v>1803</v>
      </c>
      <c r="C712">
        <v>219</v>
      </c>
      <c r="D712">
        <v>238.02</v>
      </c>
      <c r="E712">
        <v>238.05</v>
      </c>
      <c r="F712">
        <v>-0.03</v>
      </c>
    </row>
    <row r="713" spans="1:6" x14ac:dyDescent="0.3">
      <c r="A713" t="str">
        <f>HYPERLINK("https://us2.cloudbeds.com/connect/10074733072513#/reservations/31719104610530?display=MX8GY655S&amp;reservation_id=31719104610530", "MX8GY655S")</f>
        <v>MX8GY655S</v>
      </c>
      <c r="B713" t="s">
        <v>1799</v>
      </c>
      <c r="C713">
        <v>291.68</v>
      </c>
      <c r="D713">
        <v>317.02999999999997</v>
      </c>
      <c r="E713">
        <v>317.06</v>
      </c>
      <c r="F713">
        <v>-0.03</v>
      </c>
    </row>
    <row r="714" spans="1:6" x14ac:dyDescent="0.3">
      <c r="A714" t="str">
        <f>HYPERLINK("https://us2.cloudbeds.com/connect/10074733072513#/reservations/31720399016128?display=MX9G0QJQR&amp;reservation_id=31720399016128", "MX9G0QJQR")</f>
        <v>MX9G0QJQR</v>
      </c>
      <c r="B714" t="s">
        <v>1773</v>
      </c>
      <c r="C714">
        <v>536.4</v>
      </c>
      <c r="D714">
        <v>583.04</v>
      </c>
      <c r="E714">
        <v>583.07000000000005</v>
      </c>
      <c r="F714">
        <v>-0.03</v>
      </c>
    </row>
    <row r="715" spans="1:6" x14ac:dyDescent="0.3">
      <c r="A715" t="str">
        <f>HYPERLINK("https://us2.cloudbeds.com/connect/10074733072513#/reservations/31716124577949?display=MX66GBBQ8&amp;reservation_id=31716124577949", "MX66GBBQ8")</f>
        <v>MX66GBBQ8</v>
      </c>
      <c r="B715" t="s">
        <v>1760</v>
      </c>
      <c r="C715">
        <v>670.5</v>
      </c>
      <c r="D715">
        <v>728.8</v>
      </c>
      <c r="E715">
        <v>728.83</v>
      </c>
      <c r="F715">
        <v>-0.03</v>
      </c>
    </row>
    <row r="716" spans="1:6" x14ac:dyDescent="0.3">
      <c r="A716" t="str">
        <f>HYPERLINK("https://us2.cloudbeds.com/connect/10074733072513#/reservations/31718377549967?display=MX7V23KKX&amp;reservation_id=31718377549967", "MX7V23KKX")</f>
        <v>MX7V23KKX</v>
      </c>
      <c r="B716" t="s">
        <v>1819</v>
      </c>
      <c r="C716">
        <v>536.4</v>
      </c>
      <c r="D716">
        <v>583.04</v>
      </c>
      <c r="E716">
        <v>583.07000000000005</v>
      </c>
      <c r="F716">
        <v>-0.03</v>
      </c>
    </row>
    <row r="717" spans="1:6" x14ac:dyDescent="0.3">
      <c r="A717" t="str">
        <f>HYPERLINK("https://us2.cloudbeds.com/connect/10074733072513#/reservations/31720139067613?display=MX9A2FES6&amp;reservation_id=31720139067613", "MX9A2FES6")</f>
        <v>MX9A2FES6</v>
      </c>
      <c r="B717" t="s">
        <v>1863</v>
      </c>
      <c r="C717">
        <v>412.8</v>
      </c>
      <c r="D717">
        <v>448.68</v>
      </c>
      <c r="E717">
        <v>448.71</v>
      </c>
      <c r="F717">
        <v>-0.03</v>
      </c>
    </row>
    <row r="718" spans="1:6" x14ac:dyDescent="0.3">
      <c r="A718" t="str">
        <f>HYPERLINK("https://us2.cloudbeds.com/connect/10074733072513#/reservations/31718981849336?display=MX8DGM4QM&amp;reservation_id=31718981849336", "MX8DGM4QM")</f>
        <v>MX8DGM4QM</v>
      </c>
      <c r="B718" t="s">
        <v>1915</v>
      </c>
      <c r="C718">
        <v>536.4</v>
      </c>
      <c r="D718">
        <v>583.04</v>
      </c>
      <c r="E718">
        <v>583.07000000000005</v>
      </c>
      <c r="F718">
        <v>-0.03</v>
      </c>
    </row>
    <row r="719" spans="1:6" x14ac:dyDescent="0.3">
      <c r="A719" t="str">
        <f>HYPERLINK("https://us2.cloudbeds.com/connect/10074733072513#/reservations/31712995221732?display=MX3PHJDEW&amp;reservation_id=31712995221732", "MX3PHJDEW")</f>
        <v>MX3PHJDEW</v>
      </c>
      <c r="B719" t="s">
        <v>1936</v>
      </c>
      <c r="C719">
        <v>420.3</v>
      </c>
      <c r="D719">
        <v>456.84</v>
      </c>
      <c r="E719">
        <v>456.87</v>
      </c>
      <c r="F719">
        <v>-0.03</v>
      </c>
    </row>
    <row r="720" spans="1:6" x14ac:dyDescent="0.3">
      <c r="A720" t="str">
        <f>HYPERLINK("https://us2.cloudbeds.com/connect/10074733072513#/reservations/31714383163612?display=MX4RWUUTQ&amp;reservation_id=31714383163612", "MX4RWUUTQ")</f>
        <v>MX4RWUUTQ</v>
      </c>
      <c r="B720" t="s">
        <v>1980</v>
      </c>
      <c r="C720">
        <v>536.4</v>
      </c>
      <c r="D720">
        <v>583.04</v>
      </c>
      <c r="E720">
        <v>583.07000000000005</v>
      </c>
      <c r="F720">
        <v>-0.03</v>
      </c>
    </row>
    <row r="721" spans="1:6" x14ac:dyDescent="0.3">
      <c r="A721" t="str">
        <f>HYPERLINK("https://us2.cloudbeds.com/connect/10074733072513#/reservations/31714136252570?display=MX4YMZ901&amp;reservation_id=31714136252570", "MX4YMZ901")</f>
        <v>MX4YMZ901</v>
      </c>
      <c r="B721" t="s">
        <v>1920</v>
      </c>
      <c r="C721">
        <v>680.4</v>
      </c>
      <c r="D721">
        <v>739.56</v>
      </c>
      <c r="E721">
        <v>739.59</v>
      </c>
      <c r="F721">
        <v>-0.03</v>
      </c>
    </row>
    <row r="722" spans="1:6" x14ac:dyDescent="0.3">
      <c r="A722" t="str">
        <f>HYPERLINK("https://us2.cloudbeds.com/connect/10074733072513#/reservations/31711162233029?display=MX2BMVQ7P&amp;reservation_id=31711162233029", "MX2BMVQ7P")</f>
        <v>MX2BMVQ7P</v>
      </c>
      <c r="B722" t="s">
        <v>1979</v>
      </c>
      <c r="C722">
        <v>420.3</v>
      </c>
      <c r="D722">
        <v>456.84</v>
      </c>
      <c r="E722">
        <v>456.87</v>
      </c>
      <c r="F722">
        <v>-0.03</v>
      </c>
    </row>
    <row r="723" spans="1:6" x14ac:dyDescent="0.3">
      <c r="A723" t="str">
        <f>HYPERLINK("https://us2.cloudbeds.com/connect/10074733072513#/reservations/31702209704170?display=MHSDUVFUF&amp;reservation_id=31702209704170", "MHSDUVFUF")</f>
        <v>MHSDUVFUF</v>
      </c>
      <c r="B723" t="s">
        <v>1916</v>
      </c>
      <c r="C723">
        <v>420.3</v>
      </c>
      <c r="D723">
        <v>456.84</v>
      </c>
      <c r="E723">
        <v>456.87</v>
      </c>
      <c r="F723">
        <v>-0.03</v>
      </c>
    </row>
    <row r="724" spans="1:6" x14ac:dyDescent="0.3">
      <c r="A724" t="str">
        <f>HYPERLINK("https://us2.cloudbeds.com/connect/10074733072513#/reservations/31703115247840?display=MHT42HXQZ&amp;reservation_id=31703115247840", "MHT42HXQZ")</f>
        <v>MHT42HXQZ</v>
      </c>
      <c r="B724" t="s">
        <v>1912</v>
      </c>
      <c r="C724">
        <v>388.92</v>
      </c>
      <c r="D724">
        <v>422.73</v>
      </c>
      <c r="E724">
        <v>422.76</v>
      </c>
      <c r="F724">
        <v>-0.03</v>
      </c>
    </row>
    <row r="725" spans="1:6" x14ac:dyDescent="0.3">
      <c r="A725" t="str">
        <f>HYPERLINK("https://us2.cloudbeds.com/connect/10074733072513#/reservations/31703115243758?display=MHT42HF21&amp;reservation_id=31703115243758", "MHT42HF21")</f>
        <v>MHT42HF21</v>
      </c>
      <c r="B725" t="s">
        <v>2012</v>
      </c>
      <c r="C725">
        <v>574.6</v>
      </c>
      <c r="D725">
        <v>624.55999999999995</v>
      </c>
      <c r="E725">
        <v>624.59</v>
      </c>
      <c r="F725">
        <v>-0.03</v>
      </c>
    </row>
    <row r="726" spans="1:6" x14ac:dyDescent="0.3">
      <c r="A726" t="str">
        <f>HYPERLINK("https://us2.cloudbeds.com/connect/10074733072513#/reservations/31701852573826?display=MHS4QQQHR&amp;reservation_id=31701852573826", "MHS4QQQHR")</f>
        <v>MHS4QQQHR</v>
      </c>
      <c r="B726" t="s">
        <v>1999</v>
      </c>
      <c r="C726">
        <v>368.64</v>
      </c>
      <c r="D726">
        <v>400.68</v>
      </c>
      <c r="E726">
        <v>400.71</v>
      </c>
      <c r="F726">
        <v>-0.03</v>
      </c>
    </row>
    <row r="727" spans="1:6" x14ac:dyDescent="0.3">
      <c r="A727" t="str">
        <f>HYPERLINK("https://us2.cloudbeds.com/connect/10074733072513#/reservations/31701888471241?display=MHS5Z2N69&amp;reservation_id=31701888471241", "MHS5Z2N69")</f>
        <v>MHS5Z2N69</v>
      </c>
      <c r="B727" t="s">
        <v>1833</v>
      </c>
      <c r="C727">
        <v>348.8</v>
      </c>
      <c r="D727">
        <v>379.12</v>
      </c>
      <c r="E727">
        <v>379.15</v>
      </c>
      <c r="F727">
        <v>-0.03</v>
      </c>
    </row>
    <row r="728" spans="1:6" x14ac:dyDescent="0.3">
      <c r="A728" t="str">
        <f>HYPERLINK("https://us2.cloudbeds.com/connect/10074733072513#/reservations/31701079941322?display=MHRX2A5FY&amp;reservation_id=31701079941322", "MHRX2A5FY")</f>
        <v>MHRX2A5FY</v>
      </c>
      <c r="B728" t="s">
        <v>2024</v>
      </c>
      <c r="C728">
        <v>330.3</v>
      </c>
      <c r="D728">
        <v>359.01</v>
      </c>
      <c r="E728">
        <v>359.04</v>
      </c>
      <c r="F728">
        <v>-0.03</v>
      </c>
    </row>
    <row r="729" spans="1:6" x14ac:dyDescent="0.3">
      <c r="A729" t="str">
        <f>HYPERLINK("https://us2.cloudbeds.com/connect/10074733072513#/reservations/30646160539877?display=YQ2NEAZVD&amp;reservation_id=30646160539877", "YQ2NEAZVD")</f>
        <v>YQ2NEAZVD</v>
      </c>
      <c r="B729" t="s">
        <v>7</v>
      </c>
      <c r="C729">
        <v>381.6</v>
      </c>
      <c r="D729">
        <v>414.78</v>
      </c>
      <c r="E729">
        <v>414.8</v>
      </c>
      <c r="F729">
        <v>-0.02</v>
      </c>
    </row>
    <row r="730" spans="1:6" x14ac:dyDescent="0.3">
      <c r="A730" t="str">
        <f>HYPERLINK("https://us2.cloudbeds.com/connect/10074733072513#/reservations/30646114361505?display=YQ2M8CPXP&amp;reservation_id=30646114361505", "YQ2M8CPXP")</f>
        <v>YQ2M8CPXP</v>
      </c>
      <c r="B730" t="s">
        <v>23</v>
      </c>
      <c r="C730">
        <v>212.59</v>
      </c>
      <c r="D730">
        <v>231.07</v>
      </c>
      <c r="E730">
        <v>231.09</v>
      </c>
      <c r="F730">
        <v>-0.02</v>
      </c>
    </row>
    <row r="731" spans="1:6" x14ac:dyDescent="0.3">
      <c r="A731" t="str">
        <f>HYPERLINK("https://us2.cloudbeds.com/connect/10074733072513#/reservations/30647801594099?display=YQ3WC3GQ7&amp;reservation_id=30647801594099", "YQ3WC3GQ7")</f>
        <v>YQ3WC3GQ7</v>
      </c>
      <c r="B731" t="s">
        <v>11</v>
      </c>
      <c r="C731">
        <v>236.3</v>
      </c>
      <c r="D731">
        <v>256.83999999999997</v>
      </c>
      <c r="E731">
        <v>256.86</v>
      </c>
      <c r="F731">
        <v>-0.02</v>
      </c>
    </row>
    <row r="732" spans="1:6" x14ac:dyDescent="0.3">
      <c r="A732" t="str">
        <f>HYPERLINK("https://us2.cloudbeds.com/connect/10074733072513#/reservations/30646218104960?display=YQ2ZTSFZM&amp;reservation_id=30646218104960", "YQ2ZTSFZM")</f>
        <v>YQ2ZTSFZM</v>
      </c>
      <c r="B732" t="s">
        <v>35</v>
      </c>
      <c r="C732">
        <v>362.95</v>
      </c>
      <c r="D732">
        <v>394.51</v>
      </c>
      <c r="E732">
        <v>394.53</v>
      </c>
      <c r="F732">
        <v>-0.02</v>
      </c>
    </row>
    <row r="733" spans="1:6" x14ac:dyDescent="0.3">
      <c r="A733" t="str">
        <f>HYPERLINK("https://us2.cloudbeds.com/connect/10074733072513#/reservations/30648276734084?display=YQ4BGZWAJ&amp;reservation_id=30648276734084", "YQ4BGZWAJ")</f>
        <v>YQ4BGZWAJ</v>
      </c>
      <c r="B733" t="s">
        <v>30</v>
      </c>
      <c r="C733">
        <v>518.4</v>
      </c>
      <c r="D733">
        <v>563.48</v>
      </c>
      <c r="E733">
        <v>563.5</v>
      </c>
      <c r="F733">
        <v>-0.02</v>
      </c>
    </row>
    <row r="734" spans="1:6" x14ac:dyDescent="0.3">
      <c r="A734" t="str">
        <f>HYPERLINK("https://us2.cloudbeds.com/connect/10074733072513#/reservations/30646570930364?display=YQ30UCFNP&amp;reservation_id=30646570930364", "YQ30UCFNP")</f>
        <v>YQ30UCFNP</v>
      </c>
      <c r="B734" t="s">
        <v>28</v>
      </c>
      <c r="C734">
        <v>278.8</v>
      </c>
      <c r="D734">
        <v>303.04000000000002</v>
      </c>
      <c r="E734">
        <v>303.06</v>
      </c>
      <c r="F734">
        <v>-0.02</v>
      </c>
    </row>
    <row r="735" spans="1:6" x14ac:dyDescent="0.3">
      <c r="A735" t="str">
        <f>HYPERLINK("https://us2.cloudbeds.com/connect/10074733072513#/reservations/30646148300971?display=YQ2N4069F&amp;reservation_id=30646148300971", "YQ2N4069F")</f>
        <v>YQ2N4069F</v>
      </c>
      <c r="B735" t="s">
        <v>33</v>
      </c>
      <c r="C735">
        <v>206.4</v>
      </c>
      <c r="D735">
        <v>224.34</v>
      </c>
      <c r="E735">
        <v>224.36</v>
      </c>
      <c r="F735">
        <v>-0.02</v>
      </c>
    </row>
    <row r="736" spans="1:6" x14ac:dyDescent="0.3">
      <c r="A736" t="str">
        <f>HYPERLINK("https://us2.cloudbeds.com/connect/10074733072513#/reservations/30646209548542?display=YQ2ZMYGAF&amp;reservation_id=30646209548542", "YQ2ZMYGAF")</f>
        <v>YQ2ZMYGAF</v>
      </c>
      <c r="B736" t="s">
        <v>35</v>
      </c>
      <c r="C736">
        <v>392.4</v>
      </c>
      <c r="D736">
        <v>426.52</v>
      </c>
      <c r="E736">
        <v>426.54</v>
      </c>
      <c r="F736">
        <v>-0.02</v>
      </c>
    </row>
    <row r="737" spans="1:6" x14ac:dyDescent="0.3">
      <c r="A737" t="str">
        <f>HYPERLINK("https://us2.cloudbeds.com/connect/10074733072513#/reservations/30647598248165?display=YQ3R5Y3J7&amp;reservation_id=30647598248165", "YQ3R5Y3J7")</f>
        <v>YQ3R5Y3J7</v>
      </c>
      <c r="B737" t="s">
        <v>37</v>
      </c>
      <c r="C737">
        <v>296.27999999999997</v>
      </c>
      <c r="D737">
        <v>322.04000000000002</v>
      </c>
      <c r="E737">
        <v>322.06</v>
      </c>
      <c r="F737">
        <v>-0.02</v>
      </c>
    </row>
    <row r="738" spans="1:6" x14ac:dyDescent="0.3">
      <c r="A738" t="str">
        <f>HYPERLINK("https://us2.cloudbeds.com/connect/10074733072513#/reservations/30647865032884?display=YQ40WJPVY&amp;reservation_id=30647865032884", "YQ40WJPVY")</f>
        <v>YQ40WJPVY</v>
      </c>
      <c r="B738" t="s">
        <v>53</v>
      </c>
      <c r="C738">
        <v>261.60000000000002</v>
      </c>
      <c r="D738">
        <v>284.33999999999997</v>
      </c>
      <c r="E738">
        <v>284.36</v>
      </c>
      <c r="F738">
        <v>-0.02</v>
      </c>
    </row>
    <row r="739" spans="1:6" x14ac:dyDescent="0.3">
      <c r="A739" t="str">
        <f>HYPERLINK("https://us2.cloudbeds.com/connect/10074733072513#/reservations/30647580831960?display=YQ3QNVFZE&amp;reservation_id=30647580831960", "YQ3QNVFZE")</f>
        <v>YQ3QNVFZE</v>
      </c>
      <c r="B739" t="s">
        <v>72</v>
      </c>
      <c r="C739">
        <v>206.4</v>
      </c>
      <c r="D739">
        <v>224.34</v>
      </c>
      <c r="E739">
        <v>224.36</v>
      </c>
      <c r="F739">
        <v>-0.02</v>
      </c>
    </row>
    <row r="740" spans="1:6" x14ac:dyDescent="0.3">
      <c r="A740" t="str">
        <f>HYPERLINK("https://us2.cloudbeds.com/connect/10074733072513#/reservations/30653532926148?display=YQ8DQU8VW&amp;reservation_id=30653532926148", "YQ8DQU8VW")</f>
        <v>YQ8DQU8VW</v>
      </c>
      <c r="B740" t="s">
        <v>79</v>
      </c>
      <c r="C740">
        <v>801.9</v>
      </c>
      <c r="D740">
        <v>871.65</v>
      </c>
      <c r="E740">
        <v>871.67</v>
      </c>
      <c r="F740">
        <v>-0.02</v>
      </c>
    </row>
    <row r="741" spans="1:6" x14ac:dyDescent="0.3">
      <c r="A741" t="str">
        <f>HYPERLINK("https://us2.cloudbeds.com/connect/10074733072513#/reservations/30650638151837?display=YQ65RVU0A&amp;reservation_id=30650638151837", "YQ65RVU0A")</f>
        <v>YQ65RVU0A</v>
      </c>
      <c r="B741" t="s">
        <v>90</v>
      </c>
      <c r="C741">
        <v>206.4</v>
      </c>
      <c r="D741">
        <v>224.34</v>
      </c>
      <c r="E741">
        <v>224.36</v>
      </c>
      <c r="F741">
        <v>-0.02</v>
      </c>
    </row>
    <row r="742" spans="1:6" x14ac:dyDescent="0.3">
      <c r="A742" t="str">
        <f>HYPERLINK("https://us2.cloudbeds.com/connect/10074733072513#/reservations/30649450197210?display=YQ58G8AJ8&amp;reservation_id=30649450197210", "YQ58G8AJ8")</f>
        <v>YQ58G8AJ8</v>
      </c>
      <c r="B742" t="s">
        <v>106</v>
      </c>
      <c r="C742">
        <v>1152</v>
      </c>
      <c r="D742">
        <v>1252.2</v>
      </c>
      <c r="E742">
        <v>1252.22</v>
      </c>
      <c r="F742">
        <v>-0.02</v>
      </c>
    </row>
    <row r="743" spans="1:6" x14ac:dyDescent="0.3">
      <c r="A743" t="str">
        <f>HYPERLINK("https://us2.cloudbeds.com/connect/10074733072513#/reservations/30648143216840?display=YQ4835YVG&amp;reservation_id=30648143216840", "YQ4835YVG")</f>
        <v>YQ4835YVG</v>
      </c>
      <c r="B743" t="s">
        <v>100</v>
      </c>
      <c r="C743">
        <v>145.91999999999999</v>
      </c>
      <c r="D743">
        <v>158.6</v>
      </c>
      <c r="E743">
        <v>158.62</v>
      </c>
      <c r="F743">
        <v>-0.02</v>
      </c>
    </row>
    <row r="744" spans="1:6" x14ac:dyDescent="0.3">
      <c r="A744" t="str">
        <f>HYPERLINK("https://us2.cloudbeds.com/connect/10074733072513#/reservations/30648780517595?display=YQ4ZCXGEJ&amp;reservation_id=30648780517595", "YQ4ZCXGEJ")</f>
        <v>YQ4ZCXGEJ</v>
      </c>
      <c r="B744" t="s">
        <v>112</v>
      </c>
      <c r="C744">
        <v>166.4</v>
      </c>
      <c r="D744">
        <v>180.86</v>
      </c>
      <c r="E744">
        <v>180.88</v>
      </c>
      <c r="F744">
        <v>-0.02</v>
      </c>
    </row>
    <row r="745" spans="1:6" x14ac:dyDescent="0.3">
      <c r="A745" t="str">
        <f>HYPERLINK("https://us2.cloudbeds.com/connect/10074733072513#/reservations/30652199596284?display=YQ7CZKD9N&amp;reservation_id=30652199596284", "YQ7CZKD9N")</f>
        <v>YQ7CZKD9N</v>
      </c>
      <c r="B745" t="s">
        <v>60</v>
      </c>
      <c r="C745">
        <v>236.3</v>
      </c>
      <c r="D745">
        <v>256.83999999999997</v>
      </c>
      <c r="E745">
        <v>256.86</v>
      </c>
      <c r="F745">
        <v>-0.02</v>
      </c>
    </row>
    <row r="746" spans="1:6" x14ac:dyDescent="0.3">
      <c r="A746" t="str">
        <f>HYPERLINK("https://us2.cloudbeds.com/connect/10074733072513#/reservations/30651970588878?display=YQ76TGURB&amp;reservation_id=30651970588878", "YQ76TGURB")</f>
        <v>YQ76TGURB</v>
      </c>
      <c r="B746" t="s">
        <v>94</v>
      </c>
      <c r="C746">
        <v>150.97999999999999</v>
      </c>
      <c r="D746">
        <v>164.1</v>
      </c>
      <c r="E746">
        <v>164.12</v>
      </c>
      <c r="F746">
        <v>-0.02</v>
      </c>
    </row>
    <row r="747" spans="1:6" x14ac:dyDescent="0.3">
      <c r="A747" t="str">
        <f>HYPERLINK("https://us2.cloudbeds.com/connect/10074733072513#/reservations/30653696717026?display=YQ8X00WQU&amp;reservation_id=30653696717026", "YQ8X00WQU")</f>
        <v>YQ8X00WQU</v>
      </c>
      <c r="B747" t="s">
        <v>116</v>
      </c>
      <c r="C747">
        <v>206.4</v>
      </c>
      <c r="D747">
        <v>224.34</v>
      </c>
      <c r="E747">
        <v>224.36</v>
      </c>
      <c r="F747">
        <v>-0.02</v>
      </c>
    </row>
    <row r="748" spans="1:6" x14ac:dyDescent="0.3">
      <c r="A748" t="str">
        <f>HYPERLINK("https://us2.cloudbeds.com/connect/10074733072513#/reservations/30652010234069?display=YQ77TV3VZ&amp;reservation_id=30652010234069", "YQ77TV3VZ")</f>
        <v>YQ77TV3VZ</v>
      </c>
      <c r="B748" t="s">
        <v>125</v>
      </c>
      <c r="C748">
        <v>128.30000000000001</v>
      </c>
      <c r="D748">
        <v>139.44</v>
      </c>
      <c r="E748">
        <v>139.46</v>
      </c>
      <c r="F748">
        <v>-0.02</v>
      </c>
    </row>
    <row r="749" spans="1:6" x14ac:dyDescent="0.3">
      <c r="A749" t="str">
        <f>HYPERLINK("https://us2.cloudbeds.com/connect/10074733072513#/reservations/30648606036151?display=YQ4JUE9Z3&amp;reservation_id=30648606036151", "YQ4JUE9Z3")</f>
        <v>YQ4JUE9Z3</v>
      </c>
      <c r="B749" t="s">
        <v>126</v>
      </c>
      <c r="C749">
        <v>128.30000000000001</v>
      </c>
      <c r="D749">
        <v>139.44</v>
      </c>
      <c r="E749">
        <v>139.46</v>
      </c>
      <c r="F749">
        <v>-0.02</v>
      </c>
    </row>
    <row r="750" spans="1:6" x14ac:dyDescent="0.3">
      <c r="A750" t="str">
        <f>HYPERLINK("https://us2.cloudbeds.com/connect/10074733072513#/reservations/30652768854231?display=YQ7R9KRSH&amp;reservation_id=30652768854231", "YQ7R9KRSH")</f>
        <v>YQ7R9KRSH</v>
      </c>
      <c r="B750" t="s">
        <v>129</v>
      </c>
      <c r="C750">
        <v>236.3</v>
      </c>
      <c r="D750">
        <v>256.83999999999997</v>
      </c>
      <c r="E750">
        <v>256.86</v>
      </c>
      <c r="F750">
        <v>-0.02</v>
      </c>
    </row>
    <row r="751" spans="1:6" x14ac:dyDescent="0.3">
      <c r="A751" t="str">
        <f>HYPERLINK("https://us2.cloudbeds.com/connect/10074733072513#/reservations/30652759142553?display=YQ7R1EJT8&amp;reservation_id=30652759142553", "YQ7R1EJT8")</f>
        <v>YQ7R1EJT8</v>
      </c>
      <c r="B751" t="s">
        <v>129</v>
      </c>
      <c r="C751">
        <v>287.3</v>
      </c>
      <c r="D751">
        <v>312.27999999999997</v>
      </c>
      <c r="E751">
        <v>312.3</v>
      </c>
      <c r="F751">
        <v>-0.02</v>
      </c>
    </row>
    <row r="752" spans="1:6" x14ac:dyDescent="0.3">
      <c r="A752" t="str">
        <f>HYPERLINK("https://us2.cloudbeds.com/connect/10074733072513#/reservations/30651368517766?display=YQ6ZGRDQ6&amp;reservation_id=30651368517766", "YQ6ZGRDQ6")</f>
        <v>YQ6ZGRDQ6</v>
      </c>
      <c r="B752" t="s">
        <v>147</v>
      </c>
      <c r="C752">
        <v>286.39999999999998</v>
      </c>
      <c r="D752">
        <v>311.3</v>
      </c>
      <c r="E752">
        <v>311.32</v>
      </c>
      <c r="F752">
        <v>-0.02</v>
      </c>
    </row>
    <row r="753" spans="1:6" x14ac:dyDescent="0.3">
      <c r="A753" t="str">
        <f>HYPERLINK("https://us2.cloudbeds.com/connect/10074733072513#/reservations/30651931181250?display=YQ75T9BRQ&amp;reservation_id=30651931181250", "YQ75T9BRQ")</f>
        <v>YQ75T9BRQ</v>
      </c>
      <c r="B753" t="s">
        <v>94</v>
      </c>
      <c r="C753">
        <v>201.6</v>
      </c>
      <c r="D753">
        <v>219.12</v>
      </c>
      <c r="E753">
        <v>219.14</v>
      </c>
      <c r="F753">
        <v>-0.02</v>
      </c>
    </row>
    <row r="754" spans="1:6" x14ac:dyDescent="0.3">
      <c r="A754" t="str">
        <f>HYPERLINK("https://us2.cloudbeds.com/connect/10074733072513#/reservations/30651227639961?display=YQ6KU19DQ&amp;reservation_id=30651227639961", "YQ6KU19DQ")</f>
        <v>YQ6KU19DQ</v>
      </c>
      <c r="B754" t="s">
        <v>153</v>
      </c>
      <c r="C754">
        <v>392.4</v>
      </c>
      <c r="D754">
        <v>426.52</v>
      </c>
      <c r="E754">
        <v>426.54</v>
      </c>
      <c r="F754">
        <v>-0.02</v>
      </c>
    </row>
    <row r="755" spans="1:6" x14ac:dyDescent="0.3">
      <c r="A755" t="str">
        <f>HYPERLINK("https://us2.cloudbeds.com/connect/10074733072513#/reservations/30650976784583?display=YQ6EGGSHM&amp;reservation_id=30650976784583", "YQ6EGGSHM")</f>
        <v>YQ6EGGSHM</v>
      </c>
      <c r="B755" t="s">
        <v>159</v>
      </c>
      <c r="C755">
        <v>261.60000000000002</v>
      </c>
      <c r="D755">
        <v>284.33999999999997</v>
      </c>
      <c r="E755">
        <v>284.36</v>
      </c>
      <c r="F755">
        <v>-0.02</v>
      </c>
    </row>
    <row r="756" spans="1:6" x14ac:dyDescent="0.3">
      <c r="A756" t="str">
        <f>HYPERLINK("https://us2.cloudbeds.com/connect/10074733072513#/reservations/30651666731233?display=YQ6W49YBU&amp;reservation_id=30651666731233", "YQ6W49YBU")</f>
        <v>YQ6W49YBU</v>
      </c>
      <c r="B756" t="s">
        <v>131</v>
      </c>
      <c r="C756">
        <v>128.30000000000001</v>
      </c>
      <c r="D756">
        <v>139.44</v>
      </c>
      <c r="E756">
        <v>139.46</v>
      </c>
      <c r="F756">
        <v>-0.02</v>
      </c>
    </row>
    <row r="757" spans="1:6" x14ac:dyDescent="0.3">
      <c r="A757" t="str">
        <f>HYPERLINK("https://us2.cloudbeds.com/connect/10074733072513#/reservations/30653373378690?display=YQ89ZCKZH&amp;reservation_id=30653373378690", "YQ89ZCKZH")</f>
        <v>YQ89ZCKZH</v>
      </c>
      <c r="B757" t="s">
        <v>160</v>
      </c>
      <c r="C757">
        <v>490.5</v>
      </c>
      <c r="D757">
        <v>533.15</v>
      </c>
      <c r="E757">
        <v>533.16999999999996</v>
      </c>
      <c r="F757">
        <v>-0.02</v>
      </c>
    </row>
    <row r="758" spans="1:6" x14ac:dyDescent="0.3">
      <c r="A758" t="str">
        <f>HYPERLINK("https://us2.cloudbeds.com/connect/10074733072513#/reservations/30651130237125?display=YQ6XDTTVN&amp;reservation_id=30651130237125", "YQ6XDTTVN")</f>
        <v>YQ6XDTTVN</v>
      </c>
      <c r="B758" t="s">
        <v>141</v>
      </c>
      <c r="C758">
        <v>128.30000000000001</v>
      </c>
      <c r="D758">
        <v>139.44</v>
      </c>
      <c r="E758">
        <v>139.46</v>
      </c>
      <c r="F758">
        <v>-0.02</v>
      </c>
    </row>
    <row r="759" spans="1:6" x14ac:dyDescent="0.3">
      <c r="A759" t="str">
        <f>HYPERLINK("https://us2.cloudbeds.com/connect/10074733072513#/reservations/30652602065083?display=YQ7N0WMPU&amp;reservation_id=30652602065083", "YQ7N0WMPU")</f>
        <v>YQ7N0WMPU</v>
      </c>
      <c r="B759" t="s">
        <v>163</v>
      </c>
      <c r="C759">
        <v>206.4</v>
      </c>
      <c r="D759">
        <v>224.34</v>
      </c>
      <c r="E759">
        <v>224.36</v>
      </c>
      <c r="F759">
        <v>-0.02</v>
      </c>
    </row>
    <row r="760" spans="1:6" x14ac:dyDescent="0.3">
      <c r="A760" t="str">
        <f>HYPERLINK("https://us2.cloudbeds.com/connect/10074733072513#/reservations/30651729326213?display=YQ70Z2EMG&amp;reservation_id=30651729326213", "YQ70Z2EMG")</f>
        <v>YQ70Z2EMG</v>
      </c>
      <c r="B760" t="s">
        <v>165</v>
      </c>
      <c r="C760">
        <v>192.4</v>
      </c>
      <c r="D760">
        <v>209.12</v>
      </c>
      <c r="E760">
        <v>209.14</v>
      </c>
      <c r="F760">
        <v>-0.02</v>
      </c>
    </row>
    <row r="761" spans="1:6" x14ac:dyDescent="0.3">
      <c r="A761" t="str">
        <f>HYPERLINK("https://us2.cloudbeds.com/connect/10074733072513#/reservations/30649835798728?display=YQ5XBD89Z&amp;reservation_id=30649835798728", "YQ5XBD89Z")</f>
        <v>YQ5XBD89Z</v>
      </c>
      <c r="B761" t="s">
        <v>152</v>
      </c>
      <c r="C761">
        <v>396.6</v>
      </c>
      <c r="D761">
        <v>431.08</v>
      </c>
      <c r="E761">
        <v>431.1</v>
      </c>
      <c r="F761">
        <v>-0.02</v>
      </c>
    </row>
    <row r="762" spans="1:6" x14ac:dyDescent="0.3">
      <c r="A762" t="str">
        <f>HYPERLINK("https://us2.cloudbeds.com/connect/10074733072513#/reservations/30650464116959?display=YQ61D74C4&amp;reservation_id=30650464116959", "YQ61D74C4")</f>
        <v>YQ61D74C4</v>
      </c>
      <c r="B762" t="s">
        <v>168</v>
      </c>
      <c r="C762">
        <v>128.30000000000001</v>
      </c>
      <c r="D762">
        <v>139.44</v>
      </c>
      <c r="E762">
        <v>139.46</v>
      </c>
      <c r="F762">
        <v>-0.02</v>
      </c>
    </row>
    <row r="763" spans="1:6" x14ac:dyDescent="0.3">
      <c r="A763" t="str">
        <f>HYPERLINK("https://us2.cloudbeds.com/connect/10074733072513#/reservations/30653723476113?display=YQ8XMJJWA&amp;reservation_id=30653723476113", "YQ8XMJJWA")</f>
        <v>YQ8XMJJWA</v>
      </c>
      <c r="B763" t="s">
        <v>116</v>
      </c>
      <c r="C763">
        <v>128.30000000000001</v>
      </c>
      <c r="D763">
        <v>139.44</v>
      </c>
      <c r="E763">
        <v>139.46</v>
      </c>
      <c r="F763">
        <v>-0.02</v>
      </c>
    </row>
    <row r="764" spans="1:6" x14ac:dyDescent="0.3">
      <c r="A764" t="str">
        <f>HYPERLINK("https://us2.cloudbeds.com/connect/10074733072513#/reservations/30650582991049?display=YQ64EEWA9&amp;reservation_id=30650582991049", "YQ64EEWA9")</f>
        <v>YQ64EEWA9</v>
      </c>
      <c r="B764" t="s">
        <v>162</v>
      </c>
      <c r="C764">
        <v>128.30000000000001</v>
      </c>
      <c r="D764">
        <v>139.44</v>
      </c>
      <c r="E764">
        <v>139.46</v>
      </c>
      <c r="F764">
        <v>-0.02</v>
      </c>
    </row>
    <row r="765" spans="1:6" x14ac:dyDescent="0.3">
      <c r="A765" t="str">
        <f>HYPERLINK("https://us2.cloudbeds.com/connect/10074733072513#/reservations/30651810734232?display=YQ72QNZH5&amp;reservation_id=30651810734232", "YQ72QNZH5")</f>
        <v>YQ72QNZH5</v>
      </c>
      <c r="B765" t="s">
        <v>161</v>
      </c>
      <c r="C765">
        <v>186.4</v>
      </c>
      <c r="D765">
        <v>202.6</v>
      </c>
      <c r="E765">
        <v>202.62</v>
      </c>
      <c r="F765">
        <v>-0.02</v>
      </c>
    </row>
    <row r="766" spans="1:6" x14ac:dyDescent="0.3">
      <c r="A766" t="str">
        <f>HYPERLINK("https://us2.cloudbeds.com/connect/10074733072513#/reservations/30654932685015?display=YQ9GJ7KYB&amp;reservation_id=30654932685015", "YQ9GJ7KYB")</f>
        <v>YQ9GJ7KYB</v>
      </c>
      <c r="B766" t="s">
        <v>180</v>
      </c>
      <c r="C766">
        <v>206.4</v>
      </c>
      <c r="D766">
        <v>224.34</v>
      </c>
      <c r="E766">
        <v>224.36</v>
      </c>
      <c r="F766">
        <v>-0.02</v>
      </c>
    </row>
    <row r="767" spans="1:6" x14ac:dyDescent="0.3">
      <c r="A767" t="str">
        <f>HYPERLINK("https://us2.cloudbeds.com/connect/10074733072513#/reservations/30650096484535?display=YQ5P0776Y&amp;reservation_id=30650096484535", "YQ5P0776Y")</f>
        <v>YQ5P0776Y</v>
      </c>
      <c r="B767" t="s">
        <v>181</v>
      </c>
      <c r="C767">
        <v>128.30000000000001</v>
      </c>
      <c r="D767">
        <v>139.44</v>
      </c>
      <c r="E767">
        <v>139.46</v>
      </c>
      <c r="F767">
        <v>-0.02</v>
      </c>
    </row>
    <row r="768" spans="1:6" x14ac:dyDescent="0.3">
      <c r="A768" t="str">
        <f>HYPERLINK("https://us2.cloudbeds.com/connect/10074733072513#/reservations/30650338574555?display=YQ5V6BZ2S&amp;reservation_id=30650338574555", "YQ5V6BZ2S")</f>
        <v>YQ5V6BZ2S</v>
      </c>
      <c r="B768" t="s">
        <v>184</v>
      </c>
      <c r="C768">
        <v>128.30000000000001</v>
      </c>
      <c r="D768">
        <v>139.44</v>
      </c>
      <c r="E768">
        <v>139.46</v>
      </c>
      <c r="F768">
        <v>-0.02</v>
      </c>
    </row>
    <row r="769" spans="1:6" x14ac:dyDescent="0.3">
      <c r="A769" t="str">
        <f>HYPERLINK("https://us2.cloudbeds.com/connect/10074733072513#/reservations/30650349007017?display=YQ5VF50V2&amp;reservation_id=30650349007017", "YQ5VF50V2")</f>
        <v>YQ5VF50V2</v>
      </c>
      <c r="B769" t="s">
        <v>184</v>
      </c>
      <c r="C769">
        <v>128.30000000000001</v>
      </c>
      <c r="D769">
        <v>139.44</v>
      </c>
      <c r="E769">
        <v>139.46</v>
      </c>
      <c r="F769">
        <v>-0.02</v>
      </c>
    </row>
    <row r="770" spans="1:6" x14ac:dyDescent="0.3">
      <c r="A770" t="str">
        <f>HYPERLINK("https://us2.cloudbeds.com/connect/10074733072513#/reservations/30651377893606?display=YQ6ZZZACX&amp;reservation_id=30651377893606", "YQ6ZZZACX")</f>
        <v>YQ6ZZZACX</v>
      </c>
      <c r="B770" t="s">
        <v>147</v>
      </c>
      <c r="C770">
        <v>128.30000000000001</v>
      </c>
      <c r="D770">
        <v>139.44</v>
      </c>
      <c r="E770">
        <v>139.46</v>
      </c>
      <c r="F770">
        <v>-0.02</v>
      </c>
    </row>
    <row r="771" spans="1:6" x14ac:dyDescent="0.3">
      <c r="A771" t="str">
        <f>HYPERLINK("https://us2.cloudbeds.com/connect/10074733072513#/reservations/30651162079389?display=YQ6J7ZVSQ&amp;reservation_id=30651162079389", "YQ6J7ZVSQ")</f>
        <v>YQ6J7ZVSQ</v>
      </c>
      <c r="B771" t="s">
        <v>210</v>
      </c>
      <c r="C771">
        <v>128.30000000000001</v>
      </c>
      <c r="D771">
        <v>139.44</v>
      </c>
      <c r="E771">
        <v>139.46</v>
      </c>
      <c r="F771">
        <v>-0.02</v>
      </c>
    </row>
    <row r="772" spans="1:6" x14ac:dyDescent="0.3">
      <c r="A772" t="str">
        <f>HYPERLINK("https://us2.cloudbeds.com/connect/10074733072513#/reservations/30652867367140?display=YQ7TQN3M6&amp;reservation_id=30652867367140", "YQ7TQN3M6")</f>
        <v>YQ7TQN3M6</v>
      </c>
      <c r="B772" t="s">
        <v>215</v>
      </c>
      <c r="C772">
        <v>261.60000000000002</v>
      </c>
      <c r="D772">
        <v>284.33999999999997</v>
      </c>
      <c r="E772">
        <v>284.36</v>
      </c>
      <c r="F772">
        <v>-0.02</v>
      </c>
    </row>
    <row r="773" spans="1:6" x14ac:dyDescent="0.3">
      <c r="A773" t="str">
        <f>HYPERLINK("https://us2.cloudbeds.com/connect/10074733072513#/reservations/30654953529553?display=YQ9H3QYY0&amp;reservation_id=30654953529553", "YQ9H3QYY0")</f>
        <v>YQ9H3QYY0</v>
      </c>
      <c r="B773" t="s">
        <v>217</v>
      </c>
      <c r="C773">
        <v>128.30000000000001</v>
      </c>
      <c r="D773">
        <v>139.44</v>
      </c>
      <c r="E773">
        <v>139.46</v>
      </c>
      <c r="F773">
        <v>-0.02</v>
      </c>
    </row>
    <row r="774" spans="1:6" x14ac:dyDescent="0.3">
      <c r="A774" t="str">
        <f>HYPERLINK("https://us2.cloudbeds.com/connect/10074733072513#/reservations/30655105274017?display=YQ9KWP5J3&amp;reservation_id=30655105274017", "YQ9KWP5J3")</f>
        <v>YQ9KWP5J3</v>
      </c>
      <c r="B774" t="s">
        <v>218</v>
      </c>
      <c r="C774">
        <v>625.5</v>
      </c>
      <c r="D774">
        <v>679.9</v>
      </c>
      <c r="E774">
        <v>679.92</v>
      </c>
      <c r="F774">
        <v>-0.02</v>
      </c>
    </row>
    <row r="775" spans="1:6" x14ac:dyDescent="0.3">
      <c r="A775" t="str">
        <f>HYPERLINK("https://us2.cloudbeds.com/connect/10074733072513#/reservations/30653496225950?display=YQ8CSW14P&amp;reservation_id=30653496225950", "YQ8CSW14P")</f>
        <v>YQ8CSW14P</v>
      </c>
      <c r="B775" t="s">
        <v>221</v>
      </c>
      <c r="C775">
        <v>128.30000000000001</v>
      </c>
      <c r="D775">
        <v>139.44</v>
      </c>
      <c r="E775">
        <v>139.46</v>
      </c>
      <c r="F775">
        <v>-0.02</v>
      </c>
    </row>
    <row r="776" spans="1:6" x14ac:dyDescent="0.3">
      <c r="A776" t="str">
        <f>HYPERLINK("https://us2.cloudbeds.com/connect/10074733072513#/reservations/30656198611149?display=YQAFUMT8B&amp;reservation_id=30656198611149", "YQAFUMT8B")</f>
        <v>YQAFUMT8B</v>
      </c>
      <c r="B776" t="s">
        <v>155</v>
      </c>
      <c r="C776">
        <v>160.19999999999999</v>
      </c>
      <c r="D776">
        <v>174.12</v>
      </c>
      <c r="E776">
        <v>174.14</v>
      </c>
      <c r="F776">
        <v>-0.02</v>
      </c>
    </row>
    <row r="777" spans="1:6" x14ac:dyDescent="0.3">
      <c r="A777" t="str">
        <f>HYPERLINK("https://us2.cloudbeds.com/connect/10074733072513#/reservations/30653431914655?display=YQ8B7ZFPY&amp;reservation_id=30653431914655", "YQ8B7ZFPY")</f>
        <v>YQ8B7ZFPY</v>
      </c>
      <c r="B777" t="s">
        <v>229</v>
      </c>
      <c r="C777">
        <v>206.06</v>
      </c>
      <c r="D777">
        <v>223.97</v>
      </c>
      <c r="E777">
        <v>223.99</v>
      </c>
      <c r="F777">
        <v>-0.02</v>
      </c>
    </row>
    <row r="778" spans="1:6" x14ac:dyDescent="0.3">
      <c r="A778" t="str">
        <f>HYPERLINK("https://us2.cloudbeds.com/connect/10074733072513#/reservations/30652968579297?display=YQ7WD1G48&amp;reservation_id=30652968579297", "YQ7WD1G48")</f>
        <v>YQ7WD1G48</v>
      </c>
      <c r="B778" t="s">
        <v>239</v>
      </c>
      <c r="C778">
        <v>128.30000000000001</v>
      </c>
      <c r="D778">
        <v>139.44</v>
      </c>
      <c r="E778">
        <v>139.46</v>
      </c>
      <c r="F778">
        <v>-0.02</v>
      </c>
    </row>
    <row r="779" spans="1:6" x14ac:dyDescent="0.3">
      <c r="A779" t="str">
        <f>HYPERLINK("https://us2.cloudbeds.com/connect/10074733072513#/reservations/30655978856639?display=YQAAACTFP&amp;reservation_id=30655978856639", "YQAAACTFP")</f>
        <v>YQAAACTFP</v>
      </c>
      <c r="B779" t="s">
        <v>252</v>
      </c>
      <c r="C779">
        <v>144.34</v>
      </c>
      <c r="D779">
        <v>156.88</v>
      </c>
      <c r="E779">
        <v>156.9</v>
      </c>
      <c r="F779">
        <v>-0.02</v>
      </c>
    </row>
    <row r="780" spans="1:6" x14ac:dyDescent="0.3">
      <c r="A780" t="str">
        <f>HYPERLINK("https://us2.cloudbeds.com/connect/10074733072513#/reservations/30654932680906?display=YQ9GJ7GSR&amp;reservation_id=30654932680906", "YQ9GJ7GSR")</f>
        <v>YQ9GJ7GSR</v>
      </c>
      <c r="B780" t="s">
        <v>235</v>
      </c>
      <c r="C780">
        <v>236.3</v>
      </c>
      <c r="D780">
        <v>256.83999999999997</v>
      </c>
      <c r="E780">
        <v>256.86</v>
      </c>
      <c r="F780">
        <v>-0.02</v>
      </c>
    </row>
    <row r="781" spans="1:6" x14ac:dyDescent="0.3">
      <c r="A781" t="str">
        <f>HYPERLINK("https://us2.cloudbeds.com/connect/10074733072513#/reservations/30655981183128?display=YQAACBKRE&amp;reservation_id=30655981183128", "YQAACBKRE")</f>
        <v>YQAACBKRE</v>
      </c>
      <c r="B781" t="s">
        <v>252</v>
      </c>
      <c r="C781">
        <v>128.30000000000001</v>
      </c>
      <c r="D781">
        <v>139.44</v>
      </c>
      <c r="E781">
        <v>139.46</v>
      </c>
      <c r="F781">
        <v>-0.02</v>
      </c>
    </row>
    <row r="782" spans="1:6" x14ac:dyDescent="0.3">
      <c r="A782" t="str">
        <f>HYPERLINK("https://us2.cloudbeds.com/connect/10074733072513#/reservations/30653850620115?display=YQ8YUQXVT&amp;reservation_id=30653850620115", "YQ8YUQXVT")</f>
        <v>YQ8YUQXVT</v>
      </c>
      <c r="B782" t="s">
        <v>254</v>
      </c>
      <c r="C782">
        <v>128.30000000000001</v>
      </c>
      <c r="D782">
        <v>139.44</v>
      </c>
      <c r="E782">
        <v>139.46</v>
      </c>
      <c r="F782">
        <v>-0.02</v>
      </c>
    </row>
    <row r="783" spans="1:6" x14ac:dyDescent="0.3">
      <c r="A783" t="str">
        <f>HYPERLINK("https://us2.cloudbeds.com/connect/10074733072513#/reservations/30653897900196?display=YQ8N4M70K&amp;reservation_id=30653897900196", "YQ8N4M70K")</f>
        <v>YQ8N4M70K</v>
      </c>
      <c r="B783" t="s">
        <v>260</v>
      </c>
      <c r="C783">
        <v>444.8</v>
      </c>
      <c r="D783">
        <v>483.48</v>
      </c>
      <c r="E783">
        <v>483.5</v>
      </c>
      <c r="F783">
        <v>-0.02</v>
      </c>
    </row>
    <row r="784" spans="1:6" x14ac:dyDescent="0.3">
      <c r="A784" t="str">
        <f>HYPERLINK("https://us2.cloudbeds.com/connect/10074733072513#/reservations/30653921509568?display=YQ8NHJV6C&amp;reservation_id=30653921509568", "YQ8NHJV6C")</f>
        <v>YQ8NHJV6C</v>
      </c>
      <c r="B784" t="s">
        <v>266</v>
      </c>
      <c r="C784">
        <v>220.2</v>
      </c>
      <c r="D784">
        <v>239.34</v>
      </c>
      <c r="E784">
        <v>239.36</v>
      </c>
      <c r="F784">
        <v>-0.02</v>
      </c>
    </row>
    <row r="785" spans="1:6" x14ac:dyDescent="0.3">
      <c r="A785" t="str">
        <f>HYPERLINK("https://us2.cloudbeds.com/connect/10074733072513#/reservations/30656246063352?display=YQAH4NABT&amp;reservation_id=30656246063352", "YQAH4NABT")</f>
        <v>YQAH4NABT</v>
      </c>
      <c r="B785" t="s">
        <v>256</v>
      </c>
      <c r="C785">
        <v>128.30000000000001</v>
      </c>
      <c r="D785">
        <v>139.44</v>
      </c>
      <c r="E785">
        <v>139.46</v>
      </c>
      <c r="F785">
        <v>-0.02</v>
      </c>
    </row>
    <row r="786" spans="1:6" x14ac:dyDescent="0.3">
      <c r="A786" t="str">
        <f>HYPERLINK("https://us2.cloudbeds.com/connect/10074733072513#/reservations/30653175722213?display=YQ84MNX0A&amp;reservation_id=30653175722213", "YQ84MNX0A")</f>
        <v>YQ84MNX0A</v>
      </c>
      <c r="B786" t="s">
        <v>241</v>
      </c>
      <c r="C786">
        <v>404.8</v>
      </c>
      <c r="D786">
        <v>440</v>
      </c>
      <c r="E786">
        <v>440.02</v>
      </c>
      <c r="F786">
        <v>-0.02</v>
      </c>
    </row>
    <row r="787" spans="1:6" x14ac:dyDescent="0.3">
      <c r="A787" t="str">
        <f>HYPERLINK("https://us2.cloudbeds.com/connect/10074733072513#/reservations/30653814141148?display=YQ8Y01G9Y&amp;reservation_id=30653814141148", "YQ8Y01G9Y")</f>
        <v>YQ8Y01G9Y</v>
      </c>
      <c r="B787" t="s">
        <v>266</v>
      </c>
      <c r="C787">
        <v>246.4</v>
      </c>
      <c r="D787">
        <v>267.82</v>
      </c>
      <c r="E787">
        <v>267.83999999999997</v>
      </c>
      <c r="F787">
        <v>-0.02</v>
      </c>
    </row>
    <row r="788" spans="1:6" x14ac:dyDescent="0.3">
      <c r="A788" t="str">
        <f>HYPERLINK("https://us2.cloudbeds.com/connect/10074733072513#/reservations/30656331952354?display=YQAJB49VU&amp;reservation_id=30656331952354", "YQAJB49VU")</f>
        <v>YQAJB49VU</v>
      </c>
      <c r="B788" t="s">
        <v>246</v>
      </c>
      <c r="C788">
        <v>144.34</v>
      </c>
      <c r="D788">
        <v>156.88</v>
      </c>
      <c r="E788">
        <v>156.9</v>
      </c>
      <c r="F788">
        <v>-0.02</v>
      </c>
    </row>
    <row r="789" spans="1:6" x14ac:dyDescent="0.3">
      <c r="A789" t="str">
        <f>HYPERLINK("https://us2.cloudbeds.com/connect/10074733072513#/reservations/30653188653268?display=YQ850KC8F&amp;reservation_id=30653188653268", "YQ850KC8F")</f>
        <v>YQ850KC8F</v>
      </c>
      <c r="B789" t="s">
        <v>276</v>
      </c>
      <c r="C789">
        <v>678.6</v>
      </c>
      <c r="D789">
        <v>737.62</v>
      </c>
      <c r="E789">
        <v>737.64</v>
      </c>
      <c r="F789">
        <v>-0.02</v>
      </c>
    </row>
    <row r="790" spans="1:6" x14ac:dyDescent="0.3">
      <c r="A790" t="str">
        <f>HYPERLINK("https://us2.cloudbeds.com/connect/10074733072513#/reservations/30653209309362?display=YQ85X156N&amp;reservation_id=30653209309362", "YQ85X156N")</f>
        <v>YQ85X156N</v>
      </c>
      <c r="B790" t="s">
        <v>276</v>
      </c>
      <c r="C790">
        <v>678.6</v>
      </c>
      <c r="D790">
        <v>737.62</v>
      </c>
      <c r="E790">
        <v>737.64</v>
      </c>
      <c r="F790">
        <v>-0.02</v>
      </c>
    </row>
    <row r="791" spans="1:6" x14ac:dyDescent="0.3">
      <c r="A791" t="str">
        <f>HYPERLINK("https://us2.cloudbeds.com/connect/10074733072513#/reservations/30653212397703?display=YQ85KY34Q&amp;reservation_id=30653212397703", "YQ85KY34Q")</f>
        <v>YQ85KY34Q</v>
      </c>
      <c r="B791" t="s">
        <v>276</v>
      </c>
      <c r="C791">
        <v>678.6</v>
      </c>
      <c r="D791">
        <v>737.62</v>
      </c>
      <c r="E791">
        <v>737.64</v>
      </c>
      <c r="F791">
        <v>-0.02</v>
      </c>
    </row>
    <row r="792" spans="1:6" x14ac:dyDescent="0.3">
      <c r="A792" t="str">
        <f>HYPERLINK("https://us2.cloudbeds.com/connect/10074733072513#/reservations/30654168768717?display=YQ8U22HEK&amp;reservation_id=30654168768717", "YQ8U22HEK")</f>
        <v>YQ8U22HEK</v>
      </c>
      <c r="B792" t="s">
        <v>279</v>
      </c>
      <c r="C792">
        <v>392.4</v>
      </c>
      <c r="D792">
        <v>426.52</v>
      </c>
      <c r="E792">
        <v>426.54</v>
      </c>
      <c r="F792">
        <v>-0.02</v>
      </c>
    </row>
    <row r="793" spans="1:6" x14ac:dyDescent="0.3">
      <c r="A793" t="str">
        <f>HYPERLINK("https://us2.cloudbeds.com/connect/10074733072513#/reservations/30654359359631?display=YQ91UQ01S&amp;reservation_id=30654359359631", "YQ91UQ01S")</f>
        <v>YQ91UQ01S</v>
      </c>
      <c r="B793" t="s">
        <v>283</v>
      </c>
      <c r="C793">
        <v>206.4</v>
      </c>
      <c r="D793">
        <v>224.34</v>
      </c>
      <c r="E793">
        <v>224.36</v>
      </c>
      <c r="F793">
        <v>-0.02</v>
      </c>
    </row>
    <row r="794" spans="1:6" x14ac:dyDescent="0.3">
      <c r="A794" t="str">
        <f>HYPERLINK("https://us2.cloudbeds.com/connect/10074733072513#/reservations/30654370689183?display=YQ927B8MK&amp;reservation_id=30654370689183", "YQ927B8MK")</f>
        <v>YQ927B8MK</v>
      </c>
      <c r="B794" t="s">
        <v>294</v>
      </c>
      <c r="C794">
        <v>144.34</v>
      </c>
      <c r="D794">
        <v>156.88</v>
      </c>
      <c r="E794">
        <v>156.9</v>
      </c>
      <c r="F794">
        <v>-0.02</v>
      </c>
    </row>
    <row r="795" spans="1:6" x14ac:dyDescent="0.3">
      <c r="A795" t="str">
        <f>HYPERLINK("https://us2.cloudbeds.com/connect/10074733072513#/reservations/30653402497193?display=YQ8AFUTGD&amp;reservation_id=30653402497193", "YQ8AFUTGD")</f>
        <v>YQ8AFUTGD</v>
      </c>
      <c r="B795" t="s">
        <v>300</v>
      </c>
      <c r="C795">
        <v>128.30000000000001</v>
      </c>
      <c r="D795">
        <v>139.44</v>
      </c>
      <c r="E795">
        <v>139.46</v>
      </c>
      <c r="F795">
        <v>-0.02</v>
      </c>
    </row>
    <row r="796" spans="1:6" x14ac:dyDescent="0.3">
      <c r="A796" t="str">
        <f>HYPERLINK("https://us2.cloudbeds.com/connect/10074733072513#/reservations/30653399589111?display=YQ8ADFW2N&amp;reservation_id=30653399589111", "YQ8ADFW2N")</f>
        <v>YQ8ADFW2N</v>
      </c>
      <c r="B796" t="s">
        <v>300</v>
      </c>
      <c r="C796">
        <v>128.30000000000001</v>
      </c>
      <c r="D796">
        <v>139.44</v>
      </c>
      <c r="E796">
        <v>139.46</v>
      </c>
      <c r="F796">
        <v>-0.02</v>
      </c>
    </row>
    <row r="797" spans="1:6" x14ac:dyDescent="0.3">
      <c r="A797" t="str">
        <f>HYPERLINK("https://us2.cloudbeds.com/connect/10074733072513#/reservations/30655081931004?display=YQ9KD2KA2&amp;reservation_id=30655081931004", "YQ9KD2KA2")</f>
        <v>YQ9KD2KA2</v>
      </c>
      <c r="B797" t="s">
        <v>285</v>
      </c>
      <c r="C797">
        <v>402.3</v>
      </c>
      <c r="D797">
        <v>437.28</v>
      </c>
      <c r="E797">
        <v>437.3</v>
      </c>
      <c r="F797">
        <v>-0.02</v>
      </c>
    </row>
    <row r="798" spans="1:6" x14ac:dyDescent="0.3">
      <c r="A798" t="str">
        <f>HYPERLINK("https://us2.cloudbeds.com/connect/10074733072513#/reservations/30654485852359?display=YQ955ERWR&amp;reservation_id=30654485852359", "YQ955ERWR")</f>
        <v>YQ955ERWR</v>
      </c>
      <c r="B798" t="s">
        <v>275</v>
      </c>
      <c r="C798">
        <v>128.30000000000001</v>
      </c>
      <c r="D798">
        <v>139.44</v>
      </c>
      <c r="E798">
        <v>139.46</v>
      </c>
      <c r="F798">
        <v>-0.02</v>
      </c>
    </row>
    <row r="799" spans="1:6" x14ac:dyDescent="0.3">
      <c r="A799" t="str">
        <f>HYPERLINK("https://us2.cloudbeds.com/connect/10074733072513#/reservations/30658490106074?display=YQC8FV3YG&amp;reservation_id=30658490106074", "YQC8FV3YG")</f>
        <v>YQC8FV3YG</v>
      </c>
      <c r="B799" t="s">
        <v>316</v>
      </c>
      <c r="C799">
        <v>821.7</v>
      </c>
      <c r="D799">
        <v>893.17</v>
      </c>
      <c r="E799">
        <v>893.19</v>
      </c>
      <c r="F799">
        <v>-0.02</v>
      </c>
    </row>
    <row r="800" spans="1:6" x14ac:dyDescent="0.3">
      <c r="A800" t="str">
        <f>HYPERLINK("https://us2.cloudbeds.com/connect/10074733072513#/reservations/30656399982762?display=YQAY2GBGE&amp;reservation_id=30656399982762", "YQAY2GBGE")</f>
        <v>YQAY2GBGE</v>
      </c>
      <c r="B800" t="s">
        <v>321</v>
      </c>
      <c r="C800">
        <v>128.30000000000001</v>
      </c>
      <c r="D800">
        <v>139.44</v>
      </c>
      <c r="E800">
        <v>139.46</v>
      </c>
      <c r="F800">
        <v>-0.02</v>
      </c>
    </row>
    <row r="801" spans="1:6" x14ac:dyDescent="0.3">
      <c r="A801" t="str">
        <f>HYPERLINK("https://us2.cloudbeds.com/connect/10074733072513#/reservations/30654031388886?display=YQ8QX7Z5D&amp;reservation_id=30654031388886", "YQ8QX7Z5D")</f>
        <v>YQ8QX7Z5D</v>
      </c>
      <c r="B801" t="s">
        <v>317</v>
      </c>
      <c r="C801">
        <v>128.30000000000001</v>
      </c>
      <c r="D801">
        <v>139.44</v>
      </c>
      <c r="E801">
        <v>139.46</v>
      </c>
      <c r="F801">
        <v>-0.02</v>
      </c>
    </row>
    <row r="802" spans="1:6" x14ac:dyDescent="0.3">
      <c r="A802" t="str">
        <f>HYPERLINK("https://us2.cloudbeds.com/connect/10074733072513#/reservations/30654036852926?display=YQ8QMRPYD&amp;reservation_id=30654036852926", "YQ8QMRPYD")</f>
        <v>YQ8QMRPYD</v>
      </c>
      <c r="B802" t="s">
        <v>317</v>
      </c>
      <c r="C802">
        <v>128.30000000000001</v>
      </c>
      <c r="D802">
        <v>139.44</v>
      </c>
      <c r="E802">
        <v>139.46</v>
      </c>
      <c r="F802">
        <v>-0.02</v>
      </c>
    </row>
    <row r="803" spans="1:6" x14ac:dyDescent="0.3">
      <c r="A803" t="str">
        <f>HYPERLINK("https://us2.cloudbeds.com/connect/10074733072513#/reservations/30654017114264?display=YQ8Q66H54&amp;reservation_id=30654017114264", "YQ8Q66H54")</f>
        <v>YQ8Q66H54</v>
      </c>
      <c r="B803" t="s">
        <v>317</v>
      </c>
      <c r="C803">
        <v>128.30000000000001</v>
      </c>
      <c r="D803">
        <v>139.44</v>
      </c>
      <c r="E803">
        <v>139.46</v>
      </c>
      <c r="F803">
        <v>-0.02</v>
      </c>
    </row>
    <row r="804" spans="1:6" x14ac:dyDescent="0.3">
      <c r="A804" t="str">
        <f>HYPERLINK("https://us2.cloudbeds.com/connect/10074733072513#/reservations/30654111010978?display=YQ8SJCB13&amp;reservation_id=30654111010978", "YQ8SJCB13")</f>
        <v>YQ8SJCB13</v>
      </c>
      <c r="B804" t="s">
        <v>329</v>
      </c>
      <c r="C804">
        <v>392.4</v>
      </c>
      <c r="D804">
        <v>426.52</v>
      </c>
      <c r="E804">
        <v>426.54</v>
      </c>
      <c r="F804">
        <v>-0.02</v>
      </c>
    </row>
    <row r="805" spans="1:6" x14ac:dyDescent="0.3">
      <c r="A805" t="str">
        <f>HYPERLINK("https://us2.cloudbeds.com/connect/10074733072513#/reservations/30655502278905?display=YQ9V4HDN8&amp;reservation_id=30655502278905", "YQ9V4HDN8")</f>
        <v>YQ9V4HDN8</v>
      </c>
      <c r="B805" t="s">
        <v>336</v>
      </c>
      <c r="C805">
        <v>240.26</v>
      </c>
      <c r="D805">
        <v>261.14</v>
      </c>
      <c r="E805">
        <v>261.16000000000003</v>
      </c>
      <c r="F805">
        <v>-0.02</v>
      </c>
    </row>
    <row r="806" spans="1:6" x14ac:dyDescent="0.3">
      <c r="A806" t="str">
        <f>HYPERLINK("https://us2.cloudbeds.com/connect/10074733072513#/reservations/30655276142832?display=YQ9PBRRTW&amp;reservation_id=30655276142832", "YQ9PBRRTW")</f>
        <v>YQ9PBRRTW</v>
      </c>
      <c r="B806" t="s">
        <v>338</v>
      </c>
      <c r="C806">
        <v>144.34</v>
      </c>
      <c r="D806">
        <v>156.88</v>
      </c>
      <c r="E806">
        <v>156.9</v>
      </c>
      <c r="F806">
        <v>-0.02</v>
      </c>
    </row>
    <row r="807" spans="1:6" x14ac:dyDescent="0.3">
      <c r="A807" t="str">
        <f>HYPERLINK("https://us2.cloudbeds.com/connect/10074733072513#/reservations/30655366123733?display=YQ9RYNMWV&amp;reservation_id=30655366123733", "YQ9RYNMWV")</f>
        <v>YQ9RYNMWV</v>
      </c>
      <c r="B807" t="s">
        <v>346</v>
      </c>
      <c r="C807">
        <v>206.4</v>
      </c>
      <c r="D807">
        <v>224.34</v>
      </c>
      <c r="E807">
        <v>224.36</v>
      </c>
      <c r="F807">
        <v>-0.02</v>
      </c>
    </row>
    <row r="808" spans="1:6" x14ac:dyDescent="0.3">
      <c r="A808" t="str">
        <f>HYPERLINK("https://us2.cloudbeds.com/connect/10074733072513#/reservations/30659413663937?display=YQCW2NFGD&amp;reservation_id=30659413663937", "YQCW2NFGD")</f>
        <v>YQCW2NFGD</v>
      </c>
      <c r="B808" t="s">
        <v>349</v>
      </c>
      <c r="C808">
        <v>340.2</v>
      </c>
      <c r="D808">
        <v>369.78</v>
      </c>
      <c r="E808">
        <v>369.8</v>
      </c>
      <c r="F808">
        <v>-0.02</v>
      </c>
    </row>
    <row r="809" spans="1:6" x14ac:dyDescent="0.3">
      <c r="A809" t="str">
        <f>HYPERLINK("https://us2.cloudbeds.com/connect/10074733072513#/reservations/30658278154441?display=YQC32781Z&amp;reservation_id=30658278154441", "YQC32781Z")</f>
        <v>YQC32781Z</v>
      </c>
      <c r="B809" t="s">
        <v>351</v>
      </c>
      <c r="C809">
        <v>206.4</v>
      </c>
      <c r="D809">
        <v>224.34</v>
      </c>
      <c r="E809">
        <v>224.36</v>
      </c>
      <c r="F809">
        <v>-0.02</v>
      </c>
    </row>
    <row r="810" spans="1:6" x14ac:dyDescent="0.3">
      <c r="A810" t="str">
        <f>HYPERLINK("https://us2.cloudbeds.com/connect/10074733072513#/reservations/30656741306578?display=YQATQA65C&amp;reservation_id=30656741306578", "YQATQA65C")</f>
        <v>YQATQA65C</v>
      </c>
      <c r="B810" t="s">
        <v>337</v>
      </c>
      <c r="C810">
        <v>206.4</v>
      </c>
      <c r="D810">
        <v>224.34</v>
      </c>
      <c r="E810">
        <v>224.36</v>
      </c>
      <c r="F810">
        <v>-0.02</v>
      </c>
    </row>
    <row r="811" spans="1:6" x14ac:dyDescent="0.3">
      <c r="A811" t="str">
        <f>HYPERLINK("https://us2.cloudbeds.com/connect/10074733072513#/reservations/30658351562970?display=YQC4V3V5J&amp;reservation_id=30658351562970", "YQC4V3V5J")</f>
        <v>YQC4V3V5J</v>
      </c>
      <c r="B811" t="s">
        <v>352</v>
      </c>
      <c r="C811">
        <v>450.82</v>
      </c>
      <c r="D811">
        <v>490.02</v>
      </c>
      <c r="E811">
        <v>490.04</v>
      </c>
      <c r="F811">
        <v>-0.02</v>
      </c>
    </row>
    <row r="812" spans="1:6" x14ac:dyDescent="0.3">
      <c r="A812" t="str">
        <f>HYPERLINK("https://us2.cloudbeds.com/connect/10074733072513#/reservations/30657167614115?display=YQB7MPR4J&amp;reservation_id=30657167614115", "YQB7MPR4J")</f>
        <v>YQB7MPR4J</v>
      </c>
      <c r="B812" t="s">
        <v>353</v>
      </c>
      <c r="C812">
        <v>1429.2</v>
      </c>
      <c r="D812">
        <v>1553.52</v>
      </c>
      <c r="E812">
        <v>1553.54</v>
      </c>
      <c r="F812">
        <v>-0.02</v>
      </c>
    </row>
    <row r="813" spans="1:6" x14ac:dyDescent="0.3">
      <c r="A813" t="str">
        <f>HYPERLINK("https://us2.cloudbeds.com/connect/10074733072513#/reservations/30659132137616?display=YQCZTAJ9P&amp;reservation_id=30659132137616", "YQCZTAJ9P")</f>
        <v>YQCZTAJ9P</v>
      </c>
      <c r="B813" t="s">
        <v>356</v>
      </c>
      <c r="C813">
        <v>952</v>
      </c>
      <c r="D813">
        <v>1034.8</v>
      </c>
      <c r="E813">
        <v>1034.82</v>
      </c>
      <c r="F813">
        <v>-0.02</v>
      </c>
    </row>
    <row r="814" spans="1:6" x14ac:dyDescent="0.3">
      <c r="A814" t="str">
        <f>HYPERLINK("https://us2.cloudbeds.com/connect/10074733072513#/reservations/30657010958474?display=YQB3MMYCV&amp;reservation_id=30657010958474", "YQB3MMYCV")</f>
        <v>YQB3MMYCV</v>
      </c>
      <c r="B814" t="s">
        <v>359</v>
      </c>
      <c r="C814">
        <v>287.3</v>
      </c>
      <c r="D814">
        <v>312.27999999999997</v>
      </c>
      <c r="E814">
        <v>312.3</v>
      </c>
      <c r="F814">
        <v>-0.02</v>
      </c>
    </row>
    <row r="815" spans="1:6" x14ac:dyDescent="0.3">
      <c r="A815" t="str">
        <f>HYPERLINK("https://us2.cloudbeds.com/connect/10074733072513#/reservations/30657878364384?display=YQBPS3GCH&amp;reservation_id=30657878364384", "YQBPS3GCH")</f>
        <v>YQBPS3GCH</v>
      </c>
      <c r="B815" t="s">
        <v>363</v>
      </c>
      <c r="C815">
        <v>288</v>
      </c>
      <c r="D815">
        <v>313.04000000000002</v>
      </c>
      <c r="E815">
        <v>313.06</v>
      </c>
      <c r="F815">
        <v>-0.02</v>
      </c>
    </row>
    <row r="816" spans="1:6" x14ac:dyDescent="0.3">
      <c r="A816" t="str">
        <f>HYPERLINK("https://us2.cloudbeds.com/connect/10074733072513#/reservations/30659499810961?display=YQD19BY19&amp;reservation_id=30659499810961", "YQD19BY19")</f>
        <v>YQD19BY19</v>
      </c>
      <c r="B816" t="s">
        <v>399</v>
      </c>
      <c r="C816">
        <v>206.4</v>
      </c>
      <c r="D816">
        <v>224.34</v>
      </c>
      <c r="E816">
        <v>224.36</v>
      </c>
      <c r="F816">
        <v>-0.02</v>
      </c>
    </row>
    <row r="817" spans="1:6" x14ac:dyDescent="0.3">
      <c r="A817" t="str">
        <f>HYPERLINK("https://us2.cloudbeds.com/connect/10074733072513#/reservations/30659714523340?display=YQD6PDAP0&amp;reservation_id=30659714523340", "YQD6PDAP0")</f>
        <v>YQD6PDAP0</v>
      </c>
      <c r="B817" t="s">
        <v>400</v>
      </c>
      <c r="C817">
        <v>206.4</v>
      </c>
      <c r="D817">
        <v>224.34</v>
      </c>
      <c r="E817">
        <v>224.36</v>
      </c>
      <c r="F817">
        <v>-0.02</v>
      </c>
    </row>
    <row r="818" spans="1:6" x14ac:dyDescent="0.3">
      <c r="A818" t="str">
        <f>HYPERLINK("https://us2.cloudbeds.com/connect/10074733072513#/reservations/30660440658170?display=YQDPAN37P&amp;reservation_id=30660440658170", "YQDPAN37P")</f>
        <v>YQDPAN37P</v>
      </c>
      <c r="B818" t="s">
        <v>401</v>
      </c>
      <c r="C818">
        <v>261.60000000000002</v>
      </c>
      <c r="D818">
        <v>284.33999999999997</v>
      </c>
      <c r="E818">
        <v>284.36</v>
      </c>
      <c r="F818">
        <v>-0.02</v>
      </c>
    </row>
    <row r="819" spans="1:6" x14ac:dyDescent="0.3">
      <c r="A819" t="str">
        <f>HYPERLINK("https://us2.cloudbeds.com/connect/10074733072513#/reservations/30660933841125?display=YQE4UXY4Q&amp;reservation_id=30660933841125", "YQE4UXY4Q")</f>
        <v>YQE4UXY4Q</v>
      </c>
      <c r="B819" t="s">
        <v>409</v>
      </c>
      <c r="C819">
        <v>392.4</v>
      </c>
      <c r="D819">
        <v>426.52</v>
      </c>
      <c r="E819">
        <v>426.54</v>
      </c>
      <c r="F819">
        <v>-0.02</v>
      </c>
    </row>
    <row r="820" spans="1:6" x14ac:dyDescent="0.3">
      <c r="A820" t="str">
        <f>HYPERLINK("https://us2.cloudbeds.com/connect/10074733072513#/reservations/30660585660624?display=YQDT0W05F&amp;reservation_id=30660585660624", "YQDT0W05F")</f>
        <v>YQDT0W05F</v>
      </c>
      <c r="B820" t="s">
        <v>361</v>
      </c>
      <c r="C820">
        <v>261.60000000000002</v>
      </c>
      <c r="D820">
        <v>284.33999999999997</v>
      </c>
      <c r="E820">
        <v>284.36</v>
      </c>
      <c r="F820">
        <v>-0.02</v>
      </c>
    </row>
    <row r="821" spans="1:6" x14ac:dyDescent="0.3">
      <c r="A821" t="str">
        <f>HYPERLINK("https://us2.cloudbeds.com/connect/10074733072513#/reservations/30659950534887?display=YQDCQDMV2&amp;reservation_id=30659950534887", "YQDCQDMV2")</f>
        <v>YQDCQDMV2</v>
      </c>
      <c r="B821" t="s">
        <v>396</v>
      </c>
      <c r="C821">
        <v>261.60000000000002</v>
      </c>
      <c r="D821">
        <v>284.33999999999997</v>
      </c>
      <c r="E821">
        <v>284.36</v>
      </c>
      <c r="F821">
        <v>-0.02</v>
      </c>
    </row>
    <row r="822" spans="1:6" x14ac:dyDescent="0.3">
      <c r="A822" t="str">
        <f>HYPERLINK("https://us2.cloudbeds.com/connect/10074733072513#/reservations/30662692266210?display=YQFGSADXE&amp;reservation_id=30662692266210", "YQFGSADXE")</f>
        <v>YQFGSADXE</v>
      </c>
      <c r="B822" t="s">
        <v>422</v>
      </c>
      <c r="C822">
        <v>556</v>
      </c>
      <c r="D822">
        <v>604.35</v>
      </c>
      <c r="E822">
        <v>604.37</v>
      </c>
      <c r="F822">
        <v>-0.02</v>
      </c>
    </row>
    <row r="823" spans="1:6" x14ac:dyDescent="0.3">
      <c r="A823" t="str">
        <f>HYPERLINK("https://us2.cloudbeds.com/connect/10074733072513#/reservations/30660447744194?display=YQDPGM94P&amp;reservation_id=30660447744194", "YQDPGM94P")</f>
        <v>YQDPGM94P</v>
      </c>
      <c r="B823" t="s">
        <v>415</v>
      </c>
      <c r="C823">
        <v>261.60000000000002</v>
      </c>
      <c r="D823">
        <v>284.33999999999997</v>
      </c>
      <c r="E823">
        <v>284.36</v>
      </c>
      <c r="F823">
        <v>-0.02</v>
      </c>
    </row>
    <row r="824" spans="1:6" x14ac:dyDescent="0.3">
      <c r="A824" t="str">
        <f>HYPERLINK("https://us2.cloudbeds.com/connect/10074733072513#/reservations/30660754866305?display=YQE0BYD9D&amp;reservation_id=30660754866305", "YQE0BYD9D")</f>
        <v>YQE0BYD9D</v>
      </c>
      <c r="B824" t="s">
        <v>426</v>
      </c>
      <c r="C824">
        <v>402.3</v>
      </c>
      <c r="D824">
        <v>437.28</v>
      </c>
      <c r="E824">
        <v>437.3</v>
      </c>
      <c r="F824">
        <v>-0.02</v>
      </c>
    </row>
    <row r="825" spans="1:6" x14ac:dyDescent="0.3">
      <c r="A825" t="str">
        <f>HYPERLINK("https://us2.cloudbeds.com/connect/10074733072513#/reservations/30660936777939?display=YQE501BV5&amp;reservation_id=30660936777939", "YQE501BV5")</f>
        <v>YQE501BV5</v>
      </c>
      <c r="B825" t="s">
        <v>443</v>
      </c>
      <c r="C825">
        <v>168.3</v>
      </c>
      <c r="D825">
        <v>182.92</v>
      </c>
      <c r="E825">
        <v>182.94</v>
      </c>
      <c r="F825">
        <v>-0.02</v>
      </c>
    </row>
    <row r="826" spans="1:6" x14ac:dyDescent="0.3">
      <c r="A826" t="str">
        <f>HYPERLINK("https://us2.cloudbeds.com/connect/10074733072513#/reservations/30661253460200?display=YQED32GUA&amp;reservation_id=30661253460200", "YQED32GUA")</f>
        <v>YQED32GUA</v>
      </c>
      <c r="B826" t="s">
        <v>446</v>
      </c>
      <c r="C826">
        <v>128.30000000000001</v>
      </c>
      <c r="D826">
        <v>139.44</v>
      </c>
      <c r="E826">
        <v>139.46</v>
      </c>
      <c r="F826">
        <v>-0.02</v>
      </c>
    </row>
    <row r="827" spans="1:6" x14ac:dyDescent="0.3">
      <c r="A827" t="str">
        <f>HYPERLINK("https://us2.cloudbeds.com/connect/10074733072513#/reservations/30663213609159?display=YQFU5UX1K&amp;reservation_id=30663213609159", "YQFU5UX1K")</f>
        <v>YQFU5UX1K</v>
      </c>
      <c r="B827" t="s">
        <v>445</v>
      </c>
      <c r="C827">
        <v>128.30000000000001</v>
      </c>
      <c r="D827">
        <v>139.44</v>
      </c>
      <c r="E827">
        <v>139.46</v>
      </c>
      <c r="F827">
        <v>-0.02</v>
      </c>
    </row>
    <row r="828" spans="1:6" x14ac:dyDescent="0.3">
      <c r="A828" t="str">
        <f>HYPERLINK("https://us2.cloudbeds.com/connect/10074733072513#/reservations/30663366369527?display=YQG12ZASM&amp;reservation_id=30663366369527", "YQG12ZASM")</f>
        <v>YQG12ZASM</v>
      </c>
      <c r="B828" t="s">
        <v>449</v>
      </c>
      <c r="C828">
        <v>206.4</v>
      </c>
      <c r="D828">
        <v>224.34</v>
      </c>
      <c r="E828">
        <v>224.36</v>
      </c>
      <c r="F828">
        <v>-0.02</v>
      </c>
    </row>
    <row r="829" spans="1:6" x14ac:dyDescent="0.3">
      <c r="A829" t="str">
        <f>HYPERLINK("https://us2.cloudbeds.com/connect/10074733072513#/reservations/30661955883145?display=YQEV1CFD3&amp;reservation_id=30661955883145", "YQEV1CFD3")</f>
        <v>YQEV1CFD3</v>
      </c>
      <c r="B829" t="s">
        <v>446</v>
      </c>
      <c r="C829">
        <v>168.3</v>
      </c>
      <c r="D829">
        <v>182.92</v>
      </c>
      <c r="E829">
        <v>182.94</v>
      </c>
      <c r="F829">
        <v>-0.02</v>
      </c>
    </row>
    <row r="830" spans="1:6" x14ac:dyDescent="0.3">
      <c r="A830" t="str">
        <f>HYPERLINK("https://us2.cloudbeds.com/connect/10074733072513#/reservations/30661630779608?display=YQEMZ7WCK&amp;reservation_id=30661630779608", "YQEMZ7WCK")</f>
        <v>YQEMZ7WCK</v>
      </c>
      <c r="B830" t="s">
        <v>454</v>
      </c>
      <c r="C830">
        <v>128.30000000000001</v>
      </c>
      <c r="D830">
        <v>139.44</v>
      </c>
      <c r="E830">
        <v>139.46</v>
      </c>
      <c r="F830">
        <v>-0.02</v>
      </c>
    </row>
    <row r="831" spans="1:6" x14ac:dyDescent="0.3">
      <c r="A831" t="str">
        <f>HYPERLINK("https://us2.cloudbeds.com/connect/10074733072513#/reservations/30662574878926?display=YQFDSAUU0&amp;reservation_id=30662574878926", "YQFDSAUU0")</f>
        <v>YQFDSAUU0</v>
      </c>
      <c r="B831" t="s">
        <v>430</v>
      </c>
      <c r="C831">
        <v>261.60000000000002</v>
      </c>
      <c r="D831">
        <v>284.33999999999997</v>
      </c>
      <c r="E831">
        <v>284.36</v>
      </c>
      <c r="F831">
        <v>-0.02</v>
      </c>
    </row>
    <row r="832" spans="1:6" x14ac:dyDescent="0.3">
      <c r="A832" t="str">
        <f>HYPERLINK("https://us2.cloudbeds.com/connect/10074733072513#/reservations/30662344593660?display=YQF7W4U0K&amp;reservation_id=30662344593660", "YQF7W4U0K")</f>
        <v>YQF7W4U0K</v>
      </c>
      <c r="B832" t="s">
        <v>441</v>
      </c>
      <c r="C832">
        <v>206.4</v>
      </c>
      <c r="D832">
        <v>224.34</v>
      </c>
      <c r="E832">
        <v>224.36</v>
      </c>
      <c r="F832">
        <v>-0.02</v>
      </c>
    </row>
    <row r="833" spans="1:6" x14ac:dyDescent="0.3">
      <c r="A833" t="str">
        <f>HYPERLINK("https://us2.cloudbeds.com/connect/10074733072513#/reservations/30662674981043?display=YQFGDZE1G&amp;reservation_id=30662674981043", "YQFGDZE1G")</f>
        <v>YQFGDZE1G</v>
      </c>
      <c r="B833" t="s">
        <v>462</v>
      </c>
      <c r="C833">
        <v>206.4</v>
      </c>
      <c r="D833">
        <v>224.34</v>
      </c>
      <c r="E833">
        <v>224.36</v>
      </c>
      <c r="F833">
        <v>-0.02</v>
      </c>
    </row>
    <row r="834" spans="1:6" x14ac:dyDescent="0.3">
      <c r="A834" t="str">
        <f>HYPERLINK("https://us2.cloudbeds.com/connect/10074733072513#/reservations/30662983639262?display=YQFZA09ZS&amp;reservation_id=30662983639262", "YQFZA09ZS")</f>
        <v>YQFZA09ZS</v>
      </c>
      <c r="B834" t="s">
        <v>417</v>
      </c>
      <c r="C834">
        <v>252.96</v>
      </c>
      <c r="D834">
        <v>274.95</v>
      </c>
      <c r="E834">
        <v>274.97000000000003</v>
      </c>
      <c r="F834">
        <v>-0.02</v>
      </c>
    </row>
    <row r="835" spans="1:6" x14ac:dyDescent="0.3">
      <c r="A835" t="str">
        <f>HYPERLINK("https://us2.cloudbeds.com/connect/10074733072513#/reservations/30662408970421?display=YQF9KE9GX&amp;reservation_id=30662408970421", "YQF9KE9GX")</f>
        <v>YQF9KE9GX</v>
      </c>
      <c r="B835" t="s">
        <v>452</v>
      </c>
      <c r="C835">
        <v>144.34</v>
      </c>
      <c r="D835">
        <v>156.88</v>
      </c>
      <c r="E835">
        <v>156.9</v>
      </c>
      <c r="F835">
        <v>-0.02</v>
      </c>
    </row>
    <row r="836" spans="1:6" x14ac:dyDescent="0.3">
      <c r="A836" t="str">
        <f>HYPERLINK("https://us2.cloudbeds.com/connect/10074733072513#/reservations/30661896446152?display=YQETH8HVV&amp;reservation_id=30661896446152", "YQETH8HVV")</f>
        <v>YQETH8HVV</v>
      </c>
      <c r="B836" t="s">
        <v>456</v>
      </c>
      <c r="C836">
        <v>392.4</v>
      </c>
      <c r="D836">
        <v>426.52</v>
      </c>
      <c r="E836">
        <v>426.54</v>
      </c>
      <c r="F836">
        <v>-0.02</v>
      </c>
    </row>
    <row r="837" spans="1:6" x14ac:dyDescent="0.3">
      <c r="A837" t="str">
        <f>HYPERLINK("https://us2.cloudbeds.com/connect/10074733072513#/reservations/30662037782764?display=YQF04EEYZ&amp;reservation_id=30662037782764", "YQF04EEYZ")</f>
        <v>YQF04EEYZ</v>
      </c>
      <c r="B837" t="s">
        <v>467</v>
      </c>
      <c r="C837">
        <v>312.3</v>
      </c>
      <c r="D837">
        <v>339.45</v>
      </c>
      <c r="E837">
        <v>339.47</v>
      </c>
      <c r="F837">
        <v>-0.02</v>
      </c>
    </row>
    <row r="838" spans="1:6" x14ac:dyDescent="0.3">
      <c r="A838" t="str">
        <f>HYPERLINK("https://us2.cloudbeds.com/connect/10074733072513#/reservations/30661885112448?display=YQET7N1RB&amp;reservation_id=30661885112448", "YQET7N1RB")</f>
        <v>YQET7N1RB</v>
      </c>
      <c r="B838" t="s">
        <v>456</v>
      </c>
      <c r="C838">
        <v>490.5</v>
      </c>
      <c r="D838">
        <v>533.15</v>
      </c>
      <c r="E838">
        <v>533.16999999999996</v>
      </c>
      <c r="F838">
        <v>-0.02</v>
      </c>
    </row>
    <row r="839" spans="1:6" x14ac:dyDescent="0.3">
      <c r="A839" t="str">
        <f>HYPERLINK("https://us2.cloudbeds.com/connect/10074733072513#/reservations/30665119973579?display=YQHCTDV8D&amp;reservation_id=30665119973579", "YQHCTDV8D")</f>
        <v>YQHCTDV8D</v>
      </c>
      <c r="B839" t="s">
        <v>476</v>
      </c>
      <c r="C839">
        <v>225.69</v>
      </c>
      <c r="D839">
        <v>245.31</v>
      </c>
      <c r="E839">
        <v>245.33</v>
      </c>
      <c r="F839">
        <v>-0.02</v>
      </c>
    </row>
    <row r="840" spans="1:6" x14ac:dyDescent="0.3">
      <c r="A840" t="str">
        <f>HYPERLINK("https://us2.cloudbeds.com/connect/10074733072513#/reservations/30661728247945?display=YQEP7E5WZ&amp;reservation_id=30661728247945", "YQEP7E5WZ")</f>
        <v>YQEP7E5WZ</v>
      </c>
      <c r="B840" t="s">
        <v>477</v>
      </c>
      <c r="C840">
        <v>132.41999999999999</v>
      </c>
      <c r="D840">
        <v>143.91999999999999</v>
      </c>
      <c r="E840">
        <v>143.94</v>
      </c>
      <c r="F840">
        <v>-0.02</v>
      </c>
    </row>
    <row r="841" spans="1:6" x14ac:dyDescent="0.3">
      <c r="A841" t="str">
        <f>HYPERLINK("https://us2.cloudbeds.com/connect/10074733072513#/reservations/30662640939234?display=YQFFX15BH&amp;reservation_id=30662640939234", "YQFFX15BH")</f>
        <v>YQFFX15BH</v>
      </c>
      <c r="B841" t="s">
        <v>479</v>
      </c>
      <c r="C841">
        <v>168.3</v>
      </c>
      <c r="D841">
        <v>182.92</v>
      </c>
      <c r="E841">
        <v>182.94</v>
      </c>
      <c r="F841">
        <v>-0.02</v>
      </c>
    </row>
    <row r="842" spans="1:6" x14ac:dyDescent="0.3">
      <c r="A842" t="str">
        <f>HYPERLINK("https://us2.cloudbeds.com/connect/10074733072513#/reservations/30663063273688?display=YQFQB57V9&amp;reservation_id=30663063273688", "YQFQB57V9")</f>
        <v>YQFQB57V9</v>
      </c>
      <c r="B842" t="s">
        <v>484</v>
      </c>
      <c r="C842">
        <v>128.30000000000001</v>
      </c>
      <c r="D842">
        <v>139.44</v>
      </c>
      <c r="E842">
        <v>139.46</v>
      </c>
      <c r="F842">
        <v>-0.02</v>
      </c>
    </row>
    <row r="843" spans="1:6" x14ac:dyDescent="0.3">
      <c r="A843" t="str">
        <f>HYPERLINK("https://us2.cloudbeds.com/connect/10074733072513#/reservations/30663042879624?display=YQFPQVZKB&amp;reservation_id=30663042879624", "YQFPQVZKB")</f>
        <v>YQFPQVZKB</v>
      </c>
      <c r="B843" t="s">
        <v>484</v>
      </c>
      <c r="C843">
        <v>128.30000000000001</v>
      </c>
      <c r="D843">
        <v>139.44</v>
      </c>
      <c r="E843">
        <v>139.46</v>
      </c>
      <c r="F843">
        <v>-0.02</v>
      </c>
    </row>
    <row r="844" spans="1:6" x14ac:dyDescent="0.3">
      <c r="A844" t="str">
        <f>HYPERLINK("https://us2.cloudbeds.com/connect/10074733072513#/reservations/30663051591839?display=YQFQ1A5QS&amp;reservation_id=30663051591839", "YQFQ1A5QS")</f>
        <v>YQFQ1A5QS</v>
      </c>
      <c r="B844" t="s">
        <v>484</v>
      </c>
      <c r="C844">
        <v>128.30000000000001</v>
      </c>
      <c r="D844">
        <v>139.44</v>
      </c>
      <c r="E844">
        <v>139.46</v>
      </c>
      <c r="F844">
        <v>-0.02</v>
      </c>
    </row>
    <row r="845" spans="1:6" x14ac:dyDescent="0.3">
      <c r="A845" t="str">
        <f>HYPERLINK("https://us2.cloudbeds.com/connect/10074733072513#/reservations/30663404380368?display=YQG21Q17B&amp;reservation_id=30663404380368", "YQG21Q17B")</f>
        <v>YQG21Q17B</v>
      </c>
      <c r="B845" t="s">
        <v>485</v>
      </c>
      <c r="C845">
        <v>128.30000000000001</v>
      </c>
      <c r="D845">
        <v>139.44</v>
      </c>
      <c r="E845">
        <v>139.46</v>
      </c>
      <c r="F845">
        <v>-0.02</v>
      </c>
    </row>
    <row r="846" spans="1:6" x14ac:dyDescent="0.3">
      <c r="A846" t="str">
        <f>HYPERLINK("https://us2.cloudbeds.com/connect/10074733072513#/reservations/30662625022179?display=YQFF4K84H&amp;reservation_id=30662625022179", "YQFF4K84H")</f>
        <v>YQFF4K84H</v>
      </c>
      <c r="B846" t="s">
        <v>479</v>
      </c>
      <c r="C846">
        <v>261.60000000000002</v>
      </c>
      <c r="D846">
        <v>284.33999999999997</v>
      </c>
      <c r="E846">
        <v>284.36</v>
      </c>
      <c r="F846">
        <v>-0.02</v>
      </c>
    </row>
    <row r="847" spans="1:6" x14ac:dyDescent="0.3">
      <c r="A847" t="str">
        <f>HYPERLINK("https://us2.cloudbeds.com/connect/10074733072513#/reservations/30664960131266?display=YQH8QY38V&amp;reservation_id=30664960131266", "YQH8QY38V")</f>
        <v>YQH8QY38V</v>
      </c>
      <c r="B847" t="s">
        <v>488</v>
      </c>
      <c r="C847">
        <v>166.4</v>
      </c>
      <c r="D847">
        <v>180.86</v>
      </c>
      <c r="E847">
        <v>180.88</v>
      </c>
      <c r="F847">
        <v>-0.02</v>
      </c>
    </row>
    <row r="848" spans="1:6" x14ac:dyDescent="0.3">
      <c r="A848" t="str">
        <f>HYPERLINK("https://us2.cloudbeds.com/connect/10074733072513#/reservations/30663953121459?display=YQGG2GXN8&amp;reservation_id=30663953121459", "YQGG2GXN8")</f>
        <v>YQGG2GXN8</v>
      </c>
      <c r="B848" t="s">
        <v>479</v>
      </c>
      <c r="C848">
        <v>128.30000000000001</v>
      </c>
      <c r="D848">
        <v>139.44</v>
      </c>
      <c r="E848">
        <v>139.46</v>
      </c>
      <c r="F848">
        <v>-0.02</v>
      </c>
    </row>
    <row r="849" spans="1:6" x14ac:dyDescent="0.3">
      <c r="A849" t="str">
        <f>HYPERLINK("https://us2.cloudbeds.com/connect/10074733072513#/reservations/30663565873357?display=YQG65VQW9&amp;reservation_id=30663565873357", "YQG65VQW9")</f>
        <v>YQG65VQW9</v>
      </c>
      <c r="B849" t="s">
        <v>504</v>
      </c>
      <c r="C849">
        <v>160.19999999999999</v>
      </c>
      <c r="D849">
        <v>174.12</v>
      </c>
      <c r="E849">
        <v>174.14</v>
      </c>
      <c r="F849">
        <v>-0.02</v>
      </c>
    </row>
    <row r="850" spans="1:6" x14ac:dyDescent="0.3">
      <c r="A850" t="str">
        <f>HYPERLINK("https://us2.cloudbeds.com/connect/10074733072513#/reservations/30663101055105?display=YQFRA0EUG&amp;reservation_id=30663101055105", "YQFRA0EUG")</f>
        <v>YQFRA0EUG</v>
      </c>
      <c r="B850" t="s">
        <v>512</v>
      </c>
      <c r="C850">
        <v>168.3</v>
      </c>
      <c r="D850">
        <v>182.92</v>
      </c>
      <c r="E850">
        <v>182.94</v>
      </c>
      <c r="F850">
        <v>-0.02</v>
      </c>
    </row>
    <row r="851" spans="1:6" x14ac:dyDescent="0.3">
      <c r="A851" t="str">
        <f>HYPERLINK("https://us2.cloudbeds.com/connect/10074733072513#/reservations/30665545404629?display=YQHNP56CD&amp;reservation_id=30665545404629", "YQHNP56CD")</f>
        <v>YQHNP56CD</v>
      </c>
      <c r="B851" t="s">
        <v>523</v>
      </c>
      <c r="C851">
        <v>392.4</v>
      </c>
      <c r="D851">
        <v>426.52</v>
      </c>
      <c r="E851">
        <v>426.54</v>
      </c>
      <c r="F851">
        <v>-0.02</v>
      </c>
    </row>
    <row r="852" spans="1:6" x14ac:dyDescent="0.3">
      <c r="A852" t="str">
        <f>HYPERLINK("https://us2.cloudbeds.com/connect/10074733072513#/reservations/30665530659017?display=YQHNCNSSM&amp;reservation_id=30665530659017", "YQHNCNSSM")</f>
        <v>YQHNCNSSM</v>
      </c>
      <c r="B852" t="s">
        <v>523</v>
      </c>
      <c r="C852">
        <v>136.32</v>
      </c>
      <c r="D852">
        <v>148.16</v>
      </c>
      <c r="E852">
        <v>148.18</v>
      </c>
      <c r="F852">
        <v>-0.02</v>
      </c>
    </row>
    <row r="853" spans="1:6" x14ac:dyDescent="0.3">
      <c r="A853" t="str">
        <f>HYPERLINK("https://us2.cloudbeds.com/connect/10074733072513#/reservations/30665544544432?display=YQHNZE8FR&amp;reservation_id=30665544544432", "YQHNZE8FR")</f>
        <v>YQHNZE8FR</v>
      </c>
      <c r="B853" t="s">
        <v>523</v>
      </c>
      <c r="C853">
        <v>144.34</v>
      </c>
      <c r="D853">
        <v>156.88</v>
      </c>
      <c r="E853">
        <v>156.9</v>
      </c>
      <c r="F853">
        <v>-0.02</v>
      </c>
    </row>
    <row r="854" spans="1:6" x14ac:dyDescent="0.3">
      <c r="A854" t="str">
        <f>HYPERLINK("https://us2.cloudbeds.com/connect/10074733072513#/reservations/30665057202420?display=YQHB9G852&amp;reservation_id=30665057202420", "YQHB9G852")</f>
        <v>YQHB9G852</v>
      </c>
      <c r="B854" t="s">
        <v>527</v>
      </c>
      <c r="C854">
        <v>136.32</v>
      </c>
      <c r="D854">
        <v>148.16</v>
      </c>
      <c r="E854">
        <v>148.18</v>
      </c>
      <c r="F854">
        <v>-0.02</v>
      </c>
    </row>
    <row r="855" spans="1:6" x14ac:dyDescent="0.3">
      <c r="A855" t="str">
        <f>HYPERLINK("https://us2.cloudbeds.com/connect/10074733072513#/reservations/30664028872901?display=YQGX0CF8G&amp;reservation_id=30664028872901", "YQGX0CF8G")</f>
        <v>YQGX0CF8G</v>
      </c>
      <c r="B855" t="s">
        <v>528</v>
      </c>
      <c r="C855">
        <v>136.32</v>
      </c>
      <c r="D855">
        <v>148.16</v>
      </c>
      <c r="E855">
        <v>148.18</v>
      </c>
      <c r="F855">
        <v>-0.02</v>
      </c>
    </row>
    <row r="856" spans="1:6" x14ac:dyDescent="0.3">
      <c r="A856" t="str">
        <f>HYPERLINK("https://us2.cloudbeds.com/connect/10074733072513#/reservations/30663958294683?display=YQGG6SH4K&amp;reservation_id=30663958294683", "YQGG6SH4K")</f>
        <v>YQGG6SH4K</v>
      </c>
      <c r="B856" t="s">
        <v>528</v>
      </c>
      <c r="C856">
        <v>136.32</v>
      </c>
      <c r="D856">
        <v>148.16</v>
      </c>
      <c r="E856">
        <v>148.18</v>
      </c>
      <c r="F856">
        <v>-0.02</v>
      </c>
    </row>
    <row r="857" spans="1:6" x14ac:dyDescent="0.3">
      <c r="A857" t="str">
        <f>HYPERLINK("https://us2.cloudbeds.com/connect/10074733072513#/reservations/30664014876808?display=YQGHYJ00F&amp;reservation_id=30664014876808", "YQGHYJ00F")</f>
        <v>YQGHYJ00F</v>
      </c>
      <c r="B857" t="s">
        <v>534</v>
      </c>
      <c r="C857">
        <v>388.45</v>
      </c>
      <c r="D857">
        <v>422.23</v>
      </c>
      <c r="E857">
        <v>422.25</v>
      </c>
      <c r="F857">
        <v>-0.02</v>
      </c>
    </row>
    <row r="858" spans="1:6" x14ac:dyDescent="0.3">
      <c r="A858" t="str">
        <f>HYPERLINK("https://us2.cloudbeds.com/connect/10074733072513#/reservations/30666289590453?display=YQX9PM8JW&amp;reservation_id=30666289590453", "YQX9PM8JW")</f>
        <v>YQX9PM8JW</v>
      </c>
      <c r="B858" t="s">
        <v>538</v>
      </c>
      <c r="C858">
        <v>570.6</v>
      </c>
      <c r="D858">
        <v>620.22</v>
      </c>
      <c r="E858">
        <v>620.24</v>
      </c>
      <c r="F858">
        <v>-0.02</v>
      </c>
    </row>
    <row r="859" spans="1:6" x14ac:dyDescent="0.3">
      <c r="A859" t="str">
        <f>HYPERLINK("https://us2.cloudbeds.com/connect/10074733072513#/reservations/30665725694125?display=YQHSC60FF&amp;reservation_id=30665725694125", "YQHSC60FF")</f>
        <v>YQHSC60FF</v>
      </c>
      <c r="B859" t="s">
        <v>541</v>
      </c>
      <c r="C859">
        <v>168.3</v>
      </c>
      <c r="D859">
        <v>182.92</v>
      </c>
      <c r="E859">
        <v>182.94</v>
      </c>
      <c r="F859">
        <v>-0.02</v>
      </c>
    </row>
    <row r="860" spans="1:6" x14ac:dyDescent="0.3">
      <c r="A860" t="str">
        <f>HYPERLINK("https://us2.cloudbeds.com/connect/10074733072513#/reservations/30665481031931?display=YQHM3SUKJ&amp;reservation_id=30665481031931", "YQHM3SUKJ")</f>
        <v>YQHM3SUKJ</v>
      </c>
      <c r="B860" t="s">
        <v>546</v>
      </c>
      <c r="C860">
        <v>168.3</v>
      </c>
      <c r="D860">
        <v>182.92</v>
      </c>
      <c r="E860">
        <v>182.94</v>
      </c>
      <c r="F860">
        <v>-0.02</v>
      </c>
    </row>
    <row r="861" spans="1:6" x14ac:dyDescent="0.3">
      <c r="A861" t="str">
        <f>HYPERLINK("https://us2.cloudbeds.com/connect/10074733072513#/reservations/30666351440076?display=YQXBBRAFW&amp;reservation_id=30666351440076", "YQXBBRAFW")</f>
        <v>YQXBBRAFW</v>
      </c>
      <c r="B861" t="s">
        <v>548</v>
      </c>
      <c r="C861">
        <v>168.3</v>
      </c>
      <c r="D861">
        <v>182.92</v>
      </c>
      <c r="E861">
        <v>182.94</v>
      </c>
      <c r="F861">
        <v>-0.02</v>
      </c>
    </row>
    <row r="862" spans="1:6" x14ac:dyDescent="0.3">
      <c r="A862" t="str">
        <f>HYPERLINK("https://us2.cloudbeds.com/connect/10074733072513#/reservations/30665471594689?display=YQHYSUAYX&amp;reservation_id=30665471594689", "YQHYSUAYX")</f>
        <v>YQHYSUAYX</v>
      </c>
      <c r="B862" t="s">
        <v>546</v>
      </c>
      <c r="C862">
        <v>136.32</v>
      </c>
      <c r="D862">
        <v>148.16</v>
      </c>
      <c r="E862">
        <v>148.18</v>
      </c>
      <c r="F862">
        <v>-0.02</v>
      </c>
    </row>
    <row r="863" spans="1:6" x14ac:dyDescent="0.3">
      <c r="A863" t="str">
        <f>HYPERLINK("https://us2.cloudbeds.com/connect/10074733072513#/reservations/30665474810015?display=YQHYVKQ6M&amp;reservation_id=30665474810015", "YQHYVKQ6M")</f>
        <v>YQHYVKQ6M</v>
      </c>
      <c r="B863" t="s">
        <v>546</v>
      </c>
      <c r="C863">
        <v>80.19</v>
      </c>
      <c r="D863">
        <v>87.15</v>
      </c>
      <c r="E863">
        <v>87.17</v>
      </c>
      <c r="F863">
        <v>-0.02</v>
      </c>
    </row>
    <row r="864" spans="1:6" x14ac:dyDescent="0.3">
      <c r="A864" t="str">
        <f>HYPERLINK("https://us2.cloudbeds.com/connect/10074733072513#/reservations/30665137361053?display=YQHDB2PNH&amp;reservation_id=30665137361053", "YQHDB2PNH")</f>
        <v>YQHDB2PNH</v>
      </c>
      <c r="B864" t="s">
        <v>553</v>
      </c>
      <c r="C864">
        <v>144.34</v>
      </c>
      <c r="D864">
        <v>156.88</v>
      </c>
      <c r="E864">
        <v>156.9</v>
      </c>
      <c r="F864">
        <v>-0.02</v>
      </c>
    </row>
    <row r="865" spans="1:6" x14ac:dyDescent="0.3">
      <c r="A865" t="str">
        <f>HYPERLINK("https://us2.cloudbeds.com/connect/10074733072513#/reservations/30664375726241?display=YQGQSS5HP&amp;reservation_id=30664375726241", "YQGQSS5HP")</f>
        <v>YQGQSS5HP</v>
      </c>
      <c r="B865" t="s">
        <v>554</v>
      </c>
      <c r="C865">
        <v>300.87</v>
      </c>
      <c r="D865">
        <v>327.02999999999997</v>
      </c>
      <c r="E865">
        <v>327.05</v>
      </c>
      <c r="F865">
        <v>-0.02</v>
      </c>
    </row>
    <row r="866" spans="1:6" x14ac:dyDescent="0.3">
      <c r="A866" t="str">
        <f>HYPERLINK("https://us2.cloudbeds.com/connect/10074733072513#/reservations/30665143517371?display=YQHDG92TY&amp;reservation_id=30665143517371", "YQHDG92TY")</f>
        <v>YQHDG92TY</v>
      </c>
      <c r="B866" t="s">
        <v>553</v>
      </c>
      <c r="C866">
        <v>136.32</v>
      </c>
      <c r="D866">
        <v>148.16</v>
      </c>
      <c r="E866">
        <v>148.18</v>
      </c>
      <c r="F866">
        <v>-0.02</v>
      </c>
    </row>
    <row r="867" spans="1:6" x14ac:dyDescent="0.3">
      <c r="A867" t="str">
        <f>HYPERLINK("https://us2.cloudbeds.com/connect/10074733072513#/reservations/30667009269894?display=YQXS5HD8T&amp;reservation_id=30667009269894", "YQXS5HD8T")</f>
        <v>YQXS5HD8T</v>
      </c>
      <c r="B867" t="s">
        <v>558</v>
      </c>
      <c r="C867">
        <v>232.02</v>
      </c>
      <c r="D867">
        <v>252.19</v>
      </c>
      <c r="E867">
        <v>252.21</v>
      </c>
      <c r="F867">
        <v>-0.02</v>
      </c>
    </row>
    <row r="868" spans="1:6" x14ac:dyDescent="0.3">
      <c r="A868" t="str">
        <f>HYPERLINK("https://us2.cloudbeds.com/connect/10074733072513#/reservations/30664810713328?display=YQH4WYANY&amp;reservation_id=30664810713328", "YQH4WYANY")</f>
        <v>YQH4WYANY</v>
      </c>
      <c r="B868" t="s">
        <v>565</v>
      </c>
      <c r="C868">
        <v>312.3</v>
      </c>
      <c r="D868">
        <v>339.45</v>
      </c>
      <c r="E868">
        <v>339.47</v>
      </c>
      <c r="F868">
        <v>-0.02</v>
      </c>
    </row>
    <row r="869" spans="1:6" x14ac:dyDescent="0.3">
      <c r="A869" t="str">
        <f>HYPERLINK("https://us2.cloudbeds.com/connect/10074733072513#/reservations/30666238902503?display=YQX8FUQ6G&amp;reservation_id=30666238902503", "YQX8FUQ6G")</f>
        <v>YQX8FUQ6G</v>
      </c>
      <c r="B869" t="s">
        <v>567</v>
      </c>
      <c r="C869">
        <v>1069.2</v>
      </c>
      <c r="D869">
        <v>1162.2</v>
      </c>
      <c r="E869">
        <v>1162.22</v>
      </c>
      <c r="F869">
        <v>-0.02</v>
      </c>
    </row>
    <row r="870" spans="1:6" x14ac:dyDescent="0.3">
      <c r="A870" t="str">
        <f>HYPERLINK("https://us2.cloudbeds.com/connect/10074733072513#/reservations/30667076571297?display=YQXTT95CB&amp;reservation_id=30667076571297", "YQXTT95CB")</f>
        <v>YQXTT95CB</v>
      </c>
      <c r="B870" t="s">
        <v>583</v>
      </c>
      <c r="C870">
        <v>168.3</v>
      </c>
      <c r="D870">
        <v>182.92</v>
      </c>
      <c r="E870">
        <v>182.94</v>
      </c>
      <c r="F870">
        <v>-0.02</v>
      </c>
    </row>
    <row r="871" spans="1:6" x14ac:dyDescent="0.3">
      <c r="A871" t="str">
        <f>HYPERLINK("https://us2.cloudbeds.com/connect/10074733072513#/reservations/30667925946530?display=YQJXJG98P&amp;reservation_id=30667925946530", "YQJXJG98P")</f>
        <v>YQJXJG98P</v>
      </c>
      <c r="B871" t="s">
        <v>588</v>
      </c>
      <c r="C871">
        <v>166.4</v>
      </c>
      <c r="D871">
        <v>180.86</v>
      </c>
      <c r="E871">
        <v>180.88</v>
      </c>
      <c r="F871">
        <v>-0.02</v>
      </c>
    </row>
    <row r="872" spans="1:6" x14ac:dyDescent="0.3">
      <c r="A872" t="str">
        <f>HYPERLINK("https://us2.cloudbeds.com/connect/10074733072513#/reservations/30663507333334?display=YQG4MJS76&amp;reservation_id=30663507333334", "YQG4MJS76")</f>
        <v>YQG4MJS76</v>
      </c>
      <c r="B872" t="s">
        <v>590</v>
      </c>
      <c r="C872">
        <v>144.34</v>
      </c>
      <c r="D872">
        <v>156.88</v>
      </c>
      <c r="E872">
        <v>156.9</v>
      </c>
      <c r="F872">
        <v>-0.02</v>
      </c>
    </row>
    <row r="873" spans="1:6" x14ac:dyDescent="0.3">
      <c r="A873" t="str">
        <f>HYPERLINK("https://us2.cloudbeds.com/connect/10074733072513#/reservations/30667411271818?display=YQJ5EGN1C&amp;reservation_id=30667411271818", "YQJ5EGN1C")</f>
        <v>YQJ5EGN1C</v>
      </c>
      <c r="B873" t="s">
        <v>599</v>
      </c>
      <c r="C873">
        <v>144.34</v>
      </c>
      <c r="D873">
        <v>156.88</v>
      </c>
      <c r="E873">
        <v>156.9</v>
      </c>
      <c r="F873">
        <v>-0.02</v>
      </c>
    </row>
    <row r="874" spans="1:6" x14ac:dyDescent="0.3">
      <c r="A874" t="str">
        <f>HYPERLINK("https://us2.cloudbeds.com/connect/10074733072513#/reservations/30667806703771?display=YQJFHV5PR&amp;reservation_id=30667806703771", "YQJFHV5PR")</f>
        <v>YQJFHV5PR</v>
      </c>
      <c r="B874" t="s">
        <v>609</v>
      </c>
      <c r="C874">
        <v>128.30000000000001</v>
      </c>
      <c r="D874">
        <v>139.44</v>
      </c>
      <c r="E874">
        <v>139.46</v>
      </c>
      <c r="F874">
        <v>-0.02</v>
      </c>
    </row>
    <row r="875" spans="1:6" x14ac:dyDescent="0.3">
      <c r="A875" t="str">
        <f>HYPERLINK("https://us2.cloudbeds.com/connect/10074733072513#/reservations/30667824009376?display=YQJFWHZ23&amp;reservation_id=30667824009376", "YQJFWHZ23")</f>
        <v>YQJFWHZ23</v>
      </c>
      <c r="B875" t="s">
        <v>611</v>
      </c>
      <c r="C875">
        <v>327.23</v>
      </c>
      <c r="D875">
        <v>355.68</v>
      </c>
      <c r="E875">
        <v>355.7</v>
      </c>
      <c r="F875">
        <v>-0.02</v>
      </c>
    </row>
    <row r="876" spans="1:6" x14ac:dyDescent="0.3">
      <c r="A876" t="str">
        <f>HYPERLINK("https://us2.cloudbeds.com/connect/10074733072513#/reservations/30667068747980?display=YQXTMMFE4&amp;reservation_id=30667068747980", "YQXTMMFE4")</f>
        <v>YQXTMMFE4</v>
      </c>
      <c r="B876" t="s">
        <v>606</v>
      </c>
      <c r="C876">
        <v>136.32</v>
      </c>
      <c r="D876">
        <v>148.16</v>
      </c>
      <c r="E876">
        <v>148.18</v>
      </c>
      <c r="F876">
        <v>-0.02</v>
      </c>
    </row>
    <row r="877" spans="1:6" x14ac:dyDescent="0.3">
      <c r="A877" t="str">
        <f>HYPERLINK("https://us2.cloudbeds.com/connect/10074733072513#/reservations/30668116750487?display=YQJNFCMGS&amp;reservation_id=30668116750487", "YQJNFCMGS")</f>
        <v>YQJNFCMGS</v>
      </c>
      <c r="B877" t="s">
        <v>623</v>
      </c>
      <c r="C877">
        <v>312.3</v>
      </c>
      <c r="D877">
        <v>339.45</v>
      </c>
      <c r="E877">
        <v>339.47</v>
      </c>
      <c r="F877">
        <v>-0.02</v>
      </c>
    </row>
    <row r="878" spans="1:6" x14ac:dyDescent="0.3">
      <c r="A878" t="str">
        <f>HYPERLINK("https://us2.cloudbeds.com/connect/10074733072513#/reservations/30668975157392?display=YQKCD73VA&amp;reservation_id=30668975157392", "YQKCD73VA")</f>
        <v>YQKCD73VA</v>
      </c>
      <c r="B878" t="s">
        <v>626</v>
      </c>
      <c r="C878">
        <v>286.39999999999998</v>
      </c>
      <c r="D878">
        <v>311.3</v>
      </c>
      <c r="E878">
        <v>311.32</v>
      </c>
      <c r="F878">
        <v>-0.02</v>
      </c>
    </row>
    <row r="879" spans="1:6" x14ac:dyDescent="0.3">
      <c r="A879" t="str">
        <f>HYPERLINK("https://us2.cloudbeds.com/connect/10074733072513#/reservations/30668597108943?display=YQK2ZEC0N&amp;reservation_id=30668597108943", "YQK2ZEC0N")</f>
        <v>YQK2ZEC0N</v>
      </c>
      <c r="B879" t="s">
        <v>642</v>
      </c>
      <c r="C879">
        <v>286.39999999999998</v>
      </c>
      <c r="D879">
        <v>311.3</v>
      </c>
      <c r="E879">
        <v>311.32</v>
      </c>
      <c r="F879">
        <v>-0.02</v>
      </c>
    </row>
    <row r="880" spans="1:6" x14ac:dyDescent="0.3">
      <c r="A880" t="str">
        <f>HYPERLINK("https://us2.cloudbeds.com/connect/10074733072513#/reservations/30668512293034?display=YQK0XU7QY&amp;reservation_id=30668512293034", "YQK0XU7QY")</f>
        <v>YQK0XU7QY</v>
      </c>
      <c r="B880" t="s">
        <v>643</v>
      </c>
      <c r="C880">
        <v>261.63</v>
      </c>
      <c r="D880">
        <v>284.37</v>
      </c>
      <c r="E880">
        <v>284.39</v>
      </c>
      <c r="F880">
        <v>-0.02</v>
      </c>
    </row>
    <row r="881" spans="1:6" x14ac:dyDescent="0.3">
      <c r="A881" t="str">
        <f>HYPERLINK("https://us2.cloudbeds.com/connect/10074733072513#/reservations/30669202632913?display=YQKX70VNU&amp;reservation_id=30669202632913", "YQKX70VNU")</f>
        <v>YQKX70VNU</v>
      </c>
      <c r="B881" t="s">
        <v>640</v>
      </c>
      <c r="C881">
        <v>340.2</v>
      </c>
      <c r="D881">
        <v>369.78</v>
      </c>
      <c r="E881">
        <v>369.8</v>
      </c>
      <c r="F881">
        <v>-0.02</v>
      </c>
    </row>
    <row r="882" spans="1:6" x14ac:dyDescent="0.3">
      <c r="A882" t="str">
        <f>HYPERLINK("https://us2.cloudbeds.com/connect/10074733072513#/reservations/30669158400144?display=YQKH2Z3UW&amp;reservation_id=30669158400144", "YQKH2Z3UW")</f>
        <v>YQKH2Z3UW</v>
      </c>
      <c r="B882" t="s">
        <v>640</v>
      </c>
      <c r="C882">
        <v>340.2</v>
      </c>
      <c r="D882">
        <v>369.78</v>
      </c>
      <c r="E882">
        <v>369.8</v>
      </c>
      <c r="F882">
        <v>-0.02</v>
      </c>
    </row>
    <row r="883" spans="1:6" x14ac:dyDescent="0.3">
      <c r="A883" t="str">
        <f>HYPERLINK("https://us2.cloudbeds.com/connect/10074733072513#/reservations/30669606588638?display=YQKSHYKKG&amp;reservation_id=30669606588638", "YQKSHYKKG")</f>
        <v>YQKSHYKKG</v>
      </c>
      <c r="B883" t="s">
        <v>621</v>
      </c>
      <c r="C883">
        <v>340.2</v>
      </c>
      <c r="D883">
        <v>369.78</v>
      </c>
      <c r="E883">
        <v>369.8</v>
      </c>
      <c r="F883">
        <v>-0.02</v>
      </c>
    </row>
    <row r="884" spans="1:6" x14ac:dyDescent="0.3">
      <c r="A884" t="str">
        <f>HYPERLINK("https://us2.cloudbeds.com/connect/10074733072513#/reservations/30668750340224?display=YQK6YY4XM&amp;reservation_id=30668750340224", "YQK6YY4XM")</f>
        <v>YQK6YY4XM</v>
      </c>
      <c r="B884" t="s">
        <v>646</v>
      </c>
      <c r="C884">
        <v>381.6</v>
      </c>
      <c r="D884">
        <v>414.78</v>
      </c>
      <c r="E884">
        <v>414.8</v>
      </c>
      <c r="F884">
        <v>-0.02</v>
      </c>
    </row>
    <row r="885" spans="1:6" x14ac:dyDescent="0.3">
      <c r="A885" t="str">
        <f>HYPERLINK("https://us2.cloudbeds.com/connect/10074733072513#/reservations/30668637769916?display=YQK3PNQUD&amp;reservation_id=30668637769916", "YQK3PNQUD")</f>
        <v>YQK3PNQUD</v>
      </c>
      <c r="B885" t="s">
        <v>642</v>
      </c>
      <c r="C885">
        <v>286.39999999999998</v>
      </c>
      <c r="D885">
        <v>311.3</v>
      </c>
      <c r="E885">
        <v>311.32</v>
      </c>
      <c r="F885">
        <v>-0.02</v>
      </c>
    </row>
    <row r="886" spans="1:6" x14ac:dyDescent="0.3">
      <c r="A886" t="str">
        <f>HYPERLINK("https://us2.cloudbeds.com/connect/10074733072513#/reservations/30669825949846?display=YQY14KM7R&amp;reservation_id=30669825949846", "YQY14KM7R")</f>
        <v>YQY14KM7R</v>
      </c>
      <c r="B886" t="s">
        <v>657</v>
      </c>
      <c r="C886">
        <v>504.6</v>
      </c>
      <c r="D886">
        <v>548.48</v>
      </c>
      <c r="E886">
        <v>548.5</v>
      </c>
      <c r="F886">
        <v>-0.02</v>
      </c>
    </row>
    <row r="887" spans="1:6" x14ac:dyDescent="0.3">
      <c r="A887" t="str">
        <f>HYPERLINK("https://us2.cloudbeds.com/connect/10074733072513#/reservations/30669233807560?display=YQKJ0AEJ6&amp;reservation_id=30669233807560", "YQKJ0AEJ6")</f>
        <v>YQKJ0AEJ6</v>
      </c>
      <c r="B887" t="s">
        <v>658</v>
      </c>
      <c r="C887">
        <v>206.4</v>
      </c>
      <c r="D887">
        <v>224.34</v>
      </c>
      <c r="E887">
        <v>224.36</v>
      </c>
      <c r="F887">
        <v>-0.02</v>
      </c>
    </row>
    <row r="888" spans="1:6" x14ac:dyDescent="0.3">
      <c r="A888" t="str">
        <f>HYPERLINK("https://us2.cloudbeds.com/connect/10074733072513#/reservations/30670388347100?display=YQYFGS6QS&amp;reservation_id=30670388347100", "YQYFGS6QS")</f>
        <v>YQYFGS6QS</v>
      </c>
      <c r="B888" t="s">
        <v>660</v>
      </c>
      <c r="C888">
        <v>194.44</v>
      </c>
      <c r="D888">
        <v>211.34</v>
      </c>
      <c r="E888">
        <v>211.36</v>
      </c>
      <c r="F888">
        <v>-0.02</v>
      </c>
    </row>
    <row r="889" spans="1:6" x14ac:dyDescent="0.3">
      <c r="A889" t="str">
        <f>HYPERLINK("https://us2.cloudbeds.com/connect/10074733072513#/reservations/30672574968008?display=YQN5CM55G&amp;reservation_id=30672574968008", "YQN5CM55G")</f>
        <v>YQN5CM55G</v>
      </c>
      <c r="B889" t="s">
        <v>667</v>
      </c>
      <c r="C889">
        <v>312.3</v>
      </c>
      <c r="D889">
        <v>339.45</v>
      </c>
      <c r="E889">
        <v>339.47</v>
      </c>
      <c r="F889">
        <v>-0.02</v>
      </c>
    </row>
    <row r="890" spans="1:6" x14ac:dyDescent="0.3">
      <c r="A890" t="str">
        <f>HYPERLINK("https://us2.cloudbeds.com/connect/10074733072513#/reservations/30670886666368?display=YQYS2KVYP&amp;reservation_id=30670886666368", "YQYS2KVYP")</f>
        <v>YQYS2KVYP</v>
      </c>
      <c r="B890" t="s">
        <v>668</v>
      </c>
      <c r="C890">
        <v>260.2</v>
      </c>
      <c r="D890">
        <v>282.82</v>
      </c>
      <c r="E890">
        <v>282.83999999999997</v>
      </c>
      <c r="F890">
        <v>-0.02</v>
      </c>
    </row>
    <row r="891" spans="1:6" x14ac:dyDescent="0.3">
      <c r="A891" t="str">
        <f>HYPERLINK("https://us2.cloudbeds.com/connect/10074733072513#/reservations/30671587623060?display=YQMD53RAX&amp;reservation_id=30671587623060", "YQMD53RAX")</f>
        <v>YQMD53RAX</v>
      </c>
      <c r="B891" t="s">
        <v>591</v>
      </c>
      <c r="C891">
        <v>236.3</v>
      </c>
      <c r="D891">
        <v>256.83999999999997</v>
      </c>
      <c r="E891">
        <v>256.86</v>
      </c>
      <c r="F891">
        <v>-0.02</v>
      </c>
    </row>
    <row r="892" spans="1:6" x14ac:dyDescent="0.3">
      <c r="A892" t="str">
        <f>HYPERLINK("https://us2.cloudbeds.com/connect/10074733072513#/reservations/30671772000403?display=YQMHSJD5R&amp;reservation_id=30671772000403", "YQMHSJD5R")</f>
        <v>YQMHSJD5R</v>
      </c>
      <c r="B892" t="s">
        <v>678</v>
      </c>
      <c r="C892">
        <v>544.5</v>
      </c>
      <c r="D892">
        <v>591.85</v>
      </c>
      <c r="E892">
        <v>591.87</v>
      </c>
      <c r="F892">
        <v>-0.02</v>
      </c>
    </row>
    <row r="893" spans="1:6" x14ac:dyDescent="0.3">
      <c r="A893" t="str">
        <f>HYPERLINK("https://us2.cloudbeds.com/connect/10074733072513#/reservations/30671533248709?display=YQMBP8PQ0&amp;reservation_id=30671533248709", "YQMBP8PQ0")</f>
        <v>YQMBP8PQ0</v>
      </c>
      <c r="B893" t="s">
        <v>699</v>
      </c>
      <c r="C893">
        <v>392.4</v>
      </c>
      <c r="D893">
        <v>426.52</v>
      </c>
      <c r="E893">
        <v>426.54</v>
      </c>
      <c r="F893">
        <v>-0.02</v>
      </c>
    </row>
    <row r="894" spans="1:6" x14ac:dyDescent="0.3">
      <c r="A894" t="str">
        <f>HYPERLINK("https://us2.cloudbeds.com/connect/10074733072513#/reservations/30671427690648?display=YQM928FJT&amp;reservation_id=30671427690648", "YQM928FJT")</f>
        <v>YQM928FJT</v>
      </c>
      <c r="B894" t="s">
        <v>700</v>
      </c>
      <c r="C894">
        <v>236.3</v>
      </c>
      <c r="D894">
        <v>256.83999999999997</v>
      </c>
      <c r="E894">
        <v>256.86</v>
      </c>
      <c r="F894">
        <v>-0.02</v>
      </c>
    </row>
    <row r="895" spans="1:6" x14ac:dyDescent="0.3">
      <c r="A895" t="str">
        <f>HYPERLINK("https://us2.cloudbeds.com/connect/10074733072513#/reservations/30672348606594?display=YQMWJQAEN&amp;reservation_id=30672348606594", "YQMWJQAEN")</f>
        <v>YQMWJQAEN</v>
      </c>
      <c r="B895" t="s">
        <v>662</v>
      </c>
      <c r="C895">
        <v>206.4</v>
      </c>
      <c r="D895">
        <v>224.34</v>
      </c>
      <c r="E895">
        <v>224.36</v>
      </c>
      <c r="F895">
        <v>-0.02</v>
      </c>
    </row>
    <row r="896" spans="1:6" x14ac:dyDescent="0.3">
      <c r="A896" t="str">
        <f>HYPERLINK("https://us2.cloudbeds.com/connect/10074733072513#/reservations/30670672003314?display=YQYMP1BRN&amp;reservation_id=30670672003314", "YQYMP1BRN")</f>
        <v>YQYMP1BRN</v>
      </c>
      <c r="B896" t="s">
        <v>702</v>
      </c>
      <c r="C896">
        <v>392.4</v>
      </c>
      <c r="D896">
        <v>426.52</v>
      </c>
      <c r="E896">
        <v>426.54</v>
      </c>
      <c r="F896">
        <v>-0.02</v>
      </c>
    </row>
    <row r="897" spans="1:6" x14ac:dyDescent="0.3">
      <c r="A897" t="str">
        <f>HYPERLINK("https://us2.cloudbeds.com/connect/10074733072513#/reservations/30670684668080?display=YQYN2NPXG&amp;reservation_id=30670684668080", "YQYN2NPXG")</f>
        <v>YQYN2NPXG</v>
      </c>
      <c r="B897" t="s">
        <v>702</v>
      </c>
      <c r="C897">
        <v>82.94</v>
      </c>
      <c r="D897">
        <v>90.14</v>
      </c>
      <c r="E897">
        <v>90.16</v>
      </c>
      <c r="F897">
        <v>-0.02</v>
      </c>
    </row>
    <row r="898" spans="1:6" x14ac:dyDescent="0.3">
      <c r="A898" t="str">
        <f>HYPERLINK("https://us2.cloudbeds.com/connect/10074733072513#/reservations/30673437708434?display=YQNRE55VP&amp;reservation_id=30673437708434", "YQNRE55VP")</f>
        <v>YQNRE55VP</v>
      </c>
      <c r="B898" t="s">
        <v>713</v>
      </c>
      <c r="C898">
        <v>236.3</v>
      </c>
      <c r="D898">
        <v>256.83999999999997</v>
      </c>
      <c r="E898">
        <v>256.86</v>
      </c>
      <c r="F898">
        <v>-0.02</v>
      </c>
    </row>
    <row r="899" spans="1:6" x14ac:dyDescent="0.3">
      <c r="A899" t="str">
        <f>HYPERLINK("https://us2.cloudbeds.com/connect/10074733072513#/reservations/30669468971240?display=YQKP0K76A&amp;reservation_id=30669468971240", "YQKP0K76A")</f>
        <v>YQKP0K76A</v>
      </c>
      <c r="B899" t="s">
        <v>716</v>
      </c>
      <c r="C899">
        <v>286.45</v>
      </c>
      <c r="D899">
        <v>311.35000000000002</v>
      </c>
      <c r="E899">
        <v>311.37</v>
      </c>
      <c r="F899">
        <v>-0.02</v>
      </c>
    </row>
    <row r="900" spans="1:6" x14ac:dyDescent="0.3">
      <c r="A900" t="str">
        <f>HYPERLINK("https://us2.cloudbeds.com/connect/10074733072513#/reservations/30678140571801?display=YQRFJZ9ET&amp;reservation_id=30678140571801", "YQRFJZ9ET")</f>
        <v>YQRFJZ9ET</v>
      </c>
      <c r="B900" t="s">
        <v>723</v>
      </c>
      <c r="C900">
        <v>323.68</v>
      </c>
      <c r="D900">
        <v>351.82</v>
      </c>
      <c r="E900">
        <v>351.84</v>
      </c>
      <c r="F900">
        <v>-0.02</v>
      </c>
    </row>
    <row r="901" spans="1:6" x14ac:dyDescent="0.3">
      <c r="A901" t="str">
        <f>HYPERLINK("https://us2.cloudbeds.com/connect/10074733072513#/reservations/30672367759580?display=YQN02V947&amp;reservation_id=30672367759580", "YQN02V947")</f>
        <v>YQN02V947</v>
      </c>
      <c r="B901" t="s">
        <v>729</v>
      </c>
      <c r="C901">
        <v>236.3</v>
      </c>
      <c r="D901">
        <v>256.83999999999997</v>
      </c>
      <c r="E901">
        <v>256.86</v>
      </c>
      <c r="F901">
        <v>-0.02</v>
      </c>
    </row>
    <row r="902" spans="1:6" x14ac:dyDescent="0.3">
      <c r="A902" t="str">
        <f>HYPERLINK("https://us2.cloudbeds.com/connect/10074733072513#/reservations/30671617503363?display=YQMDUA9KB&amp;reservation_id=30671617503363", "YQMDUA9KB")</f>
        <v>YQMDUA9KB</v>
      </c>
      <c r="B902" t="s">
        <v>743</v>
      </c>
      <c r="C902">
        <v>240.64</v>
      </c>
      <c r="D902">
        <v>261.56</v>
      </c>
      <c r="E902">
        <v>261.58</v>
      </c>
      <c r="F902">
        <v>-0.02</v>
      </c>
    </row>
    <row r="903" spans="1:6" x14ac:dyDescent="0.3">
      <c r="A903" t="str">
        <f>HYPERLINK("https://us2.cloudbeds.com/connect/10074733072513#/reservations/30674239533186?display=YQZEU94GH&amp;reservation_id=30674239533186", "YQZEU94GH")</f>
        <v>YQZEU94GH</v>
      </c>
      <c r="B903" t="s">
        <v>757</v>
      </c>
      <c r="C903">
        <v>342.3</v>
      </c>
      <c r="D903">
        <v>372.06</v>
      </c>
      <c r="E903">
        <v>372.08</v>
      </c>
      <c r="F903">
        <v>-0.02</v>
      </c>
    </row>
    <row r="904" spans="1:6" x14ac:dyDescent="0.3">
      <c r="A904" t="str">
        <f>HYPERLINK("https://us2.cloudbeds.com/connect/10074733072513#/reservations/30680011600007?display=YQSUDEDBA&amp;reservation_id=30680011600007", "YQSUDEDBA")</f>
        <v>YQSUDEDBA</v>
      </c>
      <c r="B904" t="s">
        <v>758</v>
      </c>
      <c r="C904">
        <v>145.91999999999999</v>
      </c>
      <c r="D904">
        <v>158.6</v>
      </c>
      <c r="E904">
        <v>158.62</v>
      </c>
      <c r="F904">
        <v>-0.02</v>
      </c>
    </row>
    <row r="905" spans="1:6" x14ac:dyDescent="0.3">
      <c r="A905" t="str">
        <f>HYPERLINK("https://us2.cloudbeds.com/connect/10074733072513#/reservations/30680026189977?display=YQSUPZCUK&amp;reservation_id=30680026189977", "YQSUPZCUK")</f>
        <v>YQSUPZCUK</v>
      </c>
      <c r="B905" t="s">
        <v>758</v>
      </c>
      <c r="C905">
        <v>145.91999999999999</v>
      </c>
      <c r="D905">
        <v>158.6</v>
      </c>
      <c r="E905">
        <v>158.62</v>
      </c>
      <c r="F905">
        <v>-0.02</v>
      </c>
    </row>
    <row r="906" spans="1:6" x14ac:dyDescent="0.3">
      <c r="A906" t="str">
        <f>HYPERLINK("https://us2.cloudbeds.com/connect/10074733072513#/reservations/30674625159401?display=YQZZPEZTD&amp;reservation_id=30674625159401", "YQZZPEZTD")</f>
        <v>YQZZPEZTD</v>
      </c>
      <c r="B906" t="s">
        <v>748</v>
      </c>
      <c r="C906">
        <v>286.45</v>
      </c>
      <c r="D906">
        <v>311.35000000000002</v>
      </c>
      <c r="E906">
        <v>311.37</v>
      </c>
      <c r="F906">
        <v>-0.02</v>
      </c>
    </row>
    <row r="907" spans="1:6" x14ac:dyDescent="0.3">
      <c r="A907" t="str">
        <f>HYPERLINK("https://us2.cloudbeds.com/connect/10074733072513#/reservations/30674083307715?display=YQZAUHUPB&amp;reservation_id=30674083307715", "YQZAUHUPB")</f>
        <v>YQZAUHUPB</v>
      </c>
      <c r="B907" t="s">
        <v>768</v>
      </c>
      <c r="C907">
        <v>280.2</v>
      </c>
      <c r="D907">
        <v>304.56</v>
      </c>
      <c r="E907">
        <v>304.58</v>
      </c>
      <c r="F907">
        <v>-0.02</v>
      </c>
    </row>
    <row r="908" spans="1:6" x14ac:dyDescent="0.3">
      <c r="A908" t="str">
        <f>HYPERLINK("https://us2.cloudbeds.com/connect/10074733072513#/reservations/30673500795076?display=YQNT1BYP6&amp;reservation_id=30673500795076", "YQNT1BYP6")</f>
        <v>YQNT1BYP6</v>
      </c>
      <c r="B908" t="s">
        <v>770</v>
      </c>
      <c r="C908">
        <v>148.24</v>
      </c>
      <c r="D908">
        <v>161.12</v>
      </c>
      <c r="E908">
        <v>161.13999999999999</v>
      </c>
      <c r="F908">
        <v>-0.02</v>
      </c>
    </row>
    <row r="909" spans="1:6" x14ac:dyDescent="0.3">
      <c r="A909" t="str">
        <f>HYPERLINK("https://us2.cloudbeds.com/connect/10074733072513#/reservations/30674539253969?display=YQZMJ0A6G&amp;reservation_id=30674539253969", "YQZMJ0A6G")</f>
        <v>YQZMJ0A6G</v>
      </c>
      <c r="B909" t="s">
        <v>768</v>
      </c>
      <c r="C909">
        <v>446.4</v>
      </c>
      <c r="D909">
        <v>485.22</v>
      </c>
      <c r="E909">
        <v>485.24</v>
      </c>
      <c r="F909">
        <v>-0.02</v>
      </c>
    </row>
    <row r="910" spans="1:6" x14ac:dyDescent="0.3">
      <c r="A910" t="str">
        <f>HYPERLINK("https://us2.cloudbeds.com/connect/10074733072513#/reservations/30679263625387?display=YQSB9NTVZ&amp;reservation_id=30679263625387", "YQSB9NTVZ")</f>
        <v>YQSB9NTVZ</v>
      </c>
      <c r="B910" t="s">
        <v>653</v>
      </c>
      <c r="C910">
        <v>148.24</v>
      </c>
      <c r="D910">
        <v>161.12</v>
      </c>
      <c r="E910">
        <v>161.13999999999999</v>
      </c>
      <c r="F910">
        <v>-0.02</v>
      </c>
    </row>
    <row r="911" spans="1:6" x14ac:dyDescent="0.3">
      <c r="A911" t="str">
        <f>HYPERLINK("https://us2.cloudbeds.com/connect/10074733072513#/reservations/30674584662175?display=YQZNZ9SBZ&amp;reservation_id=30674584662175", "YQZNZ9SBZ")</f>
        <v>YQZNZ9SBZ</v>
      </c>
      <c r="B911" t="s">
        <v>782</v>
      </c>
      <c r="C911">
        <v>491.63</v>
      </c>
      <c r="D911">
        <v>534.38</v>
      </c>
      <c r="E911">
        <v>534.4</v>
      </c>
      <c r="F911">
        <v>-0.02</v>
      </c>
    </row>
    <row r="912" spans="1:6" x14ac:dyDescent="0.3">
      <c r="A912" t="str">
        <f>HYPERLINK("https://us2.cloudbeds.com/connect/10074733072513#/reservations/30674645127374?display=YQZP99CVG&amp;reservation_id=30674645127374", "YQZP99CVG")</f>
        <v>YQZP99CVG</v>
      </c>
      <c r="B912" t="s">
        <v>748</v>
      </c>
      <c r="C912">
        <v>148.24</v>
      </c>
      <c r="D912">
        <v>161.12</v>
      </c>
      <c r="E912">
        <v>161.13999999999999</v>
      </c>
      <c r="F912">
        <v>-0.02</v>
      </c>
    </row>
    <row r="913" spans="1:6" x14ac:dyDescent="0.3">
      <c r="A913" t="str">
        <f>HYPERLINK("https://us2.cloudbeds.com/connect/10074733072513#/reservations/30673186021622?display=YQNKWUKJM&amp;reservation_id=30673186021622", "YQNKWUKJM")</f>
        <v>YQNKWUKJM</v>
      </c>
      <c r="B913" t="s">
        <v>734</v>
      </c>
      <c r="C913">
        <v>240.64</v>
      </c>
      <c r="D913">
        <v>261.56</v>
      </c>
      <c r="E913">
        <v>261.58</v>
      </c>
      <c r="F913">
        <v>-0.02</v>
      </c>
    </row>
    <row r="914" spans="1:6" x14ac:dyDescent="0.3">
      <c r="A914" t="str">
        <f>HYPERLINK("https://us2.cloudbeds.com/connect/10074733072513#/reservations/30673472090330?display=YQNSA4TVD&amp;reservation_id=30673472090330", "YQNSA4TVD")</f>
        <v>YQNSA4TVD</v>
      </c>
      <c r="B914" t="s">
        <v>796</v>
      </c>
      <c r="C914">
        <v>337.45</v>
      </c>
      <c r="D914">
        <v>366.79</v>
      </c>
      <c r="E914">
        <v>366.81</v>
      </c>
      <c r="F914">
        <v>-0.02</v>
      </c>
    </row>
    <row r="915" spans="1:6" x14ac:dyDescent="0.3">
      <c r="A915" t="str">
        <f>HYPERLINK("https://us2.cloudbeds.com/connect/10074733072513#/reservations/30679132254403?display=YQS7UVAER&amp;reservation_id=30679132254403", "YQS7UVAER")</f>
        <v>YQS7UVAER</v>
      </c>
      <c r="B915" t="s">
        <v>802</v>
      </c>
      <c r="C915">
        <v>278.8</v>
      </c>
      <c r="D915">
        <v>303.04000000000002</v>
      </c>
      <c r="E915">
        <v>303.06</v>
      </c>
      <c r="F915">
        <v>-0.02</v>
      </c>
    </row>
    <row r="916" spans="1:6" x14ac:dyDescent="0.3">
      <c r="A916" t="str">
        <f>HYPERLINK("https://us2.cloudbeds.com/connect/10074733072513#/reservations/30679413256386?display=YQSF3TK5E&amp;reservation_id=30679413256386", "YQSF3TK5E")</f>
        <v>YQSF3TK5E</v>
      </c>
      <c r="B916" t="s">
        <v>707</v>
      </c>
      <c r="C916">
        <v>236.3</v>
      </c>
      <c r="D916">
        <v>256.83999999999997</v>
      </c>
      <c r="E916">
        <v>256.86</v>
      </c>
      <c r="F916">
        <v>-0.02</v>
      </c>
    </row>
    <row r="917" spans="1:6" x14ac:dyDescent="0.3">
      <c r="A917" t="str">
        <f>HYPERLINK("https://us2.cloudbeds.com/connect/10074733072513#/reservations/30680062734545?display=YQSVNX9RP&amp;reservation_id=30680062734545", "YQSVNX9RP")</f>
        <v>YQSVNX9RP</v>
      </c>
      <c r="B917" t="s">
        <v>758</v>
      </c>
      <c r="C917">
        <v>292.60000000000002</v>
      </c>
      <c r="D917">
        <v>318.04000000000002</v>
      </c>
      <c r="E917">
        <v>318.06</v>
      </c>
      <c r="F917">
        <v>-0.02</v>
      </c>
    </row>
    <row r="918" spans="1:6" x14ac:dyDescent="0.3">
      <c r="A918" t="str">
        <f>HYPERLINK("https://us2.cloudbeds.com/connect/10074733072513#/reservations/30678857879699?display=YQS0UJECS&amp;reservation_id=30678857879699", "YQS0UJECS")</f>
        <v>YQS0UJECS</v>
      </c>
      <c r="B918" t="s">
        <v>822</v>
      </c>
      <c r="C918">
        <v>236.3</v>
      </c>
      <c r="D918">
        <v>256.83999999999997</v>
      </c>
      <c r="E918">
        <v>256.86</v>
      </c>
      <c r="F918">
        <v>-0.02</v>
      </c>
    </row>
    <row r="919" spans="1:6" x14ac:dyDescent="0.3">
      <c r="A919" t="str">
        <f>HYPERLINK("https://us2.cloudbeds.com/connect/10074733072513#/reservations/30677543243994?display=YQR0B1P28&amp;reservation_id=30677543243994", "YQR0B1P28")</f>
        <v>YQR0B1P28</v>
      </c>
      <c r="B919" t="s">
        <v>793</v>
      </c>
      <c r="C919">
        <v>287.3</v>
      </c>
      <c r="D919">
        <v>312.27999999999997</v>
      </c>
      <c r="E919">
        <v>312.3</v>
      </c>
      <c r="F919">
        <v>-0.02</v>
      </c>
    </row>
    <row r="920" spans="1:6" x14ac:dyDescent="0.3">
      <c r="A920" t="str">
        <f>HYPERLINK("https://us2.cloudbeds.com/connect/10074733072513#/reservations/30678417109137?display=YQRMYUBD5&amp;reservation_id=30678417109137", "YQRMYUBD5")</f>
        <v>YQRMYUBD5</v>
      </c>
      <c r="B920" t="s">
        <v>811</v>
      </c>
      <c r="C920">
        <v>236.3</v>
      </c>
      <c r="D920">
        <v>256.83999999999997</v>
      </c>
      <c r="E920">
        <v>256.86</v>
      </c>
      <c r="F920">
        <v>-0.02</v>
      </c>
    </row>
    <row r="921" spans="1:6" x14ac:dyDescent="0.3">
      <c r="A921" t="str">
        <f>HYPERLINK("https://us2.cloudbeds.com/connect/10074733072513#/reservations/30679308386480?display=YQSCEFETG&amp;reservation_id=30679308386480", "YQSCEFETG")</f>
        <v>YQSCEFETG</v>
      </c>
      <c r="B921" t="s">
        <v>850</v>
      </c>
      <c r="C921">
        <v>148.24</v>
      </c>
      <c r="D921">
        <v>161.12</v>
      </c>
      <c r="E921">
        <v>161.13999999999999</v>
      </c>
      <c r="F921">
        <v>-0.02</v>
      </c>
    </row>
    <row r="922" spans="1:6" x14ac:dyDescent="0.3">
      <c r="A922" t="str">
        <f>HYPERLINK("https://us2.cloudbeds.com/connect/10074733072513#/reservations/30678475677871?display=YQRZ5A3H9&amp;reservation_id=30678475677871", "YQRZ5A3H9")</f>
        <v>YQRZ5A3H9</v>
      </c>
      <c r="B922" t="s">
        <v>853</v>
      </c>
      <c r="C922">
        <v>965.7</v>
      </c>
      <c r="D922">
        <v>1049.7</v>
      </c>
      <c r="E922">
        <v>1049.72</v>
      </c>
      <c r="F922">
        <v>-0.02</v>
      </c>
    </row>
    <row r="923" spans="1:6" x14ac:dyDescent="0.3">
      <c r="A923" t="str">
        <f>HYPERLINK("https://us2.cloudbeds.com/connect/10074733072513#/reservations/30688423948487?display=YR2EBVD87&amp;reservation_id=30688423948487", "YR2EBVD87")</f>
        <v>YR2EBVD87</v>
      </c>
      <c r="B923" t="s">
        <v>836</v>
      </c>
      <c r="C923">
        <v>921.6</v>
      </c>
      <c r="D923">
        <v>1001.76</v>
      </c>
      <c r="E923">
        <v>1001.78</v>
      </c>
      <c r="F923">
        <v>-0.02</v>
      </c>
    </row>
    <row r="924" spans="1:6" x14ac:dyDescent="0.3">
      <c r="A924" t="str">
        <f>HYPERLINK("https://us2.cloudbeds.com/connect/10074733072513#/reservations/30677733863603?display=YQR56Q111&amp;reservation_id=30677733863603", "YQR56Q111")</f>
        <v>YQR56Q111</v>
      </c>
      <c r="B924" t="s">
        <v>793</v>
      </c>
      <c r="C924">
        <v>148.24</v>
      </c>
      <c r="D924">
        <v>161.12</v>
      </c>
      <c r="E924">
        <v>161.13999999999999</v>
      </c>
      <c r="F924">
        <v>-0.02</v>
      </c>
    </row>
    <row r="925" spans="1:6" x14ac:dyDescent="0.3">
      <c r="A925" t="str">
        <f>HYPERLINK("https://us2.cloudbeds.com/connect/10074733072513#/reservations/30688493293792?display=YR2G4E173&amp;reservation_id=30688493293792", "YR2G4E173")</f>
        <v>YR2G4E173</v>
      </c>
      <c r="B925" t="s">
        <v>801</v>
      </c>
      <c r="C925">
        <v>402.3</v>
      </c>
      <c r="D925">
        <v>437.28</v>
      </c>
      <c r="E925">
        <v>437.3</v>
      </c>
      <c r="F925">
        <v>-0.02</v>
      </c>
    </row>
    <row r="926" spans="1:6" x14ac:dyDescent="0.3">
      <c r="A926" t="str">
        <f>HYPERLINK("https://us2.cloudbeds.com/connect/10074733072513#/reservations/30677137850532?display=YQQMW72UT&amp;reservation_id=30677137850532", "YQQMW72UT")</f>
        <v>YQQMW72UT</v>
      </c>
      <c r="B926" t="s">
        <v>872</v>
      </c>
      <c r="C926">
        <v>146.38</v>
      </c>
      <c r="D926">
        <v>159.1</v>
      </c>
      <c r="E926">
        <v>159.12</v>
      </c>
      <c r="F926">
        <v>-0.02</v>
      </c>
    </row>
    <row r="927" spans="1:6" x14ac:dyDescent="0.3">
      <c r="A927" t="str">
        <f>HYPERLINK("https://us2.cloudbeds.com/connect/10074733072513#/reservations/30677019041974?display=YQQJV125X&amp;reservation_id=30677019041974", "YQQJV125X")</f>
        <v>YQQJV125X</v>
      </c>
      <c r="B927" t="s">
        <v>829</v>
      </c>
      <c r="C927">
        <v>340.2</v>
      </c>
      <c r="D927">
        <v>369.78</v>
      </c>
      <c r="E927">
        <v>369.8</v>
      </c>
      <c r="F927">
        <v>-0.02</v>
      </c>
    </row>
    <row r="928" spans="1:6" x14ac:dyDescent="0.3">
      <c r="A928" t="str">
        <f>HYPERLINK("https://us2.cloudbeds.com/connect/10074733072513#/reservations/30687662665936?display=YR1RU0JX0&amp;reservation_id=30687662665936", "YR1RU0JX0")</f>
        <v>YR1RU0JX0</v>
      </c>
      <c r="B928" t="s">
        <v>879</v>
      </c>
      <c r="C928">
        <v>236.3</v>
      </c>
      <c r="D928">
        <v>256.83999999999997</v>
      </c>
      <c r="E928">
        <v>256.86</v>
      </c>
      <c r="F928">
        <v>-0.02</v>
      </c>
    </row>
    <row r="929" spans="1:6" x14ac:dyDescent="0.3">
      <c r="A929" t="str">
        <f>HYPERLINK("https://us2.cloudbeds.com/connect/10074733072513#/reservations/30687629521051?display=YR1R229FX&amp;reservation_id=30687629521051", "YR1R229FX")</f>
        <v>YR1R229FX</v>
      </c>
      <c r="B929" t="s">
        <v>845</v>
      </c>
      <c r="C929">
        <v>381.6</v>
      </c>
      <c r="D929">
        <v>414.78</v>
      </c>
      <c r="E929">
        <v>414.8</v>
      </c>
      <c r="F929">
        <v>-0.02</v>
      </c>
    </row>
    <row r="930" spans="1:6" x14ac:dyDescent="0.3">
      <c r="A930" t="str">
        <f>HYPERLINK("https://us2.cloudbeds.com/connect/10074733072513#/reservations/30686198587527?display=YR0NGFEUK&amp;reservation_id=30686198587527", "YR0NGFEUK")</f>
        <v>YR0NGFEUK</v>
      </c>
      <c r="B930" t="s">
        <v>885</v>
      </c>
      <c r="C930">
        <v>516.65</v>
      </c>
      <c r="D930">
        <v>561.58000000000004</v>
      </c>
      <c r="E930">
        <v>561.6</v>
      </c>
      <c r="F930">
        <v>-0.02</v>
      </c>
    </row>
    <row r="931" spans="1:6" x14ac:dyDescent="0.3">
      <c r="A931" t="str">
        <f>HYPERLINK("https://us2.cloudbeds.com/connect/10074733072513#/reservations/30677245083809?display=YQQPNY0E4&amp;reservation_id=30677245083809", "YQQPNY0E4")</f>
        <v>YQQPNY0E4</v>
      </c>
      <c r="B931" t="s">
        <v>892</v>
      </c>
      <c r="C931">
        <v>236.3</v>
      </c>
      <c r="D931">
        <v>256.83999999999997</v>
      </c>
      <c r="E931">
        <v>256.86</v>
      </c>
      <c r="F931">
        <v>-0.02</v>
      </c>
    </row>
    <row r="932" spans="1:6" x14ac:dyDescent="0.3">
      <c r="A932" t="str">
        <f>HYPERLINK("https://us2.cloudbeds.com/connect/10074733072513#/reservations/30688156750059?display=YR27HY6W5&amp;reservation_id=30688156750059", "YR27HY6W5")</f>
        <v>YR27HY6W5</v>
      </c>
      <c r="B932" t="s">
        <v>832</v>
      </c>
      <c r="C932">
        <v>287.3</v>
      </c>
      <c r="D932">
        <v>312.27999999999997</v>
      </c>
      <c r="E932">
        <v>312.3</v>
      </c>
      <c r="F932">
        <v>-0.02</v>
      </c>
    </row>
    <row r="933" spans="1:6" x14ac:dyDescent="0.3">
      <c r="A933" t="str">
        <f>HYPERLINK("https://us2.cloudbeds.com/connect/10074733072513#/reservations/30688392536258?display=YR2DXFA7G&amp;reservation_id=30688392536258", "YR2DXFA7G")</f>
        <v>YR2DXFA7G</v>
      </c>
      <c r="B933" t="s">
        <v>845</v>
      </c>
      <c r="C933">
        <v>340.2</v>
      </c>
      <c r="D933">
        <v>369.78</v>
      </c>
      <c r="E933">
        <v>369.8</v>
      </c>
      <c r="F933">
        <v>-0.02</v>
      </c>
    </row>
    <row r="934" spans="1:6" x14ac:dyDescent="0.3">
      <c r="A934" t="str">
        <f>HYPERLINK("https://us2.cloudbeds.com/connect/10074733072513#/reservations/30688361218225?display=YR2CP1RN6&amp;reservation_id=30688361218225", "YR2CP1RN6")</f>
        <v>YR2CP1RN6</v>
      </c>
      <c r="B934" t="s">
        <v>910</v>
      </c>
      <c r="C934">
        <v>240.64</v>
      </c>
      <c r="D934">
        <v>261.56</v>
      </c>
      <c r="E934">
        <v>261.58</v>
      </c>
      <c r="F934">
        <v>-0.02</v>
      </c>
    </row>
    <row r="935" spans="1:6" x14ac:dyDescent="0.3">
      <c r="A935" t="str">
        <f>HYPERLINK("https://us2.cloudbeds.com/connect/10074733072513#/reservations/30687180836993?display=YR1FJNWNV&amp;reservation_id=30687180836993", "YR1FJNWNV")</f>
        <v>YR1FJNWNV</v>
      </c>
      <c r="B935" t="s">
        <v>688</v>
      </c>
      <c r="C935">
        <v>340.2</v>
      </c>
      <c r="D935">
        <v>369.78</v>
      </c>
      <c r="E935">
        <v>369.8</v>
      </c>
      <c r="F935">
        <v>-0.02</v>
      </c>
    </row>
    <row r="936" spans="1:6" x14ac:dyDescent="0.3">
      <c r="A936" t="str">
        <f>HYPERLINK("https://us2.cloudbeds.com/connect/10074733072513#/reservations/30684639817865?display=YQWGM2CRA&amp;reservation_id=30684639817865", "YQWGM2CRA")</f>
        <v>YQWGM2CRA</v>
      </c>
      <c r="B936" t="s">
        <v>920</v>
      </c>
      <c r="C936">
        <v>240.64</v>
      </c>
      <c r="D936">
        <v>261.56</v>
      </c>
      <c r="E936">
        <v>261.58</v>
      </c>
      <c r="F936">
        <v>-0.02</v>
      </c>
    </row>
    <row r="937" spans="1:6" x14ac:dyDescent="0.3">
      <c r="A937" t="str">
        <f>HYPERLINK("https://us2.cloudbeds.com/connect/10074733072513#/reservations/30682214908055?display=YQUKNAN1S&amp;reservation_id=30682214908055", "YQUKNAN1S")</f>
        <v>YQUKNAN1S</v>
      </c>
      <c r="B937" t="s">
        <v>926</v>
      </c>
      <c r="C937">
        <v>236.3</v>
      </c>
      <c r="D937">
        <v>256.83999999999997</v>
      </c>
      <c r="E937">
        <v>256.86</v>
      </c>
      <c r="F937">
        <v>-0.02</v>
      </c>
    </row>
    <row r="938" spans="1:6" x14ac:dyDescent="0.3">
      <c r="A938" t="str">
        <f>HYPERLINK("https://us2.cloudbeds.com/connect/10074733072513#/reservations/30687650648198?display=YR1RJT5W4&amp;reservation_id=30687650648198", "YR1RJT5W4")</f>
        <v>YR1RJT5W4</v>
      </c>
      <c r="B938" t="s">
        <v>879</v>
      </c>
      <c r="C938">
        <v>400.2</v>
      </c>
      <c r="D938">
        <v>435</v>
      </c>
      <c r="E938">
        <v>435.02</v>
      </c>
      <c r="F938">
        <v>-0.02</v>
      </c>
    </row>
    <row r="939" spans="1:6" x14ac:dyDescent="0.3">
      <c r="A939" t="str">
        <f>HYPERLINK("https://us2.cloudbeds.com/connect/10074733072513#/reservations/30683082014868?display=YQV9SG7CT&amp;reservation_id=30683082014868", "YQV9SG7CT")</f>
        <v>YQV9SG7CT</v>
      </c>
      <c r="B939" t="s">
        <v>891</v>
      </c>
      <c r="C939">
        <v>340.2</v>
      </c>
      <c r="D939">
        <v>369.78</v>
      </c>
      <c r="E939">
        <v>369.8</v>
      </c>
      <c r="F939">
        <v>-0.02</v>
      </c>
    </row>
    <row r="940" spans="1:6" x14ac:dyDescent="0.3">
      <c r="A940" t="str">
        <f>HYPERLINK("https://us2.cloudbeds.com/connect/10074733072513#/reservations/30684978868379?display=YQWPAVVWA&amp;reservation_id=30684978868379", "YQWPAVVWA")</f>
        <v>YQWPAVVWA</v>
      </c>
      <c r="B940" t="s">
        <v>927</v>
      </c>
      <c r="C940">
        <v>528</v>
      </c>
      <c r="D940">
        <v>573.91999999999996</v>
      </c>
      <c r="E940">
        <v>573.94000000000005</v>
      </c>
      <c r="F940">
        <v>-0.02</v>
      </c>
    </row>
    <row r="941" spans="1:6" x14ac:dyDescent="0.3">
      <c r="A941" t="str">
        <f>HYPERLINK("https://us2.cloudbeds.com/connect/10074733072513#/reservations/30684696932510?display=YQWX47MN4&amp;reservation_id=30684696932510", "YQWX47MN4")</f>
        <v>YQWX47MN4</v>
      </c>
      <c r="B941" t="s">
        <v>930</v>
      </c>
      <c r="C941">
        <v>441.16</v>
      </c>
      <c r="D941">
        <v>479.52</v>
      </c>
      <c r="E941">
        <v>479.54</v>
      </c>
      <c r="F941">
        <v>-0.02</v>
      </c>
    </row>
    <row r="942" spans="1:6" x14ac:dyDescent="0.3">
      <c r="A942" t="str">
        <f>HYPERLINK("https://us2.cloudbeds.com/connect/10074733072513#/reservations/30687845167321?display=YR1WXTVP0&amp;reservation_id=30687845167321", "YR1WXTVP0")</f>
        <v>YR1WXTVP0</v>
      </c>
      <c r="B942" t="s">
        <v>921</v>
      </c>
      <c r="C942">
        <v>912.6</v>
      </c>
      <c r="D942">
        <v>991.98</v>
      </c>
      <c r="E942">
        <v>992</v>
      </c>
      <c r="F942">
        <v>-0.02</v>
      </c>
    </row>
    <row r="943" spans="1:6" x14ac:dyDescent="0.3">
      <c r="A943" t="str">
        <f>HYPERLINK("https://us2.cloudbeds.com/connect/10074733072513#/reservations/30686389301408?display=YR0SC9BF4&amp;reservation_id=30686389301408", "YR0SC9BF4")</f>
        <v>YR0SC9BF4</v>
      </c>
      <c r="B943" t="s">
        <v>795</v>
      </c>
      <c r="C943">
        <v>3429.1</v>
      </c>
      <c r="D943">
        <v>3727.41</v>
      </c>
      <c r="E943">
        <v>3727.43</v>
      </c>
      <c r="F943">
        <v>-0.02</v>
      </c>
    </row>
    <row r="944" spans="1:6" x14ac:dyDescent="0.3">
      <c r="A944" t="str">
        <f>HYPERLINK("https://us2.cloudbeds.com/connect/10074733072513#/reservations/30686919340183?display=YR18U7F36&amp;reservation_id=30686919340183", "YR18U7F36")</f>
        <v>YR18U7F36</v>
      </c>
      <c r="B944" t="s">
        <v>915</v>
      </c>
      <c r="C944">
        <v>492.3</v>
      </c>
      <c r="D944">
        <v>535.11</v>
      </c>
      <c r="E944">
        <v>535.13</v>
      </c>
      <c r="F944">
        <v>-0.02</v>
      </c>
    </row>
    <row r="945" spans="1:6" x14ac:dyDescent="0.3">
      <c r="A945" t="str">
        <f>HYPERLINK("https://us2.cloudbeds.com/connect/10074733072513#/reservations/30685911830733?display=YR0G5M0NQ&amp;reservation_id=30685911830733", "YR0G5M0NQ")</f>
        <v>YR0G5M0NQ</v>
      </c>
      <c r="B945" t="s">
        <v>752</v>
      </c>
      <c r="C945">
        <v>340.2</v>
      </c>
      <c r="D945">
        <v>369.78</v>
      </c>
      <c r="E945">
        <v>369.8</v>
      </c>
      <c r="F945">
        <v>-0.02</v>
      </c>
    </row>
    <row r="946" spans="1:6" x14ac:dyDescent="0.3">
      <c r="A946" t="str">
        <f>HYPERLINK("https://us2.cloudbeds.com/connect/10074733072513#/reservations/30686018551980?display=YR0XTYN0W&amp;reservation_id=30686018551980", "YR0XTYN0W")</f>
        <v>YR0XTYN0W</v>
      </c>
      <c r="B946" t="s">
        <v>942</v>
      </c>
      <c r="C946">
        <v>240.64</v>
      </c>
      <c r="D946">
        <v>261.56</v>
      </c>
      <c r="E946">
        <v>261.58</v>
      </c>
      <c r="F946">
        <v>-0.02</v>
      </c>
    </row>
    <row r="947" spans="1:6" x14ac:dyDescent="0.3">
      <c r="A947" t="str">
        <f>HYPERLINK("https://us2.cloudbeds.com/connect/10074733072513#/reservations/30684796543148?display=YQWKM7GHA&amp;reservation_id=30684796543148", "YQWKM7GHA")</f>
        <v>YQWKM7GHA</v>
      </c>
      <c r="B947" t="s">
        <v>959</v>
      </c>
      <c r="C947">
        <v>354.68</v>
      </c>
      <c r="D947">
        <v>385.52</v>
      </c>
      <c r="E947">
        <v>385.54</v>
      </c>
      <c r="F947">
        <v>-0.02</v>
      </c>
    </row>
    <row r="948" spans="1:6" x14ac:dyDescent="0.3">
      <c r="A948" t="str">
        <f>HYPERLINK("https://us2.cloudbeds.com/connect/10074733072513#/reservations/30686351851660?display=YR0RDN8B9&amp;reservation_id=30686351851660", "YR0RDN8B9")</f>
        <v>YR0RDN8B9</v>
      </c>
      <c r="B948" t="s">
        <v>795</v>
      </c>
      <c r="C948">
        <v>515.95000000000005</v>
      </c>
      <c r="D948">
        <v>560.82000000000005</v>
      </c>
      <c r="E948">
        <v>560.84</v>
      </c>
      <c r="F948">
        <v>-0.02</v>
      </c>
    </row>
    <row r="949" spans="1:6" x14ac:dyDescent="0.3">
      <c r="A949" t="str">
        <f>HYPERLINK("https://us2.cloudbeds.com/connect/10074733072513#/reservations/30681859137689?display=YQUBKASGM&amp;reservation_id=30681859137689", "YQUBKASGM")</f>
        <v>YQUBKASGM</v>
      </c>
      <c r="B949" t="s">
        <v>940</v>
      </c>
      <c r="C949">
        <v>188.32</v>
      </c>
      <c r="D949">
        <v>204.68</v>
      </c>
      <c r="E949">
        <v>204.7</v>
      </c>
      <c r="F949">
        <v>-0.02</v>
      </c>
    </row>
    <row r="950" spans="1:6" x14ac:dyDescent="0.3">
      <c r="A950" t="str">
        <f>HYPERLINK("https://us2.cloudbeds.com/connect/10074733072513#/reservations/30683998654696?display=YQW09E2JC&amp;reservation_id=30683998654696", "YQW09E2JC")</f>
        <v>YQW09E2JC</v>
      </c>
      <c r="B950" t="s">
        <v>968</v>
      </c>
      <c r="C950">
        <v>420.55</v>
      </c>
      <c r="D950">
        <v>457.12</v>
      </c>
      <c r="E950">
        <v>457.14</v>
      </c>
      <c r="F950">
        <v>-0.02</v>
      </c>
    </row>
    <row r="951" spans="1:6" x14ac:dyDescent="0.3">
      <c r="A951" t="str">
        <f>HYPERLINK("https://us2.cloudbeds.com/connect/10074733072513#/reservations/30685625917574?display=YR08SJ26M&amp;reservation_id=30685625917574", "YR08SJ26M")</f>
        <v>YR08SJ26M</v>
      </c>
      <c r="B951" t="s">
        <v>907</v>
      </c>
      <c r="C951">
        <v>340.2</v>
      </c>
      <c r="D951">
        <v>369.78</v>
      </c>
      <c r="E951">
        <v>369.8</v>
      </c>
      <c r="F951">
        <v>-0.02</v>
      </c>
    </row>
    <row r="952" spans="1:6" x14ac:dyDescent="0.3">
      <c r="A952" t="str">
        <f>HYPERLINK("https://us2.cloudbeds.com/connect/10074733072513#/reservations/30681675182313?display=YQU6U714B&amp;reservation_id=30681675182313", "YQU6U714B")</f>
        <v>YQU6U714B</v>
      </c>
      <c r="B952" t="s">
        <v>885</v>
      </c>
      <c r="C952">
        <v>360.96</v>
      </c>
      <c r="D952">
        <v>392.34</v>
      </c>
      <c r="E952">
        <v>392.36</v>
      </c>
      <c r="F952">
        <v>-0.02</v>
      </c>
    </row>
    <row r="953" spans="1:6" x14ac:dyDescent="0.3">
      <c r="A953" t="str">
        <f>HYPERLINK("https://us2.cloudbeds.com/connect/10074733072513#/reservations/30684412584139?display=YQWASF92R&amp;reservation_id=30684412584139", "YQWASF92R")</f>
        <v>YQWASF92R</v>
      </c>
      <c r="B953" t="s">
        <v>977</v>
      </c>
      <c r="C953">
        <v>330.9</v>
      </c>
      <c r="D953">
        <v>359.67</v>
      </c>
      <c r="E953">
        <v>359.69</v>
      </c>
      <c r="F953">
        <v>-0.02</v>
      </c>
    </row>
    <row r="954" spans="1:6" x14ac:dyDescent="0.3">
      <c r="A954" t="str">
        <f>HYPERLINK("https://us2.cloudbeds.com/connect/10074733072513#/reservations/30686080065726?display=YR0KFHDFT&amp;reservation_id=30686080065726", "YR0KFHDFT")</f>
        <v>YR0KFHDFT</v>
      </c>
      <c r="B954" t="s">
        <v>977</v>
      </c>
      <c r="C954">
        <v>330.9</v>
      </c>
      <c r="D954">
        <v>359.67</v>
      </c>
      <c r="E954">
        <v>359.69</v>
      </c>
      <c r="F954">
        <v>-0.02</v>
      </c>
    </row>
    <row r="955" spans="1:6" x14ac:dyDescent="0.3">
      <c r="A955" t="str">
        <f>HYPERLINK("https://us2.cloudbeds.com/connect/10074733072513#/reservations/30683428327562?display=YQVXNGT6V&amp;reservation_id=30683428327562", "YQVXNGT6V")</f>
        <v>YQVXNGT6V</v>
      </c>
      <c r="B955" t="s">
        <v>979</v>
      </c>
      <c r="C955">
        <v>441.2</v>
      </c>
      <c r="D955">
        <v>479.56</v>
      </c>
      <c r="E955">
        <v>479.58</v>
      </c>
      <c r="F955">
        <v>-0.02</v>
      </c>
    </row>
    <row r="956" spans="1:6" x14ac:dyDescent="0.3">
      <c r="A956" t="str">
        <f>HYPERLINK("https://us2.cloudbeds.com/connect/10074733072513#/reservations/30682005233833?display=YQUFBH6ZX&amp;reservation_id=30682005233833", "YQUFBH6ZX")</f>
        <v>YQUFBH6ZX</v>
      </c>
      <c r="B956" t="s">
        <v>749</v>
      </c>
      <c r="C956">
        <v>340.2</v>
      </c>
      <c r="D956">
        <v>369.78</v>
      </c>
      <c r="E956">
        <v>369.8</v>
      </c>
      <c r="F956">
        <v>-0.02</v>
      </c>
    </row>
    <row r="957" spans="1:6" x14ac:dyDescent="0.3">
      <c r="A957" t="str">
        <f>HYPERLINK("https://us2.cloudbeds.com/connect/10074733072513#/reservations/30683116658883?display=YQVAZN82H&amp;reservation_id=30683116658883", "YQVAZN82H")</f>
        <v>YQVAZN82H</v>
      </c>
      <c r="B957" t="s">
        <v>891</v>
      </c>
      <c r="C957">
        <v>340.2</v>
      </c>
      <c r="D957">
        <v>369.78</v>
      </c>
      <c r="E957">
        <v>369.8</v>
      </c>
      <c r="F957">
        <v>-0.02</v>
      </c>
    </row>
    <row r="958" spans="1:6" x14ac:dyDescent="0.3">
      <c r="A958" t="str">
        <f>HYPERLINK("https://us2.cloudbeds.com/connect/10074733072513#/reservations/30684617605342?display=YQWG3B9YX&amp;reservation_id=30684617605342", "YQWG3B9YX")</f>
        <v>YQWG3B9YX</v>
      </c>
      <c r="B958" t="s">
        <v>920</v>
      </c>
      <c r="C958">
        <v>206.4</v>
      </c>
      <c r="D958">
        <v>224.34</v>
      </c>
      <c r="E958">
        <v>224.36</v>
      </c>
      <c r="F958">
        <v>-0.02</v>
      </c>
    </row>
    <row r="959" spans="1:6" x14ac:dyDescent="0.3">
      <c r="A959" t="str">
        <f>HYPERLINK("https://us2.cloudbeds.com/connect/10074733072513#/reservations/30684818252019?display=YQWY7HJ6T&amp;reservation_id=30684818252019", "YQWY7HJ6T")</f>
        <v>YQWY7HJ6T</v>
      </c>
      <c r="B959" t="s">
        <v>959</v>
      </c>
      <c r="C959">
        <v>200.18</v>
      </c>
      <c r="D959">
        <v>217.58</v>
      </c>
      <c r="E959">
        <v>217.6</v>
      </c>
      <c r="F959">
        <v>-0.02</v>
      </c>
    </row>
    <row r="960" spans="1:6" x14ac:dyDescent="0.3">
      <c r="A960" t="str">
        <f>HYPERLINK("https://us2.cloudbeds.com/connect/10074733072513#/reservations/30683592020203?display=YQVMTHSS0&amp;reservation_id=30683592020203", "YQVMTHSS0")</f>
        <v>YQVMTHSS0</v>
      </c>
      <c r="B960" t="s">
        <v>978</v>
      </c>
      <c r="C960">
        <v>608</v>
      </c>
      <c r="D960">
        <v>660.88</v>
      </c>
      <c r="E960">
        <v>660.9</v>
      </c>
      <c r="F960">
        <v>-0.02</v>
      </c>
    </row>
    <row r="961" spans="1:6" x14ac:dyDescent="0.3">
      <c r="A961" t="str">
        <f>HYPERLINK("https://us2.cloudbeds.com/connect/10074733072513#/reservations/30682008748234?display=YQUFEFWUX&amp;reservation_id=30682008748234", "YQUFEFWUX")</f>
        <v>YQUFEFWUX</v>
      </c>
      <c r="B961" t="s">
        <v>749</v>
      </c>
      <c r="C961">
        <v>340.2</v>
      </c>
      <c r="D961">
        <v>369.78</v>
      </c>
      <c r="E961">
        <v>369.8</v>
      </c>
      <c r="F961">
        <v>-0.02</v>
      </c>
    </row>
    <row r="962" spans="1:6" x14ac:dyDescent="0.3">
      <c r="A962" t="str">
        <f>HYPERLINK("https://us2.cloudbeds.com/connect/10074733072513#/reservations/30682599047312?display=YQUUH7V0D&amp;reservation_id=30682599047312", "YQUUH7V0D")</f>
        <v>YQUUH7V0D</v>
      </c>
      <c r="B962" t="s">
        <v>749</v>
      </c>
      <c r="C962">
        <v>287.3</v>
      </c>
      <c r="D962">
        <v>312.27999999999997</v>
      </c>
      <c r="E962">
        <v>312.3</v>
      </c>
      <c r="F962">
        <v>-0.02</v>
      </c>
    </row>
    <row r="963" spans="1:6" x14ac:dyDescent="0.3">
      <c r="A963" t="str">
        <f>HYPERLINK("https://us2.cloudbeds.com/connect/10074733072513#/reservations/30683729297650?display=YQVQD9R3Y&amp;reservation_id=30683729297650", "YQVQD9R3Y")</f>
        <v>YQVQD9R3Y</v>
      </c>
      <c r="B963" t="s">
        <v>1002</v>
      </c>
      <c r="C963">
        <v>214.35</v>
      </c>
      <c r="D963">
        <v>232.98</v>
      </c>
      <c r="E963">
        <v>233</v>
      </c>
      <c r="F963">
        <v>-0.02</v>
      </c>
    </row>
    <row r="964" spans="1:6" x14ac:dyDescent="0.3">
      <c r="A964" t="str">
        <f>HYPERLINK("https://us2.cloudbeds.com/connect/10074733072513#/reservations/30684471275712?display=YQWCBVBA5&amp;reservation_id=30684471275712", "YQWCBVBA5")</f>
        <v>YQWCBVBA5</v>
      </c>
      <c r="B964" t="s">
        <v>1000</v>
      </c>
      <c r="C964">
        <v>232.35</v>
      </c>
      <c r="D964">
        <v>252.54</v>
      </c>
      <c r="E964">
        <v>252.56</v>
      </c>
      <c r="F964">
        <v>-0.02</v>
      </c>
    </row>
    <row r="965" spans="1:6" x14ac:dyDescent="0.3">
      <c r="A965" t="str">
        <f>HYPERLINK("https://us2.cloudbeds.com/connect/10074733072513#/reservations/30683587649753?display=YQVMPS8J4&amp;reservation_id=30683587649753", "YQVMPS8J4")</f>
        <v>YQVMPS8J4</v>
      </c>
      <c r="B965" t="s">
        <v>948</v>
      </c>
      <c r="C965">
        <v>285.8</v>
      </c>
      <c r="D965">
        <v>310.64</v>
      </c>
      <c r="E965">
        <v>310.66000000000003</v>
      </c>
      <c r="F965">
        <v>-0.02</v>
      </c>
    </row>
    <row r="966" spans="1:6" x14ac:dyDescent="0.3">
      <c r="A966" t="str">
        <f>HYPERLINK("https://us2.cloudbeds.com/connect/10074733072513#/reservations/30683598389377?display=YQVN1U3G9&amp;reservation_id=30683598389377", "YQVN1U3G9")</f>
        <v>YQVN1U3G9</v>
      </c>
      <c r="B966" t="s">
        <v>948</v>
      </c>
      <c r="C966">
        <v>285.8</v>
      </c>
      <c r="D966">
        <v>310.64</v>
      </c>
      <c r="E966">
        <v>310.66000000000003</v>
      </c>
      <c r="F966">
        <v>-0.02</v>
      </c>
    </row>
    <row r="967" spans="1:6" x14ac:dyDescent="0.3">
      <c r="A967" t="str">
        <f>HYPERLINK("https://us2.cloudbeds.com/connect/10074733072513#/reservations/30682202267818?display=YQUKCYVSC&amp;reservation_id=30682202267818", "YQUKCYVSC")</f>
        <v>YQUKCYVSC</v>
      </c>
      <c r="B967" t="s">
        <v>960</v>
      </c>
      <c r="C967">
        <v>368</v>
      </c>
      <c r="D967">
        <v>400</v>
      </c>
      <c r="E967">
        <v>400.02</v>
      </c>
      <c r="F967">
        <v>-0.02</v>
      </c>
    </row>
    <row r="968" spans="1:6" x14ac:dyDescent="0.3">
      <c r="A968" t="str">
        <f>HYPERLINK("https://us2.cloudbeds.com/connect/10074733072513#/reservations/30682247803072?display=YQUYC1VK1&amp;reservation_id=30682247803072", "YQUYC1VK1")</f>
        <v>YQUYC1VK1</v>
      </c>
      <c r="B968" t="s">
        <v>950</v>
      </c>
      <c r="C968">
        <v>402.3</v>
      </c>
      <c r="D968">
        <v>437.28</v>
      </c>
      <c r="E968">
        <v>437.3</v>
      </c>
      <c r="F968">
        <v>-0.02</v>
      </c>
    </row>
    <row r="969" spans="1:6" x14ac:dyDescent="0.3">
      <c r="A969" t="str">
        <f>HYPERLINK("https://us2.cloudbeds.com/connect/10074733072513#/reservations/31671659815058?display=MH4PAFPSV&amp;reservation_id=31671659815058", "MH4PAFPSV")</f>
        <v>MH4PAFPSV</v>
      </c>
      <c r="B969" t="s">
        <v>1032</v>
      </c>
      <c r="C969">
        <v>206.4</v>
      </c>
      <c r="D969">
        <v>224.34</v>
      </c>
      <c r="E969">
        <v>224.36</v>
      </c>
      <c r="F969">
        <v>-0.02</v>
      </c>
    </row>
    <row r="970" spans="1:6" x14ac:dyDescent="0.3">
      <c r="A970" t="str">
        <f>HYPERLINK("https://us2.cloudbeds.com/connect/10074733072513#/reservations/30681708736642?display=YQU7PGZ66&amp;reservation_id=30681708736642", "YQU7PGZ66")</f>
        <v>YQU7PGZ66</v>
      </c>
      <c r="B970" t="s">
        <v>1046</v>
      </c>
      <c r="C970">
        <v>333.56</v>
      </c>
      <c r="D970">
        <v>362.56</v>
      </c>
      <c r="E970">
        <v>362.58</v>
      </c>
      <c r="F970">
        <v>-0.02</v>
      </c>
    </row>
    <row r="971" spans="1:6" x14ac:dyDescent="0.3">
      <c r="A971" t="str">
        <f>HYPERLINK("https://us2.cloudbeds.com/connect/10074733072513#/reservations/30681618501856?display=YQU5FDQVZ&amp;reservation_id=30681618501856", "YQU5FDQVZ")</f>
        <v>YQU5FDQVZ</v>
      </c>
      <c r="B971" t="s">
        <v>972</v>
      </c>
      <c r="C971">
        <v>206.4</v>
      </c>
      <c r="D971">
        <v>224.34</v>
      </c>
      <c r="E971">
        <v>224.36</v>
      </c>
      <c r="F971">
        <v>-0.02</v>
      </c>
    </row>
    <row r="972" spans="1:6" x14ac:dyDescent="0.3">
      <c r="A972" t="str">
        <f>HYPERLINK("https://us2.cloudbeds.com/connect/10074733072513#/reservations/30681268228249?display=YQTTH1UV0&amp;reservation_id=30681268228249", "YQTTH1UV0")</f>
        <v>YQTTH1UV0</v>
      </c>
      <c r="B972" t="s">
        <v>1004</v>
      </c>
      <c r="C972">
        <v>750.6</v>
      </c>
      <c r="D972">
        <v>815.88</v>
      </c>
      <c r="E972">
        <v>815.9</v>
      </c>
      <c r="F972">
        <v>-0.02</v>
      </c>
    </row>
    <row r="973" spans="1:6" x14ac:dyDescent="0.3">
      <c r="A973" t="str">
        <f>HYPERLINK("https://us2.cloudbeds.com/connect/10074733072513#/reservations/30681951359183?display=YQUDW322D&amp;reservation_id=30681951359183", "YQUDW322D")</f>
        <v>YQUDW322D</v>
      </c>
      <c r="B973" t="s">
        <v>970</v>
      </c>
      <c r="C973">
        <v>188.32</v>
      </c>
      <c r="D973">
        <v>204.68</v>
      </c>
      <c r="E973">
        <v>204.7</v>
      </c>
      <c r="F973">
        <v>-0.02</v>
      </c>
    </row>
    <row r="974" spans="1:6" x14ac:dyDescent="0.3">
      <c r="A974" t="str">
        <f>HYPERLINK("https://us2.cloudbeds.com/connect/10074733072513#/reservations/30681311961227?display=YQTUKUSPZ&amp;reservation_id=30681311961227", "YQTUKUSPZ")</f>
        <v>YQTUKUSPZ</v>
      </c>
      <c r="B974" t="s">
        <v>1004</v>
      </c>
      <c r="C974">
        <v>402.3</v>
      </c>
      <c r="D974">
        <v>437.28</v>
      </c>
      <c r="E974">
        <v>437.3</v>
      </c>
      <c r="F974">
        <v>-0.02</v>
      </c>
    </row>
    <row r="975" spans="1:6" x14ac:dyDescent="0.3">
      <c r="A975" t="str">
        <f>HYPERLINK("https://us2.cloudbeds.com/connect/10074733072513#/reservations/31671750140046?display=MH4RKY6UQ&amp;reservation_id=31671750140046", "MH4RKY6UQ")</f>
        <v>MH4RKY6UQ</v>
      </c>
      <c r="B975" t="s">
        <v>947</v>
      </c>
      <c r="C975">
        <v>952</v>
      </c>
      <c r="D975">
        <v>1034.8</v>
      </c>
      <c r="E975">
        <v>1034.82</v>
      </c>
      <c r="F975">
        <v>-0.02</v>
      </c>
    </row>
    <row r="976" spans="1:6" x14ac:dyDescent="0.3">
      <c r="A976" t="str">
        <f>HYPERLINK("https://us2.cloudbeds.com/connect/10074733072513#/reservations/31673509273831?display=MH66XWN46&amp;reservation_id=31673509273831", "MH66XWN46")</f>
        <v>MH66XWN46</v>
      </c>
      <c r="B976" t="s">
        <v>1071</v>
      </c>
      <c r="C976">
        <v>381.6</v>
      </c>
      <c r="D976">
        <v>414.78</v>
      </c>
      <c r="E976">
        <v>414.8</v>
      </c>
      <c r="F976">
        <v>-0.02</v>
      </c>
    </row>
    <row r="977" spans="1:6" x14ac:dyDescent="0.3">
      <c r="A977" t="str">
        <f>HYPERLINK("https://us2.cloudbeds.com/connect/10074733072513#/reservations/31671879549089?display=MH4UUP6RV&amp;reservation_id=31671879549089", "MH4UUP6RV")</f>
        <v>MH4UUP6RV</v>
      </c>
      <c r="B977" t="s">
        <v>1032</v>
      </c>
      <c r="C977">
        <v>572.4</v>
      </c>
      <c r="D977">
        <v>622.17999999999995</v>
      </c>
      <c r="E977">
        <v>622.20000000000005</v>
      </c>
      <c r="F977">
        <v>-0.02</v>
      </c>
    </row>
    <row r="978" spans="1:6" x14ac:dyDescent="0.3">
      <c r="A978" t="str">
        <f>HYPERLINK("https://us2.cloudbeds.com/connect/10074733072513#/reservations/31674303213706?display=MH6QSF869&amp;reservation_id=31674303213706", "MH6QSF869")</f>
        <v>MH6QSF869</v>
      </c>
      <c r="B978" t="s">
        <v>1073</v>
      </c>
      <c r="C978">
        <v>712</v>
      </c>
      <c r="D978">
        <v>773.92</v>
      </c>
      <c r="E978">
        <v>773.94</v>
      </c>
      <c r="F978">
        <v>-0.02</v>
      </c>
    </row>
    <row r="979" spans="1:6" x14ac:dyDescent="0.3">
      <c r="A979" t="str">
        <f>HYPERLINK("https://us2.cloudbeds.com/connect/10074733072513#/reservations/31672198598836?display=MH562Q7R3&amp;reservation_id=31672198598836", "MH562Q7R3")</f>
        <v>MH562Q7R3</v>
      </c>
      <c r="B979" t="s">
        <v>1078</v>
      </c>
      <c r="C979">
        <v>256.39999999999998</v>
      </c>
      <c r="D979">
        <v>278.69</v>
      </c>
      <c r="E979">
        <v>278.70999999999998</v>
      </c>
      <c r="F979">
        <v>-0.02</v>
      </c>
    </row>
    <row r="980" spans="1:6" x14ac:dyDescent="0.3">
      <c r="A980" t="str">
        <f>HYPERLINK("https://us2.cloudbeds.com/connect/10074733072513#/reservations/31675467231443?display=MH7NJWZWT&amp;reservation_id=31675467231443", "MH7NJWZWT")</f>
        <v>MH7NJWZWT</v>
      </c>
      <c r="B980" t="s">
        <v>1073</v>
      </c>
      <c r="C980">
        <v>712</v>
      </c>
      <c r="D980">
        <v>773.92</v>
      </c>
      <c r="E980">
        <v>773.94</v>
      </c>
      <c r="F980">
        <v>-0.02</v>
      </c>
    </row>
    <row r="981" spans="1:6" x14ac:dyDescent="0.3">
      <c r="A981" t="str">
        <f>HYPERLINK("https://us2.cloudbeds.com/connect/10074733072513#/reservations/31672193405135?display=MH55VDNJ7&amp;reservation_id=31672193405135", "MH55VDNJ7")</f>
        <v>MH55VDNJ7</v>
      </c>
      <c r="B981" t="s">
        <v>1078</v>
      </c>
      <c r="C981">
        <v>491.6</v>
      </c>
      <c r="D981">
        <v>534.35</v>
      </c>
      <c r="E981">
        <v>534.37</v>
      </c>
      <c r="F981">
        <v>-0.02</v>
      </c>
    </row>
    <row r="982" spans="1:6" x14ac:dyDescent="0.3">
      <c r="A982" t="str">
        <f>HYPERLINK("https://us2.cloudbeds.com/connect/10074733072513#/reservations/31671544930464?display=MH4MCJVCH&amp;reservation_id=31671544930464", "MH4MCJVCH")</f>
        <v>MH4MCJVCH</v>
      </c>
      <c r="B982" t="s">
        <v>1081</v>
      </c>
      <c r="C982">
        <v>392.4</v>
      </c>
      <c r="D982">
        <v>426.52</v>
      </c>
      <c r="E982">
        <v>426.54</v>
      </c>
      <c r="F982">
        <v>-0.02</v>
      </c>
    </row>
    <row r="983" spans="1:6" x14ac:dyDescent="0.3">
      <c r="A983" t="str">
        <f>HYPERLINK("https://us2.cloudbeds.com/connect/10074733072513#/reservations/31672986714268?display=MH5Q7BNEU&amp;reservation_id=31672986714268", "MH5Q7BNEU")</f>
        <v>MH5Q7BNEU</v>
      </c>
      <c r="B983" t="s">
        <v>1083</v>
      </c>
      <c r="C983">
        <v>186.4</v>
      </c>
      <c r="D983">
        <v>202.6</v>
      </c>
      <c r="E983">
        <v>202.62</v>
      </c>
      <c r="F983">
        <v>-0.02</v>
      </c>
    </row>
    <row r="984" spans="1:6" x14ac:dyDescent="0.3">
      <c r="A984" t="str">
        <f>HYPERLINK("https://us2.cloudbeds.com/connect/10074733072513#/reservations/31672982622400?display=MH5Q3TZ9Z&amp;reservation_id=31672982622400", "MH5Q3TZ9Z")</f>
        <v>MH5Q3TZ9Z</v>
      </c>
      <c r="B984" t="s">
        <v>1083</v>
      </c>
      <c r="C984">
        <v>186.4</v>
      </c>
      <c r="D984">
        <v>202.6</v>
      </c>
      <c r="E984">
        <v>202.62</v>
      </c>
      <c r="F984">
        <v>-0.02</v>
      </c>
    </row>
    <row r="985" spans="1:6" x14ac:dyDescent="0.3">
      <c r="A985" t="str">
        <f>HYPERLINK("https://us2.cloudbeds.com/connect/10074733072513#/reservations/31672853729485?display=MH5MR7710&amp;reservation_id=31672853729485", "MH5MR7710")</f>
        <v>MH5MR7710</v>
      </c>
      <c r="B985" t="s">
        <v>1094</v>
      </c>
      <c r="C985">
        <v>206.4</v>
      </c>
      <c r="D985">
        <v>224.34</v>
      </c>
      <c r="E985">
        <v>224.36</v>
      </c>
      <c r="F985">
        <v>-0.02</v>
      </c>
    </row>
    <row r="986" spans="1:6" x14ac:dyDescent="0.3">
      <c r="A986" t="str">
        <f>HYPERLINK("https://us2.cloudbeds.com/connect/10074733072513#/reservations/31672694325397?display=MH5XZQXF3&amp;reservation_id=31672694325397", "MH5XZQXF3")</f>
        <v>MH5XZQXF3</v>
      </c>
      <c r="B986" t="s">
        <v>1074</v>
      </c>
      <c r="C986">
        <v>206.4</v>
      </c>
      <c r="D986">
        <v>224.34</v>
      </c>
      <c r="E986">
        <v>224.36</v>
      </c>
      <c r="F986">
        <v>-0.02</v>
      </c>
    </row>
    <row r="987" spans="1:6" x14ac:dyDescent="0.3">
      <c r="A987" t="str">
        <f>HYPERLINK("https://us2.cloudbeds.com/connect/10074733072513#/reservations/31677268173030?display=MH93KJK6H&amp;reservation_id=31677268173030", "MH93KJK6H")</f>
        <v>MH93KJK6H</v>
      </c>
      <c r="B987" t="s">
        <v>1104</v>
      </c>
      <c r="C987">
        <v>240.64</v>
      </c>
      <c r="D987">
        <v>261.56</v>
      </c>
      <c r="E987">
        <v>261.58</v>
      </c>
      <c r="F987">
        <v>-0.02</v>
      </c>
    </row>
    <row r="988" spans="1:6" x14ac:dyDescent="0.3">
      <c r="A988" t="str">
        <f>HYPERLINK("https://us2.cloudbeds.com/connect/10074733072513#/reservations/31676928717018?display=MH8RVBZMN&amp;reservation_id=31676928717018", "MH8RVBZMN")</f>
        <v>MH8RVBZMN</v>
      </c>
      <c r="B988" t="s">
        <v>1113</v>
      </c>
      <c r="C988">
        <v>388.45</v>
      </c>
      <c r="D988">
        <v>422.23</v>
      </c>
      <c r="E988">
        <v>422.25</v>
      </c>
      <c r="F988">
        <v>-0.02</v>
      </c>
    </row>
    <row r="989" spans="1:6" x14ac:dyDescent="0.3">
      <c r="A989" t="str">
        <f>HYPERLINK("https://us2.cloudbeds.com/connect/10074733072513#/reservations/31675599986890?display=MH7QWUSRC&amp;reservation_id=31675599986890", "MH7QWUSRC")</f>
        <v>MH7QWUSRC</v>
      </c>
      <c r="B989" t="s">
        <v>1101</v>
      </c>
      <c r="C989">
        <v>236.3</v>
      </c>
      <c r="D989">
        <v>256.83999999999997</v>
      </c>
      <c r="E989">
        <v>256.86</v>
      </c>
      <c r="F989">
        <v>-0.02</v>
      </c>
    </row>
    <row r="990" spans="1:6" x14ac:dyDescent="0.3">
      <c r="A990" t="str">
        <f>HYPERLINK("https://us2.cloudbeds.com/connect/10074733072513#/reservations/31673758748814?display=MH6CVBNE5&amp;reservation_id=31673758748814", "MH6CVBNE5")</f>
        <v>MH6CVBNE5</v>
      </c>
      <c r="B990" t="s">
        <v>1101</v>
      </c>
      <c r="C990">
        <v>236.3</v>
      </c>
      <c r="D990">
        <v>256.83999999999997</v>
      </c>
      <c r="E990">
        <v>256.86</v>
      </c>
      <c r="F990">
        <v>-0.02</v>
      </c>
    </row>
    <row r="991" spans="1:6" x14ac:dyDescent="0.3">
      <c r="A991" t="str">
        <f>HYPERLINK("https://us2.cloudbeds.com/connect/10074733072513#/reservations/31673606594720?display=MH6921QB1&amp;reservation_id=31673606594720", "MH6921QB1")</f>
        <v>MH6921QB1</v>
      </c>
      <c r="B991" t="s">
        <v>1131</v>
      </c>
      <c r="C991">
        <v>625.5</v>
      </c>
      <c r="D991">
        <v>679.9</v>
      </c>
      <c r="E991">
        <v>679.92</v>
      </c>
      <c r="F991">
        <v>-0.02</v>
      </c>
    </row>
    <row r="992" spans="1:6" x14ac:dyDescent="0.3">
      <c r="A992" t="str">
        <f>HYPERLINK("https://us2.cloudbeds.com/connect/10074733072513#/reservations/31673646649581?display=MH6A2RCYN&amp;reservation_id=31673646649581", "MH6A2RCYN")</f>
        <v>MH6A2RCYN</v>
      </c>
      <c r="B992" t="s">
        <v>1107</v>
      </c>
      <c r="C992">
        <v>146.38</v>
      </c>
      <c r="D992">
        <v>159.1</v>
      </c>
      <c r="E992">
        <v>159.12</v>
      </c>
      <c r="F992">
        <v>-0.02</v>
      </c>
    </row>
    <row r="993" spans="1:6" x14ac:dyDescent="0.3">
      <c r="A993" t="str">
        <f>HYPERLINK("https://us2.cloudbeds.com/connect/10074733072513#/reservations/31673968509073?display=MH6XA7JZY&amp;reservation_id=31673968509073", "MH6XA7JZY")</f>
        <v>MH6XA7JZY</v>
      </c>
      <c r="B993" t="s">
        <v>1138</v>
      </c>
      <c r="C993">
        <v>186.4</v>
      </c>
      <c r="D993">
        <v>202.6</v>
      </c>
      <c r="E993">
        <v>202.62</v>
      </c>
      <c r="F993">
        <v>-0.02</v>
      </c>
    </row>
    <row r="994" spans="1:6" x14ac:dyDescent="0.3">
      <c r="A994" t="str">
        <f>HYPERLINK("https://us2.cloudbeds.com/connect/10074733072513#/reservations/31677705363677?display=MH9EQ82RV&amp;reservation_id=31677705363677", "MH9EQ82RV")</f>
        <v>MH9EQ82RV</v>
      </c>
      <c r="B994" t="s">
        <v>819</v>
      </c>
      <c r="C994">
        <v>287.3</v>
      </c>
      <c r="D994">
        <v>312.27999999999997</v>
      </c>
      <c r="E994">
        <v>312.3</v>
      </c>
      <c r="F994">
        <v>-0.02</v>
      </c>
    </row>
    <row r="995" spans="1:6" x14ac:dyDescent="0.3">
      <c r="A995" t="str">
        <f>HYPERLINK("https://us2.cloudbeds.com/connect/10074733072513#/reservations/31674303434943?display=MH6QSYDBE&amp;reservation_id=31674303434943", "MH6QSYDBE")</f>
        <v>MH6QSYDBE</v>
      </c>
      <c r="B995" t="s">
        <v>1122</v>
      </c>
      <c r="C995">
        <v>392.4</v>
      </c>
      <c r="D995">
        <v>426.52</v>
      </c>
      <c r="E995">
        <v>426.54</v>
      </c>
      <c r="F995">
        <v>-0.02</v>
      </c>
    </row>
    <row r="996" spans="1:6" x14ac:dyDescent="0.3">
      <c r="A996" t="str">
        <f>HYPERLINK("https://us2.cloudbeds.com/connect/10074733072513#/reservations/31676300234954?display=MH8BTDA5M&amp;reservation_id=31676300234954", "MH8BTDA5M")</f>
        <v>MH8BTDA5M</v>
      </c>
      <c r="B996" t="s">
        <v>1101</v>
      </c>
      <c r="C996">
        <v>236.3</v>
      </c>
      <c r="D996">
        <v>256.83999999999997</v>
      </c>
      <c r="E996">
        <v>256.86</v>
      </c>
      <c r="F996">
        <v>-0.02</v>
      </c>
    </row>
    <row r="997" spans="1:6" x14ac:dyDescent="0.3">
      <c r="A997" t="str">
        <f>HYPERLINK("https://us2.cloudbeds.com/connect/10074733072513#/reservations/31673646424247?display=MH6A2Y3ZD&amp;reservation_id=31673646424247", "MH6A2Y3ZD")</f>
        <v>MH6A2Y3ZD</v>
      </c>
      <c r="B997" t="s">
        <v>1101</v>
      </c>
      <c r="C997">
        <v>236.3</v>
      </c>
      <c r="D997">
        <v>256.83999999999997</v>
      </c>
      <c r="E997">
        <v>256.86</v>
      </c>
      <c r="F997">
        <v>-0.02</v>
      </c>
    </row>
    <row r="998" spans="1:6" x14ac:dyDescent="0.3">
      <c r="A998" t="str">
        <f>HYPERLINK("https://us2.cloudbeds.com/connect/10074733072513#/reservations/31676309082282?display=MH8C3SGEH&amp;reservation_id=31676309082282", "MH8C3SGEH")</f>
        <v>MH8C3SGEH</v>
      </c>
      <c r="B998" t="s">
        <v>1101</v>
      </c>
      <c r="C998">
        <v>236.3</v>
      </c>
      <c r="D998">
        <v>256.83999999999997</v>
      </c>
      <c r="E998">
        <v>256.86</v>
      </c>
      <c r="F998">
        <v>-0.02</v>
      </c>
    </row>
    <row r="999" spans="1:6" x14ac:dyDescent="0.3">
      <c r="A999" t="str">
        <f>HYPERLINK("https://us2.cloudbeds.com/connect/10074733072513#/reservations/31673652953298?display=MH6A84Q6E&amp;reservation_id=31673652953298", "MH6A84Q6E")</f>
        <v>MH6A84Q6E</v>
      </c>
      <c r="B999" t="s">
        <v>1101</v>
      </c>
      <c r="C999">
        <v>236.3</v>
      </c>
      <c r="D999">
        <v>256.83999999999997</v>
      </c>
      <c r="E999">
        <v>256.86</v>
      </c>
      <c r="F999">
        <v>-0.02</v>
      </c>
    </row>
    <row r="1000" spans="1:6" x14ac:dyDescent="0.3">
      <c r="A1000" t="str">
        <f>HYPERLINK("https://us2.cloudbeds.com/connect/10074733072513#/reservations/31674540458136?display=MH6WUGUGE&amp;reservation_id=31674540458136", "MH6WUGUGE")</f>
        <v>MH6WUGUGE</v>
      </c>
      <c r="B1000" t="s">
        <v>1108</v>
      </c>
      <c r="C1000">
        <v>236.3</v>
      </c>
      <c r="D1000">
        <v>256.83999999999997</v>
      </c>
      <c r="E1000">
        <v>256.86</v>
      </c>
      <c r="F1000">
        <v>-0.02</v>
      </c>
    </row>
    <row r="1001" spans="1:6" x14ac:dyDescent="0.3">
      <c r="A1001" t="str">
        <f>HYPERLINK("https://us2.cloudbeds.com/connect/10074733072513#/reservations/31674168271006?display=MH6NDM8SX&amp;reservation_id=31674168271006", "MH6NDM8SX")</f>
        <v>MH6NDM8SX</v>
      </c>
      <c r="B1001" t="s">
        <v>1161</v>
      </c>
      <c r="C1001">
        <v>206.4</v>
      </c>
      <c r="D1001">
        <v>224.34</v>
      </c>
      <c r="E1001">
        <v>224.36</v>
      </c>
      <c r="F1001">
        <v>-0.02</v>
      </c>
    </row>
    <row r="1002" spans="1:6" x14ac:dyDescent="0.3">
      <c r="A1002" t="str">
        <f>HYPERLINK("https://us2.cloudbeds.com/connect/10074733072513#/reservations/31674715926663?display=MH74DFJKH&amp;reservation_id=31674715926663", "MH74DFJKH")</f>
        <v>MH74DFJKH</v>
      </c>
      <c r="B1002" t="s">
        <v>1169</v>
      </c>
      <c r="C1002">
        <v>750.6</v>
      </c>
      <c r="D1002">
        <v>815.88</v>
      </c>
      <c r="E1002">
        <v>815.9</v>
      </c>
      <c r="F1002">
        <v>-0.02</v>
      </c>
    </row>
    <row r="1003" spans="1:6" x14ac:dyDescent="0.3">
      <c r="A1003" t="str">
        <f>HYPERLINK("https://us2.cloudbeds.com/connect/10074733072513#/reservations/31674156466408?display=MH6N3NQ0E&amp;reservation_id=31674156466408", "MH6N3NQ0E")</f>
        <v>MH6N3NQ0E</v>
      </c>
      <c r="B1003" t="s">
        <v>1006</v>
      </c>
      <c r="C1003">
        <v>192.4</v>
      </c>
      <c r="D1003">
        <v>209.12</v>
      </c>
      <c r="E1003">
        <v>209.14</v>
      </c>
      <c r="F1003">
        <v>-0.02</v>
      </c>
    </row>
    <row r="1004" spans="1:6" x14ac:dyDescent="0.3">
      <c r="A1004" t="str">
        <f>HYPERLINK("https://us2.cloudbeds.com/connect/10074733072513#/reservations/31673191051473?display=MH5VEYMUE&amp;reservation_id=31673191051473", "MH5VEYMUE")</f>
        <v>MH5VEYMUE</v>
      </c>
      <c r="B1004" t="s">
        <v>1178</v>
      </c>
      <c r="C1004">
        <v>188.32</v>
      </c>
      <c r="D1004">
        <v>204.68</v>
      </c>
      <c r="E1004">
        <v>204.7</v>
      </c>
      <c r="F1004">
        <v>-0.02</v>
      </c>
    </row>
    <row r="1005" spans="1:6" x14ac:dyDescent="0.3">
      <c r="A1005" t="str">
        <f>HYPERLINK("https://us2.cloudbeds.com/connect/10074733072513#/reservations/31676416811139?display=MH8ESN70B&amp;reservation_id=31676416811139", "MH8ESN70B")</f>
        <v>MH8ESN70B</v>
      </c>
      <c r="B1005" t="s">
        <v>1110</v>
      </c>
      <c r="C1005">
        <v>490.5</v>
      </c>
      <c r="D1005">
        <v>533.15</v>
      </c>
      <c r="E1005">
        <v>533.16999999999996</v>
      </c>
      <c r="F1005">
        <v>-0.02</v>
      </c>
    </row>
    <row r="1006" spans="1:6" x14ac:dyDescent="0.3">
      <c r="A1006" t="str">
        <f>HYPERLINK("https://us2.cloudbeds.com/connect/10074733072513#/reservations/31673924112577?display=MH6H5Q6K9&amp;reservation_id=31673924112577", "MH6H5Q6K9")</f>
        <v>MH6H5Q6K9</v>
      </c>
      <c r="B1006" t="s">
        <v>1157</v>
      </c>
      <c r="C1006">
        <v>337.45</v>
      </c>
      <c r="D1006">
        <v>366.79</v>
      </c>
      <c r="E1006">
        <v>366.81</v>
      </c>
      <c r="F1006">
        <v>-0.02</v>
      </c>
    </row>
    <row r="1007" spans="1:6" x14ac:dyDescent="0.3">
      <c r="A1007" t="str">
        <f>HYPERLINK("https://us2.cloudbeds.com/connect/10074733072513#/reservations/31674106642560?display=MH6YHSDSB&amp;reservation_id=31674106642560", "MH6YHSDSB")</f>
        <v>MH6YHSDSB</v>
      </c>
      <c r="B1007" t="s">
        <v>1158</v>
      </c>
      <c r="C1007">
        <v>176.33</v>
      </c>
      <c r="D1007">
        <v>191.65</v>
      </c>
      <c r="E1007">
        <v>191.67</v>
      </c>
      <c r="F1007">
        <v>-0.02</v>
      </c>
    </row>
    <row r="1008" spans="1:6" x14ac:dyDescent="0.3">
      <c r="A1008" t="str">
        <f>HYPERLINK("https://us2.cloudbeds.com/connect/10074733072513#/reservations/31675152806051?display=MH7FXSDES&amp;reservation_id=31675152806051", "MH7FXSDES")</f>
        <v>MH7FXSDES</v>
      </c>
      <c r="B1008" t="s">
        <v>1181</v>
      </c>
      <c r="C1008">
        <v>392.4</v>
      </c>
      <c r="D1008">
        <v>426.52</v>
      </c>
      <c r="E1008">
        <v>426.54</v>
      </c>
      <c r="F1008">
        <v>-0.02</v>
      </c>
    </row>
    <row r="1009" spans="1:6" x14ac:dyDescent="0.3">
      <c r="A1009" t="str">
        <f>HYPERLINK("https://us2.cloudbeds.com/connect/10074733072513#/reservations/31678169731308?display=MH9QYQQDB&amp;reservation_id=31678169731308", "MH9QYQQDB")</f>
        <v>MH9QYQQDB</v>
      </c>
      <c r="B1009" t="s">
        <v>1070</v>
      </c>
      <c r="C1009">
        <v>188.32</v>
      </c>
      <c r="D1009">
        <v>204.68</v>
      </c>
      <c r="E1009">
        <v>204.7</v>
      </c>
      <c r="F1009">
        <v>-0.02</v>
      </c>
    </row>
    <row r="1010" spans="1:6" x14ac:dyDescent="0.3">
      <c r="A1010" t="str">
        <f>HYPERLINK("https://us2.cloudbeds.com/connect/10074733072513#/reservations/31676299374746?display=MH8BSMC8P&amp;reservation_id=31676299374746", "MH8BSMC8P")</f>
        <v>MH8BSMC8P</v>
      </c>
      <c r="B1010" t="s">
        <v>1156</v>
      </c>
      <c r="C1010">
        <v>236.3</v>
      </c>
      <c r="D1010">
        <v>256.83999999999997</v>
      </c>
      <c r="E1010">
        <v>256.86</v>
      </c>
      <c r="F1010">
        <v>-0.02</v>
      </c>
    </row>
    <row r="1011" spans="1:6" x14ac:dyDescent="0.3">
      <c r="A1011" t="str">
        <f>HYPERLINK("https://us2.cloudbeds.com/connect/10074733072513#/reservations/31676716925143?display=MH8MHPAQ3&amp;reservation_id=31676716925143", "MH8MHPAQ3")</f>
        <v>MH8MHPAQ3</v>
      </c>
      <c r="B1011" t="s">
        <v>1070</v>
      </c>
      <c r="C1011">
        <v>340.2</v>
      </c>
      <c r="D1011">
        <v>369.78</v>
      </c>
      <c r="E1011">
        <v>369.8</v>
      </c>
      <c r="F1011">
        <v>-0.02</v>
      </c>
    </row>
    <row r="1012" spans="1:6" x14ac:dyDescent="0.3">
      <c r="A1012" t="str">
        <f>HYPERLINK("https://us2.cloudbeds.com/connect/10074733072513#/reservations/31676773761168?display=MH8NWMSQT&amp;reservation_id=31676773761168", "MH8NWMSQT")</f>
        <v>MH8NWMSQT</v>
      </c>
      <c r="B1012" t="s">
        <v>957</v>
      </c>
      <c r="C1012">
        <v>340.2</v>
      </c>
      <c r="D1012">
        <v>369.78</v>
      </c>
      <c r="E1012">
        <v>369.8</v>
      </c>
      <c r="F1012">
        <v>-0.02</v>
      </c>
    </row>
    <row r="1013" spans="1:6" x14ac:dyDescent="0.3">
      <c r="A1013" t="str">
        <f>HYPERLINK("https://us2.cloudbeds.com/connect/10074733072513#/reservations/31676089778377?display=MH86GV1EY&amp;reservation_id=31676089778377", "MH86GV1EY")</f>
        <v>MH86GV1EY</v>
      </c>
      <c r="B1013" t="s">
        <v>1166</v>
      </c>
      <c r="C1013">
        <v>188.32</v>
      </c>
      <c r="D1013">
        <v>204.68</v>
      </c>
      <c r="E1013">
        <v>204.7</v>
      </c>
      <c r="F1013">
        <v>-0.02</v>
      </c>
    </row>
    <row r="1014" spans="1:6" x14ac:dyDescent="0.3">
      <c r="A1014" t="str">
        <f>HYPERLINK("https://us2.cloudbeds.com/connect/10074733072513#/reservations/31677010886868?display=MH8U1Y835&amp;reservation_id=31677010886868", "MH8U1Y835")</f>
        <v>MH8U1Y835</v>
      </c>
      <c r="B1014" t="s">
        <v>1236</v>
      </c>
      <c r="C1014">
        <v>292.26</v>
      </c>
      <c r="D1014">
        <v>317.67</v>
      </c>
      <c r="E1014">
        <v>317.69</v>
      </c>
      <c r="F1014">
        <v>-0.02</v>
      </c>
    </row>
    <row r="1015" spans="1:6" x14ac:dyDescent="0.3">
      <c r="A1015" t="str">
        <f>HYPERLINK("https://us2.cloudbeds.com/connect/10074733072513#/reservations/31676043333865?display=MH85APYM6&amp;reservation_id=31676043333865", "MH85APYM6")</f>
        <v>MH85APYM6</v>
      </c>
      <c r="B1015" t="s">
        <v>1166</v>
      </c>
      <c r="C1015">
        <v>188.32</v>
      </c>
      <c r="D1015">
        <v>204.68</v>
      </c>
      <c r="E1015">
        <v>204.7</v>
      </c>
      <c r="F1015">
        <v>-0.02</v>
      </c>
    </row>
    <row r="1016" spans="1:6" x14ac:dyDescent="0.3">
      <c r="A1016" t="str">
        <f>HYPERLINK("https://us2.cloudbeds.com/connect/10074733072513#/reservations/31676107346050?display=MH86VZTCC&amp;reservation_id=31676107346050", "MH86VZTCC")</f>
        <v>MH86VZTCC</v>
      </c>
      <c r="B1016" t="s">
        <v>1195</v>
      </c>
      <c r="C1016">
        <v>327.31</v>
      </c>
      <c r="D1016">
        <v>355.77</v>
      </c>
      <c r="E1016">
        <v>355.79</v>
      </c>
      <c r="F1016">
        <v>-0.02</v>
      </c>
    </row>
    <row r="1017" spans="1:6" x14ac:dyDescent="0.3">
      <c r="A1017" t="str">
        <f>HYPERLINK("https://us2.cloudbeds.com/connect/10074733072513#/reservations/31682718998734?display=MHDATSSQ0&amp;reservation_id=31682718998734", "MHDATSSQ0")</f>
        <v>MHDATSSQ0</v>
      </c>
      <c r="B1017" t="s">
        <v>1079</v>
      </c>
      <c r="C1017">
        <v>340.2</v>
      </c>
      <c r="D1017">
        <v>369.78</v>
      </c>
      <c r="E1017">
        <v>369.8</v>
      </c>
      <c r="F1017">
        <v>-0.02</v>
      </c>
    </row>
    <row r="1018" spans="1:6" x14ac:dyDescent="0.3">
      <c r="A1018" t="str">
        <f>HYPERLINK("https://us2.cloudbeds.com/connect/10074733072513#/reservations/31682690896040?display=MHDA65SR7&amp;reservation_id=31682690896040", "MHDA65SR7")</f>
        <v>MHDA65SR7</v>
      </c>
      <c r="B1018" t="s">
        <v>1079</v>
      </c>
      <c r="C1018">
        <v>340.2</v>
      </c>
      <c r="D1018">
        <v>369.78</v>
      </c>
      <c r="E1018">
        <v>369.8</v>
      </c>
      <c r="F1018">
        <v>-0.02</v>
      </c>
    </row>
    <row r="1019" spans="1:6" x14ac:dyDescent="0.3">
      <c r="A1019" t="str">
        <f>HYPERLINK("https://us2.cloudbeds.com/connect/10074733072513#/reservations/31677282119830?display=MH93WBN5R&amp;reservation_id=31677282119830", "MH93WBN5R")</f>
        <v>MH93WBN5R</v>
      </c>
      <c r="B1019" t="s">
        <v>1172</v>
      </c>
      <c r="C1019">
        <v>340.2</v>
      </c>
      <c r="D1019">
        <v>369.78</v>
      </c>
      <c r="E1019">
        <v>369.8</v>
      </c>
      <c r="F1019">
        <v>-0.02</v>
      </c>
    </row>
    <row r="1020" spans="1:6" x14ac:dyDescent="0.3">
      <c r="A1020" t="str">
        <f>HYPERLINK("https://us2.cloudbeds.com/connect/10074733072513#/reservations/31676844519658?display=MH8PQBRFX&amp;reservation_id=31676844519658", "MH8PQBRFX")</f>
        <v>MH8PQBRFX</v>
      </c>
      <c r="B1020" t="s">
        <v>1177</v>
      </c>
      <c r="C1020">
        <v>912.6</v>
      </c>
      <c r="D1020">
        <v>991.98</v>
      </c>
      <c r="E1020">
        <v>992</v>
      </c>
      <c r="F1020">
        <v>-0.02</v>
      </c>
    </row>
    <row r="1021" spans="1:6" x14ac:dyDescent="0.3">
      <c r="A1021" t="str">
        <f>HYPERLINK("https://us2.cloudbeds.com/connect/10074733072513#/reservations/31679825592459?display=MHB2W2J1W&amp;reservation_id=31679825592459", "MHB2W2J1W")</f>
        <v>MHB2W2J1W</v>
      </c>
      <c r="B1021" t="s">
        <v>1257</v>
      </c>
      <c r="C1021">
        <v>979</v>
      </c>
      <c r="D1021">
        <v>1064.1500000000001</v>
      </c>
      <c r="E1021">
        <v>1064.17</v>
      </c>
      <c r="F1021">
        <v>-0.02</v>
      </c>
    </row>
    <row r="1022" spans="1:6" x14ac:dyDescent="0.3">
      <c r="A1022" t="str">
        <f>HYPERLINK("https://us2.cloudbeds.com/connect/10074733072513#/reservations/31677193679063?display=MH91NPNBJ&amp;reservation_id=31677193679063", "MH91NPNBJ")</f>
        <v>MH91NPNBJ</v>
      </c>
      <c r="B1022" t="s">
        <v>1175</v>
      </c>
      <c r="C1022">
        <v>287.3</v>
      </c>
      <c r="D1022">
        <v>312.27999999999997</v>
      </c>
      <c r="E1022">
        <v>312.3</v>
      </c>
      <c r="F1022">
        <v>-0.02</v>
      </c>
    </row>
    <row r="1023" spans="1:6" x14ac:dyDescent="0.3">
      <c r="A1023" t="str">
        <f>HYPERLINK("https://us2.cloudbeds.com/connect/10074733072513#/reservations/31676227825868?display=MH8A1BDQV&amp;reservation_id=31676227825868", "MH8A1BDQV")</f>
        <v>MH8A1BDQV</v>
      </c>
      <c r="B1023" t="s">
        <v>1009</v>
      </c>
      <c r="C1023">
        <v>826.4</v>
      </c>
      <c r="D1023">
        <v>898.28</v>
      </c>
      <c r="E1023">
        <v>898.3</v>
      </c>
      <c r="F1023">
        <v>-0.02</v>
      </c>
    </row>
    <row r="1024" spans="1:6" x14ac:dyDescent="0.3">
      <c r="A1024" t="str">
        <f>HYPERLINK("https://us2.cloudbeds.com/connect/10074733072513#/reservations/31681749070029?display=MHCJ405R2&amp;reservation_id=31681749070029", "MHCJ405R2")</f>
        <v>MHCJ405R2</v>
      </c>
      <c r="B1024" t="s">
        <v>1201</v>
      </c>
      <c r="C1024">
        <v>287.3</v>
      </c>
      <c r="D1024">
        <v>312.27999999999997</v>
      </c>
      <c r="E1024">
        <v>312.3</v>
      </c>
      <c r="F1024">
        <v>-0.02</v>
      </c>
    </row>
    <row r="1025" spans="1:6" x14ac:dyDescent="0.3">
      <c r="A1025" t="str">
        <f>HYPERLINK("https://us2.cloudbeds.com/connect/10074733072513#/reservations/31682603913388?display=MHD7VREV9&amp;reservation_id=31682603913388", "MHD7VREV9")</f>
        <v>MHD7VREV9</v>
      </c>
      <c r="B1025" t="s">
        <v>1135</v>
      </c>
      <c r="C1025">
        <v>340.2</v>
      </c>
      <c r="D1025">
        <v>369.78</v>
      </c>
      <c r="E1025">
        <v>369.8</v>
      </c>
      <c r="F1025">
        <v>-0.02</v>
      </c>
    </row>
    <row r="1026" spans="1:6" x14ac:dyDescent="0.3">
      <c r="A1026" t="str">
        <f>HYPERLINK("https://us2.cloudbeds.com/connect/10074733072513#/reservations/31677640507570?display=MH9D4XC6C&amp;reservation_id=31677640507570", "MH9D4XC6C")</f>
        <v>MH9D4XC6C</v>
      </c>
      <c r="B1026" t="s">
        <v>1281</v>
      </c>
      <c r="C1026">
        <v>236.3</v>
      </c>
      <c r="D1026">
        <v>256.83999999999997</v>
      </c>
      <c r="E1026">
        <v>256.86</v>
      </c>
      <c r="F1026">
        <v>-0.02</v>
      </c>
    </row>
    <row r="1027" spans="1:6" x14ac:dyDescent="0.3">
      <c r="A1027" t="str">
        <f>HYPERLINK("https://us2.cloudbeds.com/connect/10074733072513#/reservations/31679050514636?display=MHAG5GTH7&amp;reservation_id=31679050514636", "MHAG5GTH7")</f>
        <v>MHAG5GTH7</v>
      </c>
      <c r="B1027" t="s">
        <v>1282</v>
      </c>
      <c r="C1027">
        <v>236.3</v>
      </c>
      <c r="D1027">
        <v>256.83999999999997</v>
      </c>
      <c r="E1027">
        <v>256.86</v>
      </c>
      <c r="F1027">
        <v>-0.02</v>
      </c>
    </row>
    <row r="1028" spans="1:6" x14ac:dyDescent="0.3">
      <c r="A1028" t="str">
        <f>HYPERLINK("https://us2.cloudbeds.com/connect/10074733072513#/reservations/31680548798619?display=MHBYETS75&amp;reservation_id=31680548798619", "MHBYETS75")</f>
        <v>MHBYETS75</v>
      </c>
      <c r="B1028" t="s">
        <v>1173</v>
      </c>
      <c r="C1028">
        <v>492.3</v>
      </c>
      <c r="D1028">
        <v>535.11</v>
      </c>
      <c r="E1028">
        <v>535.13</v>
      </c>
      <c r="F1028">
        <v>-0.02</v>
      </c>
    </row>
    <row r="1029" spans="1:6" x14ac:dyDescent="0.3">
      <c r="A1029" t="str">
        <f>HYPERLINK("https://us2.cloudbeds.com/connect/10074733072513#/reservations/31680775381239?display=MHBR7VS25&amp;reservation_id=31680775381239", "MHBR7VS25")</f>
        <v>MHBR7VS25</v>
      </c>
      <c r="B1029" t="s">
        <v>1222</v>
      </c>
      <c r="C1029">
        <v>188.32</v>
      </c>
      <c r="D1029">
        <v>204.68</v>
      </c>
      <c r="E1029">
        <v>204.7</v>
      </c>
      <c r="F1029">
        <v>-0.02</v>
      </c>
    </row>
    <row r="1030" spans="1:6" x14ac:dyDescent="0.3">
      <c r="A1030" t="str">
        <f>HYPERLINK("https://us2.cloudbeds.com/connect/10074733072513#/reservations/31680318906583?display=MHBFJ1PDR&amp;reservation_id=31680318906583", "MHBFJ1PDR")</f>
        <v>MHBFJ1PDR</v>
      </c>
      <c r="B1030" t="s">
        <v>1271</v>
      </c>
      <c r="C1030">
        <v>556</v>
      </c>
      <c r="D1030">
        <v>604.35</v>
      </c>
      <c r="E1030">
        <v>604.37</v>
      </c>
      <c r="F1030">
        <v>-0.02</v>
      </c>
    </row>
    <row r="1031" spans="1:6" x14ac:dyDescent="0.3">
      <c r="A1031" t="str">
        <f>HYPERLINK("https://us2.cloudbeds.com/connect/10074733072513#/reservations/31684275433637?display=MHEHM9VV1&amp;reservation_id=31684275433637", "MHEHM9VV1")</f>
        <v>MHEHM9VV1</v>
      </c>
      <c r="B1031" t="s">
        <v>1187</v>
      </c>
      <c r="C1031">
        <v>340.2</v>
      </c>
      <c r="D1031">
        <v>369.78</v>
      </c>
      <c r="E1031">
        <v>369.8</v>
      </c>
      <c r="F1031">
        <v>-0.02</v>
      </c>
    </row>
    <row r="1032" spans="1:6" x14ac:dyDescent="0.3">
      <c r="A1032" t="str">
        <f>HYPERLINK("https://us2.cloudbeds.com/connect/10074733072513#/reservations/31678304252123?display=MH9U381AM&amp;reservation_id=31678304252123", "MH9U381AM")</f>
        <v>MH9U381AM</v>
      </c>
      <c r="B1032" t="s">
        <v>1217</v>
      </c>
      <c r="C1032">
        <v>402.3</v>
      </c>
      <c r="D1032">
        <v>437.28</v>
      </c>
      <c r="E1032">
        <v>437.3</v>
      </c>
      <c r="F1032">
        <v>-0.02</v>
      </c>
    </row>
    <row r="1033" spans="1:6" x14ac:dyDescent="0.3">
      <c r="A1033" t="str">
        <f>HYPERLINK("https://us2.cloudbeds.com/connect/10074733072513#/reservations/31680064184570?display=MHB928ZTV&amp;reservation_id=31680064184570", "MHB928ZTV")</f>
        <v>MHB928ZTV</v>
      </c>
      <c r="B1033" t="s">
        <v>1255</v>
      </c>
      <c r="C1033">
        <v>188.32</v>
      </c>
      <c r="D1033">
        <v>204.68</v>
      </c>
      <c r="E1033">
        <v>204.7</v>
      </c>
      <c r="F1033">
        <v>-0.02</v>
      </c>
    </row>
    <row r="1034" spans="1:6" x14ac:dyDescent="0.3">
      <c r="A1034" t="str">
        <f>HYPERLINK("https://us2.cloudbeds.com/connect/10074733072513#/reservations/31682324865159?display=MHD0RHHAB&amp;reservation_id=31682324865159", "MHD0RHHAB")</f>
        <v>MHD0RHHAB</v>
      </c>
      <c r="B1034" t="s">
        <v>1290</v>
      </c>
      <c r="C1034">
        <v>402.3</v>
      </c>
      <c r="D1034">
        <v>437.28</v>
      </c>
      <c r="E1034">
        <v>437.3</v>
      </c>
      <c r="F1034">
        <v>-0.02</v>
      </c>
    </row>
    <row r="1035" spans="1:6" x14ac:dyDescent="0.3">
      <c r="A1035" t="str">
        <f>HYPERLINK("https://us2.cloudbeds.com/connect/10074733072513#/reservations/31679416627405?display=MHAPH7H7X&amp;reservation_id=31679416627405", "MHAPH7H7X")</f>
        <v>MHAPH7H7X</v>
      </c>
      <c r="B1035" t="s">
        <v>1187</v>
      </c>
      <c r="C1035">
        <v>340.2</v>
      </c>
      <c r="D1035">
        <v>369.78</v>
      </c>
      <c r="E1035">
        <v>369.8</v>
      </c>
      <c r="F1035">
        <v>-0.02</v>
      </c>
    </row>
    <row r="1036" spans="1:6" x14ac:dyDescent="0.3">
      <c r="A1036" t="str">
        <f>HYPERLINK("https://us2.cloudbeds.com/connect/10074733072513#/reservations/31678744903822?display=MHA8BQR5F&amp;reservation_id=31678744903822", "MHA8BQR5F")</f>
        <v>MHA8BQR5F</v>
      </c>
      <c r="B1036" t="s">
        <v>1277</v>
      </c>
      <c r="C1036">
        <v>282.98</v>
      </c>
      <c r="D1036">
        <v>307.58</v>
      </c>
      <c r="E1036">
        <v>307.60000000000002</v>
      </c>
      <c r="F1036">
        <v>-0.02</v>
      </c>
    </row>
    <row r="1037" spans="1:6" x14ac:dyDescent="0.3">
      <c r="A1037" t="str">
        <f>HYPERLINK("https://us2.cloudbeds.com/connect/10074733072513#/reservations/31679395520685?display=MHAZWE6FV&amp;reservation_id=31679395520685", "MHAZWE6FV")</f>
        <v>MHAZWE6FV</v>
      </c>
      <c r="B1037" t="s">
        <v>1187</v>
      </c>
      <c r="C1037">
        <v>340.2</v>
      </c>
      <c r="D1037">
        <v>369.78</v>
      </c>
      <c r="E1037">
        <v>369.8</v>
      </c>
      <c r="F1037">
        <v>-0.02</v>
      </c>
    </row>
    <row r="1038" spans="1:6" x14ac:dyDescent="0.3">
      <c r="A1038" t="str">
        <f>HYPERLINK("https://us2.cloudbeds.com/connect/10074733072513#/reservations/31682909442266?display=MHDFPF824&amp;reservation_id=31682909442266", "MHDFPF824")</f>
        <v>MHDFPF824</v>
      </c>
      <c r="B1038" t="s">
        <v>1287</v>
      </c>
      <c r="C1038">
        <v>756</v>
      </c>
      <c r="D1038">
        <v>821.75</v>
      </c>
      <c r="E1038">
        <v>821.77</v>
      </c>
      <c r="F1038">
        <v>-0.02</v>
      </c>
    </row>
    <row r="1039" spans="1:6" x14ac:dyDescent="0.3">
      <c r="A1039" t="str">
        <f>HYPERLINK("https://us2.cloudbeds.com/connect/10074733072513#/reservations/31679216988412?display=MHAKDT903&amp;reservation_id=31679216988412", "MHAKDT903")</f>
        <v>MHAKDT903</v>
      </c>
      <c r="B1039" t="s">
        <v>1304</v>
      </c>
      <c r="C1039">
        <v>188.32</v>
      </c>
      <c r="D1039">
        <v>204.68</v>
      </c>
      <c r="E1039">
        <v>204.7</v>
      </c>
      <c r="F1039">
        <v>-0.02</v>
      </c>
    </row>
    <row r="1040" spans="1:6" x14ac:dyDescent="0.3">
      <c r="A1040" t="str">
        <f>HYPERLINK("https://us2.cloudbeds.com/connect/10074733072513#/reservations/31679194251447?display=MHAJRNJ84&amp;reservation_id=31679194251447", "MHAJRNJ84")</f>
        <v>MHAJRNJ84</v>
      </c>
      <c r="B1040" t="s">
        <v>1304</v>
      </c>
      <c r="C1040">
        <v>188.32</v>
      </c>
      <c r="D1040">
        <v>204.68</v>
      </c>
      <c r="E1040">
        <v>204.7</v>
      </c>
      <c r="F1040">
        <v>-0.02</v>
      </c>
    </row>
    <row r="1041" spans="1:6" x14ac:dyDescent="0.3">
      <c r="A1041" t="str">
        <f>HYPERLINK("https://us2.cloudbeds.com/connect/10074733072513#/reservations/31679649632485?display=MHAVFN7YX&amp;reservation_id=31679649632485", "MHAVFN7YX")</f>
        <v>MHAVFN7YX</v>
      </c>
      <c r="B1041" t="s">
        <v>1291</v>
      </c>
      <c r="C1041">
        <v>188.32</v>
      </c>
      <c r="D1041">
        <v>204.68</v>
      </c>
      <c r="E1041">
        <v>204.7</v>
      </c>
      <c r="F1041">
        <v>-0.02</v>
      </c>
    </row>
    <row r="1042" spans="1:6" x14ac:dyDescent="0.3">
      <c r="A1042" t="str">
        <f>HYPERLINK("https://us2.cloudbeds.com/connect/10074733072513#/reservations/31680450531545?display=MHBXV1E51&amp;reservation_id=31680450531545", "MHBXV1E51")</f>
        <v>MHBXV1E51</v>
      </c>
      <c r="B1042" t="s">
        <v>1310</v>
      </c>
      <c r="C1042">
        <v>402.3</v>
      </c>
      <c r="D1042">
        <v>437.28</v>
      </c>
      <c r="E1042">
        <v>437.3</v>
      </c>
      <c r="F1042">
        <v>-0.02</v>
      </c>
    </row>
    <row r="1043" spans="1:6" x14ac:dyDescent="0.3">
      <c r="A1043" t="str">
        <f>HYPERLINK("https://us2.cloudbeds.com/connect/10074733072513#/reservations/31687940276444?display=MHHCAJKGM&amp;reservation_id=31687940276444", "MHHCAJKGM")</f>
        <v>MHHCAJKGM</v>
      </c>
      <c r="B1043" t="s">
        <v>1295</v>
      </c>
      <c r="C1043">
        <v>188.32</v>
      </c>
      <c r="D1043">
        <v>204.68</v>
      </c>
      <c r="E1043">
        <v>204.7</v>
      </c>
      <c r="F1043">
        <v>-0.02</v>
      </c>
    </row>
    <row r="1044" spans="1:6" x14ac:dyDescent="0.3">
      <c r="A1044" t="str">
        <f>HYPERLINK("https://us2.cloudbeds.com/connect/10074733072513#/reservations/31679934009490?display=MHB5ZGEXX&amp;reservation_id=31679934009490", "MHB5ZGEXX")</f>
        <v>MHB5ZGEXX</v>
      </c>
      <c r="B1044" t="s">
        <v>1211</v>
      </c>
      <c r="C1044">
        <v>402.3</v>
      </c>
      <c r="D1044">
        <v>437.28</v>
      </c>
      <c r="E1044">
        <v>437.3</v>
      </c>
      <c r="F1044">
        <v>-0.02</v>
      </c>
    </row>
    <row r="1045" spans="1:6" x14ac:dyDescent="0.3">
      <c r="A1045" t="str">
        <f>HYPERLINK("https://us2.cloudbeds.com/connect/10074733072513#/reservations/31679616999579?display=MHAUY65NK&amp;reservation_id=31679616999579", "MHAUY65NK")</f>
        <v>MHAUY65NK</v>
      </c>
      <c r="B1045" t="s">
        <v>1291</v>
      </c>
      <c r="C1045">
        <v>188.32</v>
      </c>
      <c r="D1045">
        <v>204.68</v>
      </c>
      <c r="E1045">
        <v>204.7</v>
      </c>
      <c r="F1045">
        <v>-0.02</v>
      </c>
    </row>
    <row r="1046" spans="1:6" x14ac:dyDescent="0.3">
      <c r="A1046" t="str">
        <f>HYPERLINK("https://us2.cloudbeds.com/connect/10074733072513#/reservations/31687967953103?display=MHHD0UP8A&amp;reservation_id=31687967953103", "MHHD0UP8A")</f>
        <v>MHHD0UP8A</v>
      </c>
      <c r="B1046" t="s">
        <v>1295</v>
      </c>
      <c r="C1046">
        <v>188.32</v>
      </c>
      <c r="D1046">
        <v>204.68</v>
      </c>
      <c r="E1046">
        <v>204.7</v>
      </c>
      <c r="F1046">
        <v>-0.02</v>
      </c>
    </row>
    <row r="1047" spans="1:6" x14ac:dyDescent="0.3">
      <c r="A1047" t="str">
        <f>HYPERLINK("https://us2.cloudbeds.com/connect/10074733072513#/reservations/31691828318360?display=MHKCM33UM&amp;reservation_id=31691828318360", "MHKCM33UM")</f>
        <v>MHKCM33UM</v>
      </c>
      <c r="B1047" t="s">
        <v>1270</v>
      </c>
      <c r="C1047">
        <v>912.6</v>
      </c>
      <c r="D1047">
        <v>991.98</v>
      </c>
      <c r="E1047">
        <v>992</v>
      </c>
      <c r="F1047">
        <v>-0.02</v>
      </c>
    </row>
    <row r="1048" spans="1:6" x14ac:dyDescent="0.3">
      <c r="A1048" t="str">
        <f>HYPERLINK("https://us2.cloudbeds.com/connect/10074733072513#/reservations/31688270340272?display=MHHKZU4DS&amp;reservation_id=31688270340272", "MHHKZU4DS")</f>
        <v>MHHKZU4DS</v>
      </c>
      <c r="B1048" t="s">
        <v>1221</v>
      </c>
      <c r="C1048">
        <v>352.26</v>
      </c>
      <c r="D1048">
        <v>382.89</v>
      </c>
      <c r="E1048">
        <v>382.91</v>
      </c>
      <c r="F1048">
        <v>-0.02</v>
      </c>
    </row>
    <row r="1049" spans="1:6" x14ac:dyDescent="0.3">
      <c r="A1049" t="str">
        <f>HYPERLINK("https://us2.cloudbeds.com/connect/10074733072513#/reservations/31686362366155?display=MHG501V2C&amp;reservation_id=31686362366155", "MHG501V2C")</f>
        <v>MHG501V2C</v>
      </c>
      <c r="B1049" t="s">
        <v>1228</v>
      </c>
      <c r="C1049">
        <v>206.4</v>
      </c>
      <c r="D1049">
        <v>224.34</v>
      </c>
      <c r="E1049">
        <v>224.36</v>
      </c>
      <c r="F1049">
        <v>-0.02</v>
      </c>
    </row>
    <row r="1050" spans="1:6" x14ac:dyDescent="0.3">
      <c r="A1050" t="str">
        <f>HYPERLINK("https://us2.cloudbeds.com/connect/10074733072513#/reservations/31682219503817?display=MHCV4MMPC&amp;reservation_id=31682219503817", "MHCV4MMPC")</f>
        <v>MHCV4MMPC</v>
      </c>
      <c r="B1050" t="s">
        <v>1227</v>
      </c>
      <c r="C1050">
        <v>206.4</v>
      </c>
      <c r="D1050">
        <v>224.34</v>
      </c>
      <c r="E1050">
        <v>224.36</v>
      </c>
      <c r="F1050">
        <v>-0.02</v>
      </c>
    </row>
    <row r="1051" spans="1:6" x14ac:dyDescent="0.3">
      <c r="A1051" t="str">
        <f>HYPERLINK("https://us2.cloudbeds.com/connect/10074733072513#/reservations/31681101844613?display=MHC2J85PM&amp;reservation_id=31681101844613", "MHC2J85PM")</f>
        <v>MHC2J85PM</v>
      </c>
      <c r="B1051" t="s">
        <v>1174</v>
      </c>
      <c r="C1051">
        <v>308.48</v>
      </c>
      <c r="D1051">
        <v>335.3</v>
      </c>
      <c r="E1051">
        <v>335.32</v>
      </c>
      <c r="F1051">
        <v>-0.02</v>
      </c>
    </row>
    <row r="1052" spans="1:6" x14ac:dyDescent="0.3">
      <c r="A1052" t="str">
        <f>HYPERLINK("https://us2.cloudbeds.com/connect/10074733072513#/reservations/31684610380031?display=MHEQ7ZBCP&amp;reservation_id=31684610380031", "MHEQ7ZBCP")</f>
        <v>MHEQ7ZBCP</v>
      </c>
      <c r="B1052" t="s">
        <v>1232</v>
      </c>
      <c r="C1052">
        <v>372.3</v>
      </c>
      <c r="D1052">
        <v>404.67</v>
      </c>
      <c r="E1052">
        <v>404.69</v>
      </c>
      <c r="F1052">
        <v>-0.02</v>
      </c>
    </row>
    <row r="1053" spans="1:6" x14ac:dyDescent="0.3">
      <c r="A1053" t="str">
        <f>HYPERLINK("https://us2.cloudbeds.com/connect/10074733072513#/reservations/31687407595762?display=MHGVNDWSR&amp;reservation_id=31687407595762", "MHGVNDWSR")</f>
        <v>MHGVNDWSR</v>
      </c>
      <c r="B1053" t="s">
        <v>1337</v>
      </c>
      <c r="C1053">
        <v>825</v>
      </c>
      <c r="D1053">
        <v>896.76</v>
      </c>
      <c r="E1053">
        <v>896.78</v>
      </c>
      <c r="F1053">
        <v>-0.02</v>
      </c>
    </row>
    <row r="1054" spans="1:6" x14ac:dyDescent="0.3">
      <c r="A1054" t="str">
        <f>HYPERLINK("https://us2.cloudbeds.com/connect/10074733072513#/reservations/31689178022048?display=MHXAV9NM6&amp;reservation_id=31689178022048", "MHXAV9NM6")</f>
        <v>MHXAV9NM6</v>
      </c>
      <c r="B1054" t="s">
        <v>1214</v>
      </c>
      <c r="C1054">
        <v>206.4</v>
      </c>
      <c r="D1054">
        <v>224.34</v>
      </c>
      <c r="E1054">
        <v>224.36</v>
      </c>
      <c r="F1054">
        <v>-0.02</v>
      </c>
    </row>
    <row r="1055" spans="1:6" x14ac:dyDescent="0.3">
      <c r="A1055" t="str">
        <f>HYPERLINK("https://us2.cloudbeds.com/connect/10074733072513#/reservations/31691177070795?display=MHJT0V6EW&amp;reservation_id=31691177070795", "MHJT0V6EW")</f>
        <v>MHJT0V6EW</v>
      </c>
      <c r="B1055" t="s">
        <v>1013</v>
      </c>
      <c r="C1055">
        <v>340.2</v>
      </c>
      <c r="D1055">
        <v>369.78</v>
      </c>
      <c r="E1055">
        <v>369.8</v>
      </c>
      <c r="F1055">
        <v>-0.02</v>
      </c>
    </row>
    <row r="1056" spans="1:6" x14ac:dyDescent="0.3">
      <c r="A1056" t="str">
        <f>HYPERLINK("https://us2.cloudbeds.com/connect/10074733072513#/reservations/31686998331614?display=MHGY8AKCV&amp;reservation_id=31686998331614", "MHGY8AKCV")</f>
        <v>MHGY8AKCV</v>
      </c>
      <c r="B1056" t="s">
        <v>1225</v>
      </c>
      <c r="C1056">
        <v>741.6</v>
      </c>
      <c r="D1056">
        <v>806.1</v>
      </c>
      <c r="E1056">
        <v>806.12</v>
      </c>
      <c r="F1056">
        <v>-0.02</v>
      </c>
    </row>
    <row r="1057" spans="1:6" x14ac:dyDescent="0.3">
      <c r="A1057" t="str">
        <f>HYPERLINK("https://us2.cloudbeds.com/connect/10074733072513#/reservations/31684325839047?display=MHEXVQXTN&amp;reservation_id=31684325839047", "MHEXVQXTN")</f>
        <v>MHEXVQXTN</v>
      </c>
      <c r="B1057" t="s">
        <v>1168</v>
      </c>
      <c r="C1057">
        <v>340.2</v>
      </c>
      <c r="D1057">
        <v>369.78</v>
      </c>
      <c r="E1057">
        <v>369.8</v>
      </c>
      <c r="F1057">
        <v>-0.02</v>
      </c>
    </row>
    <row r="1058" spans="1:6" x14ac:dyDescent="0.3">
      <c r="A1058" t="str">
        <f>HYPERLINK("https://us2.cloudbeds.com/connect/10074733072513#/reservations/31683638362366?display=MHE1D3H60&amp;reservation_id=31683638362366", "MHE1D3H60")</f>
        <v>MHE1D3H60</v>
      </c>
      <c r="B1058" t="s">
        <v>1259</v>
      </c>
      <c r="C1058">
        <v>340.2</v>
      </c>
      <c r="D1058">
        <v>369.78</v>
      </c>
      <c r="E1058">
        <v>369.8</v>
      </c>
      <c r="F1058">
        <v>-0.02</v>
      </c>
    </row>
    <row r="1059" spans="1:6" x14ac:dyDescent="0.3">
      <c r="A1059" t="str">
        <f>HYPERLINK("https://us2.cloudbeds.com/connect/10074733072513#/reservations/31690115391732?display=MHJ1TNDX5&amp;reservation_id=31690115391732", "MHJ1TNDX5")</f>
        <v>MHJ1TNDX5</v>
      </c>
      <c r="B1059" t="s">
        <v>1377</v>
      </c>
      <c r="C1059">
        <v>340.2</v>
      </c>
      <c r="D1059">
        <v>369.78</v>
      </c>
      <c r="E1059">
        <v>369.8</v>
      </c>
      <c r="F1059">
        <v>-0.02</v>
      </c>
    </row>
    <row r="1060" spans="1:6" x14ac:dyDescent="0.3">
      <c r="A1060" t="str">
        <f>HYPERLINK("https://us2.cloudbeds.com/connect/10074733072513#/reservations/31692145443040?display=MHKKPGJ5F&amp;reservation_id=31692145443040", "MHKKPGJ5F")</f>
        <v>MHKKPGJ5F</v>
      </c>
      <c r="B1060" t="s">
        <v>1349</v>
      </c>
      <c r="C1060">
        <v>893.8</v>
      </c>
      <c r="D1060">
        <v>971.54</v>
      </c>
      <c r="E1060">
        <v>971.56</v>
      </c>
      <c r="F1060">
        <v>-0.02</v>
      </c>
    </row>
    <row r="1061" spans="1:6" x14ac:dyDescent="0.3">
      <c r="A1061" t="str">
        <f>HYPERLINK("https://us2.cloudbeds.com/connect/10074733072513#/reservations/31685536161968?display=MHFGTCJHS&amp;reservation_id=31685536161968", "MHFGTCJHS")</f>
        <v>MHFGTCJHS</v>
      </c>
      <c r="B1061" t="s">
        <v>1280</v>
      </c>
      <c r="C1061">
        <v>286.39999999999998</v>
      </c>
      <c r="D1061">
        <v>311.3</v>
      </c>
      <c r="E1061">
        <v>311.32</v>
      </c>
      <c r="F1061">
        <v>-0.02</v>
      </c>
    </row>
    <row r="1062" spans="1:6" x14ac:dyDescent="0.3">
      <c r="A1062" t="str">
        <f>HYPERLINK("https://us2.cloudbeds.com/connect/10074733072513#/reservations/31685424636046?display=MHFE1B77E&amp;reservation_id=31685424636046", "MHFE1B77E")</f>
        <v>MHFE1B77E</v>
      </c>
      <c r="B1062" t="s">
        <v>1320</v>
      </c>
      <c r="C1062">
        <v>340.2</v>
      </c>
      <c r="D1062">
        <v>369.78</v>
      </c>
      <c r="E1062">
        <v>369.8</v>
      </c>
      <c r="F1062">
        <v>-0.02</v>
      </c>
    </row>
    <row r="1063" spans="1:6" x14ac:dyDescent="0.3">
      <c r="A1063" t="str">
        <f>HYPERLINK("https://us2.cloudbeds.com/connect/10074733072513#/reservations/31692870746247?display=MHY6A36WH&amp;reservation_id=31692870746247", "MHY6A36WH")</f>
        <v>MHY6A36WH</v>
      </c>
      <c r="B1063" t="s">
        <v>1417</v>
      </c>
      <c r="C1063">
        <v>286.39999999999998</v>
      </c>
      <c r="D1063">
        <v>311.3</v>
      </c>
      <c r="E1063">
        <v>311.32</v>
      </c>
      <c r="F1063">
        <v>-0.02</v>
      </c>
    </row>
    <row r="1064" spans="1:6" x14ac:dyDescent="0.3">
      <c r="A1064" t="str">
        <f>HYPERLINK("https://us2.cloudbeds.com/connect/10074733072513#/reservations/31692881555691?display=MHY6J700E&amp;reservation_id=31692881555691", "MHY6J700E")</f>
        <v>MHY6J700E</v>
      </c>
      <c r="B1064" t="s">
        <v>1417</v>
      </c>
      <c r="C1064">
        <v>286.39999999999998</v>
      </c>
      <c r="D1064">
        <v>311.3</v>
      </c>
      <c r="E1064">
        <v>311.32</v>
      </c>
      <c r="F1064">
        <v>-0.02</v>
      </c>
    </row>
    <row r="1065" spans="1:6" x14ac:dyDescent="0.3">
      <c r="A1065" t="str">
        <f>HYPERLINK("https://us2.cloudbeds.com/connect/10074733072513#/reservations/31686266912967?display=MHG2XXQUH&amp;reservation_id=31686266912967", "MHG2XXQUH")</f>
        <v>MHG2XXQUH</v>
      </c>
      <c r="B1065" t="s">
        <v>1393</v>
      </c>
      <c r="C1065">
        <v>286.39999999999998</v>
      </c>
      <c r="D1065">
        <v>311.3</v>
      </c>
      <c r="E1065">
        <v>311.32</v>
      </c>
      <c r="F1065">
        <v>-0.02</v>
      </c>
    </row>
    <row r="1066" spans="1:6" x14ac:dyDescent="0.3">
      <c r="A1066" t="str">
        <f>HYPERLINK("https://us2.cloudbeds.com/connect/10074733072513#/reservations/31686270591205?display=MHG2YM5X9&amp;reservation_id=31686270591205", "MHG2YM5X9")</f>
        <v>MHG2YM5X9</v>
      </c>
      <c r="B1066" t="s">
        <v>1393</v>
      </c>
      <c r="C1066">
        <v>286.39999999999998</v>
      </c>
      <c r="D1066">
        <v>311.3</v>
      </c>
      <c r="E1066">
        <v>311.32</v>
      </c>
      <c r="F1066">
        <v>-0.02</v>
      </c>
    </row>
    <row r="1067" spans="1:6" x14ac:dyDescent="0.3">
      <c r="A1067" t="str">
        <f>HYPERLINK("https://us2.cloudbeds.com/connect/10074733072513#/reservations/31686119813269?display=MHFVQHX4U&amp;reservation_id=31686119813269", "MHFVQHX4U")</f>
        <v>MHFVQHX4U</v>
      </c>
      <c r="B1067" t="s">
        <v>1393</v>
      </c>
      <c r="C1067">
        <v>286.39999999999998</v>
      </c>
      <c r="D1067">
        <v>311.3</v>
      </c>
      <c r="E1067">
        <v>311.32</v>
      </c>
      <c r="F1067">
        <v>-0.02</v>
      </c>
    </row>
    <row r="1068" spans="1:6" x14ac:dyDescent="0.3">
      <c r="A1068" t="str">
        <f>HYPERLINK("https://us2.cloudbeds.com/connect/10074733072513#/reservations/31688560922771?display=MHHS5V0M4&amp;reservation_id=31688560922771", "MHHS5V0M4")</f>
        <v>MHHS5V0M4</v>
      </c>
      <c r="B1068" t="s">
        <v>1393</v>
      </c>
      <c r="C1068">
        <v>340.2</v>
      </c>
      <c r="D1068">
        <v>369.78</v>
      </c>
      <c r="E1068">
        <v>369.8</v>
      </c>
      <c r="F1068">
        <v>-0.02</v>
      </c>
    </row>
    <row r="1069" spans="1:6" x14ac:dyDescent="0.3">
      <c r="A1069" t="str">
        <f>HYPERLINK("https://us2.cloudbeds.com/connect/10074733072513#/reservations/31689030316214?display=MHX75ZJ9S&amp;reservation_id=31689030316214", "MHX75ZJ9S")</f>
        <v>MHX75ZJ9S</v>
      </c>
      <c r="B1069" t="s">
        <v>1439</v>
      </c>
      <c r="C1069">
        <v>392.4</v>
      </c>
      <c r="D1069">
        <v>426.52</v>
      </c>
      <c r="E1069">
        <v>426.54</v>
      </c>
      <c r="F1069">
        <v>-0.02</v>
      </c>
    </row>
    <row r="1070" spans="1:6" x14ac:dyDescent="0.3">
      <c r="A1070" t="str">
        <f>HYPERLINK("https://us2.cloudbeds.com/connect/10074733072513#/reservations/31686561812697?display=MHGA37RXW&amp;reservation_id=31686561812697", "MHGA37RXW")</f>
        <v>MHGA37RXW</v>
      </c>
      <c r="B1070" t="s">
        <v>1446</v>
      </c>
      <c r="C1070">
        <v>227.3</v>
      </c>
      <c r="D1070">
        <v>247.06</v>
      </c>
      <c r="E1070">
        <v>247.08</v>
      </c>
      <c r="F1070">
        <v>-0.02</v>
      </c>
    </row>
    <row r="1071" spans="1:6" x14ac:dyDescent="0.3">
      <c r="A1071" t="str">
        <f>HYPERLINK("https://us2.cloudbeds.com/connect/10074733072513#/reservations/31687169593544?display=MHGPKZ7ND&amp;reservation_id=31687169593544", "MHGPKZ7ND")</f>
        <v>MHGPKZ7ND</v>
      </c>
      <c r="B1071" t="s">
        <v>1407</v>
      </c>
      <c r="C1071">
        <v>286.39999999999998</v>
      </c>
      <c r="D1071">
        <v>311.3</v>
      </c>
      <c r="E1071">
        <v>311.32</v>
      </c>
      <c r="F1071">
        <v>-0.02</v>
      </c>
    </row>
    <row r="1072" spans="1:6" x14ac:dyDescent="0.3">
      <c r="A1072" t="str">
        <f>HYPERLINK("https://us2.cloudbeds.com/connect/10074733072513#/reservations/31683455451385?display=MHDTNSZS0&amp;reservation_id=31683455451385", "MHDTNSZS0")</f>
        <v>MHDTNSZS0</v>
      </c>
      <c r="B1072" t="s">
        <v>1472</v>
      </c>
      <c r="C1072">
        <v>631.04</v>
      </c>
      <c r="D1072">
        <v>685.92</v>
      </c>
      <c r="E1072">
        <v>685.94</v>
      </c>
      <c r="F1072">
        <v>-0.02</v>
      </c>
    </row>
    <row r="1073" spans="1:6" x14ac:dyDescent="0.3">
      <c r="A1073" t="str">
        <f>HYPERLINK("https://us2.cloudbeds.com/connect/10074733072513#/reservations/31687366562012?display=MHGUYR5YS&amp;reservation_id=31687366562012", "MHGUYR5YS")</f>
        <v>MHGUYR5YS</v>
      </c>
      <c r="B1073" t="s">
        <v>1475</v>
      </c>
      <c r="C1073">
        <v>225</v>
      </c>
      <c r="D1073">
        <v>244.56</v>
      </c>
      <c r="E1073">
        <v>244.58</v>
      </c>
      <c r="F1073">
        <v>-0.02</v>
      </c>
    </row>
    <row r="1074" spans="1:6" x14ac:dyDescent="0.3">
      <c r="A1074" t="str">
        <f>HYPERLINK("https://us2.cloudbeds.com/connect/10074733072513#/reservations/31691200319707?display=MHJTKX4AF&amp;reservation_id=31691200319707", "MHJTKX4AF")</f>
        <v>MHJTKX4AF</v>
      </c>
      <c r="B1074" t="s">
        <v>1305</v>
      </c>
      <c r="C1074">
        <v>402.3</v>
      </c>
      <c r="D1074">
        <v>437.28</v>
      </c>
      <c r="E1074">
        <v>437.3</v>
      </c>
      <c r="F1074">
        <v>-0.02</v>
      </c>
    </row>
    <row r="1075" spans="1:6" x14ac:dyDescent="0.3">
      <c r="A1075" t="str">
        <f>HYPERLINK("https://us2.cloudbeds.com/connect/10074733072513#/reservations/31695009239245?display=MHMRVAUZY&amp;reservation_id=31695009239245", "MHMRVAUZY")</f>
        <v>MHMRVAUZY</v>
      </c>
      <c r="B1075" t="s">
        <v>1489</v>
      </c>
      <c r="C1075">
        <v>490.5</v>
      </c>
      <c r="D1075">
        <v>533.15</v>
      </c>
      <c r="E1075">
        <v>533.16999999999996</v>
      </c>
      <c r="F1075">
        <v>-0.02</v>
      </c>
    </row>
    <row r="1076" spans="1:6" x14ac:dyDescent="0.3">
      <c r="A1076" t="str">
        <f>HYPERLINK("https://us2.cloudbeds.com/connect/10074733072513#/reservations/31693254369492?display=MHYG3J33B&amp;reservation_id=31693254369492", "MHYG3J33B")</f>
        <v>MHYG3J33B</v>
      </c>
      <c r="B1076" t="s">
        <v>1375</v>
      </c>
      <c r="C1076">
        <v>490.5</v>
      </c>
      <c r="D1076">
        <v>533.15</v>
      </c>
      <c r="E1076">
        <v>533.16999999999996</v>
      </c>
      <c r="F1076">
        <v>-0.02</v>
      </c>
    </row>
    <row r="1077" spans="1:6" x14ac:dyDescent="0.3">
      <c r="A1077" t="str">
        <f>HYPERLINK("https://us2.cloudbeds.com/connect/10074733072513#/reservations/31694831980699?display=MHMNDSETX&amp;reservation_id=31694831980699", "MHMNDSETX")</f>
        <v>MHMNDSETX</v>
      </c>
      <c r="B1077" t="s">
        <v>1497</v>
      </c>
      <c r="C1077">
        <v>1098.9000000000001</v>
      </c>
      <c r="D1077">
        <v>1194.48</v>
      </c>
      <c r="E1077">
        <v>1194.5</v>
      </c>
      <c r="F1077">
        <v>-0.02</v>
      </c>
    </row>
    <row r="1078" spans="1:6" x14ac:dyDescent="0.3">
      <c r="A1078" t="str">
        <f>HYPERLINK("https://us2.cloudbeds.com/connect/10074733072513#/reservations/31688835211478?display=MHX267GP4&amp;reservation_id=31688835211478", "MHX267GP4")</f>
        <v>MHX267GP4</v>
      </c>
      <c r="B1078" t="s">
        <v>1500</v>
      </c>
      <c r="C1078">
        <v>556</v>
      </c>
      <c r="D1078">
        <v>604.35</v>
      </c>
      <c r="E1078">
        <v>604.37</v>
      </c>
      <c r="F1078">
        <v>-0.02</v>
      </c>
    </row>
    <row r="1079" spans="1:6" x14ac:dyDescent="0.3">
      <c r="A1079" t="str">
        <f>HYPERLINK("https://us2.cloudbeds.com/connect/10074733072513#/reservations/31694910890159?display=MHMPED7CA&amp;reservation_id=31694910890159", "MHMPED7CA")</f>
        <v>MHMPED7CA</v>
      </c>
      <c r="B1079" t="s">
        <v>1496</v>
      </c>
      <c r="C1079">
        <v>392.4</v>
      </c>
      <c r="D1079">
        <v>426.52</v>
      </c>
      <c r="E1079">
        <v>426.54</v>
      </c>
      <c r="F1079">
        <v>-0.02</v>
      </c>
    </row>
    <row r="1080" spans="1:6" x14ac:dyDescent="0.3">
      <c r="A1080" t="str">
        <f>HYPERLINK("https://us2.cloudbeds.com/connect/10074733072513#/reservations/31695395094758?display=MHN4QMUMV&amp;reservation_id=31695395094758", "MHN4QMUMV")</f>
        <v>MHN4QMUMV</v>
      </c>
      <c r="B1080" t="s">
        <v>1486</v>
      </c>
      <c r="C1080">
        <v>556</v>
      </c>
      <c r="D1080">
        <v>604.35</v>
      </c>
      <c r="E1080">
        <v>604.37</v>
      </c>
      <c r="F1080">
        <v>-0.02</v>
      </c>
    </row>
    <row r="1081" spans="1:6" x14ac:dyDescent="0.3">
      <c r="A1081" t="str">
        <f>HYPERLINK("https://us2.cloudbeds.com/connect/10074733072513#/reservations/31688940998905?display=MHX4TE6XZ&amp;reservation_id=31688940998905", "MHX4TE6XZ")</f>
        <v>MHX4TE6XZ</v>
      </c>
      <c r="B1081" t="s">
        <v>1476</v>
      </c>
      <c r="C1081">
        <v>261.60000000000002</v>
      </c>
      <c r="D1081">
        <v>284.33999999999997</v>
      </c>
      <c r="E1081">
        <v>284.36</v>
      </c>
      <c r="F1081">
        <v>-0.02</v>
      </c>
    </row>
    <row r="1082" spans="1:6" x14ac:dyDescent="0.3">
      <c r="A1082" t="str">
        <f>HYPERLINK("https://us2.cloudbeds.com/connect/10074733072513#/reservations/31694831882493?display=MHMNDPNNK&amp;reservation_id=31694831882493", "MHMNDPNNK")</f>
        <v>MHMNDPNNK</v>
      </c>
      <c r="B1082" t="s">
        <v>1441</v>
      </c>
      <c r="C1082">
        <v>4939</v>
      </c>
      <c r="D1082">
        <v>5368.67</v>
      </c>
      <c r="E1082">
        <v>5368.69</v>
      </c>
      <c r="F1082">
        <v>-0.02</v>
      </c>
    </row>
    <row r="1083" spans="1:6" x14ac:dyDescent="0.3">
      <c r="A1083" t="str">
        <f>HYPERLINK("https://us2.cloudbeds.com/connect/10074733072513#/reservations/31692352385164?display=MHKQ201YU&amp;reservation_id=31692352385164", "MHKQ201YU")</f>
        <v>MHKQ201YU</v>
      </c>
      <c r="B1083" t="s">
        <v>1497</v>
      </c>
      <c r="C1083">
        <v>246.4</v>
      </c>
      <c r="D1083">
        <v>267.82</v>
      </c>
      <c r="E1083">
        <v>267.83999999999997</v>
      </c>
      <c r="F1083">
        <v>-0.02</v>
      </c>
    </row>
    <row r="1084" spans="1:6" x14ac:dyDescent="0.3">
      <c r="A1084" t="str">
        <f>HYPERLINK("https://us2.cloudbeds.com/connect/10074733072513#/reservations/31695636209843?display=MHNAW0AAM&amp;reservation_id=31695636209843", "MHNAW0AAM")</f>
        <v>MHNAW0AAM</v>
      </c>
      <c r="B1084" t="s">
        <v>1532</v>
      </c>
      <c r="C1084">
        <v>750.6</v>
      </c>
      <c r="D1084">
        <v>815.88</v>
      </c>
      <c r="E1084">
        <v>815.9</v>
      </c>
      <c r="F1084">
        <v>-0.02</v>
      </c>
    </row>
    <row r="1085" spans="1:6" x14ac:dyDescent="0.3">
      <c r="A1085" t="str">
        <f>HYPERLINK("https://us2.cloudbeds.com/connect/10074733072513#/reservations/31695731675389?display=MHNDDGPR0&amp;reservation_id=31695731675389", "MHNDDGPR0")</f>
        <v>MHNDDGPR0</v>
      </c>
      <c r="B1085" t="s">
        <v>1485</v>
      </c>
      <c r="C1085">
        <v>206.4</v>
      </c>
      <c r="D1085">
        <v>224.34</v>
      </c>
      <c r="E1085">
        <v>224.36</v>
      </c>
      <c r="F1085">
        <v>-0.02</v>
      </c>
    </row>
    <row r="1086" spans="1:6" x14ac:dyDescent="0.3">
      <c r="A1086" t="str">
        <f>HYPERLINK("https://us2.cloudbeds.com/connect/10074733072513#/reservations/31695371374755?display=MHN46MT7W&amp;reservation_id=31695371374755", "MHN46MT7W")</f>
        <v>MHN46MT7W</v>
      </c>
      <c r="B1086" t="s">
        <v>1503</v>
      </c>
      <c r="C1086">
        <v>381.6</v>
      </c>
      <c r="D1086">
        <v>414.78</v>
      </c>
      <c r="E1086">
        <v>414.8</v>
      </c>
      <c r="F1086">
        <v>-0.02</v>
      </c>
    </row>
    <row r="1087" spans="1:6" x14ac:dyDescent="0.3">
      <c r="A1087" t="str">
        <f>HYPERLINK("https://us2.cloudbeds.com/connect/10074733072513#/reservations/31689529090225?display=MHXJUANAR&amp;reservation_id=31689529090225", "MHXJUANAR")</f>
        <v>MHXJUANAR</v>
      </c>
      <c r="B1087" t="s">
        <v>1442</v>
      </c>
      <c r="C1087">
        <v>286.39999999999998</v>
      </c>
      <c r="D1087">
        <v>311.3</v>
      </c>
      <c r="E1087">
        <v>311.32</v>
      </c>
      <c r="F1087">
        <v>-0.02</v>
      </c>
    </row>
    <row r="1088" spans="1:6" x14ac:dyDescent="0.3">
      <c r="A1088" t="str">
        <f>HYPERLINK("https://us2.cloudbeds.com/connect/10074733072513#/reservations/31695697019131?display=MHNCH9DTC&amp;reservation_id=31695697019131", "MHNCH9DTC")</f>
        <v>MHNCH9DTC</v>
      </c>
      <c r="B1088" t="s">
        <v>1457</v>
      </c>
      <c r="C1088">
        <v>286.39999999999998</v>
      </c>
      <c r="D1088">
        <v>311.3</v>
      </c>
      <c r="E1088">
        <v>311.32</v>
      </c>
      <c r="F1088">
        <v>-0.02</v>
      </c>
    </row>
    <row r="1089" spans="1:6" x14ac:dyDescent="0.3">
      <c r="A1089" t="str">
        <f>HYPERLINK("https://us2.cloudbeds.com/connect/10074733072513#/reservations/31726412771552?display=MXE5CKGRP&amp;reservation_id=31726412771552", "MXE5CKGRP")</f>
        <v>MXE5CKGRP</v>
      </c>
      <c r="B1089" t="s">
        <v>1560</v>
      </c>
      <c r="C1089">
        <v>402.3</v>
      </c>
      <c r="D1089">
        <v>437.28</v>
      </c>
      <c r="E1089">
        <v>437.3</v>
      </c>
      <c r="F1089">
        <v>-0.02</v>
      </c>
    </row>
    <row r="1090" spans="1:6" x14ac:dyDescent="0.3">
      <c r="A1090" t="str">
        <f>HYPERLINK("https://us2.cloudbeds.com/connect/10074733072513#/reservations/31696048910468?display=MHNYH0AE7&amp;reservation_id=31696048910468", "MHNYH0AE7")</f>
        <v>MHNYH0AE7</v>
      </c>
      <c r="B1090" t="s">
        <v>1315</v>
      </c>
      <c r="C1090">
        <v>752.4</v>
      </c>
      <c r="D1090">
        <v>817.84</v>
      </c>
      <c r="E1090">
        <v>817.86</v>
      </c>
      <c r="F1090">
        <v>-0.02</v>
      </c>
    </row>
    <row r="1091" spans="1:6" x14ac:dyDescent="0.3">
      <c r="A1091" t="str">
        <f>HYPERLINK("https://us2.cloudbeds.com/connect/10074733072513#/reservations/31730097029270?display=MXH0H9DK1&amp;reservation_id=31730097029270", "MXH0H9DK1")</f>
        <v>MXH0H9DK1</v>
      </c>
      <c r="B1091" t="s">
        <v>1564</v>
      </c>
      <c r="C1091">
        <v>308.48</v>
      </c>
      <c r="D1091">
        <v>335.3</v>
      </c>
      <c r="E1091">
        <v>335.32</v>
      </c>
      <c r="F1091">
        <v>-0.02</v>
      </c>
    </row>
    <row r="1092" spans="1:6" x14ac:dyDescent="0.3">
      <c r="A1092" t="str">
        <f>HYPERLINK("https://us2.cloudbeds.com/connect/10074733072513#/reservations/31693048213677?display=MHYARZGYE&amp;reservation_id=31693048213677", "MHYARZGYE")</f>
        <v>MHYARZGYE</v>
      </c>
      <c r="B1092" t="s">
        <v>1480</v>
      </c>
      <c r="C1092">
        <v>206.4</v>
      </c>
      <c r="D1092">
        <v>224.34</v>
      </c>
      <c r="E1092">
        <v>224.36</v>
      </c>
      <c r="F1092">
        <v>-0.02</v>
      </c>
    </row>
    <row r="1093" spans="1:6" x14ac:dyDescent="0.3">
      <c r="A1093" t="str">
        <f>HYPERLINK("https://us2.cloudbeds.com/connect/10074733072513#/reservations/31690931724443?display=MHJMP22C1&amp;reservation_id=31690931724443", "MHJMP22C1")</f>
        <v>MHJMP22C1</v>
      </c>
      <c r="B1093" t="s">
        <v>1469</v>
      </c>
      <c r="C1093">
        <v>286.39999999999998</v>
      </c>
      <c r="D1093">
        <v>311.3</v>
      </c>
      <c r="E1093">
        <v>311.32</v>
      </c>
      <c r="F1093">
        <v>-0.02</v>
      </c>
    </row>
    <row r="1094" spans="1:6" x14ac:dyDescent="0.3">
      <c r="A1094" t="str">
        <f>HYPERLINK("https://us2.cloudbeds.com/connect/10074733072513#/reservations/31691030536393?display=MHJP9CYPX&amp;reservation_id=31691030536393", "MHJP9CYPX")</f>
        <v>MHJP9CYPX</v>
      </c>
      <c r="B1094" t="s">
        <v>1485</v>
      </c>
      <c r="C1094">
        <v>206.4</v>
      </c>
      <c r="D1094">
        <v>224.34</v>
      </c>
      <c r="E1094">
        <v>224.36</v>
      </c>
      <c r="F1094">
        <v>-0.02</v>
      </c>
    </row>
    <row r="1095" spans="1:6" x14ac:dyDescent="0.3">
      <c r="A1095" t="str">
        <f>HYPERLINK("https://us2.cloudbeds.com/connect/10074733072513#/reservations/31736057356435?display=MXYKR69VZ&amp;reservation_id=31736057356435", "MXYKR69VZ")</f>
        <v>MXYKR69VZ</v>
      </c>
      <c r="B1095" t="s">
        <v>1322</v>
      </c>
      <c r="C1095">
        <v>287.32</v>
      </c>
      <c r="D1095">
        <v>312.3</v>
      </c>
      <c r="E1095">
        <v>312.32</v>
      </c>
      <c r="F1095">
        <v>-0.02</v>
      </c>
    </row>
    <row r="1096" spans="1:6" x14ac:dyDescent="0.3">
      <c r="A1096" t="str">
        <f>HYPERLINK("https://us2.cloudbeds.com/connect/10074733072513#/reservations/31733654335709?display=MXJPDTNBS&amp;reservation_id=31733654335709", "MXJPDTNBS")</f>
        <v>MXJPDTNBS</v>
      </c>
      <c r="B1096" t="s">
        <v>1537</v>
      </c>
      <c r="C1096">
        <v>340.2</v>
      </c>
      <c r="D1096">
        <v>369.78</v>
      </c>
      <c r="E1096">
        <v>369.8</v>
      </c>
      <c r="F1096">
        <v>-0.02</v>
      </c>
    </row>
    <row r="1097" spans="1:6" x14ac:dyDescent="0.3">
      <c r="A1097" t="str">
        <f>HYPERLINK("https://us2.cloudbeds.com/connect/10074733072513#/reservations/31731019387008?display=MXHZ318NB&amp;reservation_id=31731019387008", "MXHZ318NB")</f>
        <v>MXHZ318NB</v>
      </c>
      <c r="B1097" t="s">
        <v>1584</v>
      </c>
      <c r="C1097">
        <v>706.5</v>
      </c>
      <c r="D1097">
        <v>767.95</v>
      </c>
      <c r="E1097">
        <v>767.97</v>
      </c>
      <c r="F1097">
        <v>-0.02</v>
      </c>
    </row>
    <row r="1098" spans="1:6" x14ac:dyDescent="0.3">
      <c r="A1098" t="str">
        <f>HYPERLINK("https://us2.cloudbeds.com/connect/10074733072513#/reservations/31733116592263?display=MXJBMF6NU&amp;reservation_id=31733116592263", "MXJBMF6NU")</f>
        <v>MXJBMF6NU</v>
      </c>
      <c r="B1098" t="s">
        <v>1537</v>
      </c>
      <c r="C1098">
        <v>340.2</v>
      </c>
      <c r="D1098">
        <v>369.78</v>
      </c>
      <c r="E1098">
        <v>369.8</v>
      </c>
      <c r="F1098">
        <v>-0.02</v>
      </c>
    </row>
    <row r="1099" spans="1:6" x14ac:dyDescent="0.3">
      <c r="A1099" t="str">
        <f>HYPERLINK("https://us2.cloudbeds.com/connect/10074733072513#/reservations/31730854715544?display=MXHJT64V5&amp;reservation_id=31730854715544", "MXHJT64V5")</f>
        <v>MXHJT64V5</v>
      </c>
      <c r="B1099" t="s">
        <v>1537</v>
      </c>
      <c r="C1099">
        <v>340.2</v>
      </c>
      <c r="D1099">
        <v>369.78</v>
      </c>
      <c r="E1099">
        <v>369.8</v>
      </c>
      <c r="F1099">
        <v>-0.02</v>
      </c>
    </row>
    <row r="1100" spans="1:6" x14ac:dyDescent="0.3">
      <c r="A1100" t="str">
        <f>HYPERLINK("https://us2.cloudbeds.com/connect/10074733072513#/reservations/31732047585483?display=MXXHC1GW2&amp;reservation_id=31732047585483", "MXXHC1GW2")</f>
        <v>MXXHC1GW2</v>
      </c>
      <c r="B1100" t="s">
        <v>1591</v>
      </c>
      <c r="C1100">
        <v>930.6</v>
      </c>
      <c r="D1100">
        <v>1011.54</v>
      </c>
      <c r="E1100">
        <v>1011.56</v>
      </c>
      <c r="F1100">
        <v>-0.02</v>
      </c>
    </row>
    <row r="1101" spans="1:6" x14ac:dyDescent="0.3">
      <c r="A1101" t="str">
        <f>HYPERLINK("https://us2.cloudbeds.com/connect/10074733072513#/reservations/31735246893191?display=MXY03PVUG&amp;reservation_id=31735246893191", "MXY03PVUG")</f>
        <v>MXY03PVUG</v>
      </c>
      <c r="B1101" t="s">
        <v>1596</v>
      </c>
      <c r="C1101">
        <v>1031.9000000000001</v>
      </c>
      <c r="D1101">
        <v>1121.6600000000001</v>
      </c>
      <c r="E1101">
        <v>1121.68</v>
      </c>
      <c r="F1101">
        <v>-0.02</v>
      </c>
    </row>
    <row r="1102" spans="1:6" x14ac:dyDescent="0.3">
      <c r="A1102" t="str">
        <f>HYPERLINK("https://us2.cloudbeds.com/connect/10074733072513#/reservations/31732361220277?display=MXXPCGSHZ&amp;reservation_id=31732361220277", "MXXPCGSHZ")</f>
        <v>MXXPCGSHZ</v>
      </c>
      <c r="B1102" t="s">
        <v>1597</v>
      </c>
      <c r="C1102">
        <v>340.2</v>
      </c>
      <c r="D1102">
        <v>369.78</v>
      </c>
      <c r="E1102">
        <v>369.8</v>
      </c>
      <c r="F1102">
        <v>-0.02</v>
      </c>
    </row>
    <row r="1103" spans="1:6" x14ac:dyDescent="0.3">
      <c r="A1103" t="str">
        <f>HYPERLINK("https://us2.cloudbeds.com/connect/10074733072513#/reservations/31696043380888?display=MHNYCBEP5&amp;reservation_id=31696043380888", "MHNYCBEP5")</f>
        <v>MHNYCBEP5</v>
      </c>
      <c r="B1103" t="s">
        <v>1508</v>
      </c>
      <c r="C1103">
        <v>340.2</v>
      </c>
      <c r="D1103">
        <v>369.78</v>
      </c>
      <c r="E1103">
        <v>369.8</v>
      </c>
      <c r="F1103">
        <v>-0.02</v>
      </c>
    </row>
    <row r="1104" spans="1:6" x14ac:dyDescent="0.3">
      <c r="A1104" t="str">
        <f>HYPERLINK("https://us2.cloudbeds.com/connect/10074733072513#/reservations/31695981297845?display=MHNJPWTHS&amp;reservation_id=31695981297845", "MHNJPWTHS")</f>
        <v>MHNJPWTHS</v>
      </c>
      <c r="B1104" t="s">
        <v>1315</v>
      </c>
      <c r="C1104">
        <v>300.2</v>
      </c>
      <c r="D1104">
        <v>326.3</v>
      </c>
      <c r="E1104">
        <v>326.32</v>
      </c>
      <c r="F1104">
        <v>-0.02</v>
      </c>
    </row>
    <row r="1105" spans="1:6" x14ac:dyDescent="0.3">
      <c r="A1105" t="str">
        <f>HYPERLINK("https://us2.cloudbeds.com/connect/10074733072513#/reservations/31736104259796?display=MXYM0ZF2N&amp;reservation_id=31736104259796", "MXYM0ZF2N")</f>
        <v>MXYM0ZF2N</v>
      </c>
      <c r="B1105" t="s">
        <v>1579</v>
      </c>
      <c r="C1105">
        <v>492.3</v>
      </c>
      <c r="D1105">
        <v>535.11</v>
      </c>
      <c r="E1105">
        <v>535.13</v>
      </c>
      <c r="F1105">
        <v>-0.02</v>
      </c>
    </row>
    <row r="1106" spans="1:6" x14ac:dyDescent="0.3">
      <c r="A1106" t="str">
        <f>HYPERLINK("https://us2.cloudbeds.com/connect/10074733072513#/reservations/31691880706303?display=MHKE08TD3&amp;reservation_id=31691880706303", "MHKE08TD3")</f>
        <v>MHKE08TD3</v>
      </c>
      <c r="B1106" t="s">
        <v>1508</v>
      </c>
      <c r="C1106">
        <v>340.2</v>
      </c>
      <c r="D1106">
        <v>369.78</v>
      </c>
      <c r="E1106">
        <v>369.8</v>
      </c>
      <c r="F1106">
        <v>-0.02</v>
      </c>
    </row>
    <row r="1107" spans="1:6" x14ac:dyDescent="0.3">
      <c r="A1107" t="str">
        <f>HYPERLINK("https://us2.cloudbeds.com/connect/10074733072513#/reservations/31735753380000?display=MXYD1SNDK&amp;reservation_id=31735753380000", "MXYD1SNDK")</f>
        <v>MXYD1SNDK</v>
      </c>
      <c r="B1107" t="s">
        <v>1579</v>
      </c>
      <c r="C1107">
        <v>492.3</v>
      </c>
      <c r="D1107">
        <v>535.11</v>
      </c>
      <c r="E1107">
        <v>535.13</v>
      </c>
      <c r="F1107">
        <v>-0.02</v>
      </c>
    </row>
    <row r="1108" spans="1:6" x14ac:dyDescent="0.3">
      <c r="A1108" t="str">
        <f>HYPERLINK("https://us2.cloudbeds.com/connect/10074733072513#/reservations/31736065388742?display=MXYY0VQQV&amp;reservation_id=31736065388742", "MXYY0VQQV")</f>
        <v>MXYY0VQQV</v>
      </c>
      <c r="B1108" t="s">
        <v>1579</v>
      </c>
      <c r="C1108">
        <v>492.3</v>
      </c>
      <c r="D1108">
        <v>535.11</v>
      </c>
      <c r="E1108">
        <v>535.13</v>
      </c>
      <c r="F1108">
        <v>-0.02</v>
      </c>
    </row>
    <row r="1109" spans="1:6" x14ac:dyDescent="0.3">
      <c r="A1109" t="str">
        <f>HYPERLINK("https://us2.cloudbeds.com/connect/10074733072513#/reservations/31696285335734?display=MHNRXC6H7&amp;reservation_id=31696285335734", "MHNRXC6H7")</f>
        <v>MHNRXC6H7</v>
      </c>
      <c r="B1109" t="s">
        <v>1529</v>
      </c>
      <c r="C1109">
        <v>308.48</v>
      </c>
      <c r="D1109">
        <v>335.3</v>
      </c>
      <c r="E1109">
        <v>335.32</v>
      </c>
      <c r="F1109">
        <v>-0.02</v>
      </c>
    </row>
    <row r="1110" spans="1:6" x14ac:dyDescent="0.3">
      <c r="A1110" t="str">
        <f>HYPERLINK("https://us2.cloudbeds.com/connect/10074733072513#/reservations/31691656278235?display=MHK890S0X&amp;reservation_id=31691656278235", "MHK890S0X")</f>
        <v>MHK890S0X</v>
      </c>
      <c r="B1110" t="s">
        <v>1529</v>
      </c>
      <c r="C1110">
        <v>340.2</v>
      </c>
      <c r="D1110">
        <v>369.78</v>
      </c>
      <c r="E1110">
        <v>369.8</v>
      </c>
      <c r="F1110">
        <v>-0.02</v>
      </c>
    </row>
    <row r="1111" spans="1:6" x14ac:dyDescent="0.3">
      <c r="A1111" t="str">
        <f>HYPERLINK("https://us2.cloudbeds.com/connect/10074733072513#/reservations/31728410099902?display=MXFNDR3R9&amp;reservation_id=31728410099902", "MXFNDR3R9")</f>
        <v>MXFNDR3R9</v>
      </c>
      <c r="B1111" t="s">
        <v>1604</v>
      </c>
      <c r="C1111">
        <v>340.2</v>
      </c>
      <c r="D1111">
        <v>369.78</v>
      </c>
      <c r="E1111">
        <v>369.8</v>
      </c>
      <c r="F1111">
        <v>-0.02</v>
      </c>
    </row>
    <row r="1112" spans="1:6" x14ac:dyDescent="0.3">
      <c r="A1112" t="str">
        <f>HYPERLINK("https://us2.cloudbeds.com/connect/10074733072513#/reservations/31730347085958?display=MXH6U4K2E&amp;reservation_id=31730347085958", "MXH6U4K2E")</f>
        <v>MXH6U4K2E</v>
      </c>
      <c r="B1112" t="s">
        <v>1519</v>
      </c>
      <c r="C1112">
        <v>340.2</v>
      </c>
      <c r="D1112">
        <v>369.78</v>
      </c>
      <c r="E1112">
        <v>369.8</v>
      </c>
      <c r="F1112">
        <v>-0.02</v>
      </c>
    </row>
    <row r="1113" spans="1:6" x14ac:dyDescent="0.3">
      <c r="A1113" t="str">
        <f>HYPERLINK("https://us2.cloudbeds.com/connect/10074733072513#/reservations/31731197190359?display=MXHSKW0HS&amp;reservation_id=31731197190359", "MXHSKW0HS")</f>
        <v>MXHSKW0HS</v>
      </c>
      <c r="B1113" t="s">
        <v>1611</v>
      </c>
      <c r="C1113">
        <v>469.68</v>
      </c>
      <c r="D1113">
        <v>510.52</v>
      </c>
      <c r="E1113">
        <v>510.54</v>
      </c>
      <c r="F1113">
        <v>-0.02</v>
      </c>
    </row>
    <row r="1114" spans="1:6" x14ac:dyDescent="0.3">
      <c r="A1114" t="str">
        <f>HYPERLINK("https://us2.cloudbeds.com/connect/10074733072513#/reservations/31734216257674?display=MXK6PZ0G4&amp;reservation_id=31734216257674", "MXK6PZ0G4")</f>
        <v>MXK6PZ0G4</v>
      </c>
      <c r="B1114" t="s">
        <v>1602</v>
      </c>
      <c r="C1114">
        <v>340.2</v>
      </c>
      <c r="D1114">
        <v>369.78</v>
      </c>
      <c r="E1114">
        <v>369.8</v>
      </c>
      <c r="F1114">
        <v>-0.02</v>
      </c>
    </row>
    <row r="1115" spans="1:6" x14ac:dyDescent="0.3">
      <c r="A1115" t="str">
        <f>HYPERLINK("https://us2.cloudbeds.com/connect/10074733072513#/reservations/31735439904983?display=MXY51HQXM&amp;reservation_id=31735439904983", "MXY51HQXM")</f>
        <v>MXY51HQXM</v>
      </c>
      <c r="B1115" t="s">
        <v>1581</v>
      </c>
      <c r="C1115">
        <v>402.3</v>
      </c>
      <c r="D1115">
        <v>437.28</v>
      </c>
      <c r="E1115">
        <v>437.3</v>
      </c>
      <c r="F1115">
        <v>-0.02</v>
      </c>
    </row>
    <row r="1116" spans="1:6" x14ac:dyDescent="0.3">
      <c r="A1116" t="str">
        <f>HYPERLINK("https://us2.cloudbeds.com/connect/10074733072513#/reservations/31734333980807?display=MXK9PWRHS&amp;reservation_id=31734333980807", "MXK9PWRHS")</f>
        <v>MXK9PWRHS</v>
      </c>
      <c r="B1116" t="s">
        <v>1616</v>
      </c>
      <c r="C1116">
        <v>352.26</v>
      </c>
      <c r="D1116">
        <v>382.89</v>
      </c>
      <c r="E1116">
        <v>382.91</v>
      </c>
      <c r="F1116">
        <v>-0.02</v>
      </c>
    </row>
    <row r="1117" spans="1:6" x14ac:dyDescent="0.3">
      <c r="A1117" t="str">
        <f>HYPERLINK("https://us2.cloudbeds.com/connect/10074733072513#/reservations/31734449291423?display=MXKCZ7H7V&amp;reservation_id=31734449291423", "MXKCZ7H7V")</f>
        <v>MXKCZ7H7V</v>
      </c>
      <c r="B1117" t="s">
        <v>1612</v>
      </c>
      <c r="C1117">
        <v>236.3</v>
      </c>
      <c r="D1117">
        <v>256.83999999999997</v>
      </c>
      <c r="E1117">
        <v>256.86</v>
      </c>
      <c r="F1117">
        <v>-0.02</v>
      </c>
    </row>
    <row r="1118" spans="1:6" x14ac:dyDescent="0.3">
      <c r="A1118" t="str">
        <f>HYPERLINK("https://us2.cloudbeds.com/connect/10074733072513#/reservations/31728446079172?display=MXFZB59Y6&amp;reservation_id=31728446079172", "MXFZB59Y6")</f>
        <v>MXFZB59Y6</v>
      </c>
      <c r="B1118" t="s">
        <v>1618</v>
      </c>
      <c r="C1118">
        <v>518.4</v>
      </c>
      <c r="D1118">
        <v>563.48</v>
      </c>
      <c r="E1118">
        <v>563.5</v>
      </c>
      <c r="F1118">
        <v>-0.02</v>
      </c>
    </row>
    <row r="1119" spans="1:6" x14ac:dyDescent="0.3">
      <c r="A1119" t="str">
        <f>HYPERLINK("https://us2.cloudbeds.com/connect/10074733072513#/reservations/31735160328429?display=MXKUTQ5PT&amp;reservation_id=31735160328429", "MXKUTQ5PT")</f>
        <v>MXKUTQ5PT</v>
      </c>
      <c r="B1119" t="s">
        <v>1620</v>
      </c>
      <c r="C1119">
        <v>402.3</v>
      </c>
      <c r="D1119">
        <v>437.28</v>
      </c>
      <c r="E1119">
        <v>437.3</v>
      </c>
      <c r="F1119">
        <v>-0.02</v>
      </c>
    </row>
    <row r="1120" spans="1:6" x14ac:dyDescent="0.3">
      <c r="A1120" t="str">
        <f>HYPERLINK("https://us2.cloudbeds.com/connect/10074733072513#/reservations/31732250890465?display=MXXMXFPJ3&amp;reservation_id=31732250890465", "MXXMXFPJ3")</f>
        <v>MXXMXFPJ3</v>
      </c>
      <c r="B1120" t="s">
        <v>1537</v>
      </c>
      <c r="C1120">
        <v>340.2</v>
      </c>
      <c r="D1120">
        <v>369.78</v>
      </c>
      <c r="E1120">
        <v>369.8</v>
      </c>
      <c r="F1120">
        <v>-0.02</v>
      </c>
    </row>
    <row r="1121" spans="1:6" x14ac:dyDescent="0.3">
      <c r="A1121" t="str">
        <f>HYPERLINK("https://us2.cloudbeds.com/connect/10074733072513#/reservations/31733434642684?display=MXJJQYE1F&amp;reservation_id=31733434642684", "MXJJQYE1F")</f>
        <v>MXJJQYE1F</v>
      </c>
      <c r="B1121" t="s">
        <v>1569</v>
      </c>
      <c r="C1121">
        <v>402.3</v>
      </c>
      <c r="D1121">
        <v>437.28</v>
      </c>
      <c r="E1121">
        <v>437.3</v>
      </c>
      <c r="F1121">
        <v>-0.02</v>
      </c>
    </row>
    <row r="1122" spans="1:6" x14ac:dyDescent="0.3">
      <c r="A1122" t="str">
        <f>HYPERLINK("https://us2.cloudbeds.com/connect/10074733072513#/reservations/31726304276680?display=MXE2K4FSC&amp;reservation_id=31726304276680", "MXE2K4FSC")</f>
        <v>MXE2K4FSC</v>
      </c>
      <c r="B1122" t="s">
        <v>1624</v>
      </c>
      <c r="C1122">
        <v>402.3</v>
      </c>
      <c r="D1122">
        <v>437.28</v>
      </c>
      <c r="E1122">
        <v>437.3</v>
      </c>
      <c r="F1122">
        <v>-0.02</v>
      </c>
    </row>
    <row r="1123" spans="1:6" x14ac:dyDescent="0.3">
      <c r="A1123" t="str">
        <f>HYPERLINK("https://us2.cloudbeds.com/connect/10074733072513#/reservations/31731760242915?display=MXXA0ZPSH&amp;reservation_id=31731760242915", "MXXA0ZPSH")</f>
        <v>MXXA0ZPSH</v>
      </c>
      <c r="B1123" t="s">
        <v>1614</v>
      </c>
      <c r="C1123">
        <v>425.08</v>
      </c>
      <c r="D1123">
        <v>462.04</v>
      </c>
      <c r="E1123">
        <v>462.06</v>
      </c>
      <c r="F1123">
        <v>-0.02</v>
      </c>
    </row>
    <row r="1124" spans="1:6" x14ac:dyDescent="0.3">
      <c r="A1124" t="str">
        <f>HYPERLINK("https://us2.cloudbeds.com/connect/10074733072513#/reservations/31727344668902?display=MXET6DUKC&amp;reservation_id=31727344668902", "MXET6DUKC")</f>
        <v>MXET6DUKC</v>
      </c>
      <c r="B1124" t="s">
        <v>1642</v>
      </c>
      <c r="C1124">
        <v>358.2</v>
      </c>
      <c r="D1124">
        <v>389.34</v>
      </c>
      <c r="E1124">
        <v>389.36</v>
      </c>
      <c r="F1124">
        <v>-0.02</v>
      </c>
    </row>
    <row r="1125" spans="1:6" x14ac:dyDescent="0.3">
      <c r="A1125" t="str">
        <f>HYPERLINK("https://us2.cloudbeds.com/connect/10074733072513#/reservations/31731598229660?display=MXX5T4HBV&amp;reservation_id=31731598229660", "MXX5T4HBV")</f>
        <v>MXX5T4HBV</v>
      </c>
      <c r="B1125" t="s">
        <v>1616</v>
      </c>
      <c r="C1125">
        <v>340.2</v>
      </c>
      <c r="D1125">
        <v>369.78</v>
      </c>
      <c r="E1125">
        <v>369.8</v>
      </c>
      <c r="F1125">
        <v>-0.02</v>
      </c>
    </row>
    <row r="1126" spans="1:6" x14ac:dyDescent="0.3">
      <c r="A1126" t="str">
        <f>HYPERLINK("https://us2.cloudbeds.com/connect/10074733072513#/reservations/31723342946524?display=MXBPV23DU&amp;reservation_id=31723342946524", "MXBPV23DU")</f>
        <v>MXBPV23DU</v>
      </c>
      <c r="B1126" t="s">
        <v>1648</v>
      </c>
      <c r="C1126">
        <v>402.3</v>
      </c>
      <c r="D1126">
        <v>437.28</v>
      </c>
      <c r="E1126">
        <v>437.3</v>
      </c>
      <c r="F1126">
        <v>-0.02</v>
      </c>
    </row>
    <row r="1127" spans="1:6" x14ac:dyDescent="0.3">
      <c r="A1127" t="str">
        <f>HYPERLINK("https://us2.cloudbeds.com/connect/10074733072513#/reservations/31734525313206?display=MXKEMAV1B&amp;reservation_id=31734525313206", "MXKEMAV1B")</f>
        <v>MXKEMAV1B</v>
      </c>
      <c r="B1127" t="s">
        <v>1613</v>
      </c>
      <c r="C1127">
        <v>402.94</v>
      </c>
      <c r="D1127">
        <v>437.98</v>
      </c>
      <c r="E1127">
        <v>438</v>
      </c>
      <c r="F1127">
        <v>-0.02</v>
      </c>
    </row>
    <row r="1128" spans="1:6" x14ac:dyDescent="0.3">
      <c r="A1128" t="str">
        <f>HYPERLINK("https://us2.cloudbeds.com/connect/10074733072513#/reservations/31729680715933?display=MXGMT7T1C&amp;reservation_id=31729680715933", "MXGMT7T1C")</f>
        <v>MXGMT7T1C</v>
      </c>
      <c r="B1128" t="s">
        <v>1371</v>
      </c>
      <c r="C1128">
        <v>340.2</v>
      </c>
      <c r="D1128">
        <v>369.78</v>
      </c>
      <c r="E1128">
        <v>369.8</v>
      </c>
      <c r="F1128">
        <v>-0.02</v>
      </c>
    </row>
    <row r="1129" spans="1:6" x14ac:dyDescent="0.3">
      <c r="A1129" t="str">
        <f>HYPERLINK("https://us2.cloudbeds.com/connect/10074733072513#/reservations/31730984865925?display=MXHN6UPK3&amp;reservation_id=31730984865925", "MXHN6UPK3")</f>
        <v>MXHN6UPK3</v>
      </c>
      <c r="B1129" t="s">
        <v>1371</v>
      </c>
      <c r="C1129">
        <v>340.2</v>
      </c>
      <c r="D1129">
        <v>369.78</v>
      </c>
      <c r="E1129">
        <v>369.8</v>
      </c>
      <c r="F1129">
        <v>-0.02</v>
      </c>
    </row>
    <row r="1130" spans="1:6" x14ac:dyDescent="0.3">
      <c r="A1130" t="str">
        <f>HYPERLINK("https://us2.cloudbeds.com/connect/10074733072513#/reservations/31731279057031?display=MXHUZ02X3&amp;reservation_id=31731279057031", "MXHUZ02X3")</f>
        <v>MXHUZ02X3</v>
      </c>
      <c r="B1130" t="s">
        <v>1577</v>
      </c>
      <c r="C1130">
        <v>477.9</v>
      </c>
      <c r="D1130">
        <v>519.46</v>
      </c>
      <c r="E1130">
        <v>519.48</v>
      </c>
      <c r="F1130">
        <v>-0.02</v>
      </c>
    </row>
    <row r="1131" spans="1:6" x14ac:dyDescent="0.3">
      <c r="A1131" t="str">
        <f>HYPERLINK("https://us2.cloudbeds.com/connect/10074733072513#/reservations/31728281239685?display=MXFK45CT7&amp;reservation_id=31728281239685", "MXFK45CT7")</f>
        <v>MXFK45CT7</v>
      </c>
      <c r="B1131" t="s">
        <v>1604</v>
      </c>
      <c r="C1131">
        <v>492.3</v>
      </c>
      <c r="D1131">
        <v>535.11</v>
      </c>
      <c r="E1131">
        <v>535.13</v>
      </c>
      <c r="F1131">
        <v>-0.02</v>
      </c>
    </row>
    <row r="1132" spans="1:6" x14ac:dyDescent="0.3">
      <c r="A1132" t="str">
        <f>HYPERLINK("https://us2.cloudbeds.com/connect/10074733072513#/reservations/31732854108399?display=MXJ4W46NE&amp;reservation_id=31732854108399", "MXJ4W46NE")</f>
        <v>MXJ4W46NE</v>
      </c>
      <c r="B1132" t="s">
        <v>1632</v>
      </c>
      <c r="C1132">
        <v>532.95000000000005</v>
      </c>
      <c r="D1132">
        <v>579.29999999999995</v>
      </c>
      <c r="E1132">
        <v>579.32000000000005</v>
      </c>
      <c r="F1132">
        <v>-0.02</v>
      </c>
    </row>
    <row r="1133" spans="1:6" x14ac:dyDescent="0.3">
      <c r="A1133" t="str">
        <f>HYPERLINK("https://us2.cloudbeds.com/connect/10074733072513#/reservations/31733760311516?display=MXJS48Y4V&amp;reservation_id=31733760311516", "MXJS48Y4V")</f>
        <v>MXJS48Y4V</v>
      </c>
      <c r="B1133" t="s">
        <v>1632</v>
      </c>
      <c r="C1133">
        <v>340.2</v>
      </c>
      <c r="D1133">
        <v>369.78</v>
      </c>
      <c r="E1133">
        <v>369.8</v>
      </c>
      <c r="F1133">
        <v>-0.02</v>
      </c>
    </row>
    <row r="1134" spans="1:6" x14ac:dyDescent="0.3">
      <c r="A1134" t="str">
        <f>HYPERLINK("https://us2.cloudbeds.com/connect/10074733072513#/reservations/31726075187368?display=MXDTZVZ60&amp;reservation_id=31726075187368", "MXDTZVZ60")</f>
        <v>MXDTZVZ60</v>
      </c>
      <c r="B1134" t="s">
        <v>1588</v>
      </c>
      <c r="C1134">
        <v>402.3</v>
      </c>
      <c r="D1134">
        <v>437.28</v>
      </c>
      <c r="E1134">
        <v>437.3</v>
      </c>
      <c r="F1134">
        <v>-0.02</v>
      </c>
    </row>
    <row r="1135" spans="1:6" x14ac:dyDescent="0.3">
      <c r="A1135" t="str">
        <f>HYPERLINK("https://us2.cloudbeds.com/connect/10074733072513#/reservations/31729349193856?display=MXGEDMMBY&amp;reservation_id=31729349193856", "MXGEDMMBY")</f>
        <v>MXGEDMMBY</v>
      </c>
      <c r="B1135" t="s">
        <v>1604</v>
      </c>
      <c r="C1135">
        <v>340.2</v>
      </c>
      <c r="D1135">
        <v>369.78</v>
      </c>
      <c r="E1135">
        <v>369.8</v>
      </c>
      <c r="F1135">
        <v>-0.02</v>
      </c>
    </row>
    <row r="1136" spans="1:6" x14ac:dyDescent="0.3">
      <c r="A1136" t="str">
        <f>HYPERLINK("https://us2.cloudbeds.com/connect/10074733072513#/reservations/31735036387509?display=MXKRZ9B3E&amp;reservation_id=31735036387509", "MXKRZ9B3E")</f>
        <v>MXKRZ9B3E</v>
      </c>
      <c r="B1136" t="s">
        <v>1651</v>
      </c>
      <c r="C1136">
        <v>340.2</v>
      </c>
      <c r="D1136">
        <v>369.78</v>
      </c>
      <c r="E1136">
        <v>369.8</v>
      </c>
      <c r="F1136">
        <v>-0.02</v>
      </c>
    </row>
    <row r="1137" spans="1:6" x14ac:dyDescent="0.3">
      <c r="A1137" t="str">
        <f>HYPERLINK("https://us2.cloudbeds.com/connect/10074733072513#/reservations/31731010584789?display=MXHNSKEXK&amp;reservation_id=31731010584789", "MXHNSKEXK")</f>
        <v>MXHNSKEXK</v>
      </c>
      <c r="B1137" t="s">
        <v>1412</v>
      </c>
      <c r="C1137">
        <v>492.3</v>
      </c>
      <c r="D1137">
        <v>535.11</v>
      </c>
      <c r="E1137">
        <v>535.13</v>
      </c>
      <c r="F1137">
        <v>-0.02</v>
      </c>
    </row>
    <row r="1138" spans="1:6" x14ac:dyDescent="0.3">
      <c r="A1138" t="str">
        <f>HYPERLINK("https://us2.cloudbeds.com/connect/10074733072513#/reservations/31726709149904?display=MXECVHM8V&amp;reservation_id=31726709149904", "MXECVHM8V")</f>
        <v>MXECVHM8V</v>
      </c>
      <c r="B1138" t="s">
        <v>1659</v>
      </c>
      <c r="C1138">
        <v>912.6</v>
      </c>
      <c r="D1138">
        <v>991.98</v>
      </c>
      <c r="E1138">
        <v>992</v>
      </c>
      <c r="F1138">
        <v>-0.02</v>
      </c>
    </row>
    <row r="1139" spans="1:6" x14ac:dyDescent="0.3">
      <c r="A1139" t="str">
        <f>HYPERLINK("https://us2.cloudbeds.com/connect/10074733072513#/reservations/31726749872316?display=MXEDWSRJE&amp;reservation_id=31726749872316", "MXEDWSRJE")</f>
        <v>MXEDWSRJE</v>
      </c>
      <c r="B1139" t="s">
        <v>1659</v>
      </c>
      <c r="C1139">
        <v>912.6</v>
      </c>
      <c r="D1139">
        <v>991.98</v>
      </c>
      <c r="E1139">
        <v>992</v>
      </c>
      <c r="F1139">
        <v>-0.02</v>
      </c>
    </row>
    <row r="1140" spans="1:6" x14ac:dyDescent="0.3">
      <c r="A1140" t="str">
        <f>HYPERLINK("https://us2.cloudbeds.com/connect/10074733072513#/reservations/31730015482015?display=MXGVEH7U3&amp;reservation_id=31730015482015", "MXGVEH7U3")</f>
        <v>MXGVEH7U3</v>
      </c>
      <c r="B1140" t="s">
        <v>1607</v>
      </c>
      <c r="C1140">
        <v>388.8</v>
      </c>
      <c r="D1140">
        <v>422.61</v>
      </c>
      <c r="E1140">
        <v>422.63</v>
      </c>
      <c r="F1140">
        <v>-0.02</v>
      </c>
    </row>
    <row r="1141" spans="1:6" x14ac:dyDescent="0.3">
      <c r="A1141" t="str">
        <f>HYPERLINK("https://us2.cloudbeds.com/connect/10074733072513#/reservations/31725716443378?display=MXDKJF510&amp;reservation_id=31725716443378", "MXDKJF510")</f>
        <v>MXDKJF510</v>
      </c>
      <c r="B1141" t="s">
        <v>1670</v>
      </c>
      <c r="C1141">
        <v>340.2</v>
      </c>
      <c r="D1141">
        <v>369.78</v>
      </c>
      <c r="E1141">
        <v>369.8</v>
      </c>
      <c r="F1141">
        <v>-0.02</v>
      </c>
    </row>
    <row r="1142" spans="1:6" x14ac:dyDescent="0.3">
      <c r="A1142" t="str">
        <f>HYPERLINK("https://us2.cloudbeds.com/connect/10074733072513#/reservations/31729409708231?display=MXGFVNMQP&amp;reservation_id=31729409708231", "MXGFVNMQP")</f>
        <v>MXGFVNMQP</v>
      </c>
      <c r="B1142" t="s">
        <v>1324</v>
      </c>
      <c r="C1142">
        <v>366.78</v>
      </c>
      <c r="D1142">
        <v>398.67</v>
      </c>
      <c r="E1142">
        <v>398.69</v>
      </c>
      <c r="F1142">
        <v>-0.02</v>
      </c>
    </row>
    <row r="1143" spans="1:6" x14ac:dyDescent="0.3">
      <c r="A1143" t="str">
        <f>HYPERLINK("https://us2.cloudbeds.com/connect/10074733072513#/reservations/31722346877079?display=MXB0G503B&amp;reservation_id=31722346877079", "MXB0G503B")</f>
        <v>MXB0G503B</v>
      </c>
      <c r="B1143" t="s">
        <v>1385</v>
      </c>
      <c r="C1143">
        <v>402.3</v>
      </c>
      <c r="D1143">
        <v>437.28</v>
      </c>
      <c r="E1143">
        <v>437.3</v>
      </c>
      <c r="F1143">
        <v>-0.02</v>
      </c>
    </row>
    <row r="1144" spans="1:6" x14ac:dyDescent="0.3">
      <c r="A1144" t="str">
        <f>HYPERLINK("https://us2.cloudbeds.com/connect/10074733072513#/reservations/31729222516955?display=MXGB5SQWS&amp;reservation_id=31729222516955", "MXGB5SQWS")</f>
        <v>MXGB5SQWS</v>
      </c>
      <c r="B1144" t="s">
        <v>1665</v>
      </c>
      <c r="C1144">
        <v>721</v>
      </c>
      <c r="D1144">
        <v>783.71</v>
      </c>
      <c r="E1144">
        <v>783.73</v>
      </c>
      <c r="F1144">
        <v>-0.02</v>
      </c>
    </row>
    <row r="1145" spans="1:6" x14ac:dyDescent="0.3">
      <c r="A1145" t="str">
        <f>HYPERLINK("https://us2.cloudbeds.com/connect/10074733072513#/reservations/31730338951311?display=MXH6N987W&amp;reservation_id=31730338951311", "MXH6N987W")</f>
        <v>MXH6N987W</v>
      </c>
      <c r="B1145" t="s">
        <v>1444</v>
      </c>
      <c r="C1145">
        <v>340.2</v>
      </c>
      <c r="D1145">
        <v>369.78</v>
      </c>
      <c r="E1145">
        <v>369.8</v>
      </c>
      <c r="F1145">
        <v>-0.02</v>
      </c>
    </row>
    <row r="1146" spans="1:6" x14ac:dyDescent="0.3">
      <c r="A1146" t="str">
        <f>HYPERLINK("https://us2.cloudbeds.com/connect/10074733072513#/reservations/31728832000188?display=MXG16J3ZE&amp;reservation_id=31728832000188", "MXG16J3ZE")</f>
        <v>MXG16J3ZE</v>
      </c>
      <c r="B1146" t="s">
        <v>1667</v>
      </c>
      <c r="C1146">
        <v>402.3</v>
      </c>
      <c r="D1146">
        <v>437.28</v>
      </c>
      <c r="E1146">
        <v>437.3</v>
      </c>
      <c r="F1146">
        <v>-0.02</v>
      </c>
    </row>
    <row r="1147" spans="1:6" x14ac:dyDescent="0.3">
      <c r="A1147" t="str">
        <f>HYPERLINK("https://us2.cloudbeds.com/connect/10074733072513#/reservations/31730772394139?display=MXHHPPEC4&amp;reservation_id=31730772394139", "MXHHPPEC4")</f>
        <v>MXHHPPEC4</v>
      </c>
      <c r="B1147" t="s">
        <v>1584</v>
      </c>
      <c r="C1147">
        <v>328</v>
      </c>
      <c r="D1147">
        <v>356.52</v>
      </c>
      <c r="E1147">
        <v>356.54</v>
      </c>
      <c r="F1147">
        <v>-0.02</v>
      </c>
    </row>
    <row r="1148" spans="1:6" x14ac:dyDescent="0.3">
      <c r="A1148" t="str">
        <f>HYPERLINK("https://us2.cloudbeds.com/connect/10074733072513#/reservations/31725627191523?display=MXDXA6JDB&amp;reservation_id=31725627191523", "MXDXA6JDB")</f>
        <v>MXDXA6JDB</v>
      </c>
      <c r="B1148" t="s">
        <v>1626</v>
      </c>
      <c r="C1148">
        <v>340.2</v>
      </c>
      <c r="D1148">
        <v>369.78</v>
      </c>
      <c r="E1148">
        <v>369.8</v>
      </c>
      <c r="F1148">
        <v>-0.02</v>
      </c>
    </row>
    <row r="1149" spans="1:6" x14ac:dyDescent="0.3">
      <c r="A1149" t="str">
        <f>HYPERLINK("https://us2.cloudbeds.com/connect/10074733072513#/reservations/31726686515356?display=MXECCERXX&amp;reservation_id=31726686515356", "MXECCERXX")</f>
        <v>MXECCERXX</v>
      </c>
      <c r="B1149" t="s">
        <v>1653</v>
      </c>
      <c r="C1149">
        <v>571.5</v>
      </c>
      <c r="D1149">
        <v>621.20000000000005</v>
      </c>
      <c r="E1149">
        <v>621.22</v>
      </c>
      <c r="F1149">
        <v>-0.02</v>
      </c>
    </row>
    <row r="1150" spans="1:6" x14ac:dyDescent="0.3">
      <c r="A1150" t="str">
        <f>HYPERLINK("https://us2.cloudbeds.com/connect/10074733072513#/reservations/31725209915530?display=MXD7YB8S9&amp;reservation_id=31725209915530", "MXD7YB8S9")</f>
        <v>MXD7YB8S9</v>
      </c>
      <c r="B1150" t="s">
        <v>1739</v>
      </c>
      <c r="C1150">
        <v>340.2</v>
      </c>
      <c r="D1150">
        <v>369.78</v>
      </c>
      <c r="E1150">
        <v>369.8</v>
      </c>
      <c r="F1150">
        <v>-0.02</v>
      </c>
    </row>
    <row r="1151" spans="1:6" x14ac:dyDescent="0.3">
      <c r="A1151" t="str">
        <f>HYPERLINK("https://us2.cloudbeds.com/connect/10074733072513#/reservations/31716094832771?display=MX65Z8YJ7&amp;reservation_id=31716094832771", "MX65Z8YJ7")</f>
        <v>MX65Z8YJ7</v>
      </c>
      <c r="B1151" t="s">
        <v>1729</v>
      </c>
      <c r="C1151">
        <v>352.3</v>
      </c>
      <c r="D1151">
        <v>382.93</v>
      </c>
      <c r="E1151">
        <v>382.95</v>
      </c>
      <c r="F1151">
        <v>-0.02</v>
      </c>
    </row>
    <row r="1152" spans="1:6" x14ac:dyDescent="0.3">
      <c r="A1152" t="str">
        <f>HYPERLINK("https://us2.cloudbeds.com/connect/10074733072513#/reservations/31722454429915?display=MXB37RR16&amp;reservation_id=31722454429915", "MXB37RR16")</f>
        <v>MXB37RR16</v>
      </c>
      <c r="B1152" t="s">
        <v>1802</v>
      </c>
      <c r="C1152">
        <v>340.2</v>
      </c>
      <c r="D1152">
        <v>369.78</v>
      </c>
      <c r="E1152">
        <v>369.8</v>
      </c>
      <c r="F1152">
        <v>-0.02</v>
      </c>
    </row>
    <row r="1153" spans="1:6" x14ac:dyDescent="0.3">
      <c r="A1153" t="str">
        <f>HYPERLINK("https://us2.cloudbeds.com/connect/10074733072513#/reservations/31719477788815?display=MX8PSPQMS&amp;reservation_id=31719477788815", "MX8PSPQMS")</f>
        <v>MX8PSPQMS</v>
      </c>
      <c r="B1153" t="s">
        <v>1795</v>
      </c>
      <c r="C1153">
        <v>492.3</v>
      </c>
      <c r="D1153">
        <v>535.11</v>
      </c>
      <c r="E1153">
        <v>535.13</v>
      </c>
      <c r="F1153">
        <v>-0.02</v>
      </c>
    </row>
    <row r="1154" spans="1:6" x14ac:dyDescent="0.3">
      <c r="A1154" t="str">
        <f>HYPERLINK("https://us2.cloudbeds.com/connect/10074733072513#/reservations/31716181495965?display=MX67VB63K&amp;reservation_id=31716181495965", "MX67VB63K")</f>
        <v>MX67VB63K</v>
      </c>
      <c r="B1154" t="s">
        <v>1760</v>
      </c>
      <c r="C1154">
        <v>340.2</v>
      </c>
      <c r="D1154">
        <v>369.78</v>
      </c>
      <c r="E1154">
        <v>369.8</v>
      </c>
      <c r="F1154">
        <v>-0.02</v>
      </c>
    </row>
    <row r="1155" spans="1:6" x14ac:dyDescent="0.3">
      <c r="A1155" t="str">
        <f>HYPERLINK("https://us2.cloudbeds.com/connect/10074733072513#/reservations/31716683989154?display=MX6KQ1QBV&amp;reservation_id=31716683989154", "MX6KQ1QBV")</f>
        <v>MX6KQ1QBV</v>
      </c>
      <c r="B1155" t="s">
        <v>1826</v>
      </c>
      <c r="C1155">
        <v>340.2</v>
      </c>
      <c r="D1155">
        <v>369.78</v>
      </c>
      <c r="E1155">
        <v>369.8</v>
      </c>
      <c r="F1155">
        <v>-0.02</v>
      </c>
    </row>
    <row r="1156" spans="1:6" x14ac:dyDescent="0.3">
      <c r="A1156" t="str">
        <f>HYPERLINK("https://us2.cloudbeds.com/connect/10074733072513#/reservations/31715714322659?display=MX5T0DD5P&amp;reservation_id=31715714322659", "MX5T0DD5P")</f>
        <v>MX5T0DD5P</v>
      </c>
      <c r="B1156" t="s">
        <v>1731</v>
      </c>
      <c r="C1156">
        <v>340.2</v>
      </c>
      <c r="D1156">
        <v>369.78</v>
      </c>
      <c r="E1156">
        <v>369.8</v>
      </c>
      <c r="F1156">
        <v>-0.02</v>
      </c>
    </row>
    <row r="1157" spans="1:6" x14ac:dyDescent="0.3">
      <c r="A1157" t="str">
        <f>HYPERLINK("https://us2.cloudbeds.com/connect/10074733072513#/reservations/31714437816528?display=MX4TD0Z7Q&amp;reservation_id=31714437816528", "MX4TD0Z7Q")</f>
        <v>MX4TD0Z7Q</v>
      </c>
      <c r="B1157" t="s">
        <v>1729</v>
      </c>
      <c r="C1157">
        <v>340.2</v>
      </c>
      <c r="D1157">
        <v>369.78</v>
      </c>
      <c r="E1157">
        <v>369.8</v>
      </c>
      <c r="F1157">
        <v>-0.02</v>
      </c>
    </row>
    <row r="1158" spans="1:6" x14ac:dyDescent="0.3">
      <c r="A1158" t="str">
        <f>HYPERLINK("https://us2.cloudbeds.com/connect/10074733072513#/reservations/31720378048694?display=MX9G5WET4&amp;reservation_id=31720378048694", "MX9G5WET4")</f>
        <v>MX9G5WET4</v>
      </c>
      <c r="B1158" t="s">
        <v>1773</v>
      </c>
      <c r="C1158">
        <v>244.36</v>
      </c>
      <c r="D1158">
        <v>265.60000000000002</v>
      </c>
      <c r="E1158">
        <v>265.62</v>
      </c>
      <c r="F1158">
        <v>-0.02</v>
      </c>
    </row>
    <row r="1159" spans="1:6" x14ac:dyDescent="0.3">
      <c r="A1159" t="str">
        <f>HYPERLINK("https://us2.cloudbeds.com/connect/10074733072513#/reservations/31723398111447?display=MXBRBJ4U8&amp;reservation_id=31723398111447", "MXBRBJ4U8")</f>
        <v>MXBRBJ4U8</v>
      </c>
      <c r="B1159" t="s">
        <v>1847</v>
      </c>
      <c r="C1159">
        <v>168.3</v>
      </c>
      <c r="D1159">
        <v>182.92</v>
      </c>
      <c r="E1159">
        <v>182.94</v>
      </c>
      <c r="F1159">
        <v>-0.02</v>
      </c>
    </row>
    <row r="1160" spans="1:6" x14ac:dyDescent="0.3">
      <c r="A1160" t="str">
        <f>HYPERLINK("https://us2.cloudbeds.com/connect/10074733072513#/reservations/31721986384103?display=MXAZ95ZTP&amp;reservation_id=31721986384103", "MXAZ95ZTP")</f>
        <v>MXAZ95ZTP</v>
      </c>
      <c r="B1160" t="s">
        <v>1791</v>
      </c>
      <c r="C1160">
        <v>1069.2</v>
      </c>
      <c r="D1160">
        <v>1162.2</v>
      </c>
      <c r="E1160">
        <v>1162.22</v>
      </c>
      <c r="F1160">
        <v>-0.02</v>
      </c>
    </row>
    <row r="1161" spans="1:6" x14ac:dyDescent="0.3">
      <c r="A1161" t="str">
        <f>HYPERLINK("https://us2.cloudbeds.com/connect/10074733072513#/reservations/31718595489957?display=MX83KT45N&amp;reservation_id=31718595489957", "MX83KT45N")</f>
        <v>MX83KT45N</v>
      </c>
      <c r="B1161" t="s">
        <v>1844</v>
      </c>
      <c r="C1161">
        <v>518.4</v>
      </c>
      <c r="D1161">
        <v>563.48</v>
      </c>
      <c r="E1161">
        <v>563.5</v>
      </c>
      <c r="F1161">
        <v>-0.02</v>
      </c>
    </row>
    <row r="1162" spans="1:6" x14ac:dyDescent="0.3">
      <c r="A1162" t="str">
        <f>HYPERLINK("https://us2.cloudbeds.com/connect/10074733072513#/reservations/31712677966073?display=MX3HE29V4&amp;reservation_id=31712677966073", "MX3HE29V4")</f>
        <v>MX3HE29V4</v>
      </c>
      <c r="B1162" t="s">
        <v>1539</v>
      </c>
      <c r="C1162">
        <v>340.2</v>
      </c>
      <c r="D1162">
        <v>369.78</v>
      </c>
      <c r="E1162">
        <v>369.8</v>
      </c>
      <c r="F1162">
        <v>-0.02</v>
      </c>
    </row>
    <row r="1163" spans="1:6" x14ac:dyDescent="0.3">
      <c r="A1163" t="str">
        <f>HYPERLINK("https://us2.cloudbeds.com/connect/10074733072513#/reservations/31718063505615?display=MX7N19SW2&amp;reservation_id=31718063505615", "MX7N19SW2")</f>
        <v>MX7N19SW2</v>
      </c>
      <c r="B1163" t="s">
        <v>1862</v>
      </c>
      <c r="C1163">
        <v>340.2</v>
      </c>
      <c r="D1163">
        <v>369.78</v>
      </c>
      <c r="E1163">
        <v>369.8</v>
      </c>
      <c r="F1163">
        <v>-0.02</v>
      </c>
    </row>
    <row r="1164" spans="1:6" x14ac:dyDescent="0.3">
      <c r="A1164" t="str">
        <f>HYPERLINK("https://us2.cloudbeds.com/connect/10074733072513#/reservations/31724862341256?display=MXCVP8GXH&amp;reservation_id=31724862341256", "MXCVP8GXH")</f>
        <v>MXCVP8GXH</v>
      </c>
      <c r="B1164" t="s">
        <v>1760</v>
      </c>
      <c r="C1164">
        <v>227.3</v>
      </c>
      <c r="D1164">
        <v>247.06</v>
      </c>
      <c r="E1164">
        <v>247.08</v>
      </c>
      <c r="F1164">
        <v>-0.02</v>
      </c>
    </row>
    <row r="1165" spans="1:6" x14ac:dyDescent="0.3">
      <c r="A1165" t="str">
        <f>HYPERLINK("https://us2.cloudbeds.com/connect/10074733072513#/reservations/31722637213879?display=MXB7TW1Z6&amp;reservation_id=31722637213879", "MXB7TW1Z6")</f>
        <v>MXB7TW1Z6</v>
      </c>
      <c r="B1165" t="s">
        <v>1875</v>
      </c>
      <c r="C1165">
        <v>402.3</v>
      </c>
      <c r="D1165">
        <v>437.28</v>
      </c>
      <c r="E1165">
        <v>437.3</v>
      </c>
      <c r="F1165">
        <v>-0.02</v>
      </c>
    </row>
    <row r="1166" spans="1:6" x14ac:dyDescent="0.3">
      <c r="A1166" t="str">
        <f>HYPERLINK("https://us2.cloudbeds.com/connect/10074733072513#/reservations/31717969125551?display=MX7KKNK84&amp;reservation_id=31717969125551", "MX7KKNK84")</f>
        <v>MX7KKNK84</v>
      </c>
      <c r="B1166" t="s">
        <v>1875</v>
      </c>
      <c r="C1166">
        <v>244.36</v>
      </c>
      <c r="D1166">
        <v>265.60000000000002</v>
      </c>
      <c r="E1166">
        <v>265.62</v>
      </c>
      <c r="F1166">
        <v>-0.02</v>
      </c>
    </row>
    <row r="1167" spans="1:6" x14ac:dyDescent="0.3">
      <c r="A1167" t="str">
        <f>HYPERLINK("https://us2.cloudbeds.com/connect/10074733072513#/reservations/31718206193804?display=MX7QMKCPJ&amp;reservation_id=31718206193804", "MX7QMKCPJ")</f>
        <v>MX7QMKCPJ</v>
      </c>
      <c r="B1167" t="s">
        <v>1896</v>
      </c>
      <c r="C1167">
        <v>524.79999999999995</v>
      </c>
      <c r="D1167">
        <v>570.44000000000005</v>
      </c>
      <c r="E1167">
        <v>570.46</v>
      </c>
      <c r="F1167">
        <v>-0.02</v>
      </c>
    </row>
    <row r="1168" spans="1:6" x14ac:dyDescent="0.3">
      <c r="A1168" t="str">
        <f>HYPERLINK("https://us2.cloudbeds.com/connect/10074733072513#/reservations/31718044508294?display=MX7MX987M&amp;reservation_id=31718044508294", "MX7MX987M")</f>
        <v>MX7MX987M</v>
      </c>
      <c r="B1168" t="s">
        <v>1873</v>
      </c>
      <c r="C1168">
        <v>490.5</v>
      </c>
      <c r="D1168">
        <v>533.15</v>
      </c>
      <c r="E1168">
        <v>533.16999999999996</v>
      </c>
      <c r="F1168">
        <v>-0.02</v>
      </c>
    </row>
    <row r="1169" spans="1:6" x14ac:dyDescent="0.3">
      <c r="A1169" t="str">
        <f>HYPERLINK("https://us2.cloudbeds.com/connect/10074733072513#/reservations/31717640073413?display=MX7C788B7&amp;reservation_id=31717640073413", "MX7C788B7")</f>
        <v>MX7C788B7</v>
      </c>
      <c r="B1169" t="s">
        <v>1768</v>
      </c>
      <c r="C1169">
        <v>308.48</v>
      </c>
      <c r="D1169">
        <v>335.3</v>
      </c>
      <c r="E1169">
        <v>335.32</v>
      </c>
      <c r="F1169">
        <v>-0.02</v>
      </c>
    </row>
    <row r="1170" spans="1:6" x14ac:dyDescent="0.3">
      <c r="A1170" t="str">
        <f>HYPERLINK("https://us2.cloudbeds.com/connect/10074733072513#/reservations/31720880107737?display=MX9T0AWFH&amp;reservation_id=31720880107737", "MX9T0AWFH")</f>
        <v>MX9T0AWFH</v>
      </c>
      <c r="B1170" t="s">
        <v>1898</v>
      </c>
      <c r="C1170">
        <v>392.4</v>
      </c>
      <c r="D1170">
        <v>426.52</v>
      </c>
      <c r="E1170">
        <v>426.54</v>
      </c>
      <c r="F1170">
        <v>-0.02</v>
      </c>
    </row>
    <row r="1171" spans="1:6" x14ac:dyDescent="0.3">
      <c r="A1171" t="str">
        <f>HYPERLINK("https://us2.cloudbeds.com/connect/10074733072513#/reservations/31716632752320?display=MX6J5JE7Y&amp;reservation_id=31716632752320", "MX6J5JE7Y")</f>
        <v>MX6J5JE7Y</v>
      </c>
      <c r="B1171" t="s">
        <v>1887</v>
      </c>
      <c r="C1171">
        <v>227.3</v>
      </c>
      <c r="D1171">
        <v>247.06</v>
      </c>
      <c r="E1171">
        <v>247.08</v>
      </c>
      <c r="F1171">
        <v>-0.02</v>
      </c>
    </row>
    <row r="1172" spans="1:6" x14ac:dyDescent="0.3">
      <c r="A1172" t="str">
        <f>HYPERLINK("https://us2.cloudbeds.com/connect/10074733072513#/reservations/31715389104321?display=MX5KN5NZK&amp;reservation_id=31715389104321", "MX5KN5NZK")</f>
        <v>MX5KN5NZK</v>
      </c>
      <c r="B1172" t="s">
        <v>1904</v>
      </c>
      <c r="C1172">
        <v>340.2</v>
      </c>
      <c r="D1172">
        <v>369.78</v>
      </c>
      <c r="E1172">
        <v>369.8</v>
      </c>
      <c r="F1172">
        <v>-0.02</v>
      </c>
    </row>
    <row r="1173" spans="1:6" x14ac:dyDescent="0.3">
      <c r="A1173" t="str">
        <f>HYPERLINK("https://us2.cloudbeds.com/connect/10074733072513#/reservations/31717313691791?display=MX73T16N1&amp;reservation_id=31717313691791", "MX73T16N1")</f>
        <v>MX73T16N1</v>
      </c>
      <c r="B1173" t="s">
        <v>1666</v>
      </c>
      <c r="C1173">
        <v>227.3</v>
      </c>
      <c r="D1173">
        <v>247.06</v>
      </c>
      <c r="E1173">
        <v>247.08</v>
      </c>
      <c r="F1173">
        <v>-0.02</v>
      </c>
    </row>
    <row r="1174" spans="1:6" x14ac:dyDescent="0.3">
      <c r="A1174" t="str">
        <f>HYPERLINK("https://us2.cloudbeds.com/connect/10074733072513#/reservations/31717307904131?display=MX73Z551D&amp;reservation_id=31717307904131", "MX73Z551D")</f>
        <v>MX73Z551D</v>
      </c>
      <c r="B1174" t="s">
        <v>1666</v>
      </c>
      <c r="C1174">
        <v>227.3</v>
      </c>
      <c r="D1174">
        <v>247.06</v>
      </c>
      <c r="E1174">
        <v>247.08</v>
      </c>
      <c r="F1174">
        <v>-0.02</v>
      </c>
    </row>
    <row r="1175" spans="1:6" x14ac:dyDescent="0.3">
      <c r="A1175" t="str">
        <f>HYPERLINK("https://us2.cloudbeds.com/connect/10074733072513#/reservations/31702975992053?display=MHT0H3XTD&amp;reservation_id=31702975992053", "MHT0H3XTD")</f>
        <v>MHT0H3XTD</v>
      </c>
      <c r="B1175" t="s">
        <v>1912</v>
      </c>
      <c r="C1175">
        <v>360.2</v>
      </c>
      <c r="D1175">
        <v>391.52</v>
      </c>
      <c r="E1175">
        <v>391.54</v>
      </c>
      <c r="F1175">
        <v>-0.02</v>
      </c>
    </row>
    <row r="1176" spans="1:6" x14ac:dyDescent="0.3">
      <c r="A1176" t="str">
        <f>HYPERLINK("https://us2.cloudbeds.com/connect/10074733072513#/reservations/31718695919833?display=MX866XZ99&amp;reservation_id=31718695919833", "MX866XZ99")</f>
        <v>MX866XZ99</v>
      </c>
      <c r="B1176" t="s">
        <v>1768</v>
      </c>
      <c r="C1176">
        <v>308.48</v>
      </c>
      <c r="D1176">
        <v>335.3</v>
      </c>
      <c r="E1176">
        <v>335.32</v>
      </c>
      <c r="F1176">
        <v>-0.02</v>
      </c>
    </row>
    <row r="1177" spans="1:6" x14ac:dyDescent="0.3">
      <c r="A1177" t="str">
        <f>HYPERLINK("https://us2.cloudbeds.com/connect/10074733072513#/reservations/31716690501827?display=MX6KVX0PM&amp;reservation_id=31716690501827", "MX6KVX0PM")</f>
        <v>MX6KVX0PM</v>
      </c>
      <c r="B1177" t="s">
        <v>1913</v>
      </c>
      <c r="C1177">
        <v>392.4</v>
      </c>
      <c r="D1177">
        <v>426.52</v>
      </c>
      <c r="E1177">
        <v>426.54</v>
      </c>
      <c r="F1177">
        <v>-0.02</v>
      </c>
    </row>
    <row r="1178" spans="1:6" x14ac:dyDescent="0.3">
      <c r="A1178" t="str">
        <f>HYPERLINK("https://us2.cloudbeds.com/connect/10074733072513#/reservations/31713271804032?display=MX3W83XM5&amp;reservation_id=31713271804032", "MX3W83XM5")</f>
        <v>MX3W83XM5</v>
      </c>
      <c r="B1178" t="s">
        <v>1711</v>
      </c>
      <c r="C1178">
        <v>520.20000000000005</v>
      </c>
      <c r="D1178">
        <v>565.44000000000005</v>
      </c>
      <c r="E1178">
        <v>565.46</v>
      </c>
      <c r="F1178">
        <v>-0.02</v>
      </c>
    </row>
    <row r="1179" spans="1:6" x14ac:dyDescent="0.3">
      <c r="A1179" t="str">
        <f>HYPERLINK("https://us2.cloudbeds.com/connect/10074733072513#/reservations/31716071702751?display=MX654P0TH&amp;reservation_id=31716071702751", "MX654P0TH")</f>
        <v>MX654P0TH</v>
      </c>
      <c r="B1179" t="s">
        <v>1887</v>
      </c>
      <c r="C1179">
        <v>392.4</v>
      </c>
      <c r="D1179">
        <v>426.52</v>
      </c>
      <c r="E1179">
        <v>426.54</v>
      </c>
      <c r="F1179">
        <v>-0.02</v>
      </c>
    </row>
    <row r="1180" spans="1:6" x14ac:dyDescent="0.3">
      <c r="A1180" t="str">
        <f>HYPERLINK("https://us2.cloudbeds.com/connect/10074733072513#/reservations/31718026215650?display=MX7M2S7J4&amp;reservation_id=31718026215650", "MX7M2S7J4")</f>
        <v>MX7M2S7J4</v>
      </c>
      <c r="B1180" t="s">
        <v>1862</v>
      </c>
      <c r="C1180">
        <v>340.2</v>
      </c>
      <c r="D1180">
        <v>369.78</v>
      </c>
      <c r="E1180">
        <v>369.8</v>
      </c>
      <c r="F1180">
        <v>-0.02</v>
      </c>
    </row>
    <row r="1181" spans="1:6" x14ac:dyDescent="0.3">
      <c r="A1181" t="str">
        <f>HYPERLINK("https://us2.cloudbeds.com/connect/10074733072513#/reservations/31711532343546?display=MX2Y51YVW&amp;reservation_id=31711532343546", "MX2Y51YVW")</f>
        <v>MX2Y51YVW</v>
      </c>
      <c r="B1181" t="s">
        <v>1829</v>
      </c>
      <c r="C1181">
        <v>340.2</v>
      </c>
      <c r="D1181">
        <v>369.78</v>
      </c>
      <c r="E1181">
        <v>369.8</v>
      </c>
      <c r="F1181">
        <v>-0.02</v>
      </c>
    </row>
    <row r="1182" spans="1:6" x14ac:dyDescent="0.3">
      <c r="A1182" t="str">
        <f>HYPERLINK("https://us2.cloudbeds.com/connect/10074733072513#/reservations/31715790930065?display=MX5UW03ZA&amp;reservation_id=31715790930065", "MX5UW03ZA")</f>
        <v>MX5UW03ZA</v>
      </c>
      <c r="B1182" t="s">
        <v>1846</v>
      </c>
      <c r="C1182">
        <v>752.4</v>
      </c>
      <c r="D1182">
        <v>817.84</v>
      </c>
      <c r="E1182">
        <v>817.86</v>
      </c>
      <c r="F1182">
        <v>-0.02</v>
      </c>
    </row>
    <row r="1183" spans="1:6" x14ac:dyDescent="0.3">
      <c r="A1183" t="str">
        <f>HYPERLINK("https://us2.cloudbeds.com/connect/10074733072513#/reservations/31715087179944?display=MX5CWJ7X2&amp;reservation_id=31715087179944", "MX5CWJ7X2")</f>
        <v>MX5CWJ7X2</v>
      </c>
      <c r="B1183" t="s">
        <v>1880</v>
      </c>
      <c r="C1183">
        <v>340.2</v>
      </c>
      <c r="D1183">
        <v>369.78</v>
      </c>
      <c r="E1183">
        <v>369.8</v>
      </c>
      <c r="F1183">
        <v>-0.02</v>
      </c>
    </row>
    <row r="1184" spans="1:6" x14ac:dyDescent="0.3">
      <c r="A1184" t="str">
        <f>HYPERLINK("https://us2.cloudbeds.com/connect/10074733072513#/reservations/31720445157534?display=MX9HTXS5B&amp;reservation_id=31720445157534", "MX9HTXS5B")</f>
        <v>MX9HTXS5B</v>
      </c>
      <c r="B1184" t="s">
        <v>1930</v>
      </c>
      <c r="C1184">
        <v>484.8</v>
      </c>
      <c r="D1184">
        <v>526.96</v>
      </c>
      <c r="E1184">
        <v>526.98</v>
      </c>
      <c r="F1184">
        <v>-0.02</v>
      </c>
    </row>
    <row r="1185" spans="1:6" x14ac:dyDescent="0.3">
      <c r="A1185" t="str">
        <f>HYPERLINK("https://us2.cloudbeds.com/connect/10074733072513#/reservations/31716233335018?display=MX6991MX0&amp;reservation_id=31716233335018", "MX6991MX0")</f>
        <v>MX6991MX0</v>
      </c>
      <c r="B1185" t="s">
        <v>1914</v>
      </c>
      <c r="C1185">
        <v>698.4</v>
      </c>
      <c r="D1185">
        <v>759.14</v>
      </c>
      <c r="E1185">
        <v>759.16</v>
      </c>
      <c r="F1185">
        <v>-0.02</v>
      </c>
    </row>
    <row r="1186" spans="1:6" x14ac:dyDescent="0.3">
      <c r="A1186" t="str">
        <f>HYPERLINK("https://us2.cloudbeds.com/connect/10074733072513#/reservations/31712158122197?display=MX344NT0D&amp;reservation_id=31712158122197", "MX344NT0D")</f>
        <v>MX344NT0D</v>
      </c>
      <c r="B1186" t="s">
        <v>1940</v>
      </c>
      <c r="C1186">
        <v>490.5</v>
      </c>
      <c r="D1186">
        <v>533.15</v>
      </c>
      <c r="E1186">
        <v>533.16999999999996</v>
      </c>
      <c r="F1186">
        <v>-0.02</v>
      </c>
    </row>
    <row r="1187" spans="1:6" x14ac:dyDescent="0.3">
      <c r="A1187" t="str">
        <f>HYPERLINK("https://us2.cloudbeds.com/connect/10074733072513#/reservations/31717128286457?display=MX6W4N0SJ&amp;reservation_id=31717128286457", "MX6W4N0SJ")</f>
        <v>MX6W4N0SJ</v>
      </c>
      <c r="B1187" t="s">
        <v>1945</v>
      </c>
      <c r="C1187">
        <v>168.26</v>
      </c>
      <c r="D1187">
        <v>182.88</v>
      </c>
      <c r="E1187">
        <v>182.9</v>
      </c>
      <c r="F1187">
        <v>-0.02</v>
      </c>
    </row>
    <row r="1188" spans="1:6" x14ac:dyDescent="0.3">
      <c r="A1188" t="str">
        <f>HYPERLINK("https://us2.cloudbeds.com/connect/10074733072513#/reservations/31716032561376?display=MX644ZSD8&amp;reservation_id=31716032561376", "MX644ZSD8")</f>
        <v>MX644ZSD8</v>
      </c>
      <c r="B1188" t="s">
        <v>1951</v>
      </c>
      <c r="C1188">
        <v>244.4</v>
      </c>
      <c r="D1188">
        <v>265.64</v>
      </c>
      <c r="E1188">
        <v>265.66000000000003</v>
      </c>
      <c r="F1188">
        <v>-0.02</v>
      </c>
    </row>
    <row r="1189" spans="1:6" x14ac:dyDescent="0.3">
      <c r="A1189" t="str">
        <f>HYPERLINK("https://us2.cloudbeds.com/connect/10074733072513#/reservations/31711358591214?display=MX2GNHZPQ&amp;reservation_id=31711358591214", "MX2GNHZPQ")</f>
        <v>MX2GNHZPQ</v>
      </c>
      <c r="B1189" t="s">
        <v>1880</v>
      </c>
      <c r="C1189">
        <v>287.32</v>
      </c>
      <c r="D1189">
        <v>312.3</v>
      </c>
      <c r="E1189">
        <v>312.32</v>
      </c>
      <c r="F1189">
        <v>-0.02</v>
      </c>
    </row>
    <row r="1190" spans="1:6" x14ac:dyDescent="0.3">
      <c r="A1190" t="str">
        <f>HYPERLINK("https://us2.cloudbeds.com/connect/10074733072513#/reservations/31715461038233?display=MX5MHRCP4&amp;reservation_id=31715461038233", "MX5MHRCP4")</f>
        <v>MX5MHRCP4</v>
      </c>
      <c r="B1190" t="s">
        <v>1914</v>
      </c>
      <c r="C1190">
        <v>340.2</v>
      </c>
      <c r="D1190">
        <v>369.78</v>
      </c>
      <c r="E1190">
        <v>369.8</v>
      </c>
      <c r="F1190">
        <v>-0.02</v>
      </c>
    </row>
    <row r="1191" spans="1:6" x14ac:dyDescent="0.3">
      <c r="A1191" t="str">
        <f>HYPERLINK("https://us2.cloudbeds.com/connect/10074733072513#/reservations/31711385673955?display=MX2HDCC4U&amp;reservation_id=31711385673955", "MX2HDCC4U")</f>
        <v>MX2HDCC4U</v>
      </c>
      <c r="B1191" t="s">
        <v>1927</v>
      </c>
      <c r="C1191">
        <v>340.2</v>
      </c>
      <c r="D1191">
        <v>369.78</v>
      </c>
      <c r="E1191">
        <v>369.8</v>
      </c>
      <c r="F1191">
        <v>-0.02</v>
      </c>
    </row>
    <row r="1192" spans="1:6" x14ac:dyDescent="0.3">
      <c r="A1192" t="str">
        <f>HYPERLINK("https://us2.cloudbeds.com/connect/10074733072513#/reservations/31716180897955?display=MX67URHW3&amp;reservation_id=31716180897955", "MX67URHW3")</f>
        <v>MX67URHW3</v>
      </c>
      <c r="B1192" t="s">
        <v>1914</v>
      </c>
      <c r="C1192">
        <v>340.2</v>
      </c>
      <c r="D1192">
        <v>369.78</v>
      </c>
      <c r="E1192">
        <v>369.8</v>
      </c>
      <c r="F1192">
        <v>-0.02</v>
      </c>
    </row>
    <row r="1193" spans="1:6" x14ac:dyDescent="0.3">
      <c r="A1193" t="str">
        <f>HYPERLINK("https://us2.cloudbeds.com/connect/10074733072513#/reservations/31713740722390?display=MX4BJ7220&amp;reservation_id=31713740722390", "MX4BJ7220")</f>
        <v>MX4BJ7220</v>
      </c>
      <c r="B1193" t="s">
        <v>1951</v>
      </c>
      <c r="C1193">
        <v>625.5</v>
      </c>
      <c r="D1193">
        <v>679.9</v>
      </c>
      <c r="E1193">
        <v>679.92</v>
      </c>
      <c r="F1193">
        <v>-0.02</v>
      </c>
    </row>
    <row r="1194" spans="1:6" x14ac:dyDescent="0.3">
      <c r="A1194" t="str">
        <f>HYPERLINK("https://us2.cloudbeds.com/connect/10074733072513#/reservations/31714188263627?display=MX4N0JXCM&amp;reservation_id=31714188263627", "MX4N0JXCM")</f>
        <v>MX4N0JXCM</v>
      </c>
      <c r="B1194" t="s">
        <v>1661</v>
      </c>
      <c r="C1194">
        <v>340.2</v>
      </c>
      <c r="D1194">
        <v>369.78</v>
      </c>
      <c r="E1194">
        <v>369.8</v>
      </c>
      <c r="F1194">
        <v>-0.02</v>
      </c>
    </row>
    <row r="1195" spans="1:6" x14ac:dyDescent="0.3">
      <c r="A1195" t="str">
        <f>HYPERLINK("https://us2.cloudbeds.com/connect/10074733072513#/reservations/31713714585851?display=MX4AU5PXM&amp;reservation_id=31713714585851", "MX4AU5PXM")</f>
        <v>MX4AU5PXM</v>
      </c>
      <c r="B1195" t="s">
        <v>1951</v>
      </c>
      <c r="C1195">
        <v>521.5</v>
      </c>
      <c r="D1195">
        <v>566.85</v>
      </c>
      <c r="E1195">
        <v>566.87</v>
      </c>
      <c r="F1195">
        <v>-0.02</v>
      </c>
    </row>
    <row r="1196" spans="1:6" x14ac:dyDescent="0.3">
      <c r="A1196" t="str">
        <f>HYPERLINK("https://us2.cloudbeds.com/connect/10074733072513#/reservations/31714464633019?display=MX4U2KV3Z&amp;reservation_id=31714464633019", "MX4U2KV3Z")</f>
        <v>MX4U2KV3Z</v>
      </c>
      <c r="B1196" t="s">
        <v>1816</v>
      </c>
      <c r="C1196">
        <v>340.2</v>
      </c>
      <c r="D1196">
        <v>369.78</v>
      </c>
      <c r="E1196">
        <v>369.8</v>
      </c>
      <c r="F1196">
        <v>-0.02</v>
      </c>
    </row>
    <row r="1197" spans="1:6" x14ac:dyDescent="0.3">
      <c r="A1197" t="str">
        <f>HYPERLINK("https://us2.cloudbeds.com/connect/10074733072513#/reservations/31714690756807?display=MX52SA5KZ&amp;reservation_id=31714690756807", "MX52SA5KZ")</f>
        <v>MX52SA5KZ</v>
      </c>
      <c r="B1197" t="s">
        <v>1816</v>
      </c>
      <c r="C1197">
        <v>340.2</v>
      </c>
      <c r="D1197">
        <v>369.78</v>
      </c>
      <c r="E1197">
        <v>369.8</v>
      </c>
      <c r="F1197">
        <v>-0.02</v>
      </c>
    </row>
    <row r="1198" spans="1:6" x14ac:dyDescent="0.3">
      <c r="A1198" t="str">
        <f>HYPERLINK("https://us2.cloudbeds.com/connect/10074733072513#/reservations/31702477324506?display=MHSKPKDKK&amp;reservation_id=31702477324506", "MHSKPKDKK")</f>
        <v>MHSKPKDKK</v>
      </c>
      <c r="B1198" t="s">
        <v>1947</v>
      </c>
      <c r="C1198">
        <v>340.2</v>
      </c>
      <c r="D1198">
        <v>369.78</v>
      </c>
      <c r="E1198">
        <v>369.8</v>
      </c>
      <c r="F1198">
        <v>-0.02</v>
      </c>
    </row>
    <row r="1199" spans="1:6" x14ac:dyDescent="0.3">
      <c r="A1199" t="str">
        <f>HYPERLINK("https://us2.cloudbeds.com/connect/10074733072513#/reservations/31713344626895?display=MX41F7407&amp;reservation_id=31713344626895", "MX41F7407")</f>
        <v>MX41F7407</v>
      </c>
      <c r="B1199" t="s">
        <v>1539</v>
      </c>
      <c r="C1199">
        <v>340.2</v>
      </c>
      <c r="D1199">
        <v>369.78</v>
      </c>
      <c r="E1199">
        <v>369.8</v>
      </c>
      <c r="F1199">
        <v>-0.02</v>
      </c>
    </row>
    <row r="1200" spans="1:6" x14ac:dyDescent="0.3">
      <c r="A1200" t="str">
        <f>HYPERLINK("https://us2.cloudbeds.com/connect/10074733072513#/reservations/31712818811061?display=MX3Y0RH62&amp;reservation_id=31712818811061", "MX3Y0RH62")</f>
        <v>MX3Y0RH62</v>
      </c>
      <c r="B1200" t="s">
        <v>1927</v>
      </c>
      <c r="C1200">
        <v>340.2</v>
      </c>
      <c r="D1200">
        <v>369.78</v>
      </c>
      <c r="E1200">
        <v>369.8</v>
      </c>
      <c r="F1200">
        <v>-0.02</v>
      </c>
    </row>
    <row r="1201" spans="1:6" x14ac:dyDescent="0.3">
      <c r="A1201" t="str">
        <f>HYPERLINK("https://us2.cloudbeds.com/connect/10074733072513#/reservations/31712171180242?display=MX34FZ7SZ&amp;reservation_id=31712171180242", "MX34FZ7SZ")</f>
        <v>MX34FZ7SZ</v>
      </c>
      <c r="B1201" t="s">
        <v>1927</v>
      </c>
      <c r="C1201">
        <v>340.2</v>
      </c>
      <c r="D1201">
        <v>369.78</v>
      </c>
      <c r="E1201">
        <v>369.8</v>
      </c>
      <c r="F1201">
        <v>-0.02</v>
      </c>
    </row>
    <row r="1202" spans="1:6" x14ac:dyDescent="0.3">
      <c r="A1202" t="str">
        <f>HYPERLINK("https://us2.cloudbeds.com/connect/10074733072513#/reservations/31702463168667?display=MHSKDMGMQ&amp;reservation_id=31702463168667", "MHSKDMGMQ")</f>
        <v>MHSKDMGMQ</v>
      </c>
      <c r="B1202" t="s">
        <v>1970</v>
      </c>
      <c r="C1202">
        <v>340.2</v>
      </c>
      <c r="D1202">
        <v>369.78</v>
      </c>
      <c r="E1202">
        <v>369.8</v>
      </c>
      <c r="F1202">
        <v>-0.02</v>
      </c>
    </row>
    <row r="1203" spans="1:6" x14ac:dyDescent="0.3">
      <c r="A1203" t="str">
        <f>HYPERLINK("https://us2.cloudbeds.com/connect/10074733072513#/reservations/31712130609394?display=MX33EH9Z3&amp;reservation_id=31712130609394", "MX33EH9Z3")</f>
        <v>MX33EH9Z3</v>
      </c>
      <c r="B1203" t="s">
        <v>1927</v>
      </c>
      <c r="C1203">
        <v>340.2</v>
      </c>
      <c r="D1203">
        <v>369.78</v>
      </c>
      <c r="E1203">
        <v>369.8</v>
      </c>
      <c r="F1203">
        <v>-0.02</v>
      </c>
    </row>
    <row r="1204" spans="1:6" x14ac:dyDescent="0.3">
      <c r="A1204" t="str">
        <f>HYPERLINK("https://us2.cloudbeds.com/connect/10074733072513#/reservations/31713198854280?display=MX3UZ9PS6&amp;reservation_id=31713198854280", "MX3UZ9PS6")</f>
        <v>MX3UZ9PS6</v>
      </c>
      <c r="B1204" t="s">
        <v>1975</v>
      </c>
      <c r="C1204">
        <v>266.86</v>
      </c>
      <c r="D1204">
        <v>290.06</v>
      </c>
      <c r="E1204">
        <v>290.08</v>
      </c>
      <c r="F1204">
        <v>-0.02</v>
      </c>
    </row>
    <row r="1205" spans="1:6" x14ac:dyDescent="0.3">
      <c r="A1205" t="str">
        <f>HYPERLINK("https://us2.cloudbeds.com/connect/10074733072513#/reservations/31712836034738?display=MX3YFBQ7M&amp;reservation_id=31712836034738", "MX3YFBQ7M")</f>
        <v>MX3YFBQ7M</v>
      </c>
      <c r="B1205" t="s">
        <v>1878</v>
      </c>
      <c r="C1205">
        <v>402.3</v>
      </c>
      <c r="D1205">
        <v>437.28</v>
      </c>
      <c r="E1205">
        <v>437.3</v>
      </c>
      <c r="F1205">
        <v>-0.02</v>
      </c>
    </row>
    <row r="1206" spans="1:6" x14ac:dyDescent="0.3">
      <c r="A1206" t="str">
        <f>HYPERLINK("https://us2.cloudbeds.com/connect/10074733072513#/reservations/31711882109134?display=MX2U2WDG6&amp;reservation_id=31711882109134", "MX2U2WDG6")</f>
        <v>MX2U2WDG6</v>
      </c>
      <c r="B1206" t="s">
        <v>1974</v>
      </c>
      <c r="C1206">
        <v>1184.8</v>
      </c>
      <c r="D1206">
        <v>1287.8599999999999</v>
      </c>
      <c r="E1206">
        <v>1287.8800000000001</v>
      </c>
      <c r="F1206">
        <v>-0.02</v>
      </c>
    </row>
    <row r="1207" spans="1:6" x14ac:dyDescent="0.3">
      <c r="A1207" t="str">
        <f>HYPERLINK("https://us2.cloudbeds.com/connect/10074733072513#/reservations/31703182958745?display=MHT5QKNVB&amp;reservation_id=31703182958745", "MHT5QKNVB")</f>
        <v>MHT5QKNVB</v>
      </c>
      <c r="B1207" t="s">
        <v>1981</v>
      </c>
      <c r="C1207">
        <v>492.3</v>
      </c>
      <c r="D1207">
        <v>535.11</v>
      </c>
      <c r="E1207">
        <v>535.13</v>
      </c>
      <c r="F1207">
        <v>-0.02</v>
      </c>
    </row>
    <row r="1208" spans="1:6" x14ac:dyDescent="0.3">
      <c r="A1208" t="str">
        <f>HYPERLINK("https://us2.cloudbeds.com/connect/10074733072513#/reservations/31713656099027?display=MX49DS9YM&amp;reservation_id=31713656099027", "MX49DS9YM")</f>
        <v>MX49DS9YM</v>
      </c>
      <c r="B1208" t="s">
        <v>1986</v>
      </c>
      <c r="C1208">
        <v>402.3</v>
      </c>
      <c r="D1208">
        <v>437.28</v>
      </c>
      <c r="E1208">
        <v>437.3</v>
      </c>
      <c r="F1208">
        <v>-0.02</v>
      </c>
    </row>
    <row r="1209" spans="1:6" x14ac:dyDescent="0.3">
      <c r="A1209" t="str">
        <f>HYPERLINK("https://us2.cloudbeds.com/connect/10074733072513#/reservations/31712393007314?display=MX3A4PTR7&amp;reservation_id=31712393007314", "MX3A4PTR7")</f>
        <v>MX3A4PTR7</v>
      </c>
      <c r="B1209" t="s">
        <v>1829</v>
      </c>
      <c r="C1209">
        <v>398.18</v>
      </c>
      <c r="D1209">
        <v>432.8</v>
      </c>
      <c r="E1209">
        <v>432.82</v>
      </c>
      <c r="F1209">
        <v>-0.02</v>
      </c>
    </row>
    <row r="1210" spans="1:6" x14ac:dyDescent="0.3">
      <c r="A1210" t="str">
        <f>HYPERLINK("https://us2.cloudbeds.com/connect/10074733072513#/reservations/31703107670159?display=MHT3T4NE1&amp;reservation_id=31703107670159", "MHT3T4NE1")</f>
        <v>MHT3T4NE1</v>
      </c>
      <c r="B1210" t="s">
        <v>1912</v>
      </c>
      <c r="C1210">
        <v>352.26</v>
      </c>
      <c r="D1210">
        <v>382.89</v>
      </c>
      <c r="E1210">
        <v>382.91</v>
      </c>
      <c r="F1210">
        <v>-0.02</v>
      </c>
    </row>
    <row r="1211" spans="1:6" x14ac:dyDescent="0.3">
      <c r="A1211" t="str">
        <f>HYPERLINK("https://us2.cloudbeds.com/connect/10074733072513#/reservations/31702103871634?display=MHSB7NHMU&amp;reservation_id=31702103871634", "MHSB7NHMU")</f>
        <v>MHSB7NHMU</v>
      </c>
      <c r="B1211" t="s">
        <v>1833</v>
      </c>
      <c r="C1211">
        <v>340.2</v>
      </c>
      <c r="D1211">
        <v>369.78</v>
      </c>
      <c r="E1211">
        <v>369.8</v>
      </c>
      <c r="F1211">
        <v>-0.02</v>
      </c>
    </row>
    <row r="1212" spans="1:6" x14ac:dyDescent="0.3">
      <c r="A1212" t="str">
        <f>HYPERLINK("https://us2.cloudbeds.com/connect/10074733072513#/reservations/31702075871472?display=MHSAH3CT5&amp;reservation_id=31702075871472", "MHSAH3CT5")</f>
        <v>MHSAH3CT5</v>
      </c>
      <c r="B1212" t="s">
        <v>2006</v>
      </c>
      <c r="C1212">
        <v>1791</v>
      </c>
      <c r="D1212">
        <v>1946.8</v>
      </c>
      <c r="E1212">
        <v>1946.82</v>
      </c>
      <c r="F1212">
        <v>-0.02</v>
      </c>
    </row>
    <row r="1213" spans="1:6" x14ac:dyDescent="0.3">
      <c r="A1213" t="str">
        <f>HYPERLINK("https://us2.cloudbeds.com/connect/10074733072513#/reservations/31702339571961?display=MHSH8F832&amp;reservation_id=31702339571961", "MHSH8F832")</f>
        <v>MHSH8F832</v>
      </c>
      <c r="B1213" t="s">
        <v>2001</v>
      </c>
      <c r="C1213">
        <v>206.4</v>
      </c>
      <c r="D1213">
        <v>224.34</v>
      </c>
      <c r="E1213">
        <v>224.36</v>
      </c>
      <c r="F1213">
        <v>-0.02</v>
      </c>
    </row>
    <row r="1214" spans="1:6" x14ac:dyDescent="0.3">
      <c r="A1214" t="str">
        <f>HYPERLINK("https://us2.cloudbeds.com/connect/10074733072513#/reservations/31702538293377?display=MHSMB0VZ5&amp;reservation_id=31702538293377", "MHSMB0VZ5")</f>
        <v>MHSMB0VZ5</v>
      </c>
      <c r="B1214" t="s">
        <v>2009</v>
      </c>
      <c r="C1214">
        <v>417.2</v>
      </c>
      <c r="D1214">
        <v>453.48</v>
      </c>
      <c r="E1214">
        <v>453.5</v>
      </c>
      <c r="F1214">
        <v>-0.02</v>
      </c>
    </row>
    <row r="1215" spans="1:6" x14ac:dyDescent="0.3">
      <c r="A1215" t="str">
        <f>HYPERLINK("https://us2.cloudbeds.com/connect/10074733072513#/reservations/31702126952619?display=MHSBR5QBM&amp;reservation_id=31702126952619", "MHSBR5QBM")</f>
        <v>MHSBR5QBM</v>
      </c>
      <c r="B1215" t="s">
        <v>2009</v>
      </c>
      <c r="C1215">
        <v>417.2</v>
      </c>
      <c r="D1215">
        <v>453.48</v>
      </c>
      <c r="E1215">
        <v>453.5</v>
      </c>
      <c r="F1215">
        <v>-0.02</v>
      </c>
    </row>
    <row r="1216" spans="1:6" x14ac:dyDescent="0.3">
      <c r="A1216" t="str">
        <f>HYPERLINK("https://us2.cloudbeds.com/connect/10074733072513#/reservations/31702107484405?display=MHSBAP26R&amp;reservation_id=31702107484405", "MHSBAP26R")</f>
        <v>MHSBAP26R</v>
      </c>
      <c r="B1216" t="s">
        <v>2009</v>
      </c>
      <c r="C1216">
        <v>417.2</v>
      </c>
      <c r="D1216">
        <v>453.48</v>
      </c>
      <c r="E1216">
        <v>453.5</v>
      </c>
      <c r="F1216">
        <v>-0.02</v>
      </c>
    </row>
    <row r="1217" spans="1:6" x14ac:dyDescent="0.3">
      <c r="A1217" t="str">
        <f>HYPERLINK("https://us2.cloudbeds.com/connect/10074733072513#/reservations/31702086959247?display=MHSAQEUGB&amp;reservation_id=31702086959247", "MHSAQEUGB")</f>
        <v>MHSAQEUGB</v>
      </c>
      <c r="B1217" t="s">
        <v>2009</v>
      </c>
      <c r="C1217">
        <v>417.2</v>
      </c>
      <c r="D1217">
        <v>453.48</v>
      </c>
      <c r="E1217">
        <v>453.5</v>
      </c>
      <c r="F1217">
        <v>-0.02</v>
      </c>
    </row>
    <row r="1218" spans="1:6" x14ac:dyDescent="0.3">
      <c r="A1218" t="str">
        <f>HYPERLINK("https://us2.cloudbeds.com/connect/10074733072513#/reservations/31702560960737?display=MHSMU4NXS&amp;reservation_id=31702560960737", "MHSMU4NXS")</f>
        <v>MHSMU4NXS</v>
      </c>
      <c r="B1218" t="s">
        <v>2011</v>
      </c>
      <c r="C1218">
        <v>340.2</v>
      </c>
      <c r="D1218">
        <v>369.78</v>
      </c>
      <c r="E1218">
        <v>369.8</v>
      </c>
      <c r="F1218">
        <v>-0.02</v>
      </c>
    </row>
    <row r="1219" spans="1:6" x14ac:dyDescent="0.3">
      <c r="A1219" t="str">
        <f>HYPERLINK("https://us2.cloudbeds.com/connect/10074733072513#/reservations/31701586518226?display=MHRV0FDMU&amp;reservation_id=31701586518226", "MHRV0FDMU")</f>
        <v>MHRV0FDMU</v>
      </c>
      <c r="B1219" t="s">
        <v>2018</v>
      </c>
      <c r="C1219">
        <v>206.4</v>
      </c>
      <c r="D1219">
        <v>224.34</v>
      </c>
      <c r="E1219">
        <v>224.36</v>
      </c>
      <c r="F1219">
        <v>-0.02</v>
      </c>
    </row>
    <row r="1220" spans="1:6" x14ac:dyDescent="0.3">
      <c r="A1220" t="str">
        <f>HYPERLINK("https://us2.cloudbeds.com/connect/10074733072513#/reservations/31701469577463?display=MHRS0SC2D&amp;reservation_id=31701469577463", "MHRS0SC2D")</f>
        <v>MHRS0SC2D</v>
      </c>
      <c r="B1220" t="s">
        <v>2022</v>
      </c>
      <c r="C1220">
        <v>1008.9</v>
      </c>
      <c r="D1220">
        <v>1096.6500000000001</v>
      </c>
      <c r="E1220">
        <v>1096.67</v>
      </c>
      <c r="F1220">
        <v>-0.02</v>
      </c>
    </row>
    <row r="1221" spans="1:6" x14ac:dyDescent="0.3">
      <c r="A1221" t="str">
        <f>HYPERLINK("https://us2.cloudbeds.com/connect/10074733072513#/reservations/31701801861268?display=MHS3H1YHY&amp;reservation_id=31701801861268", "MHS3H1YHY")</f>
        <v>MHS3H1YHY</v>
      </c>
      <c r="B1221" t="s">
        <v>1788</v>
      </c>
      <c r="C1221">
        <v>340.2</v>
      </c>
      <c r="D1221">
        <v>369.78</v>
      </c>
      <c r="E1221">
        <v>369.8</v>
      </c>
      <c r="F1221">
        <v>-0.02</v>
      </c>
    </row>
    <row r="1222" spans="1:6" x14ac:dyDescent="0.3">
      <c r="A1222" t="str">
        <f>HYPERLINK("https://us2.cloudbeds.com/connect/10074733072513#/reservations/31701195190427?display=MHRY0G4MP&amp;reservation_id=31701195190427", "MHRY0G4MP")</f>
        <v>MHRY0G4MP</v>
      </c>
      <c r="B1222" t="s">
        <v>2027</v>
      </c>
      <c r="C1222">
        <v>212.36</v>
      </c>
      <c r="D1222">
        <v>230.82</v>
      </c>
      <c r="E1222">
        <v>230.84</v>
      </c>
      <c r="F1222">
        <v>-0.02</v>
      </c>
    </row>
    <row r="1223" spans="1:6" x14ac:dyDescent="0.3">
      <c r="A1223" t="str">
        <f>HYPERLINK("https://us2.cloudbeds.com/connect/10074733072513#/reservations/31701030469844?display=MHRGQJX3V&amp;reservation_id=31701030469844", "MHRGQJX3V")</f>
        <v>MHRGQJX3V</v>
      </c>
      <c r="B1223" t="s">
        <v>2017</v>
      </c>
      <c r="C1223">
        <v>206.4</v>
      </c>
      <c r="D1223">
        <v>224.34</v>
      </c>
      <c r="E1223">
        <v>224.36</v>
      </c>
      <c r="F1223">
        <v>-0.02</v>
      </c>
    </row>
    <row r="1224" spans="1:6" x14ac:dyDescent="0.3">
      <c r="A1224" t="str">
        <f>HYPERLINK("https://us2.cloudbeds.com/connect/10074733072513#/reservations/47413368217763?display=10NGPEW1VJ&amp;reservation_id=47413368217763", "10NGPEW1VJ")</f>
        <v>10NGPEW1VJ</v>
      </c>
      <c r="B1224" t="s">
        <v>2030</v>
      </c>
      <c r="C1224">
        <v>410.32</v>
      </c>
      <c r="D1224">
        <v>446.04</v>
      </c>
      <c r="E1224">
        <v>446.06</v>
      </c>
      <c r="F1224">
        <v>-0.02</v>
      </c>
    </row>
    <row r="1225" spans="1:6" x14ac:dyDescent="0.3">
      <c r="A1225" t="str">
        <f>HYPERLINK("https://us2.cloudbeds.com/connect/10074733072513#/reservations/30645795254432?display=YQ2E3A4VG&amp;reservation_id=30645795254432", "YQ2E3A4VG")</f>
        <v>YQ2E3A4VG</v>
      </c>
      <c r="B1225" t="s">
        <v>6</v>
      </c>
      <c r="C1225">
        <v>103.2</v>
      </c>
      <c r="D1225">
        <v>112.17</v>
      </c>
      <c r="E1225">
        <v>112.18</v>
      </c>
      <c r="F1225">
        <v>-0.01</v>
      </c>
    </row>
    <row r="1226" spans="1:6" x14ac:dyDescent="0.3">
      <c r="A1226" t="str">
        <f>HYPERLINK("https://us2.cloudbeds.com/connect/10074733072513#/reservations/30652321136771?display=YQ7FS3ENP&amp;reservation_id=30652321136771", "YQ7FS3ENP")</f>
        <v>YQ7FS3ENP</v>
      </c>
      <c r="B1226" t="s">
        <v>8</v>
      </c>
      <c r="C1226">
        <v>230.2</v>
      </c>
      <c r="D1226">
        <v>250.22</v>
      </c>
      <c r="E1226">
        <v>250.23</v>
      </c>
      <c r="F1226">
        <v>-0.01</v>
      </c>
    </row>
    <row r="1227" spans="1:6" x14ac:dyDescent="0.3">
      <c r="A1227" t="str">
        <f>HYPERLINK("https://us2.cloudbeds.com/connect/10074733072513#/reservations/30646785306790?display=YQ36D4QV3&amp;reservation_id=30646785306790", "YQ36D4QV3")</f>
        <v>YQ36D4QV3</v>
      </c>
      <c r="B1227" t="s">
        <v>9</v>
      </c>
      <c r="C1227">
        <v>134.1</v>
      </c>
      <c r="D1227">
        <v>145.76</v>
      </c>
      <c r="E1227">
        <v>145.77000000000001</v>
      </c>
      <c r="F1227">
        <v>-0.01</v>
      </c>
    </row>
    <row r="1228" spans="1:6" x14ac:dyDescent="0.3">
      <c r="A1228" t="str">
        <f>HYPERLINK("https://us2.cloudbeds.com/connect/10074733072513#/reservations/30647167983825?display=YQ3G5RC5S&amp;reservation_id=30647167983825", "YQ3G5RC5S")</f>
        <v>YQ3G5RC5S</v>
      </c>
      <c r="B1228" t="s">
        <v>14</v>
      </c>
      <c r="C1228">
        <v>237.33</v>
      </c>
      <c r="D1228">
        <v>257.97000000000003</v>
      </c>
      <c r="E1228">
        <v>257.98</v>
      </c>
      <c r="F1228">
        <v>-0.01</v>
      </c>
    </row>
    <row r="1229" spans="1:6" x14ac:dyDescent="0.3">
      <c r="A1229" t="str">
        <f>HYPERLINK("https://us2.cloudbeds.com/connect/10074733072513#/reservations/30645989531843?display=YQ2J246PP&amp;reservation_id=30645989531843", "YQ2J246PP")</f>
        <v>YQ2J246PP</v>
      </c>
      <c r="B1229" t="s">
        <v>15</v>
      </c>
      <c r="C1229">
        <v>103.2</v>
      </c>
      <c r="D1229">
        <v>112.17</v>
      </c>
      <c r="E1229">
        <v>112.18</v>
      </c>
      <c r="F1229">
        <v>-0.01</v>
      </c>
    </row>
    <row r="1230" spans="1:6" x14ac:dyDescent="0.3">
      <c r="A1230" t="str">
        <f>HYPERLINK("https://us2.cloudbeds.com/connect/10074733072513#/reservations/30645914714285?display=YQ2H519Q1&amp;reservation_id=30645914714285", "YQ2H519Q1")</f>
        <v>YQ2H519Q1</v>
      </c>
      <c r="B1230" t="s">
        <v>16</v>
      </c>
      <c r="C1230">
        <v>103.2</v>
      </c>
      <c r="D1230">
        <v>112.17</v>
      </c>
      <c r="E1230">
        <v>112.18</v>
      </c>
      <c r="F1230">
        <v>-0.01</v>
      </c>
    </row>
    <row r="1231" spans="1:6" x14ac:dyDescent="0.3">
      <c r="A1231" t="str">
        <f>HYPERLINK("https://us2.cloudbeds.com/connect/10074733072513#/reservations/30645678256362?display=YQ2B3YGNE&amp;reservation_id=30645678256362", "YQ2B3YGNE")</f>
        <v>YQ2B3YGNE</v>
      </c>
      <c r="B1231" t="s">
        <v>12</v>
      </c>
      <c r="C1231">
        <v>144</v>
      </c>
      <c r="D1231">
        <v>156.52000000000001</v>
      </c>
      <c r="E1231">
        <v>156.53</v>
      </c>
      <c r="F1231">
        <v>-0.01</v>
      </c>
    </row>
    <row r="1232" spans="1:6" x14ac:dyDescent="0.3">
      <c r="A1232" t="str">
        <f>HYPERLINK("https://us2.cloudbeds.com/connect/10074733072513#/reservations/30645770268862?display=YQ2DF7TC0&amp;reservation_id=30645770268862", "YQ2DF7TC0")</f>
        <v>YQ2DF7TC0</v>
      </c>
      <c r="B1232" t="s">
        <v>17</v>
      </c>
      <c r="C1232">
        <v>250.2</v>
      </c>
      <c r="D1232">
        <v>271.95999999999998</v>
      </c>
      <c r="E1232">
        <v>271.97000000000003</v>
      </c>
      <c r="F1232">
        <v>-0.01</v>
      </c>
    </row>
    <row r="1233" spans="1:6" x14ac:dyDescent="0.3">
      <c r="A1233" t="str">
        <f>HYPERLINK("https://us2.cloudbeds.com/connect/10074733072513#/reservations/30645903990995?display=YQ2GSWTSS&amp;reservation_id=30645903990995", "YQ2GSWTSS")</f>
        <v>YQ2GSWTSS</v>
      </c>
      <c r="B1233" t="s">
        <v>17</v>
      </c>
      <c r="C1233">
        <v>250.2</v>
      </c>
      <c r="D1233">
        <v>271.95999999999998</v>
      </c>
      <c r="E1233">
        <v>271.97000000000003</v>
      </c>
      <c r="F1233">
        <v>-0.01</v>
      </c>
    </row>
    <row r="1234" spans="1:6" x14ac:dyDescent="0.3">
      <c r="A1234" t="str">
        <f>HYPERLINK("https://us2.cloudbeds.com/connect/10074733072513#/reservations/30650040037540?display=YQ5NXKGDY&amp;reservation_id=30650040037540", "YQ5NXKGDY")</f>
        <v>YQ5NXKGDY</v>
      </c>
      <c r="B1234" t="s">
        <v>18</v>
      </c>
      <c r="C1234">
        <v>134.1</v>
      </c>
      <c r="D1234">
        <v>145.76</v>
      </c>
      <c r="E1234">
        <v>145.77000000000001</v>
      </c>
      <c r="F1234">
        <v>-0.01</v>
      </c>
    </row>
    <row r="1235" spans="1:6" x14ac:dyDescent="0.3">
      <c r="A1235" t="str">
        <f>HYPERLINK("https://us2.cloudbeds.com/connect/10074733072513#/reservations/30646334890132?display=YQ2RTBA6F&amp;reservation_id=30646334890132", "YQ2RTBA6F")</f>
        <v>YQ2RTBA6F</v>
      </c>
      <c r="B1235" t="s">
        <v>19</v>
      </c>
      <c r="C1235">
        <v>87.2</v>
      </c>
      <c r="D1235">
        <v>94.78</v>
      </c>
      <c r="E1235">
        <v>94.79</v>
      </c>
      <c r="F1235">
        <v>-0.01</v>
      </c>
    </row>
    <row r="1236" spans="1:6" x14ac:dyDescent="0.3">
      <c r="A1236" t="str">
        <f>HYPERLINK("https://us2.cloudbeds.com/connect/10074733072513#/reservations/30645952360675?display=YQ2X3PSFZ&amp;reservation_id=30645952360675", "YQ2X3PSFZ")</f>
        <v>YQ2X3PSFZ</v>
      </c>
      <c r="B1236" t="s">
        <v>17</v>
      </c>
      <c r="C1236">
        <v>268.2</v>
      </c>
      <c r="D1236">
        <v>291.52</v>
      </c>
      <c r="E1236">
        <v>291.52999999999997</v>
      </c>
      <c r="F1236">
        <v>-0.01</v>
      </c>
    </row>
    <row r="1237" spans="1:6" x14ac:dyDescent="0.3">
      <c r="A1237" t="str">
        <f>HYPERLINK("https://us2.cloudbeds.com/connect/10074733072513#/reservations/30645804978371?display=YQ2EBGZ6A&amp;reservation_id=30645804978371", "YQ2EBGZ6A")</f>
        <v>YQ2EBGZ6A</v>
      </c>
      <c r="B1237" t="s">
        <v>6</v>
      </c>
      <c r="C1237">
        <v>87.2</v>
      </c>
      <c r="D1237">
        <v>94.78</v>
      </c>
      <c r="E1237">
        <v>94.79</v>
      </c>
      <c r="F1237">
        <v>-0.01</v>
      </c>
    </row>
    <row r="1238" spans="1:6" x14ac:dyDescent="0.3">
      <c r="A1238" t="str">
        <f>HYPERLINK("https://us2.cloudbeds.com/connect/10074733072513#/reservations/30645680083122?display=YQ2B56B5Q&amp;reservation_id=30645680083122", "YQ2B56B5Q")</f>
        <v>YQ2B56B5Q</v>
      </c>
      <c r="B1238" t="s">
        <v>12</v>
      </c>
      <c r="C1238">
        <v>268.2</v>
      </c>
      <c r="D1238">
        <v>291.52</v>
      </c>
      <c r="E1238">
        <v>291.52999999999997</v>
      </c>
      <c r="F1238">
        <v>-0.01</v>
      </c>
    </row>
    <row r="1239" spans="1:6" x14ac:dyDescent="0.3">
      <c r="A1239" t="str">
        <f>HYPERLINK("https://us2.cloudbeds.com/connect/10074733072513#/reservations/30646353502415?display=YQ2SC17C1&amp;reservation_id=30646353502415", "YQ2SC17C1")</f>
        <v>YQ2SC17C1</v>
      </c>
      <c r="B1239" t="s">
        <v>21</v>
      </c>
      <c r="C1239">
        <v>152.15</v>
      </c>
      <c r="D1239">
        <v>165.38</v>
      </c>
      <c r="E1239">
        <v>165.39</v>
      </c>
      <c r="F1239">
        <v>-0.01</v>
      </c>
    </row>
    <row r="1240" spans="1:6" x14ac:dyDescent="0.3">
      <c r="A1240" t="str">
        <f>HYPERLINK("https://us2.cloudbeds.com/connect/10074733072513#/reservations/30646632599704?display=YQ32GCH1Y&amp;reservation_id=30646632599704", "YQ32GCH1Y")</f>
        <v>YQ32GCH1Y</v>
      </c>
      <c r="B1240" t="s">
        <v>22</v>
      </c>
      <c r="C1240">
        <v>100.08</v>
      </c>
      <c r="D1240">
        <v>108.78</v>
      </c>
      <c r="E1240">
        <v>108.79</v>
      </c>
      <c r="F1240">
        <v>-0.01</v>
      </c>
    </row>
    <row r="1241" spans="1:6" x14ac:dyDescent="0.3">
      <c r="A1241" t="str">
        <f>HYPERLINK("https://us2.cloudbeds.com/connect/10074733072513#/reservations/30646162804883?display=YQ2NG7PRV&amp;reservation_id=30646162804883", "YQ2NG7PRV")</f>
        <v>YQ2NG7PRV</v>
      </c>
      <c r="B1241" t="s">
        <v>23</v>
      </c>
      <c r="C1241">
        <v>208</v>
      </c>
      <c r="D1241">
        <v>226.09</v>
      </c>
      <c r="E1241">
        <v>226.1</v>
      </c>
      <c r="F1241">
        <v>-0.01</v>
      </c>
    </row>
    <row r="1242" spans="1:6" x14ac:dyDescent="0.3">
      <c r="A1242" t="str">
        <f>HYPERLINK("https://us2.cloudbeds.com/connect/10074733072513#/reservations/30646370668739?display=YQ2SQGTZM&amp;reservation_id=30646370668739", "YQ2SQGTZM")</f>
        <v>YQ2SQGTZM</v>
      </c>
      <c r="B1242" t="s">
        <v>21</v>
      </c>
      <c r="C1242">
        <v>127.2</v>
      </c>
      <c r="D1242">
        <v>138.26</v>
      </c>
      <c r="E1242">
        <v>138.27000000000001</v>
      </c>
      <c r="F1242">
        <v>-0.01</v>
      </c>
    </row>
    <row r="1243" spans="1:6" x14ac:dyDescent="0.3">
      <c r="A1243" t="str">
        <f>HYPERLINK("https://us2.cloudbeds.com/connect/10074733072513#/reservations/30646130335906?display=YQ2MYS9EX&amp;reservation_id=30646130335906", "YQ2MYS9EX")</f>
        <v>YQ2MYS9EX</v>
      </c>
      <c r="B1243" t="s">
        <v>23</v>
      </c>
      <c r="C1243">
        <v>250.77</v>
      </c>
      <c r="D1243">
        <v>272.58</v>
      </c>
      <c r="E1243">
        <v>272.58999999999997</v>
      </c>
      <c r="F1243">
        <v>-0.01</v>
      </c>
    </row>
    <row r="1244" spans="1:6" x14ac:dyDescent="0.3">
      <c r="A1244" t="str">
        <f>HYPERLINK("https://us2.cloudbeds.com/connect/10074733072513#/reservations/30645986488477?display=YQ2XWXH4X&amp;reservation_id=30645986488477", "YQ2XWXH4X")</f>
        <v>YQ2XWXH4X</v>
      </c>
      <c r="B1244" t="s">
        <v>24</v>
      </c>
      <c r="C1244">
        <v>103.2</v>
      </c>
      <c r="D1244">
        <v>112.17</v>
      </c>
      <c r="E1244">
        <v>112.18</v>
      </c>
      <c r="F1244">
        <v>-0.01</v>
      </c>
    </row>
    <row r="1245" spans="1:6" x14ac:dyDescent="0.3">
      <c r="A1245" t="str">
        <f>HYPERLINK("https://us2.cloudbeds.com/connect/10074733072513#/reservations/30646351057046?display=YQ2S9W5RV&amp;reservation_id=30646351057046", "YQ2S9W5RV")</f>
        <v>YQ2S9W5RV</v>
      </c>
      <c r="B1245" t="s">
        <v>19</v>
      </c>
      <c r="C1245">
        <v>250.2</v>
      </c>
      <c r="D1245">
        <v>271.95999999999998</v>
      </c>
      <c r="E1245">
        <v>271.97000000000003</v>
      </c>
      <c r="F1245">
        <v>-0.01</v>
      </c>
    </row>
    <row r="1246" spans="1:6" x14ac:dyDescent="0.3">
      <c r="A1246" t="str">
        <f>HYPERLINK("https://us2.cloudbeds.com/connect/10074733072513#/reservations/30646325305511?display=YQ2RY8JTD&amp;reservation_id=30646325305511", "YQ2RY8JTD")</f>
        <v>YQ2RY8JTD</v>
      </c>
      <c r="B1246" t="s">
        <v>16</v>
      </c>
      <c r="C1246">
        <v>76.16</v>
      </c>
      <c r="D1246">
        <v>82.78</v>
      </c>
      <c r="E1246">
        <v>82.79</v>
      </c>
      <c r="F1246">
        <v>-0.01</v>
      </c>
    </row>
    <row r="1247" spans="1:6" x14ac:dyDescent="0.3">
      <c r="A1247" t="str">
        <f>HYPERLINK("https://us2.cloudbeds.com/connect/10074733072513#/reservations/30646169088249?display=YQ2NYHKMW&amp;reservation_id=30646169088249", "YQ2NYHKMW")</f>
        <v>YQ2NYHKMW</v>
      </c>
      <c r="B1247" t="s">
        <v>24</v>
      </c>
      <c r="C1247">
        <v>76.16</v>
      </c>
      <c r="D1247">
        <v>82.78</v>
      </c>
      <c r="E1247">
        <v>82.79</v>
      </c>
      <c r="F1247">
        <v>-0.01</v>
      </c>
    </row>
    <row r="1248" spans="1:6" x14ac:dyDescent="0.3">
      <c r="A1248" t="str">
        <f>HYPERLINK("https://us2.cloudbeds.com/connect/10074733072513#/reservations/30648381890698?display=YQ4E6E3SY&amp;reservation_id=30648381890698", "YQ4E6E3SY")</f>
        <v>YQ4E6E3SY</v>
      </c>
      <c r="B1248" t="s">
        <v>25</v>
      </c>
      <c r="C1248">
        <v>100.08</v>
      </c>
      <c r="D1248">
        <v>108.78</v>
      </c>
      <c r="E1248">
        <v>108.79</v>
      </c>
      <c r="F1248">
        <v>-0.01</v>
      </c>
    </row>
    <row r="1249" spans="1:6" x14ac:dyDescent="0.3">
      <c r="A1249" t="str">
        <f>HYPERLINK("https://us2.cloudbeds.com/connect/10074733072513#/reservations/30647552942231?display=YQ3Q0EDB4&amp;reservation_id=30647552942231", "YQ3Q0EDB4")</f>
        <v>YQ3Q0EDB4</v>
      </c>
      <c r="B1249" t="s">
        <v>26</v>
      </c>
      <c r="C1249">
        <v>196.2</v>
      </c>
      <c r="D1249">
        <v>213.26</v>
      </c>
      <c r="E1249">
        <v>213.27</v>
      </c>
      <c r="F1249">
        <v>-0.01</v>
      </c>
    </row>
    <row r="1250" spans="1:6" x14ac:dyDescent="0.3">
      <c r="A1250" t="str">
        <f>HYPERLINK("https://us2.cloudbeds.com/connect/10074733072513#/reservations/30645727944928?display=YQ2CCX5DX&amp;reservation_id=30645727944928", "YQ2CCX5DX")</f>
        <v>YQ2CCX5DX</v>
      </c>
      <c r="B1250" t="s">
        <v>17</v>
      </c>
      <c r="C1250">
        <v>250.2</v>
      </c>
      <c r="D1250">
        <v>271.95999999999998</v>
      </c>
      <c r="E1250">
        <v>271.97000000000003</v>
      </c>
      <c r="F1250">
        <v>-0.01</v>
      </c>
    </row>
    <row r="1251" spans="1:6" x14ac:dyDescent="0.3">
      <c r="A1251" t="str">
        <f>HYPERLINK("https://us2.cloudbeds.com/connect/10074733072513#/reservations/30646001959114?display=YQ2JCK0DZ&amp;reservation_id=30646001959114", "YQ2JCK0DZ")</f>
        <v>YQ2JCK0DZ</v>
      </c>
      <c r="B1251" t="s">
        <v>24</v>
      </c>
      <c r="C1251">
        <v>258</v>
      </c>
      <c r="D1251">
        <v>280.44</v>
      </c>
      <c r="E1251">
        <v>280.45</v>
      </c>
      <c r="F1251">
        <v>-0.01</v>
      </c>
    </row>
    <row r="1252" spans="1:6" x14ac:dyDescent="0.3">
      <c r="A1252" t="str">
        <f>HYPERLINK("https://us2.cloudbeds.com/connect/10074733072513#/reservations/30645897068683?display=YQ2GN599R&amp;reservation_id=30645897068683", "YQ2GN599R")</f>
        <v>YQ2GN599R</v>
      </c>
      <c r="B1252" t="s">
        <v>17</v>
      </c>
      <c r="C1252">
        <v>264.2</v>
      </c>
      <c r="D1252">
        <v>287.18</v>
      </c>
      <c r="E1252">
        <v>287.19</v>
      </c>
      <c r="F1252">
        <v>-0.01</v>
      </c>
    </row>
    <row r="1253" spans="1:6" x14ac:dyDescent="0.3">
      <c r="A1253" t="str">
        <f>HYPERLINK("https://us2.cloudbeds.com/connect/10074733072513#/reservations/30646332891389?display=YQ2RRYMQG&amp;reservation_id=30646332891389", "YQ2RRYMQG")</f>
        <v>YQ2RRYMQG</v>
      </c>
      <c r="B1253" t="s">
        <v>16</v>
      </c>
      <c r="C1253">
        <v>76.16</v>
      </c>
      <c r="D1253">
        <v>82.78</v>
      </c>
      <c r="E1253">
        <v>82.79</v>
      </c>
      <c r="F1253">
        <v>-0.01</v>
      </c>
    </row>
    <row r="1254" spans="1:6" x14ac:dyDescent="0.3">
      <c r="A1254" t="str">
        <f>HYPERLINK("https://us2.cloudbeds.com/connect/10074733072513#/reservations/30646154563798?display=YQ2N99F93&amp;reservation_id=30646154563798", "YQ2N99F93")</f>
        <v>YQ2N99F93</v>
      </c>
      <c r="B1254" t="s">
        <v>7</v>
      </c>
      <c r="C1254">
        <v>100.08</v>
      </c>
      <c r="D1254">
        <v>108.78</v>
      </c>
      <c r="E1254">
        <v>108.79</v>
      </c>
      <c r="F1254">
        <v>-0.01</v>
      </c>
    </row>
    <row r="1255" spans="1:6" x14ac:dyDescent="0.3">
      <c r="A1255" t="str">
        <f>HYPERLINK("https://us2.cloudbeds.com/connect/10074733072513#/reservations/30645971251337?display=YQ2XJNH91&amp;reservation_id=30645971251337", "YQ2XJNH91")</f>
        <v>YQ2XJNH91</v>
      </c>
      <c r="B1255" t="s">
        <v>17</v>
      </c>
      <c r="C1255">
        <v>100.08</v>
      </c>
      <c r="D1255">
        <v>108.78</v>
      </c>
      <c r="E1255">
        <v>108.79</v>
      </c>
      <c r="F1255">
        <v>-0.01</v>
      </c>
    </row>
    <row r="1256" spans="1:6" x14ac:dyDescent="0.3">
      <c r="A1256" t="str">
        <f>HYPERLINK("https://us2.cloudbeds.com/connect/10074733072513#/reservations/30645969703155?display=YQ2XXDEKE&amp;reservation_id=30645969703155", "YQ2XXDEKE")</f>
        <v>YQ2XXDEKE</v>
      </c>
      <c r="B1256" t="s">
        <v>17</v>
      </c>
      <c r="C1256">
        <v>100.08</v>
      </c>
      <c r="D1256">
        <v>108.78</v>
      </c>
      <c r="E1256">
        <v>108.79</v>
      </c>
      <c r="F1256">
        <v>-0.01</v>
      </c>
    </row>
    <row r="1257" spans="1:6" x14ac:dyDescent="0.3">
      <c r="A1257" t="str">
        <f>HYPERLINK("https://us2.cloudbeds.com/connect/10074733072513#/reservations/30645959159999?display=YQ2X9H23S&amp;reservation_id=30645959159999", "YQ2X9H23S")</f>
        <v>YQ2X9H23S</v>
      </c>
      <c r="B1257" t="s">
        <v>27</v>
      </c>
      <c r="C1257">
        <v>200.16</v>
      </c>
      <c r="D1257">
        <v>217.56</v>
      </c>
      <c r="E1257">
        <v>217.57</v>
      </c>
      <c r="F1257">
        <v>-0.01</v>
      </c>
    </row>
    <row r="1258" spans="1:6" x14ac:dyDescent="0.3">
      <c r="A1258" t="str">
        <f>HYPERLINK("https://us2.cloudbeds.com/connect/10074733072513#/reservations/30646383403260?display=YQ2T488H7&amp;reservation_id=30646383403260", "YQ2T488H7")</f>
        <v>YQ2T488H7</v>
      </c>
      <c r="B1258" t="s">
        <v>21</v>
      </c>
      <c r="C1258">
        <v>127.2</v>
      </c>
      <c r="D1258">
        <v>138.26</v>
      </c>
      <c r="E1258">
        <v>138.27000000000001</v>
      </c>
      <c r="F1258">
        <v>-0.01</v>
      </c>
    </row>
    <row r="1259" spans="1:6" x14ac:dyDescent="0.3">
      <c r="A1259" t="str">
        <f>HYPERLINK("https://us2.cloudbeds.com/connect/10074733072513#/reservations/30646334886043?display=YQ2RTB6EX&amp;reservation_id=30646334886043", "YQ2RTB6EX")</f>
        <v>YQ2RTB6EX</v>
      </c>
      <c r="B1259" t="s">
        <v>16</v>
      </c>
      <c r="C1259">
        <v>103.2</v>
      </c>
      <c r="D1259">
        <v>112.17</v>
      </c>
      <c r="E1259">
        <v>112.18</v>
      </c>
      <c r="F1259">
        <v>-0.01</v>
      </c>
    </row>
    <row r="1260" spans="1:6" x14ac:dyDescent="0.3">
      <c r="A1260" t="str">
        <f>HYPERLINK("https://us2.cloudbeds.com/connect/10074733072513#/reservations/30646204903630?display=YQ2ZXZ80X&amp;reservation_id=30646204903630", "YQ2ZXZ80X")</f>
        <v>YQ2ZXZ80X</v>
      </c>
      <c r="B1260" t="s">
        <v>28</v>
      </c>
      <c r="C1260">
        <v>250.2</v>
      </c>
      <c r="D1260">
        <v>271.95999999999998</v>
      </c>
      <c r="E1260">
        <v>271.97000000000003</v>
      </c>
      <c r="F1260">
        <v>-0.01</v>
      </c>
    </row>
    <row r="1261" spans="1:6" x14ac:dyDescent="0.3">
      <c r="A1261" t="str">
        <f>HYPERLINK("https://us2.cloudbeds.com/connect/10074733072513#/reservations/30646383403213?display=YQ2T488FR&amp;reservation_id=30646383403213", "YQ2T488FR")</f>
        <v>YQ2T488FR</v>
      </c>
      <c r="B1261" t="s">
        <v>29</v>
      </c>
      <c r="C1261">
        <v>76.16</v>
      </c>
      <c r="D1261">
        <v>82.78</v>
      </c>
      <c r="E1261">
        <v>82.79</v>
      </c>
      <c r="F1261">
        <v>-0.01</v>
      </c>
    </row>
    <row r="1262" spans="1:6" x14ac:dyDescent="0.3">
      <c r="A1262" t="str">
        <f>HYPERLINK("https://us2.cloudbeds.com/connect/10074733072513#/reservations/30648265396379?display=YQ4B76G6P&amp;reservation_id=30648265396379", "YQ4B76G6P")</f>
        <v>YQ4B76G6P</v>
      </c>
      <c r="B1262" t="s">
        <v>30</v>
      </c>
      <c r="C1262">
        <v>268.2</v>
      </c>
      <c r="D1262">
        <v>291.52</v>
      </c>
      <c r="E1262">
        <v>291.52999999999997</v>
      </c>
      <c r="F1262">
        <v>-0.01</v>
      </c>
    </row>
    <row r="1263" spans="1:6" x14ac:dyDescent="0.3">
      <c r="A1263" t="str">
        <f>HYPERLINK("https://us2.cloudbeds.com/connect/10074733072513#/reservations/30648347095258?display=YQ4DA2T4C&amp;reservation_id=30648347095258", "YQ4DA2T4C")</f>
        <v>YQ4DA2T4C</v>
      </c>
      <c r="B1263" t="s">
        <v>30</v>
      </c>
      <c r="C1263">
        <v>384.3</v>
      </c>
      <c r="D1263">
        <v>417.72</v>
      </c>
      <c r="E1263">
        <v>417.73</v>
      </c>
      <c r="F1263">
        <v>-0.01</v>
      </c>
    </row>
    <row r="1264" spans="1:6" x14ac:dyDescent="0.3">
      <c r="A1264" t="str">
        <f>HYPERLINK("https://us2.cloudbeds.com/connect/10074733072513#/reservations/30646107885738?display=YQ2M2UJ1D&amp;reservation_id=30646107885738", "YQ2M2UJ1D")</f>
        <v>YQ2M2UJ1D</v>
      </c>
      <c r="B1264" t="s">
        <v>13</v>
      </c>
      <c r="C1264">
        <v>250.2</v>
      </c>
      <c r="D1264">
        <v>271.95999999999998</v>
      </c>
      <c r="E1264">
        <v>271.97000000000003</v>
      </c>
      <c r="F1264">
        <v>-0.01</v>
      </c>
    </row>
    <row r="1265" spans="1:6" x14ac:dyDescent="0.3">
      <c r="A1265" t="str">
        <f>HYPERLINK("https://us2.cloudbeds.com/connect/10074733072513#/reservations/30645805244563?display=YQ2EBZ4KN&amp;reservation_id=30645805244563", "YQ2EBZ4KN")</f>
        <v>YQ2EBZ4KN</v>
      </c>
      <c r="B1265" t="s">
        <v>31</v>
      </c>
      <c r="C1265">
        <v>76.16</v>
      </c>
      <c r="D1265">
        <v>82.78</v>
      </c>
      <c r="E1265">
        <v>82.79</v>
      </c>
      <c r="F1265">
        <v>-0.01</v>
      </c>
    </row>
    <row r="1266" spans="1:6" x14ac:dyDescent="0.3">
      <c r="A1266" t="str">
        <f>HYPERLINK("https://us2.cloudbeds.com/connect/10074733072513#/reservations/30646902722696?display=YQ39D52SS&amp;reservation_id=30646902722696", "YQ39D52SS")</f>
        <v>YQ39D52SS</v>
      </c>
      <c r="B1266" t="s">
        <v>10</v>
      </c>
      <c r="C1266">
        <v>152.15</v>
      </c>
      <c r="D1266">
        <v>165.38</v>
      </c>
      <c r="E1266">
        <v>165.39</v>
      </c>
      <c r="F1266">
        <v>-0.01</v>
      </c>
    </row>
    <row r="1267" spans="1:6" x14ac:dyDescent="0.3">
      <c r="A1267" t="str">
        <f>HYPERLINK("https://us2.cloudbeds.com/connect/10074733072513#/reservations/30645862408342?display=YQ2FQUQKF&amp;reservation_id=30645862408342", "YQ2FQUQKF")</f>
        <v>YQ2FQUQKF</v>
      </c>
      <c r="B1267" t="s">
        <v>31</v>
      </c>
      <c r="C1267">
        <v>103.2</v>
      </c>
      <c r="D1267">
        <v>112.17</v>
      </c>
      <c r="E1267">
        <v>112.18</v>
      </c>
      <c r="F1267">
        <v>-0.01</v>
      </c>
    </row>
    <row r="1268" spans="1:6" x14ac:dyDescent="0.3">
      <c r="A1268" t="str">
        <f>HYPERLINK("https://us2.cloudbeds.com/connect/10074733072513#/reservations/30647684862151?display=YQ3TCM8UF&amp;reservation_id=30647684862151", "YQ3TCM8UF")</f>
        <v>YQ3TCM8UF</v>
      </c>
      <c r="B1268" t="s">
        <v>32</v>
      </c>
      <c r="C1268">
        <v>103.2</v>
      </c>
      <c r="D1268">
        <v>112.17</v>
      </c>
      <c r="E1268">
        <v>112.18</v>
      </c>
      <c r="F1268">
        <v>-0.01</v>
      </c>
    </row>
    <row r="1269" spans="1:6" x14ac:dyDescent="0.3">
      <c r="A1269" t="str">
        <f>HYPERLINK("https://us2.cloudbeds.com/connect/10074733072513#/reservations/30646150336720?display=YQ2N5NRYR&amp;reservation_id=30646150336720", "YQ2N5NRYR")</f>
        <v>YQ2N5NRYR</v>
      </c>
      <c r="B1269" t="s">
        <v>33</v>
      </c>
      <c r="C1269">
        <v>103.2</v>
      </c>
      <c r="D1269">
        <v>112.17</v>
      </c>
      <c r="E1269">
        <v>112.18</v>
      </c>
      <c r="F1269">
        <v>-0.01</v>
      </c>
    </row>
    <row r="1270" spans="1:6" x14ac:dyDescent="0.3">
      <c r="A1270" t="str">
        <f>HYPERLINK("https://us2.cloudbeds.com/connect/10074733072513#/reservations/30648394461333?display=YQ4EH0U4U&amp;reservation_id=30648394461333", "YQ4EH0U4U")</f>
        <v>YQ4EH0U4U</v>
      </c>
      <c r="B1270" t="s">
        <v>25</v>
      </c>
      <c r="C1270">
        <v>76.16</v>
      </c>
      <c r="D1270">
        <v>82.78</v>
      </c>
      <c r="E1270">
        <v>82.79</v>
      </c>
      <c r="F1270">
        <v>-0.01</v>
      </c>
    </row>
    <row r="1271" spans="1:6" x14ac:dyDescent="0.3">
      <c r="A1271" t="str">
        <f>HYPERLINK("https://us2.cloudbeds.com/connect/10074733072513#/reservations/30646109298906?display=YQ2M43TNN&amp;reservation_id=30646109298906", "YQ2M43TNN")</f>
        <v>YQ2M43TNN</v>
      </c>
      <c r="B1271" t="s">
        <v>34</v>
      </c>
      <c r="C1271">
        <v>76.16</v>
      </c>
      <c r="D1271">
        <v>82.78</v>
      </c>
      <c r="E1271">
        <v>82.79</v>
      </c>
      <c r="F1271">
        <v>-0.01</v>
      </c>
    </row>
    <row r="1272" spans="1:6" x14ac:dyDescent="0.3">
      <c r="A1272" t="str">
        <f>HYPERLINK("https://us2.cloudbeds.com/connect/10074733072513#/reservations/30646949126291?display=YQ3AJ9B2C&amp;reservation_id=30646949126291", "YQ3AJ9B2C")</f>
        <v>YQ3AJ9B2C</v>
      </c>
      <c r="B1272" t="s">
        <v>36</v>
      </c>
      <c r="C1272">
        <v>127.2</v>
      </c>
      <c r="D1272">
        <v>138.26</v>
      </c>
      <c r="E1272">
        <v>138.27000000000001</v>
      </c>
      <c r="F1272">
        <v>-0.01</v>
      </c>
    </row>
    <row r="1273" spans="1:6" x14ac:dyDescent="0.3">
      <c r="A1273" t="str">
        <f>HYPERLINK("https://us2.cloudbeds.com/connect/10074733072513#/reservations/30647504355540?display=YQ3ZPFDF4&amp;reservation_id=30647504355540", "YQ3ZPFDF4")</f>
        <v>YQ3ZPFDF4</v>
      </c>
      <c r="B1273" t="s">
        <v>37</v>
      </c>
      <c r="C1273">
        <v>268.2</v>
      </c>
      <c r="D1273">
        <v>291.52</v>
      </c>
      <c r="E1273">
        <v>291.52999999999997</v>
      </c>
      <c r="F1273">
        <v>-0.01</v>
      </c>
    </row>
    <row r="1274" spans="1:6" x14ac:dyDescent="0.3">
      <c r="A1274" t="str">
        <f>HYPERLINK("https://us2.cloudbeds.com/connect/10074733072513#/reservations/30646308430033?display=YQ2R710J9&amp;reservation_id=30646308430033", "YQ2R710J9")</f>
        <v>YQ2R710J9</v>
      </c>
      <c r="B1274" t="s">
        <v>38</v>
      </c>
      <c r="C1274">
        <v>294.3</v>
      </c>
      <c r="D1274">
        <v>319.89</v>
      </c>
      <c r="E1274">
        <v>319.89999999999998</v>
      </c>
      <c r="F1274">
        <v>-0.01</v>
      </c>
    </row>
    <row r="1275" spans="1:6" x14ac:dyDescent="0.3">
      <c r="A1275" t="str">
        <f>HYPERLINK("https://us2.cloudbeds.com/connect/10074733072513#/reservations/30646286303363?display=YQ2QYCA84&amp;reservation_id=30646286303363", "YQ2QYCA84")</f>
        <v>YQ2QYCA84</v>
      </c>
      <c r="B1275" t="s">
        <v>22</v>
      </c>
      <c r="C1275">
        <v>196.2</v>
      </c>
      <c r="D1275">
        <v>213.26</v>
      </c>
      <c r="E1275">
        <v>213.27</v>
      </c>
      <c r="F1275">
        <v>-0.01</v>
      </c>
    </row>
    <row r="1276" spans="1:6" x14ac:dyDescent="0.3">
      <c r="A1276" t="str">
        <f>HYPERLINK("https://us2.cloudbeds.com/connect/10074733072513#/reservations/30646292353255?display=YQ2QQFYN6&amp;reservation_id=30646292353255", "YQ2QQFYN6")</f>
        <v>YQ2QQFYN6</v>
      </c>
      <c r="B1276" t="s">
        <v>22</v>
      </c>
      <c r="C1276">
        <v>196.2</v>
      </c>
      <c r="D1276">
        <v>213.26</v>
      </c>
      <c r="E1276">
        <v>213.27</v>
      </c>
      <c r="F1276">
        <v>-0.01</v>
      </c>
    </row>
    <row r="1277" spans="1:6" x14ac:dyDescent="0.3">
      <c r="A1277" t="str">
        <f>HYPERLINK("https://us2.cloudbeds.com/connect/10074733072513#/reservations/30646272827562?display=YQ2QA0APG&amp;reservation_id=30646272827562", "YQ2QA0APG")</f>
        <v>YQ2QA0APG</v>
      </c>
      <c r="B1277" t="s">
        <v>39</v>
      </c>
      <c r="C1277">
        <v>76.16</v>
      </c>
      <c r="D1277">
        <v>82.78</v>
      </c>
      <c r="E1277">
        <v>82.79</v>
      </c>
      <c r="F1277">
        <v>-0.01</v>
      </c>
    </row>
    <row r="1278" spans="1:6" x14ac:dyDescent="0.3">
      <c r="A1278" t="str">
        <f>HYPERLINK("https://us2.cloudbeds.com/connect/10074733072513#/reservations/30647310012569?display=YQ3JQJHE7&amp;reservation_id=30647310012569", "YQ3JQJHE7")</f>
        <v>YQ3JQJHE7</v>
      </c>
      <c r="B1278" t="s">
        <v>36</v>
      </c>
      <c r="C1278">
        <v>100.08</v>
      </c>
      <c r="D1278">
        <v>108.78</v>
      </c>
      <c r="E1278">
        <v>108.79</v>
      </c>
      <c r="F1278">
        <v>-0.01</v>
      </c>
    </row>
    <row r="1279" spans="1:6" x14ac:dyDescent="0.3">
      <c r="A1279" t="str">
        <f>HYPERLINK("https://us2.cloudbeds.com/connect/10074733072513#/reservations/30646286835854?display=YQ2QYR477&amp;reservation_id=30646286835854", "YQ2QYR477")</f>
        <v>YQ2QYR477</v>
      </c>
      <c r="B1279" t="s">
        <v>39</v>
      </c>
      <c r="C1279">
        <v>76.16</v>
      </c>
      <c r="D1279">
        <v>82.78</v>
      </c>
      <c r="E1279">
        <v>82.79</v>
      </c>
      <c r="F1279">
        <v>-0.01</v>
      </c>
    </row>
    <row r="1280" spans="1:6" x14ac:dyDescent="0.3">
      <c r="A1280" t="str">
        <f>HYPERLINK("https://us2.cloudbeds.com/connect/10074733072513#/reservations/30646019768476?display=YQ2JRKJ9B&amp;reservation_id=30646019768476", "YQ2JRKJ9B")</f>
        <v>YQ2JRKJ9B</v>
      </c>
      <c r="B1280" t="s">
        <v>22</v>
      </c>
      <c r="C1280">
        <v>76.16</v>
      </c>
      <c r="D1280">
        <v>82.78</v>
      </c>
      <c r="E1280">
        <v>82.79</v>
      </c>
      <c r="F1280">
        <v>-0.01</v>
      </c>
    </row>
    <row r="1281" spans="1:6" x14ac:dyDescent="0.3">
      <c r="A1281" t="str">
        <f>HYPERLINK("https://us2.cloudbeds.com/connect/10074733072513#/reservations/30646034555017?display=YQ2K731CC&amp;reservation_id=30646034555017", "YQ2K731CC")</f>
        <v>YQ2K731CC</v>
      </c>
      <c r="B1281" t="s">
        <v>22</v>
      </c>
      <c r="C1281">
        <v>76.16</v>
      </c>
      <c r="D1281">
        <v>82.78</v>
      </c>
      <c r="E1281">
        <v>82.79</v>
      </c>
      <c r="F1281">
        <v>-0.01</v>
      </c>
    </row>
    <row r="1282" spans="1:6" x14ac:dyDescent="0.3">
      <c r="A1282" t="str">
        <f>HYPERLINK("https://us2.cloudbeds.com/connect/10074733072513#/reservations/30646058946764?display=YQ2KRYPM7&amp;reservation_id=30646058946764", "YQ2KRYPM7")</f>
        <v>YQ2KRYPM7</v>
      </c>
      <c r="B1282" t="s">
        <v>22</v>
      </c>
      <c r="C1282">
        <v>134.1</v>
      </c>
      <c r="D1282">
        <v>145.76</v>
      </c>
      <c r="E1282">
        <v>145.77000000000001</v>
      </c>
      <c r="F1282">
        <v>-0.01</v>
      </c>
    </row>
    <row r="1283" spans="1:6" x14ac:dyDescent="0.3">
      <c r="A1283" t="str">
        <f>HYPERLINK("https://us2.cloudbeds.com/connect/10074733072513#/reservations/30646296256643?display=YQ2QTP92M&amp;reservation_id=30646296256643", "YQ2QTP92M")</f>
        <v>YQ2QTP92M</v>
      </c>
      <c r="B1283" t="s">
        <v>40</v>
      </c>
      <c r="C1283">
        <v>196.2</v>
      </c>
      <c r="D1283">
        <v>213.26</v>
      </c>
      <c r="E1283">
        <v>213.27</v>
      </c>
      <c r="F1283">
        <v>-0.01</v>
      </c>
    </row>
    <row r="1284" spans="1:6" x14ac:dyDescent="0.3">
      <c r="A1284" t="str">
        <f>HYPERLINK("https://us2.cloudbeds.com/connect/10074733072513#/reservations/30646602866844?display=YQ31ZA54T&amp;reservation_id=30646602866844", "YQ31ZA54T")</f>
        <v>YQ31ZA54T</v>
      </c>
      <c r="B1284" t="s">
        <v>22</v>
      </c>
      <c r="C1284">
        <v>103.2</v>
      </c>
      <c r="D1284">
        <v>112.17</v>
      </c>
      <c r="E1284">
        <v>112.18</v>
      </c>
      <c r="F1284">
        <v>-0.01</v>
      </c>
    </row>
    <row r="1285" spans="1:6" x14ac:dyDescent="0.3">
      <c r="A1285" t="str">
        <f>HYPERLINK("https://us2.cloudbeds.com/connect/10074733072513#/reservations/30647203233938?display=YQ3H2X8E4&amp;reservation_id=30647203233938", "YQ3H2X8E4")</f>
        <v>YQ3H2X8E4</v>
      </c>
      <c r="B1285" t="s">
        <v>41</v>
      </c>
      <c r="C1285">
        <v>76.16</v>
      </c>
      <c r="D1285">
        <v>82.78</v>
      </c>
      <c r="E1285">
        <v>82.79</v>
      </c>
      <c r="F1285">
        <v>-0.01</v>
      </c>
    </row>
    <row r="1286" spans="1:6" x14ac:dyDescent="0.3">
      <c r="A1286" t="str">
        <f>HYPERLINK("https://us2.cloudbeds.com/connect/10074733072513#/reservations/30646403719406?display=YQ2TYCJA1&amp;reservation_id=30646403719406", "YQ2TYCJA1")</f>
        <v>YQ2TYCJA1</v>
      </c>
      <c r="B1286" t="s">
        <v>21</v>
      </c>
      <c r="C1286">
        <v>250.2</v>
      </c>
      <c r="D1286">
        <v>271.95999999999998</v>
      </c>
      <c r="E1286">
        <v>271.97000000000003</v>
      </c>
      <c r="F1286">
        <v>-0.01</v>
      </c>
    </row>
    <row r="1287" spans="1:6" x14ac:dyDescent="0.3">
      <c r="A1287" t="str">
        <f>HYPERLINK("https://us2.cloudbeds.com/connect/10074733072513#/reservations/30646906634456?display=YQ39GEUV1&amp;reservation_id=30646906634456", "YQ39GEUV1")</f>
        <v>YQ39GEUV1</v>
      </c>
      <c r="B1287" t="s">
        <v>10</v>
      </c>
      <c r="C1287">
        <v>118.15</v>
      </c>
      <c r="D1287">
        <v>128.41999999999999</v>
      </c>
      <c r="E1287">
        <v>128.43</v>
      </c>
      <c r="F1287">
        <v>-0.01</v>
      </c>
    </row>
    <row r="1288" spans="1:6" x14ac:dyDescent="0.3">
      <c r="A1288" t="str">
        <f>HYPERLINK("https://us2.cloudbeds.com/connect/10074733072513#/reservations/30646382428411?display=YQ2T3E4BC&amp;reservation_id=30646382428411", "YQ2T3E4BC")</f>
        <v>YQ2T3E4BC</v>
      </c>
      <c r="B1288" t="s">
        <v>40</v>
      </c>
      <c r="C1288">
        <v>76.16</v>
      </c>
      <c r="D1288">
        <v>82.78</v>
      </c>
      <c r="E1288">
        <v>82.79</v>
      </c>
      <c r="F1288">
        <v>-0.01</v>
      </c>
    </row>
    <row r="1289" spans="1:6" x14ac:dyDescent="0.3">
      <c r="A1289" t="str">
        <f>HYPERLINK("https://us2.cloudbeds.com/connect/10074733072513#/reservations/30646519607522?display=YQ2WK3BA4&amp;reservation_id=30646519607522", "YQ2WK3BA4")</f>
        <v>YQ2WK3BA4</v>
      </c>
      <c r="B1289" t="s">
        <v>42</v>
      </c>
      <c r="C1289">
        <v>178.76</v>
      </c>
      <c r="D1289">
        <v>194.3</v>
      </c>
      <c r="E1289">
        <v>194.31</v>
      </c>
      <c r="F1289">
        <v>-0.01</v>
      </c>
    </row>
    <row r="1290" spans="1:6" x14ac:dyDescent="0.3">
      <c r="A1290" t="str">
        <f>HYPERLINK("https://us2.cloudbeds.com/connect/10074733072513#/reservations/30646277124245?display=YQ2QDKTA1&amp;reservation_id=30646277124245", "YQ2QDKTA1")</f>
        <v>YQ2QDKTA1</v>
      </c>
      <c r="B1290" t="s">
        <v>22</v>
      </c>
      <c r="C1290">
        <v>134.1</v>
      </c>
      <c r="D1290">
        <v>145.76</v>
      </c>
      <c r="E1290">
        <v>145.77000000000001</v>
      </c>
      <c r="F1290">
        <v>-0.01</v>
      </c>
    </row>
    <row r="1291" spans="1:6" x14ac:dyDescent="0.3">
      <c r="A1291" t="str">
        <f>HYPERLINK("https://us2.cloudbeds.com/connect/10074733072513#/reservations/30647739551939?display=YQ3UPQ33P&amp;reservation_id=30647739551939", "YQ3UPQ33P")</f>
        <v>YQ3UPQ33P</v>
      </c>
      <c r="B1291" t="s">
        <v>32</v>
      </c>
      <c r="C1291">
        <v>87.2</v>
      </c>
      <c r="D1291">
        <v>94.78</v>
      </c>
      <c r="E1291">
        <v>94.79</v>
      </c>
      <c r="F1291">
        <v>-0.01</v>
      </c>
    </row>
    <row r="1292" spans="1:6" x14ac:dyDescent="0.3">
      <c r="A1292" t="str">
        <f>HYPERLINK("https://us2.cloudbeds.com/connect/10074733072513#/reservations/30647103951074?display=YQ3EHRXJG&amp;reservation_id=30647103951074", "YQ3EHRXJG")</f>
        <v>YQ3EHRXJG</v>
      </c>
      <c r="B1292" t="s">
        <v>43</v>
      </c>
      <c r="C1292">
        <v>196.2</v>
      </c>
      <c r="D1292">
        <v>213.26</v>
      </c>
      <c r="E1292">
        <v>213.27</v>
      </c>
      <c r="F1292">
        <v>-0.01</v>
      </c>
    </row>
    <row r="1293" spans="1:6" x14ac:dyDescent="0.3">
      <c r="A1293" t="str">
        <f>HYPERLINK("https://us2.cloudbeds.com/connect/10074733072513#/reservations/30648063803535?display=YQ4626SQN&amp;reservation_id=30648063803535", "YQ4626SQN")</f>
        <v>YQ4626SQN</v>
      </c>
      <c r="B1293" t="s">
        <v>44</v>
      </c>
      <c r="C1293">
        <v>348</v>
      </c>
      <c r="D1293">
        <v>378.27</v>
      </c>
      <c r="E1293">
        <v>378.28</v>
      </c>
      <c r="F1293">
        <v>-0.01</v>
      </c>
    </row>
    <row r="1294" spans="1:6" x14ac:dyDescent="0.3">
      <c r="A1294" t="str">
        <f>HYPERLINK("https://us2.cloudbeds.com/connect/10074733072513#/reservations/30649425383622?display=YQ57SARUB&amp;reservation_id=30649425383622", "YQ57SARUB")</f>
        <v>YQ57SARUB</v>
      </c>
      <c r="B1294" t="s">
        <v>45</v>
      </c>
      <c r="C1294">
        <v>87.2</v>
      </c>
      <c r="D1294">
        <v>94.78</v>
      </c>
      <c r="E1294">
        <v>94.79</v>
      </c>
      <c r="F1294">
        <v>-0.01</v>
      </c>
    </row>
    <row r="1295" spans="1:6" x14ac:dyDescent="0.3">
      <c r="A1295" t="str">
        <f>HYPERLINK("https://us2.cloudbeds.com/connect/10074733072513#/reservations/30646929748178?display=YQ3A2V3YS&amp;reservation_id=30646929748178", "YQ3A2V3YS")</f>
        <v>YQ3A2V3YS</v>
      </c>
      <c r="B1295" t="s">
        <v>10</v>
      </c>
      <c r="C1295">
        <v>118.15</v>
      </c>
      <c r="D1295">
        <v>128.41999999999999</v>
      </c>
      <c r="E1295">
        <v>128.43</v>
      </c>
      <c r="F1295">
        <v>-0.01</v>
      </c>
    </row>
    <row r="1296" spans="1:6" x14ac:dyDescent="0.3">
      <c r="A1296" t="str">
        <f>HYPERLINK("https://us2.cloudbeds.com/connect/10074733072513#/reservations/30646920442083?display=YQ39S353W&amp;reservation_id=30646920442083", "YQ39S353W")</f>
        <v>YQ39S353W</v>
      </c>
      <c r="B1296" t="s">
        <v>10</v>
      </c>
      <c r="C1296">
        <v>118.15</v>
      </c>
      <c r="D1296">
        <v>128.41999999999999</v>
      </c>
      <c r="E1296">
        <v>128.43</v>
      </c>
      <c r="F1296">
        <v>-0.01</v>
      </c>
    </row>
    <row r="1297" spans="1:6" x14ac:dyDescent="0.3">
      <c r="A1297" t="str">
        <f>HYPERLINK("https://us2.cloudbeds.com/connect/10074733072513#/reservations/30646275096780?display=YQ2QBUFHN&amp;reservation_id=30646275096780", "YQ2QBUFHN")</f>
        <v>YQ2QBUFHN</v>
      </c>
      <c r="B1297" t="s">
        <v>46</v>
      </c>
      <c r="C1297">
        <v>103.2</v>
      </c>
      <c r="D1297">
        <v>112.17</v>
      </c>
      <c r="E1297">
        <v>112.18</v>
      </c>
      <c r="F1297">
        <v>-0.01</v>
      </c>
    </row>
    <row r="1298" spans="1:6" x14ac:dyDescent="0.3">
      <c r="A1298" t="str">
        <f>HYPERLINK("https://us2.cloudbeds.com/connect/10074733072513#/reservations/30647748497649?display=YQ3V0B0NT&amp;reservation_id=30647748497649", "YQ3V0B0NT")</f>
        <v>YQ3V0B0NT</v>
      </c>
      <c r="B1298" t="s">
        <v>32</v>
      </c>
      <c r="C1298">
        <v>87.2</v>
      </c>
      <c r="D1298">
        <v>94.78</v>
      </c>
      <c r="E1298">
        <v>94.79</v>
      </c>
      <c r="F1298">
        <v>-0.01</v>
      </c>
    </row>
    <row r="1299" spans="1:6" x14ac:dyDescent="0.3">
      <c r="A1299" t="str">
        <f>HYPERLINK("https://us2.cloudbeds.com/connect/10074733072513#/reservations/30646749450449?display=YQ35FU20A&amp;reservation_id=30646749450449", "YQ35FU20A")</f>
        <v>YQ35FU20A</v>
      </c>
      <c r="B1299" t="s">
        <v>10</v>
      </c>
      <c r="C1299">
        <v>118.15</v>
      </c>
      <c r="D1299">
        <v>128.41999999999999</v>
      </c>
      <c r="E1299">
        <v>128.43</v>
      </c>
      <c r="F1299">
        <v>-0.01</v>
      </c>
    </row>
    <row r="1300" spans="1:6" x14ac:dyDescent="0.3">
      <c r="A1300" t="str">
        <f>HYPERLINK("https://us2.cloudbeds.com/connect/10074733072513#/reservations/30647690199214?display=YQ3TH5PQY&amp;reservation_id=30647690199214", "YQ3TH5PQY")</f>
        <v>YQ3TH5PQY</v>
      </c>
      <c r="B1300" t="s">
        <v>32</v>
      </c>
      <c r="C1300">
        <v>87.2</v>
      </c>
      <c r="D1300">
        <v>94.78</v>
      </c>
      <c r="E1300">
        <v>94.79</v>
      </c>
      <c r="F1300">
        <v>-0.01</v>
      </c>
    </row>
    <row r="1301" spans="1:6" x14ac:dyDescent="0.3">
      <c r="A1301" t="str">
        <f>HYPERLINK("https://us2.cloudbeds.com/connect/10074733072513#/reservations/30647695761540?display=YQ3TYSXHW&amp;reservation_id=30647695761540", "YQ3TYSXHW")</f>
        <v>YQ3TYSXHW</v>
      </c>
      <c r="B1301" t="s">
        <v>32</v>
      </c>
      <c r="C1301">
        <v>87.2</v>
      </c>
      <c r="D1301">
        <v>94.78</v>
      </c>
      <c r="E1301">
        <v>94.79</v>
      </c>
      <c r="F1301">
        <v>-0.01</v>
      </c>
    </row>
    <row r="1302" spans="1:6" x14ac:dyDescent="0.3">
      <c r="A1302" t="str">
        <f>HYPERLINK("https://us2.cloudbeds.com/connect/10074733072513#/reservations/30647743053966?display=YQ3USZHUQ&amp;reservation_id=30647743053966", "YQ3USZHUQ")</f>
        <v>YQ3USZHUQ</v>
      </c>
      <c r="B1302" t="s">
        <v>32</v>
      </c>
      <c r="C1302">
        <v>87.2</v>
      </c>
      <c r="D1302">
        <v>94.78</v>
      </c>
      <c r="E1302">
        <v>94.79</v>
      </c>
      <c r="F1302">
        <v>-0.01</v>
      </c>
    </row>
    <row r="1303" spans="1:6" x14ac:dyDescent="0.3">
      <c r="A1303" t="str">
        <f>HYPERLINK("https://us2.cloudbeds.com/connect/10074733072513#/reservations/30646244135135?display=YQ2PXQU91&amp;reservation_id=30646244135135", "YQ2PXQU91")</f>
        <v>YQ2PXQU91</v>
      </c>
      <c r="B1303" t="s">
        <v>35</v>
      </c>
      <c r="C1303">
        <v>87.2</v>
      </c>
      <c r="D1303">
        <v>94.78</v>
      </c>
      <c r="E1303">
        <v>94.79</v>
      </c>
      <c r="F1303">
        <v>-0.01</v>
      </c>
    </row>
    <row r="1304" spans="1:6" x14ac:dyDescent="0.3">
      <c r="A1304" t="str">
        <f>HYPERLINK("https://us2.cloudbeds.com/connect/10074733072513#/reservations/30647073775835?display=YQ3DPCTFA&amp;reservation_id=30647073775835", "YQ3DPCTFA")</f>
        <v>YQ3DPCTFA</v>
      </c>
      <c r="B1304" t="s">
        <v>43</v>
      </c>
      <c r="C1304">
        <v>74.12</v>
      </c>
      <c r="D1304">
        <v>80.56</v>
      </c>
      <c r="E1304">
        <v>80.569999999999993</v>
      </c>
      <c r="F1304">
        <v>-0.01</v>
      </c>
    </row>
    <row r="1305" spans="1:6" x14ac:dyDescent="0.3">
      <c r="A1305" t="str">
        <f>HYPERLINK("https://us2.cloudbeds.com/connect/10074733072513#/reservations/30646988890319?display=YQ3BJQRAV&amp;reservation_id=30646988890319", "YQ3BJQRAV")</f>
        <v>YQ3BJQRAV</v>
      </c>
      <c r="B1305" t="s">
        <v>28</v>
      </c>
      <c r="C1305">
        <v>118.15</v>
      </c>
      <c r="D1305">
        <v>128.41999999999999</v>
      </c>
      <c r="E1305">
        <v>128.43</v>
      </c>
      <c r="F1305">
        <v>-0.01</v>
      </c>
    </row>
    <row r="1306" spans="1:6" x14ac:dyDescent="0.3">
      <c r="A1306" t="str">
        <f>HYPERLINK("https://us2.cloudbeds.com/connect/10074733072513#/reservations/30646799089893?display=YQ36ZPBJT&amp;reservation_id=30646799089893", "YQ36ZPBJT")</f>
        <v>YQ36ZPBJT</v>
      </c>
      <c r="B1306" t="s">
        <v>47</v>
      </c>
      <c r="C1306">
        <v>87.2</v>
      </c>
      <c r="D1306">
        <v>94.78</v>
      </c>
      <c r="E1306">
        <v>94.79</v>
      </c>
      <c r="F1306">
        <v>-0.01</v>
      </c>
    </row>
    <row r="1307" spans="1:6" x14ac:dyDescent="0.3">
      <c r="A1307" t="str">
        <f>HYPERLINK("https://us2.cloudbeds.com/connect/10074733072513#/reservations/30647211081889?display=YQ3H95KWQ&amp;reservation_id=30647211081889", "YQ3H95KWQ")</f>
        <v>YQ3H95KWQ</v>
      </c>
      <c r="B1307" t="s">
        <v>41</v>
      </c>
      <c r="C1307">
        <v>87.2</v>
      </c>
      <c r="D1307">
        <v>94.78</v>
      </c>
      <c r="E1307">
        <v>94.79</v>
      </c>
      <c r="F1307">
        <v>-0.01</v>
      </c>
    </row>
    <row r="1308" spans="1:6" x14ac:dyDescent="0.3">
      <c r="A1308" t="str">
        <f>HYPERLINK("https://us2.cloudbeds.com/connect/10074733072513#/reservations/30646718435551?display=YQ34MP0RU&amp;reservation_id=30646718435551", "YQ34MP0RU")</f>
        <v>YQ34MP0RU</v>
      </c>
      <c r="B1308" t="s">
        <v>48</v>
      </c>
      <c r="C1308">
        <v>103.2</v>
      </c>
      <c r="D1308">
        <v>112.17</v>
      </c>
      <c r="E1308">
        <v>112.18</v>
      </c>
      <c r="F1308">
        <v>-0.01</v>
      </c>
    </row>
    <row r="1309" spans="1:6" x14ac:dyDescent="0.3">
      <c r="A1309" t="str">
        <f>HYPERLINK("https://us2.cloudbeds.com/connect/10074733072513#/reservations/30646161117382?display=YQ2NEQR8X&amp;reservation_id=30646161117382", "YQ2NEQR8X")</f>
        <v>YQ2NEQR8X</v>
      </c>
      <c r="B1309" t="s">
        <v>33</v>
      </c>
      <c r="C1309">
        <v>74.12</v>
      </c>
      <c r="D1309">
        <v>80.56</v>
      </c>
      <c r="E1309">
        <v>80.569999999999993</v>
      </c>
      <c r="F1309">
        <v>-0.01</v>
      </c>
    </row>
    <row r="1310" spans="1:6" x14ac:dyDescent="0.3">
      <c r="A1310" t="str">
        <f>HYPERLINK("https://us2.cloudbeds.com/connect/10074733072513#/reservations/30647079133361?display=YQ3DTTW4J&amp;reservation_id=30647079133361", "YQ3DTTW4J")</f>
        <v>YQ3DTTW4J</v>
      </c>
      <c r="B1310" t="s">
        <v>43</v>
      </c>
      <c r="C1310">
        <v>87.2</v>
      </c>
      <c r="D1310">
        <v>94.78</v>
      </c>
      <c r="E1310">
        <v>94.79</v>
      </c>
      <c r="F1310">
        <v>-0.01</v>
      </c>
    </row>
    <row r="1311" spans="1:6" x14ac:dyDescent="0.3">
      <c r="A1311" t="str">
        <f>HYPERLINK("https://us2.cloudbeds.com/connect/10074733072513#/reservations/30646167249119?display=YQ2NJWESP&amp;reservation_id=30646167249119", "YQ2NJWESP")</f>
        <v>YQ2NJWESP</v>
      </c>
      <c r="B1311" t="s">
        <v>33</v>
      </c>
      <c r="C1311">
        <v>103.2</v>
      </c>
      <c r="D1311">
        <v>112.17</v>
      </c>
      <c r="E1311">
        <v>112.18</v>
      </c>
      <c r="F1311">
        <v>-0.01</v>
      </c>
    </row>
    <row r="1312" spans="1:6" x14ac:dyDescent="0.3">
      <c r="A1312" t="str">
        <f>HYPERLINK("https://us2.cloudbeds.com/connect/10074733072513#/reservations/30646607409377?display=YQ31S4XED&amp;reservation_id=30646607409377", "YQ31S4XED")</f>
        <v>YQ31S4XED</v>
      </c>
      <c r="B1312" t="s">
        <v>49</v>
      </c>
      <c r="C1312">
        <v>103.2</v>
      </c>
      <c r="D1312">
        <v>112.17</v>
      </c>
      <c r="E1312">
        <v>112.18</v>
      </c>
      <c r="F1312">
        <v>-0.01</v>
      </c>
    </row>
    <row r="1313" spans="1:6" x14ac:dyDescent="0.3">
      <c r="A1313" t="str">
        <f>HYPERLINK("https://us2.cloudbeds.com/connect/10074733072513#/reservations/30646814855386?display=YQ37521Y3&amp;reservation_id=30646814855386", "YQ37521Y3")</f>
        <v>YQ37521Y3</v>
      </c>
      <c r="B1313" t="s">
        <v>50</v>
      </c>
      <c r="C1313">
        <v>196.2</v>
      </c>
      <c r="D1313">
        <v>213.26</v>
      </c>
      <c r="E1313">
        <v>213.27</v>
      </c>
      <c r="F1313">
        <v>-0.01</v>
      </c>
    </row>
    <row r="1314" spans="1:6" x14ac:dyDescent="0.3">
      <c r="A1314" t="str">
        <f>HYPERLINK("https://us2.cloudbeds.com/connect/10074733072513#/reservations/30646097187031?display=YQ2YQTSN6&amp;reservation_id=30646097187031", "YQ2YQTSN6")</f>
        <v>YQ2YQTSN6</v>
      </c>
      <c r="B1314" t="s">
        <v>47</v>
      </c>
      <c r="C1314">
        <v>259.2</v>
      </c>
      <c r="D1314">
        <v>281.74</v>
      </c>
      <c r="E1314">
        <v>281.75</v>
      </c>
      <c r="F1314">
        <v>-0.01</v>
      </c>
    </row>
    <row r="1315" spans="1:6" x14ac:dyDescent="0.3">
      <c r="A1315" t="str">
        <f>HYPERLINK("https://us2.cloudbeds.com/connect/10074733072513#/reservations/30646661595315?display=YQ337RBVH&amp;reservation_id=30646661595315", "YQ337RBVH")</f>
        <v>YQ337RBVH</v>
      </c>
      <c r="B1315" t="s">
        <v>10</v>
      </c>
      <c r="C1315">
        <v>108.12</v>
      </c>
      <c r="D1315">
        <v>117.52</v>
      </c>
      <c r="E1315">
        <v>117.53</v>
      </c>
      <c r="F1315">
        <v>-0.01</v>
      </c>
    </row>
    <row r="1316" spans="1:6" x14ac:dyDescent="0.3">
      <c r="A1316" t="str">
        <f>HYPERLINK("https://us2.cloudbeds.com/connect/10074733072513#/reservations/30646833967313?display=YQ37Y5SKD&amp;reservation_id=30646833967313", "YQ37Y5SKD")</f>
        <v>YQ37Y5SKD</v>
      </c>
      <c r="B1316" t="s">
        <v>50</v>
      </c>
      <c r="C1316">
        <v>76.16</v>
      </c>
      <c r="D1316">
        <v>82.78</v>
      </c>
      <c r="E1316">
        <v>82.79</v>
      </c>
      <c r="F1316">
        <v>-0.01</v>
      </c>
    </row>
    <row r="1317" spans="1:6" x14ac:dyDescent="0.3">
      <c r="A1317" t="str">
        <f>HYPERLINK("https://us2.cloudbeds.com/connect/10074733072513#/reservations/30646226243779?display=YQ2P3Z23Z&amp;reservation_id=30646226243779", "YQ2P3Z23Z")</f>
        <v>YQ2P3Z23Z</v>
      </c>
      <c r="B1317" t="s">
        <v>35</v>
      </c>
      <c r="C1317">
        <v>282.56</v>
      </c>
      <c r="D1317">
        <v>307.13</v>
      </c>
      <c r="E1317">
        <v>307.14</v>
      </c>
      <c r="F1317">
        <v>-0.01</v>
      </c>
    </row>
    <row r="1318" spans="1:6" x14ac:dyDescent="0.3">
      <c r="A1318" t="str">
        <f>HYPERLINK("https://us2.cloudbeds.com/connect/10074733072513#/reservations/30646268326093?display=YQ2Q6726B&amp;reservation_id=30646268326093", "YQ2Q6726B")</f>
        <v>YQ2Q6726B</v>
      </c>
      <c r="B1318" t="s">
        <v>46</v>
      </c>
      <c r="C1318">
        <v>103.2</v>
      </c>
      <c r="D1318">
        <v>112.17</v>
      </c>
      <c r="E1318">
        <v>112.18</v>
      </c>
      <c r="F1318">
        <v>-0.01</v>
      </c>
    </row>
    <row r="1319" spans="1:6" x14ac:dyDescent="0.3">
      <c r="A1319" t="str">
        <f>HYPERLINK("https://us2.cloudbeds.com/connect/10074733072513#/reservations/30647787569286?display=YQ3W0985S&amp;reservation_id=30647787569286", "YQ3W0985S")</f>
        <v>YQ3W0985S</v>
      </c>
      <c r="B1319" t="s">
        <v>51</v>
      </c>
      <c r="C1319">
        <v>87.2</v>
      </c>
      <c r="D1319">
        <v>94.78</v>
      </c>
      <c r="E1319">
        <v>94.79</v>
      </c>
      <c r="F1319">
        <v>-0.01</v>
      </c>
    </row>
    <row r="1320" spans="1:6" x14ac:dyDescent="0.3">
      <c r="A1320" t="str">
        <f>HYPERLINK("https://us2.cloudbeds.com/connect/10074733072513#/reservations/30646034411655?display=YQ2K6W1Z2&amp;reservation_id=30646034411655", "YQ2K6W1Z2")</f>
        <v>YQ2K6W1Z2</v>
      </c>
      <c r="B1320" t="s">
        <v>47</v>
      </c>
      <c r="C1320">
        <v>76.16</v>
      </c>
      <c r="D1320">
        <v>82.78</v>
      </c>
      <c r="E1320">
        <v>82.79</v>
      </c>
      <c r="F1320">
        <v>-0.01</v>
      </c>
    </row>
    <row r="1321" spans="1:6" x14ac:dyDescent="0.3">
      <c r="A1321" t="str">
        <f>HYPERLINK("https://us2.cloudbeds.com/connect/10074733072513#/reservations/30647244337381?display=YQ3X470Y0&amp;reservation_id=30647244337381", "YQ3X470Y0")</f>
        <v>YQ3X470Y0</v>
      </c>
      <c r="B1321" t="s">
        <v>36</v>
      </c>
      <c r="C1321">
        <v>143.19999999999999</v>
      </c>
      <c r="D1321">
        <v>155.65</v>
      </c>
      <c r="E1321">
        <v>155.66</v>
      </c>
      <c r="F1321">
        <v>-0.01</v>
      </c>
    </row>
    <row r="1322" spans="1:6" x14ac:dyDescent="0.3">
      <c r="A1322" t="str">
        <f>HYPERLINK("https://us2.cloudbeds.com/connect/10074733072513#/reservations/30647200223418?display=YQ3H00FV8&amp;reservation_id=30647200223418", "YQ3H00FV8")</f>
        <v>YQ3H00FV8</v>
      </c>
      <c r="B1322" t="s">
        <v>52</v>
      </c>
      <c r="C1322">
        <v>127.2</v>
      </c>
      <c r="D1322">
        <v>138.26</v>
      </c>
      <c r="E1322">
        <v>138.27000000000001</v>
      </c>
      <c r="F1322">
        <v>-0.01</v>
      </c>
    </row>
    <row r="1323" spans="1:6" x14ac:dyDescent="0.3">
      <c r="A1323" t="str">
        <f>HYPERLINK("https://us2.cloudbeds.com/connect/10074733072513#/reservations/30647833104598?display=YQ405MB1R&amp;reservation_id=30647833104598", "YQ405MB1R")</f>
        <v>YQ405MB1R</v>
      </c>
      <c r="B1323" t="s">
        <v>53</v>
      </c>
      <c r="C1323">
        <v>87.2</v>
      </c>
      <c r="D1323">
        <v>94.78</v>
      </c>
      <c r="E1323">
        <v>94.79</v>
      </c>
      <c r="F1323">
        <v>-0.01</v>
      </c>
    </row>
    <row r="1324" spans="1:6" x14ac:dyDescent="0.3">
      <c r="A1324" t="str">
        <f>HYPERLINK("https://us2.cloudbeds.com/connect/10074733072513#/reservations/30648624509108?display=YQ4KD0AVM&amp;reservation_id=30648624509108", "YQ4KD0AVM")</f>
        <v>YQ4KD0AVM</v>
      </c>
      <c r="B1324" t="s">
        <v>54</v>
      </c>
      <c r="C1324">
        <v>76.16</v>
      </c>
      <c r="D1324">
        <v>82.78</v>
      </c>
      <c r="E1324">
        <v>82.79</v>
      </c>
      <c r="F1324">
        <v>-0.01</v>
      </c>
    </row>
    <row r="1325" spans="1:6" x14ac:dyDescent="0.3">
      <c r="A1325" t="str">
        <f>HYPERLINK("https://us2.cloudbeds.com/connect/10074733072513#/reservations/30646268330202?display=YQ2Q675VT&amp;reservation_id=30646268330202", "YQ2Q675VT")</f>
        <v>YQ2Q675VT</v>
      </c>
      <c r="B1325" t="s">
        <v>46</v>
      </c>
      <c r="C1325">
        <v>103.2</v>
      </c>
      <c r="D1325">
        <v>112.17</v>
      </c>
      <c r="E1325">
        <v>112.18</v>
      </c>
      <c r="F1325">
        <v>-0.01</v>
      </c>
    </row>
    <row r="1326" spans="1:6" x14ac:dyDescent="0.3">
      <c r="A1326" t="str">
        <f>HYPERLINK("https://us2.cloudbeds.com/connect/10074733072513#/reservations/30646850257091?display=YQ381U531&amp;reservation_id=30646850257091", "YQ381U531")</f>
        <v>YQ381U531</v>
      </c>
      <c r="B1326" t="s">
        <v>9</v>
      </c>
      <c r="C1326">
        <v>103.2</v>
      </c>
      <c r="D1326">
        <v>112.17</v>
      </c>
      <c r="E1326">
        <v>112.18</v>
      </c>
      <c r="F1326">
        <v>-0.01</v>
      </c>
    </row>
    <row r="1327" spans="1:6" x14ac:dyDescent="0.3">
      <c r="A1327" t="str">
        <f>HYPERLINK("https://us2.cloudbeds.com/connect/10074733072513#/reservations/30647088980189?display=YQ3E56W7A&amp;reservation_id=30647088980189", "YQ3E56W7A")</f>
        <v>YQ3E56W7A</v>
      </c>
      <c r="B1327" t="s">
        <v>43</v>
      </c>
      <c r="C1327">
        <v>87.2</v>
      </c>
      <c r="D1327">
        <v>94.78</v>
      </c>
      <c r="E1327">
        <v>94.79</v>
      </c>
      <c r="F1327">
        <v>-0.01</v>
      </c>
    </row>
    <row r="1328" spans="1:6" x14ac:dyDescent="0.3">
      <c r="A1328" t="str">
        <f>HYPERLINK("https://us2.cloudbeds.com/connect/10074733072513#/reservations/30648288276667?display=YQ4BQG5XR&amp;reservation_id=30648288276667", "YQ4BQG5XR")</f>
        <v>YQ4BQG5XR</v>
      </c>
      <c r="B1328" t="s">
        <v>55</v>
      </c>
      <c r="C1328">
        <v>103.2</v>
      </c>
      <c r="D1328">
        <v>112.17</v>
      </c>
      <c r="E1328">
        <v>112.18</v>
      </c>
      <c r="F1328">
        <v>-0.01</v>
      </c>
    </row>
    <row r="1329" spans="1:6" x14ac:dyDescent="0.3">
      <c r="A1329" t="str">
        <f>HYPERLINK("https://us2.cloudbeds.com/connect/10074733072513#/reservations/30646466416860?display=YQ2V887NT&amp;reservation_id=30646466416860", "YQ2V887NT")</f>
        <v>YQ2V887NT</v>
      </c>
      <c r="B1329" t="s">
        <v>56</v>
      </c>
      <c r="C1329">
        <v>76.16</v>
      </c>
      <c r="D1329">
        <v>82.78</v>
      </c>
      <c r="E1329">
        <v>82.79</v>
      </c>
      <c r="F1329">
        <v>-0.01</v>
      </c>
    </row>
    <row r="1330" spans="1:6" x14ac:dyDescent="0.3">
      <c r="A1330" t="str">
        <f>HYPERLINK("https://us2.cloudbeds.com/connect/10074733072513#/reservations/30647052665012?display=YQ3D7JEVD&amp;reservation_id=30647052665012", "YQ3D7JEVD")</f>
        <v>YQ3D7JEVD</v>
      </c>
      <c r="B1330" t="s">
        <v>43</v>
      </c>
      <c r="C1330">
        <v>152.32</v>
      </c>
      <c r="D1330">
        <v>165.56</v>
      </c>
      <c r="E1330">
        <v>165.57</v>
      </c>
      <c r="F1330">
        <v>-0.01</v>
      </c>
    </row>
    <row r="1331" spans="1:6" x14ac:dyDescent="0.3">
      <c r="A1331" t="str">
        <f>HYPERLINK("https://us2.cloudbeds.com/connect/10074733072513#/reservations/30646429778147?display=YQ2UABNBS&amp;reservation_id=30646429778147", "YQ2UABNBS")</f>
        <v>YQ2UABNBS</v>
      </c>
      <c r="B1331" t="s">
        <v>46</v>
      </c>
      <c r="C1331">
        <v>87.2</v>
      </c>
      <c r="D1331">
        <v>94.78</v>
      </c>
      <c r="E1331">
        <v>94.79</v>
      </c>
      <c r="F1331">
        <v>-0.01</v>
      </c>
    </row>
    <row r="1332" spans="1:6" x14ac:dyDescent="0.3">
      <c r="A1332" t="str">
        <f>HYPERLINK("https://us2.cloudbeds.com/connect/10074733072513#/reservations/30647019606213?display=YQ3CCNHUK&amp;reservation_id=30647019606213", "YQ3CCNHUK")</f>
        <v>YQ3CCNHUK</v>
      </c>
      <c r="B1332" t="s">
        <v>43</v>
      </c>
      <c r="C1332">
        <v>76.16</v>
      </c>
      <c r="D1332">
        <v>82.78</v>
      </c>
      <c r="E1332">
        <v>82.79</v>
      </c>
      <c r="F1332">
        <v>-0.01</v>
      </c>
    </row>
    <row r="1333" spans="1:6" x14ac:dyDescent="0.3">
      <c r="A1333" t="str">
        <f>HYPERLINK("https://us2.cloudbeds.com/connect/10074733072513#/reservations/30647098949766?display=YQ3EDKD0N&amp;reservation_id=30647098949766", "YQ3EDKD0N")</f>
        <v>YQ3EDKD0N</v>
      </c>
      <c r="B1333" t="s">
        <v>43</v>
      </c>
      <c r="C1333">
        <v>76.16</v>
      </c>
      <c r="D1333">
        <v>82.78</v>
      </c>
      <c r="E1333">
        <v>82.79</v>
      </c>
      <c r="F1333">
        <v>-0.01</v>
      </c>
    </row>
    <row r="1334" spans="1:6" x14ac:dyDescent="0.3">
      <c r="A1334" t="str">
        <f>HYPERLINK("https://us2.cloudbeds.com/connect/10074733072513#/reservations/30647756218501?display=YQ3V6RSJ3&amp;reservation_id=30647756218501", "YQ3V6RSJ3")</f>
        <v>YQ3V6RSJ3</v>
      </c>
      <c r="B1334" t="s">
        <v>32</v>
      </c>
      <c r="C1334">
        <v>87.2</v>
      </c>
      <c r="D1334">
        <v>94.78</v>
      </c>
      <c r="E1334">
        <v>94.79</v>
      </c>
      <c r="F1334">
        <v>-0.01</v>
      </c>
    </row>
    <row r="1335" spans="1:6" x14ac:dyDescent="0.3">
      <c r="A1335" t="str">
        <f>HYPERLINK("https://us2.cloudbeds.com/connect/10074733072513#/reservations/30646857560302?display=YQ3882CEF&amp;reservation_id=30646857560302", "YQ3882CEF")</f>
        <v>YQ3882CEF</v>
      </c>
      <c r="B1335" t="s">
        <v>9</v>
      </c>
      <c r="C1335">
        <v>103.2</v>
      </c>
      <c r="D1335">
        <v>112.17</v>
      </c>
      <c r="E1335">
        <v>112.18</v>
      </c>
      <c r="F1335">
        <v>-0.01</v>
      </c>
    </row>
    <row r="1336" spans="1:6" x14ac:dyDescent="0.3">
      <c r="A1336" t="str">
        <f>HYPERLINK("https://us2.cloudbeds.com/connect/10074733072513#/reservations/30646866264276?display=YQ38FDJ28&amp;reservation_id=30646866264276", "YQ38FDJ28")</f>
        <v>YQ38FDJ28</v>
      </c>
      <c r="B1336" t="s">
        <v>9</v>
      </c>
      <c r="C1336">
        <v>103.2</v>
      </c>
      <c r="D1336">
        <v>112.17</v>
      </c>
      <c r="E1336">
        <v>112.18</v>
      </c>
      <c r="F1336">
        <v>-0.01</v>
      </c>
    </row>
    <row r="1337" spans="1:6" x14ac:dyDescent="0.3">
      <c r="A1337" t="str">
        <f>HYPERLINK("https://us2.cloudbeds.com/connect/10074733072513#/reservations/30647030427840?display=YQ3CGASUH&amp;reservation_id=30647030427840", "YQ3CGASUH")</f>
        <v>YQ3CGASUH</v>
      </c>
      <c r="B1337" t="s">
        <v>43</v>
      </c>
      <c r="C1337">
        <v>103.2</v>
      </c>
      <c r="D1337">
        <v>112.17</v>
      </c>
      <c r="E1337">
        <v>112.18</v>
      </c>
      <c r="F1337">
        <v>-0.01</v>
      </c>
    </row>
    <row r="1338" spans="1:6" x14ac:dyDescent="0.3">
      <c r="A1338" t="str">
        <f>HYPERLINK("https://us2.cloudbeds.com/connect/10074733072513#/reservations/30647724187846?display=YQ3UCRXM6&amp;reservation_id=30647724187846", "YQ3UCRXM6")</f>
        <v>YQ3UCRXM6</v>
      </c>
      <c r="B1338" t="s">
        <v>57</v>
      </c>
      <c r="C1338">
        <v>174.4</v>
      </c>
      <c r="D1338">
        <v>189.56</v>
      </c>
      <c r="E1338">
        <v>189.57</v>
      </c>
      <c r="F1338">
        <v>-0.01</v>
      </c>
    </row>
    <row r="1339" spans="1:6" x14ac:dyDescent="0.3">
      <c r="A1339" t="str">
        <f>HYPERLINK("https://us2.cloudbeds.com/connect/10074733072513#/reservations/30648298938550?display=YQ4C2FS36&amp;reservation_id=30648298938550", "YQ4C2FS36")</f>
        <v>YQ4C2FS36</v>
      </c>
      <c r="B1339" t="s">
        <v>55</v>
      </c>
      <c r="C1339">
        <v>76.16</v>
      </c>
      <c r="D1339">
        <v>82.78</v>
      </c>
      <c r="E1339">
        <v>82.79</v>
      </c>
      <c r="F1339">
        <v>-0.01</v>
      </c>
    </row>
    <row r="1340" spans="1:6" x14ac:dyDescent="0.3">
      <c r="A1340" t="str">
        <f>HYPERLINK("https://us2.cloudbeds.com/connect/10074733072513#/reservations/30646432952448?display=YQ2UD0UHK&amp;reservation_id=30646432952448", "YQ2UD0UHK")</f>
        <v>YQ2UD0UHK</v>
      </c>
      <c r="B1340" t="s">
        <v>46</v>
      </c>
      <c r="C1340">
        <v>87.2</v>
      </c>
      <c r="D1340">
        <v>94.78</v>
      </c>
      <c r="E1340">
        <v>94.79</v>
      </c>
      <c r="F1340">
        <v>-0.01</v>
      </c>
    </row>
    <row r="1341" spans="1:6" x14ac:dyDescent="0.3">
      <c r="A1341" t="str">
        <f>HYPERLINK("https://us2.cloudbeds.com/connect/10074733072513#/reservations/30646392754401?display=YQ2TC4FE5&amp;reservation_id=30646392754401", "YQ2TC4FE5")</f>
        <v>YQ2TC4FE5</v>
      </c>
      <c r="B1341" t="s">
        <v>9</v>
      </c>
      <c r="C1341">
        <v>134.1</v>
      </c>
      <c r="D1341">
        <v>145.76</v>
      </c>
      <c r="E1341">
        <v>145.77000000000001</v>
      </c>
      <c r="F1341">
        <v>-0.01</v>
      </c>
    </row>
    <row r="1342" spans="1:6" x14ac:dyDescent="0.3">
      <c r="A1342" t="str">
        <f>HYPERLINK("https://us2.cloudbeds.com/connect/10074733072513#/reservations/30646436495580?display=YQ2UG0KQE&amp;reservation_id=30646436495580", "YQ2UG0KQE")</f>
        <v>YQ2UG0KQE</v>
      </c>
      <c r="B1342" t="s">
        <v>46</v>
      </c>
      <c r="C1342">
        <v>87.2</v>
      </c>
      <c r="D1342">
        <v>94.78</v>
      </c>
      <c r="E1342">
        <v>94.79</v>
      </c>
      <c r="F1342">
        <v>-0.01</v>
      </c>
    </row>
    <row r="1343" spans="1:6" x14ac:dyDescent="0.3">
      <c r="A1343" t="str">
        <f>HYPERLINK("https://us2.cloudbeds.com/connect/10074733072513#/reservations/30646442176755?display=YQ2UKQNM8&amp;reservation_id=30646442176755", "YQ2UKQNM8")</f>
        <v>YQ2UKQNM8</v>
      </c>
      <c r="B1343" t="s">
        <v>46</v>
      </c>
      <c r="C1343">
        <v>87.2</v>
      </c>
      <c r="D1343">
        <v>94.78</v>
      </c>
      <c r="E1343">
        <v>94.79</v>
      </c>
      <c r="F1343">
        <v>-0.01</v>
      </c>
    </row>
    <row r="1344" spans="1:6" x14ac:dyDescent="0.3">
      <c r="A1344" t="str">
        <f>HYPERLINK("https://us2.cloudbeds.com/connect/10074733072513#/reservations/30647234105499?display=YQ3HSJ9VW&amp;reservation_id=30647234105499", "YQ3HSJ9VW")</f>
        <v>YQ3HSJ9VW</v>
      </c>
      <c r="B1344" t="s">
        <v>41</v>
      </c>
      <c r="C1344">
        <v>87.2</v>
      </c>
      <c r="D1344">
        <v>94.78</v>
      </c>
      <c r="E1344">
        <v>94.79</v>
      </c>
      <c r="F1344">
        <v>-0.01</v>
      </c>
    </row>
    <row r="1345" spans="1:6" x14ac:dyDescent="0.3">
      <c r="A1345" t="str">
        <f>HYPERLINK("https://us2.cloudbeds.com/connect/10074733072513#/reservations/30646547673287?display=YQ30APABS&amp;reservation_id=30646547673287", "YQ30APABS")</f>
        <v>YQ30APABS</v>
      </c>
      <c r="B1345" t="s">
        <v>50</v>
      </c>
      <c r="C1345">
        <v>103.2</v>
      </c>
      <c r="D1345">
        <v>112.17</v>
      </c>
      <c r="E1345">
        <v>112.18</v>
      </c>
      <c r="F1345">
        <v>-0.01</v>
      </c>
    </row>
    <row r="1346" spans="1:6" x14ac:dyDescent="0.3">
      <c r="A1346" t="str">
        <f>HYPERLINK("https://us2.cloudbeds.com/connect/10074733072513#/reservations/30646809055425?display=YQ3705YMN&amp;reservation_id=30646809055425", "YQ3705YMN")</f>
        <v>YQ3705YMN</v>
      </c>
      <c r="B1346" t="s">
        <v>50</v>
      </c>
      <c r="C1346">
        <v>87.2</v>
      </c>
      <c r="D1346">
        <v>94.78</v>
      </c>
      <c r="E1346">
        <v>94.79</v>
      </c>
      <c r="F1346">
        <v>-0.01</v>
      </c>
    </row>
    <row r="1347" spans="1:6" x14ac:dyDescent="0.3">
      <c r="A1347" t="str">
        <f>HYPERLINK("https://us2.cloudbeds.com/connect/10074733072513#/reservations/30646919819486?display=YQ39RXRDD&amp;reservation_id=30646919819486", "YQ39RXRDD")</f>
        <v>YQ39RXRDD</v>
      </c>
      <c r="B1347" t="s">
        <v>58</v>
      </c>
      <c r="C1347">
        <v>103.2</v>
      </c>
      <c r="D1347">
        <v>112.17</v>
      </c>
      <c r="E1347">
        <v>112.18</v>
      </c>
      <c r="F1347">
        <v>-0.01</v>
      </c>
    </row>
    <row r="1348" spans="1:6" x14ac:dyDescent="0.3">
      <c r="A1348" t="str">
        <f>HYPERLINK("https://us2.cloudbeds.com/connect/10074733072513#/reservations/30646249873560?display=YQ2PNYJNN&amp;reservation_id=30646249873560", "YQ2PNYJNN")</f>
        <v>YQ2PNYJNN</v>
      </c>
      <c r="B1348" t="s">
        <v>35</v>
      </c>
      <c r="C1348">
        <v>76.16</v>
      </c>
      <c r="D1348">
        <v>82.78</v>
      </c>
      <c r="E1348">
        <v>82.79</v>
      </c>
      <c r="F1348">
        <v>-0.01</v>
      </c>
    </row>
    <row r="1349" spans="1:6" x14ac:dyDescent="0.3">
      <c r="A1349" t="str">
        <f>HYPERLINK("https://us2.cloudbeds.com/connect/10074733072513#/reservations/30648398205145?display=YQ4EK62WR&amp;reservation_id=30648398205145", "YQ4EK62WR")</f>
        <v>YQ4EK62WR</v>
      </c>
      <c r="B1349" t="s">
        <v>25</v>
      </c>
      <c r="C1349">
        <v>76.16</v>
      </c>
      <c r="D1349">
        <v>82.78</v>
      </c>
      <c r="E1349">
        <v>82.79</v>
      </c>
      <c r="F1349">
        <v>-0.01</v>
      </c>
    </row>
    <row r="1350" spans="1:6" x14ac:dyDescent="0.3">
      <c r="A1350" t="str">
        <f>HYPERLINK("https://us2.cloudbeds.com/connect/10074733072513#/reservations/30647684858072?display=YQ3TCM55S&amp;reservation_id=30647684858072", "YQ3TCM55S")</f>
        <v>YQ3TCM55S</v>
      </c>
      <c r="B1350" t="s">
        <v>57</v>
      </c>
      <c r="C1350">
        <v>87.2</v>
      </c>
      <c r="D1350">
        <v>94.78</v>
      </c>
      <c r="E1350">
        <v>94.79</v>
      </c>
      <c r="F1350">
        <v>-0.01</v>
      </c>
    </row>
    <row r="1351" spans="1:6" x14ac:dyDescent="0.3">
      <c r="A1351" t="str">
        <f>HYPERLINK("https://us2.cloudbeds.com/connect/10074733072513#/reservations/30647690150142?display=YQ3TH4DZK&amp;reservation_id=30647690150142", "YQ3TH4DZK")</f>
        <v>YQ3TH4DZK</v>
      </c>
      <c r="B1351" t="s">
        <v>11</v>
      </c>
      <c r="C1351">
        <v>250.2</v>
      </c>
      <c r="D1351">
        <v>271.95999999999998</v>
      </c>
      <c r="E1351">
        <v>271.97000000000003</v>
      </c>
      <c r="F1351">
        <v>-0.01</v>
      </c>
    </row>
    <row r="1352" spans="1:6" x14ac:dyDescent="0.3">
      <c r="A1352" t="str">
        <f>HYPERLINK("https://us2.cloudbeds.com/connect/10074733072513#/reservations/30647134851209?display=YQ3FATDC7&amp;reservation_id=30647134851209", "YQ3FATDC7")</f>
        <v>YQ3FATDC7</v>
      </c>
      <c r="B1352" t="s">
        <v>49</v>
      </c>
      <c r="C1352">
        <v>76.16</v>
      </c>
      <c r="D1352">
        <v>82.78</v>
      </c>
      <c r="E1352">
        <v>82.79</v>
      </c>
      <c r="F1352">
        <v>-0.01</v>
      </c>
    </row>
    <row r="1353" spans="1:6" x14ac:dyDescent="0.3">
      <c r="A1353" t="str">
        <f>HYPERLINK("https://us2.cloudbeds.com/connect/10074733072513#/reservations/30647131287713?display=YQ3F7T83G&amp;reservation_id=30647131287713", "YQ3F7T83G")</f>
        <v>YQ3F7T83G</v>
      </c>
      <c r="B1353" t="s">
        <v>49</v>
      </c>
      <c r="C1353">
        <v>76.16</v>
      </c>
      <c r="D1353">
        <v>82.78</v>
      </c>
      <c r="E1353">
        <v>82.79</v>
      </c>
      <c r="F1353">
        <v>-0.01</v>
      </c>
    </row>
    <row r="1354" spans="1:6" x14ac:dyDescent="0.3">
      <c r="A1354" t="str">
        <f>HYPERLINK("https://us2.cloudbeds.com/connect/10074733072513#/reservations/30647470780617?display=YQ3NU54G8&amp;reservation_id=30647470780617", "YQ3NU54G8")</f>
        <v>YQ3NU54G8</v>
      </c>
      <c r="B1354" t="s">
        <v>59</v>
      </c>
      <c r="C1354">
        <v>87.2</v>
      </c>
      <c r="D1354">
        <v>94.78</v>
      </c>
      <c r="E1354">
        <v>94.79</v>
      </c>
      <c r="F1354">
        <v>-0.01</v>
      </c>
    </row>
    <row r="1355" spans="1:6" x14ac:dyDescent="0.3">
      <c r="A1355" t="str">
        <f>HYPERLINK("https://us2.cloudbeds.com/connect/10074733072513#/reservations/30647760199899?display=YQ3VA6YJH&amp;reservation_id=30647760199899", "YQ3VA6YJH")</f>
        <v>YQ3VA6YJH</v>
      </c>
      <c r="B1355" t="s">
        <v>32</v>
      </c>
      <c r="C1355">
        <v>87.2</v>
      </c>
      <c r="D1355">
        <v>94.78</v>
      </c>
      <c r="E1355">
        <v>94.79</v>
      </c>
      <c r="F1355">
        <v>-0.01</v>
      </c>
    </row>
    <row r="1356" spans="1:6" x14ac:dyDescent="0.3">
      <c r="A1356" t="str">
        <f>HYPERLINK("https://us2.cloudbeds.com/connect/10074733072513#/reservations/30647596863708?display=YQ3R4FJ8W&amp;reservation_id=30647596863708", "YQ3R4FJ8W")</f>
        <v>YQ3R4FJ8W</v>
      </c>
      <c r="B1356" t="s">
        <v>48</v>
      </c>
      <c r="C1356">
        <v>361.93</v>
      </c>
      <c r="D1356">
        <v>393.41</v>
      </c>
      <c r="E1356">
        <v>393.42</v>
      </c>
      <c r="F1356">
        <v>-0.01</v>
      </c>
    </row>
    <row r="1357" spans="1:6" x14ac:dyDescent="0.3">
      <c r="A1357" t="str">
        <f>HYPERLINK("https://us2.cloudbeds.com/connect/10074733072513#/reservations/30647145160958?display=YQ3FJJ9HS&amp;reservation_id=30647145160958", "YQ3FJJ9HS")</f>
        <v>YQ3FJJ9HS</v>
      </c>
      <c r="B1357" t="s">
        <v>46</v>
      </c>
      <c r="C1357">
        <v>76.16</v>
      </c>
      <c r="D1357">
        <v>82.78</v>
      </c>
      <c r="E1357">
        <v>82.79</v>
      </c>
      <c r="F1357">
        <v>-0.01</v>
      </c>
    </row>
    <row r="1358" spans="1:6" x14ac:dyDescent="0.3">
      <c r="A1358" t="str">
        <f>HYPERLINK("https://us2.cloudbeds.com/connect/10074733072513#/reservations/30647259025584?display=YQ3XGJZE2&amp;reservation_id=30647259025584", "YQ3XGJZE2")</f>
        <v>YQ3XGJZE2</v>
      </c>
      <c r="B1358" t="s">
        <v>36</v>
      </c>
      <c r="C1358">
        <v>262.39999999999998</v>
      </c>
      <c r="D1358">
        <v>285.22000000000003</v>
      </c>
      <c r="E1358">
        <v>285.23</v>
      </c>
      <c r="F1358">
        <v>-0.01</v>
      </c>
    </row>
    <row r="1359" spans="1:6" x14ac:dyDescent="0.3">
      <c r="A1359" t="str">
        <f>HYPERLINK("https://us2.cloudbeds.com/connect/10074733072513#/reservations/30647259844748?display=YQ3XH9HY7&amp;reservation_id=30647259844748", "YQ3XH9HY7")</f>
        <v>YQ3XH9HY7</v>
      </c>
      <c r="B1359" t="s">
        <v>41</v>
      </c>
      <c r="C1359">
        <v>76.16</v>
      </c>
      <c r="D1359">
        <v>82.78</v>
      </c>
      <c r="E1359">
        <v>82.79</v>
      </c>
      <c r="F1359">
        <v>-0.01</v>
      </c>
    </row>
    <row r="1360" spans="1:6" x14ac:dyDescent="0.3">
      <c r="A1360" t="str">
        <f>HYPERLINK("https://us2.cloudbeds.com/connect/10074733072513#/reservations/30646534861040?display=YQ2WWVQ6V&amp;reservation_id=30646534861040", "YQ2WWVQ6V")</f>
        <v>YQ2WWVQ6V</v>
      </c>
      <c r="B1360" t="s">
        <v>42</v>
      </c>
      <c r="C1360">
        <v>87.2</v>
      </c>
      <c r="D1360">
        <v>94.78</v>
      </c>
      <c r="E1360">
        <v>94.79</v>
      </c>
      <c r="F1360">
        <v>-0.01</v>
      </c>
    </row>
    <row r="1361" spans="1:6" x14ac:dyDescent="0.3">
      <c r="A1361" t="str">
        <f>HYPERLINK("https://us2.cloudbeds.com/connect/10074733072513#/reservations/30646672060576?display=YQ33GYXUY&amp;reservation_id=30646672060576", "YQ33GYXUY")</f>
        <v>YQ33GYXUY</v>
      </c>
      <c r="B1361" t="s">
        <v>37</v>
      </c>
      <c r="C1361">
        <v>304.2</v>
      </c>
      <c r="D1361">
        <v>330.66</v>
      </c>
      <c r="E1361">
        <v>330.67</v>
      </c>
      <c r="F1361">
        <v>-0.01</v>
      </c>
    </row>
    <row r="1362" spans="1:6" x14ac:dyDescent="0.3">
      <c r="A1362" t="str">
        <f>HYPERLINK("https://us2.cloudbeds.com/connect/10074733072513#/reservations/30647098953868?display=YQ3EDKGQ0&amp;reservation_id=30647098953868", "YQ3EDKGQ0")</f>
        <v>YQ3EDKGQ0</v>
      </c>
      <c r="B1362" t="s">
        <v>61</v>
      </c>
      <c r="C1362">
        <v>76.16</v>
      </c>
      <c r="D1362">
        <v>82.78</v>
      </c>
      <c r="E1362">
        <v>82.79</v>
      </c>
      <c r="F1362">
        <v>-0.01</v>
      </c>
    </row>
    <row r="1363" spans="1:6" x14ac:dyDescent="0.3">
      <c r="A1363" t="str">
        <f>HYPERLINK("https://us2.cloudbeds.com/connect/10074733072513#/reservations/30646654664845?display=YQ331WGT9&amp;reservation_id=30646654664845", "YQ331WGT9")</f>
        <v>YQ331WGT9</v>
      </c>
      <c r="B1363" t="s">
        <v>37</v>
      </c>
      <c r="C1363">
        <v>127.2</v>
      </c>
      <c r="D1363">
        <v>138.26</v>
      </c>
      <c r="E1363">
        <v>138.27000000000001</v>
      </c>
      <c r="F1363">
        <v>-0.01</v>
      </c>
    </row>
    <row r="1364" spans="1:6" x14ac:dyDescent="0.3">
      <c r="A1364" t="str">
        <f>HYPERLINK("https://us2.cloudbeds.com/connect/10074733072513#/reservations/30646554538203?display=YQ30GXB7K&amp;reservation_id=30646554538203", "YQ30GXB7K")</f>
        <v>YQ30GXB7K</v>
      </c>
      <c r="B1364" t="s">
        <v>42</v>
      </c>
      <c r="C1364">
        <v>76.16</v>
      </c>
      <c r="D1364">
        <v>82.78</v>
      </c>
      <c r="E1364">
        <v>82.79</v>
      </c>
      <c r="F1364">
        <v>-0.01</v>
      </c>
    </row>
    <row r="1365" spans="1:6" x14ac:dyDescent="0.3">
      <c r="A1365" t="str">
        <f>HYPERLINK("https://us2.cloudbeds.com/connect/10074733072513#/reservations/30646550782082?display=YQ30DCR2P&amp;reservation_id=30646550782082", "YQ30DCR2P")</f>
        <v>YQ30DCR2P</v>
      </c>
      <c r="B1365" t="s">
        <v>42</v>
      </c>
      <c r="C1365">
        <v>76.16</v>
      </c>
      <c r="D1365">
        <v>82.78</v>
      </c>
      <c r="E1365">
        <v>82.79</v>
      </c>
      <c r="F1365">
        <v>-0.01</v>
      </c>
    </row>
    <row r="1366" spans="1:6" x14ac:dyDescent="0.3">
      <c r="A1366" t="str">
        <f>HYPERLINK("https://us2.cloudbeds.com/connect/10074733072513#/reservations/30646526644403?display=YQ2WQ152V&amp;reservation_id=30646526644403", "YQ2WQ152V")</f>
        <v>YQ2WQ152V</v>
      </c>
      <c r="B1366" t="s">
        <v>42</v>
      </c>
      <c r="C1366">
        <v>87.2</v>
      </c>
      <c r="D1366">
        <v>94.78</v>
      </c>
      <c r="E1366">
        <v>94.79</v>
      </c>
      <c r="F1366">
        <v>-0.01</v>
      </c>
    </row>
    <row r="1367" spans="1:6" x14ac:dyDescent="0.3">
      <c r="A1367" t="str">
        <f>HYPERLINK("https://us2.cloudbeds.com/connect/10074733072513#/reservations/30648277557390?display=YQ4BHETB8&amp;reservation_id=30648277557390", "YQ4BHETB8")</f>
        <v>YQ4BHETB8</v>
      </c>
      <c r="B1367" t="s">
        <v>55</v>
      </c>
      <c r="C1367">
        <v>182.4</v>
      </c>
      <c r="D1367">
        <v>198.26</v>
      </c>
      <c r="E1367">
        <v>198.27</v>
      </c>
      <c r="F1367">
        <v>-0.01</v>
      </c>
    </row>
    <row r="1368" spans="1:6" x14ac:dyDescent="0.3">
      <c r="A1368" t="str">
        <f>HYPERLINK("https://us2.cloudbeds.com/connect/10074733072513#/reservations/30647659069651?display=YQ3SNUXBX&amp;reservation_id=30647659069651", "YQ3SNUXBX")</f>
        <v>YQ3SNUXBX</v>
      </c>
      <c r="B1368" t="s">
        <v>32</v>
      </c>
      <c r="C1368">
        <v>366.3</v>
      </c>
      <c r="D1368">
        <v>398.16</v>
      </c>
      <c r="E1368">
        <v>398.17</v>
      </c>
      <c r="F1368">
        <v>-0.01</v>
      </c>
    </row>
    <row r="1369" spans="1:6" x14ac:dyDescent="0.3">
      <c r="A1369" t="str">
        <f>HYPERLINK("https://us2.cloudbeds.com/connect/10074733072513#/reservations/30647621005532?display=YQ3RZRC2D&amp;reservation_id=30647621005532", "YQ3RZRC2D")</f>
        <v>YQ3RZRC2D</v>
      </c>
      <c r="B1369" t="s">
        <v>48</v>
      </c>
      <c r="C1369">
        <v>384.3</v>
      </c>
      <c r="D1369">
        <v>417.72</v>
      </c>
      <c r="E1369">
        <v>417.73</v>
      </c>
      <c r="F1369">
        <v>-0.01</v>
      </c>
    </row>
    <row r="1370" spans="1:6" x14ac:dyDescent="0.3">
      <c r="A1370" t="str">
        <f>HYPERLINK("https://us2.cloudbeds.com/connect/10074733072513#/reservations/30647559897282?display=YQ3Q69UW8&amp;reservation_id=30647559897282", "YQ3Q69UW8")</f>
        <v>YQ3Q69UW8</v>
      </c>
      <c r="B1370" t="s">
        <v>37</v>
      </c>
      <c r="C1370">
        <v>143.65</v>
      </c>
      <c r="D1370">
        <v>156.13999999999999</v>
      </c>
      <c r="E1370">
        <v>156.15</v>
      </c>
      <c r="F1370">
        <v>-0.01</v>
      </c>
    </row>
    <row r="1371" spans="1:6" x14ac:dyDescent="0.3">
      <c r="A1371" t="str">
        <f>HYPERLINK("https://us2.cloudbeds.com/connect/10074733072513#/reservations/30647999561856?display=YQ44E14YW&amp;reservation_id=30647999561856", "YQ44E14YW")</f>
        <v>YQ44E14YW</v>
      </c>
      <c r="B1371" t="s">
        <v>62</v>
      </c>
      <c r="C1371">
        <v>127.2</v>
      </c>
      <c r="D1371">
        <v>138.26</v>
      </c>
      <c r="E1371">
        <v>138.27000000000001</v>
      </c>
      <c r="F1371">
        <v>-0.01</v>
      </c>
    </row>
    <row r="1372" spans="1:6" x14ac:dyDescent="0.3">
      <c r="A1372" t="str">
        <f>HYPERLINK("https://us2.cloudbeds.com/connect/10074733072513#/reservations/30647566123261?display=YQ3QBX649&amp;reservation_id=30647566123261", "YQ3QBX649")</f>
        <v>YQ3QBX649</v>
      </c>
      <c r="B1372" t="s">
        <v>48</v>
      </c>
      <c r="C1372">
        <v>76.16</v>
      </c>
      <c r="D1372">
        <v>82.78</v>
      </c>
      <c r="E1372">
        <v>82.79</v>
      </c>
      <c r="F1372">
        <v>-0.01</v>
      </c>
    </row>
    <row r="1373" spans="1:6" x14ac:dyDescent="0.3">
      <c r="A1373" t="str">
        <f>HYPERLINK("https://us2.cloudbeds.com/connect/10074733072513#/reservations/30647715258619?display=YQ3U5A36X&amp;reservation_id=30647715258619", "YQ3U5A36X")</f>
        <v>YQ3U5A36X</v>
      </c>
      <c r="B1373" t="s">
        <v>57</v>
      </c>
      <c r="C1373">
        <v>103.2</v>
      </c>
      <c r="D1373">
        <v>112.17</v>
      </c>
      <c r="E1373">
        <v>112.18</v>
      </c>
      <c r="F1373">
        <v>-0.01</v>
      </c>
    </row>
    <row r="1374" spans="1:6" x14ac:dyDescent="0.3">
      <c r="A1374" t="str">
        <f>HYPERLINK("https://us2.cloudbeds.com/connect/10074733072513#/reservations/30646562947282?display=YQ30NYB26&amp;reservation_id=30646562947282", "YQ30NYB26")</f>
        <v>YQ30NYB26</v>
      </c>
      <c r="B1374" t="s">
        <v>42</v>
      </c>
      <c r="C1374">
        <v>87.2</v>
      </c>
      <c r="D1374">
        <v>94.78</v>
      </c>
      <c r="E1374">
        <v>94.79</v>
      </c>
      <c r="F1374">
        <v>-0.01</v>
      </c>
    </row>
    <row r="1375" spans="1:6" x14ac:dyDescent="0.3">
      <c r="A1375" t="str">
        <f>HYPERLINK("https://us2.cloudbeds.com/connect/10074733072513#/reservations/30647556579522?display=YQ3Q3GKC2&amp;reservation_id=30647556579522", "YQ3Q3GKC2")</f>
        <v>YQ3Q3GKC2</v>
      </c>
      <c r="B1375" t="s">
        <v>63</v>
      </c>
      <c r="C1375">
        <v>76.16</v>
      </c>
      <c r="D1375">
        <v>82.78</v>
      </c>
      <c r="E1375">
        <v>82.79</v>
      </c>
      <c r="F1375">
        <v>-0.01</v>
      </c>
    </row>
    <row r="1376" spans="1:6" x14ac:dyDescent="0.3">
      <c r="A1376" t="str">
        <f>HYPERLINK("https://us2.cloudbeds.com/connect/10074733072513#/reservations/30647990706389?display=YQ446XRKM&amp;reservation_id=30647990706389", "YQ446XRKM")</f>
        <v>YQ446XRKM</v>
      </c>
      <c r="B1376" t="s">
        <v>32</v>
      </c>
      <c r="C1376">
        <v>76.16</v>
      </c>
      <c r="D1376">
        <v>82.78</v>
      </c>
      <c r="E1376">
        <v>82.79</v>
      </c>
      <c r="F1376">
        <v>-0.01</v>
      </c>
    </row>
    <row r="1377" spans="1:6" x14ac:dyDescent="0.3">
      <c r="A1377" t="str">
        <f>HYPERLINK("https://us2.cloudbeds.com/connect/10074733072513#/reservations/30647981990088?display=YQ43W79MB&amp;reservation_id=30647981990088", "YQ43W79MB")</f>
        <v>YQ43W79MB</v>
      </c>
      <c r="B1377" t="s">
        <v>32</v>
      </c>
      <c r="C1377">
        <v>103.2</v>
      </c>
      <c r="D1377">
        <v>112.17</v>
      </c>
      <c r="E1377">
        <v>112.18</v>
      </c>
      <c r="F1377">
        <v>-0.01</v>
      </c>
    </row>
    <row r="1378" spans="1:6" x14ac:dyDescent="0.3">
      <c r="A1378" t="str">
        <f>HYPERLINK("https://us2.cloudbeds.com/connect/10074733072513#/reservations/30646570930313?display=YQ30UCFM7&amp;reservation_id=30646570930313", "YQ30UCFM7")</f>
        <v>YQ30UCFM7</v>
      </c>
      <c r="B1378" t="s">
        <v>42</v>
      </c>
      <c r="C1378">
        <v>103.2</v>
      </c>
      <c r="D1378">
        <v>112.17</v>
      </c>
      <c r="E1378">
        <v>112.18</v>
      </c>
      <c r="F1378">
        <v>-0.01</v>
      </c>
    </row>
    <row r="1379" spans="1:6" x14ac:dyDescent="0.3">
      <c r="A1379" t="str">
        <f>HYPERLINK("https://us2.cloudbeds.com/connect/10074733072513#/reservations/30647693709472?display=YQ3TK4F63&amp;reservation_id=30647693709472", "YQ3TK4F63")</f>
        <v>YQ3TK4F63</v>
      </c>
      <c r="B1379" t="s">
        <v>11</v>
      </c>
      <c r="C1379">
        <v>308</v>
      </c>
      <c r="D1379">
        <v>334.79</v>
      </c>
      <c r="E1379">
        <v>334.8</v>
      </c>
      <c r="F1379">
        <v>-0.01</v>
      </c>
    </row>
    <row r="1380" spans="1:6" x14ac:dyDescent="0.3">
      <c r="A1380" t="str">
        <f>HYPERLINK("https://us2.cloudbeds.com/connect/10074733072513#/reservations/30646539686026?display=YQ30411SY&amp;reservation_id=30646539686026", "YQ30411SY")</f>
        <v>YQ30411SY</v>
      </c>
      <c r="B1380" t="s">
        <v>42</v>
      </c>
      <c r="C1380">
        <v>87.2</v>
      </c>
      <c r="D1380">
        <v>94.78</v>
      </c>
      <c r="E1380">
        <v>94.79</v>
      </c>
      <c r="F1380">
        <v>-0.01</v>
      </c>
    </row>
    <row r="1381" spans="1:6" x14ac:dyDescent="0.3">
      <c r="A1381" t="str">
        <f>HYPERLINK("https://us2.cloudbeds.com/connect/10074733072513#/reservations/30647647031436?display=YQ3SDPXW5&amp;reservation_id=30647647031436", "YQ3SDPXW5")</f>
        <v>YQ3SDPXW5</v>
      </c>
      <c r="B1381" t="s">
        <v>32</v>
      </c>
      <c r="C1381">
        <v>134.1</v>
      </c>
      <c r="D1381">
        <v>145.76</v>
      </c>
      <c r="E1381">
        <v>145.77000000000001</v>
      </c>
      <c r="F1381">
        <v>-0.01</v>
      </c>
    </row>
    <row r="1382" spans="1:6" x14ac:dyDescent="0.3">
      <c r="A1382" t="str">
        <f>HYPERLINK("https://us2.cloudbeds.com/connect/10074733072513#/reservations/30649313620162?display=YQ5502SFR&amp;reservation_id=30649313620162", "YQ5502SFR")</f>
        <v>YQ5502SFR</v>
      </c>
      <c r="B1382" t="s">
        <v>64</v>
      </c>
      <c r="C1382">
        <v>134.1</v>
      </c>
      <c r="D1382">
        <v>145.76</v>
      </c>
      <c r="E1382">
        <v>145.77000000000001</v>
      </c>
      <c r="F1382">
        <v>-0.01</v>
      </c>
    </row>
    <row r="1383" spans="1:6" x14ac:dyDescent="0.3">
      <c r="A1383" t="str">
        <f>HYPERLINK("https://us2.cloudbeds.com/connect/10074733072513#/reservations/30647801409736?display=YQ3WBVCGF&amp;reservation_id=30647801409736", "YQ3WBVCGF")</f>
        <v>YQ3WBVCGF</v>
      </c>
      <c r="B1383" t="s">
        <v>51</v>
      </c>
      <c r="C1383">
        <v>103.2</v>
      </c>
      <c r="D1383">
        <v>112.17</v>
      </c>
      <c r="E1383">
        <v>112.18</v>
      </c>
      <c r="F1383">
        <v>-0.01</v>
      </c>
    </row>
    <row r="1384" spans="1:6" x14ac:dyDescent="0.3">
      <c r="A1384" t="str">
        <f>HYPERLINK("https://us2.cloudbeds.com/connect/10074733072513#/reservations/30646904918234?display=YQ39F05WA&amp;reservation_id=30646904918234", "YQ39F05WA")</f>
        <v>YQ39F05WA</v>
      </c>
      <c r="B1384" t="s">
        <v>11</v>
      </c>
      <c r="C1384">
        <v>304.2</v>
      </c>
      <c r="D1384">
        <v>330.66</v>
      </c>
      <c r="E1384">
        <v>330.67</v>
      </c>
      <c r="F1384">
        <v>-0.01</v>
      </c>
    </row>
    <row r="1385" spans="1:6" x14ac:dyDescent="0.3">
      <c r="A1385" t="str">
        <f>HYPERLINK("https://us2.cloudbeds.com/connect/10074733072513#/reservations/30646933754052?display=YQ3A6AJ4W&amp;reservation_id=30646933754052", "YQ3A6AJ4W")</f>
        <v>YQ3A6AJ4W</v>
      </c>
      <c r="B1385" t="s">
        <v>58</v>
      </c>
      <c r="C1385">
        <v>87.2</v>
      </c>
      <c r="D1385">
        <v>94.78</v>
      </c>
      <c r="E1385">
        <v>94.79</v>
      </c>
      <c r="F1385">
        <v>-0.01</v>
      </c>
    </row>
    <row r="1386" spans="1:6" x14ac:dyDescent="0.3">
      <c r="A1386" t="str">
        <f>HYPERLINK("https://us2.cloudbeds.com/connect/10074733072513#/reservations/30647780454603?display=YQ3VR98VE&amp;reservation_id=30647780454603", "YQ3VR98VE")</f>
        <v>YQ3VR98VE</v>
      </c>
      <c r="B1386" t="s">
        <v>11</v>
      </c>
      <c r="C1386">
        <v>127.2</v>
      </c>
      <c r="D1386">
        <v>138.26</v>
      </c>
      <c r="E1386">
        <v>138.27000000000001</v>
      </c>
      <c r="F1386">
        <v>-0.01</v>
      </c>
    </row>
    <row r="1387" spans="1:6" x14ac:dyDescent="0.3">
      <c r="A1387" t="str">
        <f>HYPERLINK("https://us2.cloudbeds.com/connect/10074733072513#/reservations/30647284613363?display=YQ3J55P0A&amp;reservation_id=30647284613363", "YQ3J55P0A")</f>
        <v>YQ3J55P0A</v>
      </c>
      <c r="B1387" t="s">
        <v>65</v>
      </c>
      <c r="C1387">
        <v>357.3</v>
      </c>
      <c r="D1387">
        <v>388.38</v>
      </c>
      <c r="E1387">
        <v>388.39</v>
      </c>
      <c r="F1387">
        <v>-0.01</v>
      </c>
    </row>
    <row r="1388" spans="1:6" x14ac:dyDescent="0.3">
      <c r="A1388" t="str">
        <f>HYPERLINK("https://us2.cloudbeds.com/connect/10074733072513#/reservations/30646693654699?display=YQ341SF7W&amp;reservation_id=30646693654699", "YQ341SF7W")</f>
        <v>YQ341SF7W</v>
      </c>
      <c r="B1388" t="s">
        <v>55</v>
      </c>
      <c r="C1388">
        <v>76.16</v>
      </c>
      <c r="D1388">
        <v>82.78</v>
      </c>
      <c r="E1388">
        <v>82.79</v>
      </c>
      <c r="F1388">
        <v>-0.01</v>
      </c>
    </row>
    <row r="1389" spans="1:6" x14ac:dyDescent="0.3">
      <c r="A1389" t="str">
        <f>HYPERLINK("https://us2.cloudbeds.com/connect/10074733072513#/reservations/30648701055133?display=YQ4MBXB56&amp;reservation_id=30648701055133", "YQ4MBXB56")</f>
        <v>YQ4MBXB56</v>
      </c>
      <c r="B1389" t="s">
        <v>66</v>
      </c>
      <c r="C1389">
        <v>100.08</v>
      </c>
      <c r="D1389">
        <v>108.78</v>
      </c>
      <c r="E1389">
        <v>108.79</v>
      </c>
      <c r="F1389">
        <v>-0.01</v>
      </c>
    </row>
    <row r="1390" spans="1:6" x14ac:dyDescent="0.3">
      <c r="A1390" t="str">
        <f>HYPERLINK("https://us2.cloudbeds.com/connect/10074733072513#/reservations/30646761959575?display=YQ35QF4QZ&amp;reservation_id=30646761959575", "YQ35QF4QZ")</f>
        <v>YQ35QF4QZ</v>
      </c>
      <c r="B1390" t="s">
        <v>67</v>
      </c>
      <c r="C1390">
        <v>143.65</v>
      </c>
      <c r="D1390">
        <v>156.13999999999999</v>
      </c>
      <c r="E1390">
        <v>156.15</v>
      </c>
      <c r="F1390">
        <v>-0.01</v>
      </c>
    </row>
    <row r="1391" spans="1:6" x14ac:dyDescent="0.3">
      <c r="A1391" t="str">
        <f>HYPERLINK("https://us2.cloudbeds.com/connect/10074733072513#/reservations/30648521244810?display=YQ4HZUS2H&amp;reservation_id=30648521244810", "YQ4HZUS2H")</f>
        <v>YQ4HZUS2H</v>
      </c>
      <c r="B1391" t="s">
        <v>68</v>
      </c>
      <c r="C1391">
        <v>76.16</v>
      </c>
      <c r="D1391">
        <v>82.78</v>
      </c>
      <c r="E1391">
        <v>82.79</v>
      </c>
      <c r="F1391">
        <v>-0.01</v>
      </c>
    </row>
    <row r="1392" spans="1:6" x14ac:dyDescent="0.3">
      <c r="A1392" t="str">
        <f>HYPERLINK("https://us2.cloudbeds.com/connect/10074733072513#/reservations/30648491585745?display=YQ4GWUHUW&amp;reservation_id=30648491585745", "YQ4GWUHUW")</f>
        <v>YQ4GWUHUW</v>
      </c>
      <c r="B1392" t="s">
        <v>25</v>
      </c>
      <c r="C1392">
        <v>103.2</v>
      </c>
      <c r="D1392">
        <v>112.17</v>
      </c>
      <c r="E1392">
        <v>112.18</v>
      </c>
      <c r="F1392">
        <v>-0.01</v>
      </c>
    </row>
    <row r="1393" spans="1:6" x14ac:dyDescent="0.3">
      <c r="A1393" t="str">
        <f>HYPERLINK("https://us2.cloudbeds.com/connect/10074733072513#/reservations/30648003277010?display=YQ44H5KTJ&amp;reservation_id=30648003277010", "YQ44H5KTJ")</f>
        <v>YQ44H5KTJ</v>
      </c>
      <c r="B1393" t="s">
        <v>62</v>
      </c>
      <c r="C1393">
        <v>100.08</v>
      </c>
      <c r="D1393">
        <v>108.78</v>
      </c>
      <c r="E1393">
        <v>108.79</v>
      </c>
      <c r="F1393">
        <v>-0.01</v>
      </c>
    </row>
    <row r="1394" spans="1:6" x14ac:dyDescent="0.3">
      <c r="A1394" t="str">
        <f>HYPERLINK("https://us2.cloudbeds.com/connect/10074733072513#/reservations/30648504787125?display=YQ4HB1TDQ&amp;reservation_id=30648504787125", "YQ4HB1TDQ")</f>
        <v>YQ4HB1TDQ</v>
      </c>
      <c r="B1394" t="s">
        <v>25</v>
      </c>
      <c r="C1394">
        <v>103.2</v>
      </c>
      <c r="D1394">
        <v>112.17</v>
      </c>
      <c r="E1394">
        <v>112.18</v>
      </c>
      <c r="F1394">
        <v>-0.01</v>
      </c>
    </row>
    <row r="1395" spans="1:6" x14ac:dyDescent="0.3">
      <c r="A1395" t="str">
        <f>HYPERLINK("https://us2.cloudbeds.com/connect/10074733072513#/reservations/30646900875461?display=YQ39BJMK1&amp;reservation_id=30646900875461", "YQ39BJMK1")</f>
        <v>YQ39BJMK1</v>
      </c>
      <c r="B1395" t="s">
        <v>58</v>
      </c>
      <c r="C1395">
        <v>87.2</v>
      </c>
      <c r="D1395">
        <v>94.78</v>
      </c>
      <c r="E1395">
        <v>94.79</v>
      </c>
      <c r="F1395">
        <v>-0.01</v>
      </c>
    </row>
    <row r="1396" spans="1:6" x14ac:dyDescent="0.3">
      <c r="A1396" t="str">
        <f>HYPERLINK("https://us2.cloudbeds.com/connect/10074733072513#/reservations/30648976224405?display=YQ4TCJARW&amp;reservation_id=30648976224405", "YQ4TCJARW")</f>
        <v>YQ4TCJARW</v>
      </c>
      <c r="B1396" t="s">
        <v>69</v>
      </c>
      <c r="C1396">
        <v>222.4</v>
      </c>
      <c r="D1396">
        <v>241.74</v>
      </c>
      <c r="E1396">
        <v>241.75</v>
      </c>
      <c r="F1396">
        <v>-0.01</v>
      </c>
    </row>
    <row r="1397" spans="1:6" x14ac:dyDescent="0.3">
      <c r="A1397" t="str">
        <f>HYPERLINK("https://us2.cloudbeds.com/connect/10074733072513#/reservations/30646973472994?display=YQ3B6QR09&amp;reservation_id=30646973472994", "YQ3B6QR09")</f>
        <v>YQ3B6QR09</v>
      </c>
      <c r="B1397" t="s">
        <v>53</v>
      </c>
      <c r="C1397">
        <v>87.2</v>
      </c>
      <c r="D1397">
        <v>94.78</v>
      </c>
      <c r="E1397">
        <v>94.79</v>
      </c>
      <c r="F1397">
        <v>-0.01</v>
      </c>
    </row>
    <row r="1398" spans="1:6" x14ac:dyDescent="0.3">
      <c r="A1398" t="str">
        <f>HYPERLINK("https://us2.cloudbeds.com/connect/10074733072513#/reservations/30649946808522?display=YQ5Y608YT&amp;reservation_id=30649946808522", "YQ5Y608YT")</f>
        <v>YQ5Y608YT</v>
      </c>
      <c r="B1398" t="s">
        <v>70</v>
      </c>
      <c r="C1398">
        <v>76.16</v>
      </c>
      <c r="D1398">
        <v>82.78</v>
      </c>
      <c r="E1398">
        <v>82.79</v>
      </c>
      <c r="F1398">
        <v>-0.01</v>
      </c>
    </row>
    <row r="1399" spans="1:6" x14ac:dyDescent="0.3">
      <c r="A1399" t="str">
        <f>HYPERLINK("https://us2.cloudbeds.com/connect/10074733072513#/reservations/30648881877135?display=YQ4QW0W7Q&amp;reservation_id=30648881877135", "YQ4QW0W7Q")</f>
        <v>YQ4QW0W7Q</v>
      </c>
      <c r="B1399" t="s">
        <v>71</v>
      </c>
      <c r="C1399">
        <v>76.16</v>
      </c>
      <c r="D1399">
        <v>82.78</v>
      </c>
      <c r="E1399">
        <v>82.79</v>
      </c>
      <c r="F1399">
        <v>-0.01</v>
      </c>
    </row>
    <row r="1400" spans="1:6" x14ac:dyDescent="0.3">
      <c r="A1400" t="str">
        <f>HYPERLINK("https://us2.cloudbeds.com/connect/10074733072513#/reservations/30647532007559?display=YQ3PFPSJ4&amp;reservation_id=30647532007559", "YQ3PFPSJ4")</f>
        <v>YQ3PFPSJ4</v>
      </c>
      <c r="B1400" t="s">
        <v>26</v>
      </c>
      <c r="C1400">
        <v>196.2</v>
      </c>
      <c r="D1400">
        <v>213.26</v>
      </c>
      <c r="E1400">
        <v>213.27</v>
      </c>
      <c r="F1400">
        <v>-0.01</v>
      </c>
    </row>
    <row r="1401" spans="1:6" x14ac:dyDescent="0.3">
      <c r="A1401" t="str">
        <f>HYPERLINK("https://us2.cloudbeds.com/connect/10074733072513#/reservations/30647580827859?display=YQ3QNVBW5&amp;reservation_id=30647580827859", "YQ3QNVBW5")</f>
        <v>YQ3QNVBW5</v>
      </c>
      <c r="B1401" t="s">
        <v>72</v>
      </c>
      <c r="C1401">
        <v>268.2</v>
      </c>
      <c r="D1401">
        <v>291.52</v>
      </c>
      <c r="E1401">
        <v>291.52999999999997</v>
      </c>
      <c r="F1401">
        <v>-0.01</v>
      </c>
    </row>
    <row r="1402" spans="1:6" x14ac:dyDescent="0.3">
      <c r="A1402" t="str">
        <f>HYPERLINK("https://us2.cloudbeds.com/connect/10074733072513#/reservations/30646816444565?display=YQ376D8V1&amp;reservation_id=30646816444565", "YQ376D8V1")</f>
        <v>YQ376D8V1</v>
      </c>
      <c r="B1402" t="s">
        <v>58</v>
      </c>
      <c r="C1402">
        <v>76.16</v>
      </c>
      <c r="D1402">
        <v>82.78</v>
      </c>
      <c r="E1402">
        <v>82.79</v>
      </c>
      <c r="F1402">
        <v>-0.01</v>
      </c>
    </row>
    <row r="1403" spans="1:6" x14ac:dyDescent="0.3">
      <c r="A1403" t="str">
        <f>HYPERLINK("https://us2.cloudbeds.com/connect/10074733072513#/reservations/30646830235867?display=YQ37X1149&amp;reservation_id=30646830235867", "YQ37X1149")</f>
        <v>YQ37X1149</v>
      </c>
      <c r="B1403" t="s">
        <v>58</v>
      </c>
      <c r="C1403">
        <v>76.16</v>
      </c>
      <c r="D1403">
        <v>82.78</v>
      </c>
      <c r="E1403">
        <v>82.79</v>
      </c>
      <c r="F1403">
        <v>-0.01</v>
      </c>
    </row>
    <row r="1404" spans="1:6" x14ac:dyDescent="0.3">
      <c r="A1404" t="str">
        <f>HYPERLINK("https://us2.cloudbeds.com/connect/10074733072513#/reservations/30647167987937?display=YQ3G5RFVG&amp;reservation_id=30647167987937", "YQ3G5RFVG")</f>
        <v>YQ3G5RFVG</v>
      </c>
      <c r="B1404" t="s">
        <v>14</v>
      </c>
      <c r="C1404">
        <v>222.4</v>
      </c>
      <c r="D1404">
        <v>241.74</v>
      </c>
      <c r="E1404">
        <v>241.75</v>
      </c>
      <c r="F1404">
        <v>-0.01</v>
      </c>
    </row>
    <row r="1405" spans="1:6" x14ac:dyDescent="0.3">
      <c r="A1405" t="str">
        <f>HYPERLINK("https://us2.cloudbeds.com/connect/10074733072513#/reservations/30646953795726?display=YQ3AN78TE&amp;reservation_id=30646953795726", "YQ3AN78TE")</f>
        <v>YQ3AN78TE</v>
      </c>
      <c r="B1405" t="s">
        <v>53</v>
      </c>
      <c r="C1405">
        <v>87.2</v>
      </c>
      <c r="D1405">
        <v>94.78</v>
      </c>
      <c r="E1405">
        <v>94.79</v>
      </c>
      <c r="F1405">
        <v>-0.01</v>
      </c>
    </row>
    <row r="1406" spans="1:6" x14ac:dyDescent="0.3">
      <c r="A1406" t="str">
        <f>HYPERLINK("https://us2.cloudbeds.com/connect/10074733072513#/reservations/30647910842516?display=YQ4257GZA&amp;reservation_id=30647910842516", "YQ4257GZA")</f>
        <v>YQ4257GZA</v>
      </c>
      <c r="B1406" t="s">
        <v>53</v>
      </c>
      <c r="C1406">
        <v>87.2</v>
      </c>
      <c r="D1406">
        <v>94.78</v>
      </c>
      <c r="E1406">
        <v>94.79</v>
      </c>
      <c r="F1406">
        <v>-0.01</v>
      </c>
    </row>
    <row r="1407" spans="1:6" x14ac:dyDescent="0.3">
      <c r="A1407" t="str">
        <f>HYPERLINK("https://us2.cloudbeds.com/connect/10074733072513#/reservations/30647821316264?display=YQ3WSZA4J&amp;reservation_id=30647821316264", "YQ3WSZA4J")</f>
        <v>YQ3WSZA4J</v>
      </c>
      <c r="B1407" t="s">
        <v>53</v>
      </c>
      <c r="C1407">
        <v>174.4</v>
      </c>
      <c r="D1407">
        <v>189.56</v>
      </c>
      <c r="E1407">
        <v>189.57</v>
      </c>
      <c r="F1407">
        <v>-0.01</v>
      </c>
    </row>
    <row r="1408" spans="1:6" x14ac:dyDescent="0.3">
      <c r="A1408" t="str">
        <f>HYPERLINK("https://us2.cloudbeds.com/connect/10074733072513#/reservations/30646967611594?display=YQ3B1SNY3&amp;reservation_id=30646967611594", "YQ3B1SNY3")</f>
        <v>YQ3B1SNY3</v>
      </c>
      <c r="B1408" t="s">
        <v>14</v>
      </c>
      <c r="C1408">
        <v>222.4</v>
      </c>
      <c r="D1408">
        <v>241.74</v>
      </c>
      <c r="E1408">
        <v>241.75</v>
      </c>
      <c r="F1408">
        <v>-0.01</v>
      </c>
    </row>
    <row r="1409" spans="1:6" x14ac:dyDescent="0.3">
      <c r="A1409" t="str">
        <f>HYPERLINK("https://us2.cloudbeds.com/connect/10074733072513#/reservations/30647251579091?display=YQ3XAAHGP&amp;reservation_id=30647251579091", "YQ3XAAHGP")</f>
        <v>YQ3XAAHGP</v>
      </c>
      <c r="B1409" t="s">
        <v>65</v>
      </c>
      <c r="C1409">
        <v>250.2</v>
      </c>
      <c r="D1409">
        <v>271.95999999999998</v>
      </c>
      <c r="E1409">
        <v>271.97000000000003</v>
      </c>
      <c r="F1409">
        <v>-0.01</v>
      </c>
    </row>
    <row r="1410" spans="1:6" x14ac:dyDescent="0.3">
      <c r="A1410" t="str">
        <f>HYPERLINK("https://us2.cloudbeds.com/connect/10074733072513#/reservations/30648887185644?display=YQ4R3GMTN&amp;reservation_id=30648887185644", "YQ4R3GMTN")</f>
        <v>YQ4R3GMTN</v>
      </c>
      <c r="B1410" t="s">
        <v>71</v>
      </c>
      <c r="C1410">
        <v>87.2</v>
      </c>
      <c r="D1410">
        <v>94.78</v>
      </c>
      <c r="E1410">
        <v>94.79</v>
      </c>
      <c r="F1410">
        <v>-0.01</v>
      </c>
    </row>
    <row r="1411" spans="1:6" x14ac:dyDescent="0.3">
      <c r="A1411" t="str">
        <f>HYPERLINK("https://us2.cloudbeds.com/connect/10074733072513#/reservations/30647050186956?display=YQ3D5GGDQ&amp;reservation_id=30647050186956", "YQ3D5GGDQ")</f>
        <v>YQ3D5GGDQ</v>
      </c>
      <c r="B1411" t="s">
        <v>73</v>
      </c>
      <c r="C1411">
        <v>76.16</v>
      </c>
      <c r="D1411">
        <v>82.78</v>
      </c>
      <c r="E1411">
        <v>82.79</v>
      </c>
      <c r="F1411">
        <v>-0.01</v>
      </c>
    </row>
    <row r="1412" spans="1:6" x14ac:dyDescent="0.3">
      <c r="A1412" t="str">
        <f>HYPERLINK("https://us2.cloudbeds.com/connect/10074733072513#/reservations/30647015858358?display=YQ3C9X8C8&amp;reservation_id=30647015858358", "YQ3C9X8C8")</f>
        <v>YQ3C9X8C8</v>
      </c>
      <c r="B1412" t="s">
        <v>73</v>
      </c>
      <c r="C1412">
        <v>87.2</v>
      </c>
      <c r="D1412">
        <v>94.78</v>
      </c>
      <c r="E1412">
        <v>94.79</v>
      </c>
      <c r="F1412">
        <v>-0.01</v>
      </c>
    </row>
    <row r="1413" spans="1:6" x14ac:dyDescent="0.3">
      <c r="A1413" t="str">
        <f>HYPERLINK("https://us2.cloudbeds.com/connect/10074733072513#/reservations/30648976220311?display=YQ4TCJ72U&amp;reservation_id=30648976220311", "YQ4TCJ72U")</f>
        <v>YQ4TCJ72U</v>
      </c>
      <c r="B1413" t="s">
        <v>69</v>
      </c>
      <c r="C1413">
        <v>127.2</v>
      </c>
      <c r="D1413">
        <v>138.26</v>
      </c>
      <c r="E1413">
        <v>138.27000000000001</v>
      </c>
      <c r="F1413">
        <v>-0.01</v>
      </c>
    </row>
    <row r="1414" spans="1:6" x14ac:dyDescent="0.3">
      <c r="A1414" t="str">
        <f>HYPERLINK("https://us2.cloudbeds.com/connect/10074733072513#/reservations/30647187534025?display=YQ3GMACK6&amp;reservation_id=30647187534025", "YQ3GMACK6")</f>
        <v>YQ3GMACK6</v>
      </c>
      <c r="B1414" t="s">
        <v>52</v>
      </c>
      <c r="C1414">
        <v>250.2</v>
      </c>
      <c r="D1414">
        <v>271.95999999999998</v>
      </c>
      <c r="E1414">
        <v>271.97000000000003</v>
      </c>
      <c r="F1414">
        <v>-0.01</v>
      </c>
    </row>
    <row r="1415" spans="1:6" x14ac:dyDescent="0.3">
      <c r="A1415" t="str">
        <f>HYPERLINK("https://us2.cloudbeds.com/connect/10074733072513#/reservations/30648745373874?display=YQ4NFUXTB&amp;reservation_id=30648745373874", "YQ4NFUXTB")</f>
        <v>YQ4NFUXTB</v>
      </c>
      <c r="B1415" t="s">
        <v>71</v>
      </c>
      <c r="C1415">
        <v>196.2</v>
      </c>
      <c r="D1415">
        <v>213.26</v>
      </c>
      <c r="E1415">
        <v>213.27</v>
      </c>
      <c r="F1415">
        <v>-0.01</v>
      </c>
    </row>
    <row r="1416" spans="1:6" x14ac:dyDescent="0.3">
      <c r="A1416" t="str">
        <f>HYPERLINK("https://us2.cloudbeds.com/connect/10074733072513#/reservations/30648734597373?display=YQ4N6RN3N&amp;reservation_id=30648734597373", "YQ4N6RN3N")</f>
        <v>YQ4N6RN3N</v>
      </c>
      <c r="B1416" t="s">
        <v>71</v>
      </c>
      <c r="C1416">
        <v>196.2</v>
      </c>
      <c r="D1416">
        <v>213.26</v>
      </c>
      <c r="E1416">
        <v>213.27</v>
      </c>
      <c r="F1416">
        <v>-0.01</v>
      </c>
    </row>
    <row r="1417" spans="1:6" x14ac:dyDescent="0.3">
      <c r="A1417" t="str">
        <f>HYPERLINK("https://us2.cloudbeds.com/connect/10074733072513#/reservations/30648614973578?display=YQ4K4VWZ7&amp;reservation_id=30648614973578", "YQ4K4VWZ7")</f>
        <v>YQ4K4VWZ7</v>
      </c>
      <c r="B1417" t="s">
        <v>54</v>
      </c>
      <c r="C1417">
        <v>152.32</v>
      </c>
      <c r="D1417">
        <v>165.56</v>
      </c>
      <c r="E1417">
        <v>165.57</v>
      </c>
      <c r="F1417">
        <v>-0.01</v>
      </c>
    </row>
    <row r="1418" spans="1:6" x14ac:dyDescent="0.3">
      <c r="A1418" t="str">
        <f>HYPERLINK("https://us2.cloudbeds.com/connect/10074733072513#/reservations/30648723746944?display=YQ4MPXW4B&amp;reservation_id=30648723746944", "YQ4MPXW4B")</f>
        <v>YQ4MPXW4B</v>
      </c>
      <c r="B1418" t="s">
        <v>66</v>
      </c>
      <c r="C1418">
        <v>103.2</v>
      </c>
      <c r="D1418">
        <v>112.17</v>
      </c>
      <c r="E1418">
        <v>112.18</v>
      </c>
      <c r="F1418">
        <v>-0.01</v>
      </c>
    </row>
    <row r="1419" spans="1:6" x14ac:dyDescent="0.3">
      <c r="A1419" t="str">
        <f>HYPERLINK("https://us2.cloudbeds.com/connect/10074733072513#/reservations/30648961863823?display=YQ4T0FNTR&amp;reservation_id=30648961863823", "YQ4T0FNTR")</f>
        <v>YQ4T0FNTR</v>
      </c>
      <c r="B1419" t="s">
        <v>69</v>
      </c>
      <c r="C1419">
        <v>134.1</v>
      </c>
      <c r="D1419">
        <v>145.76</v>
      </c>
      <c r="E1419">
        <v>145.77000000000001</v>
      </c>
      <c r="F1419">
        <v>-0.01</v>
      </c>
    </row>
    <row r="1420" spans="1:6" x14ac:dyDescent="0.3">
      <c r="A1420" t="str">
        <f>HYPERLINK("https://us2.cloudbeds.com/connect/10074733072513#/reservations/30648155640022?display=YQ48DYBRX&amp;reservation_id=30648155640022", "YQ48DYBRX")</f>
        <v>YQ48DYBRX</v>
      </c>
      <c r="B1420" t="s">
        <v>54</v>
      </c>
      <c r="C1420">
        <v>87.2</v>
      </c>
      <c r="D1420">
        <v>94.78</v>
      </c>
      <c r="E1420">
        <v>94.79</v>
      </c>
      <c r="F1420">
        <v>-0.01</v>
      </c>
    </row>
    <row r="1421" spans="1:6" x14ac:dyDescent="0.3">
      <c r="A1421" t="str">
        <f>HYPERLINK("https://us2.cloudbeds.com/connect/10074733072513#/reservations/30647107719300?display=YQ3EY0DS5&amp;reservation_id=30647107719300", "YQ3EY0DS5")</f>
        <v>YQ3EY0DS5</v>
      </c>
      <c r="B1421" t="s">
        <v>61</v>
      </c>
      <c r="C1421">
        <v>87.2</v>
      </c>
      <c r="D1421">
        <v>94.78</v>
      </c>
      <c r="E1421">
        <v>94.79</v>
      </c>
      <c r="F1421">
        <v>-0.01</v>
      </c>
    </row>
    <row r="1422" spans="1:6" x14ac:dyDescent="0.3">
      <c r="A1422" t="str">
        <f>HYPERLINK("https://us2.cloudbeds.com/connect/10074733072513#/reservations/30648143212745?display=YQ4835X6D&amp;reservation_id=30648143212745", "YQ4835X6D")</f>
        <v>YQ4835X6D</v>
      </c>
      <c r="B1422" t="s">
        <v>54</v>
      </c>
      <c r="C1422">
        <v>76.16</v>
      </c>
      <c r="D1422">
        <v>82.78</v>
      </c>
      <c r="E1422">
        <v>82.79</v>
      </c>
      <c r="F1422">
        <v>-0.01</v>
      </c>
    </row>
    <row r="1423" spans="1:6" x14ac:dyDescent="0.3">
      <c r="A1423" t="str">
        <f>HYPERLINK("https://us2.cloudbeds.com/connect/10074733072513#/reservations/30650310918354?display=YQ5UG1545&amp;reservation_id=30650310918354", "YQ5UG1545")</f>
        <v>YQ5UG1545</v>
      </c>
      <c r="B1423" t="s">
        <v>74</v>
      </c>
      <c r="C1423">
        <v>87.2</v>
      </c>
      <c r="D1423">
        <v>94.78</v>
      </c>
      <c r="E1423">
        <v>94.79</v>
      </c>
      <c r="F1423">
        <v>-0.01</v>
      </c>
    </row>
    <row r="1424" spans="1:6" x14ac:dyDescent="0.3">
      <c r="A1424" t="str">
        <f>HYPERLINK("https://us2.cloudbeds.com/connect/10074733072513#/reservations/30647961460885?display=YQ43EU189&amp;reservation_id=30647961460885", "YQ43EU189")</f>
        <v>YQ43EU189</v>
      </c>
      <c r="B1424" t="s">
        <v>30</v>
      </c>
      <c r="C1424">
        <v>127.2</v>
      </c>
      <c r="D1424">
        <v>138.26</v>
      </c>
      <c r="E1424">
        <v>138.27000000000001</v>
      </c>
      <c r="F1424">
        <v>-0.01</v>
      </c>
    </row>
    <row r="1425" spans="1:6" x14ac:dyDescent="0.3">
      <c r="A1425" t="str">
        <f>HYPERLINK("https://us2.cloudbeds.com/connect/10074733072513#/reservations/30650321711236?display=YQ5UP4FV6&amp;reservation_id=30650321711236", "YQ5UP4FV6")</f>
        <v>YQ5UP4FV6</v>
      </c>
      <c r="B1425" t="s">
        <v>74</v>
      </c>
      <c r="C1425">
        <v>87.2</v>
      </c>
      <c r="D1425">
        <v>94.78</v>
      </c>
      <c r="E1425">
        <v>94.79</v>
      </c>
      <c r="F1425">
        <v>-0.01</v>
      </c>
    </row>
    <row r="1426" spans="1:6" x14ac:dyDescent="0.3">
      <c r="A1426" t="str">
        <f>HYPERLINK("https://us2.cloudbeds.com/connect/10074733072513#/reservations/30648204492999?display=YQ49YRP7Q&amp;reservation_id=30648204492999", "YQ49YRP7Q")</f>
        <v>YQ49YRP7Q</v>
      </c>
      <c r="B1426" t="s">
        <v>30</v>
      </c>
      <c r="C1426">
        <v>127.2</v>
      </c>
      <c r="D1426">
        <v>138.26</v>
      </c>
      <c r="E1426">
        <v>138.27000000000001</v>
      </c>
      <c r="F1426">
        <v>-0.01</v>
      </c>
    </row>
    <row r="1427" spans="1:6" x14ac:dyDescent="0.3">
      <c r="A1427" t="str">
        <f>HYPERLINK("https://us2.cloudbeds.com/connect/10074733072513#/reservations/30648223420598?display=YQ4A4QEVD&amp;reservation_id=30648223420598", "YQ4A4QEVD")</f>
        <v>YQ4A4QEVD</v>
      </c>
      <c r="B1427" t="s">
        <v>30</v>
      </c>
      <c r="C1427">
        <v>127.2</v>
      </c>
      <c r="D1427">
        <v>138.26</v>
      </c>
      <c r="E1427">
        <v>138.27000000000001</v>
      </c>
      <c r="F1427">
        <v>-0.01</v>
      </c>
    </row>
    <row r="1428" spans="1:6" x14ac:dyDescent="0.3">
      <c r="A1428" t="str">
        <f>HYPERLINK("https://us2.cloudbeds.com/connect/10074733072513#/reservations/30648228421836?display=YQ4A90KF2&amp;reservation_id=30648228421836", "YQ4A90KF2")</f>
        <v>YQ4A90KF2</v>
      </c>
      <c r="B1428" t="s">
        <v>30</v>
      </c>
      <c r="C1428">
        <v>127.2</v>
      </c>
      <c r="D1428">
        <v>138.26</v>
      </c>
      <c r="E1428">
        <v>138.27000000000001</v>
      </c>
      <c r="F1428">
        <v>-0.01</v>
      </c>
    </row>
    <row r="1429" spans="1:6" x14ac:dyDescent="0.3">
      <c r="A1429" t="str">
        <f>HYPERLINK("https://us2.cloudbeds.com/connect/10074733072513#/reservations/30648653959390?display=YQ4Y4RRCF&amp;reservation_id=30648653959390", "YQ4Y4RRCF")</f>
        <v>YQ4Y4RRCF</v>
      </c>
      <c r="B1429" t="s">
        <v>72</v>
      </c>
      <c r="C1429">
        <v>103.2</v>
      </c>
      <c r="D1429">
        <v>112.17</v>
      </c>
      <c r="E1429">
        <v>112.18</v>
      </c>
      <c r="F1429">
        <v>-0.01</v>
      </c>
    </row>
    <row r="1430" spans="1:6" x14ac:dyDescent="0.3">
      <c r="A1430" t="str">
        <f>HYPERLINK("https://us2.cloudbeds.com/connect/10074733072513#/reservations/30648929157344?display=YQ4S5TKDD&amp;reservation_id=30648929157344", "YQ4S5TKDD")</f>
        <v>YQ4S5TKDD</v>
      </c>
      <c r="B1430" t="s">
        <v>75</v>
      </c>
      <c r="C1430">
        <v>103.2</v>
      </c>
      <c r="D1430">
        <v>112.17</v>
      </c>
      <c r="E1430">
        <v>112.18</v>
      </c>
      <c r="F1430">
        <v>-0.01</v>
      </c>
    </row>
    <row r="1431" spans="1:6" x14ac:dyDescent="0.3">
      <c r="A1431" t="str">
        <f>HYPERLINK("https://us2.cloudbeds.com/connect/10074733072513#/reservations/30648213700805?display=YQ49TJWH7&amp;reservation_id=30648213700805", "YQ49TJWH7")</f>
        <v>YQ49TJWH7</v>
      </c>
      <c r="B1431" t="s">
        <v>30</v>
      </c>
      <c r="C1431">
        <v>127.2</v>
      </c>
      <c r="D1431">
        <v>138.26</v>
      </c>
      <c r="E1431">
        <v>138.27000000000001</v>
      </c>
      <c r="F1431">
        <v>-0.01</v>
      </c>
    </row>
    <row r="1432" spans="1:6" x14ac:dyDescent="0.3">
      <c r="A1432" t="str">
        <f>HYPERLINK("https://us2.cloudbeds.com/connect/10074733072513#/reservations/30648236757152?display=YQ4AG1XXD&amp;reservation_id=30648236757152", "YQ4AG1XXD")</f>
        <v>YQ4AG1XXD</v>
      </c>
      <c r="B1432" t="s">
        <v>30</v>
      </c>
      <c r="C1432">
        <v>127.2</v>
      </c>
      <c r="D1432">
        <v>138.26</v>
      </c>
      <c r="E1432">
        <v>138.27000000000001</v>
      </c>
      <c r="F1432">
        <v>-0.01</v>
      </c>
    </row>
    <row r="1433" spans="1:6" x14ac:dyDescent="0.3">
      <c r="A1433" t="str">
        <f>HYPERLINK("https://us2.cloudbeds.com/connect/10074733072513#/reservations/30647367618815?display=YQ3Y95GZ1&amp;reservation_id=30647367618815", "YQ3Y95GZ1")</f>
        <v>YQ3Y95GZ1</v>
      </c>
      <c r="B1433" t="s">
        <v>76</v>
      </c>
      <c r="C1433">
        <v>76.16</v>
      </c>
      <c r="D1433">
        <v>82.78</v>
      </c>
      <c r="E1433">
        <v>82.79</v>
      </c>
      <c r="F1433">
        <v>-0.01</v>
      </c>
    </row>
    <row r="1434" spans="1:6" x14ac:dyDescent="0.3">
      <c r="A1434" t="str">
        <f>HYPERLINK("https://us2.cloudbeds.com/connect/10074733072513#/reservations/30647362973858?display=YQ3Y588CP&amp;reservation_id=30647362973858", "YQ3Y588CP")</f>
        <v>YQ3Y588CP</v>
      </c>
      <c r="B1434" t="s">
        <v>76</v>
      </c>
      <c r="C1434">
        <v>76.16</v>
      </c>
      <c r="D1434">
        <v>82.78</v>
      </c>
      <c r="E1434">
        <v>82.79</v>
      </c>
      <c r="F1434">
        <v>-0.01</v>
      </c>
    </row>
    <row r="1435" spans="1:6" x14ac:dyDescent="0.3">
      <c r="A1435" t="str">
        <f>HYPERLINK("https://us2.cloudbeds.com/connect/10074733072513#/reservations/30647354962125?display=YQ3KVGADW&amp;reservation_id=30647354962125", "YQ3KVGADW")</f>
        <v>YQ3KVGADW</v>
      </c>
      <c r="B1435" t="s">
        <v>76</v>
      </c>
      <c r="C1435">
        <v>87.2</v>
      </c>
      <c r="D1435">
        <v>94.78</v>
      </c>
      <c r="E1435">
        <v>94.79</v>
      </c>
      <c r="F1435">
        <v>-0.01</v>
      </c>
    </row>
    <row r="1436" spans="1:6" x14ac:dyDescent="0.3">
      <c r="A1436" t="str">
        <f>HYPERLINK("https://us2.cloudbeds.com/connect/10074733072513#/reservations/30647339536526?display=YQ3KXG2GJ&amp;reservation_id=30647339536526", "YQ3KXG2GJ")</f>
        <v>YQ3KXG2GJ</v>
      </c>
      <c r="B1436" t="s">
        <v>76</v>
      </c>
      <c r="C1436">
        <v>87.2</v>
      </c>
      <c r="D1436">
        <v>94.78</v>
      </c>
      <c r="E1436">
        <v>94.79</v>
      </c>
      <c r="F1436">
        <v>-0.01</v>
      </c>
    </row>
    <row r="1437" spans="1:6" x14ac:dyDescent="0.3">
      <c r="A1437" t="str">
        <f>HYPERLINK("https://us2.cloudbeds.com/connect/10074733072513#/reservations/30647920275632?display=YQ42D5WUA&amp;reservation_id=30647920275632", "YQ42D5WUA")</f>
        <v>YQ42D5WUA</v>
      </c>
      <c r="B1437" t="s">
        <v>30</v>
      </c>
      <c r="C1437">
        <v>152.19999999999999</v>
      </c>
      <c r="D1437">
        <v>165.43</v>
      </c>
      <c r="E1437">
        <v>165.44</v>
      </c>
      <c r="F1437">
        <v>-0.01</v>
      </c>
    </row>
    <row r="1438" spans="1:6" x14ac:dyDescent="0.3">
      <c r="A1438" t="str">
        <f>HYPERLINK("https://us2.cloudbeds.com/connect/10074733072513#/reservations/30648249274608?display=YQ4AQJT08&amp;reservation_id=30648249274608", "YQ4AQJT08")</f>
        <v>YQ4AQJT08</v>
      </c>
      <c r="B1438" t="s">
        <v>30</v>
      </c>
      <c r="C1438">
        <v>127.2</v>
      </c>
      <c r="D1438">
        <v>138.26</v>
      </c>
      <c r="E1438">
        <v>138.27000000000001</v>
      </c>
      <c r="F1438">
        <v>-0.01</v>
      </c>
    </row>
    <row r="1439" spans="1:6" x14ac:dyDescent="0.3">
      <c r="A1439" t="str">
        <f>HYPERLINK("https://us2.cloudbeds.com/connect/10074733072513#/reservations/30649053515907?display=YQ4VBP2JM&amp;reservation_id=30649053515907", "YQ4VBP2JM")</f>
        <v>YQ4VBP2JM</v>
      </c>
      <c r="B1439" t="s">
        <v>75</v>
      </c>
      <c r="C1439">
        <v>76.16</v>
      </c>
      <c r="D1439">
        <v>82.78</v>
      </c>
      <c r="E1439">
        <v>82.79</v>
      </c>
      <c r="F1439">
        <v>-0.01</v>
      </c>
    </row>
    <row r="1440" spans="1:6" x14ac:dyDescent="0.3">
      <c r="A1440" t="str">
        <f>HYPERLINK("https://us2.cloudbeds.com/connect/10074733072513#/reservations/30648942711010?display=YQ4SHAPCX&amp;reservation_id=30648942711010", "YQ4SHAPCX")</f>
        <v>YQ4SHAPCX</v>
      </c>
      <c r="B1440" t="s">
        <v>75</v>
      </c>
      <c r="C1440">
        <v>196.2</v>
      </c>
      <c r="D1440">
        <v>213.26</v>
      </c>
      <c r="E1440">
        <v>213.27</v>
      </c>
      <c r="F1440">
        <v>-0.01</v>
      </c>
    </row>
    <row r="1441" spans="1:6" x14ac:dyDescent="0.3">
      <c r="A1441" t="str">
        <f>HYPERLINK("https://us2.cloudbeds.com/connect/10074733072513#/reservations/30647603200131?display=YQ3R9QTRQ&amp;reservation_id=30647603200131", "YQ3R9QTRQ")</f>
        <v>YQ3R9QTRQ</v>
      </c>
      <c r="B1441" t="s">
        <v>72</v>
      </c>
      <c r="C1441">
        <v>103.2</v>
      </c>
      <c r="D1441">
        <v>112.17</v>
      </c>
      <c r="E1441">
        <v>112.18</v>
      </c>
      <c r="F1441">
        <v>-0.01</v>
      </c>
    </row>
    <row r="1442" spans="1:6" x14ac:dyDescent="0.3">
      <c r="A1442" t="str">
        <f>HYPERLINK("https://us2.cloudbeds.com/connect/10074733072513#/reservations/30648266944711?display=YQ4B8GXWU&amp;reservation_id=30648266944711", "YQ4B8GXWU")</f>
        <v>YQ4B8GXWU</v>
      </c>
      <c r="B1442" t="s">
        <v>54</v>
      </c>
      <c r="C1442">
        <v>87.2</v>
      </c>
      <c r="D1442">
        <v>94.78</v>
      </c>
      <c r="E1442">
        <v>94.79</v>
      </c>
      <c r="F1442">
        <v>-0.01</v>
      </c>
    </row>
    <row r="1443" spans="1:6" x14ac:dyDescent="0.3">
      <c r="A1443" t="str">
        <f>HYPERLINK("https://us2.cloudbeds.com/connect/10074733072513#/reservations/30648084795526?display=YQ46JU06Y&amp;reservation_id=30648084795526", "YQ46JU06Y")</f>
        <v>YQ46JU06Y</v>
      </c>
      <c r="B1443" t="s">
        <v>61</v>
      </c>
      <c r="C1443">
        <v>87.2</v>
      </c>
      <c r="D1443">
        <v>94.78</v>
      </c>
      <c r="E1443">
        <v>94.79</v>
      </c>
      <c r="F1443">
        <v>-0.01</v>
      </c>
    </row>
    <row r="1444" spans="1:6" x14ac:dyDescent="0.3">
      <c r="A1444" t="str">
        <f>HYPERLINK("https://us2.cloudbeds.com/connect/10074733072513#/reservations/30649144316092?display=YQ50MAZ0F&amp;reservation_id=30649144316092", "YQ50MAZ0F")</f>
        <v>YQ50MAZ0F</v>
      </c>
      <c r="B1444" t="s">
        <v>77</v>
      </c>
      <c r="C1444">
        <v>87.2</v>
      </c>
      <c r="D1444">
        <v>94.78</v>
      </c>
      <c r="E1444">
        <v>94.79</v>
      </c>
      <c r="F1444">
        <v>-0.01</v>
      </c>
    </row>
    <row r="1445" spans="1:6" x14ac:dyDescent="0.3">
      <c r="A1445" t="str">
        <f>HYPERLINK("https://us2.cloudbeds.com/connect/10074733072513#/reservations/30648248639673?display=YQ4AQ26VQ&amp;reservation_id=30648248639673", "YQ4AQ26VQ")</f>
        <v>YQ4AQ26VQ</v>
      </c>
      <c r="B1445" t="s">
        <v>54</v>
      </c>
      <c r="C1445">
        <v>87.2</v>
      </c>
      <c r="D1445">
        <v>94.78</v>
      </c>
      <c r="E1445">
        <v>94.79</v>
      </c>
      <c r="F1445">
        <v>-0.01</v>
      </c>
    </row>
    <row r="1446" spans="1:6" x14ac:dyDescent="0.3">
      <c r="A1446" t="str">
        <f>HYPERLINK("https://us2.cloudbeds.com/connect/10074733072513#/reservations/30648924389512?display=YQ4S1SV7Y&amp;reservation_id=30648924389512", "YQ4S1SV7Y")</f>
        <v>YQ4S1SV7Y</v>
      </c>
      <c r="B1446" t="s">
        <v>75</v>
      </c>
      <c r="C1446">
        <v>103.2</v>
      </c>
      <c r="D1446">
        <v>112.17</v>
      </c>
      <c r="E1446">
        <v>112.18</v>
      </c>
      <c r="F1446">
        <v>-0.01</v>
      </c>
    </row>
    <row r="1447" spans="1:6" x14ac:dyDescent="0.3">
      <c r="A1447" t="str">
        <f>HYPERLINK("https://us2.cloudbeds.com/connect/10074733072513#/reservations/30648483004593?display=YQ4GPMP32&amp;reservation_id=30648483004593", "YQ4GPMP32")</f>
        <v>YQ4GPMP32</v>
      </c>
      <c r="B1447" t="s">
        <v>78</v>
      </c>
      <c r="C1447">
        <v>103.2</v>
      </c>
      <c r="D1447">
        <v>112.17</v>
      </c>
      <c r="E1447">
        <v>112.18</v>
      </c>
      <c r="F1447">
        <v>-0.01</v>
      </c>
    </row>
    <row r="1448" spans="1:6" x14ac:dyDescent="0.3">
      <c r="A1448" t="str">
        <f>HYPERLINK("https://us2.cloudbeds.com/connect/10074733072513#/reservations/30648221810886?display=YQ4A3EYQ8&amp;reservation_id=30648221810886", "YQ4A3EYQ8")</f>
        <v>YQ4A3EYQ8</v>
      </c>
      <c r="B1448" t="s">
        <v>54</v>
      </c>
      <c r="C1448">
        <v>103.2</v>
      </c>
      <c r="D1448">
        <v>112.17</v>
      </c>
      <c r="E1448">
        <v>112.18</v>
      </c>
      <c r="F1448">
        <v>-0.01</v>
      </c>
    </row>
    <row r="1449" spans="1:6" x14ac:dyDescent="0.3">
      <c r="A1449" t="str">
        <f>HYPERLINK("https://us2.cloudbeds.com/connect/10074733072513#/reservations/30649055412439?display=YQ4VDBS4C&amp;reservation_id=30649055412439", "YQ4VDBS4C")</f>
        <v>YQ4VDBS4C</v>
      </c>
      <c r="B1449" t="s">
        <v>75</v>
      </c>
      <c r="C1449">
        <v>87.2</v>
      </c>
      <c r="D1449">
        <v>94.78</v>
      </c>
      <c r="E1449">
        <v>94.79</v>
      </c>
      <c r="F1449">
        <v>-0.01</v>
      </c>
    </row>
    <row r="1450" spans="1:6" x14ac:dyDescent="0.3">
      <c r="A1450" t="str">
        <f>HYPERLINK("https://us2.cloudbeds.com/connect/10074733072513#/reservations/30648345678049?display=YQ4D8TEZY&amp;reservation_id=30648345678049", "YQ4D8TEZY")</f>
        <v>YQ4D8TEZY</v>
      </c>
      <c r="B1450" t="s">
        <v>80</v>
      </c>
      <c r="C1450">
        <v>87.2</v>
      </c>
      <c r="D1450">
        <v>94.78</v>
      </c>
      <c r="E1450">
        <v>94.79</v>
      </c>
      <c r="F1450">
        <v>-0.01</v>
      </c>
    </row>
    <row r="1451" spans="1:6" x14ac:dyDescent="0.3">
      <c r="A1451" t="str">
        <f>HYPERLINK("https://us2.cloudbeds.com/connect/10074733072513#/reservations/30649060360365?display=YQ4VHHHMH&amp;reservation_id=30649060360365", "YQ4VHHHMH")</f>
        <v>YQ4VHHHMH</v>
      </c>
      <c r="B1451" t="s">
        <v>75</v>
      </c>
      <c r="C1451">
        <v>76.16</v>
      </c>
      <c r="D1451">
        <v>82.78</v>
      </c>
      <c r="E1451">
        <v>82.79</v>
      </c>
      <c r="F1451">
        <v>-0.01</v>
      </c>
    </row>
    <row r="1452" spans="1:6" x14ac:dyDescent="0.3">
      <c r="A1452" t="str">
        <f>HYPERLINK("https://us2.cloudbeds.com/connect/10074733072513#/reservations/30648822022368?display=YQ4PEXE5W&amp;reservation_id=30648822022368", "YQ4PEXE5W")</f>
        <v>YQ4PEXE5W</v>
      </c>
      <c r="B1452" t="s">
        <v>81</v>
      </c>
      <c r="C1452">
        <v>87.2</v>
      </c>
      <c r="D1452">
        <v>94.78</v>
      </c>
      <c r="E1452">
        <v>94.79</v>
      </c>
      <c r="F1452">
        <v>-0.01</v>
      </c>
    </row>
    <row r="1453" spans="1:6" x14ac:dyDescent="0.3">
      <c r="A1453" t="str">
        <f>HYPERLINK("https://us2.cloudbeds.com/connect/10074733072513#/reservations/30649024667891?display=YQ4UKEB7D&amp;reservation_id=30649024667891", "YQ4UKEB7D")</f>
        <v>YQ4UKEB7D</v>
      </c>
      <c r="B1453" t="s">
        <v>75</v>
      </c>
      <c r="C1453">
        <v>87.2</v>
      </c>
      <c r="D1453">
        <v>94.78</v>
      </c>
      <c r="E1453">
        <v>94.79</v>
      </c>
      <c r="F1453">
        <v>-0.01</v>
      </c>
    </row>
    <row r="1454" spans="1:6" x14ac:dyDescent="0.3">
      <c r="A1454" t="str">
        <f>HYPERLINK("https://us2.cloudbeds.com/connect/10074733072513#/reservations/30647192269029?display=YQ3GQA4Y5&amp;reservation_id=30647192269029", "YQ3GQA4Y5")</f>
        <v>YQ3GQA4Y5</v>
      </c>
      <c r="B1454" t="s">
        <v>52</v>
      </c>
      <c r="C1454">
        <v>134.1</v>
      </c>
      <c r="D1454">
        <v>145.76</v>
      </c>
      <c r="E1454">
        <v>145.77000000000001</v>
      </c>
      <c r="F1454">
        <v>-0.01</v>
      </c>
    </row>
    <row r="1455" spans="1:6" x14ac:dyDescent="0.3">
      <c r="A1455" t="str">
        <f>HYPERLINK("https://us2.cloudbeds.com/connect/10074733072513#/reservations/30648827887798?display=YQ4PJGY89&amp;reservation_id=30648827887798", "YQ4PJGY89")</f>
        <v>YQ4PJGY89</v>
      </c>
      <c r="B1455" t="s">
        <v>81</v>
      </c>
      <c r="C1455">
        <v>196.2</v>
      </c>
      <c r="D1455">
        <v>213.26</v>
      </c>
      <c r="E1455">
        <v>213.27</v>
      </c>
      <c r="F1455">
        <v>-0.01</v>
      </c>
    </row>
    <row r="1456" spans="1:6" x14ac:dyDescent="0.3">
      <c r="A1456" t="str">
        <f>HYPERLINK("https://us2.cloudbeds.com/connect/10074733072513#/reservations/30648817938562?display=YQ4PB3Q49&amp;reservation_id=30648817938562", "YQ4PB3Q49")</f>
        <v>YQ4PB3Q49</v>
      </c>
      <c r="B1456" t="s">
        <v>81</v>
      </c>
      <c r="C1456">
        <v>196.2</v>
      </c>
      <c r="D1456">
        <v>213.26</v>
      </c>
      <c r="E1456">
        <v>213.27</v>
      </c>
      <c r="F1456">
        <v>-0.01</v>
      </c>
    </row>
    <row r="1457" spans="1:6" x14ac:dyDescent="0.3">
      <c r="A1457" t="str">
        <f>HYPERLINK("https://us2.cloudbeds.com/connect/10074733072513#/reservations/30648793702614?display=YQ4ZNMCTK&amp;reservation_id=30648793702614", "YQ4ZNMCTK")</f>
        <v>YQ4ZNMCTK</v>
      </c>
      <c r="B1457" t="s">
        <v>81</v>
      </c>
      <c r="C1457">
        <v>196.2</v>
      </c>
      <c r="D1457">
        <v>213.26</v>
      </c>
      <c r="E1457">
        <v>213.27</v>
      </c>
      <c r="F1457">
        <v>-0.01</v>
      </c>
    </row>
    <row r="1458" spans="1:6" x14ac:dyDescent="0.3">
      <c r="A1458" t="str">
        <f>HYPERLINK("https://us2.cloudbeds.com/connect/10074733072513#/reservations/30648772157658?display=YQ4Z5GSZ5&amp;reservation_id=30648772157658", "YQ4Z5GSZ5")</f>
        <v>YQ4Z5GSZ5</v>
      </c>
      <c r="B1458" t="s">
        <v>81</v>
      </c>
      <c r="C1458">
        <v>196.2</v>
      </c>
      <c r="D1458">
        <v>213.26</v>
      </c>
      <c r="E1458">
        <v>213.27</v>
      </c>
      <c r="F1458">
        <v>-0.01</v>
      </c>
    </row>
    <row r="1459" spans="1:6" x14ac:dyDescent="0.3">
      <c r="A1459" t="str">
        <f>HYPERLINK("https://us2.cloudbeds.com/connect/10074733072513#/reservations/30649068048558?display=YQ4VZ0FX1&amp;reservation_id=30649068048558", "YQ4VZ0FX1")</f>
        <v>YQ4VZ0FX1</v>
      </c>
      <c r="B1459" t="s">
        <v>75</v>
      </c>
      <c r="C1459">
        <v>76.16</v>
      </c>
      <c r="D1459">
        <v>82.78</v>
      </c>
      <c r="E1459">
        <v>82.79</v>
      </c>
      <c r="F1459">
        <v>-0.01</v>
      </c>
    </row>
    <row r="1460" spans="1:6" x14ac:dyDescent="0.3">
      <c r="A1460" t="str">
        <f>HYPERLINK("https://us2.cloudbeds.com/connect/10074733072513#/reservations/30648271896757?display=YQ4BCMCAU&amp;reservation_id=30648271896757", "YQ4BCMCAU")</f>
        <v>YQ4BCMCAU</v>
      </c>
      <c r="B1460" t="s">
        <v>54</v>
      </c>
      <c r="C1460">
        <v>76.16</v>
      </c>
      <c r="D1460">
        <v>82.78</v>
      </c>
      <c r="E1460">
        <v>82.79</v>
      </c>
      <c r="F1460">
        <v>-0.01</v>
      </c>
    </row>
    <row r="1461" spans="1:6" x14ac:dyDescent="0.3">
      <c r="A1461" t="str">
        <f>HYPERLINK("https://us2.cloudbeds.com/connect/10074733072513#/reservations/30648264552689?display=YQ4B6G0FC&amp;reservation_id=30648264552689", "YQ4B6G0FC")</f>
        <v>YQ4B6G0FC</v>
      </c>
      <c r="B1461" t="s">
        <v>54</v>
      </c>
      <c r="C1461">
        <v>103.2</v>
      </c>
      <c r="D1461">
        <v>112.17</v>
      </c>
      <c r="E1461">
        <v>112.18</v>
      </c>
      <c r="F1461">
        <v>-0.01</v>
      </c>
    </row>
    <row r="1462" spans="1:6" x14ac:dyDescent="0.3">
      <c r="A1462" t="str">
        <f>HYPERLINK("https://us2.cloudbeds.com/connect/10074733072513#/reservations/30647424417996?display=YQ3MZ20UB&amp;reservation_id=30647424417996", "YQ3MZ20UB")</f>
        <v>YQ3MZ20UB</v>
      </c>
      <c r="B1462" t="s">
        <v>82</v>
      </c>
      <c r="C1462">
        <v>337.4</v>
      </c>
      <c r="D1462">
        <v>366.74</v>
      </c>
      <c r="E1462">
        <v>366.75</v>
      </c>
      <c r="F1462">
        <v>-0.01</v>
      </c>
    </row>
    <row r="1463" spans="1:6" x14ac:dyDescent="0.3">
      <c r="A1463" t="str">
        <f>HYPERLINK("https://us2.cloudbeds.com/connect/10074733072513#/reservations/30647577538710?display=YQ3QY5RKV&amp;reservation_id=30647577538710", "YQ3QY5RKV")</f>
        <v>YQ3QY5RKV</v>
      </c>
      <c r="B1463" t="s">
        <v>72</v>
      </c>
      <c r="C1463">
        <v>143.19999999999999</v>
      </c>
      <c r="D1463">
        <v>155.65</v>
      </c>
      <c r="E1463">
        <v>155.66</v>
      </c>
      <c r="F1463">
        <v>-0.01</v>
      </c>
    </row>
    <row r="1464" spans="1:6" x14ac:dyDescent="0.3">
      <c r="A1464" t="str">
        <f>HYPERLINK("https://us2.cloudbeds.com/connect/10074733072513#/reservations/30648243433630?display=YQ4AYMBCU&amp;reservation_id=30648243433630", "YQ4AYMBCU")</f>
        <v>YQ4AYMBCU</v>
      </c>
      <c r="B1464" t="s">
        <v>54</v>
      </c>
      <c r="C1464">
        <v>76.16</v>
      </c>
      <c r="D1464">
        <v>82.78</v>
      </c>
      <c r="E1464">
        <v>82.79</v>
      </c>
      <c r="F1464">
        <v>-0.01</v>
      </c>
    </row>
    <row r="1465" spans="1:6" x14ac:dyDescent="0.3">
      <c r="A1465" t="str">
        <f>HYPERLINK("https://us2.cloudbeds.com/connect/10074733072513#/reservations/30649673269396?display=YQ5DV33ZH&amp;reservation_id=30649673269396", "YQ5DV33ZH")</f>
        <v>YQ5DV33ZH</v>
      </c>
      <c r="B1465" t="s">
        <v>81</v>
      </c>
      <c r="C1465">
        <v>87.2</v>
      </c>
      <c r="D1465">
        <v>94.78</v>
      </c>
      <c r="E1465">
        <v>94.79</v>
      </c>
      <c r="F1465">
        <v>-0.01</v>
      </c>
    </row>
    <row r="1466" spans="1:6" x14ac:dyDescent="0.3">
      <c r="A1466" t="str">
        <f>HYPERLINK("https://us2.cloudbeds.com/connect/10074733072513#/reservations/30648381911226?display=YQ4E6EMNN&amp;reservation_id=30648381911226", "YQ4E6EMNN")</f>
        <v>YQ4E6EMNN</v>
      </c>
      <c r="B1466" t="s">
        <v>83</v>
      </c>
      <c r="C1466">
        <v>87.2</v>
      </c>
      <c r="D1466">
        <v>94.78</v>
      </c>
      <c r="E1466">
        <v>94.79</v>
      </c>
      <c r="F1466">
        <v>-0.01</v>
      </c>
    </row>
    <row r="1467" spans="1:6" x14ac:dyDescent="0.3">
      <c r="A1467" t="str">
        <f>HYPERLINK("https://us2.cloudbeds.com/connect/10074733072513#/reservations/30647214252224?display=YQ3H4MQYN&amp;reservation_id=30647214252224", "YQ3H4MQYN")</f>
        <v>YQ3H4MQYN</v>
      </c>
      <c r="B1467" t="s">
        <v>52</v>
      </c>
      <c r="C1467">
        <v>100.08</v>
      </c>
      <c r="D1467">
        <v>108.78</v>
      </c>
      <c r="E1467">
        <v>108.79</v>
      </c>
      <c r="F1467">
        <v>-0.01</v>
      </c>
    </row>
    <row r="1468" spans="1:6" x14ac:dyDescent="0.3">
      <c r="A1468" t="str">
        <f>HYPERLINK("https://us2.cloudbeds.com/connect/10074733072513#/reservations/30649031622803?display=YQ4UQ9SZA&amp;reservation_id=30649031622803", "YQ4UQ9SZA")</f>
        <v>YQ4UQ9SZA</v>
      </c>
      <c r="B1468" t="s">
        <v>84</v>
      </c>
      <c r="C1468">
        <v>103.2</v>
      </c>
      <c r="D1468">
        <v>112.17</v>
      </c>
      <c r="E1468">
        <v>112.18</v>
      </c>
      <c r="F1468">
        <v>-0.01</v>
      </c>
    </row>
    <row r="1469" spans="1:6" x14ac:dyDescent="0.3">
      <c r="A1469" t="str">
        <f>HYPERLINK("https://us2.cloudbeds.com/connect/10074733072513#/reservations/30648330731674?display=YQ4CT9HT6&amp;reservation_id=30648330731674", "YQ4CT9HT6")</f>
        <v>YQ4CT9HT6</v>
      </c>
      <c r="B1469" t="s">
        <v>85</v>
      </c>
      <c r="C1469">
        <v>76.16</v>
      </c>
      <c r="D1469">
        <v>82.78</v>
      </c>
      <c r="E1469">
        <v>82.79</v>
      </c>
      <c r="F1469">
        <v>-0.01</v>
      </c>
    </row>
    <row r="1470" spans="1:6" x14ac:dyDescent="0.3">
      <c r="A1470" t="str">
        <f>HYPERLINK("https://us2.cloudbeds.com/connect/10074733072513#/reservations/30648328409285?display=YQ4CRAU9P&amp;reservation_id=30648328409285", "YQ4CRAU9P")</f>
        <v>YQ4CRAU9P</v>
      </c>
      <c r="B1470" t="s">
        <v>85</v>
      </c>
      <c r="C1470">
        <v>87.2</v>
      </c>
      <c r="D1470">
        <v>94.78</v>
      </c>
      <c r="E1470">
        <v>94.79</v>
      </c>
      <c r="F1470">
        <v>-0.01</v>
      </c>
    </row>
    <row r="1471" spans="1:6" x14ac:dyDescent="0.3">
      <c r="A1471" t="str">
        <f>HYPERLINK("https://us2.cloudbeds.com/connect/10074733072513#/reservations/30648366547139?display=YQ4DQG59A&amp;reservation_id=30648366547139", "YQ4DQG59A")</f>
        <v>YQ4DQG59A</v>
      </c>
      <c r="B1471" t="s">
        <v>83</v>
      </c>
      <c r="C1471">
        <v>103.2</v>
      </c>
      <c r="D1471">
        <v>112.17</v>
      </c>
      <c r="E1471">
        <v>112.18</v>
      </c>
      <c r="F1471">
        <v>-0.01</v>
      </c>
    </row>
    <row r="1472" spans="1:6" x14ac:dyDescent="0.3">
      <c r="A1472" t="str">
        <f>HYPERLINK("https://us2.cloudbeds.com/connect/10074733072513#/reservations/30647917203618?display=YQ42AJGVW&amp;reservation_id=30647917203618", "YQ42AJGVW")</f>
        <v>YQ42AJGVW</v>
      </c>
      <c r="B1472" t="s">
        <v>86</v>
      </c>
      <c r="C1472">
        <v>174.4</v>
      </c>
      <c r="D1472">
        <v>189.56</v>
      </c>
      <c r="E1472">
        <v>189.57</v>
      </c>
      <c r="F1472">
        <v>-0.01</v>
      </c>
    </row>
    <row r="1473" spans="1:6" x14ac:dyDescent="0.3">
      <c r="A1473" t="str">
        <f>HYPERLINK("https://us2.cloudbeds.com/connect/10074733072513#/reservations/30649024647323?display=YQ4UKDPB4&amp;reservation_id=30649024647323", "YQ4UKDPB4")</f>
        <v>YQ4UKDPB4</v>
      </c>
      <c r="B1473" t="s">
        <v>84</v>
      </c>
      <c r="C1473">
        <v>103.2</v>
      </c>
      <c r="D1473">
        <v>112.17</v>
      </c>
      <c r="E1473">
        <v>112.18</v>
      </c>
      <c r="F1473">
        <v>-0.01</v>
      </c>
    </row>
    <row r="1474" spans="1:6" x14ac:dyDescent="0.3">
      <c r="A1474" t="str">
        <f>HYPERLINK("https://us2.cloudbeds.com/connect/10074733072513#/reservations/30649678426269?display=YQ5EAN4AB&amp;reservation_id=30649678426269", "YQ5EAN4AB")</f>
        <v>YQ5EAN4AB</v>
      </c>
      <c r="B1474" t="s">
        <v>81</v>
      </c>
      <c r="C1474">
        <v>103.2</v>
      </c>
      <c r="D1474">
        <v>112.17</v>
      </c>
      <c r="E1474">
        <v>112.18</v>
      </c>
      <c r="F1474">
        <v>-0.01</v>
      </c>
    </row>
    <row r="1475" spans="1:6" x14ac:dyDescent="0.3">
      <c r="A1475" t="str">
        <f>HYPERLINK("https://us2.cloudbeds.com/connect/10074733072513#/reservations/30647392932084?display=YQ3YUGT7Q&amp;reservation_id=30647392932084", "YQ3YUGT7Q")</f>
        <v>YQ3YUGT7Q</v>
      </c>
      <c r="B1475" t="s">
        <v>87</v>
      </c>
      <c r="C1475">
        <v>488</v>
      </c>
      <c r="D1475">
        <v>530.45000000000005</v>
      </c>
      <c r="E1475">
        <v>530.46</v>
      </c>
      <c r="F1475">
        <v>-0.01</v>
      </c>
    </row>
    <row r="1476" spans="1:6" x14ac:dyDescent="0.3">
      <c r="A1476" t="str">
        <f>HYPERLINK("https://us2.cloudbeds.com/connect/10074733072513#/reservations/30647862767815?display=YQ40UMP06&amp;reservation_id=30647862767815", "YQ40UMP06")</f>
        <v>YQ40UMP06</v>
      </c>
      <c r="B1476" t="s">
        <v>87</v>
      </c>
      <c r="C1476">
        <v>87.2</v>
      </c>
      <c r="D1476">
        <v>94.78</v>
      </c>
      <c r="E1476">
        <v>94.79</v>
      </c>
      <c r="F1476">
        <v>-0.01</v>
      </c>
    </row>
    <row r="1477" spans="1:6" x14ac:dyDescent="0.3">
      <c r="A1477" t="str">
        <f>HYPERLINK("https://us2.cloudbeds.com/connect/10074733072513#/reservations/30648271651061?display=YQ4BCFHNJ&amp;reservation_id=30648271651061", "YQ4BCFHNJ")</f>
        <v>YQ4BCFHNJ</v>
      </c>
      <c r="B1477" t="s">
        <v>80</v>
      </c>
      <c r="C1477">
        <v>76.16</v>
      </c>
      <c r="D1477">
        <v>82.78</v>
      </c>
      <c r="E1477">
        <v>82.79</v>
      </c>
      <c r="F1477">
        <v>-0.01</v>
      </c>
    </row>
    <row r="1478" spans="1:6" x14ac:dyDescent="0.3">
      <c r="A1478" t="str">
        <f>HYPERLINK("https://us2.cloudbeds.com/connect/10074733072513#/reservations/30648319750283?display=YQ4CK0VVP&amp;reservation_id=30648319750283", "YQ4CK0VVP")</f>
        <v>YQ4CK0VVP</v>
      </c>
      <c r="B1478" t="s">
        <v>80</v>
      </c>
      <c r="C1478">
        <v>76.16</v>
      </c>
      <c r="D1478">
        <v>82.78</v>
      </c>
      <c r="E1478">
        <v>82.79</v>
      </c>
      <c r="F1478">
        <v>-0.01</v>
      </c>
    </row>
    <row r="1479" spans="1:6" x14ac:dyDescent="0.3">
      <c r="A1479" t="str">
        <f>HYPERLINK("https://us2.cloudbeds.com/connect/10074733072513#/reservations/30648355852427?display=YQ4DHFXK3&amp;reservation_id=30648355852427", "YQ4DHFXK3")</f>
        <v>YQ4DHFXK3</v>
      </c>
      <c r="B1479" t="s">
        <v>80</v>
      </c>
      <c r="C1479">
        <v>76.16</v>
      </c>
      <c r="D1479">
        <v>82.78</v>
      </c>
      <c r="E1479">
        <v>82.79</v>
      </c>
      <c r="F1479">
        <v>-0.01</v>
      </c>
    </row>
    <row r="1480" spans="1:6" x14ac:dyDescent="0.3">
      <c r="A1480" t="str">
        <f>HYPERLINK("https://us2.cloudbeds.com/connect/10074733072513#/reservations/30648495276233?display=YQ4H317QU&amp;reservation_id=30648495276233", "YQ4H317QU")</f>
        <v>YQ4H317QU</v>
      </c>
      <c r="B1480" t="s">
        <v>78</v>
      </c>
      <c r="C1480">
        <v>214.2</v>
      </c>
      <c r="D1480">
        <v>232.83</v>
      </c>
      <c r="E1480">
        <v>232.84</v>
      </c>
      <c r="F1480">
        <v>-0.01</v>
      </c>
    </row>
    <row r="1481" spans="1:6" x14ac:dyDescent="0.3">
      <c r="A1481" t="str">
        <f>HYPERLINK("https://us2.cloudbeds.com/connect/10074733072513#/reservations/30648751837404?display=YQ4NYCE5T&amp;reservation_id=30648751837404", "YQ4NYCE5T")</f>
        <v>YQ4NYCE5T</v>
      </c>
      <c r="B1481" t="s">
        <v>80</v>
      </c>
      <c r="C1481">
        <v>76.16</v>
      </c>
      <c r="D1481">
        <v>82.78</v>
      </c>
      <c r="E1481">
        <v>82.79</v>
      </c>
      <c r="F1481">
        <v>-0.01</v>
      </c>
    </row>
    <row r="1482" spans="1:6" x14ac:dyDescent="0.3">
      <c r="A1482" t="str">
        <f>HYPERLINK("https://us2.cloudbeds.com/connect/10074733072513#/reservations/30648799150307?display=YQ4ZS8WC7&amp;reservation_id=30648799150307", "YQ4ZS8WC7")</f>
        <v>YQ4ZS8WC7</v>
      </c>
      <c r="B1482" t="s">
        <v>81</v>
      </c>
      <c r="C1482">
        <v>69.760000000000005</v>
      </c>
      <c r="D1482">
        <v>75.819999999999993</v>
      </c>
      <c r="E1482">
        <v>75.83</v>
      </c>
      <c r="F1482">
        <v>-0.01</v>
      </c>
    </row>
    <row r="1483" spans="1:6" x14ac:dyDescent="0.3">
      <c r="A1483" t="str">
        <f>HYPERLINK("https://us2.cloudbeds.com/connect/10074733072513#/reservations/30648241635577?display=YQ4AK5A9F&amp;reservation_id=30648241635577", "YQ4AK5A9F")</f>
        <v>YQ4AK5A9F</v>
      </c>
      <c r="B1483" t="s">
        <v>80</v>
      </c>
      <c r="C1483">
        <v>66.2</v>
      </c>
      <c r="D1483">
        <v>71.95</v>
      </c>
      <c r="E1483">
        <v>71.959999999999994</v>
      </c>
      <c r="F1483">
        <v>-0.01</v>
      </c>
    </row>
    <row r="1484" spans="1:6" x14ac:dyDescent="0.3">
      <c r="A1484" t="str">
        <f>HYPERLINK("https://us2.cloudbeds.com/connect/10074733072513#/reservations/30648756109445?display=YQ4NZWA2M&amp;reservation_id=30648756109445", "YQ4NZWA2M")</f>
        <v>YQ4NZWA2M</v>
      </c>
      <c r="B1484" t="s">
        <v>80</v>
      </c>
      <c r="C1484">
        <v>87.2</v>
      </c>
      <c r="D1484">
        <v>94.78</v>
      </c>
      <c r="E1484">
        <v>94.79</v>
      </c>
      <c r="F1484">
        <v>-0.01</v>
      </c>
    </row>
    <row r="1485" spans="1:6" x14ac:dyDescent="0.3">
      <c r="A1485" t="str">
        <f>HYPERLINK("https://us2.cloudbeds.com/connect/10074733072513#/reservations/30649703375074?display=YQ5EVZC4Z&amp;reservation_id=30649703375074", "YQ5EVZC4Z")</f>
        <v>YQ5EVZC4Z</v>
      </c>
      <c r="B1485" t="s">
        <v>81</v>
      </c>
      <c r="C1485">
        <v>76.16</v>
      </c>
      <c r="D1485">
        <v>82.78</v>
      </c>
      <c r="E1485">
        <v>82.79</v>
      </c>
      <c r="F1485">
        <v>-0.01</v>
      </c>
    </row>
    <row r="1486" spans="1:6" x14ac:dyDescent="0.3">
      <c r="A1486" t="str">
        <f>HYPERLINK("https://us2.cloudbeds.com/connect/10074733072513#/reservations/30648296538336?display=YQ4C0F21E&amp;reservation_id=30648296538336", "YQ4C0F21E")</f>
        <v>YQ4C0F21E</v>
      </c>
      <c r="B1486" t="s">
        <v>89</v>
      </c>
      <c r="C1486">
        <v>87.2</v>
      </c>
      <c r="D1486">
        <v>94.78</v>
      </c>
      <c r="E1486">
        <v>94.79</v>
      </c>
      <c r="F1486">
        <v>-0.01</v>
      </c>
    </row>
    <row r="1487" spans="1:6" x14ac:dyDescent="0.3">
      <c r="A1487" t="str">
        <f>HYPERLINK("https://us2.cloudbeds.com/connect/10074733072513#/reservations/30647820296401?display=YQ3WRSUKY&amp;reservation_id=30647820296401", "YQ3WRSUKY")</f>
        <v>YQ3WRSUKY</v>
      </c>
      <c r="B1487" t="s">
        <v>87</v>
      </c>
      <c r="C1487">
        <v>87.2</v>
      </c>
      <c r="D1487">
        <v>94.78</v>
      </c>
      <c r="E1487">
        <v>94.79</v>
      </c>
      <c r="F1487">
        <v>-0.01</v>
      </c>
    </row>
    <row r="1488" spans="1:6" x14ac:dyDescent="0.3">
      <c r="A1488" t="str">
        <f>HYPERLINK("https://us2.cloudbeds.com/connect/10074733072513#/reservations/30648396157071?display=YQ4EXF39W&amp;reservation_id=30648396157071", "YQ4EXF39W")</f>
        <v>YQ4EXF39W</v>
      </c>
      <c r="B1488" t="s">
        <v>83</v>
      </c>
      <c r="C1488">
        <v>87.2</v>
      </c>
      <c r="D1488">
        <v>94.78</v>
      </c>
      <c r="E1488">
        <v>94.79</v>
      </c>
      <c r="F1488">
        <v>-0.01</v>
      </c>
    </row>
    <row r="1489" spans="1:6" x14ac:dyDescent="0.3">
      <c r="A1489" t="str">
        <f>HYPERLINK("https://us2.cloudbeds.com/connect/10074733072513#/reservations/30647331061974?display=YQ3KBB8HW&amp;reservation_id=30647331061974", "YQ3KBB8HW")</f>
        <v>YQ3KBB8HW</v>
      </c>
      <c r="B1489" t="s">
        <v>70</v>
      </c>
      <c r="C1489">
        <v>76.16</v>
      </c>
      <c r="D1489">
        <v>82.78</v>
      </c>
      <c r="E1489">
        <v>82.79</v>
      </c>
      <c r="F1489">
        <v>-0.01</v>
      </c>
    </row>
    <row r="1490" spans="1:6" x14ac:dyDescent="0.3">
      <c r="A1490" t="str">
        <f>HYPERLINK("https://us2.cloudbeds.com/connect/10074733072513#/reservations/30647870349532?display=YQ4142Z36&amp;reservation_id=30647870349532", "YQ4142Z36")</f>
        <v>YQ4142Z36</v>
      </c>
      <c r="B1490" t="s">
        <v>87</v>
      </c>
      <c r="C1490">
        <v>198.4</v>
      </c>
      <c r="D1490">
        <v>215.65</v>
      </c>
      <c r="E1490">
        <v>215.66</v>
      </c>
      <c r="F1490">
        <v>-0.01</v>
      </c>
    </row>
    <row r="1491" spans="1:6" x14ac:dyDescent="0.3">
      <c r="A1491" t="str">
        <f>HYPERLINK("https://us2.cloudbeds.com/connect/10074733072513#/reservations/30647321854195?display=YQ3K3J19C&amp;reservation_id=30647321854195", "YQ3K3J19C")</f>
        <v>YQ3K3J19C</v>
      </c>
      <c r="B1491" t="s">
        <v>70</v>
      </c>
      <c r="C1491">
        <v>76.16</v>
      </c>
      <c r="D1491">
        <v>82.78</v>
      </c>
      <c r="E1491">
        <v>82.79</v>
      </c>
      <c r="F1491">
        <v>-0.01</v>
      </c>
    </row>
    <row r="1492" spans="1:6" x14ac:dyDescent="0.3">
      <c r="A1492" t="str">
        <f>HYPERLINK("https://us2.cloudbeds.com/connect/10074733072513#/reservations/30647244341474?display=YQ3X474D1&amp;reservation_id=30647244341474", "YQ3X474D1")</f>
        <v>YQ3X474D1</v>
      </c>
      <c r="B1492" t="s">
        <v>70</v>
      </c>
      <c r="C1492">
        <v>76.16</v>
      </c>
      <c r="D1492">
        <v>82.78</v>
      </c>
      <c r="E1492">
        <v>82.79</v>
      </c>
      <c r="F1492">
        <v>-0.01</v>
      </c>
    </row>
    <row r="1493" spans="1:6" x14ac:dyDescent="0.3">
      <c r="A1493" t="str">
        <f>HYPERLINK("https://us2.cloudbeds.com/connect/10074733072513#/reservations/30650672193786?display=YQ66NM5RH&amp;reservation_id=30650672193786", "YQ66NM5RH")</f>
        <v>YQ66NM5RH</v>
      </c>
      <c r="B1493" t="s">
        <v>90</v>
      </c>
      <c r="C1493">
        <v>294.3</v>
      </c>
      <c r="D1493">
        <v>319.89</v>
      </c>
      <c r="E1493">
        <v>319.89999999999998</v>
      </c>
      <c r="F1493">
        <v>-0.01</v>
      </c>
    </row>
    <row r="1494" spans="1:6" x14ac:dyDescent="0.3">
      <c r="A1494" t="str">
        <f>HYPERLINK("https://us2.cloudbeds.com/connect/10074733072513#/reservations/30648809422977?display=YQ4P3URG8&amp;reservation_id=30648809422977", "YQ4P3URG8")</f>
        <v>YQ4P3URG8</v>
      </c>
      <c r="B1494" t="s">
        <v>18</v>
      </c>
      <c r="C1494">
        <v>134.1</v>
      </c>
      <c r="D1494">
        <v>145.76</v>
      </c>
      <c r="E1494">
        <v>145.77000000000001</v>
      </c>
      <c r="F1494">
        <v>-0.01</v>
      </c>
    </row>
    <row r="1495" spans="1:6" x14ac:dyDescent="0.3">
      <c r="A1495" t="str">
        <f>HYPERLINK("https://us2.cloudbeds.com/connect/10074733072513#/reservations/30648381911179?display=YQ4E6EMM9&amp;reservation_id=30648381911179", "YQ4E6EMM9")</f>
        <v>YQ4E6EMM9</v>
      </c>
      <c r="B1495" t="s">
        <v>83</v>
      </c>
      <c r="C1495">
        <v>87.2</v>
      </c>
      <c r="D1495">
        <v>94.78</v>
      </c>
      <c r="E1495">
        <v>94.79</v>
      </c>
      <c r="F1495">
        <v>-0.01</v>
      </c>
    </row>
    <row r="1496" spans="1:6" x14ac:dyDescent="0.3">
      <c r="A1496" t="str">
        <f>HYPERLINK("https://us2.cloudbeds.com/connect/10074733072513#/reservations/30647395569821?display=YQ3YWZ9D7&amp;reservation_id=30647395569821", "YQ3YWZ9D7")</f>
        <v>YQ3YWZ9D7</v>
      </c>
      <c r="B1496" t="s">
        <v>91</v>
      </c>
      <c r="C1496">
        <v>103.2</v>
      </c>
      <c r="D1496">
        <v>112.17</v>
      </c>
      <c r="E1496">
        <v>112.18</v>
      </c>
      <c r="F1496">
        <v>-0.01</v>
      </c>
    </row>
    <row r="1497" spans="1:6" x14ac:dyDescent="0.3">
      <c r="A1497" t="str">
        <f>HYPERLINK("https://us2.cloudbeds.com/connect/10074733072513#/reservations/30650391687394?display=YQ5WX4M6R&amp;reservation_id=30650391687394", "YQ5WX4M6R")</f>
        <v>YQ5WX4M6R</v>
      </c>
      <c r="B1497" t="s">
        <v>26</v>
      </c>
      <c r="C1497">
        <v>87.2</v>
      </c>
      <c r="D1497">
        <v>94.78</v>
      </c>
      <c r="E1497">
        <v>94.79</v>
      </c>
      <c r="F1497">
        <v>-0.01</v>
      </c>
    </row>
    <row r="1498" spans="1:6" x14ac:dyDescent="0.3">
      <c r="A1498" t="str">
        <f>HYPERLINK("https://us2.cloudbeds.com/connect/10074733072513#/reservations/30647345225886?display=YQ3KN9CTE&amp;reservation_id=30647345225886", "YQ3KN9CTE")</f>
        <v>YQ3KN9CTE</v>
      </c>
      <c r="B1498" t="s">
        <v>87</v>
      </c>
      <c r="C1498">
        <v>76.16</v>
      </c>
      <c r="D1498">
        <v>82.78</v>
      </c>
      <c r="E1498">
        <v>82.79</v>
      </c>
      <c r="F1498">
        <v>-0.01</v>
      </c>
    </row>
    <row r="1499" spans="1:6" x14ac:dyDescent="0.3">
      <c r="A1499" t="str">
        <f>HYPERLINK("https://us2.cloudbeds.com/connect/10074733072513#/reservations/30647187538121?display=YQ3GMAGCA&amp;reservation_id=30647187538121", "YQ3GMAGCA")</f>
        <v>YQ3GMAGCA</v>
      </c>
      <c r="B1499" t="s">
        <v>70</v>
      </c>
      <c r="C1499">
        <v>87.2</v>
      </c>
      <c r="D1499">
        <v>94.78</v>
      </c>
      <c r="E1499">
        <v>94.79</v>
      </c>
      <c r="F1499">
        <v>-0.01</v>
      </c>
    </row>
    <row r="1500" spans="1:6" x14ac:dyDescent="0.3">
      <c r="A1500" t="str">
        <f>HYPERLINK("https://us2.cloudbeds.com/connect/10074733072513#/reservations/30650292355265?display=YQ5U0CK4A&amp;reservation_id=30650292355265", "YQ5U0CK4A")</f>
        <v>YQ5U0CK4A</v>
      </c>
      <c r="B1500" t="s">
        <v>82</v>
      </c>
      <c r="C1500">
        <v>222.4</v>
      </c>
      <c r="D1500">
        <v>241.74</v>
      </c>
      <c r="E1500">
        <v>241.75</v>
      </c>
      <c r="F1500">
        <v>-0.01</v>
      </c>
    </row>
    <row r="1501" spans="1:6" x14ac:dyDescent="0.3">
      <c r="A1501" t="str">
        <f>HYPERLINK("https://us2.cloudbeds.com/connect/10074733072513#/reservations/30647889178764?display=YQ41JVMFW&amp;reservation_id=30647889178764", "YQ41JVMFW")</f>
        <v>YQ41JVMFW</v>
      </c>
      <c r="B1501" t="s">
        <v>87</v>
      </c>
      <c r="C1501">
        <v>76.16</v>
      </c>
      <c r="D1501">
        <v>82.78</v>
      </c>
      <c r="E1501">
        <v>82.79</v>
      </c>
      <c r="F1501">
        <v>-0.01</v>
      </c>
    </row>
    <row r="1502" spans="1:6" x14ac:dyDescent="0.3">
      <c r="A1502" t="str">
        <f>HYPERLINK("https://us2.cloudbeds.com/connect/10074733072513#/reservations/30647482265825?display=YQ3Z6RZ1S&amp;reservation_id=30647482265825", "YQ3Z6RZ1S")</f>
        <v>YQ3Z6RZ1S</v>
      </c>
      <c r="B1502" t="s">
        <v>92</v>
      </c>
      <c r="C1502">
        <v>87.2</v>
      </c>
      <c r="D1502">
        <v>94.78</v>
      </c>
      <c r="E1502">
        <v>94.79</v>
      </c>
      <c r="F1502">
        <v>-0.01</v>
      </c>
    </row>
    <row r="1503" spans="1:6" x14ac:dyDescent="0.3">
      <c r="A1503" t="str">
        <f>HYPERLINK("https://us2.cloudbeds.com/connect/10074733072513#/reservations/30647363051656?display=YQ3Y5ADR9&amp;reservation_id=30647363051656", "YQ3Y5ADR9")</f>
        <v>YQ3Y5ADR9</v>
      </c>
      <c r="B1503" t="s">
        <v>87</v>
      </c>
      <c r="C1503">
        <v>76.16</v>
      </c>
      <c r="D1503">
        <v>82.78</v>
      </c>
      <c r="E1503">
        <v>82.79</v>
      </c>
      <c r="F1503">
        <v>-0.01</v>
      </c>
    </row>
    <row r="1504" spans="1:6" x14ac:dyDescent="0.3">
      <c r="A1504" t="str">
        <f>HYPERLINK("https://us2.cloudbeds.com/connect/10074733072513#/reservations/30648204488916?display=YQ49YRYG2&amp;reservation_id=30648204488916", "YQ49YRYG2")</f>
        <v>YQ49YRYG2</v>
      </c>
      <c r="B1504" t="s">
        <v>92</v>
      </c>
      <c r="C1504">
        <v>87.2</v>
      </c>
      <c r="D1504">
        <v>94.78</v>
      </c>
      <c r="E1504">
        <v>94.79</v>
      </c>
      <c r="F1504">
        <v>-0.01</v>
      </c>
    </row>
    <row r="1505" spans="1:6" x14ac:dyDescent="0.3">
      <c r="A1505" t="str">
        <f>HYPERLINK("https://us2.cloudbeds.com/connect/10074733072513#/reservations/30647960486141?display=YQ43E2U5X&amp;reservation_id=30647960486141", "YQ43E2U5X")</f>
        <v>YQ43E2U5X</v>
      </c>
      <c r="B1505" t="s">
        <v>93</v>
      </c>
      <c r="C1505">
        <v>103.2</v>
      </c>
      <c r="D1505">
        <v>112.17</v>
      </c>
      <c r="E1505">
        <v>112.18</v>
      </c>
      <c r="F1505">
        <v>-0.01</v>
      </c>
    </row>
    <row r="1506" spans="1:6" x14ac:dyDescent="0.3">
      <c r="A1506" t="str">
        <f>HYPERLINK("https://us2.cloudbeds.com/connect/10074733072513#/reservations/30647969857756?display=YQ43YWMSU&amp;reservation_id=30647969857756", "YQ43YWMSU")</f>
        <v>YQ43YWMSU</v>
      </c>
      <c r="B1506" t="s">
        <v>93</v>
      </c>
      <c r="C1506">
        <v>87.2</v>
      </c>
      <c r="D1506">
        <v>94.78</v>
      </c>
      <c r="E1506">
        <v>94.79</v>
      </c>
      <c r="F1506">
        <v>-0.01</v>
      </c>
    </row>
    <row r="1507" spans="1:6" x14ac:dyDescent="0.3">
      <c r="A1507" t="str">
        <f>HYPERLINK("https://us2.cloudbeds.com/connect/10074733072513#/reservations/30647403790520?display=YQ3M6M18A&amp;reservation_id=30647403790520", "YQ3M6M18A")</f>
        <v>YQ3M6M18A</v>
      </c>
      <c r="B1507" t="s">
        <v>91</v>
      </c>
      <c r="C1507">
        <v>103.2</v>
      </c>
      <c r="D1507">
        <v>112.17</v>
      </c>
      <c r="E1507">
        <v>112.18</v>
      </c>
      <c r="F1507">
        <v>-0.01</v>
      </c>
    </row>
    <row r="1508" spans="1:6" x14ac:dyDescent="0.3">
      <c r="A1508" t="str">
        <f>HYPERLINK("https://us2.cloudbeds.com/connect/10074733072513#/reservations/30648953966769?display=YQ4SQQW85&amp;reservation_id=30648953966769", "YQ4SQQW85")</f>
        <v>YQ4SQQW85</v>
      </c>
      <c r="B1508" t="s">
        <v>18</v>
      </c>
      <c r="C1508">
        <v>222.4</v>
      </c>
      <c r="D1508">
        <v>241.74</v>
      </c>
      <c r="E1508">
        <v>241.75</v>
      </c>
      <c r="F1508">
        <v>-0.01</v>
      </c>
    </row>
    <row r="1509" spans="1:6" x14ac:dyDescent="0.3">
      <c r="A1509" t="str">
        <f>HYPERLINK("https://us2.cloudbeds.com/connect/10074733072513#/reservations/30647382855902?display=YQ3YM0GHV&amp;reservation_id=30647382855902", "YQ3YM0GHV")</f>
        <v>YQ3YM0GHV</v>
      </c>
      <c r="B1509" t="s">
        <v>91</v>
      </c>
      <c r="C1509">
        <v>113.2</v>
      </c>
      <c r="D1509">
        <v>123.04</v>
      </c>
      <c r="E1509">
        <v>123.05</v>
      </c>
      <c r="F1509">
        <v>-0.01</v>
      </c>
    </row>
    <row r="1510" spans="1:6" x14ac:dyDescent="0.3">
      <c r="A1510" t="str">
        <f>HYPERLINK("https://us2.cloudbeds.com/connect/10074733072513#/reservations/30648948883673?display=YQ4SMHHXV&amp;reservation_id=30648948883673", "YQ4SMHHXV")</f>
        <v>YQ4SMHHXV</v>
      </c>
      <c r="B1510" t="s">
        <v>18</v>
      </c>
      <c r="C1510">
        <v>124.1</v>
      </c>
      <c r="D1510">
        <v>134.88999999999999</v>
      </c>
      <c r="E1510">
        <v>134.9</v>
      </c>
      <c r="F1510">
        <v>-0.01</v>
      </c>
    </row>
    <row r="1511" spans="1:6" x14ac:dyDescent="0.3">
      <c r="A1511" t="str">
        <f>HYPERLINK("https://us2.cloudbeds.com/connect/10074733072513#/reservations/30650196848836?display=YQ5RXS033&amp;reservation_id=30650196848836", "YQ5RXS033")</f>
        <v>YQ5RXS033</v>
      </c>
      <c r="B1511" t="s">
        <v>78</v>
      </c>
      <c r="C1511">
        <v>76.16</v>
      </c>
      <c r="D1511">
        <v>82.78</v>
      </c>
      <c r="E1511">
        <v>82.79</v>
      </c>
      <c r="F1511">
        <v>-0.01</v>
      </c>
    </row>
    <row r="1512" spans="1:6" x14ac:dyDescent="0.3">
      <c r="A1512" t="str">
        <f>HYPERLINK("https://us2.cloudbeds.com/connect/10074733072513#/reservations/30647940980907?display=YQ42UY50T&amp;reservation_id=30647940980907", "YQ42UY50T")</f>
        <v>YQ42UY50T</v>
      </c>
      <c r="B1512" t="s">
        <v>86</v>
      </c>
      <c r="C1512">
        <v>76.16</v>
      </c>
      <c r="D1512">
        <v>82.78</v>
      </c>
      <c r="E1512">
        <v>82.79</v>
      </c>
      <c r="F1512">
        <v>-0.01</v>
      </c>
    </row>
    <row r="1513" spans="1:6" x14ac:dyDescent="0.3">
      <c r="A1513" t="str">
        <f>HYPERLINK("https://us2.cloudbeds.com/connect/10074733072513#/reservations/30648108032131?display=YQ476GJP6&amp;reservation_id=30648108032131", "YQ476GJP6")</f>
        <v>YQ476GJP6</v>
      </c>
      <c r="B1513" t="s">
        <v>74</v>
      </c>
      <c r="C1513">
        <v>178.56</v>
      </c>
      <c r="D1513">
        <v>194.08</v>
      </c>
      <c r="E1513">
        <v>194.09</v>
      </c>
      <c r="F1513">
        <v>-0.01</v>
      </c>
    </row>
    <row r="1514" spans="1:6" x14ac:dyDescent="0.3">
      <c r="A1514" t="str">
        <f>HYPERLINK("https://us2.cloudbeds.com/connect/10074733072513#/reservations/30651907248311?display=YQ7593CS7&amp;reservation_id=30651907248311", "YQ7593CS7")</f>
        <v>YQ7593CS7</v>
      </c>
      <c r="B1514" t="s">
        <v>94</v>
      </c>
      <c r="C1514">
        <v>867.3</v>
      </c>
      <c r="D1514">
        <v>942.75</v>
      </c>
      <c r="E1514">
        <v>942.76</v>
      </c>
      <c r="F1514">
        <v>-0.01</v>
      </c>
    </row>
    <row r="1515" spans="1:6" x14ac:dyDescent="0.3">
      <c r="A1515" t="str">
        <f>HYPERLINK("https://us2.cloudbeds.com/connect/10074733072513#/reservations/30650306396301?display=YQ5UC7AY8&amp;reservation_id=30650306396301", "YQ5UC7AY8")</f>
        <v>YQ5UC7AY8</v>
      </c>
      <c r="B1515" t="s">
        <v>74</v>
      </c>
      <c r="C1515">
        <v>87.2</v>
      </c>
      <c r="D1515">
        <v>94.78</v>
      </c>
      <c r="E1515">
        <v>94.79</v>
      </c>
      <c r="F1515">
        <v>-0.01</v>
      </c>
    </row>
    <row r="1516" spans="1:6" x14ac:dyDescent="0.3">
      <c r="A1516" t="str">
        <f>HYPERLINK("https://us2.cloudbeds.com/connect/10074733072513#/reservations/30647920177355?display=YQ42D38M7&amp;reservation_id=30647920177355", "YQ42D38M7")</f>
        <v>YQ42D38M7</v>
      </c>
      <c r="B1516" t="s">
        <v>86</v>
      </c>
      <c r="C1516">
        <v>76.16</v>
      </c>
      <c r="D1516">
        <v>82.78</v>
      </c>
      <c r="E1516">
        <v>82.79</v>
      </c>
      <c r="F1516">
        <v>-0.01</v>
      </c>
    </row>
    <row r="1517" spans="1:6" x14ac:dyDescent="0.3">
      <c r="A1517" t="str">
        <f>HYPERLINK("https://us2.cloudbeds.com/connect/10074733072513#/reservations/30647905276158?display=YQ420HK9Q&amp;reservation_id=30647905276158", "YQ420HK9Q")</f>
        <v>YQ420HK9Q</v>
      </c>
      <c r="B1517" t="s">
        <v>86</v>
      </c>
      <c r="C1517">
        <v>103.2</v>
      </c>
      <c r="D1517">
        <v>112.17</v>
      </c>
      <c r="E1517">
        <v>112.18</v>
      </c>
      <c r="F1517">
        <v>-0.01</v>
      </c>
    </row>
    <row r="1518" spans="1:6" x14ac:dyDescent="0.3">
      <c r="A1518" t="str">
        <f>HYPERLINK("https://us2.cloudbeds.com/connect/10074733072513#/reservations/30649036910825?display=YQ4UUP0JD&amp;reservation_id=30649036910825", "YQ4UUP0JD")</f>
        <v>YQ4UUP0JD</v>
      </c>
      <c r="B1518" t="s">
        <v>84</v>
      </c>
      <c r="C1518">
        <v>103.2</v>
      </c>
      <c r="D1518">
        <v>112.17</v>
      </c>
      <c r="E1518">
        <v>112.18</v>
      </c>
      <c r="F1518">
        <v>-0.01</v>
      </c>
    </row>
    <row r="1519" spans="1:6" x14ac:dyDescent="0.3">
      <c r="A1519" t="str">
        <f>HYPERLINK("https://us2.cloudbeds.com/connect/10074733072513#/reservations/30647870345430?display=YQ4142KAT&amp;reservation_id=30647870345430", "YQ4142KAT")</f>
        <v>YQ4142KAT</v>
      </c>
      <c r="B1519" t="s">
        <v>86</v>
      </c>
      <c r="C1519">
        <v>87.2</v>
      </c>
      <c r="D1519">
        <v>94.78</v>
      </c>
      <c r="E1519">
        <v>94.79</v>
      </c>
      <c r="F1519">
        <v>-0.01</v>
      </c>
    </row>
    <row r="1520" spans="1:6" x14ac:dyDescent="0.3">
      <c r="A1520" t="str">
        <f>HYPERLINK("https://us2.cloudbeds.com/connect/10074733072513#/reservations/30647949844707?display=YQ4353QDT&amp;reservation_id=30647949844707", "YQ4353QDT")</f>
        <v>YQ4353QDT</v>
      </c>
      <c r="B1520" t="s">
        <v>93</v>
      </c>
      <c r="C1520">
        <v>87.2</v>
      </c>
      <c r="D1520">
        <v>94.78</v>
      </c>
      <c r="E1520">
        <v>94.79</v>
      </c>
      <c r="F1520">
        <v>-0.01</v>
      </c>
    </row>
    <row r="1521" spans="1:6" x14ac:dyDescent="0.3">
      <c r="A1521" t="str">
        <f>HYPERLINK("https://us2.cloudbeds.com/connect/10074733072513#/reservations/30647985082532?display=YQ441RBCP&amp;reservation_id=30647985082532", "YQ441RBCP")</f>
        <v>YQ441RBCP</v>
      </c>
      <c r="B1521" t="s">
        <v>93</v>
      </c>
      <c r="C1521">
        <v>87.2</v>
      </c>
      <c r="D1521">
        <v>94.78</v>
      </c>
      <c r="E1521">
        <v>94.79</v>
      </c>
      <c r="F1521">
        <v>-0.01</v>
      </c>
    </row>
    <row r="1522" spans="1:6" x14ac:dyDescent="0.3">
      <c r="A1522" t="str">
        <f>HYPERLINK("https://us2.cloudbeds.com/connect/10074733072513#/reservations/30649042403456?display=YQ4UUP4BC&amp;reservation_id=30649042403456", "YQ4UUP4BC")</f>
        <v>YQ4UUP4BC</v>
      </c>
      <c r="B1522" t="s">
        <v>84</v>
      </c>
      <c r="C1522">
        <v>87.2</v>
      </c>
      <c r="D1522">
        <v>94.78</v>
      </c>
      <c r="E1522">
        <v>94.79</v>
      </c>
      <c r="F1522">
        <v>-0.01</v>
      </c>
    </row>
    <row r="1523" spans="1:6" x14ac:dyDescent="0.3">
      <c r="A1523" t="str">
        <f>HYPERLINK("https://us2.cloudbeds.com/connect/10074733072513#/reservations/30649174450369?display=YQ51EZ8HC&amp;reservation_id=30649174450369", "YQ51EZ8HC")</f>
        <v>YQ51EZ8HC</v>
      </c>
      <c r="B1523" t="s">
        <v>77</v>
      </c>
      <c r="C1523">
        <v>87.2</v>
      </c>
      <c r="D1523">
        <v>94.78</v>
      </c>
      <c r="E1523">
        <v>94.79</v>
      </c>
      <c r="F1523">
        <v>-0.01</v>
      </c>
    </row>
    <row r="1524" spans="1:6" x14ac:dyDescent="0.3">
      <c r="A1524" t="str">
        <f>HYPERLINK("https://us2.cloudbeds.com/connect/10074733072513#/reservations/30648526381258?display=YQ4HT8PZF&amp;reservation_id=30648526381258", "YQ4HT8PZF")</f>
        <v>YQ4HT8PZF</v>
      </c>
      <c r="B1524" t="s">
        <v>68</v>
      </c>
      <c r="C1524">
        <v>103.2</v>
      </c>
      <c r="D1524">
        <v>112.17</v>
      </c>
      <c r="E1524">
        <v>112.18</v>
      </c>
      <c r="F1524">
        <v>-0.01</v>
      </c>
    </row>
    <row r="1525" spans="1:6" x14ac:dyDescent="0.3">
      <c r="A1525" t="str">
        <f>HYPERLINK("https://us2.cloudbeds.com/connect/10074733072513#/reservations/30648416850104?display=YQ4F2TU5J&amp;reservation_id=30648416850104", "YQ4F2TU5J")</f>
        <v>YQ4F2TU5J</v>
      </c>
      <c r="B1525" t="s">
        <v>84</v>
      </c>
      <c r="C1525">
        <v>76.16</v>
      </c>
      <c r="D1525">
        <v>82.78</v>
      </c>
      <c r="E1525">
        <v>82.79</v>
      </c>
      <c r="F1525">
        <v>-0.01</v>
      </c>
    </row>
    <row r="1526" spans="1:6" x14ac:dyDescent="0.3">
      <c r="A1526" t="str">
        <f>HYPERLINK("https://us2.cloudbeds.com/connect/10074733072513#/reservations/30648421220559?display=YQ4F6JHEK&amp;reservation_id=30648421220559", "YQ4F6JHEK")</f>
        <v>YQ4F6JHEK</v>
      </c>
      <c r="B1526" t="s">
        <v>84</v>
      </c>
      <c r="C1526">
        <v>76.16</v>
      </c>
      <c r="D1526">
        <v>82.78</v>
      </c>
      <c r="E1526">
        <v>82.79</v>
      </c>
      <c r="F1526">
        <v>-0.01</v>
      </c>
    </row>
    <row r="1527" spans="1:6" x14ac:dyDescent="0.3">
      <c r="A1527" t="str">
        <f>HYPERLINK("https://us2.cloudbeds.com/connect/10074733072513#/reservations/30648426893474?display=YQ4FBCCZ4&amp;reservation_id=30648426893474", "YQ4FBCCZ4")</f>
        <v>YQ4FBCCZ4</v>
      </c>
      <c r="B1527" t="s">
        <v>84</v>
      </c>
      <c r="C1527">
        <v>76.16</v>
      </c>
      <c r="D1527">
        <v>82.78</v>
      </c>
      <c r="E1527">
        <v>82.79</v>
      </c>
      <c r="F1527">
        <v>-0.01</v>
      </c>
    </row>
    <row r="1528" spans="1:6" x14ac:dyDescent="0.3">
      <c r="A1528" t="str">
        <f>HYPERLINK("https://us2.cloudbeds.com/connect/10074733072513#/reservations/30647961456783?display=YQ43ETUFW&amp;reservation_id=30647961456783", "YQ43ETUFW")</f>
        <v>YQ43ETUFW</v>
      </c>
      <c r="B1528" t="s">
        <v>93</v>
      </c>
      <c r="C1528">
        <v>76.16</v>
      </c>
      <c r="D1528">
        <v>82.78</v>
      </c>
      <c r="E1528">
        <v>82.79</v>
      </c>
      <c r="F1528">
        <v>-0.01</v>
      </c>
    </row>
    <row r="1529" spans="1:6" x14ac:dyDescent="0.3">
      <c r="A1529" t="str">
        <f>HYPERLINK("https://us2.cloudbeds.com/connect/10074733072513#/reservations/30647447883924?display=YQ3NAS022&amp;reservation_id=30647447883924", "YQ3NAS022")</f>
        <v>YQ3NAS022</v>
      </c>
      <c r="B1529" t="s">
        <v>82</v>
      </c>
      <c r="C1529">
        <v>118.15</v>
      </c>
      <c r="D1529">
        <v>128.41999999999999</v>
      </c>
      <c r="E1529">
        <v>128.43</v>
      </c>
      <c r="F1529">
        <v>-0.01</v>
      </c>
    </row>
    <row r="1530" spans="1:6" x14ac:dyDescent="0.3">
      <c r="A1530" t="str">
        <f>HYPERLINK("https://us2.cloudbeds.com/connect/10074733072513#/reservations/30649017852108?display=YQ4UEMMFH&amp;reservation_id=30649017852108", "YQ4UEMMFH")</f>
        <v>YQ4UEMMFH</v>
      </c>
      <c r="B1530" t="s">
        <v>84</v>
      </c>
      <c r="C1530">
        <v>76.16</v>
      </c>
      <c r="D1530">
        <v>82.78</v>
      </c>
      <c r="E1530">
        <v>82.79</v>
      </c>
      <c r="F1530">
        <v>-0.01</v>
      </c>
    </row>
    <row r="1531" spans="1:6" x14ac:dyDescent="0.3">
      <c r="A1531" t="str">
        <f>HYPERLINK("https://us2.cloudbeds.com/connect/10074733072513#/reservations/30650213437673?display=YQ5RWRK64&amp;reservation_id=30650213437673", "YQ5RWRK64")</f>
        <v>YQ5RWRK64</v>
      </c>
      <c r="B1531" t="s">
        <v>78</v>
      </c>
      <c r="C1531">
        <v>76.16</v>
      </c>
      <c r="D1531">
        <v>82.78</v>
      </c>
      <c r="E1531">
        <v>82.79</v>
      </c>
      <c r="F1531">
        <v>-0.01</v>
      </c>
    </row>
    <row r="1532" spans="1:6" x14ac:dyDescent="0.3">
      <c r="A1532" t="str">
        <f>HYPERLINK("https://us2.cloudbeds.com/connect/10074733072513#/reservations/30648185684106?display=YQ495WCHB&amp;reservation_id=30648185684106", "YQ495WCHB")</f>
        <v>YQ495WCHB</v>
      </c>
      <c r="B1532" t="s">
        <v>92</v>
      </c>
      <c r="C1532">
        <v>118.15</v>
      </c>
      <c r="D1532">
        <v>128.41999999999999</v>
      </c>
      <c r="E1532">
        <v>128.43</v>
      </c>
      <c r="F1532">
        <v>-0.01</v>
      </c>
    </row>
    <row r="1533" spans="1:6" x14ac:dyDescent="0.3">
      <c r="A1533" t="str">
        <f>HYPERLINK("https://us2.cloudbeds.com/connect/10074733072513#/reservations/30647484330122?display=YQ3Z8J5YA&amp;reservation_id=30647484330122", "YQ3Z8J5YA")</f>
        <v>YQ3Z8J5YA</v>
      </c>
      <c r="B1533" t="s">
        <v>92</v>
      </c>
      <c r="C1533">
        <v>87.2</v>
      </c>
      <c r="D1533">
        <v>94.78</v>
      </c>
      <c r="E1533">
        <v>94.79</v>
      </c>
      <c r="F1533">
        <v>-0.01</v>
      </c>
    </row>
    <row r="1534" spans="1:6" x14ac:dyDescent="0.3">
      <c r="A1534" t="str">
        <f>HYPERLINK("https://us2.cloudbeds.com/connect/10074733072513#/reservations/30650310914275?display=YQ5UG11CX&amp;reservation_id=30650310914275", "YQ5UG11CX")</f>
        <v>YQ5UG11CX</v>
      </c>
      <c r="B1534" t="s">
        <v>82</v>
      </c>
      <c r="C1534">
        <v>143.19999999999999</v>
      </c>
      <c r="D1534">
        <v>155.65</v>
      </c>
      <c r="E1534">
        <v>155.66</v>
      </c>
      <c r="F1534">
        <v>-0.01</v>
      </c>
    </row>
    <row r="1535" spans="1:6" x14ac:dyDescent="0.3">
      <c r="A1535" t="str">
        <f>HYPERLINK("https://us2.cloudbeds.com/connect/10074733072513#/reservations/30648841457828?display=YQ4PUV88A&amp;reservation_id=30648841457828", "YQ4PUV88A")</f>
        <v>YQ4PUV88A</v>
      </c>
      <c r="B1535" t="s">
        <v>96</v>
      </c>
      <c r="C1535">
        <v>250.2</v>
      </c>
      <c r="D1535">
        <v>271.95999999999998</v>
      </c>
      <c r="E1535">
        <v>271.97000000000003</v>
      </c>
      <c r="F1535">
        <v>-0.01</v>
      </c>
    </row>
    <row r="1536" spans="1:6" x14ac:dyDescent="0.3">
      <c r="A1536" t="str">
        <f>HYPERLINK("https://us2.cloudbeds.com/connect/10074733072513#/reservations/30648547774605?display=YQ4XEA2MN&amp;reservation_id=30648547774605", "YQ4XEA2MN")</f>
        <v>YQ4XEA2MN</v>
      </c>
      <c r="B1536" t="s">
        <v>68</v>
      </c>
      <c r="C1536">
        <v>103.2</v>
      </c>
      <c r="D1536">
        <v>112.17</v>
      </c>
      <c r="E1536">
        <v>112.18</v>
      </c>
      <c r="F1536">
        <v>-0.01</v>
      </c>
    </row>
    <row r="1537" spans="1:6" x14ac:dyDescent="0.3">
      <c r="A1537" t="str">
        <f>HYPERLINK("https://us2.cloudbeds.com/connect/10074733072513#/reservations/30650358259906?display=YQ5VMVGKY&amp;reservation_id=30650358259906", "YQ5VMVGKY")</f>
        <v>YQ5VMVGKY</v>
      </c>
      <c r="B1537" t="s">
        <v>74</v>
      </c>
      <c r="C1537">
        <v>103.2</v>
      </c>
      <c r="D1537">
        <v>112.17</v>
      </c>
      <c r="E1537">
        <v>112.18</v>
      </c>
      <c r="F1537">
        <v>-0.01</v>
      </c>
    </row>
    <row r="1538" spans="1:6" x14ac:dyDescent="0.3">
      <c r="A1538" t="str">
        <f>HYPERLINK("https://us2.cloudbeds.com/connect/10074733072513#/reservations/30649178464470?display=YQ51X3VXQ&amp;reservation_id=30649178464470", "YQ51X3VXQ")</f>
        <v>YQ51X3VXQ</v>
      </c>
      <c r="B1538" t="s">
        <v>77</v>
      </c>
      <c r="C1538">
        <v>87.2</v>
      </c>
      <c r="D1538">
        <v>94.78</v>
      </c>
      <c r="E1538">
        <v>94.79</v>
      </c>
      <c r="F1538">
        <v>-0.01</v>
      </c>
    </row>
    <row r="1539" spans="1:6" x14ac:dyDescent="0.3">
      <c r="A1539" t="str">
        <f>HYPERLINK("https://us2.cloudbeds.com/connect/10074733072513#/reservations/30648304062669?display=YQ4C6QEEH&amp;reservation_id=30648304062669", "YQ4C6QEEH")</f>
        <v>YQ4C6QEEH</v>
      </c>
      <c r="B1539" t="s">
        <v>85</v>
      </c>
      <c r="C1539">
        <v>87.2</v>
      </c>
      <c r="D1539">
        <v>94.78</v>
      </c>
      <c r="E1539">
        <v>94.79</v>
      </c>
      <c r="F1539">
        <v>-0.01</v>
      </c>
    </row>
    <row r="1540" spans="1:6" x14ac:dyDescent="0.3">
      <c r="A1540" t="str">
        <f>HYPERLINK("https://us2.cloudbeds.com/connect/10074733072513#/reservations/30649221222596?display=YQ52Y5P7J&amp;reservation_id=30649221222596", "YQ52Y5P7J")</f>
        <v>YQ52Y5P7J</v>
      </c>
      <c r="B1540" t="s">
        <v>77</v>
      </c>
      <c r="C1540">
        <v>276</v>
      </c>
      <c r="D1540">
        <v>300</v>
      </c>
      <c r="E1540">
        <v>300.01</v>
      </c>
      <c r="F1540">
        <v>-0.01</v>
      </c>
    </row>
    <row r="1541" spans="1:6" x14ac:dyDescent="0.3">
      <c r="A1541" t="str">
        <f>HYPERLINK("https://us2.cloudbeds.com/connect/10074733072513#/reservations/30647503442073?display=YQ3ZZMWYB&amp;reservation_id=30647503442073", "YQ3ZZMWYB")</f>
        <v>YQ3ZZMWYB</v>
      </c>
      <c r="B1541" t="s">
        <v>92</v>
      </c>
      <c r="C1541">
        <v>76.16</v>
      </c>
      <c r="D1541">
        <v>82.78</v>
      </c>
      <c r="E1541">
        <v>82.79</v>
      </c>
      <c r="F1541">
        <v>-0.01</v>
      </c>
    </row>
    <row r="1542" spans="1:6" x14ac:dyDescent="0.3">
      <c r="A1542" t="str">
        <f>HYPERLINK("https://us2.cloudbeds.com/connect/10074733072513#/reservations/30648304058561?display=YQ4C6QAM1&amp;reservation_id=30648304058561", "YQ4C6QAM1")</f>
        <v>YQ4C6QAM1</v>
      </c>
      <c r="B1542" t="s">
        <v>85</v>
      </c>
      <c r="C1542">
        <v>87.2</v>
      </c>
      <c r="D1542">
        <v>94.78</v>
      </c>
      <c r="E1542">
        <v>94.79</v>
      </c>
      <c r="F1542">
        <v>-0.01</v>
      </c>
    </row>
    <row r="1543" spans="1:6" x14ac:dyDescent="0.3">
      <c r="A1543" t="str">
        <f>HYPERLINK("https://us2.cloudbeds.com/connect/10074733072513#/reservations/30649322938564?display=YQ557V5AY&amp;reservation_id=30649322938564", "YQ557V5AY")</f>
        <v>YQ557V5AY</v>
      </c>
      <c r="B1543" t="s">
        <v>64</v>
      </c>
      <c r="C1543">
        <v>100.08</v>
      </c>
      <c r="D1543">
        <v>108.78</v>
      </c>
      <c r="E1543">
        <v>108.79</v>
      </c>
      <c r="F1543">
        <v>-0.01</v>
      </c>
    </row>
    <row r="1544" spans="1:6" x14ac:dyDescent="0.3">
      <c r="A1544" t="str">
        <f>HYPERLINK("https://us2.cloudbeds.com/connect/10074733072513#/reservations/30648286146709?display=YQ4BZMTMY&amp;reservation_id=30648286146709", "YQ4BZMTMY")</f>
        <v>YQ4BZMTMY</v>
      </c>
      <c r="B1544" t="s">
        <v>85</v>
      </c>
      <c r="C1544">
        <v>103.2</v>
      </c>
      <c r="D1544">
        <v>112.17</v>
      </c>
      <c r="E1544">
        <v>112.18</v>
      </c>
      <c r="F1544">
        <v>-0.01</v>
      </c>
    </row>
    <row r="1545" spans="1:6" x14ac:dyDescent="0.3">
      <c r="A1545" t="str">
        <f>HYPERLINK("https://us2.cloudbeds.com/connect/10074733072513#/reservations/30648565772536?display=YQ4XTFTNX&amp;reservation_id=30648565772536", "YQ4XTFTNX")</f>
        <v>YQ4XTFTNX</v>
      </c>
      <c r="B1545" t="s">
        <v>68</v>
      </c>
      <c r="C1545">
        <v>87.2</v>
      </c>
      <c r="D1545">
        <v>94.78</v>
      </c>
      <c r="E1545">
        <v>94.79</v>
      </c>
      <c r="F1545">
        <v>-0.01</v>
      </c>
    </row>
    <row r="1546" spans="1:6" x14ac:dyDescent="0.3">
      <c r="A1546" t="str">
        <f>HYPERLINK("https://us2.cloudbeds.com/connect/10074733072513#/reservations/30647508664554?display=YQ3ZT3AA8&amp;reservation_id=30647508664554", "YQ3ZT3AA8")</f>
        <v>YQ3ZT3AA8</v>
      </c>
      <c r="B1546" t="s">
        <v>92</v>
      </c>
      <c r="C1546">
        <v>76.16</v>
      </c>
      <c r="D1546">
        <v>82.78</v>
      </c>
      <c r="E1546">
        <v>82.79</v>
      </c>
      <c r="F1546">
        <v>-0.01</v>
      </c>
    </row>
    <row r="1547" spans="1:6" x14ac:dyDescent="0.3">
      <c r="A1547" t="str">
        <f>HYPERLINK("https://us2.cloudbeds.com/connect/10074733072513#/reservations/30648531579043?display=YQ4X0YDZ3&amp;reservation_id=30648531579043", "YQ4X0YDZ3")</f>
        <v>YQ4X0YDZ3</v>
      </c>
      <c r="B1547" t="s">
        <v>68</v>
      </c>
      <c r="C1547">
        <v>103.2</v>
      </c>
      <c r="D1547">
        <v>112.17</v>
      </c>
      <c r="E1547">
        <v>112.18</v>
      </c>
      <c r="F1547">
        <v>-0.01</v>
      </c>
    </row>
    <row r="1548" spans="1:6" x14ac:dyDescent="0.3">
      <c r="A1548" t="str">
        <f>HYPERLINK("https://us2.cloudbeds.com/connect/10074733072513#/reservations/30649201627279?display=YQ524YGC3&amp;reservation_id=30649201627279", "YQ524YGC3")</f>
        <v>YQ524YGC3</v>
      </c>
      <c r="B1548" t="s">
        <v>77</v>
      </c>
      <c r="C1548">
        <v>76.16</v>
      </c>
      <c r="D1548">
        <v>82.78</v>
      </c>
      <c r="E1548">
        <v>82.79</v>
      </c>
      <c r="F1548">
        <v>-0.01</v>
      </c>
    </row>
    <row r="1549" spans="1:6" x14ac:dyDescent="0.3">
      <c r="A1549" t="str">
        <f>HYPERLINK("https://us2.cloudbeds.com/connect/10074733072513#/reservations/30648454471828?display=YQ4G1KQ6R&amp;reservation_id=30648454471828", "YQ4G1KQ6R")</f>
        <v>YQ4G1KQ6R</v>
      </c>
      <c r="B1549" t="s">
        <v>97</v>
      </c>
      <c r="C1549">
        <v>196.2</v>
      </c>
      <c r="D1549">
        <v>213.26</v>
      </c>
      <c r="E1549">
        <v>213.27</v>
      </c>
      <c r="F1549">
        <v>-0.01</v>
      </c>
    </row>
    <row r="1550" spans="1:6" x14ac:dyDescent="0.3">
      <c r="A1550" t="str">
        <f>HYPERLINK("https://us2.cloudbeds.com/connect/10074733072513#/reservations/30648300376193?display=YQ4C3MS84&amp;reservation_id=30648300376193", "YQ4C3MS84")</f>
        <v>YQ4C3MS84</v>
      </c>
      <c r="B1550" t="s">
        <v>89</v>
      </c>
      <c r="C1550">
        <v>250.2</v>
      </c>
      <c r="D1550">
        <v>271.95999999999998</v>
      </c>
      <c r="E1550">
        <v>271.97000000000003</v>
      </c>
      <c r="F1550">
        <v>-0.01</v>
      </c>
    </row>
    <row r="1551" spans="1:6" x14ac:dyDescent="0.3">
      <c r="A1551" t="str">
        <f>HYPERLINK("https://us2.cloudbeds.com/connect/10074733072513#/reservations/30648538341629?display=YQ4X6BJKV&amp;reservation_id=30648538341629", "YQ4X6BJKV")</f>
        <v>YQ4X6BJKV</v>
      </c>
      <c r="B1551" t="s">
        <v>95</v>
      </c>
      <c r="C1551">
        <v>222.4</v>
      </c>
      <c r="D1551">
        <v>241.74</v>
      </c>
      <c r="E1551">
        <v>241.75</v>
      </c>
      <c r="F1551">
        <v>-0.01</v>
      </c>
    </row>
    <row r="1552" spans="1:6" x14ac:dyDescent="0.3">
      <c r="A1552" t="str">
        <f>HYPERLINK("https://us2.cloudbeds.com/connect/10074733072513#/reservations/30648293417168?display=YQ4BUR6VJ&amp;reservation_id=30648293417168", "YQ4BUR6VJ")</f>
        <v>YQ4BUR6VJ</v>
      </c>
      <c r="B1552" t="s">
        <v>85</v>
      </c>
      <c r="C1552">
        <v>87.2</v>
      </c>
      <c r="D1552">
        <v>94.78</v>
      </c>
      <c r="E1552">
        <v>94.79</v>
      </c>
      <c r="F1552">
        <v>-0.01</v>
      </c>
    </row>
    <row r="1553" spans="1:6" x14ac:dyDescent="0.3">
      <c r="A1553" t="str">
        <f>HYPERLINK("https://us2.cloudbeds.com/connect/10074733072513#/reservations/30648314511613?display=YQ4CFK6E6&amp;reservation_id=30648314511613", "YQ4CFK6E6")</f>
        <v>YQ4CFK6E6</v>
      </c>
      <c r="B1553" t="s">
        <v>85</v>
      </c>
      <c r="C1553">
        <v>103.2</v>
      </c>
      <c r="D1553">
        <v>112.17</v>
      </c>
      <c r="E1553">
        <v>112.18</v>
      </c>
      <c r="F1553">
        <v>-0.01</v>
      </c>
    </row>
    <row r="1554" spans="1:6" x14ac:dyDescent="0.3">
      <c r="A1554" t="str">
        <f>HYPERLINK("https://us2.cloudbeds.com/connect/10074733072513#/reservations/30648583344303?display=YQ4JB9SDB&amp;reservation_id=30648583344303", "YQ4JB9SDB")</f>
        <v>YQ4JB9SDB</v>
      </c>
      <c r="B1554" t="s">
        <v>95</v>
      </c>
      <c r="C1554">
        <v>222.4</v>
      </c>
      <c r="D1554">
        <v>241.74</v>
      </c>
      <c r="E1554">
        <v>241.75</v>
      </c>
      <c r="F1554">
        <v>-0.01</v>
      </c>
    </row>
    <row r="1555" spans="1:6" x14ac:dyDescent="0.3">
      <c r="A1555" t="str">
        <f>HYPERLINK("https://us2.cloudbeds.com/connect/10074733072513#/reservations/30649234014342?display=YQ52VVNX8&amp;reservation_id=30649234014342", "YQ52VVNX8")</f>
        <v>YQ52VVNX8</v>
      </c>
      <c r="B1555" t="s">
        <v>85</v>
      </c>
      <c r="C1555">
        <v>76.16</v>
      </c>
      <c r="D1555">
        <v>82.78</v>
      </c>
      <c r="E1555">
        <v>82.79</v>
      </c>
      <c r="F1555">
        <v>-0.01</v>
      </c>
    </row>
    <row r="1556" spans="1:6" x14ac:dyDescent="0.3">
      <c r="A1556" t="str">
        <f>HYPERLINK("https://us2.cloudbeds.com/connect/10074733072513#/reservations/30648724107471?display=YQ4MUWQGT&amp;reservation_id=30648724107471", "YQ4MUWQGT")</f>
        <v>YQ4MUWQGT</v>
      </c>
      <c r="B1556" t="s">
        <v>98</v>
      </c>
      <c r="C1556">
        <v>127.2</v>
      </c>
      <c r="D1556">
        <v>138.26</v>
      </c>
      <c r="E1556">
        <v>138.27000000000001</v>
      </c>
      <c r="F1556">
        <v>-0.01</v>
      </c>
    </row>
    <row r="1557" spans="1:6" x14ac:dyDescent="0.3">
      <c r="A1557" t="str">
        <f>HYPERLINK("https://us2.cloudbeds.com/connect/10074733072513#/reservations/30649293115619?display=YQ54FQ9N1&amp;reservation_id=30649293115619", "YQ54FQ9N1")</f>
        <v>YQ54FQ9N1</v>
      </c>
      <c r="B1557" t="s">
        <v>64</v>
      </c>
      <c r="C1557">
        <v>103.2</v>
      </c>
      <c r="D1557">
        <v>112.17</v>
      </c>
      <c r="E1557">
        <v>112.18</v>
      </c>
      <c r="F1557">
        <v>-0.01</v>
      </c>
    </row>
    <row r="1558" spans="1:6" x14ac:dyDescent="0.3">
      <c r="A1558" t="str">
        <f>HYPERLINK("https://us2.cloudbeds.com/connect/10074733072513#/reservations/30648758112457?display=YQ4NQM1D0&amp;reservation_id=30648758112457", "YQ4NQM1D0")</f>
        <v>YQ4NQM1D0</v>
      </c>
      <c r="B1558" t="s">
        <v>98</v>
      </c>
      <c r="C1558">
        <v>214.4</v>
      </c>
      <c r="D1558">
        <v>233.04</v>
      </c>
      <c r="E1558">
        <v>233.05</v>
      </c>
      <c r="F1558">
        <v>-0.01</v>
      </c>
    </row>
    <row r="1559" spans="1:6" x14ac:dyDescent="0.3">
      <c r="A1559" t="str">
        <f>HYPERLINK("https://us2.cloudbeds.com/connect/10074733072513#/reservations/30648106873057?display=YQ475HBDZ&amp;reservation_id=30648106873057", "YQ475HBDZ")</f>
        <v>YQ475HBDZ</v>
      </c>
      <c r="B1559" t="s">
        <v>100</v>
      </c>
      <c r="C1559">
        <v>87.2</v>
      </c>
      <c r="D1559">
        <v>94.78</v>
      </c>
      <c r="E1559">
        <v>94.79</v>
      </c>
      <c r="F1559">
        <v>-0.01</v>
      </c>
    </row>
    <row r="1560" spans="1:6" x14ac:dyDescent="0.3">
      <c r="A1560" t="str">
        <f>HYPERLINK("https://us2.cloudbeds.com/connect/10074733072513#/reservations/30650400567508?display=YQ5WPKPJ6&amp;reservation_id=30650400567508", "YQ5WPKPJ6")</f>
        <v>YQ5WPKPJ6</v>
      </c>
      <c r="B1560" t="s">
        <v>26</v>
      </c>
      <c r="C1560">
        <v>87.2</v>
      </c>
      <c r="D1560">
        <v>94.78</v>
      </c>
      <c r="E1560">
        <v>94.79</v>
      </c>
      <c r="F1560">
        <v>-0.01</v>
      </c>
    </row>
    <row r="1561" spans="1:6" x14ac:dyDescent="0.3">
      <c r="A1561" t="str">
        <f>HYPERLINK("https://us2.cloudbeds.com/connect/10074733072513#/reservations/30650410004703?display=YQ600JCGQ&amp;reservation_id=30650410004703", "YQ600JCGQ")</f>
        <v>YQ600JCGQ</v>
      </c>
      <c r="B1561" t="s">
        <v>97</v>
      </c>
      <c r="C1561">
        <v>174.4</v>
      </c>
      <c r="D1561">
        <v>189.56</v>
      </c>
      <c r="E1561">
        <v>189.57</v>
      </c>
      <c r="F1561">
        <v>-0.01</v>
      </c>
    </row>
    <row r="1562" spans="1:6" x14ac:dyDescent="0.3">
      <c r="A1562" t="str">
        <f>HYPERLINK("https://us2.cloudbeds.com/connect/10074733072513#/reservations/30648491581641?display=YQ4GWUE5K&amp;reservation_id=30648491581641", "YQ4GWUE5K")</f>
        <v>YQ4GWUE5K</v>
      </c>
      <c r="B1562" t="s">
        <v>101</v>
      </c>
      <c r="C1562">
        <v>87.2</v>
      </c>
      <c r="D1562">
        <v>94.78</v>
      </c>
      <c r="E1562">
        <v>94.79</v>
      </c>
      <c r="F1562">
        <v>-0.01</v>
      </c>
    </row>
    <row r="1563" spans="1:6" x14ac:dyDescent="0.3">
      <c r="A1563" t="str">
        <f>HYPERLINK("https://us2.cloudbeds.com/connect/10074733072513#/reservations/30649068052643?display=YQ4VZ0J9S&amp;reservation_id=30649068052643", "YQ4VZ0J9S")</f>
        <v>YQ4VZ0J9S</v>
      </c>
      <c r="B1563" t="s">
        <v>99</v>
      </c>
      <c r="C1563">
        <v>100.08</v>
      </c>
      <c r="D1563">
        <v>108.78</v>
      </c>
      <c r="E1563">
        <v>108.79</v>
      </c>
      <c r="F1563">
        <v>-0.01</v>
      </c>
    </row>
    <row r="1564" spans="1:6" x14ac:dyDescent="0.3">
      <c r="A1564" t="str">
        <f>HYPERLINK("https://us2.cloudbeds.com/connect/10074733072513#/reservations/30648336650377?display=YQ4D197SR&amp;reservation_id=30648336650377", "YQ4D197SR")</f>
        <v>YQ4D197SR</v>
      </c>
      <c r="B1564" t="s">
        <v>102</v>
      </c>
      <c r="C1564">
        <v>87.2</v>
      </c>
      <c r="D1564">
        <v>94.78</v>
      </c>
      <c r="E1564">
        <v>94.79</v>
      </c>
      <c r="F1564">
        <v>-0.01</v>
      </c>
    </row>
    <row r="1565" spans="1:6" x14ac:dyDescent="0.3">
      <c r="A1565" t="str">
        <f>HYPERLINK("https://us2.cloudbeds.com/connect/10074733072513#/reservations/30650376548487?display=YQ5W5CDX1&amp;reservation_id=30650376548487", "YQ5W5CDX1")</f>
        <v>YQ5W5CDX1</v>
      </c>
      <c r="B1565" t="s">
        <v>103</v>
      </c>
      <c r="C1565">
        <v>87.2</v>
      </c>
      <c r="D1565">
        <v>94.78</v>
      </c>
      <c r="E1565">
        <v>94.79</v>
      </c>
      <c r="F1565">
        <v>-0.01</v>
      </c>
    </row>
    <row r="1566" spans="1:6" x14ac:dyDescent="0.3">
      <c r="A1566" t="str">
        <f>HYPERLINK("https://us2.cloudbeds.com/connect/10074733072513#/reservations/30653951549582?display=YQ8ZGU2RJ&amp;reservation_id=30653951549582", "YQ8ZGU2RJ")</f>
        <v>YQ8ZGU2RJ</v>
      </c>
      <c r="B1566" t="s">
        <v>104</v>
      </c>
      <c r="C1566">
        <v>87.2</v>
      </c>
      <c r="D1566">
        <v>94.78</v>
      </c>
      <c r="E1566">
        <v>94.79</v>
      </c>
      <c r="F1566">
        <v>-0.01</v>
      </c>
    </row>
    <row r="1567" spans="1:6" x14ac:dyDescent="0.3">
      <c r="A1567" t="str">
        <f>HYPERLINK("https://us2.cloudbeds.com/connect/10074733072513#/reservations/30649751085237?display=YQ5G5VW48&amp;reservation_id=30649751085237", "YQ5G5VW48")</f>
        <v>YQ5G5VW48</v>
      </c>
      <c r="B1567" t="s">
        <v>105</v>
      </c>
      <c r="C1567">
        <v>87.2</v>
      </c>
      <c r="D1567">
        <v>94.78</v>
      </c>
      <c r="E1567">
        <v>94.79</v>
      </c>
      <c r="F1567">
        <v>-0.01</v>
      </c>
    </row>
    <row r="1568" spans="1:6" x14ac:dyDescent="0.3">
      <c r="A1568" t="str">
        <f>HYPERLINK("https://us2.cloudbeds.com/connect/10074733072513#/reservations/30649430159489?display=YQ57WBZFJ&amp;reservation_id=30649430159489", "YQ57WBZFJ")</f>
        <v>YQ57WBZFJ</v>
      </c>
      <c r="B1568" t="s">
        <v>106</v>
      </c>
      <c r="C1568">
        <v>76.16</v>
      </c>
      <c r="D1568">
        <v>82.78</v>
      </c>
      <c r="E1568">
        <v>82.79</v>
      </c>
      <c r="F1568">
        <v>-0.01</v>
      </c>
    </row>
    <row r="1569" spans="1:6" x14ac:dyDescent="0.3">
      <c r="A1569" t="str">
        <f>HYPERLINK("https://us2.cloudbeds.com/connect/10074733072513#/reservations/30649756491969?display=YQ5GAHA9D&amp;reservation_id=30649756491969", "YQ5GAHA9D")</f>
        <v>YQ5GAHA9D</v>
      </c>
      <c r="B1569" t="s">
        <v>105</v>
      </c>
      <c r="C1569">
        <v>87.2</v>
      </c>
      <c r="D1569">
        <v>94.78</v>
      </c>
      <c r="E1569">
        <v>94.79</v>
      </c>
      <c r="F1569">
        <v>-0.01</v>
      </c>
    </row>
    <row r="1570" spans="1:6" x14ac:dyDescent="0.3">
      <c r="A1570" t="str">
        <f>HYPERLINK("https://us2.cloudbeds.com/connect/10074733072513#/reservations/30648799146225?display=YQ4ZS8SKH&amp;reservation_id=30648799146225", "YQ4ZS8SKH")</f>
        <v>YQ4ZS8SKH</v>
      </c>
      <c r="B1570" t="s">
        <v>96</v>
      </c>
      <c r="C1570">
        <v>76.16</v>
      </c>
      <c r="D1570">
        <v>82.78</v>
      </c>
      <c r="E1570">
        <v>82.79</v>
      </c>
      <c r="F1570">
        <v>-0.01</v>
      </c>
    </row>
    <row r="1571" spans="1:6" x14ac:dyDescent="0.3">
      <c r="A1571" t="str">
        <f>HYPERLINK("https://us2.cloudbeds.com/connect/10074733072513#/reservations/30649552744604?display=YQ5B3NS51&amp;reservation_id=30649552744604", "YQ5B3NS51")</f>
        <v>YQ5B3NS51</v>
      </c>
      <c r="B1571" t="s">
        <v>96</v>
      </c>
      <c r="C1571">
        <v>134.1</v>
      </c>
      <c r="D1571">
        <v>145.76</v>
      </c>
      <c r="E1571">
        <v>145.77000000000001</v>
      </c>
      <c r="F1571">
        <v>-0.01</v>
      </c>
    </row>
    <row r="1572" spans="1:6" x14ac:dyDescent="0.3">
      <c r="A1572" t="str">
        <f>HYPERLINK("https://us2.cloudbeds.com/connect/10074733072513#/reservations/30650191646900?display=YQ5REF89M&amp;reservation_id=30650191646900", "YQ5REF89M")</f>
        <v>YQ5REF89M</v>
      </c>
      <c r="B1572" t="s">
        <v>107</v>
      </c>
      <c r="C1572">
        <v>87.2</v>
      </c>
      <c r="D1572">
        <v>94.78</v>
      </c>
      <c r="E1572">
        <v>94.79</v>
      </c>
      <c r="F1572">
        <v>-0.01</v>
      </c>
    </row>
    <row r="1573" spans="1:6" x14ac:dyDescent="0.3">
      <c r="A1573" t="str">
        <f>HYPERLINK("https://us2.cloudbeds.com/connect/10074733072513#/reservations/30648728268959?display=YQ4N1GJTJ&amp;reservation_id=30648728268959", "YQ4N1GJTJ")</f>
        <v>YQ4N1GJTJ</v>
      </c>
      <c r="B1573" t="s">
        <v>96</v>
      </c>
      <c r="C1573">
        <v>76.16</v>
      </c>
      <c r="D1573">
        <v>82.78</v>
      </c>
      <c r="E1573">
        <v>82.79</v>
      </c>
      <c r="F1573">
        <v>-0.01</v>
      </c>
    </row>
    <row r="1574" spans="1:6" x14ac:dyDescent="0.3">
      <c r="A1574" t="str">
        <f>HYPERLINK("https://us2.cloudbeds.com/connect/10074733072513#/reservations/30651256742108?display=YQ6YYJ351&amp;reservation_id=30651256742108", "YQ6YYJ351")</f>
        <v>YQ6YYJ351</v>
      </c>
      <c r="B1574" t="s">
        <v>108</v>
      </c>
      <c r="C1574">
        <v>87.2</v>
      </c>
      <c r="D1574">
        <v>94.78</v>
      </c>
      <c r="E1574">
        <v>94.79</v>
      </c>
      <c r="F1574">
        <v>-0.01</v>
      </c>
    </row>
    <row r="1575" spans="1:6" x14ac:dyDescent="0.3">
      <c r="A1575" t="str">
        <f>HYPERLINK("https://us2.cloudbeds.com/connect/10074733072513#/reservations/30648833663185?display=YQ4PZCBY0&amp;reservation_id=30648833663185", "YQ4PZCBY0")</f>
        <v>YQ4PZCBY0</v>
      </c>
      <c r="B1575" t="s">
        <v>96</v>
      </c>
      <c r="C1575">
        <v>76.16</v>
      </c>
      <c r="D1575">
        <v>82.78</v>
      </c>
      <c r="E1575">
        <v>82.79</v>
      </c>
      <c r="F1575">
        <v>-0.01</v>
      </c>
    </row>
    <row r="1576" spans="1:6" x14ac:dyDescent="0.3">
      <c r="A1576" t="str">
        <f>HYPERLINK("https://us2.cloudbeds.com/connect/10074733072513#/reservations/30648587264206?display=YQ4JEJUV9&amp;reservation_id=30648587264206", "YQ4JEJUV9")</f>
        <v>YQ4JEJUV9</v>
      </c>
      <c r="B1576" t="s">
        <v>95</v>
      </c>
      <c r="C1576">
        <v>222.4</v>
      </c>
      <c r="D1576">
        <v>241.74</v>
      </c>
      <c r="E1576">
        <v>241.75</v>
      </c>
      <c r="F1576">
        <v>-0.01</v>
      </c>
    </row>
    <row r="1577" spans="1:6" x14ac:dyDescent="0.3">
      <c r="A1577" t="str">
        <f>HYPERLINK("https://us2.cloudbeds.com/connect/10074733072513#/reservations/30648891740387?display=YQ4R7BED7&amp;reservation_id=30648891740387", "YQ4R7BED7")</f>
        <v>YQ4R7BED7</v>
      </c>
      <c r="B1577" t="s">
        <v>109</v>
      </c>
      <c r="C1577">
        <v>87.2</v>
      </c>
      <c r="D1577">
        <v>94.78</v>
      </c>
      <c r="E1577">
        <v>94.79</v>
      </c>
      <c r="F1577">
        <v>-0.01</v>
      </c>
    </row>
    <row r="1578" spans="1:6" x14ac:dyDescent="0.3">
      <c r="A1578" t="str">
        <f>HYPERLINK("https://us2.cloudbeds.com/connect/10074733072513#/reservations/30648817942660?display=YQ4PB3TTF&amp;reservation_id=30648817942660", "YQ4PB3TTF")</f>
        <v>YQ4PB3TTF</v>
      </c>
      <c r="B1578" t="s">
        <v>96</v>
      </c>
      <c r="C1578">
        <v>76.16</v>
      </c>
      <c r="D1578">
        <v>82.78</v>
      </c>
      <c r="E1578">
        <v>82.79</v>
      </c>
      <c r="F1578">
        <v>-0.01</v>
      </c>
    </row>
    <row r="1579" spans="1:6" x14ac:dyDescent="0.3">
      <c r="A1579" t="str">
        <f>HYPERLINK("https://us2.cloudbeds.com/connect/10074733072513#/reservations/30648822026444?display=YQ4PEXHUF&amp;reservation_id=30648822026444", "YQ4PEXHUF")</f>
        <v>YQ4PEXHUF</v>
      </c>
      <c r="B1579" t="s">
        <v>96</v>
      </c>
      <c r="C1579">
        <v>76.16</v>
      </c>
      <c r="D1579">
        <v>82.78</v>
      </c>
      <c r="E1579">
        <v>82.79</v>
      </c>
      <c r="F1579">
        <v>-0.01</v>
      </c>
    </row>
    <row r="1580" spans="1:6" x14ac:dyDescent="0.3">
      <c r="A1580" t="str">
        <f>HYPERLINK("https://us2.cloudbeds.com/connect/10074733072513#/reservations/30648154882176?display=YQ487CG41&amp;reservation_id=30648154882176", "YQ487CG41")</f>
        <v>YQ487CG41</v>
      </c>
      <c r="B1580" t="s">
        <v>100</v>
      </c>
      <c r="C1580">
        <v>87.2</v>
      </c>
      <c r="D1580">
        <v>94.78</v>
      </c>
      <c r="E1580">
        <v>94.79</v>
      </c>
      <c r="F1580">
        <v>-0.01</v>
      </c>
    </row>
    <row r="1581" spans="1:6" x14ac:dyDescent="0.3">
      <c r="A1581" t="str">
        <f>HYPERLINK("https://us2.cloudbeds.com/connect/10074733072513#/reservations/30648598413532?display=YQ4JZ062Y&amp;reservation_id=30648598413532", "YQ4JZ062Y")</f>
        <v>YQ4JZ062Y</v>
      </c>
      <c r="B1581" t="s">
        <v>95</v>
      </c>
      <c r="C1581">
        <v>222.4</v>
      </c>
      <c r="D1581">
        <v>241.74</v>
      </c>
      <c r="E1581">
        <v>241.75</v>
      </c>
      <c r="F1581">
        <v>-0.01</v>
      </c>
    </row>
    <row r="1582" spans="1:6" x14ac:dyDescent="0.3">
      <c r="A1582" t="str">
        <f>HYPERLINK("https://us2.cloudbeds.com/connect/10074733072513#/reservations/30648108036244?display=YQ476GNHR&amp;reservation_id=30648108036244", "YQ476GNHR")</f>
        <v>YQ476GNHR</v>
      </c>
      <c r="B1582" t="s">
        <v>100</v>
      </c>
      <c r="C1582">
        <v>76.16</v>
      </c>
      <c r="D1582">
        <v>82.78</v>
      </c>
      <c r="E1582">
        <v>82.79</v>
      </c>
      <c r="F1582">
        <v>-0.01</v>
      </c>
    </row>
    <row r="1583" spans="1:6" x14ac:dyDescent="0.3">
      <c r="A1583" t="str">
        <f>HYPERLINK("https://us2.cloudbeds.com/connect/10074733072513#/reservations/30649308639398?display=YQ54ST8PX&amp;reservation_id=30649308639398", "YQ54ST8PX")</f>
        <v>YQ54ST8PX</v>
      </c>
      <c r="B1583" t="s">
        <v>110</v>
      </c>
      <c r="C1583">
        <v>134.1</v>
      </c>
      <c r="D1583">
        <v>145.76</v>
      </c>
      <c r="E1583">
        <v>145.77000000000001</v>
      </c>
      <c r="F1583">
        <v>-0.01</v>
      </c>
    </row>
    <row r="1584" spans="1:6" x14ac:dyDescent="0.3">
      <c r="A1584" t="str">
        <f>HYPERLINK("https://us2.cloudbeds.com/connect/10074733072513#/reservations/30650771034319?display=YQ6980XG6&amp;reservation_id=30650771034319", "YQ6980XG6")</f>
        <v>YQ6980XG6</v>
      </c>
      <c r="B1584" t="s">
        <v>111</v>
      </c>
      <c r="C1584">
        <v>87.2</v>
      </c>
      <c r="D1584">
        <v>94.78</v>
      </c>
      <c r="E1584">
        <v>94.79</v>
      </c>
      <c r="F1584">
        <v>-0.01</v>
      </c>
    </row>
    <row r="1585" spans="1:6" x14ac:dyDescent="0.3">
      <c r="A1585" t="str">
        <f>HYPERLINK("https://us2.cloudbeds.com/connect/10074733072513#/reservations/30649762767055?display=YQ5GFR17Z&amp;reservation_id=30649762767055", "YQ5GFR17Z")</f>
        <v>YQ5GFR17Z</v>
      </c>
      <c r="B1585" t="s">
        <v>110</v>
      </c>
      <c r="C1585">
        <v>268.2</v>
      </c>
      <c r="D1585">
        <v>291.52</v>
      </c>
      <c r="E1585">
        <v>291.52999999999997</v>
      </c>
      <c r="F1585">
        <v>-0.01</v>
      </c>
    </row>
    <row r="1586" spans="1:6" x14ac:dyDescent="0.3">
      <c r="A1586" t="str">
        <f>HYPERLINK("https://us2.cloudbeds.com/connect/10074733072513#/reservations/30651117732059?display=YQ6X3BUTA&amp;reservation_id=30651117732059", "YQ6X3BUTA")</f>
        <v>YQ6X3BUTA</v>
      </c>
      <c r="B1586" t="s">
        <v>112</v>
      </c>
      <c r="C1586">
        <v>196.2</v>
      </c>
      <c r="D1586">
        <v>213.26</v>
      </c>
      <c r="E1586">
        <v>213.27</v>
      </c>
      <c r="F1586">
        <v>-0.01</v>
      </c>
    </row>
    <row r="1587" spans="1:6" x14ac:dyDescent="0.3">
      <c r="A1587" t="str">
        <f>HYPERLINK("https://us2.cloudbeds.com/connect/10074733072513#/reservations/30649774797024?display=YQ5GPVQ17&amp;reservation_id=30649774797024", "YQ5GPVQ17")</f>
        <v>YQ5GPVQ17</v>
      </c>
      <c r="B1587" t="s">
        <v>105</v>
      </c>
      <c r="C1587">
        <v>87.2</v>
      </c>
      <c r="D1587">
        <v>94.78</v>
      </c>
      <c r="E1587">
        <v>94.79</v>
      </c>
      <c r="F1587">
        <v>-0.01</v>
      </c>
    </row>
    <row r="1588" spans="1:6" x14ac:dyDescent="0.3">
      <c r="A1588" t="str">
        <f>HYPERLINK("https://us2.cloudbeds.com/connect/10074733072513#/reservations/30649742082179?display=YQ5FVCB4W&amp;reservation_id=30649742082179", "YQ5FVCB4W")</f>
        <v>YQ5FVCB4W</v>
      </c>
      <c r="B1588" t="s">
        <v>105</v>
      </c>
      <c r="C1588">
        <v>103.2</v>
      </c>
      <c r="D1588">
        <v>112.17</v>
      </c>
      <c r="E1588">
        <v>112.18</v>
      </c>
      <c r="F1588">
        <v>-0.01</v>
      </c>
    </row>
    <row r="1589" spans="1:6" x14ac:dyDescent="0.3">
      <c r="A1589" t="str">
        <f>HYPERLINK("https://us2.cloudbeds.com/connect/10074733072513#/reservations/30649773547669?display=YQ5GZU0Q0&amp;reservation_id=30649773547669", "YQ5GZU0Q0")</f>
        <v>YQ5GZU0Q0</v>
      </c>
      <c r="B1589" t="s">
        <v>110</v>
      </c>
      <c r="C1589">
        <v>268.2</v>
      </c>
      <c r="D1589">
        <v>291.52</v>
      </c>
      <c r="E1589">
        <v>291.52999999999997</v>
      </c>
      <c r="F1589">
        <v>-0.01</v>
      </c>
    </row>
    <row r="1590" spans="1:6" x14ac:dyDescent="0.3">
      <c r="A1590" t="str">
        <f>HYPERLINK("https://us2.cloudbeds.com/connect/10074733072513#/reservations/30651082793194?display=YQ6H6TNER&amp;reservation_id=30651082793194", "YQ6H6TNER")</f>
        <v>YQ6H6TNER</v>
      </c>
      <c r="B1590" t="s">
        <v>112</v>
      </c>
      <c r="C1590">
        <v>76.16</v>
      </c>
      <c r="D1590">
        <v>82.78</v>
      </c>
      <c r="E1590">
        <v>82.79</v>
      </c>
      <c r="F1590">
        <v>-0.01</v>
      </c>
    </row>
    <row r="1591" spans="1:6" x14ac:dyDescent="0.3">
      <c r="A1591" t="str">
        <f>HYPERLINK("https://us2.cloudbeds.com/connect/10074733072513#/reservations/30648853667971?display=YQ4Q880GY&amp;reservation_id=30648853667971", "YQ4Q880GY")</f>
        <v>YQ4Q880GY</v>
      </c>
      <c r="B1591" t="s">
        <v>109</v>
      </c>
      <c r="C1591">
        <v>134.1</v>
      </c>
      <c r="D1591">
        <v>145.76</v>
      </c>
      <c r="E1591">
        <v>145.77000000000001</v>
      </c>
      <c r="F1591">
        <v>-0.01</v>
      </c>
    </row>
    <row r="1592" spans="1:6" x14ac:dyDescent="0.3">
      <c r="A1592" t="str">
        <f>HYPERLINK("https://us2.cloudbeds.com/connect/10074733072513#/reservations/30649969479882?display=YQ5YP445Q&amp;reservation_id=30649969479882", "YQ5YP445Q")</f>
        <v>YQ5YP445Q</v>
      </c>
      <c r="B1592" t="s">
        <v>45</v>
      </c>
      <c r="C1592">
        <v>86.15</v>
      </c>
      <c r="D1592">
        <v>93.64</v>
      </c>
      <c r="E1592">
        <v>93.65</v>
      </c>
      <c r="F1592">
        <v>-0.01</v>
      </c>
    </row>
    <row r="1593" spans="1:6" x14ac:dyDescent="0.3">
      <c r="A1593" t="str">
        <f>HYPERLINK("https://us2.cloudbeds.com/connect/10074733072513#/reservations/30648611569874?display=YQ4K2396M&amp;reservation_id=30648611569874", "YQ4K2396M")</f>
        <v>YQ4K2396M</v>
      </c>
      <c r="B1593" t="s">
        <v>95</v>
      </c>
      <c r="C1593">
        <v>250.2</v>
      </c>
      <c r="D1593">
        <v>271.95999999999998</v>
      </c>
      <c r="E1593">
        <v>271.97000000000003</v>
      </c>
      <c r="F1593">
        <v>-0.01</v>
      </c>
    </row>
    <row r="1594" spans="1:6" x14ac:dyDescent="0.3">
      <c r="A1594" t="str">
        <f>HYPERLINK("https://us2.cloudbeds.com/connect/10074733072513#/reservations/30648578683083?display=YQ4J7C548&amp;reservation_id=30648578683083", "YQ4J7C548")</f>
        <v>YQ4J7C548</v>
      </c>
      <c r="B1594" t="s">
        <v>95</v>
      </c>
      <c r="C1594">
        <v>302.39999999999998</v>
      </c>
      <c r="D1594">
        <v>328.7</v>
      </c>
      <c r="E1594">
        <v>328.71</v>
      </c>
      <c r="F1594">
        <v>-0.01</v>
      </c>
    </row>
    <row r="1595" spans="1:6" x14ac:dyDescent="0.3">
      <c r="A1595" t="str">
        <f>HYPERLINK("https://us2.cloudbeds.com/connect/10074733072513#/reservations/30648480395482?display=YQ4GNG573&amp;reservation_id=30648480395482", "YQ4GNG573")</f>
        <v>YQ4GNG573</v>
      </c>
      <c r="B1595" t="s">
        <v>101</v>
      </c>
      <c r="C1595">
        <v>174.4</v>
      </c>
      <c r="D1595">
        <v>189.56</v>
      </c>
      <c r="E1595">
        <v>189.57</v>
      </c>
      <c r="F1595">
        <v>-0.01</v>
      </c>
    </row>
    <row r="1596" spans="1:6" x14ac:dyDescent="0.3">
      <c r="A1596" t="str">
        <f>HYPERLINK("https://us2.cloudbeds.com/connect/10074733072513#/reservations/30648570552475?display=YQ4J0GU06&amp;reservation_id=30648570552475", "YQ4J0GU06")</f>
        <v>YQ4J0GU06</v>
      </c>
      <c r="B1596" t="s">
        <v>95</v>
      </c>
      <c r="C1596">
        <v>134.1</v>
      </c>
      <c r="D1596">
        <v>145.76</v>
      </c>
      <c r="E1596">
        <v>145.77000000000001</v>
      </c>
      <c r="F1596">
        <v>-0.01</v>
      </c>
    </row>
    <row r="1597" spans="1:6" x14ac:dyDescent="0.3">
      <c r="A1597" t="str">
        <f>HYPERLINK("https://us2.cloudbeds.com/connect/10074733072513#/reservations/30648864862393?display=YQ4QHMH1H&amp;reservation_id=30648864862393", "YQ4QHMH1H")</f>
        <v>YQ4QHMH1H</v>
      </c>
      <c r="B1597" t="s">
        <v>109</v>
      </c>
      <c r="C1597">
        <v>76.16</v>
      </c>
      <c r="D1597">
        <v>82.78</v>
      </c>
      <c r="E1597">
        <v>82.79</v>
      </c>
      <c r="F1597">
        <v>-0.01</v>
      </c>
    </row>
    <row r="1598" spans="1:6" x14ac:dyDescent="0.3">
      <c r="A1598" t="str">
        <f>HYPERLINK("https://us2.cloudbeds.com/connect/10074733072513#/reservations/30648490205372?display=YQ4GVP4CG&amp;reservation_id=30648490205372", "YQ4GVP4CG")</f>
        <v>YQ4GVP4CG</v>
      </c>
      <c r="B1598" t="s">
        <v>101</v>
      </c>
      <c r="C1598">
        <v>76.16</v>
      </c>
      <c r="D1598">
        <v>82.78</v>
      </c>
      <c r="E1598">
        <v>82.79</v>
      </c>
      <c r="F1598">
        <v>-0.01</v>
      </c>
    </row>
    <row r="1599" spans="1:6" x14ac:dyDescent="0.3">
      <c r="A1599" t="str">
        <f>HYPERLINK("https://us2.cloudbeds.com/connect/10074733072513#/reservations/30649982279817?display=YQ5M2UA0K&amp;reservation_id=30649982279817", "YQ5M2UA0K")</f>
        <v>YQ5M2UA0K</v>
      </c>
      <c r="B1599" t="s">
        <v>45</v>
      </c>
      <c r="C1599">
        <v>66.150000000000006</v>
      </c>
      <c r="D1599">
        <v>71.900000000000006</v>
      </c>
      <c r="E1599">
        <v>71.91</v>
      </c>
      <c r="F1599">
        <v>-0.01</v>
      </c>
    </row>
    <row r="1600" spans="1:6" x14ac:dyDescent="0.3">
      <c r="A1600" t="str">
        <f>HYPERLINK("https://us2.cloudbeds.com/connect/10074733072513#/reservations/30648505209036?display=YQ4HBDKRW&amp;reservation_id=30648505209036", "YQ4HBDKRW")</f>
        <v>YQ4HBDKRW</v>
      </c>
      <c r="B1600" t="s">
        <v>101</v>
      </c>
      <c r="C1600">
        <v>76.16</v>
      </c>
      <c r="D1600">
        <v>82.78</v>
      </c>
      <c r="E1600">
        <v>82.79</v>
      </c>
      <c r="F1600">
        <v>-0.01</v>
      </c>
    </row>
    <row r="1601" spans="1:6" x14ac:dyDescent="0.3">
      <c r="A1601" t="str">
        <f>HYPERLINK("https://us2.cloudbeds.com/connect/10074733072513#/reservations/30648505213133?display=YQ4HBDZK4&amp;reservation_id=30648505213133", "YQ4HBDZK4")</f>
        <v>YQ4HBDZK4</v>
      </c>
      <c r="B1601" t="s">
        <v>101</v>
      </c>
      <c r="C1601">
        <v>76.16</v>
      </c>
      <c r="D1601">
        <v>82.78</v>
      </c>
      <c r="E1601">
        <v>82.79</v>
      </c>
      <c r="F1601">
        <v>-0.01</v>
      </c>
    </row>
    <row r="1602" spans="1:6" x14ac:dyDescent="0.3">
      <c r="A1602" t="str">
        <f>HYPERLINK("https://us2.cloudbeds.com/connect/10074733072513#/reservations/30648512762016?display=YQ4HHPQX5&amp;reservation_id=30648512762016", "YQ4HHPQX5")</f>
        <v>YQ4HHPQX5</v>
      </c>
      <c r="B1602" t="s">
        <v>101</v>
      </c>
      <c r="C1602">
        <v>76.16</v>
      </c>
      <c r="D1602">
        <v>82.78</v>
      </c>
      <c r="E1602">
        <v>82.79</v>
      </c>
      <c r="F1602">
        <v>-0.01</v>
      </c>
    </row>
    <row r="1603" spans="1:6" x14ac:dyDescent="0.3">
      <c r="A1603" t="str">
        <f>HYPERLINK("https://us2.cloudbeds.com/connect/10074733072513#/reservations/30648565772490?display=YQ4XTFTM5&amp;reservation_id=30648565772490", "YQ4XTFTM5")</f>
        <v>YQ4XTFTM5</v>
      </c>
      <c r="B1603" t="s">
        <v>95</v>
      </c>
      <c r="C1603">
        <v>222.4</v>
      </c>
      <c r="D1603">
        <v>241.74</v>
      </c>
      <c r="E1603">
        <v>241.75</v>
      </c>
      <c r="F1603">
        <v>-0.01</v>
      </c>
    </row>
    <row r="1604" spans="1:6" x14ac:dyDescent="0.3">
      <c r="A1604" t="str">
        <f>HYPERLINK("https://us2.cloudbeds.com/connect/10074733072513#/reservations/30651273928922?display=YQ6M32BBJ&amp;reservation_id=30651273928922", "YQ6M32BBJ")</f>
        <v>YQ6M32BBJ</v>
      </c>
      <c r="B1604" t="s">
        <v>108</v>
      </c>
      <c r="C1604">
        <v>103.2</v>
      </c>
      <c r="D1604">
        <v>112.17</v>
      </c>
      <c r="E1604">
        <v>112.18</v>
      </c>
      <c r="F1604">
        <v>-0.01</v>
      </c>
    </row>
    <row r="1605" spans="1:6" x14ac:dyDescent="0.3">
      <c r="A1605" t="str">
        <f>HYPERLINK("https://us2.cloudbeds.com/connect/10074733072513#/reservations/30649453342867?display=YQ58XTS56&amp;reservation_id=30649453342867", "YQ58XTS56")</f>
        <v>YQ58XTS56</v>
      </c>
      <c r="B1605" t="s">
        <v>45</v>
      </c>
      <c r="C1605">
        <v>76.16</v>
      </c>
      <c r="D1605">
        <v>82.78</v>
      </c>
      <c r="E1605">
        <v>82.79</v>
      </c>
      <c r="F1605">
        <v>-0.01</v>
      </c>
    </row>
    <row r="1606" spans="1:6" x14ac:dyDescent="0.3">
      <c r="A1606" t="str">
        <f>HYPERLINK("https://us2.cloudbeds.com/connect/10074733072513#/reservations/30649457512680?display=YQ58MDT65&amp;reservation_id=30649457512680", "YQ58MDT65")</f>
        <v>YQ58MDT65</v>
      </c>
      <c r="B1606" t="s">
        <v>45</v>
      </c>
      <c r="C1606">
        <v>76.16</v>
      </c>
      <c r="D1606">
        <v>82.78</v>
      </c>
      <c r="E1606">
        <v>82.79</v>
      </c>
      <c r="F1606">
        <v>-0.01</v>
      </c>
    </row>
    <row r="1607" spans="1:6" x14ac:dyDescent="0.3">
      <c r="A1607" t="str">
        <f>HYPERLINK("https://us2.cloudbeds.com/connect/10074733072513#/reservations/30649462403202?display=YQ58QHW0Q&amp;reservation_id=30649462403202", "YQ58QHW0Q")</f>
        <v>YQ58QHW0Q</v>
      </c>
      <c r="B1607" t="s">
        <v>45</v>
      </c>
      <c r="C1607">
        <v>76.16</v>
      </c>
      <c r="D1607">
        <v>82.78</v>
      </c>
      <c r="E1607">
        <v>82.79</v>
      </c>
      <c r="F1607">
        <v>-0.01</v>
      </c>
    </row>
    <row r="1608" spans="1:6" x14ac:dyDescent="0.3">
      <c r="A1608" t="str">
        <f>HYPERLINK("https://us2.cloudbeds.com/connect/10074733072513#/reservations/30649187451039?display=YQ51PN0N2&amp;reservation_id=30649187451039", "YQ51PN0N2")</f>
        <v>YQ51PN0N2</v>
      </c>
      <c r="B1608" t="s">
        <v>95</v>
      </c>
      <c r="C1608">
        <v>134.1</v>
      </c>
      <c r="D1608">
        <v>145.76</v>
      </c>
      <c r="E1608">
        <v>145.77000000000001</v>
      </c>
      <c r="F1608">
        <v>-0.01</v>
      </c>
    </row>
    <row r="1609" spans="1:6" x14ac:dyDescent="0.3">
      <c r="A1609" t="str">
        <f>HYPERLINK("https://us2.cloudbeds.com/connect/10074733072513#/reservations/30648558084243?display=YQ4XMWVZV&amp;reservation_id=30648558084243", "YQ4XMWVZV")</f>
        <v>YQ4XMWVZV</v>
      </c>
      <c r="B1609" t="s">
        <v>95</v>
      </c>
      <c r="C1609">
        <v>250.2</v>
      </c>
      <c r="D1609">
        <v>271.95999999999998</v>
      </c>
      <c r="E1609">
        <v>271.97000000000003</v>
      </c>
      <c r="F1609">
        <v>-0.01</v>
      </c>
    </row>
    <row r="1610" spans="1:6" x14ac:dyDescent="0.3">
      <c r="A1610" t="str">
        <f>HYPERLINK("https://us2.cloudbeds.com/connect/10074733072513#/reservations/30649222709396?display=YQ52ME4H4&amp;reservation_id=30649222709396", "YQ52ME4H4")</f>
        <v>YQ52ME4H4</v>
      </c>
      <c r="B1610" t="s">
        <v>115</v>
      </c>
      <c r="C1610">
        <v>267.3</v>
      </c>
      <c r="D1610">
        <v>290.55</v>
      </c>
      <c r="E1610">
        <v>290.56</v>
      </c>
      <c r="F1610">
        <v>-0.01</v>
      </c>
    </row>
    <row r="1611" spans="1:6" x14ac:dyDescent="0.3">
      <c r="A1611" t="str">
        <f>HYPERLINK("https://us2.cloudbeds.com/connect/10074733072513#/reservations/30649209090177?display=YQ52AV5BH&amp;reservation_id=30649209090177", "YQ52AV5BH")</f>
        <v>YQ52AV5BH</v>
      </c>
      <c r="B1611" t="s">
        <v>115</v>
      </c>
      <c r="C1611">
        <v>267.3</v>
      </c>
      <c r="D1611">
        <v>290.55</v>
      </c>
      <c r="E1611">
        <v>290.56</v>
      </c>
      <c r="F1611">
        <v>-0.01</v>
      </c>
    </row>
    <row r="1612" spans="1:6" x14ac:dyDescent="0.3">
      <c r="A1612" t="str">
        <f>HYPERLINK("https://us2.cloudbeds.com/connect/10074733072513#/reservations/30649188606105?display=YQ51QM5C2&amp;reservation_id=30649188606105", "YQ51QM5C2")</f>
        <v>YQ51QM5C2</v>
      </c>
      <c r="B1612" t="s">
        <v>115</v>
      </c>
      <c r="C1612">
        <v>267.3</v>
      </c>
      <c r="D1612">
        <v>290.55</v>
      </c>
      <c r="E1612">
        <v>290.56</v>
      </c>
      <c r="F1612">
        <v>-0.01</v>
      </c>
    </row>
    <row r="1613" spans="1:6" x14ac:dyDescent="0.3">
      <c r="A1613" t="str">
        <f>HYPERLINK("https://us2.cloudbeds.com/connect/10074733072513#/reservations/30649039368440?display=YQ4UWRDBJ&amp;reservation_id=30649039368440", "YQ4UWRDBJ")</f>
        <v>YQ4UWRDBJ</v>
      </c>
      <c r="B1613" t="s">
        <v>99</v>
      </c>
      <c r="C1613">
        <v>200.16</v>
      </c>
      <c r="D1613">
        <v>217.56</v>
      </c>
      <c r="E1613">
        <v>217.57</v>
      </c>
      <c r="F1613">
        <v>-0.01</v>
      </c>
    </row>
    <row r="1614" spans="1:6" x14ac:dyDescent="0.3">
      <c r="A1614" t="str">
        <f>HYPERLINK("https://us2.cloudbeds.com/connect/10074733072513#/reservations/30650061312201?display=YQ5Z3XGCA&amp;reservation_id=30650061312201", "YQ5Z3XGCA")</f>
        <v>YQ5Z3XGCA</v>
      </c>
      <c r="B1614" t="s">
        <v>108</v>
      </c>
      <c r="C1614">
        <v>103.2</v>
      </c>
      <c r="D1614">
        <v>112.17</v>
      </c>
      <c r="E1614">
        <v>112.18</v>
      </c>
      <c r="F1614">
        <v>-0.01</v>
      </c>
    </row>
    <row r="1615" spans="1:6" x14ac:dyDescent="0.3">
      <c r="A1615" t="str">
        <f>HYPERLINK("https://us2.cloudbeds.com/connect/10074733072513#/reservations/30650376552600?display=YQ5W5CHAN&amp;reservation_id=30650376552600", "YQ5W5CHAN")</f>
        <v>YQ5W5CHAN</v>
      </c>
      <c r="B1615" t="s">
        <v>103</v>
      </c>
      <c r="C1615">
        <v>76.16</v>
      </c>
      <c r="D1615">
        <v>82.78</v>
      </c>
      <c r="E1615">
        <v>82.79</v>
      </c>
      <c r="F1615">
        <v>-0.01</v>
      </c>
    </row>
    <row r="1616" spans="1:6" x14ac:dyDescent="0.3">
      <c r="A1616" t="str">
        <f>HYPERLINK("https://us2.cloudbeds.com/connect/10074733072513#/reservations/30651529650395?display=YQ6SKN5Y4&amp;reservation_id=30651529650395", "YQ6SKN5Y4")</f>
        <v>YQ6SKN5Y4</v>
      </c>
      <c r="B1616" t="s">
        <v>117</v>
      </c>
      <c r="C1616">
        <v>134.78</v>
      </c>
      <c r="D1616">
        <v>146.5</v>
      </c>
      <c r="E1616">
        <v>146.51</v>
      </c>
      <c r="F1616">
        <v>-0.01</v>
      </c>
    </row>
    <row r="1617" spans="1:6" x14ac:dyDescent="0.3">
      <c r="A1617" t="str">
        <f>HYPERLINK("https://us2.cloudbeds.com/connect/10074733072513#/reservations/30650094506154?display=YQ5ZVX5GN&amp;reservation_id=30650094506154", "YQ5ZVX5GN")</f>
        <v>YQ5ZVX5GN</v>
      </c>
      <c r="B1617" t="s">
        <v>118</v>
      </c>
      <c r="C1617">
        <v>90.07</v>
      </c>
      <c r="D1617">
        <v>97.9</v>
      </c>
      <c r="E1617">
        <v>97.91</v>
      </c>
      <c r="F1617">
        <v>-0.01</v>
      </c>
    </row>
    <row r="1618" spans="1:6" x14ac:dyDescent="0.3">
      <c r="A1618" t="str">
        <f>HYPERLINK("https://us2.cloudbeds.com/connect/10074733072513#/reservations/30650467557538?display=YQ61G3SP3&amp;reservation_id=30650467557538", "YQ61G3SP3")</f>
        <v>YQ61G3SP3</v>
      </c>
      <c r="B1618" t="s">
        <v>107</v>
      </c>
      <c r="C1618">
        <v>64.150000000000006</v>
      </c>
      <c r="D1618">
        <v>69.72</v>
      </c>
      <c r="E1618">
        <v>69.73</v>
      </c>
      <c r="F1618">
        <v>-0.01</v>
      </c>
    </row>
    <row r="1619" spans="1:6" x14ac:dyDescent="0.3">
      <c r="A1619" t="str">
        <f>HYPERLINK("https://us2.cloudbeds.com/connect/10074733072513#/reservations/30649655603343?display=YQ5DZF1KH&amp;reservation_id=30649655603343", "YQ5DZF1KH")</f>
        <v>YQ5DZF1KH</v>
      </c>
      <c r="B1619" t="s">
        <v>119</v>
      </c>
      <c r="C1619">
        <v>72.17</v>
      </c>
      <c r="D1619">
        <v>78.44</v>
      </c>
      <c r="E1619">
        <v>78.45</v>
      </c>
      <c r="F1619">
        <v>-0.01</v>
      </c>
    </row>
    <row r="1620" spans="1:6" x14ac:dyDescent="0.3">
      <c r="A1620" t="str">
        <f>HYPERLINK("https://us2.cloudbeds.com/connect/10074733072513#/reservations/30649960595676?display=YQ5YHKU1E&amp;reservation_id=30649960595676", "YQ5YHKU1E")</f>
        <v>YQ5YHKU1E</v>
      </c>
      <c r="B1620" t="s">
        <v>120</v>
      </c>
      <c r="C1620">
        <v>134.1</v>
      </c>
      <c r="D1620">
        <v>145.76</v>
      </c>
      <c r="E1620">
        <v>145.77000000000001</v>
      </c>
      <c r="F1620">
        <v>-0.01</v>
      </c>
    </row>
    <row r="1621" spans="1:6" x14ac:dyDescent="0.3">
      <c r="A1621" t="str">
        <f>HYPERLINK("https://us2.cloudbeds.com/connect/10074733072513#/reservations/30650196852935?display=YQ5RXS3SA&amp;reservation_id=30650196852935", "YQ5RXS3SA")</f>
        <v>YQ5RXS3SA</v>
      </c>
      <c r="B1621" t="s">
        <v>107</v>
      </c>
      <c r="C1621">
        <v>64.150000000000006</v>
      </c>
      <c r="D1621">
        <v>69.72</v>
      </c>
      <c r="E1621">
        <v>69.73</v>
      </c>
      <c r="F1621">
        <v>-0.01</v>
      </c>
    </row>
    <row r="1622" spans="1:6" x14ac:dyDescent="0.3">
      <c r="A1622" t="str">
        <f>HYPERLINK("https://us2.cloudbeds.com/connect/10074733072513#/reservations/30649442201732?display=YQ589GRX1&amp;reservation_id=30649442201732", "YQ589GRX1")</f>
        <v>YQ589GRX1</v>
      </c>
      <c r="B1622" t="s">
        <v>121</v>
      </c>
      <c r="C1622">
        <v>134.1</v>
      </c>
      <c r="D1622">
        <v>145.76</v>
      </c>
      <c r="E1622">
        <v>145.77000000000001</v>
      </c>
      <c r="F1622">
        <v>-0.01</v>
      </c>
    </row>
    <row r="1623" spans="1:6" x14ac:dyDescent="0.3">
      <c r="A1623" t="str">
        <f>HYPERLINK("https://us2.cloudbeds.com/connect/10074733072513#/reservations/30649455612034?display=YQ58KQWSQ&amp;reservation_id=30649455612034", "YQ58KQWSQ")</f>
        <v>YQ58KQWSQ</v>
      </c>
      <c r="B1623" t="s">
        <v>121</v>
      </c>
      <c r="C1623">
        <v>103.2</v>
      </c>
      <c r="D1623">
        <v>112.17</v>
      </c>
      <c r="E1623">
        <v>112.18</v>
      </c>
      <c r="F1623">
        <v>-0.01</v>
      </c>
    </row>
    <row r="1624" spans="1:6" x14ac:dyDescent="0.3">
      <c r="A1624" t="str">
        <f>HYPERLINK("https://us2.cloudbeds.com/connect/10074733072513#/reservations/30650298429687?display=YQ5U5GY3N&amp;reservation_id=30650298429687", "YQ5U5GY3N")</f>
        <v>YQ5U5GY3N</v>
      </c>
      <c r="B1624" t="s">
        <v>123</v>
      </c>
      <c r="C1624">
        <v>250.2</v>
      </c>
      <c r="D1624">
        <v>271.95999999999998</v>
      </c>
      <c r="E1624">
        <v>271.97000000000003</v>
      </c>
      <c r="F1624">
        <v>-0.01</v>
      </c>
    </row>
    <row r="1625" spans="1:6" x14ac:dyDescent="0.3">
      <c r="A1625" t="str">
        <f>HYPERLINK("https://us2.cloudbeds.com/connect/10074733072513#/reservations/30649581822135?display=YQ5BS7W9B&amp;reservation_id=30649581822135", "YQ5BS7W9B")</f>
        <v>YQ5BS7W9B</v>
      </c>
      <c r="B1625" t="s">
        <v>124</v>
      </c>
      <c r="C1625">
        <v>268.2</v>
      </c>
      <c r="D1625">
        <v>291.52</v>
      </c>
      <c r="E1625">
        <v>291.52999999999997</v>
      </c>
      <c r="F1625">
        <v>-0.01</v>
      </c>
    </row>
    <row r="1626" spans="1:6" x14ac:dyDescent="0.3">
      <c r="A1626" t="str">
        <f>HYPERLINK("https://us2.cloudbeds.com/connect/10074733072513#/reservations/30652390383808?display=YQ7H9Y01T&amp;reservation_id=30652390383808", "YQ7H9Y01T")</f>
        <v>YQ7H9Y01T</v>
      </c>
      <c r="B1626" t="s">
        <v>8</v>
      </c>
      <c r="C1626">
        <v>250.2</v>
      </c>
      <c r="D1626">
        <v>271.95999999999998</v>
      </c>
      <c r="E1626">
        <v>271.97000000000003</v>
      </c>
      <c r="F1626">
        <v>-0.01</v>
      </c>
    </row>
    <row r="1627" spans="1:6" x14ac:dyDescent="0.3">
      <c r="A1627" t="str">
        <f>HYPERLINK("https://us2.cloudbeds.com/connect/10074733072513#/reservations/30649589289179?display=YQ5C1HP2D&amp;reservation_id=30649589289179", "YQ5C1HP2D")</f>
        <v>YQ5C1HP2D</v>
      </c>
      <c r="B1627" t="s">
        <v>124</v>
      </c>
      <c r="C1627">
        <v>250.2</v>
      </c>
      <c r="D1627">
        <v>271.95999999999998</v>
      </c>
      <c r="E1627">
        <v>271.97000000000003</v>
      </c>
      <c r="F1627">
        <v>-0.01</v>
      </c>
    </row>
    <row r="1628" spans="1:6" x14ac:dyDescent="0.3">
      <c r="A1628" t="str">
        <f>HYPERLINK("https://us2.cloudbeds.com/connect/10074733072513#/reservations/30652173463695?display=YQ7C2J7E2&amp;reservation_id=30652173463695", "YQ7C2J7E2")</f>
        <v>YQ7C2J7E2</v>
      </c>
      <c r="B1628" t="s">
        <v>60</v>
      </c>
      <c r="C1628">
        <v>250.2</v>
      </c>
      <c r="D1628">
        <v>271.95999999999998</v>
      </c>
      <c r="E1628">
        <v>271.97000000000003</v>
      </c>
      <c r="F1628">
        <v>-0.01</v>
      </c>
    </row>
    <row r="1629" spans="1:6" x14ac:dyDescent="0.3">
      <c r="A1629" t="str">
        <f>HYPERLINK("https://us2.cloudbeds.com/connect/10074733072513#/reservations/30652015362181?display=YQ7818QW3&amp;reservation_id=30652015362181", "YQ7818QW3")</f>
        <v>YQ7818QW3</v>
      </c>
      <c r="B1629" t="s">
        <v>125</v>
      </c>
      <c r="C1629">
        <v>64.150000000000006</v>
      </c>
      <c r="D1629">
        <v>69.72</v>
      </c>
      <c r="E1629">
        <v>69.73</v>
      </c>
      <c r="F1629">
        <v>-0.01</v>
      </c>
    </row>
    <row r="1630" spans="1:6" x14ac:dyDescent="0.3">
      <c r="A1630" t="str">
        <f>HYPERLINK("https://us2.cloudbeds.com/connect/10074733072513#/reservations/30649610543313?display=YQ5CJF662&amp;reservation_id=30649610543313", "YQ5CJF662")</f>
        <v>YQ5CJF662</v>
      </c>
      <c r="B1630" t="s">
        <v>124</v>
      </c>
      <c r="C1630">
        <v>103.2</v>
      </c>
      <c r="D1630">
        <v>112.17</v>
      </c>
      <c r="E1630">
        <v>112.18</v>
      </c>
      <c r="F1630">
        <v>-0.01</v>
      </c>
    </row>
    <row r="1631" spans="1:6" x14ac:dyDescent="0.3">
      <c r="A1631" t="str">
        <f>HYPERLINK("https://us2.cloudbeds.com/connect/10074733072513#/reservations/30648595202294?display=YQ4JY9R9D&amp;reservation_id=30648595202294", "YQ4JY9R9D")</f>
        <v>YQ4JY9R9D</v>
      </c>
      <c r="B1631" t="s">
        <v>126</v>
      </c>
      <c r="C1631">
        <v>267.3</v>
      </c>
      <c r="D1631">
        <v>290.55</v>
      </c>
      <c r="E1631">
        <v>290.56</v>
      </c>
      <c r="F1631">
        <v>-0.01</v>
      </c>
    </row>
    <row r="1632" spans="1:6" x14ac:dyDescent="0.3">
      <c r="A1632" t="str">
        <f>HYPERLINK("https://us2.cloudbeds.com/connect/10074733072513#/reservations/30648588378245?display=YQ4JFHUV1&amp;reservation_id=30648588378245", "YQ4JFHUV1")</f>
        <v>YQ4JFHUV1</v>
      </c>
      <c r="B1632" t="s">
        <v>126</v>
      </c>
      <c r="C1632">
        <v>267.3</v>
      </c>
      <c r="D1632">
        <v>290.55</v>
      </c>
      <c r="E1632">
        <v>290.56</v>
      </c>
      <c r="F1632">
        <v>-0.01</v>
      </c>
    </row>
    <row r="1633" spans="1:6" x14ac:dyDescent="0.3">
      <c r="A1633" t="str">
        <f>HYPERLINK("https://us2.cloudbeds.com/connect/10074733072513#/reservations/30652102226073?display=YQ7A8GUQ8&amp;reservation_id=30652102226073", "YQ7A8GUQ8")</f>
        <v>YQ7A8GUQ8</v>
      </c>
      <c r="B1633" t="s">
        <v>127</v>
      </c>
      <c r="C1633">
        <v>64.150000000000006</v>
      </c>
      <c r="D1633">
        <v>69.72</v>
      </c>
      <c r="E1633">
        <v>69.73</v>
      </c>
      <c r="F1633">
        <v>-0.01</v>
      </c>
    </row>
    <row r="1634" spans="1:6" x14ac:dyDescent="0.3">
      <c r="A1634" t="str">
        <f>HYPERLINK("https://us2.cloudbeds.com/connect/10074733072513#/reservations/30650760569010?display=YQ68W6BFK&amp;reservation_id=30650760569010", "YQ68W6BFK")</f>
        <v>YQ68W6BFK</v>
      </c>
      <c r="B1634" t="s">
        <v>128</v>
      </c>
      <c r="C1634">
        <v>64.150000000000006</v>
      </c>
      <c r="D1634">
        <v>69.72</v>
      </c>
      <c r="E1634">
        <v>69.73</v>
      </c>
      <c r="F1634">
        <v>-0.01</v>
      </c>
    </row>
    <row r="1635" spans="1:6" x14ac:dyDescent="0.3">
      <c r="A1635" t="str">
        <f>HYPERLINK("https://us2.cloudbeds.com/connect/10074733072513#/reservations/30649262784735?display=YQ53N79YB&amp;reservation_id=30649262784735", "YQ53N79YB")</f>
        <v>YQ53N79YB</v>
      </c>
      <c r="B1635" t="s">
        <v>129</v>
      </c>
      <c r="C1635">
        <v>222.4</v>
      </c>
      <c r="D1635">
        <v>241.74</v>
      </c>
      <c r="E1635">
        <v>241.75</v>
      </c>
      <c r="F1635">
        <v>-0.01</v>
      </c>
    </row>
    <row r="1636" spans="1:6" x14ac:dyDescent="0.3">
      <c r="A1636" t="str">
        <f>HYPERLINK("https://us2.cloudbeds.com/connect/10074733072513#/reservations/30648958795985?display=YQ4SUTBQ1&amp;reservation_id=30648958795985", "YQ4SUTBQ1")</f>
        <v>YQ4SUTBQ1</v>
      </c>
      <c r="B1636" t="s">
        <v>122</v>
      </c>
      <c r="C1636">
        <v>134.1</v>
      </c>
      <c r="D1636">
        <v>145.76</v>
      </c>
      <c r="E1636">
        <v>145.77000000000001</v>
      </c>
      <c r="F1636">
        <v>-0.01</v>
      </c>
    </row>
    <row r="1637" spans="1:6" x14ac:dyDescent="0.3">
      <c r="A1637" t="str">
        <f>HYPERLINK("https://us2.cloudbeds.com/connect/10074733072513#/reservations/30649732096205?display=YQ5FMVJ01&amp;reservation_id=30649732096205", "YQ5FMVJ01")</f>
        <v>YQ5FMVJ01</v>
      </c>
      <c r="B1637" t="s">
        <v>119</v>
      </c>
      <c r="C1637">
        <v>103.2</v>
      </c>
      <c r="D1637">
        <v>112.17</v>
      </c>
      <c r="E1637">
        <v>112.18</v>
      </c>
      <c r="F1637">
        <v>-0.01</v>
      </c>
    </row>
    <row r="1638" spans="1:6" x14ac:dyDescent="0.3">
      <c r="A1638" t="str">
        <f>HYPERLINK("https://us2.cloudbeds.com/connect/10074733072513#/reservations/30649272860801?display=YQ53VNM7M&amp;reservation_id=30649272860801", "YQ53VNM7M")</f>
        <v>YQ53VNM7M</v>
      </c>
      <c r="B1638" t="s">
        <v>129</v>
      </c>
      <c r="C1638">
        <v>222.4</v>
      </c>
      <c r="D1638">
        <v>241.74</v>
      </c>
      <c r="E1638">
        <v>241.75</v>
      </c>
      <c r="F1638">
        <v>-0.01</v>
      </c>
    </row>
    <row r="1639" spans="1:6" x14ac:dyDescent="0.3">
      <c r="A1639" t="str">
        <f>HYPERLINK("https://us2.cloudbeds.com/connect/10074733072513#/reservations/30649011142816?display=YQ4U90WGY&amp;reservation_id=30649011142816", "YQ4U90WGY")</f>
        <v>YQ4U90WGY</v>
      </c>
      <c r="B1639" t="s">
        <v>122</v>
      </c>
      <c r="C1639">
        <v>90.07</v>
      </c>
      <c r="D1639">
        <v>97.9</v>
      </c>
      <c r="E1639">
        <v>97.91</v>
      </c>
      <c r="F1639">
        <v>-0.01</v>
      </c>
    </row>
    <row r="1640" spans="1:6" x14ac:dyDescent="0.3">
      <c r="A1640" t="str">
        <f>HYPERLINK("https://us2.cloudbeds.com/connect/10074733072513#/reservations/30650672193739?display=YQ66NM5Q3&amp;reservation_id=30650672193739", "YQ66NM5Q3")</f>
        <v>YQ66NM5Q3</v>
      </c>
      <c r="B1640" t="s">
        <v>130</v>
      </c>
      <c r="C1640">
        <v>128.4</v>
      </c>
      <c r="D1640">
        <v>139.56</v>
      </c>
      <c r="E1640">
        <v>139.57</v>
      </c>
      <c r="F1640">
        <v>-0.01</v>
      </c>
    </row>
    <row r="1641" spans="1:6" x14ac:dyDescent="0.3">
      <c r="A1641" t="str">
        <f>HYPERLINK("https://us2.cloudbeds.com/connect/10074733072513#/reservations/30650429190366?display=YQ60GP86H&amp;reservation_id=30650429190366", "YQ60GP86H")</f>
        <v>YQ60GP86H</v>
      </c>
      <c r="B1641" t="s">
        <v>130</v>
      </c>
      <c r="C1641">
        <v>64.150000000000006</v>
      </c>
      <c r="D1641">
        <v>69.72</v>
      </c>
      <c r="E1641">
        <v>69.73</v>
      </c>
      <c r="F1641">
        <v>-0.01</v>
      </c>
    </row>
    <row r="1642" spans="1:6" x14ac:dyDescent="0.3">
      <c r="A1642" t="str">
        <f>HYPERLINK("https://us2.cloudbeds.com/connect/10074733072513#/reservations/30651668856962?display=YQ6W62QBV&amp;reservation_id=30651668856962", "YQ6W62QBV")</f>
        <v>YQ6W62QBV</v>
      </c>
      <c r="B1642" t="s">
        <v>131</v>
      </c>
      <c r="C1642">
        <v>67.2</v>
      </c>
      <c r="D1642">
        <v>73.040000000000006</v>
      </c>
      <c r="E1642">
        <v>73.05</v>
      </c>
      <c r="F1642">
        <v>-0.01</v>
      </c>
    </row>
    <row r="1643" spans="1:6" x14ac:dyDescent="0.3">
      <c r="A1643" t="str">
        <f>HYPERLINK("https://us2.cloudbeds.com/connect/10074733072513#/reservations/30649293119703?display=YQ54FQDEQ&amp;reservation_id=30649293119703", "YQ54FQDEQ")</f>
        <v>YQ54FQDEQ</v>
      </c>
      <c r="B1643" t="s">
        <v>129</v>
      </c>
      <c r="C1643">
        <v>90.07</v>
      </c>
      <c r="D1643">
        <v>97.9</v>
      </c>
      <c r="E1643">
        <v>97.91</v>
      </c>
      <c r="F1643">
        <v>-0.01</v>
      </c>
    </row>
    <row r="1644" spans="1:6" x14ac:dyDescent="0.3">
      <c r="A1644" t="str">
        <f>HYPERLINK("https://us2.cloudbeds.com/connect/10074733072513#/reservations/30649210863763?display=YQ52CEGWX&amp;reservation_id=30649210863763", "YQ52CEGWX")</f>
        <v>YQ52CEGWX</v>
      </c>
      <c r="B1644" t="s">
        <v>129</v>
      </c>
      <c r="C1644">
        <v>250.2</v>
      </c>
      <c r="D1644">
        <v>271.95999999999998</v>
      </c>
      <c r="E1644">
        <v>271.97000000000003</v>
      </c>
      <c r="F1644">
        <v>-0.01</v>
      </c>
    </row>
    <row r="1645" spans="1:6" x14ac:dyDescent="0.3">
      <c r="A1645" t="str">
        <f>HYPERLINK("https://us2.cloudbeds.com/connect/10074733072513#/reservations/30649209487584?display=YQ52B9788&amp;reservation_id=30649209487584", "YQ52B9788")</f>
        <v>YQ52B9788</v>
      </c>
      <c r="B1645" t="s">
        <v>129</v>
      </c>
      <c r="C1645">
        <v>250.2</v>
      </c>
      <c r="D1645">
        <v>271.95999999999998</v>
      </c>
      <c r="E1645">
        <v>271.97000000000003</v>
      </c>
      <c r="F1645">
        <v>-0.01</v>
      </c>
    </row>
    <row r="1646" spans="1:6" x14ac:dyDescent="0.3">
      <c r="A1646" t="str">
        <f>HYPERLINK("https://us2.cloudbeds.com/connect/10074733072513#/reservations/30650423083211?display=YQ60BKA57&amp;reservation_id=30650423083211", "YQ60BKA57")</f>
        <v>YQ60BKA57</v>
      </c>
      <c r="B1646" t="s">
        <v>103</v>
      </c>
      <c r="C1646">
        <v>64.150000000000006</v>
      </c>
      <c r="D1646">
        <v>69.72</v>
      </c>
      <c r="E1646">
        <v>69.73</v>
      </c>
      <c r="F1646">
        <v>-0.01</v>
      </c>
    </row>
    <row r="1647" spans="1:6" x14ac:dyDescent="0.3">
      <c r="A1647" t="str">
        <f>HYPERLINK("https://us2.cloudbeds.com/connect/10074733072513#/reservations/30650114801835?display=YQ5PFYUGB&amp;reservation_id=30650114801835", "YQ5PFYUGB")</f>
        <v>YQ5PFYUGB</v>
      </c>
      <c r="B1647" t="s">
        <v>132</v>
      </c>
      <c r="C1647">
        <v>222.4</v>
      </c>
      <c r="D1647">
        <v>241.74</v>
      </c>
      <c r="E1647">
        <v>241.75</v>
      </c>
      <c r="F1647">
        <v>-0.01</v>
      </c>
    </row>
    <row r="1648" spans="1:6" x14ac:dyDescent="0.3">
      <c r="A1648" t="str">
        <f>HYPERLINK("https://us2.cloudbeds.com/connect/10074733072513#/reservations/30649175261351?display=YQ51FDR7J&amp;reservation_id=30649175261351", "YQ51FDR7J")</f>
        <v>YQ51FDR7J</v>
      </c>
      <c r="B1648" t="s">
        <v>133</v>
      </c>
      <c r="C1648">
        <v>534.6</v>
      </c>
      <c r="D1648">
        <v>581.1</v>
      </c>
      <c r="E1648">
        <v>581.11</v>
      </c>
      <c r="F1648">
        <v>-0.01</v>
      </c>
    </row>
    <row r="1649" spans="1:6" x14ac:dyDescent="0.3">
      <c r="A1649" t="str">
        <f>HYPERLINK("https://us2.cloudbeds.com/connect/10074733072513#/reservations/30650520002696?display=YQ62RB7PA&amp;reservation_id=30650520002696", "YQ62RB7PA")</f>
        <v>YQ62RB7PA</v>
      </c>
      <c r="B1649" t="s">
        <v>134</v>
      </c>
      <c r="C1649">
        <v>267.3</v>
      </c>
      <c r="D1649">
        <v>290.55</v>
      </c>
      <c r="E1649">
        <v>290.56</v>
      </c>
      <c r="F1649">
        <v>-0.01</v>
      </c>
    </row>
    <row r="1650" spans="1:6" x14ac:dyDescent="0.3">
      <c r="A1650" t="str">
        <f>HYPERLINK("https://us2.cloudbeds.com/connect/10074733072513#/reservations/30650437484728?display=YQ60NP1MR&amp;reservation_id=30650437484728", "YQ60NP1MR")</f>
        <v>YQ60NP1MR</v>
      </c>
      <c r="B1650" t="s">
        <v>130</v>
      </c>
      <c r="C1650">
        <v>64.150000000000006</v>
      </c>
      <c r="D1650">
        <v>69.72</v>
      </c>
      <c r="E1650">
        <v>69.73</v>
      </c>
      <c r="F1650">
        <v>-0.01</v>
      </c>
    </row>
    <row r="1651" spans="1:6" x14ac:dyDescent="0.3">
      <c r="A1651" t="str">
        <f>HYPERLINK("https://us2.cloudbeds.com/connect/10074733072513#/reservations/30650753011929?display=YQ68PR205&amp;reservation_id=30650753011929", "YQ68PR205")</f>
        <v>YQ68PR205</v>
      </c>
      <c r="B1651" t="s">
        <v>128</v>
      </c>
      <c r="C1651">
        <v>140.4</v>
      </c>
      <c r="D1651">
        <v>152.6</v>
      </c>
      <c r="E1651">
        <v>152.61000000000001</v>
      </c>
      <c r="F1651">
        <v>-0.01</v>
      </c>
    </row>
    <row r="1652" spans="1:6" x14ac:dyDescent="0.3">
      <c r="A1652" t="str">
        <f>HYPERLINK("https://us2.cloudbeds.com/connect/10074733072513#/reservations/30651192131727?display=YQ6K0374N&amp;reservation_id=30651192131727", "YQ6K0374N")</f>
        <v>YQ6K0374N</v>
      </c>
      <c r="B1652" t="s">
        <v>124</v>
      </c>
      <c r="C1652">
        <v>90.07</v>
      </c>
      <c r="D1652">
        <v>97.9</v>
      </c>
      <c r="E1652">
        <v>97.91</v>
      </c>
      <c r="F1652">
        <v>-0.01</v>
      </c>
    </row>
    <row r="1653" spans="1:6" x14ac:dyDescent="0.3">
      <c r="A1653" t="str">
        <f>HYPERLINK("https://us2.cloudbeds.com/connect/10074733072513#/reservations/30649379406046?display=YQ56MXEUF&amp;reservation_id=30649379406046", "YQ56MXEUF")</f>
        <v>YQ56MXEUF</v>
      </c>
      <c r="B1653" t="s">
        <v>135</v>
      </c>
      <c r="C1653">
        <v>267.3</v>
      </c>
      <c r="D1653">
        <v>290.55</v>
      </c>
      <c r="E1653">
        <v>290.56</v>
      </c>
      <c r="F1653">
        <v>-0.01</v>
      </c>
    </row>
    <row r="1654" spans="1:6" x14ac:dyDescent="0.3">
      <c r="A1654" t="str">
        <f>HYPERLINK("https://us2.cloudbeds.com/connect/10074733072513#/reservations/30650780221619?display=YQ69FP6V7&amp;reservation_id=30650780221619", "YQ69FP6V7")</f>
        <v>YQ69FP6V7</v>
      </c>
      <c r="B1654" t="s">
        <v>128</v>
      </c>
      <c r="C1654">
        <v>356.4</v>
      </c>
      <c r="D1654">
        <v>387.4</v>
      </c>
      <c r="E1654">
        <v>387.41</v>
      </c>
      <c r="F1654">
        <v>-0.01</v>
      </c>
    </row>
    <row r="1655" spans="1:6" x14ac:dyDescent="0.3">
      <c r="A1655" t="str">
        <f>HYPERLINK("https://us2.cloudbeds.com/connect/10074733072513#/reservations/30649134457050?display=YQ50E0CNK&amp;reservation_id=30649134457050", "YQ50E0CNK")</f>
        <v>YQ50E0CNK</v>
      </c>
      <c r="B1655" t="s">
        <v>133</v>
      </c>
      <c r="C1655">
        <v>622.6</v>
      </c>
      <c r="D1655">
        <v>676.76</v>
      </c>
      <c r="E1655">
        <v>676.77</v>
      </c>
      <c r="F1655">
        <v>-0.01</v>
      </c>
    </row>
    <row r="1656" spans="1:6" x14ac:dyDescent="0.3">
      <c r="A1656" t="str">
        <f>HYPERLINK("https://us2.cloudbeds.com/connect/10074733072513#/reservations/30649115590828?display=YQ4WV3DBU&amp;reservation_id=30649115590828", "YQ4WV3DBU")</f>
        <v>YQ4WV3DBU</v>
      </c>
      <c r="B1656" t="s">
        <v>133</v>
      </c>
      <c r="C1656">
        <v>622.6</v>
      </c>
      <c r="D1656">
        <v>676.76</v>
      </c>
      <c r="E1656">
        <v>676.77</v>
      </c>
      <c r="F1656">
        <v>-0.01</v>
      </c>
    </row>
    <row r="1657" spans="1:6" x14ac:dyDescent="0.3">
      <c r="A1657" t="str">
        <f>HYPERLINK("https://us2.cloudbeds.com/connect/10074733072513#/reservations/30650764824776?display=YQ692PPE7&amp;reservation_id=30650764824776", "YQ692PPE7")</f>
        <v>YQ692PPE7</v>
      </c>
      <c r="B1657" t="s">
        <v>128</v>
      </c>
      <c r="C1657">
        <v>64.150000000000006</v>
      </c>
      <c r="D1657">
        <v>69.72</v>
      </c>
      <c r="E1657">
        <v>69.73</v>
      </c>
      <c r="F1657">
        <v>-0.01</v>
      </c>
    </row>
    <row r="1658" spans="1:6" x14ac:dyDescent="0.3">
      <c r="A1658" t="str">
        <f>HYPERLINK("https://us2.cloudbeds.com/connect/10074733072513#/reservations/30650528518335?display=YQ631H6EW&amp;reservation_id=30650528518335", "YQ631H6EW")</f>
        <v>YQ631H6EW</v>
      </c>
      <c r="B1658" t="s">
        <v>136</v>
      </c>
      <c r="C1658">
        <v>64.150000000000006</v>
      </c>
      <c r="D1658">
        <v>69.72</v>
      </c>
      <c r="E1658">
        <v>69.73</v>
      </c>
      <c r="F1658">
        <v>-0.01</v>
      </c>
    </row>
    <row r="1659" spans="1:6" x14ac:dyDescent="0.3">
      <c r="A1659" t="str">
        <f>HYPERLINK("https://us2.cloudbeds.com/connect/10074733072513#/reservations/30649048834275?display=YQ4V7QQJ2&amp;reservation_id=30649048834275", "YQ4V7QQJ2")</f>
        <v>YQ4V7QQJ2</v>
      </c>
      <c r="B1659" t="s">
        <v>133</v>
      </c>
      <c r="C1659">
        <v>134.1</v>
      </c>
      <c r="D1659">
        <v>145.76</v>
      </c>
      <c r="E1659">
        <v>145.77000000000001</v>
      </c>
      <c r="F1659">
        <v>-0.01</v>
      </c>
    </row>
    <row r="1660" spans="1:6" x14ac:dyDescent="0.3">
      <c r="A1660" t="str">
        <f>HYPERLINK("https://us2.cloudbeds.com/connect/10074733072513#/reservations/30649808732313?display=YQ5HYJ2UB&amp;reservation_id=30649808732313", "YQ5HYJ2UB")</f>
        <v>YQ5HYJ2UB</v>
      </c>
      <c r="B1660" t="s">
        <v>137</v>
      </c>
      <c r="C1660">
        <v>267.3</v>
      </c>
      <c r="D1660">
        <v>290.55</v>
      </c>
      <c r="E1660">
        <v>290.56</v>
      </c>
      <c r="F1660">
        <v>-0.01</v>
      </c>
    </row>
    <row r="1661" spans="1:6" x14ac:dyDescent="0.3">
      <c r="A1661" t="str">
        <f>HYPERLINK("https://us2.cloudbeds.com/connect/10074733072513#/reservations/30649808728230?display=YQ5HYXW5K&amp;reservation_id=30649808728230", "YQ5HYXW5K")</f>
        <v>YQ5HYXW5K</v>
      </c>
      <c r="B1661" t="s">
        <v>138</v>
      </c>
      <c r="C1661">
        <v>64.150000000000006</v>
      </c>
      <c r="D1661">
        <v>69.72</v>
      </c>
      <c r="E1661">
        <v>69.73</v>
      </c>
      <c r="F1661">
        <v>-0.01</v>
      </c>
    </row>
    <row r="1662" spans="1:6" x14ac:dyDescent="0.3">
      <c r="A1662" t="str">
        <f>HYPERLINK("https://us2.cloudbeds.com/connect/10074733072513#/reservations/30649769836688?display=YQ5GYPP31&amp;reservation_id=30649769836688", "YQ5GYPP31")</f>
        <v>YQ5GYPP31</v>
      </c>
      <c r="B1662" t="s">
        <v>139</v>
      </c>
      <c r="C1662">
        <v>64.150000000000006</v>
      </c>
      <c r="D1662">
        <v>69.72</v>
      </c>
      <c r="E1662">
        <v>69.73</v>
      </c>
      <c r="F1662">
        <v>-0.01</v>
      </c>
    </row>
    <row r="1663" spans="1:6" x14ac:dyDescent="0.3">
      <c r="A1663" t="str">
        <f>HYPERLINK("https://us2.cloudbeds.com/connect/10074733072513#/reservations/30649760755876?display=YQ5GE42DU&amp;reservation_id=30649760755876", "YQ5GE42DU")</f>
        <v>YQ5GE42DU</v>
      </c>
      <c r="B1663" t="s">
        <v>139</v>
      </c>
      <c r="C1663">
        <v>64.150000000000006</v>
      </c>
      <c r="D1663">
        <v>69.72</v>
      </c>
      <c r="E1663">
        <v>69.73</v>
      </c>
      <c r="F1663">
        <v>-0.01</v>
      </c>
    </row>
    <row r="1664" spans="1:6" x14ac:dyDescent="0.3">
      <c r="A1664" t="str">
        <f>HYPERLINK("https://us2.cloudbeds.com/connect/10074733072513#/reservations/30650532188372?display=YQ634KAX7&amp;reservation_id=30650532188372", "YQ634KAX7")</f>
        <v>YQ634KAX7</v>
      </c>
      <c r="B1664" t="s">
        <v>136</v>
      </c>
      <c r="C1664">
        <v>87.2</v>
      </c>
      <c r="D1664">
        <v>94.78</v>
      </c>
      <c r="E1664">
        <v>94.79</v>
      </c>
      <c r="F1664">
        <v>-0.01</v>
      </c>
    </row>
    <row r="1665" spans="1:6" x14ac:dyDescent="0.3">
      <c r="A1665" t="str">
        <f>HYPERLINK("https://us2.cloudbeds.com/connect/10074733072513#/reservations/30652917555346?display=YQ7V30M5U&amp;reservation_id=30652917555346", "YQ7V30M5U")</f>
        <v>YQ7V30M5U</v>
      </c>
      <c r="B1665" t="s">
        <v>140</v>
      </c>
      <c r="C1665">
        <v>64.150000000000006</v>
      </c>
      <c r="D1665">
        <v>69.72</v>
      </c>
      <c r="E1665">
        <v>69.73</v>
      </c>
      <c r="F1665">
        <v>-0.01</v>
      </c>
    </row>
    <row r="1666" spans="1:6" x14ac:dyDescent="0.3">
      <c r="A1666" t="str">
        <f>HYPERLINK("https://us2.cloudbeds.com/connect/10074733072513#/reservations/30650826469568?display=YQ6AYP0H1&amp;reservation_id=30650826469568", "YQ6AYP0H1")</f>
        <v>YQ6AYP0H1</v>
      </c>
      <c r="B1666" t="s">
        <v>111</v>
      </c>
      <c r="C1666">
        <v>285.3</v>
      </c>
      <c r="D1666">
        <v>310.11</v>
      </c>
      <c r="E1666">
        <v>310.12</v>
      </c>
      <c r="F1666">
        <v>-0.01</v>
      </c>
    </row>
    <row r="1667" spans="1:6" x14ac:dyDescent="0.3">
      <c r="A1667" t="str">
        <f>HYPERLINK("https://us2.cloudbeds.com/connect/10074733072513#/reservations/30651114516642?display=YQ6X0YF8E&amp;reservation_id=30651114516642", "YQ6X0YF8E")</f>
        <v>YQ6X0YF8E</v>
      </c>
      <c r="B1667" t="s">
        <v>141</v>
      </c>
      <c r="C1667">
        <v>225.6</v>
      </c>
      <c r="D1667">
        <v>245.22</v>
      </c>
      <c r="E1667">
        <v>245.23</v>
      </c>
      <c r="F1667">
        <v>-0.01</v>
      </c>
    </row>
    <row r="1668" spans="1:6" x14ac:dyDescent="0.3">
      <c r="A1668" t="str">
        <f>HYPERLINK("https://us2.cloudbeds.com/connect/10074733072513#/reservations/30650918957209?display=YQ6D0ZZ60&amp;reservation_id=30650918957209", "YQ6D0ZZ60")</f>
        <v>YQ6D0ZZ60</v>
      </c>
      <c r="B1668" t="s">
        <v>142</v>
      </c>
      <c r="C1668">
        <v>127.2</v>
      </c>
      <c r="D1668">
        <v>138.26</v>
      </c>
      <c r="E1668">
        <v>138.27000000000001</v>
      </c>
      <c r="F1668">
        <v>-0.01</v>
      </c>
    </row>
    <row r="1669" spans="1:6" x14ac:dyDescent="0.3">
      <c r="A1669" t="str">
        <f>HYPERLINK("https://us2.cloudbeds.com/connect/10074733072513#/reservations/30649414455496?display=YQ57J3ZU0&amp;reservation_id=30649414455496", "YQ57J3ZU0")</f>
        <v>YQ57J3ZU0</v>
      </c>
      <c r="B1669" t="s">
        <v>88</v>
      </c>
      <c r="C1669">
        <v>250.2</v>
      </c>
      <c r="D1669">
        <v>271.95999999999998</v>
      </c>
      <c r="E1669">
        <v>271.97000000000003</v>
      </c>
      <c r="F1669">
        <v>-0.01</v>
      </c>
    </row>
    <row r="1670" spans="1:6" x14ac:dyDescent="0.3">
      <c r="A1670" t="str">
        <f>HYPERLINK("https://us2.cloudbeds.com/connect/10074733072513#/reservations/30652678058235?display=YQ7ZW2A9N&amp;reservation_id=30652678058235", "YQ7ZW2A9N")</f>
        <v>YQ7ZW2A9N</v>
      </c>
      <c r="B1670" t="s">
        <v>129</v>
      </c>
      <c r="C1670">
        <v>143.65</v>
      </c>
      <c r="D1670">
        <v>156.13999999999999</v>
      </c>
      <c r="E1670">
        <v>156.15</v>
      </c>
      <c r="F1670">
        <v>-0.01</v>
      </c>
    </row>
    <row r="1671" spans="1:6" x14ac:dyDescent="0.3">
      <c r="A1671" t="str">
        <f>HYPERLINK("https://us2.cloudbeds.com/connect/10074733072513#/reservations/30650787750105?display=YQ69M3N55&amp;reservation_id=30650787750105", "YQ69M3N55")</f>
        <v>YQ69M3N55</v>
      </c>
      <c r="B1671" t="s">
        <v>111</v>
      </c>
      <c r="C1671">
        <v>64.150000000000006</v>
      </c>
      <c r="D1671">
        <v>69.72</v>
      </c>
      <c r="E1671">
        <v>69.73</v>
      </c>
      <c r="F1671">
        <v>-0.01</v>
      </c>
    </row>
    <row r="1672" spans="1:6" x14ac:dyDescent="0.3">
      <c r="A1672" t="str">
        <f>HYPERLINK("https://us2.cloudbeds.com/connect/10074733072513#/reservations/30650808865020?display=YQ6A6U8E2&amp;reservation_id=30650808865020", "YQ6A6U8E2")</f>
        <v>YQ6A6U8E2</v>
      </c>
      <c r="B1672" t="s">
        <v>111</v>
      </c>
      <c r="C1672">
        <v>766.8</v>
      </c>
      <c r="D1672">
        <v>833.5</v>
      </c>
      <c r="E1672">
        <v>833.51</v>
      </c>
      <c r="F1672">
        <v>-0.01</v>
      </c>
    </row>
    <row r="1673" spans="1:6" x14ac:dyDescent="0.3">
      <c r="A1673" t="str">
        <f>HYPERLINK("https://us2.cloudbeds.com/connect/10074733072513#/reservations/30650793574573?display=YQ69R0PK6&amp;reservation_id=30650793574573", "YQ69R0PK6")</f>
        <v>YQ69R0PK6</v>
      </c>
      <c r="B1673" t="s">
        <v>111</v>
      </c>
      <c r="C1673">
        <v>64.150000000000006</v>
      </c>
      <c r="D1673">
        <v>69.72</v>
      </c>
      <c r="E1673">
        <v>69.73</v>
      </c>
      <c r="F1673">
        <v>-0.01</v>
      </c>
    </row>
    <row r="1674" spans="1:6" x14ac:dyDescent="0.3">
      <c r="A1674" t="str">
        <f>HYPERLINK("https://us2.cloudbeds.com/connect/10074733072513#/reservations/30652498501848?display=YQ7KCYTD2&amp;reservation_id=30652498501848", "YQ7KCYTD2")</f>
        <v>YQ7KCYTD2</v>
      </c>
      <c r="B1674" t="s">
        <v>142</v>
      </c>
      <c r="C1674">
        <v>127.2</v>
      </c>
      <c r="D1674">
        <v>138.26</v>
      </c>
      <c r="E1674">
        <v>138.27000000000001</v>
      </c>
      <c r="F1674">
        <v>-0.01</v>
      </c>
    </row>
    <row r="1675" spans="1:6" x14ac:dyDescent="0.3">
      <c r="A1675" t="str">
        <f>HYPERLINK("https://us2.cloudbeds.com/connect/10074733072513#/reservations/30652839346335?display=YQ7T32CTT&amp;reservation_id=30652839346335", "YQ7T32CTT")</f>
        <v>YQ7T32CTT</v>
      </c>
      <c r="B1675" t="s">
        <v>143</v>
      </c>
      <c r="C1675">
        <v>87.2</v>
      </c>
      <c r="D1675">
        <v>94.78</v>
      </c>
      <c r="E1675">
        <v>94.79</v>
      </c>
      <c r="F1675">
        <v>-0.01</v>
      </c>
    </row>
    <row r="1676" spans="1:6" x14ac:dyDescent="0.3">
      <c r="A1676" t="str">
        <f>HYPERLINK("https://us2.cloudbeds.com/connect/10074733072513#/reservations/30649406349530?display=YQ57C96DM&amp;reservation_id=30649406349530", "YQ57C96DM")</f>
        <v>YQ57C96DM</v>
      </c>
      <c r="B1676" t="s">
        <v>135</v>
      </c>
      <c r="C1676">
        <v>64.150000000000006</v>
      </c>
      <c r="D1676">
        <v>69.72</v>
      </c>
      <c r="E1676">
        <v>69.73</v>
      </c>
      <c r="F1676">
        <v>-0.01</v>
      </c>
    </row>
    <row r="1677" spans="1:6" x14ac:dyDescent="0.3">
      <c r="A1677" t="str">
        <f>HYPERLINK("https://us2.cloudbeds.com/connect/10074733072513#/reservations/30652815134941?display=YQ7SFYM79&amp;reservation_id=30652815134941", "YQ7SFYM79")</f>
        <v>YQ7SFYM79</v>
      </c>
      <c r="B1677" t="s">
        <v>144</v>
      </c>
      <c r="C1677">
        <v>64.150000000000006</v>
      </c>
      <c r="D1677">
        <v>69.72</v>
      </c>
      <c r="E1677">
        <v>69.73</v>
      </c>
      <c r="F1677">
        <v>-0.01</v>
      </c>
    </row>
    <row r="1678" spans="1:6" x14ac:dyDescent="0.3">
      <c r="A1678" t="str">
        <f>HYPERLINK("https://us2.cloudbeds.com/connect/10074733072513#/reservations/30652680581327?display=YQ7P16H61&amp;reservation_id=30652680581327", "YQ7P16H61")</f>
        <v>YQ7P16H61</v>
      </c>
      <c r="B1678" t="s">
        <v>129</v>
      </c>
      <c r="C1678">
        <v>134.1</v>
      </c>
      <c r="D1678">
        <v>145.76</v>
      </c>
      <c r="E1678">
        <v>145.77000000000001</v>
      </c>
      <c r="F1678">
        <v>-0.01</v>
      </c>
    </row>
    <row r="1679" spans="1:6" x14ac:dyDescent="0.3">
      <c r="A1679" t="str">
        <f>HYPERLINK("https://us2.cloudbeds.com/connect/10074733072513#/reservations/30652810993800?display=YQ7SC5EH5&amp;reservation_id=30652810993800", "YQ7SC5EH5")</f>
        <v>YQ7SC5EH5</v>
      </c>
      <c r="B1679" t="s">
        <v>144</v>
      </c>
      <c r="C1679">
        <v>64.150000000000006</v>
      </c>
      <c r="D1679">
        <v>69.72</v>
      </c>
      <c r="E1679">
        <v>69.73</v>
      </c>
      <c r="F1679">
        <v>-0.01</v>
      </c>
    </row>
    <row r="1680" spans="1:6" x14ac:dyDescent="0.3">
      <c r="A1680" t="str">
        <f>HYPERLINK("https://us2.cloudbeds.com/connect/10074733072513#/reservations/30651913449659?display=YQ75EAVCR&amp;reservation_id=30651913449659", "YQ75EAVCR")</f>
        <v>YQ75EAVCR</v>
      </c>
      <c r="B1680" t="s">
        <v>94</v>
      </c>
      <c r="C1680">
        <v>267.3</v>
      </c>
      <c r="D1680">
        <v>290.55</v>
      </c>
      <c r="E1680">
        <v>290.56</v>
      </c>
      <c r="F1680">
        <v>-0.01</v>
      </c>
    </row>
    <row r="1681" spans="1:6" x14ac:dyDescent="0.3">
      <c r="A1681" t="str">
        <f>HYPERLINK("https://us2.cloudbeds.com/connect/10074733072513#/reservations/30649996619974?display=YQ5MF0B6Q&amp;reservation_id=30649996619974", "YQ5MF0B6Q")</f>
        <v>YQ5MF0B6Q</v>
      </c>
      <c r="B1681" t="s">
        <v>145</v>
      </c>
      <c r="C1681">
        <v>64.150000000000006</v>
      </c>
      <c r="D1681">
        <v>69.72</v>
      </c>
      <c r="E1681">
        <v>69.73</v>
      </c>
      <c r="F1681">
        <v>-0.01</v>
      </c>
    </row>
    <row r="1682" spans="1:6" x14ac:dyDescent="0.3">
      <c r="A1682" t="str">
        <f>HYPERLINK("https://us2.cloudbeds.com/connect/10074733072513#/reservations/30649915695322?display=YQ5KCPG7Y&amp;reservation_id=30649915695322", "YQ5KCPG7Y")</f>
        <v>YQ5KCPG7Y</v>
      </c>
      <c r="B1682" t="s">
        <v>145</v>
      </c>
      <c r="C1682">
        <v>84.15</v>
      </c>
      <c r="D1682">
        <v>91.46</v>
      </c>
      <c r="E1682">
        <v>91.47</v>
      </c>
      <c r="F1682">
        <v>-0.01</v>
      </c>
    </row>
    <row r="1683" spans="1:6" x14ac:dyDescent="0.3">
      <c r="A1683" t="str">
        <f>HYPERLINK("https://us2.cloudbeds.com/connect/10074733072513#/reservations/30649391181954?display=YQ56WG4E5&amp;reservation_id=30649391181954", "YQ56WG4E5")</f>
        <v>YQ56WG4E5</v>
      </c>
      <c r="B1683" t="s">
        <v>146</v>
      </c>
      <c r="C1683">
        <v>216</v>
      </c>
      <c r="D1683">
        <v>234.78</v>
      </c>
      <c r="E1683">
        <v>234.79</v>
      </c>
      <c r="F1683">
        <v>-0.01</v>
      </c>
    </row>
    <row r="1684" spans="1:6" x14ac:dyDescent="0.3">
      <c r="A1684" t="str">
        <f>HYPERLINK("https://us2.cloudbeds.com/connect/10074733072513#/reservations/30650000179355?display=YQ5MX0CMS&amp;reservation_id=30650000179355", "YQ5MX0CMS")</f>
        <v>YQ5MX0CMS</v>
      </c>
      <c r="B1684" t="s">
        <v>145</v>
      </c>
      <c r="C1684">
        <v>64.150000000000006</v>
      </c>
      <c r="D1684">
        <v>69.72</v>
      </c>
      <c r="E1684">
        <v>69.73</v>
      </c>
      <c r="F1684">
        <v>-0.01</v>
      </c>
    </row>
    <row r="1685" spans="1:6" x14ac:dyDescent="0.3">
      <c r="A1685" t="str">
        <f>HYPERLINK("https://us2.cloudbeds.com/connect/10074733072513#/reservations/30653507903673?display=YQ8D5QWG5&amp;reservation_id=30653507903673", "YQ8D5QWG5")</f>
        <v>YQ8D5QWG5</v>
      </c>
      <c r="B1685" t="s">
        <v>79</v>
      </c>
      <c r="C1685">
        <v>67.2</v>
      </c>
      <c r="D1685">
        <v>73.040000000000006</v>
      </c>
      <c r="E1685">
        <v>73.05</v>
      </c>
      <c r="F1685">
        <v>-0.01</v>
      </c>
    </row>
    <row r="1686" spans="1:6" x14ac:dyDescent="0.3">
      <c r="A1686" t="str">
        <f>HYPERLINK("https://us2.cloudbeds.com/connect/10074733072513#/reservations/30651054022834?display=YQ6GFY4CZ&amp;reservation_id=30651054022834", "YQ6GFY4CZ")</f>
        <v>YQ6GFY4CZ</v>
      </c>
      <c r="B1686" t="s">
        <v>146</v>
      </c>
      <c r="C1686">
        <v>304</v>
      </c>
      <c r="D1686">
        <v>330.44</v>
      </c>
      <c r="E1686">
        <v>330.45</v>
      </c>
      <c r="F1686">
        <v>-0.01</v>
      </c>
    </row>
    <row r="1687" spans="1:6" x14ac:dyDescent="0.3">
      <c r="A1687" t="str">
        <f>HYPERLINK("https://us2.cloudbeds.com/connect/10074733072513#/reservations/30651138654368?display=YQ6XY049M&amp;reservation_id=30651138654368", "YQ6XY049M")</f>
        <v>YQ6XY049M</v>
      </c>
      <c r="B1687" t="s">
        <v>141</v>
      </c>
      <c r="C1687">
        <v>67.2</v>
      </c>
      <c r="D1687">
        <v>73.040000000000006</v>
      </c>
      <c r="E1687">
        <v>73.05</v>
      </c>
      <c r="F1687">
        <v>-0.01</v>
      </c>
    </row>
    <row r="1688" spans="1:6" x14ac:dyDescent="0.3">
      <c r="A1688" t="str">
        <f>HYPERLINK("https://us2.cloudbeds.com/connect/10074733072513#/reservations/30649353101500?display=YQ560CG50&amp;reservation_id=30649353101500", "YQ560CG50")</f>
        <v>YQ560CG50</v>
      </c>
      <c r="B1688" t="s">
        <v>135</v>
      </c>
      <c r="C1688">
        <v>64.150000000000006</v>
      </c>
      <c r="D1688">
        <v>69.72</v>
      </c>
      <c r="E1688">
        <v>69.73</v>
      </c>
      <c r="F1688">
        <v>-0.01</v>
      </c>
    </row>
    <row r="1689" spans="1:6" x14ac:dyDescent="0.3">
      <c r="A1689" t="str">
        <f>HYPERLINK("https://us2.cloudbeds.com/connect/10074733072513#/reservations/30651003551901?display=YQ6F62N8H&amp;reservation_id=30651003551901", "YQ6F62N8H")</f>
        <v>YQ6F62N8H</v>
      </c>
      <c r="B1689" t="s">
        <v>146</v>
      </c>
      <c r="C1689">
        <v>64.150000000000006</v>
      </c>
      <c r="D1689">
        <v>69.72</v>
      </c>
      <c r="E1689">
        <v>69.73</v>
      </c>
      <c r="F1689">
        <v>-0.01</v>
      </c>
    </row>
    <row r="1690" spans="1:6" x14ac:dyDescent="0.3">
      <c r="A1690" t="str">
        <f>HYPERLINK("https://us2.cloudbeds.com/connect/10074733072513#/reservations/30651519619216?display=YQ6SC8190&amp;reservation_id=30651519619216", "YQ6SC8190")</f>
        <v>YQ6SC8190</v>
      </c>
      <c r="B1690" t="s">
        <v>148</v>
      </c>
      <c r="C1690">
        <v>134.78</v>
      </c>
      <c r="D1690">
        <v>146.5</v>
      </c>
      <c r="E1690">
        <v>146.51</v>
      </c>
      <c r="F1690">
        <v>-0.01</v>
      </c>
    </row>
    <row r="1691" spans="1:6" x14ac:dyDescent="0.3">
      <c r="A1691" t="str">
        <f>HYPERLINK("https://us2.cloudbeds.com/connect/10074733072513#/reservations/30651045953760?display=YQ6G8RJPB&amp;reservation_id=30651045953760", "YQ6G8RJPB")</f>
        <v>YQ6G8RJPB</v>
      </c>
      <c r="B1691" t="s">
        <v>146</v>
      </c>
      <c r="C1691">
        <v>64.150000000000006</v>
      </c>
      <c r="D1691">
        <v>69.72</v>
      </c>
      <c r="E1691">
        <v>69.73</v>
      </c>
      <c r="F1691">
        <v>-0.01</v>
      </c>
    </row>
    <row r="1692" spans="1:6" x14ac:dyDescent="0.3">
      <c r="A1692" t="str">
        <f>HYPERLINK("https://us2.cloudbeds.com/connect/10074733072513#/reservations/30651045933262?display=YQ6G8R0V6&amp;reservation_id=30651045933262", "YQ6G8R0V6")</f>
        <v>YQ6G8R0V6</v>
      </c>
      <c r="B1692" t="s">
        <v>146</v>
      </c>
      <c r="C1692">
        <v>64.150000000000006</v>
      </c>
      <c r="D1692">
        <v>69.72</v>
      </c>
      <c r="E1692">
        <v>69.73</v>
      </c>
      <c r="F1692">
        <v>-0.01</v>
      </c>
    </row>
    <row r="1693" spans="1:6" x14ac:dyDescent="0.3">
      <c r="A1693" t="str">
        <f>HYPERLINK("https://us2.cloudbeds.com/connect/10074733072513#/reservations/30651674448088?display=YQ6WAQCX0&amp;reservation_id=30651674448088", "YQ6WAQCX0")</f>
        <v>YQ6WAQCX0</v>
      </c>
      <c r="B1693" t="s">
        <v>131</v>
      </c>
      <c r="C1693">
        <v>64.150000000000006</v>
      </c>
      <c r="D1693">
        <v>69.72</v>
      </c>
      <c r="E1693">
        <v>69.73</v>
      </c>
      <c r="F1693">
        <v>-0.01</v>
      </c>
    </row>
    <row r="1694" spans="1:6" x14ac:dyDescent="0.3">
      <c r="A1694" t="str">
        <f>HYPERLINK("https://us2.cloudbeds.com/connect/10074733072513#/reservations/30654288343284?display=YQ903TSKB&amp;reservation_id=30654288343284", "YQ903TSKB")</f>
        <v>YQ903TSKB</v>
      </c>
      <c r="B1694" t="s">
        <v>149</v>
      </c>
      <c r="C1694">
        <v>268.2</v>
      </c>
      <c r="D1694">
        <v>291.52</v>
      </c>
      <c r="E1694">
        <v>291.52999999999997</v>
      </c>
      <c r="F1694">
        <v>-0.01</v>
      </c>
    </row>
    <row r="1695" spans="1:6" x14ac:dyDescent="0.3">
      <c r="A1695" t="str">
        <f>HYPERLINK("https://us2.cloudbeds.com/connect/10074733072513#/reservations/30650240786574?display=YQ5SMTKVN&amp;reservation_id=30650240786574", "YQ5SMTKVN")</f>
        <v>YQ5SMTKVN</v>
      </c>
      <c r="B1695" t="s">
        <v>150</v>
      </c>
      <c r="C1695">
        <v>87.2</v>
      </c>
      <c r="D1695">
        <v>94.78</v>
      </c>
      <c r="E1695">
        <v>94.79</v>
      </c>
      <c r="F1695">
        <v>-0.01</v>
      </c>
    </row>
    <row r="1696" spans="1:6" x14ac:dyDescent="0.3">
      <c r="A1696" t="str">
        <f>HYPERLINK("https://us2.cloudbeds.com/connect/10074733072513#/reservations/30652801556622?display=YQ7S46RK1&amp;reservation_id=30652801556622", "YQ7S46RK1")</f>
        <v>YQ7S46RK1</v>
      </c>
      <c r="B1696" t="s">
        <v>151</v>
      </c>
      <c r="C1696">
        <v>64.150000000000006</v>
      </c>
      <c r="D1696">
        <v>69.72</v>
      </c>
      <c r="E1696">
        <v>69.73</v>
      </c>
      <c r="F1696">
        <v>-0.01</v>
      </c>
    </row>
    <row r="1697" spans="1:6" x14ac:dyDescent="0.3">
      <c r="A1697" t="str">
        <f>HYPERLINK("https://us2.cloudbeds.com/connect/10074733072513#/reservations/30649482264728?display=YQ59A9YB7&amp;reservation_id=30649482264728", "YQ59A9YB7")</f>
        <v>YQ59A9YB7</v>
      </c>
      <c r="B1697" t="s">
        <v>151</v>
      </c>
      <c r="C1697">
        <v>64.150000000000006</v>
      </c>
      <c r="D1697">
        <v>69.72</v>
      </c>
      <c r="E1697">
        <v>69.73</v>
      </c>
      <c r="F1697">
        <v>-0.01</v>
      </c>
    </row>
    <row r="1698" spans="1:6" x14ac:dyDescent="0.3">
      <c r="A1698" t="str">
        <f>HYPERLINK("https://us2.cloudbeds.com/connect/10074733072513#/reservations/30649475076300?display=YQ5947KD2&amp;reservation_id=30649475076300", "YQ5947KD2")</f>
        <v>YQ5947KD2</v>
      </c>
      <c r="B1698" t="s">
        <v>151</v>
      </c>
      <c r="C1698">
        <v>64.150000000000006</v>
      </c>
      <c r="D1698">
        <v>69.72</v>
      </c>
      <c r="E1698">
        <v>69.73</v>
      </c>
      <c r="F1698">
        <v>-0.01</v>
      </c>
    </row>
    <row r="1699" spans="1:6" x14ac:dyDescent="0.3">
      <c r="A1699" t="str">
        <f>HYPERLINK("https://us2.cloudbeds.com/connect/10074733072513#/reservations/30651680014519?display=YQ6WFG91Z&amp;reservation_id=30651680014519", "YQ6WFG91Z")</f>
        <v>YQ6WFG91Z</v>
      </c>
      <c r="B1699" t="s">
        <v>131</v>
      </c>
      <c r="C1699">
        <v>64.150000000000006</v>
      </c>
      <c r="D1699">
        <v>69.72</v>
      </c>
      <c r="E1699">
        <v>69.73</v>
      </c>
      <c r="F1699">
        <v>-0.01</v>
      </c>
    </row>
    <row r="1700" spans="1:6" x14ac:dyDescent="0.3">
      <c r="A1700" t="str">
        <f>HYPERLINK("https://us2.cloudbeds.com/connect/10074733072513#/reservations/30651168497796?display=YQ6JD5XNW&amp;reservation_id=30651168497796", "YQ6JD5XNW")</f>
        <v>YQ6JD5XNW</v>
      </c>
      <c r="B1700" t="s">
        <v>154</v>
      </c>
      <c r="C1700">
        <v>174.4</v>
      </c>
      <c r="D1700">
        <v>189.56</v>
      </c>
      <c r="E1700">
        <v>189.57</v>
      </c>
      <c r="F1700">
        <v>-0.01</v>
      </c>
    </row>
    <row r="1701" spans="1:6" x14ac:dyDescent="0.3">
      <c r="A1701" t="str">
        <f>HYPERLINK("https://us2.cloudbeds.com/connect/10074733072513#/reservations/30652941123780?display=YQ7VMTGET&amp;reservation_id=30652941123780", "YQ7VMTGET")</f>
        <v>YQ7VMTGET</v>
      </c>
      <c r="B1701" t="s">
        <v>140</v>
      </c>
      <c r="C1701">
        <v>64.150000000000006</v>
      </c>
      <c r="D1701">
        <v>69.72</v>
      </c>
      <c r="E1701">
        <v>69.73</v>
      </c>
      <c r="F1701">
        <v>-0.01</v>
      </c>
    </row>
    <row r="1702" spans="1:6" x14ac:dyDescent="0.3">
      <c r="A1702" t="str">
        <f>HYPERLINK("https://us2.cloudbeds.com/connect/10074733072513#/reservations/30651521851609?display=YQ6SE4579&amp;reservation_id=30651521851609", "YQ6SE4579")</f>
        <v>YQ6SE4579</v>
      </c>
      <c r="B1702" t="s">
        <v>117</v>
      </c>
      <c r="C1702">
        <v>489.82</v>
      </c>
      <c r="D1702">
        <v>532.41999999999996</v>
      </c>
      <c r="E1702">
        <v>532.42999999999995</v>
      </c>
      <c r="F1702">
        <v>-0.01</v>
      </c>
    </row>
    <row r="1703" spans="1:6" x14ac:dyDescent="0.3">
      <c r="A1703" t="str">
        <f>HYPERLINK("https://us2.cloudbeds.com/connect/10074733072513#/reservations/30656188186774?display=YQAFYTQR6&amp;reservation_id=30656188186774", "YQAFYTQR6")</f>
        <v>YQAFYTQR6</v>
      </c>
      <c r="B1703" t="s">
        <v>155</v>
      </c>
      <c r="C1703">
        <v>174.4</v>
      </c>
      <c r="D1703">
        <v>189.56</v>
      </c>
      <c r="E1703">
        <v>189.57</v>
      </c>
      <c r="F1703">
        <v>-0.01</v>
      </c>
    </row>
    <row r="1704" spans="1:6" x14ac:dyDescent="0.3">
      <c r="A1704" t="str">
        <f>HYPERLINK("https://us2.cloudbeds.com/connect/10074733072513#/reservations/30651154423965?display=YQ6J19V38&amp;reservation_id=30651154423965", "YQ6J19V38")</f>
        <v>YQ6J19V38</v>
      </c>
      <c r="B1704" t="s">
        <v>154</v>
      </c>
      <c r="C1704">
        <v>64.150000000000006</v>
      </c>
      <c r="D1704">
        <v>69.72</v>
      </c>
      <c r="E1704">
        <v>69.73</v>
      </c>
      <c r="F1704">
        <v>-0.01</v>
      </c>
    </row>
    <row r="1705" spans="1:6" x14ac:dyDescent="0.3">
      <c r="A1705" t="str">
        <f>HYPERLINK("https://us2.cloudbeds.com/connect/10074733072513#/reservations/30652945387671?display=YQ7VQG4SN&amp;reservation_id=30652945387671", "YQ7VQG4SN")</f>
        <v>YQ7VQG4SN</v>
      </c>
      <c r="B1705" t="s">
        <v>154</v>
      </c>
      <c r="C1705">
        <v>64.150000000000006</v>
      </c>
      <c r="D1705">
        <v>69.72</v>
      </c>
      <c r="E1705">
        <v>69.73</v>
      </c>
      <c r="F1705">
        <v>-0.01</v>
      </c>
    </row>
    <row r="1706" spans="1:6" x14ac:dyDescent="0.3">
      <c r="A1706" t="str">
        <f>HYPERLINK("https://us2.cloudbeds.com/connect/10074733072513#/reservations/30650192539877?display=YQ5RF739J&amp;reservation_id=30650192539877", "YQ5RF739J")</f>
        <v>YQ5RF739J</v>
      </c>
      <c r="B1706" t="s">
        <v>132</v>
      </c>
      <c r="C1706">
        <v>87.2</v>
      </c>
      <c r="D1706">
        <v>94.78</v>
      </c>
      <c r="E1706">
        <v>94.79</v>
      </c>
      <c r="F1706">
        <v>-0.01</v>
      </c>
    </row>
    <row r="1707" spans="1:6" x14ac:dyDescent="0.3">
      <c r="A1707" t="str">
        <f>HYPERLINK("https://us2.cloudbeds.com/connect/10074733072513#/reservations/30651429703894?display=YQ6Q2E0D9&amp;reservation_id=30651429703894", "YQ6Q2E0D9")</f>
        <v>YQ6Q2E0D9</v>
      </c>
      <c r="B1707" t="s">
        <v>157</v>
      </c>
      <c r="C1707">
        <v>64.150000000000006</v>
      </c>
      <c r="D1707">
        <v>69.72</v>
      </c>
      <c r="E1707">
        <v>69.73</v>
      </c>
      <c r="F1707">
        <v>-0.01</v>
      </c>
    </row>
    <row r="1708" spans="1:6" x14ac:dyDescent="0.3">
      <c r="A1708" t="str">
        <f>HYPERLINK("https://us2.cloudbeds.com/connect/10074733072513#/reservations/30651442634983?display=YQ6QDARMF&amp;reservation_id=30651442634983", "YQ6QDARMF")</f>
        <v>YQ6QDARMF</v>
      </c>
      <c r="B1708" t="s">
        <v>157</v>
      </c>
      <c r="C1708">
        <v>64.150000000000006</v>
      </c>
      <c r="D1708">
        <v>69.72</v>
      </c>
      <c r="E1708">
        <v>69.73</v>
      </c>
      <c r="F1708">
        <v>-0.01</v>
      </c>
    </row>
    <row r="1709" spans="1:6" x14ac:dyDescent="0.3">
      <c r="A1709" t="str">
        <f>HYPERLINK("https://us2.cloudbeds.com/connect/10074733072513#/reservations/30651451703488?display=YQ6QDAVEG&amp;reservation_id=30651451703488", "YQ6QDAVEG")</f>
        <v>YQ6QDAVEG</v>
      </c>
      <c r="B1709" t="s">
        <v>157</v>
      </c>
      <c r="C1709">
        <v>64.150000000000006</v>
      </c>
      <c r="D1709">
        <v>69.72</v>
      </c>
      <c r="E1709">
        <v>69.73</v>
      </c>
      <c r="F1709">
        <v>-0.01</v>
      </c>
    </row>
    <row r="1710" spans="1:6" x14ac:dyDescent="0.3">
      <c r="A1710" t="str">
        <f>HYPERLINK("https://us2.cloudbeds.com/connect/10074733072513#/reservations/30650029785334?display=YQ5N9W72Z&amp;reservation_id=30650029785334", "YQ5N9W72Z")</f>
        <v>YQ5N9W72Z</v>
      </c>
      <c r="B1710" t="s">
        <v>158</v>
      </c>
      <c r="C1710">
        <v>64.150000000000006</v>
      </c>
      <c r="D1710">
        <v>69.72</v>
      </c>
      <c r="E1710">
        <v>69.73</v>
      </c>
      <c r="F1710">
        <v>-0.01</v>
      </c>
    </row>
    <row r="1711" spans="1:6" x14ac:dyDescent="0.3">
      <c r="A1711" t="str">
        <f>HYPERLINK("https://us2.cloudbeds.com/connect/10074733072513#/reservations/30653297037442?display=YQ87Q0AJC&amp;reservation_id=30653297037442", "YQ87Q0AJC")</f>
        <v>YQ87Q0AJC</v>
      </c>
      <c r="B1711" t="s">
        <v>141</v>
      </c>
      <c r="C1711">
        <v>356.4</v>
      </c>
      <c r="D1711">
        <v>387.4</v>
      </c>
      <c r="E1711">
        <v>387.41</v>
      </c>
      <c r="F1711">
        <v>-0.01</v>
      </c>
    </row>
    <row r="1712" spans="1:6" x14ac:dyDescent="0.3">
      <c r="A1712" t="str">
        <f>HYPERLINK("https://us2.cloudbeds.com/connect/10074733072513#/reservations/30651423703230?display=YQ6PUC14W&amp;reservation_id=30651423703230", "YQ6PUC14W")</f>
        <v>YQ6PUC14W</v>
      </c>
      <c r="B1712" t="s">
        <v>157</v>
      </c>
      <c r="C1712">
        <v>64.150000000000006</v>
      </c>
      <c r="D1712">
        <v>69.72</v>
      </c>
      <c r="E1712">
        <v>69.73</v>
      </c>
      <c r="F1712">
        <v>-0.01</v>
      </c>
    </row>
    <row r="1713" spans="1:6" x14ac:dyDescent="0.3">
      <c r="A1713" t="str">
        <f>HYPERLINK("https://us2.cloudbeds.com/connect/10074733072513#/reservations/30651429699799?display=YQ6Q2DTY6&amp;reservation_id=30651429699799", "YQ6Q2DTY6")</f>
        <v>YQ6Q2DTY6</v>
      </c>
      <c r="B1713" t="s">
        <v>157</v>
      </c>
      <c r="C1713">
        <v>64.150000000000006</v>
      </c>
      <c r="D1713">
        <v>69.72</v>
      </c>
      <c r="E1713">
        <v>69.73</v>
      </c>
      <c r="F1713">
        <v>-0.01</v>
      </c>
    </row>
    <row r="1714" spans="1:6" x14ac:dyDescent="0.3">
      <c r="A1714" t="str">
        <f>HYPERLINK("https://us2.cloudbeds.com/connect/10074733072513#/reservations/30650035421321?display=YQ5NEZ1F7&amp;reservation_id=30650035421321", "YQ5NEZ1F7")</f>
        <v>YQ5NEZ1F7</v>
      </c>
      <c r="B1714" t="s">
        <v>158</v>
      </c>
      <c r="C1714">
        <v>64.150000000000006</v>
      </c>
      <c r="D1714">
        <v>69.72</v>
      </c>
      <c r="E1714">
        <v>69.73</v>
      </c>
      <c r="F1714">
        <v>-0.01</v>
      </c>
    </row>
    <row r="1715" spans="1:6" x14ac:dyDescent="0.3">
      <c r="A1715" t="str">
        <f>HYPERLINK("https://us2.cloudbeds.com/connect/10074733072513#/reservations/30650024984729?display=YQ5N5UKQS&amp;reservation_id=30650024984729", "YQ5N5UKQS")</f>
        <v>YQ5N5UKQS</v>
      </c>
      <c r="B1715" t="s">
        <v>158</v>
      </c>
      <c r="C1715">
        <v>64.150000000000006</v>
      </c>
      <c r="D1715">
        <v>69.72</v>
      </c>
      <c r="E1715">
        <v>69.73</v>
      </c>
      <c r="F1715">
        <v>-0.01</v>
      </c>
    </row>
    <row r="1716" spans="1:6" x14ac:dyDescent="0.3">
      <c r="A1716" t="str">
        <f>HYPERLINK("https://us2.cloudbeds.com/connect/10074733072513#/reservations/30649493094543?display=YQ59JE02E&amp;reservation_id=30649493094543", "YQ59JE02E")</f>
        <v>YQ59JE02E</v>
      </c>
      <c r="B1716" t="s">
        <v>160</v>
      </c>
      <c r="C1716">
        <v>87.2</v>
      </c>
      <c r="D1716">
        <v>94.78</v>
      </c>
      <c r="E1716">
        <v>94.79</v>
      </c>
      <c r="F1716">
        <v>-0.01</v>
      </c>
    </row>
    <row r="1717" spans="1:6" x14ac:dyDescent="0.3">
      <c r="A1717" t="str">
        <f>HYPERLINK("https://us2.cloudbeds.com/connect/10074733072513#/reservations/30651315159171?display=YQ6N4RY02&amp;reservation_id=30651315159171", "YQ6N4RY02")</f>
        <v>YQ6N4RY02</v>
      </c>
      <c r="B1717" t="s">
        <v>161</v>
      </c>
      <c r="C1717">
        <v>174.4</v>
      </c>
      <c r="D1717">
        <v>189.56</v>
      </c>
      <c r="E1717">
        <v>189.57</v>
      </c>
      <c r="F1717">
        <v>-0.01</v>
      </c>
    </row>
    <row r="1718" spans="1:6" x14ac:dyDescent="0.3">
      <c r="A1718" t="str">
        <f>HYPERLINK("https://us2.cloudbeds.com/connect/10074733072513#/reservations/30651542077582?display=YQ6SV5W6X&amp;reservation_id=30651542077582", "YQ6SV5W6X")</f>
        <v>YQ6SV5W6X</v>
      </c>
      <c r="B1718" t="s">
        <v>117</v>
      </c>
      <c r="C1718">
        <v>87.2</v>
      </c>
      <c r="D1718">
        <v>94.78</v>
      </c>
      <c r="E1718">
        <v>94.79</v>
      </c>
      <c r="F1718">
        <v>-0.01</v>
      </c>
    </row>
    <row r="1719" spans="1:6" x14ac:dyDescent="0.3">
      <c r="A1719" t="str">
        <f>HYPERLINK("https://us2.cloudbeds.com/connect/10074733072513#/reservations/30651338530944?display=YQ6NK21MA&amp;reservation_id=30651338530944", "YQ6NK21MA")</f>
        <v>YQ6NK21MA</v>
      </c>
      <c r="B1719" t="s">
        <v>161</v>
      </c>
      <c r="C1719">
        <v>196.2</v>
      </c>
      <c r="D1719">
        <v>213.26</v>
      </c>
      <c r="E1719">
        <v>213.27</v>
      </c>
      <c r="F1719">
        <v>-0.01</v>
      </c>
    </row>
    <row r="1720" spans="1:6" x14ac:dyDescent="0.3">
      <c r="A1720" t="str">
        <f>HYPERLINK("https://us2.cloudbeds.com/connect/10074733072513#/reservations/30653270462681?display=YQ873JRMG&amp;reservation_id=30653270462681", "YQ873JRMG")</f>
        <v>YQ873JRMG</v>
      </c>
      <c r="B1720" t="s">
        <v>141</v>
      </c>
      <c r="C1720">
        <v>64.150000000000006</v>
      </c>
      <c r="D1720">
        <v>69.72</v>
      </c>
      <c r="E1720">
        <v>69.73</v>
      </c>
      <c r="F1720">
        <v>-0.01</v>
      </c>
    </row>
    <row r="1721" spans="1:6" x14ac:dyDescent="0.3">
      <c r="A1721" t="str">
        <f>HYPERLINK("https://us2.cloudbeds.com/connect/10074733072513#/reservations/30650255442122?display=YQ5T28EP7&amp;reservation_id=30650255442122", "YQ5T28EP7")</f>
        <v>YQ5T28EP7</v>
      </c>
      <c r="B1721" t="s">
        <v>150</v>
      </c>
      <c r="C1721">
        <v>64.150000000000006</v>
      </c>
      <c r="D1721">
        <v>69.72</v>
      </c>
      <c r="E1721">
        <v>69.73</v>
      </c>
      <c r="F1721">
        <v>-0.01</v>
      </c>
    </row>
    <row r="1722" spans="1:6" x14ac:dyDescent="0.3">
      <c r="A1722" t="str">
        <f>HYPERLINK("https://us2.cloudbeds.com/connect/10074733072513#/reservations/30649488191738?display=YQ59F9XVJ&amp;reservation_id=30649488191738", "YQ59F9XVJ")</f>
        <v>YQ59F9XVJ</v>
      </c>
      <c r="B1722" t="s">
        <v>160</v>
      </c>
      <c r="C1722">
        <v>64.150000000000006</v>
      </c>
      <c r="D1722">
        <v>69.72</v>
      </c>
      <c r="E1722">
        <v>69.73</v>
      </c>
      <c r="F1722">
        <v>-0.01</v>
      </c>
    </row>
    <row r="1723" spans="1:6" x14ac:dyDescent="0.3">
      <c r="A1723" t="str">
        <f>HYPERLINK("https://us2.cloudbeds.com/connect/10074733072513#/reservations/30651795677436?display=YQ72E0P8K&amp;reservation_id=30651795677436", "YQ72E0P8K")</f>
        <v>YQ72E0P8K</v>
      </c>
      <c r="B1723" t="s">
        <v>161</v>
      </c>
      <c r="C1723">
        <v>196.2</v>
      </c>
      <c r="D1723">
        <v>213.26</v>
      </c>
      <c r="E1723">
        <v>213.27</v>
      </c>
      <c r="F1723">
        <v>-0.01</v>
      </c>
    </row>
    <row r="1724" spans="1:6" x14ac:dyDescent="0.3">
      <c r="A1724" t="str">
        <f>HYPERLINK("https://us2.cloudbeds.com/connect/10074733072513#/reservations/30651509895319?display=YQ6S41F2F&amp;reservation_id=30651509895319", "YQ6S41F2F")</f>
        <v>YQ6S41F2F</v>
      </c>
      <c r="B1724" t="s">
        <v>117</v>
      </c>
      <c r="C1724">
        <v>84.15</v>
      </c>
      <c r="D1724">
        <v>91.46</v>
      </c>
      <c r="E1724">
        <v>91.47</v>
      </c>
      <c r="F1724">
        <v>-0.01</v>
      </c>
    </row>
    <row r="1725" spans="1:6" x14ac:dyDescent="0.3">
      <c r="A1725" t="str">
        <f>HYPERLINK("https://us2.cloudbeds.com/connect/10074733072513#/reservations/30651552456934?display=YQ6T6UQ9C&amp;reservation_id=30651552456934", "YQ6T6UQ9C")</f>
        <v>YQ6T6UQ9C</v>
      </c>
      <c r="B1725" t="s">
        <v>117</v>
      </c>
      <c r="C1725">
        <v>64.150000000000006</v>
      </c>
      <c r="D1725">
        <v>69.72</v>
      </c>
      <c r="E1725">
        <v>69.73</v>
      </c>
      <c r="F1725">
        <v>-0.01</v>
      </c>
    </row>
    <row r="1726" spans="1:6" x14ac:dyDescent="0.3">
      <c r="A1726" t="str">
        <f>HYPERLINK("https://us2.cloudbeds.com/connect/10074733072513#/reservations/30649504551129?display=YQ59T2QBN&amp;reservation_id=30649504551129", "YQ59T2QBN")</f>
        <v>YQ59T2QBN</v>
      </c>
      <c r="B1726" t="s">
        <v>160</v>
      </c>
      <c r="C1726">
        <v>64.150000000000006</v>
      </c>
      <c r="D1726">
        <v>69.72</v>
      </c>
      <c r="E1726">
        <v>69.73</v>
      </c>
      <c r="F1726">
        <v>-0.01</v>
      </c>
    </row>
    <row r="1727" spans="1:6" x14ac:dyDescent="0.3">
      <c r="A1727" t="str">
        <f>HYPERLINK("https://us2.cloudbeds.com/connect/10074733072513#/reservations/30649510367411?display=YQ5A0WY9M&amp;reservation_id=30649510367411", "YQ5A0WY9M")</f>
        <v>YQ5A0WY9M</v>
      </c>
      <c r="B1727" t="s">
        <v>160</v>
      </c>
      <c r="C1727">
        <v>64.150000000000006</v>
      </c>
      <c r="D1727">
        <v>69.72</v>
      </c>
      <c r="E1727">
        <v>69.73</v>
      </c>
      <c r="F1727">
        <v>-0.01</v>
      </c>
    </row>
    <row r="1728" spans="1:6" x14ac:dyDescent="0.3">
      <c r="A1728" t="str">
        <f>HYPERLINK("https://us2.cloudbeds.com/connect/10074733072513#/reservations/30651691286753?display=YQ6WZWV1J&amp;reservation_id=30651691286753", "YQ6WZWV1J")</f>
        <v>YQ6WZWV1J</v>
      </c>
      <c r="B1728" t="s">
        <v>131</v>
      </c>
      <c r="C1728">
        <v>64.150000000000006</v>
      </c>
      <c r="D1728">
        <v>69.72</v>
      </c>
      <c r="E1728">
        <v>69.73</v>
      </c>
      <c r="F1728">
        <v>-0.01</v>
      </c>
    </row>
    <row r="1729" spans="1:6" x14ac:dyDescent="0.3">
      <c r="A1729" t="str">
        <f>HYPERLINK("https://us2.cloudbeds.com/connect/10074733072513#/reservations/30651696468215?display=YQ6WTC41J&amp;reservation_id=30651696468215", "YQ6WTC41J")</f>
        <v>YQ6WTC41J</v>
      </c>
      <c r="B1729" t="s">
        <v>131</v>
      </c>
      <c r="C1729">
        <v>64.150000000000006</v>
      </c>
      <c r="D1729">
        <v>69.72</v>
      </c>
      <c r="E1729">
        <v>69.73</v>
      </c>
      <c r="F1729">
        <v>-0.01</v>
      </c>
    </row>
    <row r="1730" spans="1:6" x14ac:dyDescent="0.3">
      <c r="A1730" t="str">
        <f>HYPERLINK("https://us2.cloudbeds.com/connect/10074733072513#/reservations/30651767046384?display=YQ71MT23W&amp;reservation_id=30651767046384", "YQ71MT23W")</f>
        <v>YQ71MT23W</v>
      </c>
      <c r="B1730" t="s">
        <v>164</v>
      </c>
      <c r="C1730">
        <v>267.3</v>
      </c>
      <c r="D1730">
        <v>290.55</v>
      </c>
      <c r="E1730">
        <v>290.56</v>
      </c>
      <c r="F1730">
        <v>-0.01</v>
      </c>
    </row>
    <row r="1731" spans="1:6" x14ac:dyDescent="0.3">
      <c r="A1731" t="str">
        <f>HYPERLINK("https://us2.cloudbeds.com/connect/10074733072513#/reservations/30651563237555?display=YQ6TG0PRS&amp;reservation_id=30651563237555", "YQ6TG0PRS")</f>
        <v>YQ6TG0PRS</v>
      </c>
      <c r="B1731" t="s">
        <v>131</v>
      </c>
      <c r="C1731">
        <v>84.15</v>
      </c>
      <c r="D1731">
        <v>91.46</v>
      </c>
      <c r="E1731">
        <v>91.47</v>
      </c>
      <c r="F1731">
        <v>-0.01</v>
      </c>
    </row>
    <row r="1732" spans="1:6" x14ac:dyDescent="0.3">
      <c r="A1732" t="str">
        <f>HYPERLINK("https://us2.cloudbeds.com/connect/10074733072513#/reservations/30649503142018?display=YQ59RTJDC&amp;reservation_id=30649503142018", "YQ59RTJDC")</f>
        <v>YQ59RTJDC</v>
      </c>
      <c r="B1732" t="s">
        <v>160</v>
      </c>
      <c r="C1732">
        <v>64.150000000000006</v>
      </c>
      <c r="D1732">
        <v>69.72</v>
      </c>
      <c r="E1732">
        <v>69.73</v>
      </c>
      <c r="F1732">
        <v>-0.01</v>
      </c>
    </row>
    <row r="1733" spans="1:6" x14ac:dyDescent="0.3">
      <c r="A1733" t="str">
        <f>HYPERLINK("https://us2.cloudbeds.com/connect/10074733072513#/reservations/30653574807685?display=YQ8ET7MMF&amp;reservation_id=30653574807685", "YQ8ET7MMF")</f>
        <v>YQ8ET7MMF</v>
      </c>
      <c r="B1733" t="s">
        <v>79</v>
      </c>
      <c r="C1733">
        <v>384</v>
      </c>
      <c r="D1733">
        <v>417.4</v>
      </c>
      <c r="E1733">
        <v>417.41</v>
      </c>
      <c r="F1733">
        <v>-0.01</v>
      </c>
    </row>
    <row r="1734" spans="1:6" x14ac:dyDescent="0.3">
      <c r="A1734" t="str">
        <f>HYPERLINK("https://us2.cloudbeds.com/connect/10074733072513#/reservations/30651061027058?display=YQ6GYX15V&amp;reservation_id=30651061027058", "YQ6GYX15V")</f>
        <v>YQ6GYX15V</v>
      </c>
      <c r="B1734" t="s">
        <v>156</v>
      </c>
      <c r="C1734">
        <v>64.150000000000006</v>
      </c>
      <c r="D1734">
        <v>69.72</v>
      </c>
      <c r="E1734">
        <v>69.73</v>
      </c>
      <c r="F1734">
        <v>-0.01</v>
      </c>
    </row>
    <row r="1735" spans="1:6" x14ac:dyDescent="0.3">
      <c r="A1735" t="str">
        <f>HYPERLINK("https://us2.cloudbeds.com/connect/10074733072513#/reservations/30653706735792?display=YQ8X8FPPT&amp;reservation_id=30653706735792", "YQ8X8FPPT")</f>
        <v>YQ8X8FPPT</v>
      </c>
      <c r="B1735" t="s">
        <v>116</v>
      </c>
      <c r="C1735">
        <v>103.2</v>
      </c>
      <c r="D1735">
        <v>112.17</v>
      </c>
      <c r="E1735">
        <v>112.18</v>
      </c>
      <c r="F1735">
        <v>-0.01</v>
      </c>
    </row>
    <row r="1736" spans="1:6" x14ac:dyDescent="0.3">
      <c r="A1736" t="str">
        <f>HYPERLINK("https://us2.cloudbeds.com/connect/10074733072513#/reservations/30649619726546?display=YQ5CR6NTS&amp;reservation_id=30649619726546", "YQ5CR6NTS")</f>
        <v>YQ5CR6NTS</v>
      </c>
      <c r="B1736" t="s">
        <v>166</v>
      </c>
      <c r="C1736">
        <v>64.150000000000006</v>
      </c>
      <c r="D1736">
        <v>69.72</v>
      </c>
      <c r="E1736">
        <v>69.73</v>
      </c>
      <c r="F1736">
        <v>-0.01</v>
      </c>
    </row>
    <row r="1737" spans="1:6" x14ac:dyDescent="0.3">
      <c r="A1737" t="str">
        <f>HYPERLINK("https://us2.cloudbeds.com/connect/10074733072513#/reservations/30651237208204?display=YQ6Y53HMX&amp;reservation_id=30651237208204", "YQ6Y53HMX")</f>
        <v>YQ6Y53HMX</v>
      </c>
      <c r="B1737" t="s">
        <v>167</v>
      </c>
      <c r="C1737">
        <v>64.150000000000006</v>
      </c>
      <c r="D1737">
        <v>69.72</v>
      </c>
      <c r="E1737">
        <v>69.73</v>
      </c>
      <c r="F1737">
        <v>-0.01</v>
      </c>
    </row>
    <row r="1738" spans="1:6" x14ac:dyDescent="0.3">
      <c r="A1738" t="str">
        <f>HYPERLINK("https://us2.cloudbeds.com/connect/10074733072513#/reservations/30650748027033?display=YQ68YKBGN&amp;reservation_id=30650748027033", "YQ68YKBGN")</f>
        <v>YQ68YKBGN</v>
      </c>
      <c r="B1738" t="s">
        <v>94</v>
      </c>
      <c r="C1738">
        <v>277.3</v>
      </c>
      <c r="D1738">
        <v>301.42</v>
      </c>
      <c r="E1738">
        <v>301.43</v>
      </c>
      <c r="F1738">
        <v>-0.01</v>
      </c>
    </row>
    <row r="1739" spans="1:6" x14ac:dyDescent="0.3">
      <c r="A1739" t="str">
        <f>HYPERLINK("https://us2.cloudbeds.com/connect/10074733072513#/reservations/30651246108916?display=YQ6YCK6W3&amp;reservation_id=30651246108916", "YQ6YCK6W3")</f>
        <v>YQ6YCK6W3</v>
      </c>
      <c r="B1739" t="s">
        <v>169</v>
      </c>
      <c r="C1739">
        <v>87.2</v>
      </c>
      <c r="D1739">
        <v>94.78</v>
      </c>
      <c r="E1739">
        <v>94.79</v>
      </c>
      <c r="F1739">
        <v>-0.01</v>
      </c>
    </row>
    <row r="1740" spans="1:6" x14ac:dyDescent="0.3">
      <c r="A1740" t="str">
        <f>HYPERLINK("https://us2.cloudbeds.com/connect/10074733072513#/reservations/30650498724046?display=YQ629D44Z&amp;reservation_id=30650498724046", "YQ629D44Z")</f>
        <v>YQ629D44Z</v>
      </c>
      <c r="B1740" t="s">
        <v>168</v>
      </c>
      <c r="C1740">
        <v>87.2</v>
      </c>
      <c r="D1740">
        <v>94.78</v>
      </c>
      <c r="E1740">
        <v>94.79</v>
      </c>
      <c r="F1740">
        <v>-0.01</v>
      </c>
    </row>
    <row r="1741" spans="1:6" x14ac:dyDescent="0.3">
      <c r="A1741" t="str">
        <f>HYPERLINK("https://us2.cloudbeds.com/connect/10074733072513#/reservations/30653726122232?display=YQ8XZR7RZ&amp;reservation_id=30653726122232", "YQ8XZR7RZ")</f>
        <v>YQ8XZR7RZ</v>
      </c>
      <c r="B1741" t="s">
        <v>116</v>
      </c>
      <c r="C1741">
        <v>103.2</v>
      </c>
      <c r="D1741">
        <v>112.17</v>
      </c>
      <c r="E1741">
        <v>112.18</v>
      </c>
      <c r="F1741">
        <v>-0.01</v>
      </c>
    </row>
    <row r="1742" spans="1:6" x14ac:dyDescent="0.3">
      <c r="A1742" t="str">
        <f>HYPERLINK("https://us2.cloudbeds.com/connect/10074733072513#/reservations/30655501983898?display=YQ9V496QK&amp;reservation_id=30655501983898", "YQ9V496QK")</f>
        <v>YQ9V496QK</v>
      </c>
      <c r="B1742" t="s">
        <v>170</v>
      </c>
      <c r="C1742">
        <v>248.2</v>
      </c>
      <c r="D1742">
        <v>269.77999999999997</v>
      </c>
      <c r="E1742">
        <v>269.79000000000002</v>
      </c>
      <c r="F1742">
        <v>-0.01</v>
      </c>
    </row>
    <row r="1743" spans="1:6" x14ac:dyDescent="0.3">
      <c r="A1743" t="str">
        <f>HYPERLINK("https://us2.cloudbeds.com/connect/10074733072513#/reservations/30650407989377?display=YQ5WVT9TA&amp;reservation_id=30650407989377", "YQ5WVT9TA")</f>
        <v>YQ5WVT9TA</v>
      </c>
      <c r="B1743" t="s">
        <v>168</v>
      </c>
      <c r="C1743">
        <v>87.2</v>
      </c>
      <c r="D1743">
        <v>94.78</v>
      </c>
      <c r="E1743">
        <v>94.79</v>
      </c>
      <c r="F1743">
        <v>-0.01</v>
      </c>
    </row>
    <row r="1744" spans="1:6" x14ac:dyDescent="0.3">
      <c r="A1744" t="str">
        <f>HYPERLINK("https://us2.cloudbeds.com/connect/10074733072513#/reservations/30653567717526?display=YQ8EN8CW5&amp;reservation_id=30653567717526", "YQ8EN8CW5")</f>
        <v>YQ8EN8CW5</v>
      </c>
      <c r="B1744" t="s">
        <v>168</v>
      </c>
      <c r="C1744">
        <v>87.2</v>
      </c>
      <c r="D1744">
        <v>94.78</v>
      </c>
      <c r="E1744">
        <v>94.79</v>
      </c>
      <c r="F1744">
        <v>-0.01</v>
      </c>
    </row>
    <row r="1745" spans="1:6" x14ac:dyDescent="0.3">
      <c r="A1745" t="str">
        <f>HYPERLINK("https://us2.cloudbeds.com/connect/10074733072513#/reservations/30653619003566?display=YQ8G0GGJJ&amp;reservation_id=30653619003566", "YQ8G0GGJJ")</f>
        <v>YQ8G0GGJJ</v>
      </c>
      <c r="B1745" t="s">
        <v>116</v>
      </c>
      <c r="C1745">
        <v>196.2</v>
      </c>
      <c r="D1745">
        <v>213.26</v>
      </c>
      <c r="E1745">
        <v>213.27</v>
      </c>
      <c r="F1745">
        <v>-0.01</v>
      </c>
    </row>
    <row r="1746" spans="1:6" x14ac:dyDescent="0.3">
      <c r="A1746" t="str">
        <f>HYPERLINK("https://us2.cloudbeds.com/connect/10074733072513#/reservations/30650568736921?display=YQ642EB40&amp;reservation_id=30650568736921", "YQ642EB40")</f>
        <v>YQ642EB40</v>
      </c>
      <c r="B1746" t="s">
        <v>162</v>
      </c>
      <c r="C1746">
        <v>267.3</v>
      </c>
      <c r="D1746">
        <v>290.55</v>
      </c>
      <c r="E1746">
        <v>290.56</v>
      </c>
      <c r="F1746">
        <v>-0.01</v>
      </c>
    </row>
    <row r="1747" spans="1:6" x14ac:dyDescent="0.3">
      <c r="A1747" t="str">
        <f>HYPERLINK("https://us2.cloudbeds.com/connect/10074733072513#/reservations/30649634070672?display=YQ5D69SZB&amp;reservation_id=30649634070672", "YQ5D69SZB")</f>
        <v>YQ5D69SZB</v>
      </c>
      <c r="B1747" t="s">
        <v>172</v>
      </c>
      <c r="C1747">
        <v>64.150000000000006</v>
      </c>
      <c r="D1747">
        <v>69.72</v>
      </c>
      <c r="E1747">
        <v>69.73</v>
      </c>
      <c r="F1747">
        <v>-0.01</v>
      </c>
    </row>
    <row r="1748" spans="1:6" x14ac:dyDescent="0.3">
      <c r="A1748" t="str">
        <f>HYPERLINK("https://us2.cloudbeds.com/connect/10074733072513#/reservations/30649721852060?display=YQ5FEAH2D&amp;reservation_id=30649721852060", "YQ5FEAH2D")</f>
        <v>YQ5FEAH2D</v>
      </c>
      <c r="B1748" t="s">
        <v>172</v>
      </c>
      <c r="C1748">
        <v>64.150000000000006</v>
      </c>
      <c r="D1748">
        <v>69.72</v>
      </c>
      <c r="E1748">
        <v>69.73</v>
      </c>
      <c r="F1748">
        <v>-0.01</v>
      </c>
    </row>
    <row r="1749" spans="1:6" x14ac:dyDescent="0.3">
      <c r="A1749" t="str">
        <f>HYPERLINK("https://us2.cloudbeds.com/connect/10074733072513#/reservations/30649854288072?display=YQ5XQWZXT&amp;reservation_id=30649854288072", "YQ5XQWZXT")</f>
        <v>YQ5XQWZXT</v>
      </c>
      <c r="B1749" t="s">
        <v>173</v>
      </c>
      <c r="C1749">
        <v>83.2</v>
      </c>
      <c r="D1749">
        <v>90.43</v>
      </c>
      <c r="E1749">
        <v>90.44</v>
      </c>
      <c r="F1749">
        <v>-0.01</v>
      </c>
    </row>
    <row r="1750" spans="1:6" x14ac:dyDescent="0.3">
      <c r="A1750" t="str">
        <f>HYPERLINK("https://us2.cloudbeds.com/connect/10074733072513#/reservations/30650663026925?display=YQ66FV34S&amp;reservation_id=30650663026925", "YQ66FV34S")</f>
        <v>YQ66FV34S</v>
      </c>
      <c r="B1750" t="s">
        <v>162</v>
      </c>
      <c r="C1750">
        <v>64.150000000000006</v>
      </c>
      <c r="D1750">
        <v>69.72</v>
      </c>
      <c r="E1750">
        <v>69.73</v>
      </c>
      <c r="F1750">
        <v>-0.01</v>
      </c>
    </row>
    <row r="1751" spans="1:6" x14ac:dyDescent="0.3">
      <c r="A1751" t="str">
        <f>HYPERLINK("https://us2.cloudbeds.com/connect/10074733072513#/reservations/30651824201874?display=YQ7352GGH&amp;reservation_id=30651824201874", "YQ7352GGH")</f>
        <v>YQ7352GGH</v>
      </c>
      <c r="B1751" t="s">
        <v>161</v>
      </c>
      <c r="C1751">
        <v>196.2</v>
      </c>
      <c r="D1751">
        <v>213.26</v>
      </c>
      <c r="E1751">
        <v>213.27</v>
      </c>
      <c r="F1751">
        <v>-0.01</v>
      </c>
    </row>
    <row r="1752" spans="1:6" x14ac:dyDescent="0.3">
      <c r="A1752" t="str">
        <f>HYPERLINK("https://us2.cloudbeds.com/connect/10074733072513#/reservations/30652737818857?display=YQ7QGF7TY&amp;reservation_id=30652737818857", "YQ7QGF7TY")</f>
        <v>YQ7QGF7TY</v>
      </c>
      <c r="B1752" t="s">
        <v>174</v>
      </c>
      <c r="C1752">
        <v>87.2</v>
      </c>
      <c r="D1752">
        <v>94.78</v>
      </c>
      <c r="E1752">
        <v>94.79</v>
      </c>
      <c r="F1752">
        <v>-0.01</v>
      </c>
    </row>
    <row r="1753" spans="1:6" x14ac:dyDescent="0.3">
      <c r="A1753" t="str">
        <f>HYPERLINK("https://us2.cloudbeds.com/connect/10074733072513#/reservations/30649880449239?display=YQ5JG1NMH&amp;reservation_id=30649880449239", "YQ5JG1NMH")</f>
        <v>YQ5JG1NMH</v>
      </c>
      <c r="B1753" t="s">
        <v>173</v>
      </c>
      <c r="C1753">
        <v>67.2</v>
      </c>
      <c r="D1753">
        <v>73.040000000000006</v>
      </c>
      <c r="E1753">
        <v>73.05</v>
      </c>
      <c r="F1753">
        <v>-0.01</v>
      </c>
    </row>
    <row r="1754" spans="1:6" x14ac:dyDescent="0.3">
      <c r="A1754" t="str">
        <f>HYPERLINK("https://us2.cloudbeds.com/connect/10074733072513#/reservations/30649865359492?display=YQ5J3AR5F&amp;reservation_id=30649865359492", "YQ5J3AR5F")</f>
        <v>YQ5J3AR5F</v>
      </c>
      <c r="B1754" t="s">
        <v>173</v>
      </c>
      <c r="C1754">
        <v>61.23</v>
      </c>
      <c r="D1754">
        <v>66.55</v>
      </c>
      <c r="E1754">
        <v>66.56</v>
      </c>
      <c r="F1754">
        <v>-0.01</v>
      </c>
    </row>
    <row r="1755" spans="1:6" x14ac:dyDescent="0.3">
      <c r="A1755" t="str">
        <f>HYPERLINK("https://us2.cloudbeds.com/connect/10074733072513#/reservations/30649878864010?display=YQ5JENK09&amp;reservation_id=30649878864010", "YQ5JENK09")</f>
        <v>YQ5JENK09</v>
      </c>
      <c r="B1755" t="s">
        <v>173</v>
      </c>
      <c r="C1755">
        <v>67.2</v>
      </c>
      <c r="D1755">
        <v>73.040000000000006</v>
      </c>
      <c r="E1755">
        <v>73.05</v>
      </c>
      <c r="F1755">
        <v>-0.01</v>
      </c>
    </row>
    <row r="1756" spans="1:6" x14ac:dyDescent="0.3">
      <c r="A1756" t="str">
        <f>HYPERLINK("https://us2.cloudbeds.com/connect/10074733072513#/reservations/30651863486709?display=YQ7456YZ2&amp;reservation_id=30651863486709", "YQ7456YZ2")</f>
        <v>YQ7456YZ2</v>
      </c>
      <c r="B1756" t="s">
        <v>175</v>
      </c>
      <c r="C1756">
        <v>294.3</v>
      </c>
      <c r="D1756">
        <v>319.89</v>
      </c>
      <c r="E1756">
        <v>319.89999999999998</v>
      </c>
      <c r="F1756">
        <v>-0.01</v>
      </c>
    </row>
    <row r="1757" spans="1:6" x14ac:dyDescent="0.3">
      <c r="A1757" t="str">
        <f>HYPERLINK("https://us2.cloudbeds.com/connect/10074733072513#/reservations/30653768159428?display=YQ8JR8WG6&amp;reservation_id=30653768159428", "YQ8JR8WG6")</f>
        <v>YQ8JR8WG6</v>
      </c>
      <c r="B1757" t="s">
        <v>176</v>
      </c>
      <c r="C1757">
        <v>64.150000000000006</v>
      </c>
      <c r="D1757">
        <v>69.72</v>
      </c>
      <c r="E1757">
        <v>69.73</v>
      </c>
      <c r="F1757">
        <v>-0.01</v>
      </c>
    </row>
    <row r="1758" spans="1:6" x14ac:dyDescent="0.3">
      <c r="A1758" t="str">
        <f>HYPERLINK("https://us2.cloudbeds.com/connect/10074733072513#/reservations/30651456049305?display=YQ6QZY3N2&amp;reservation_id=30651456049305", "YQ6QZY3N2")</f>
        <v>YQ6QZY3N2</v>
      </c>
      <c r="B1758" t="s">
        <v>157</v>
      </c>
      <c r="C1758">
        <v>64.150000000000006</v>
      </c>
      <c r="D1758">
        <v>69.72</v>
      </c>
      <c r="E1758">
        <v>69.73</v>
      </c>
      <c r="F1758">
        <v>-0.01</v>
      </c>
    </row>
    <row r="1759" spans="1:6" x14ac:dyDescent="0.3">
      <c r="A1759" t="str">
        <f>HYPERLINK("https://us2.cloudbeds.com/connect/10074733072513#/reservations/30653815660686?display=YQ8Y1APY8&amp;reservation_id=30653815660686", "YQ8Y1APY8")</f>
        <v>YQ8Y1APY8</v>
      </c>
      <c r="B1759" t="s">
        <v>177</v>
      </c>
      <c r="C1759">
        <v>72.17</v>
      </c>
      <c r="D1759">
        <v>78.44</v>
      </c>
      <c r="E1759">
        <v>78.45</v>
      </c>
      <c r="F1759">
        <v>-0.01</v>
      </c>
    </row>
    <row r="1760" spans="1:6" x14ac:dyDescent="0.3">
      <c r="A1760" t="str">
        <f>HYPERLINK("https://us2.cloudbeds.com/connect/10074733072513#/reservations/30652117909680?display=YQ7AYZBY2&amp;reservation_id=30652117909680", "YQ7AYZBY2")</f>
        <v>YQ7AYZBY2</v>
      </c>
      <c r="B1760" t="s">
        <v>178</v>
      </c>
      <c r="C1760">
        <v>64.150000000000006</v>
      </c>
      <c r="D1760">
        <v>69.72</v>
      </c>
      <c r="E1760">
        <v>69.73</v>
      </c>
      <c r="F1760">
        <v>-0.01</v>
      </c>
    </row>
    <row r="1761" spans="1:6" x14ac:dyDescent="0.3">
      <c r="A1761" t="str">
        <f>HYPERLINK("https://us2.cloudbeds.com/connect/10074733072513#/reservations/30652393676928?display=YQ7HFY35G&amp;reservation_id=30652393676928", "YQ7HFY35G")</f>
        <v>YQ7HFY35G</v>
      </c>
      <c r="B1761" t="s">
        <v>179</v>
      </c>
      <c r="C1761">
        <v>134.78</v>
      </c>
      <c r="D1761">
        <v>146.5</v>
      </c>
      <c r="E1761">
        <v>146.51</v>
      </c>
      <c r="F1761">
        <v>-0.01</v>
      </c>
    </row>
    <row r="1762" spans="1:6" x14ac:dyDescent="0.3">
      <c r="A1762" t="str">
        <f>HYPERLINK("https://us2.cloudbeds.com/connect/10074733072513#/reservations/30652098789572?display=YQ7A5KA4S&amp;reservation_id=30652098789572", "YQ7A5KA4S")</f>
        <v>YQ7A5KA4S</v>
      </c>
      <c r="B1762" t="s">
        <v>178</v>
      </c>
      <c r="C1762">
        <v>84.15</v>
      </c>
      <c r="D1762">
        <v>91.46</v>
      </c>
      <c r="E1762">
        <v>91.47</v>
      </c>
      <c r="F1762">
        <v>-0.01</v>
      </c>
    </row>
    <row r="1763" spans="1:6" x14ac:dyDescent="0.3">
      <c r="A1763" t="str">
        <f>HYPERLINK("https://us2.cloudbeds.com/connect/10074733072513#/reservations/30652124418250?display=YQ7AR7F9F&amp;reservation_id=30652124418250", "YQ7AR7F9F")</f>
        <v>YQ7AR7F9F</v>
      </c>
      <c r="B1763" t="s">
        <v>178</v>
      </c>
      <c r="C1763">
        <v>64.150000000000006</v>
      </c>
      <c r="D1763">
        <v>69.72</v>
      </c>
      <c r="E1763">
        <v>69.73</v>
      </c>
      <c r="F1763">
        <v>-0.01</v>
      </c>
    </row>
    <row r="1764" spans="1:6" x14ac:dyDescent="0.3">
      <c r="A1764" t="str">
        <f>HYPERLINK("https://us2.cloudbeds.com/connect/10074733072513#/reservations/30652465168589?display=YQ7JHXBBA&amp;reservation_id=30652465168589", "YQ7JHXBBA")</f>
        <v>YQ7JHXBBA</v>
      </c>
      <c r="B1764" t="s">
        <v>182</v>
      </c>
      <c r="C1764">
        <v>80.099999999999994</v>
      </c>
      <c r="D1764">
        <v>87.06</v>
      </c>
      <c r="E1764">
        <v>87.07</v>
      </c>
      <c r="F1764">
        <v>-0.01</v>
      </c>
    </row>
    <row r="1765" spans="1:6" x14ac:dyDescent="0.3">
      <c r="A1765" t="str">
        <f>HYPERLINK("https://us2.cloudbeds.com/connect/10074733072513#/reservations/30650194325649?display=YQ5RGNQ3T&amp;reservation_id=30650194325649", "YQ5RGNQ3T")</f>
        <v>YQ5RGNQ3T</v>
      </c>
      <c r="B1765" t="s">
        <v>183</v>
      </c>
      <c r="C1765">
        <v>268.2</v>
      </c>
      <c r="D1765">
        <v>291.52</v>
      </c>
      <c r="E1765">
        <v>291.52999999999997</v>
      </c>
      <c r="F1765">
        <v>-0.01</v>
      </c>
    </row>
    <row r="1766" spans="1:6" x14ac:dyDescent="0.3">
      <c r="A1766" t="str">
        <f>HYPERLINK("https://us2.cloudbeds.com/connect/10074733072513#/reservations/30650895335620?display=YQ6CDRE39&amp;reservation_id=30650895335620", "YQ6CDRE39")</f>
        <v>YQ6CDRE39</v>
      </c>
      <c r="B1766" t="s">
        <v>185</v>
      </c>
      <c r="C1766">
        <v>64.150000000000006</v>
      </c>
      <c r="D1766">
        <v>69.72</v>
      </c>
      <c r="E1766">
        <v>69.73</v>
      </c>
      <c r="F1766">
        <v>-0.01</v>
      </c>
    </row>
    <row r="1767" spans="1:6" x14ac:dyDescent="0.3">
      <c r="A1767" t="str">
        <f>HYPERLINK("https://us2.cloudbeds.com/connect/10074733072513#/reservations/30650210386079?display=YQ5RU8MWJ&amp;reservation_id=30650210386079", "YQ5RU8MWJ")</f>
        <v>YQ5RU8MWJ</v>
      </c>
      <c r="B1767" t="s">
        <v>183</v>
      </c>
      <c r="C1767">
        <v>80.099999999999994</v>
      </c>
      <c r="D1767">
        <v>87.06</v>
      </c>
      <c r="E1767">
        <v>87.07</v>
      </c>
      <c r="F1767">
        <v>-0.01</v>
      </c>
    </row>
    <row r="1768" spans="1:6" x14ac:dyDescent="0.3">
      <c r="A1768" t="str">
        <f>HYPERLINK("https://us2.cloudbeds.com/connect/10074733072513#/reservations/30655008084215?display=YQ9XGQNZJ&amp;reservation_id=30655008084215", "YQ9XGQNZJ")</f>
        <v>YQ9XGQNZJ</v>
      </c>
      <c r="B1768" t="s">
        <v>180</v>
      </c>
      <c r="C1768">
        <v>214.4</v>
      </c>
      <c r="D1768">
        <v>233.04</v>
      </c>
      <c r="E1768">
        <v>233.05</v>
      </c>
      <c r="F1768">
        <v>-0.01</v>
      </c>
    </row>
    <row r="1769" spans="1:6" x14ac:dyDescent="0.3">
      <c r="A1769" t="str">
        <f>HYPERLINK("https://us2.cloudbeds.com/connect/10074733072513#/reservations/30650966265992?display=YQ6E7Y5JG&amp;reservation_id=30650966265992", "YQ6E7Y5JG")</f>
        <v>YQ6E7Y5JG</v>
      </c>
      <c r="B1769" t="s">
        <v>159</v>
      </c>
      <c r="C1769">
        <v>64.150000000000006</v>
      </c>
      <c r="D1769">
        <v>69.72</v>
      </c>
      <c r="E1769">
        <v>69.73</v>
      </c>
      <c r="F1769">
        <v>-0.01</v>
      </c>
    </row>
    <row r="1770" spans="1:6" x14ac:dyDescent="0.3">
      <c r="A1770" t="str">
        <f>HYPERLINK("https://us2.cloudbeds.com/connect/10074733072513#/reservations/30651556573430?display=YQ6TADBBM&amp;reservation_id=30651556573430", "YQ6TADBBM")</f>
        <v>YQ6TADBBM</v>
      </c>
      <c r="B1770" t="s">
        <v>187</v>
      </c>
      <c r="C1770">
        <v>64.150000000000006</v>
      </c>
      <c r="D1770">
        <v>69.72</v>
      </c>
      <c r="E1770">
        <v>69.73</v>
      </c>
      <c r="F1770">
        <v>-0.01</v>
      </c>
    </row>
    <row r="1771" spans="1:6" x14ac:dyDescent="0.3">
      <c r="A1771" t="str">
        <f>HYPERLINK("https://us2.cloudbeds.com/connect/10074733072513#/reservations/30651546747134?display=YQ6T23U44&amp;reservation_id=30651546747134", "YQ6T23U44")</f>
        <v>YQ6T23U44</v>
      </c>
      <c r="B1771" t="s">
        <v>187</v>
      </c>
      <c r="C1771">
        <v>80.099999999999994</v>
      </c>
      <c r="D1771">
        <v>87.06</v>
      </c>
      <c r="E1771">
        <v>87.07</v>
      </c>
      <c r="F1771">
        <v>-0.01</v>
      </c>
    </row>
    <row r="1772" spans="1:6" x14ac:dyDescent="0.3">
      <c r="A1772" t="str">
        <f>HYPERLINK("https://us2.cloudbeds.com/connect/10074733072513#/reservations/30650925297811?display=YQ6D635JF&amp;reservation_id=30650925297811", "YQ6D635JF")</f>
        <v>YQ6D635JF</v>
      </c>
      <c r="B1772" t="s">
        <v>185</v>
      </c>
      <c r="C1772">
        <v>64.150000000000006</v>
      </c>
      <c r="D1772">
        <v>69.72</v>
      </c>
      <c r="E1772">
        <v>69.73</v>
      </c>
      <c r="F1772">
        <v>-0.01</v>
      </c>
    </row>
    <row r="1773" spans="1:6" x14ac:dyDescent="0.3">
      <c r="A1773" t="str">
        <f>HYPERLINK("https://us2.cloudbeds.com/connect/10074733072513#/reservations/30654532632736?display=YQ96BTJ60&amp;reservation_id=30654532632736", "YQ96BTJ60")</f>
        <v>YQ96BTJ60</v>
      </c>
      <c r="B1773" t="s">
        <v>163</v>
      </c>
      <c r="C1773">
        <v>64.150000000000006</v>
      </c>
      <c r="D1773">
        <v>69.72</v>
      </c>
      <c r="E1773">
        <v>69.73</v>
      </c>
      <c r="F1773">
        <v>-0.01</v>
      </c>
    </row>
    <row r="1774" spans="1:6" x14ac:dyDescent="0.3">
      <c r="A1774" t="str">
        <f>HYPERLINK("https://us2.cloudbeds.com/connect/10074733072513#/reservations/30650966270106?display=YQ6E7Y9C5&amp;reservation_id=30650966270106", "YQ6E7Y9C5")</f>
        <v>YQ6E7Y9C5</v>
      </c>
      <c r="B1774" t="s">
        <v>159</v>
      </c>
      <c r="C1774">
        <v>64.150000000000006</v>
      </c>
      <c r="D1774">
        <v>69.72</v>
      </c>
      <c r="E1774">
        <v>69.73</v>
      </c>
      <c r="F1774">
        <v>-0.01</v>
      </c>
    </row>
    <row r="1775" spans="1:6" x14ac:dyDescent="0.3">
      <c r="A1775" t="str">
        <f>HYPERLINK("https://us2.cloudbeds.com/connect/10074733072513#/reservations/30650606248134?display=YQ65124ME&amp;reservation_id=30650606248134", "YQ65124ME")</f>
        <v>YQ65124ME</v>
      </c>
      <c r="B1775" t="s">
        <v>189</v>
      </c>
      <c r="C1775">
        <v>80.099999999999994</v>
      </c>
      <c r="D1775">
        <v>87.06</v>
      </c>
      <c r="E1775">
        <v>87.07</v>
      </c>
      <c r="F1775">
        <v>-0.01</v>
      </c>
    </row>
    <row r="1776" spans="1:6" x14ac:dyDescent="0.3">
      <c r="A1776" t="str">
        <f>HYPERLINK("https://us2.cloudbeds.com/connect/10074733072513#/reservations/30652577538228?display=YQ7MDA6DT&amp;reservation_id=30652577538228", "YQ7MDA6DT")</f>
        <v>YQ7MDA6DT</v>
      </c>
      <c r="B1776" t="s">
        <v>163</v>
      </c>
      <c r="C1776">
        <v>186.2</v>
      </c>
      <c r="D1776">
        <v>202.39</v>
      </c>
      <c r="E1776">
        <v>202.4</v>
      </c>
      <c r="F1776">
        <v>-0.01</v>
      </c>
    </row>
    <row r="1777" spans="1:6" x14ac:dyDescent="0.3">
      <c r="A1777" t="str">
        <f>HYPERLINK("https://us2.cloudbeds.com/connect/10074733072513#/reservations/30651582177503?display=YQ6TVWQTY&amp;reservation_id=30651582177503", "YQ6TVWQTY")</f>
        <v>YQ6TVWQTY</v>
      </c>
      <c r="B1777" t="s">
        <v>190</v>
      </c>
      <c r="C1777">
        <v>80.099999999999994</v>
      </c>
      <c r="D1777">
        <v>87.06</v>
      </c>
      <c r="E1777">
        <v>87.07</v>
      </c>
      <c r="F1777">
        <v>-0.01</v>
      </c>
    </row>
    <row r="1778" spans="1:6" x14ac:dyDescent="0.3">
      <c r="A1778" t="str">
        <f>HYPERLINK("https://us2.cloudbeds.com/connect/10074733072513#/reservations/30651644625066?display=YQ6VXYGS2&amp;reservation_id=30651644625066", "YQ6VXYGS2")</f>
        <v>YQ6VXYGS2</v>
      </c>
      <c r="B1778" t="s">
        <v>191</v>
      </c>
      <c r="C1778">
        <v>64.150000000000006</v>
      </c>
      <c r="D1778">
        <v>69.72</v>
      </c>
      <c r="E1778">
        <v>69.73</v>
      </c>
      <c r="F1778">
        <v>-0.01</v>
      </c>
    </row>
    <row r="1779" spans="1:6" x14ac:dyDescent="0.3">
      <c r="A1779" t="str">
        <f>HYPERLINK("https://us2.cloudbeds.com/connect/10074733072513#/reservations/30653194793098?display=YQ855Q79U&amp;reservation_id=30653194793098", "YQ855Q79U")</f>
        <v>YQ855Q79U</v>
      </c>
      <c r="B1779" t="s">
        <v>192</v>
      </c>
      <c r="C1779">
        <v>134.1</v>
      </c>
      <c r="D1779">
        <v>145.76</v>
      </c>
      <c r="E1779">
        <v>145.77000000000001</v>
      </c>
      <c r="F1779">
        <v>-0.01</v>
      </c>
    </row>
    <row r="1780" spans="1:6" x14ac:dyDescent="0.3">
      <c r="A1780" t="str">
        <f>HYPERLINK("https://us2.cloudbeds.com/connect/10074733072513#/reservations/30651627008138?display=YQ6V3Q9MP&amp;reservation_id=30651627008138", "YQ6V3Q9MP")</f>
        <v>YQ6V3Q9MP</v>
      </c>
      <c r="B1780" t="s">
        <v>191</v>
      </c>
      <c r="C1780">
        <v>80.099999999999994</v>
      </c>
      <c r="D1780">
        <v>87.06</v>
      </c>
      <c r="E1780">
        <v>87.07</v>
      </c>
      <c r="F1780">
        <v>-0.01</v>
      </c>
    </row>
    <row r="1781" spans="1:6" x14ac:dyDescent="0.3">
      <c r="A1781" t="str">
        <f>HYPERLINK("https://us2.cloudbeds.com/connect/10074733072513#/reservations/30656012222690?display=YQAB5HBY7&amp;reservation_id=30656012222690", "YQAB5HBY7")</f>
        <v>YQAB5HBY7</v>
      </c>
      <c r="B1781" t="s">
        <v>193</v>
      </c>
      <c r="C1781">
        <v>205.24</v>
      </c>
      <c r="D1781">
        <v>223.09</v>
      </c>
      <c r="E1781">
        <v>223.1</v>
      </c>
      <c r="F1781">
        <v>-0.01</v>
      </c>
    </row>
    <row r="1782" spans="1:6" x14ac:dyDescent="0.3">
      <c r="A1782" t="str">
        <f>HYPERLINK("https://us2.cloudbeds.com/connect/10074733072513#/reservations/30652572373208?display=YQ7M8VFH4&amp;reservation_id=30652572373208", "YQ7M8VFH4")</f>
        <v>YQ7M8VFH4</v>
      </c>
      <c r="B1782" t="s">
        <v>188</v>
      </c>
      <c r="C1782">
        <v>64.150000000000006</v>
      </c>
      <c r="D1782">
        <v>69.72</v>
      </c>
      <c r="E1782">
        <v>69.73</v>
      </c>
      <c r="F1782">
        <v>-0.01</v>
      </c>
    </row>
    <row r="1783" spans="1:6" x14ac:dyDescent="0.3">
      <c r="A1783" t="str">
        <f>HYPERLINK("https://us2.cloudbeds.com/connect/10074733072513#/reservations/30654550753424?display=YQ96R5QUP&amp;reservation_id=30654550753424", "YQ96R5QUP")</f>
        <v>YQ96R5QUP</v>
      </c>
      <c r="B1783" t="s">
        <v>163</v>
      </c>
      <c r="C1783">
        <v>87.2</v>
      </c>
      <c r="D1783">
        <v>94.78</v>
      </c>
      <c r="E1783">
        <v>94.79</v>
      </c>
      <c r="F1783">
        <v>-0.01</v>
      </c>
    </row>
    <row r="1784" spans="1:6" x14ac:dyDescent="0.3">
      <c r="A1784" t="str">
        <f>HYPERLINK("https://us2.cloudbeds.com/connect/10074733072513#/reservations/30655068410111?display=YQ9K1MCE1&amp;reservation_id=30655068410111", "YQ9K1MCE1")</f>
        <v>YQ9K1MCE1</v>
      </c>
      <c r="B1784" t="s">
        <v>194</v>
      </c>
      <c r="C1784">
        <v>333.6</v>
      </c>
      <c r="D1784">
        <v>362.61</v>
      </c>
      <c r="E1784">
        <v>362.62</v>
      </c>
      <c r="F1784">
        <v>-0.01</v>
      </c>
    </row>
    <row r="1785" spans="1:6" x14ac:dyDescent="0.3">
      <c r="A1785" t="str">
        <f>HYPERLINK("https://us2.cloudbeds.com/connect/10074733072513#/reservations/30652582011016?display=YQ7MH2YYU&amp;reservation_id=30652582011016", "YQ7MH2YYU")</f>
        <v>YQ7MH2YYU</v>
      </c>
      <c r="B1785" t="s">
        <v>188</v>
      </c>
      <c r="C1785">
        <v>64.150000000000006</v>
      </c>
      <c r="D1785">
        <v>69.72</v>
      </c>
      <c r="E1785">
        <v>69.73</v>
      </c>
      <c r="F1785">
        <v>-0.01</v>
      </c>
    </row>
    <row r="1786" spans="1:6" x14ac:dyDescent="0.3">
      <c r="A1786" t="str">
        <f>HYPERLINK("https://us2.cloudbeds.com/connect/10074733072513#/reservations/30652582015123?display=YQ7MH2PEC&amp;reservation_id=30652582015123", "YQ7MH2PEC")</f>
        <v>YQ7MH2PEC</v>
      </c>
      <c r="B1786" t="s">
        <v>188</v>
      </c>
      <c r="C1786">
        <v>72.17</v>
      </c>
      <c r="D1786">
        <v>78.44</v>
      </c>
      <c r="E1786">
        <v>78.45</v>
      </c>
      <c r="F1786">
        <v>-0.01</v>
      </c>
    </row>
    <row r="1787" spans="1:6" x14ac:dyDescent="0.3">
      <c r="A1787" t="str">
        <f>HYPERLINK("https://us2.cloudbeds.com/connect/10074733072513#/reservations/30654641168547?display=YQ994DZZW&amp;reservation_id=30654641168547", "YQ994DZZW")</f>
        <v>YQ994DZZW</v>
      </c>
      <c r="B1787" t="s">
        <v>195</v>
      </c>
      <c r="C1787">
        <v>134.78</v>
      </c>
      <c r="D1787">
        <v>146.5</v>
      </c>
      <c r="E1787">
        <v>146.51</v>
      </c>
      <c r="F1787">
        <v>-0.01</v>
      </c>
    </row>
    <row r="1788" spans="1:6" x14ac:dyDescent="0.3">
      <c r="A1788" t="str">
        <f>HYPERLINK("https://us2.cloudbeds.com/connect/10074733072513#/reservations/30651234066627?display=YQ6Y2F3S8&amp;reservation_id=30651234066627", "YQ6Y2F3S8")</f>
        <v>YQ6Y2F3S8</v>
      </c>
      <c r="B1788" t="s">
        <v>196</v>
      </c>
      <c r="C1788">
        <v>90.1</v>
      </c>
      <c r="D1788">
        <v>97.93</v>
      </c>
      <c r="E1788">
        <v>97.94</v>
      </c>
      <c r="F1788">
        <v>-0.01</v>
      </c>
    </row>
    <row r="1789" spans="1:6" x14ac:dyDescent="0.3">
      <c r="A1789" t="str">
        <f>HYPERLINK("https://us2.cloudbeds.com/connect/10074733072513#/reservations/30651210764458?display=YQ6KFQN2U&amp;reservation_id=30651210764458", "YQ6KFQN2U")</f>
        <v>YQ6KFQN2U</v>
      </c>
      <c r="B1789" t="s">
        <v>196</v>
      </c>
      <c r="C1789">
        <v>64.150000000000006</v>
      </c>
      <c r="D1789">
        <v>69.72</v>
      </c>
      <c r="E1789">
        <v>69.73</v>
      </c>
      <c r="F1789">
        <v>-0.01</v>
      </c>
    </row>
    <row r="1790" spans="1:6" x14ac:dyDescent="0.3">
      <c r="A1790" t="str">
        <f>HYPERLINK("https://us2.cloudbeds.com/connect/10074733072513#/reservations/30653260419218?display=YQ86S4C17&amp;reservation_id=30653260419218", "YQ86S4C17")</f>
        <v>YQ86S4C17</v>
      </c>
      <c r="B1790" t="s">
        <v>198</v>
      </c>
      <c r="C1790">
        <v>80.099999999999994</v>
      </c>
      <c r="D1790">
        <v>87.06</v>
      </c>
      <c r="E1790">
        <v>87.07</v>
      </c>
      <c r="F1790">
        <v>-0.01</v>
      </c>
    </row>
    <row r="1791" spans="1:6" x14ac:dyDescent="0.3">
      <c r="A1791" t="str">
        <f>HYPERLINK("https://us2.cloudbeds.com/connect/10074733072513#/reservations/30651848880375?display=YQ73PT73T&amp;reservation_id=30651848880375", "YQ73PT73T")</f>
        <v>YQ73PT73T</v>
      </c>
      <c r="B1791" t="s">
        <v>175</v>
      </c>
      <c r="C1791">
        <v>83.2</v>
      </c>
      <c r="D1791">
        <v>90.43</v>
      </c>
      <c r="E1791">
        <v>90.44</v>
      </c>
      <c r="F1791">
        <v>-0.01</v>
      </c>
    </row>
    <row r="1792" spans="1:6" x14ac:dyDescent="0.3">
      <c r="A1792" t="str">
        <f>HYPERLINK("https://us2.cloudbeds.com/connect/10074733072513#/reservations/30651319460064?display=YQ6N8FAD5&amp;reservation_id=30651319460064", "YQ6N8FAD5")</f>
        <v>YQ6N8FAD5</v>
      </c>
      <c r="B1792" t="s">
        <v>199</v>
      </c>
      <c r="C1792">
        <v>67.2</v>
      </c>
      <c r="D1792">
        <v>73.040000000000006</v>
      </c>
      <c r="E1792">
        <v>73.05</v>
      </c>
      <c r="F1792">
        <v>-0.01</v>
      </c>
    </row>
    <row r="1793" spans="1:6" x14ac:dyDescent="0.3">
      <c r="A1793" t="str">
        <f>HYPERLINK("https://us2.cloudbeds.com/connect/10074733072513#/reservations/30651760861346?display=YQ71HYVXJ&amp;reservation_id=30651760861346", "YQ71HYVXJ")</f>
        <v>YQ71HYVXJ</v>
      </c>
      <c r="B1793" t="s">
        <v>200</v>
      </c>
      <c r="C1793">
        <v>64.150000000000006</v>
      </c>
      <c r="D1793">
        <v>69.72</v>
      </c>
      <c r="E1793">
        <v>69.73</v>
      </c>
      <c r="F1793">
        <v>-0.01</v>
      </c>
    </row>
    <row r="1794" spans="1:6" x14ac:dyDescent="0.3">
      <c r="A1794" t="str">
        <f>HYPERLINK("https://us2.cloudbeds.com/connect/10074733072513#/reservations/30651768357019?display=YQ71NWHY6&amp;reservation_id=30651768357019", "YQ71NWHY6")</f>
        <v>YQ71NWHY6</v>
      </c>
      <c r="B1794" t="s">
        <v>200</v>
      </c>
      <c r="C1794">
        <v>64.150000000000006</v>
      </c>
      <c r="D1794">
        <v>69.72</v>
      </c>
      <c r="E1794">
        <v>69.73</v>
      </c>
      <c r="F1794">
        <v>-0.01</v>
      </c>
    </row>
    <row r="1795" spans="1:6" x14ac:dyDescent="0.3">
      <c r="A1795" t="str">
        <f>HYPERLINK("https://us2.cloudbeds.com/connect/10074733072513#/reservations/30650748022932?display=YQ68YK7ZE&amp;reservation_id=30650748022932", "YQ68YK7ZE")</f>
        <v>YQ68YK7ZE</v>
      </c>
      <c r="B1795" t="s">
        <v>201</v>
      </c>
      <c r="C1795">
        <v>375.3</v>
      </c>
      <c r="D1795">
        <v>407.94</v>
      </c>
      <c r="E1795">
        <v>407.95</v>
      </c>
      <c r="F1795">
        <v>-0.01</v>
      </c>
    </row>
    <row r="1796" spans="1:6" x14ac:dyDescent="0.3">
      <c r="A1796" t="str">
        <f>HYPERLINK("https://us2.cloudbeds.com/connect/10074733072513#/reservations/30650709917923?display=YQ67MFTU6&amp;reservation_id=30650709917923", "YQ67MFTU6")</f>
        <v>YQ67MFTU6</v>
      </c>
      <c r="B1796" t="s">
        <v>201</v>
      </c>
      <c r="C1796">
        <v>187.2</v>
      </c>
      <c r="D1796">
        <v>203.48</v>
      </c>
      <c r="E1796">
        <v>203.49</v>
      </c>
      <c r="F1796">
        <v>-0.01</v>
      </c>
    </row>
    <row r="1797" spans="1:6" x14ac:dyDescent="0.3">
      <c r="A1797" t="str">
        <f>HYPERLINK("https://us2.cloudbeds.com/connect/10074733072513#/reservations/30653080096910?display=YQ8282KQS&amp;reservation_id=30653080096910", "YQ8282KQS")</f>
        <v>YQ8282KQS</v>
      </c>
      <c r="B1797" t="s">
        <v>201</v>
      </c>
      <c r="C1797">
        <v>170.2</v>
      </c>
      <c r="D1797">
        <v>185</v>
      </c>
      <c r="E1797">
        <v>185.01</v>
      </c>
      <c r="F1797">
        <v>-0.01</v>
      </c>
    </row>
    <row r="1798" spans="1:6" x14ac:dyDescent="0.3">
      <c r="A1798" t="str">
        <f>HYPERLINK("https://us2.cloudbeds.com/connect/10074733072513#/reservations/30650736959708?display=YQ68C9CM7&amp;reservation_id=30650736959708", "YQ68C9CM7")</f>
        <v>YQ68C9CM7</v>
      </c>
      <c r="B1798" t="s">
        <v>201</v>
      </c>
      <c r="C1798">
        <v>64.150000000000006</v>
      </c>
      <c r="D1798">
        <v>69.72</v>
      </c>
      <c r="E1798">
        <v>69.73</v>
      </c>
      <c r="F1798">
        <v>-0.01</v>
      </c>
    </row>
    <row r="1799" spans="1:6" x14ac:dyDescent="0.3">
      <c r="A1799" t="str">
        <f>HYPERLINK("https://us2.cloudbeds.com/connect/10074733072513#/reservations/30651345658079?display=YQ6NUXABD&amp;reservation_id=30651345658079", "YQ6NUXABD")</f>
        <v>YQ6NUXABD</v>
      </c>
      <c r="B1799" t="s">
        <v>202</v>
      </c>
      <c r="C1799">
        <v>134.4</v>
      </c>
      <c r="D1799">
        <v>146.08000000000001</v>
      </c>
      <c r="E1799">
        <v>146.09</v>
      </c>
      <c r="F1799">
        <v>-0.01</v>
      </c>
    </row>
    <row r="1800" spans="1:6" x14ac:dyDescent="0.3">
      <c r="A1800" t="str">
        <f>HYPERLINK("https://us2.cloudbeds.com/connect/10074733072513#/reservations/30652173459597?display=YQ7C2J3YT&amp;reservation_id=30652173459597", "YQ7C2J3YT")</f>
        <v>YQ7C2J3YT</v>
      </c>
      <c r="B1800" t="s">
        <v>203</v>
      </c>
      <c r="C1800">
        <v>250.2</v>
      </c>
      <c r="D1800">
        <v>271.95999999999998</v>
      </c>
      <c r="E1800">
        <v>271.97000000000003</v>
      </c>
      <c r="F1800">
        <v>-0.01</v>
      </c>
    </row>
    <row r="1801" spans="1:6" x14ac:dyDescent="0.3">
      <c r="A1801" t="str">
        <f>HYPERLINK("https://us2.cloudbeds.com/connect/10074733072513#/reservations/30651429335186?display=YQ6Q23ZRA&amp;reservation_id=30651429335186", "YQ6Q23ZRA")</f>
        <v>YQ6Q23ZRA</v>
      </c>
      <c r="B1801" t="s">
        <v>204</v>
      </c>
      <c r="C1801">
        <v>64.150000000000006</v>
      </c>
      <c r="D1801">
        <v>69.72</v>
      </c>
      <c r="E1801">
        <v>69.73</v>
      </c>
      <c r="F1801">
        <v>-0.01</v>
      </c>
    </row>
    <row r="1802" spans="1:6" x14ac:dyDescent="0.3">
      <c r="A1802" t="str">
        <f>HYPERLINK("https://us2.cloudbeds.com/connect/10074733072513#/reservations/30651425771713?display=YQ6PW3JJ9&amp;reservation_id=30651425771713", "YQ6PW3JJ9")</f>
        <v>YQ6PW3JJ9</v>
      </c>
      <c r="B1802" t="s">
        <v>204</v>
      </c>
      <c r="C1802">
        <v>64.150000000000006</v>
      </c>
      <c r="D1802">
        <v>69.72</v>
      </c>
      <c r="E1802">
        <v>69.73</v>
      </c>
      <c r="F1802">
        <v>-0.01</v>
      </c>
    </row>
    <row r="1803" spans="1:6" x14ac:dyDescent="0.3">
      <c r="A1803" t="str">
        <f>HYPERLINK("https://us2.cloudbeds.com/connect/10074733072513#/reservations/30651394773233?display=YQ6P5W0GD&amp;reservation_id=30651394773233", "YQ6P5W0GD")</f>
        <v>YQ6P5W0GD</v>
      </c>
      <c r="B1803" t="s">
        <v>147</v>
      </c>
      <c r="C1803">
        <v>64.150000000000006</v>
      </c>
      <c r="D1803">
        <v>69.72</v>
      </c>
      <c r="E1803">
        <v>69.73</v>
      </c>
      <c r="F1803">
        <v>-0.01</v>
      </c>
    </row>
    <row r="1804" spans="1:6" x14ac:dyDescent="0.3">
      <c r="A1804" t="str">
        <f>HYPERLINK("https://us2.cloudbeds.com/connect/10074733072513#/reservations/30653502701787?display=YQ8D1E7Z8&amp;reservation_id=30653502701787", "YQ8D1E7Z8")</f>
        <v>YQ8D1E7Z8</v>
      </c>
      <c r="B1804" t="s">
        <v>205</v>
      </c>
      <c r="C1804">
        <v>250.2</v>
      </c>
      <c r="D1804">
        <v>271.95999999999998</v>
      </c>
      <c r="E1804">
        <v>271.97000000000003</v>
      </c>
      <c r="F1804">
        <v>-0.01</v>
      </c>
    </row>
    <row r="1805" spans="1:6" x14ac:dyDescent="0.3">
      <c r="A1805" t="str">
        <f>HYPERLINK("https://us2.cloudbeds.com/connect/10074733072513#/reservations/30651435430048?display=YQ6Q78BJ3&amp;reservation_id=30651435430048", "YQ6Q78BJ3")</f>
        <v>YQ6Q78BJ3</v>
      </c>
      <c r="B1805" t="s">
        <v>204</v>
      </c>
      <c r="C1805">
        <v>72.17</v>
      </c>
      <c r="D1805">
        <v>78.44</v>
      </c>
      <c r="E1805">
        <v>78.45</v>
      </c>
      <c r="F1805">
        <v>-0.01</v>
      </c>
    </row>
    <row r="1806" spans="1:6" x14ac:dyDescent="0.3">
      <c r="A1806" t="str">
        <f>HYPERLINK("https://us2.cloudbeds.com/connect/10074733072513#/reservations/30652197163157?display=YQ7CMXN0J&amp;reservation_id=30652197163157", "YQ7CMXN0J")</f>
        <v>YQ7CMXN0J</v>
      </c>
      <c r="B1806" t="s">
        <v>203</v>
      </c>
      <c r="C1806">
        <v>180.14</v>
      </c>
      <c r="D1806">
        <v>195.8</v>
      </c>
      <c r="E1806">
        <v>195.81</v>
      </c>
      <c r="F1806">
        <v>-0.01</v>
      </c>
    </row>
    <row r="1807" spans="1:6" x14ac:dyDescent="0.3">
      <c r="A1807" t="str">
        <f>HYPERLINK("https://us2.cloudbeds.com/connect/10074733072513#/reservations/30651016831169?display=YQ6FH978J&amp;reservation_id=30651016831169", "YQ6FH978J")</f>
        <v>YQ6FH978J</v>
      </c>
      <c r="B1807" t="s">
        <v>206</v>
      </c>
      <c r="C1807">
        <v>64.150000000000006</v>
      </c>
      <c r="D1807">
        <v>69.72</v>
      </c>
      <c r="E1807">
        <v>69.73</v>
      </c>
      <c r="F1807">
        <v>-0.01</v>
      </c>
    </row>
    <row r="1808" spans="1:6" x14ac:dyDescent="0.3">
      <c r="A1808" t="str">
        <f>HYPERLINK("https://us2.cloudbeds.com/connect/10074733072513#/reservations/30655168458902?display=YQ9MK1CJJ&amp;reservation_id=30655168458902", "YQ9MK1CJJ")</f>
        <v>YQ9MK1CJJ</v>
      </c>
      <c r="B1808" t="s">
        <v>207</v>
      </c>
      <c r="C1808">
        <v>64.150000000000006</v>
      </c>
      <c r="D1808">
        <v>69.72</v>
      </c>
      <c r="E1808">
        <v>69.73</v>
      </c>
      <c r="F1808">
        <v>-0.01</v>
      </c>
    </row>
    <row r="1809" spans="1:6" x14ac:dyDescent="0.3">
      <c r="A1809" t="str">
        <f>HYPERLINK("https://us2.cloudbeds.com/connect/10074733072513#/reservations/30655163900100?display=YQ9MG6HC2&amp;reservation_id=30655163900100", "YQ9MG6HC2")</f>
        <v>YQ9MG6HC2</v>
      </c>
      <c r="B1809" t="s">
        <v>207</v>
      </c>
      <c r="C1809">
        <v>64.150000000000006</v>
      </c>
      <c r="D1809">
        <v>69.72</v>
      </c>
      <c r="E1809">
        <v>69.73</v>
      </c>
      <c r="F1809">
        <v>-0.01</v>
      </c>
    </row>
    <row r="1810" spans="1:6" x14ac:dyDescent="0.3">
      <c r="A1810" t="str">
        <f>HYPERLINK("https://us2.cloudbeds.com/connect/10074733072513#/reservations/30653393358995?display=YQ8A87K4A&amp;reservation_id=30653393358995", "YQ8A87K4A")</f>
        <v>YQ8A87K4A</v>
      </c>
      <c r="B1810" t="s">
        <v>208</v>
      </c>
      <c r="C1810">
        <v>196.2</v>
      </c>
      <c r="D1810">
        <v>213.26</v>
      </c>
      <c r="E1810">
        <v>213.27</v>
      </c>
      <c r="F1810">
        <v>-0.01</v>
      </c>
    </row>
    <row r="1811" spans="1:6" x14ac:dyDescent="0.3">
      <c r="A1811" t="str">
        <f>HYPERLINK("https://us2.cloudbeds.com/connect/10074733072513#/reservations/30653367984371?display=YQ89JRH9A&amp;reservation_id=30653367984371", "YQ89JRH9A")</f>
        <v>YQ89JRH9A</v>
      </c>
      <c r="B1811" t="s">
        <v>208</v>
      </c>
      <c r="C1811">
        <v>196.2</v>
      </c>
      <c r="D1811">
        <v>213.26</v>
      </c>
      <c r="E1811">
        <v>213.27</v>
      </c>
      <c r="F1811">
        <v>-0.01</v>
      </c>
    </row>
    <row r="1812" spans="1:6" x14ac:dyDescent="0.3">
      <c r="A1812" t="str">
        <f>HYPERLINK("https://us2.cloudbeds.com/connect/10074733072513#/reservations/30653385007238?display=YQ8A166UP&amp;reservation_id=30653385007238", "YQ8A166UP")</f>
        <v>YQ8A166UP</v>
      </c>
      <c r="B1812" t="s">
        <v>208</v>
      </c>
      <c r="C1812">
        <v>216.2</v>
      </c>
      <c r="D1812">
        <v>235</v>
      </c>
      <c r="E1812">
        <v>235.01</v>
      </c>
      <c r="F1812">
        <v>-0.01</v>
      </c>
    </row>
    <row r="1813" spans="1:6" x14ac:dyDescent="0.3">
      <c r="A1813" t="str">
        <f>HYPERLINK("https://us2.cloudbeds.com/connect/10074733072513#/reservations/30653385011358?display=YQ8A16ANJ&amp;reservation_id=30653385011358", "YQ8A16ANJ")</f>
        <v>YQ8A16ANJ</v>
      </c>
      <c r="B1813" t="s">
        <v>208</v>
      </c>
      <c r="C1813">
        <v>196.2</v>
      </c>
      <c r="D1813">
        <v>213.26</v>
      </c>
      <c r="E1813">
        <v>213.27</v>
      </c>
      <c r="F1813">
        <v>-0.01</v>
      </c>
    </row>
    <row r="1814" spans="1:6" x14ac:dyDescent="0.3">
      <c r="A1814" t="str">
        <f>HYPERLINK("https://us2.cloudbeds.com/connect/10074733072513#/reservations/30651941703933?display=YQ76555HW&amp;reservation_id=30651941703933", "YQ76555HW")</f>
        <v>YQ76555HW</v>
      </c>
      <c r="B1814" t="s">
        <v>171</v>
      </c>
      <c r="C1814">
        <v>67.2</v>
      </c>
      <c r="D1814">
        <v>73.040000000000006</v>
      </c>
      <c r="E1814">
        <v>73.05</v>
      </c>
      <c r="F1814">
        <v>-0.01</v>
      </c>
    </row>
    <row r="1815" spans="1:6" x14ac:dyDescent="0.3">
      <c r="A1815" t="str">
        <f>HYPERLINK("https://us2.cloudbeds.com/connect/10074733072513#/reservations/30653417812124?display=YQ8ASS1Q7&amp;reservation_id=30653417812124", "YQ8ASS1Q7")</f>
        <v>YQ8ASS1Q7</v>
      </c>
      <c r="B1815" t="s">
        <v>209</v>
      </c>
      <c r="C1815">
        <v>268.2</v>
      </c>
      <c r="D1815">
        <v>291.52</v>
      </c>
      <c r="E1815">
        <v>291.52999999999997</v>
      </c>
      <c r="F1815">
        <v>-0.01</v>
      </c>
    </row>
    <row r="1816" spans="1:6" x14ac:dyDescent="0.3">
      <c r="A1816" t="str">
        <f>HYPERLINK("https://us2.cloudbeds.com/connect/10074733072513#/reservations/30652149538999?display=YQ7BFDG09&amp;reservation_id=30652149538999", "YQ7BFDG09")</f>
        <v>YQ7BFDG09</v>
      </c>
      <c r="B1816" t="s">
        <v>203</v>
      </c>
      <c r="C1816">
        <v>250.2</v>
      </c>
      <c r="D1816">
        <v>271.95999999999998</v>
      </c>
      <c r="E1816">
        <v>271.97000000000003</v>
      </c>
      <c r="F1816">
        <v>-0.01</v>
      </c>
    </row>
    <row r="1817" spans="1:6" x14ac:dyDescent="0.3">
      <c r="A1817" t="str">
        <f>HYPERLINK("https://us2.cloudbeds.com/connect/10074733072513#/reservations/30655458488480?display=YQ9U0JT3M&amp;reservation_id=30655458488480", "YQ9U0JT3M")</f>
        <v>YQ9U0JT3M</v>
      </c>
      <c r="B1817" t="s">
        <v>210</v>
      </c>
      <c r="C1817">
        <v>134.4</v>
      </c>
      <c r="D1817">
        <v>146.08000000000001</v>
      </c>
      <c r="E1817">
        <v>146.09</v>
      </c>
      <c r="F1817">
        <v>-0.01</v>
      </c>
    </row>
    <row r="1818" spans="1:6" x14ac:dyDescent="0.3">
      <c r="A1818" t="str">
        <f>HYPERLINK("https://us2.cloudbeds.com/connect/10074733072513#/reservations/30655444410578?display=YQ9TYZ4ZJ&amp;reservation_id=30655444410578", "YQ9TYZ4ZJ")</f>
        <v>YQ9TYZ4ZJ</v>
      </c>
      <c r="B1818" t="s">
        <v>210</v>
      </c>
      <c r="C1818">
        <v>134.4</v>
      </c>
      <c r="D1818">
        <v>146.08000000000001</v>
      </c>
      <c r="E1818">
        <v>146.09</v>
      </c>
      <c r="F1818">
        <v>-0.01</v>
      </c>
    </row>
    <row r="1819" spans="1:6" x14ac:dyDescent="0.3">
      <c r="A1819" t="str">
        <f>HYPERLINK("https://us2.cloudbeds.com/connect/10074733072513#/reservations/30655453593810?display=YQ9TTFMFB&amp;reservation_id=30655453593810", "YQ9TTFMFB")</f>
        <v>YQ9TTFMFB</v>
      </c>
      <c r="B1819" t="s">
        <v>210</v>
      </c>
      <c r="C1819">
        <v>134.4</v>
      </c>
      <c r="D1819">
        <v>146.08000000000001</v>
      </c>
      <c r="E1819">
        <v>146.09</v>
      </c>
      <c r="F1819">
        <v>-0.01</v>
      </c>
    </row>
    <row r="1820" spans="1:6" x14ac:dyDescent="0.3">
      <c r="A1820" t="str">
        <f>HYPERLINK("https://us2.cloudbeds.com/connect/10074733072513#/reservations/30655469441255?display=YQ9U9RYZV&amp;reservation_id=30655469441255", "YQ9U9RYZV")</f>
        <v>YQ9U9RYZV</v>
      </c>
      <c r="B1820" t="s">
        <v>210</v>
      </c>
      <c r="C1820">
        <v>134.4</v>
      </c>
      <c r="D1820">
        <v>146.08000000000001</v>
      </c>
      <c r="E1820">
        <v>146.09</v>
      </c>
      <c r="F1820">
        <v>-0.01</v>
      </c>
    </row>
    <row r="1821" spans="1:6" x14ac:dyDescent="0.3">
      <c r="A1821" t="str">
        <f>HYPERLINK("https://us2.cloudbeds.com/connect/10074733072513#/reservations/30653215236322?display=YQ85N12PX&amp;reservation_id=30653215236322", "YQ85N12PX")</f>
        <v>YQ85N12PX</v>
      </c>
      <c r="B1821" t="s">
        <v>211</v>
      </c>
      <c r="C1821">
        <v>194.4</v>
      </c>
      <c r="D1821">
        <v>211.3</v>
      </c>
      <c r="E1821">
        <v>211.31</v>
      </c>
      <c r="F1821">
        <v>-0.01</v>
      </c>
    </row>
    <row r="1822" spans="1:6" x14ac:dyDescent="0.3">
      <c r="A1822" t="str">
        <f>HYPERLINK("https://us2.cloudbeds.com/connect/10074733072513#/reservations/30651148546252?display=YQ6XTBCZZ&amp;reservation_id=30651148546252", "YQ6XTBCZZ")</f>
        <v>YQ6XTBCZZ</v>
      </c>
      <c r="B1822" t="s">
        <v>210</v>
      </c>
      <c r="C1822">
        <v>134.4</v>
      </c>
      <c r="D1822">
        <v>146.08000000000001</v>
      </c>
      <c r="E1822">
        <v>146.09</v>
      </c>
      <c r="F1822">
        <v>-0.01</v>
      </c>
    </row>
    <row r="1823" spans="1:6" x14ac:dyDescent="0.3">
      <c r="A1823" t="str">
        <f>HYPERLINK("https://us2.cloudbeds.com/connect/10074733072513#/reservations/30651981414593?display=YQ775Y5QA&amp;reservation_id=30651981414593", "YQ775Y5QA")</f>
        <v>YQ775Y5QA</v>
      </c>
      <c r="B1823" t="s">
        <v>212</v>
      </c>
      <c r="C1823">
        <v>134.4</v>
      </c>
      <c r="D1823">
        <v>146.08000000000001</v>
      </c>
      <c r="E1823">
        <v>146.09</v>
      </c>
      <c r="F1823">
        <v>-0.01</v>
      </c>
    </row>
    <row r="1824" spans="1:6" x14ac:dyDescent="0.3">
      <c r="A1824" t="str">
        <f>HYPERLINK("https://us2.cloudbeds.com/connect/10074733072513#/reservations/30654870520060?display=YQ9EWQQ6R&amp;reservation_id=30654870520060", "YQ9EWQQ6R")</f>
        <v>YQ9EWQQ6R</v>
      </c>
      <c r="B1824" t="s">
        <v>213</v>
      </c>
      <c r="C1824">
        <v>250.2</v>
      </c>
      <c r="D1824">
        <v>271.95999999999998</v>
      </c>
      <c r="E1824">
        <v>271.97000000000003</v>
      </c>
      <c r="F1824">
        <v>-0.01</v>
      </c>
    </row>
    <row r="1825" spans="1:6" x14ac:dyDescent="0.3">
      <c r="A1825" t="str">
        <f>HYPERLINK("https://us2.cloudbeds.com/connect/10074733072513#/reservations/30651170382041?display=YQ6JEZWWA&amp;reservation_id=30651170382041", "YQ6JEZWWA")</f>
        <v>YQ6JEZWWA</v>
      </c>
      <c r="B1825" t="s">
        <v>210</v>
      </c>
      <c r="C1825">
        <v>64.150000000000006</v>
      </c>
      <c r="D1825">
        <v>69.72</v>
      </c>
      <c r="E1825">
        <v>69.73</v>
      </c>
      <c r="F1825">
        <v>-0.01</v>
      </c>
    </row>
    <row r="1826" spans="1:6" x14ac:dyDescent="0.3">
      <c r="A1826" t="str">
        <f>HYPERLINK("https://us2.cloudbeds.com/connect/10074733072513#/reservations/30659802964180?display=YQD90WAYF&amp;reservation_id=30659802964180", "YQD90WAYF")</f>
        <v>YQD90WAYF</v>
      </c>
      <c r="B1826" t="s">
        <v>214</v>
      </c>
      <c r="C1826">
        <v>250.2</v>
      </c>
      <c r="D1826">
        <v>271.95999999999998</v>
      </c>
      <c r="E1826">
        <v>271.97000000000003</v>
      </c>
      <c r="F1826">
        <v>-0.01</v>
      </c>
    </row>
    <row r="1827" spans="1:6" x14ac:dyDescent="0.3">
      <c r="A1827" t="str">
        <f>HYPERLINK("https://us2.cloudbeds.com/connect/10074733072513#/reservations/30651357610123?display=YQ6Z7KTJX&amp;reservation_id=30651357610123", "YQ6Z7KTJX")</f>
        <v>YQ6Z7KTJX</v>
      </c>
      <c r="B1827" t="s">
        <v>202</v>
      </c>
      <c r="C1827">
        <v>64.150000000000006</v>
      </c>
      <c r="D1827">
        <v>69.72</v>
      </c>
      <c r="E1827">
        <v>69.73</v>
      </c>
      <c r="F1827">
        <v>-0.01</v>
      </c>
    </row>
    <row r="1828" spans="1:6" x14ac:dyDescent="0.3">
      <c r="A1828" t="str">
        <f>HYPERLINK("https://us2.cloudbeds.com/connect/10074733072513#/reservations/30652729069777?display=YQ7Q92PS0&amp;reservation_id=30652729069777", "YQ7Q92PS0")</f>
        <v>YQ7Q92PS0</v>
      </c>
      <c r="B1828" t="s">
        <v>174</v>
      </c>
      <c r="C1828">
        <v>164.31</v>
      </c>
      <c r="D1828">
        <v>178.59</v>
      </c>
      <c r="E1828">
        <v>178.6</v>
      </c>
      <c r="F1828">
        <v>-0.01</v>
      </c>
    </row>
    <row r="1829" spans="1:6" x14ac:dyDescent="0.3">
      <c r="A1829" t="str">
        <f>HYPERLINK("https://us2.cloudbeds.com/connect/10074733072513#/reservations/30651381870730?display=YQ6ZS2WFE&amp;reservation_id=30651381870730", "YQ6ZS2WFE")</f>
        <v>YQ6ZS2WFE</v>
      </c>
      <c r="B1829" t="s">
        <v>174</v>
      </c>
      <c r="C1829">
        <v>87.2</v>
      </c>
      <c r="D1829">
        <v>94.78</v>
      </c>
      <c r="E1829">
        <v>94.79</v>
      </c>
      <c r="F1829">
        <v>-0.01</v>
      </c>
    </row>
    <row r="1830" spans="1:6" x14ac:dyDescent="0.3">
      <c r="A1830" t="str">
        <f>HYPERLINK("https://us2.cloudbeds.com/connect/10074733072513#/reservations/30652886954218?display=YQ7UA74W0&amp;reservation_id=30652886954218", "YQ7UA74W0")</f>
        <v>YQ7UA74W0</v>
      </c>
      <c r="B1830" t="s">
        <v>215</v>
      </c>
      <c r="C1830">
        <v>64.150000000000006</v>
      </c>
      <c r="D1830">
        <v>69.72</v>
      </c>
      <c r="E1830">
        <v>69.73</v>
      </c>
      <c r="F1830">
        <v>-0.01</v>
      </c>
    </row>
    <row r="1831" spans="1:6" x14ac:dyDescent="0.3">
      <c r="A1831" t="str">
        <f>HYPERLINK("https://us2.cloudbeds.com/connect/10074733072513#/reservations/30654847635656?display=YQ9EDH021&amp;reservation_id=30654847635656", "YQ9EDH021")</f>
        <v>YQ9EDH021</v>
      </c>
      <c r="B1831" t="s">
        <v>213</v>
      </c>
      <c r="C1831">
        <v>308.2</v>
      </c>
      <c r="D1831">
        <v>335</v>
      </c>
      <c r="E1831">
        <v>335.01</v>
      </c>
      <c r="F1831">
        <v>-0.01</v>
      </c>
    </row>
    <row r="1832" spans="1:6" x14ac:dyDescent="0.3">
      <c r="A1832" t="str">
        <f>HYPERLINK("https://us2.cloudbeds.com/connect/10074733072513#/reservations/30652895469702?display=YQ7UHD3GW&amp;reservation_id=30652895469702", "YQ7UHD3GW")</f>
        <v>YQ7UHD3GW</v>
      </c>
      <c r="B1832" t="s">
        <v>215</v>
      </c>
      <c r="C1832">
        <v>64.150000000000006</v>
      </c>
      <c r="D1832">
        <v>69.72</v>
      </c>
      <c r="E1832">
        <v>69.73</v>
      </c>
      <c r="F1832">
        <v>-0.01</v>
      </c>
    </row>
    <row r="1833" spans="1:6" x14ac:dyDescent="0.3">
      <c r="A1833" t="str">
        <f>HYPERLINK("https://us2.cloudbeds.com/connect/10074733072513#/reservations/30652897870050?display=YQ7UJDTMQ&amp;reservation_id=30652897870050", "YQ7UJDTMQ")</f>
        <v>YQ7UJDTMQ</v>
      </c>
      <c r="B1833" t="s">
        <v>215</v>
      </c>
      <c r="C1833">
        <v>64.150000000000006</v>
      </c>
      <c r="D1833">
        <v>69.72</v>
      </c>
      <c r="E1833">
        <v>69.73</v>
      </c>
      <c r="F1833">
        <v>-0.01</v>
      </c>
    </row>
    <row r="1834" spans="1:6" x14ac:dyDescent="0.3">
      <c r="A1834" t="str">
        <f>HYPERLINK("https://us2.cloudbeds.com/connect/10074733072513#/reservations/30655571738754?display=YQ9WU37S5&amp;reservation_id=30655571738754", "YQ9WU37S5")</f>
        <v>YQ9WU37S5</v>
      </c>
      <c r="B1834" t="s">
        <v>216</v>
      </c>
      <c r="C1834">
        <v>196.2</v>
      </c>
      <c r="D1834">
        <v>213.26</v>
      </c>
      <c r="E1834">
        <v>213.27</v>
      </c>
      <c r="F1834">
        <v>-0.01</v>
      </c>
    </row>
    <row r="1835" spans="1:6" x14ac:dyDescent="0.3">
      <c r="A1835" t="str">
        <f>HYPERLINK("https://us2.cloudbeds.com/connect/10074733072513#/reservations/30653516226700?display=YQ8DCRJA3&amp;reservation_id=30653516226700", "YQ8DCRJA3")</f>
        <v>YQ8DCRJA3</v>
      </c>
      <c r="B1835" t="s">
        <v>205</v>
      </c>
      <c r="C1835">
        <v>268.2</v>
      </c>
      <c r="D1835">
        <v>291.52</v>
      </c>
      <c r="E1835">
        <v>291.52999999999997</v>
      </c>
      <c r="F1835">
        <v>-0.01</v>
      </c>
    </row>
    <row r="1836" spans="1:6" x14ac:dyDescent="0.3">
      <c r="A1836" t="str">
        <f>HYPERLINK("https://us2.cloudbeds.com/connect/10074733072513#/reservations/30655561334932?display=YQ9WYAZ9R&amp;reservation_id=30655561334932", "YQ9WYAZ9R")</f>
        <v>YQ9WYAZ9R</v>
      </c>
      <c r="B1836" t="s">
        <v>216</v>
      </c>
      <c r="C1836">
        <v>87.2</v>
      </c>
      <c r="D1836">
        <v>94.78</v>
      </c>
      <c r="E1836">
        <v>94.79</v>
      </c>
      <c r="F1836">
        <v>-0.01</v>
      </c>
    </row>
    <row r="1837" spans="1:6" x14ac:dyDescent="0.3">
      <c r="A1837" t="str">
        <f>HYPERLINK("https://us2.cloudbeds.com/connect/10074733072513#/reservations/30651957829848?display=YQ76XZTX2&amp;reservation_id=30651957829848", "YQ76XZTX2")</f>
        <v>YQ76XZTX2</v>
      </c>
      <c r="B1837" t="s">
        <v>171</v>
      </c>
      <c r="C1837">
        <v>64.150000000000006</v>
      </c>
      <c r="D1837">
        <v>69.72</v>
      </c>
      <c r="E1837">
        <v>69.73</v>
      </c>
      <c r="F1837">
        <v>-0.01</v>
      </c>
    </row>
    <row r="1838" spans="1:6" x14ac:dyDescent="0.3">
      <c r="A1838" t="str">
        <f>HYPERLINK("https://us2.cloudbeds.com/connect/10074733072513#/reservations/30655712534698?display=YQA3GR31U&amp;reservation_id=30655712534698", "YQA3GR31U")</f>
        <v>YQA3GR31U</v>
      </c>
      <c r="B1838" t="s">
        <v>193</v>
      </c>
      <c r="C1838">
        <v>250.2</v>
      </c>
      <c r="D1838">
        <v>271.95999999999998</v>
      </c>
      <c r="E1838">
        <v>271.97000000000003</v>
      </c>
      <c r="F1838">
        <v>-0.01</v>
      </c>
    </row>
    <row r="1839" spans="1:6" x14ac:dyDescent="0.3">
      <c r="A1839" t="str">
        <f>HYPERLINK("https://us2.cloudbeds.com/connect/10074733072513#/reservations/30654970609883?display=YQ9HX6V1P&amp;reservation_id=30654970609883", "YQ9HX6V1P")</f>
        <v>YQ9HX6V1P</v>
      </c>
      <c r="B1839" t="s">
        <v>217</v>
      </c>
      <c r="C1839">
        <v>64.150000000000006</v>
      </c>
      <c r="D1839">
        <v>69.72</v>
      </c>
      <c r="E1839">
        <v>69.73</v>
      </c>
      <c r="F1839">
        <v>-0.01</v>
      </c>
    </row>
    <row r="1840" spans="1:6" x14ac:dyDescent="0.3">
      <c r="A1840" t="str">
        <f>HYPERLINK("https://us2.cloudbeds.com/connect/10074733072513#/reservations/30655955300574?display=YQA9NHDXK&amp;reservation_id=30655955300574", "YQA9NHDXK")</f>
        <v>YQA9NHDXK</v>
      </c>
      <c r="B1840" t="s">
        <v>219</v>
      </c>
      <c r="C1840">
        <v>54.15</v>
      </c>
      <c r="D1840">
        <v>58.85</v>
      </c>
      <c r="E1840">
        <v>58.86</v>
      </c>
      <c r="F1840">
        <v>-0.01</v>
      </c>
    </row>
    <row r="1841" spans="1:6" x14ac:dyDescent="0.3">
      <c r="A1841" t="str">
        <f>HYPERLINK("https://us2.cloudbeds.com/connect/10074733072513#/reservations/30652052111565?display=YQ78W8DVQ&amp;reservation_id=30652052111565", "YQ78W8DVQ")</f>
        <v>YQ78W8DVQ</v>
      </c>
      <c r="B1841" t="s">
        <v>220</v>
      </c>
      <c r="C1841">
        <v>64.150000000000006</v>
      </c>
      <c r="D1841">
        <v>69.72</v>
      </c>
      <c r="E1841">
        <v>69.73</v>
      </c>
      <c r="F1841">
        <v>-0.01</v>
      </c>
    </row>
    <row r="1842" spans="1:6" x14ac:dyDescent="0.3">
      <c r="A1842" t="str">
        <f>HYPERLINK("https://us2.cloudbeds.com/connect/10074733072513#/reservations/30651929157830?display=YQ75RJ1Q1&amp;reservation_id=30651929157830", "YQ75RJ1Q1")</f>
        <v>YQ75RJ1Q1</v>
      </c>
      <c r="B1842" t="s">
        <v>223</v>
      </c>
      <c r="C1842">
        <v>134.1</v>
      </c>
      <c r="D1842">
        <v>145.76</v>
      </c>
      <c r="E1842">
        <v>145.77000000000001</v>
      </c>
      <c r="F1842">
        <v>-0.01</v>
      </c>
    </row>
    <row r="1843" spans="1:6" x14ac:dyDescent="0.3">
      <c r="A1843" t="str">
        <f>HYPERLINK("https://us2.cloudbeds.com/connect/10074733072513#/reservations/30653496230050?display=YQ8CSW4TW&amp;reservation_id=30653496230050", "YQ8CSW4TW")</f>
        <v>YQ8CSW4TW</v>
      </c>
      <c r="B1843" t="s">
        <v>221</v>
      </c>
      <c r="C1843">
        <v>64.150000000000006</v>
      </c>
      <c r="D1843">
        <v>69.72</v>
      </c>
      <c r="E1843">
        <v>69.73</v>
      </c>
      <c r="F1843">
        <v>-0.01</v>
      </c>
    </row>
    <row r="1844" spans="1:6" x14ac:dyDescent="0.3">
      <c r="A1844" t="str">
        <f>HYPERLINK("https://us2.cloudbeds.com/connect/10074733072513#/reservations/30655228625108?display=YQ9Z4PJKV&amp;reservation_id=30655228625108", "YQ9Z4PJKV")</f>
        <v>YQ9Z4PJKV</v>
      </c>
      <c r="B1844" t="s">
        <v>224</v>
      </c>
      <c r="C1844">
        <v>87.2</v>
      </c>
      <c r="D1844">
        <v>94.78</v>
      </c>
      <c r="E1844">
        <v>94.79</v>
      </c>
      <c r="F1844">
        <v>-0.01</v>
      </c>
    </row>
    <row r="1845" spans="1:6" x14ac:dyDescent="0.3">
      <c r="A1845" t="str">
        <f>HYPERLINK("https://us2.cloudbeds.com/connect/10074733072513#/reservations/30652005163177?display=YQ77PM0GC&amp;reservation_id=30652005163177", "YQ77PM0GC")</f>
        <v>YQ77PM0GC</v>
      </c>
      <c r="B1845" t="s">
        <v>225</v>
      </c>
      <c r="C1845">
        <v>174.4</v>
      </c>
      <c r="D1845">
        <v>189.56</v>
      </c>
      <c r="E1845">
        <v>189.57</v>
      </c>
      <c r="F1845">
        <v>-0.01</v>
      </c>
    </row>
    <row r="1846" spans="1:6" x14ac:dyDescent="0.3">
      <c r="A1846" t="str">
        <f>HYPERLINK("https://us2.cloudbeds.com/connect/10074733072513#/reservations/30652774187161?display=YQ7RE47VF&amp;reservation_id=30652774187161", "YQ7RE47VF")</f>
        <v>YQ7RE47VF</v>
      </c>
      <c r="B1846" t="s">
        <v>223</v>
      </c>
      <c r="C1846">
        <v>90.07</v>
      </c>
      <c r="D1846">
        <v>97.9</v>
      </c>
      <c r="E1846">
        <v>97.91</v>
      </c>
      <c r="F1846">
        <v>-0.01</v>
      </c>
    </row>
    <row r="1847" spans="1:6" x14ac:dyDescent="0.3">
      <c r="A1847" t="str">
        <f>HYPERLINK("https://us2.cloudbeds.com/connect/10074733072513#/reservations/30652752646369?display=YQ7QSVRK6&amp;reservation_id=30652752646369", "YQ7QSVRK6")</f>
        <v>YQ7QSVRK6</v>
      </c>
      <c r="B1847" t="s">
        <v>223</v>
      </c>
      <c r="C1847">
        <v>134.1</v>
      </c>
      <c r="D1847">
        <v>145.76</v>
      </c>
      <c r="E1847">
        <v>145.77000000000001</v>
      </c>
      <c r="F1847">
        <v>-0.01</v>
      </c>
    </row>
    <row r="1848" spans="1:6" x14ac:dyDescent="0.3">
      <c r="A1848" t="str">
        <f>HYPERLINK("https://us2.cloudbeds.com/connect/10074733072513#/reservations/30652752650462?display=YQ7QSVVC7&amp;reservation_id=30652752650462", "YQ7QSVVC7")</f>
        <v>YQ7QSVVC7</v>
      </c>
      <c r="B1848" t="s">
        <v>223</v>
      </c>
      <c r="C1848">
        <v>90.07</v>
      </c>
      <c r="D1848">
        <v>97.9</v>
      </c>
      <c r="E1848">
        <v>97.91</v>
      </c>
      <c r="F1848">
        <v>-0.01</v>
      </c>
    </row>
    <row r="1849" spans="1:6" x14ac:dyDescent="0.3">
      <c r="A1849" t="str">
        <f>HYPERLINK("https://us2.cloudbeds.com/connect/10074733072513#/reservations/30651571056845?display=YQ6TMKC31&amp;reservation_id=30651571056845", "YQ6TMKC31")</f>
        <v>YQ6TMKC31</v>
      </c>
      <c r="B1849" t="s">
        <v>223</v>
      </c>
      <c r="C1849">
        <v>90.07</v>
      </c>
      <c r="D1849">
        <v>97.9</v>
      </c>
      <c r="E1849">
        <v>97.91</v>
      </c>
      <c r="F1849">
        <v>-0.01</v>
      </c>
    </row>
    <row r="1850" spans="1:6" x14ac:dyDescent="0.3">
      <c r="A1850" t="str">
        <f>HYPERLINK("https://us2.cloudbeds.com/connect/10074733072513#/reservations/30651945967755?display=YQ768ZQTN&amp;reservation_id=30651945967755", "YQ768ZQTN")</f>
        <v>YQ768ZQTN</v>
      </c>
      <c r="B1850" t="s">
        <v>223</v>
      </c>
      <c r="C1850">
        <v>144.1</v>
      </c>
      <c r="D1850">
        <v>156.63</v>
      </c>
      <c r="E1850">
        <v>156.63999999999999</v>
      </c>
      <c r="F1850">
        <v>-0.01</v>
      </c>
    </row>
    <row r="1851" spans="1:6" x14ac:dyDescent="0.3">
      <c r="A1851" t="str">
        <f>HYPERLINK("https://us2.cloudbeds.com/connect/10074733072513#/reservations/30651964383404?display=YQ76Z98GM&amp;reservation_id=30651964383404", "YQ76Z98GM")</f>
        <v>YQ76Z98GM</v>
      </c>
      <c r="B1851" t="s">
        <v>223</v>
      </c>
      <c r="C1851">
        <v>103.2</v>
      </c>
      <c r="D1851">
        <v>112.17</v>
      </c>
      <c r="E1851">
        <v>112.18</v>
      </c>
      <c r="F1851">
        <v>-0.01</v>
      </c>
    </row>
    <row r="1852" spans="1:6" x14ac:dyDescent="0.3">
      <c r="A1852" t="str">
        <f>HYPERLINK("https://us2.cloudbeds.com/connect/10074733072513#/reservations/30653539025145?display=YQ8DW1WH2&amp;reservation_id=30653539025145", "YQ8DW1WH2")</f>
        <v>YQ8DW1WH2</v>
      </c>
      <c r="B1852" t="s">
        <v>205</v>
      </c>
      <c r="C1852">
        <v>90.07</v>
      </c>
      <c r="D1852">
        <v>97.9</v>
      </c>
      <c r="E1852">
        <v>97.91</v>
      </c>
      <c r="F1852">
        <v>-0.01</v>
      </c>
    </row>
    <row r="1853" spans="1:6" x14ac:dyDescent="0.3">
      <c r="A1853" t="str">
        <f>HYPERLINK("https://us2.cloudbeds.com/connect/10074733072513#/reservations/30652851658888?display=YQ7TDF06X&amp;reservation_id=30652851658888", "YQ7TDF06X")</f>
        <v>YQ7TDF06X</v>
      </c>
      <c r="B1853" t="s">
        <v>223</v>
      </c>
      <c r="C1853">
        <v>170.1</v>
      </c>
      <c r="D1853">
        <v>184.89</v>
      </c>
      <c r="E1853">
        <v>184.9</v>
      </c>
      <c r="F1853">
        <v>-0.01</v>
      </c>
    </row>
    <row r="1854" spans="1:6" x14ac:dyDescent="0.3">
      <c r="A1854" t="str">
        <f>HYPERLINK("https://us2.cloudbeds.com/connect/10074733072513#/reservations/30654893973747?display=YQ9FJJE3K&amp;reservation_id=30654893973747", "YQ9FJJE3K")</f>
        <v>YQ9FJJE3K</v>
      </c>
      <c r="B1854" t="s">
        <v>213</v>
      </c>
      <c r="C1854">
        <v>264</v>
      </c>
      <c r="D1854">
        <v>286.95999999999998</v>
      </c>
      <c r="E1854">
        <v>286.97000000000003</v>
      </c>
      <c r="F1854">
        <v>-0.01</v>
      </c>
    </row>
    <row r="1855" spans="1:6" x14ac:dyDescent="0.3">
      <c r="A1855" t="str">
        <f>HYPERLINK("https://us2.cloudbeds.com/connect/10074733072513#/reservations/30652266193137?display=YQ7EEPXE5&amp;reservation_id=30652266193137", "YQ7EEPXE5")</f>
        <v>YQ7EEPXE5</v>
      </c>
      <c r="B1855" t="s">
        <v>226</v>
      </c>
      <c r="C1855">
        <v>134.1</v>
      </c>
      <c r="D1855">
        <v>145.76</v>
      </c>
      <c r="E1855">
        <v>145.77000000000001</v>
      </c>
      <c r="F1855">
        <v>-0.01</v>
      </c>
    </row>
    <row r="1856" spans="1:6" x14ac:dyDescent="0.3">
      <c r="A1856" t="str">
        <f>HYPERLINK("https://us2.cloudbeds.com/connect/10074733072513#/reservations/30652009177222?display=YQ77T1NG3&amp;reservation_id=30652009177222", "YQ77T1NG3")</f>
        <v>YQ77T1NG3</v>
      </c>
      <c r="B1856" t="s">
        <v>225</v>
      </c>
      <c r="C1856">
        <v>64.150000000000006</v>
      </c>
      <c r="D1856">
        <v>69.72</v>
      </c>
      <c r="E1856">
        <v>69.73</v>
      </c>
      <c r="F1856">
        <v>-0.01</v>
      </c>
    </row>
    <row r="1857" spans="1:6" x14ac:dyDescent="0.3">
      <c r="A1857" t="str">
        <f>HYPERLINK("https://us2.cloudbeds.com/connect/10074733072513#/reservations/30652929593527?display=YQ7VD5YH9&amp;reservation_id=30652929593527", "YQ7VD5YH9")</f>
        <v>YQ7VD5YH9</v>
      </c>
      <c r="B1857" t="s">
        <v>227</v>
      </c>
      <c r="C1857">
        <v>72.17</v>
      </c>
      <c r="D1857">
        <v>78.44</v>
      </c>
      <c r="E1857">
        <v>78.45</v>
      </c>
      <c r="F1857">
        <v>-0.01</v>
      </c>
    </row>
    <row r="1858" spans="1:6" x14ac:dyDescent="0.3">
      <c r="A1858" t="str">
        <f>HYPERLINK("https://us2.cloudbeds.com/connect/10074733072513#/reservations/30655900844260?display=YQA8AK2P9&amp;reservation_id=30655900844260", "YQA8AK2P9")</f>
        <v>YQA8AK2P9</v>
      </c>
      <c r="B1858" t="s">
        <v>228</v>
      </c>
      <c r="C1858">
        <v>64.150000000000006</v>
      </c>
      <c r="D1858">
        <v>69.72</v>
      </c>
      <c r="E1858">
        <v>69.73</v>
      </c>
      <c r="F1858">
        <v>-0.01</v>
      </c>
    </row>
    <row r="1859" spans="1:6" x14ac:dyDescent="0.3">
      <c r="A1859" t="str">
        <f>HYPERLINK("https://us2.cloudbeds.com/connect/10074733072513#/reservations/30653642825927?display=YQ8GKJD1A&amp;reservation_id=30653642825927", "YQ8GKJD1A")</f>
        <v>YQ8GKJD1A</v>
      </c>
      <c r="B1859" t="s">
        <v>229</v>
      </c>
      <c r="C1859">
        <v>345.18</v>
      </c>
      <c r="D1859">
        <v>375.2</v>
      </c>
      <c r="E1859">
        <v>375.21</v>
      </c>
      <c r="F1859">
        <v>-0.01</v>
      </c>
    </row>
    <row r="1860" spans="1:6" x14ac:dyDescent="0.3">
      <c r="A1860" t="str">
        <f>HYPERLINK("https://us2.cloudbeds.com/connect/10074733072513#/reservations/30652962128069?display=YQ7W7JW4G&amp;reservation_id=30652962128069", "YQ7W7JW4G")</f>
        <v>YQ7W7JW4G</v>
      </c>
      <c r="B1860" t="s">
        <v>230</v>
      </c>
      <c r="C1860">
        <v>103.2</v>
      </c>
      <c r="D1860">
        <v>112.17</v>
      </c>
      <c r="E1860">
        <v>112.18</v>
      </c>
      <c r="F1860">
        <v>-0.01</v>
      </c>
    </row>
    <row r="1861" spans="1:6" x14ac:dyDescent="0.3">
      <c r="A1861" t="str">
        <f>HYPERLINK("https://us2.cloudbeds.com/connect/10074733072513#/reservations/30652981862569?display=YQ7WZ83QK&amp;reservation_id=30652981862569", "YQ7WZ83QK")</f>
        <v>YQ7WZ83QK</v>
      </c>
      <c r="B1861" t="s">
        <v>230</v>
      </c>
      <c r="C1861">
        <v>134.1</v>
      </c>
      <c r="D1861">
        <v>145.76</v>
      </c>
      <c r="E1861">
        <v>145.77000000000001</v>
      </c>
      <c r="F1861">
        <v>-0.01</v>
      </c>
    </row>
    <row r="1862" spans="1:6" x14ac:dyDescent="0.3">
      <c r="A1862" t="str">
        <f>HYPERLINK("https://us2.cloudbeds.com/connect/10074733072513#/reservations/30652424929422?display=YQ7XGKKPK&amp;reservation_id=30652424929422", "YQ7XGKKPK")</f>
        <v>YQ7XGKKPK</v>
      </c>
      <c r="B1862" t="s">
        <v>231</v>
      </c>
      <c r="C1862">
        <v>103.2</v>
      </c>
      <c r="D1862">
        <v>112.17</v>
      </c>
      <c r="E1862">
        <v>112.18</v>
      </c>
      <c r="F1862">
        <v>-0.01</v>
      </c>
    </row>
    <row r="1863" spans="1:6" x14ac:dyDescent="0.3">
      <c r="A1863" t="str">
        <f>HYPERLINK("https://us2.cloudbeds.com/connect/10074733072513#/reservations/30652250812634?display=YQ7E1QXUA&amp;reservation_id=30652250812634", "YQ7E1QXUA")</f>
        <v>YQ7E1QXUA</v>
      </c>
      <c r="B1863" t="s">
        <v>233</v>
      </c>
      <c r="C1863">
        <v>64.150000000000006</v>
      </c>
      <c r="D1863">
        <v>69.72</v>
      </c>
      <c r="E1863">
        <v>69.73</v>
      </c>
      <c r="F1863">
        <v>-0.01</v>
      </c>
    </row>
    <row r="1864" spans="1:6" x14ac:dyDescent="0.3">
      <c r="A1864" t="str">
        <f>HYPERLINK("https://us2.cloudbeds.com/connect/10074733072513#/reservations/30652349538509?display=YQ7GJ1P9G&amp;reservation_id=30652349538509", "YQ7GJ1P9G")</f>
        <v>YQ7GJ1P9G</v>
      </c>
      <c r="B1864" t="s">
        <v>234</v>
      </c>
      <c r="C1864">
        <v>64.150000000000006</v>
      </c>
      <c r="D1864">
        <v>69.72</v>
      </c>
      <c r="E1864">
        <v>69.73</v>
      </c>
      <c r="F1864">
        <v>-0.01</v>
      </c>
    </row>
    <row r="1865" spans="1:6" x14ac:dyDescent="0.3">
      <c r="A1865" t="str">
        <f>HYPERLINK("https://us2.cloudbeds.com/connect/10074733072513#/reservations/30653120921758?display=YQ839GY6F&amp;reservation_id=30653120921758", "YQ839GY6F")</f>
        <v>YQ839GY6F</v>
      </c>
      <c r="B1865" t="s">
        <v>236</v>
      </c>
      <c r="C1865">
        <v>64.150000000000006</v>
      </c>
      <c r="D1865">
        <v>69.72</v>
      </c>
      <c r="E1865">
        <v>69.73</v>
      </c>
      <c r="F1865">
        <v>-0.01</v>
      </c>
    </row>
    <row r="1866" spans="1:6" x14ac:dyDescent="0.3">
      <c r="A1866" t="str">
        <f>HYPERLINK("https://us2.cloudbeds.com/connect/10074733072513#/reservations/30655241179351?display=YQ9ZFBUSX&amp;reservation_id=30655241179351", "YQ9ZFBUSX")</f>
        <v>YQ9ZFBUSX</v>
      </c>
      <c r="B1866" t="s">
        <v>224</v>
      </c>
      <c r="C1866">
        <v>64.150000000000006</v>
      </c>
      <c r="D1866">
        <v>69.72</v>
      </c>
      <c r="E1866">
        <v>69.73</v>
      </c>
      <c r="F1866">
        <v>-0.01</v>
      </c>
    </row>
    <row r="1867" spans="1:6" x14ac:dyDescent="0.3">
      <c r="A1867" t="str">
        <f>HYPERLINK("https://us2.cloudbeds.com/connect/10074733072513#/reservations/30653475573969?display=YQ8CBXBW5&amp;reservation_id=30653475573969", "YQ8CBXBW5")</f>
        <v>YQ8CBXBW5</v>
      </c>
      <c r="B1867" t="s">
        <v>205</v>
      </c>
      <c r="C1867">
        <v>127.2</v>
      </c>
      <c r="D1867">
        <v>138.26</v>
      </c>
      <c r="E1867">
        <v>138.27000000000001</v>
      </c>
      <c r="F1867">
        <v>-0.01</v>
      </c>
    </row>
    <row r="1868" spans="1:6" x14ac:dyDescent="0.3">
      <c r="A1868" t="str">
        <f>HYPERLINK("https://us2.cloudbeds.com/connect/10074733072513#/reservations/30653882093706?display=YQ8MZBCB2&amp;reservation_id=30653882093706", "YQ8MZBCB2")</f>
        <v>YQ8MZBCB2</v>
      </c>
      <c r="B1868" t="s">
        <v>237</v>
      </c>
      <c r="C1868">
        <v>134.1</v>
      </c>
      <c r="D1868">
        <v>145.76</v>
      </c>
      <c r="E1868">
        <v>145.77000000000001</v>
      </c>
      <c r="F1868">
        <v>-0.01</v>
      </c>
    </row>
    <row r="1869" spans="1:6" x14ac:dyDescent="0.3">
      <c r="A1869" t="str">
        <f>HYPERLINK("https://us2.cloudbeds.com/connect/10074733072513#/reservations/30655963386067?display=YQA9UBD8X&amp;reservation_id=30655963386067", "YQA9UBD8X")</f>
        <v>YQA9UBD8X</v>
      </c>
      <c r="B1869" t="s">
        <v>238</v>
      </c>
      <c r="C1869">
        <v>64.150000000000006</v>
      </c>
      <c r="D1869">
        <v>69.72</v>
      </c>
      <c r="E1869">
        <v>69.73</v>
      </c>
      <c r="F1869">
        <v>-0.01</v>
      </c>
    </row>
    <row r="1870" spans="1:6" x14ac:dyDescent="0.3">
      <c r="A1870" t="str">
        <f>HYPERLINK("https://us2.cloudbeds.com/connect/10074733072513#/reservations/30664565977274?display=YQGVZ961J&amp;reservation_id=30664565977274", "YQGVZ961J")</f>
        <v>YQGVZ961J</v>
      </c>
      <c r="B1870" t="s">
        <v>240</v>
      </c>
      <c r="C1870">
        <v>356.4</v>
      </c>
      <c r="D1870">
        <v>387.4</v>
      </c>
      <c r="E1870">
        <v>387.41</v>
      </c>
      <c r="F1870">
        <v>-0.01</v>
      </c>
    </row>
    <row r="1871" spans="1:6" x14ac:dyDescent="0.3">
      <c r="A1871" t="str">
        <f>HYPERLINK("https://us2.cloudbeds.com/connect/10074733072513#/reservations/30656239677580?display=YQAGWAKFY&amp;reservation_id=30656239677580", "YQAGWAKFY")</f>
        <v>YQAGWAKFY</v>
      </c>
      <c r="B1871" t="s">
        <v>241</v>
      </c>
      <c r="C1871">
        <v>103.2</v>
      </c>
      <c r="D1871">
        <v>112.17</v>
      </c>
      <c r="E1871">
        <v>112.18</v>
      </c>
      <c r="F1871">
        <v>-0.01</v>
      </c>
    </row>
    <row r="1872" spans="1:6" x14ac:dyDescent="0.3">
      <c r="A1872" t="str">
        <f>HYPERLINK("https://us2.cloudbeds.com/connect/10074733072513#/reservations/30656042672328?display=YQABV6YZH&amp;reservation_id=30656042672328", "YQABV6YZH")</f>
        <v>YQABV6YZH</v>
      </c>
      <c r="B1872" t="s">
        <v>193</v>
      </c>
      <c r="C1872">
        <v>134.1</v>
      </c>
      <c r="D1872">
        <v>145.76</v>
      </c>
      <c r="E1872">
        <v>145.77000000000001</v>
      </c>
      <c r="F1872">
        <v>-0.01</v>
      </c>
    </row>
    <row r="1873" spans="1:6" x14ac:dyDescent="0.3">
      <c r="A1873" t="str">
        <f>HYPERLINK("https://us2.cloudbeds.com/connect/10074733072513#/reservations/30656048119973?display=YQAC2Q85M&amp;reservation_id=30656048119973", "YQAC2Q85M")</f>
        <v>YQAC2Q85M</v>
      </c>
      <c r="B1873" t="s">
        <v>193</v>
      </c>
      <c r="C1873">
        <v>134.1</v>
      </c>
      <c r="D1873">
        <v>145.76</v>
      </c>
      <c r="E1873">
        <v>145.77000000000001</v>
      </c>
      <c r="F1873">
        <v>-0.01</v>
      </c>
    </row>
    <row r="1874" spans="1:6" x14ac:dyDescent="0.3">
      <c r="A1874" t="str">
        <f>HYPERLINK("https://us2.cloudbeds.com/connect/10074733072513#/reservations/30651784171668?display=YQ724AJQW&amp;reservation_id=30651784171668", "YQ724AJQW")</f>
        <v>YQ724AJQW</v>
      </c>
      <c r="B1874" t="s">
        <v>234</v>
      </c>
      <c r="C1874">
        <v>64.150000000000006</v>
      </c>
      <c r="D1874">
        <v>69.72</v>
      </c>
      <c r="E1874">
        <v>69.73</v>
      </c>
      <c r="F1874">
        <v>-0.01</v>
      </c>
    </row>
    <row r="1875" spans="1:6" x14ac:dyDescent="0.3">
      <c r="A1875" t="str">
        <f>HYPERLINK("https://us2.cloudbeds.com/connect/10074733072513#/reservations/30655707156691?display=YQA3C9EJ0&amp;reservation_id=30655707156691", "YQA3C9EJ0")</f>
        <v>YQA3C9EJ0</v>
      </c>
      <c r="B1875" t="s">
        <v>242</v>
      </c>
      <c r="C1875">
        <v>64.150000000000006</v>
      </c>
      <c r="D1875">
        <v>69.72</v>
      </c>
      <c r="E1875">
        <v>69.73</v>
      </c>
      <c r="F1875">
        <v>-0.01</v>
      </c>
    </row>
    <row r="1876" spans="1:6" x14ac:dyDescent="0.3">
      <c r="A1876" t="str">
        <f>HYPERLINK("https://us2.cloudbeds.com/connect/10074733072513#/reservations/30652439957731?display=YQ7XT9QSU&amp;reservation_id=30652439957731", "YQ7XT9QSU")</f>
        <v>YQ7XT9QSU</v>
      </c>
      <c r="B1876" t="s">
        <v>231</v>
      </c>
      <c r="C1876">
        <v>90.07</v>
      </c>
      <c r="D1876">
        <v>97.9</v>
      </c>
      <c r="E1876">
        <v>97.91</v>
      </c>
      <c r="F1876">
        <v>-0.01</v>
      </c>
    </row>
    <row r="1877" spans="1:6" x14ac:dyDescent="0.3">
      <c r="A1877" t="str">
        <f>HYPERLINK("https://us2.cloudbeds.com/connect/10074733072513#/reservations/30651863715979?display=YQ745D18Y&amp;reservation_id=30651863715979", "YQ745D18Y")</f>
        <v>YQ745D18Y</v>
      </c>
      <c r="B1877" t="s">
        <v>243</v>
      </c>
      <c r="C1877">
        <v>403.3</v>
      </c>
      <c r="D1877">
        <v>438.38</v>
      </c>
      <c r="E1877">
        <v>438.39</v>
      </c>
      <c r="F1877">
        <v>-0.01</v>
      </c>
    </row>
    <row r="1878" spans="1:6" x14ac:dyDescent="0.3">
      <c r="A1878" t="str">
        <f>HYPERLINK("https://us2.cloudbeds.com/connect/10074733072513#/reservations/30653671776438?display=YQ8HBWWHH&amp;reservation_id=30653671776438", "YQ8HBWWHH")</f>
        <v>YQ8HBWWHH</v>
      </c>
      <c r="B1878" t="s">
        <v>229</v>
      </c>
      <c r="C1878">
        <v>64.150000000000006</v>
      </c>
      <c r="D1878">
        <v>69.72</v>
      </c>
      <c r="E1878">
        <v>69.73</v>
      </c>
      <c r="F1878">
        <v>-0.01</v>
      </c>
    </row>
    <row r="1879" spans="1:6" x14ac:dyDescent="0.3">
      <c r="A1879" t="str">
        <f>HYPERLINK("https://us2.cloudbeds.com/connect/10074733072513#/reservations/30655335481550?display=YQ9QST12V&amp;reservation_id=30655335481550", "YQ9QST12V")</f>
        <v>YQ9QST12V</v>
      </c>
      <c r="B1879" t="s">
        <v>244</v>
      </c>
      <c r="C1879">
        <v>250.2</v>
      </c>
      <c r="D1879">
        <v>271.95999999999998</v>
      </c>
      <c r="E1879">
        <v>271.97000000000003</v>
      </c>
      <c r="F1879">
        <v>-0.01</v>
      </c>
    </row>
    <row r="1880" spans="1:6" x14ac:dyDescent="0.3">
      <c r="A1880" t="str">
        <f>HYPERLINK("https://us2.cloudbeds.com/connect/10074733072513#/reservations/30653685907653?display=YQ8HNU6S5&amp;reservation_id=30653685907653", "YQ8HNU6S5")</f>
        <v>YQ8HNU6S5</v>
      </c>
      <c r="B1880" t="s">
        <v>229</v>
      </c>
      <c r="C1880">
        <v>64.150000000000006</v>
      </c>
      <c r="D1880">
        <v>69.72</v>
      </c>
      <c r="E1880">
        <v>69.73</v>
      </c>
      <c r="F1880">
        <v>-0.01</v>
      </c>
    </row>
    <row r="1881" spans="1:6" x14ac:dyDescent="0.3">
      <c r="A1881" t="str">
        <f>HYPERLINK("https://us2.cloudbeds.com/connect/10074733072513#/reservations/30653132062973?display=YQ83XTYT0&amp;reservation_id=30653132062973", "YQ83XTYT0")</f>
        <v>YQ83XTYT0</v>
      </c>
      <c r="B1881" t="s">
        <v>236</v>
      </c>
      <c r="C1881">
        <v>87.2</v>
      </c>
      <c r="D1881">
        <v>94.78</v>
      </c>
      <c r="E1881">
        <v>94.79</v>
      </c>
      <c r="F1881">
        <v>-0.01</v>
      </c>
    </row>
    <row r="1882" spans="1:6" x14ac:dyDescent="0.3">
      <c r="A1882" t="str">
        <f>HYPERLINK("https://us2.cloudbeds.com/connect/10074733072513#/reservations/30653136740480?display=YQ83MRNDG&amp;reservation_id=30653136740480", "YQ83MRNDG")</f>
        <v>YQ83MRNDG</v>
      </c>
      <c r="B1882" t="s">
        <v>236</v>
      </c>
      <c r="C1882">
        <v>87.2</v>
      </c>
      <c r="D1882">
        <v>94.78</v>
      </c>
      <c r="E1882">
        <v>94.79</v>
      </c>
      <c r="F1882">
        <v>-0.01</v>
      </c>
    </row>
    <row r="1883" spans="1:6" x14ac:dyDescent="0.3">
      <c r="A1883" t="str">
        <f>HYPERLINK("https://us2.cloudbeds.com/connect/10074733072513#/reservations/30653141672152?display=YQ83R01Z9&amp;reservation_id=30653141672152", "YQ83R01Z9")</f>
        <v>YQ83R01Z9</v>
      </c>
      <c r="B1883" t="s">
        <v>236</v>
      </c>
      <c r="C1883">
        <v>87.2</v>
      </c>
      <c r="D1883">
        <v>94.78</v>
      </c>
      <c r="E1883">
        <v>94.79</v>
      </c>
      <c r="F1883">
        <v>-0.01</v>
      </c>
    </row>
    <row r="1884" spans="1:6" x14ac:dyDescent="0.3">
      <c r="A1884" t="str">
        <f>HYPERLINK("https://us2.cloudbeds.com/connect/10074733072513#/reservations/30652193997048?display=YQ7CJTJYT&amp;reservation_id=30652193997048", "YQ7CJTJYT")</f>
        <v>YQ7CJTJYT</v>
      </c>
      <c r="B1884" t="s">
        <v>231</v>
      </c>
      <c r="C1884">
        <v>174.4</v>
      </c>
      <c r="D1884">
        <v>189.56</v>
      </c>
      <c r="E1884">
        <v>189.57</v>
      </c>
      <c r="F1884">
        <v>-0.01</v>
      </c>
    </row>
    <row r="1885" spans="1:6" x14ac:dyDescent="0.3">
      <c r="A1885" t="str">
        <f>HYPERLINK("https://us2.cloudbeds.com/connect/10074733072513#/reservations/30654186238087?display=YQ8UGQY3F&amp;reservation_id=30654186238087", "YQ8UGQY3F")</f>
        <v>YQ8UGQY3F</v>
      </c>
      <c r="B1885" t="s">
        <v>245</v>
      </c>
      <c r="C1885">
        <v>268.2</v>
      </c>
      <c r="D1885">
        <v>291.52</v>
      </c>
      <c r="E1885">
        <v>291.52999999999997</v>
      </c>
      <c r="F1885">
        <v>-0.01</v>
      </c>
    </row>
    <row r="1886" spans="1:6" x14ac:dyDescent="0.3">
      <c r="A1886" t="str">
        <f>HYPERLINK("https://us2.cloudbeds.com/connect/10074733072513#/reservations/30656322609310?display=YQAJ38AGC&amp;reservation_id=30656322609310", "YQAJ38AGC")</f>
        <v>YQAJ38AGC</v>
      </c>
      <c r="B1886" t="s">
        <v>246</v>
      </c>
      <c r="C1886">
        <v>285.60000000000002</v>
      </c>
      <c r="D1886">
        <v>310.44</v>
      </c>
      <c r="E1886">
        <v>310.45</v>
      </c>
      <c r="F1886">
        <v>-0.01</v>
      </c>
    </row>
    <row r="1887" spans="1:6" x14ac:dyDescent="0.3">
      <c r="A1887" t="str">
        <f>HYPERLINK("https://us2.cloudbeds.com/connect/10074733072513#/reservations/30659313111244?display=YQCTGUEK3&amp;reservation_id=30659313111244", "YQCTGUEK3")</f>
        <v>YQCTGUEK3</v>
      </c>
      <c r="B1887" t="s">
        <v>247</v>
      </c>
      <c r="C1887">
        <v>258</v>
      </c>
      <c r="D1887">
        <v>280.44</v>
      </c>
      <c r="E1887">
        <v>280.45</v>
      </c>
      <c r="F1887">
        <v>-0.01</v>
      </c>
    </row>
    <row r="1888" spans="1:6" x14ac:dyDescent="0.3">
      <c r="A1888" t="str">
        <f>HYPERLINK("https://us2.cloudbeds.com/connect/10074733072513#/reservations/30652596629685?display=YQ7MTDEJT&amp;reservation_id=30652596629685", "YQ7MTDEJT")</f>
        <v>YQ7MTDEJT</v>
      </c>
      <c r="B1888" t="s">
        <v>248</v>
      </c>
      <c r="C1888">
        <v>64.150000000000006</v>
      </c>
      <c r="D1888">
        <v>69.72</v>
      </c>
      <c r="E1888">
        <v>69.73</v>
      </c>
      <c r="F1888">
        <v>-0.01</v>
      </c>
    </row>
    <row r="1889" spans="1:6" x14ac:dyDescent="0.3">
      <c r="A1889" t="str">
        <f>HYPERLINK("https://us2.cloudbeds.com/connect/10074733072513#/reservations/30653592424697?display=YQ8FB2TUA&amp;reservation_id=30653592424697", "YQ8FB2TUA")</f>
        <v>YQ8FB2TUA</v>
      </c>
      <c r="B1889" t="s">
        <v>235</v>
      </c>
      <c r="C1889">
        <v>134.1</v>
      </c>
      <c r="D1889">
        <v>145.76</v>
      </c>
      <c r="E1889">
        <v>145.77000000000001</v>
      </c>
      <c r="F1889">
        <v>-0.01</v>
      </c>
    </row>
    <row r="1890" spans="1:6" x14ac:dyDescent="0.3">
      <c r="A1890" t="str">
        <f>HYPERLINK("https://us2.cloudbeds.com/connect/10074733072513#/reservations/30652589703319?display=YQ7MNXNA0&amp;reservation_id=30652589703319", "YQ7MNXNA0")</f>
        <v>YQ7MNXNA0</v>
      </c>
      <c r="B1890" t="s">
        <v>248</v>
      </c>
      <c r="C1890">
        <v>64.150000000000006</v>
      </c>
      <c r="D1890">
        <v>69.72</v>
      </c>
      <c r="E1890">
        <v>69.73</v>
      </c>
      <c r="F1890">
        <v>-0.01</v>
      </c>
    </row>
    <row r="1891" spans="1:6" x14ac:dyDescent="0.3">
      <c r="A1891" t="str">
        <f>HYPERLINK("https://us2.cloudbeds.com/connect/10074733072513#/reservations/30652184105181?display=YQ7CBXB7B&amp;reservation_id=30652184105181", "YQ7CBXB7B")</f>
        <v>YQ7CBXB7B</v>
      </c>
      <c r="B1891" t="s">
        <v>231</v>
      </c>
      <c r="C1891">
        <v>90.07</v>
      </c>
      <c r="D1891">
        <v>97.9</v>
      </c>
      <c r="E1891">
        <v>97.91</v>
      </c>
      <c r="F1891">
        <v>-0.01</v>
      </c>
    </row>
    <row r="1892" spans="1:6" x14ac:dyDescent="0.3">
      <c r="A1892" t="str">
        <f>HYPERLINK("https://us2.cloudbeds.com/connect/10074733072513#/reservations/30652279021763?display=YQ7EPJHKD&amp;reservation_id=30652279021763", "YQ7EPJHKD")</f>
        <v>YQ7EPJHKD</v>
      </c>
      <c r="B1892" t="s">
        <v>226</v>
      </c>
      <c r="C1892">
        <v>134.1</v>
      </c>
      <c r="D1892">
        <v>145.76</v>
      </c>
      <c r="E1892">
        <v>145.77000000000001</v>
      </c>
      <c r="F1892">
        <v>-0.01</v>
      </c>
    </row>
    <row r="1893" spans="1:6" x14ac:dyDescent="0.3">
      <c r="A1893" t="str">
        <f>HYPERLINK("https://us2.cloudbeds.com/connect/10074733072513#/reservations/30653761126549?display=YQ8JYB9CY&amp;reservation_id=30653761126549", "YQ8JYB9CY")</f>
        <v>YQ8JYB9CY</v>
      </c>
      <c r="B1893" t="s">
        <v>250</v>
      </c>
      <c r="C1893">
        <v>103.2</v>
      </c>
      <c r="D1893">
        <v>112.17</v>
      </c>
      <c r="E1893">
        <v>112.18</v>
      </c>
      <c r="F1893">
        <v>-0.01</v>
      </c>
    </row>
    <row r="1894" spans="1:6" x14ac:dyDescent="0.3">
      <c r="A1894" t="str">
        <f>HYPERLINK("https://us2.cloudbeds.com/connect/10074733072513#/reservations/30652310167731?display=YQ7FXS74K&amp;reservation_id=30652310167731", "YQ7FXS74K")</f>
        <v>YQ7FXS74K</v>
      </c>
      <c r="B1894" t="s">
        <v>251</v>
      </c>
      <c r="C1894">
        <v>64.150000000000006</v>
      </c>
      <c r="D1894">
        <v>69.72</v>
      </c>
      <c r="E1894">
        <v>69.73</v>
      </c>
      <c r="F1894">
        <v>-0.01</v>
      </c>
    </row>
    <row r="1895" spans="1:6" x14ac:dyDescent="0.3">
      <c r="A1895" t="str">
        <f>HYPERLINK("https://us2.cloudbeds.com/connect/10074733072513#/reservations/30652267094240?display=YQ7EFHKTA&amp;reservation_id=30652267094240", "YQ7EFHKTA")</f>
        <v>YQ7EFHKTA</v>
      </c>
      <c r="B1895" t="s">
        <v>155</v>
      </c>
      <c r="C1895">
        <v>72.17</v>
      </c>
      <c r="D1895">
        <v>78.44</v>
      </c>
      <c r="E1895">
        <v>78.45</v>
      </c>
      <c r="F1895">
        <v>-0.01</v>
      </c>
    </row>
    <row r="1896" spans="1:6" x14ac:dyDescent="0.3">
      <c r="A1896" t="str">
        <f>HYPERLINK("https://us2.cloudbeds.com/connect/10074733072513#/reservations/30653605609703?display=YQ8FM6QBV&amp;reservation_id=30653605609703", "YQ8FM6QBV")</f>
        <v>YQ8FM6QBV</v>
      </c>
      <c r="B1896" t="s">
        <v>235</v>
      </c>
      <c r="C1896">
        <v>134.1</v>
      </c>
      <c r="D1896">
        <v>145.76</v>
      </c>
      <c r="E1896">
        <v>145.77000000000001</v>
      </c>
      <c r="F1896">
        <v>-0.01</v>
      </c>
    </row>
    <row r="1897" spans="1:6" x14ac:dyDescent="0.3">
      <c r="A1897" t="str">
        <f>HYPERLINK("https://us2.cloudbeds.com/connect/10074733072513#/reservations/30655932457134?display=YQA948P15&amp;reservation_id=30655932457134", "YQA948P15")</f>
        <v>YQA948P15</v>
      </c>
      <c r="B1897" t="s">
        <v>250</v>
      </c>
      <c r="C1897">
        <v>103.2</v>
      </c>
      <c r="D1897">
        <v>112.17</v>
      </c>
      <c r="E1897">
        <v>112.18</v>
      </c>
      <c r="F1897">
        <v>-0.01</v>
      </c>
    </row>
    <row r="1898" spans="1:6" x14ac:dyDescent="0.3">
      <c r="A1898" t="str">
        <f>HYPERLINK("https://us2.cloudbeds.com/connect/10074733072513#/reservations/30654939443379?display=YQ9GZUMM8&amp;reservation_id=30654939443379", "YQ9GZUMM8")</f>
        <v>YQ9GZUMM8</v>
      </c>
      <c r="B1898" t="s">
        <v>235</v>
      </c>
      <c r="C1898">
        <v>250.2</v>
      </c>
      <c r="D1898">
        <v>271.95999999999998</v>
      </c>
      <c r="E1898">
        <v>271.97000000000003</v>
      </c>
      <c r="F1898">
        <v>-0.01</v>
      </c>
    </row>
    <row r="1899" spans="1:6" x14ac:dyDescent="0.3">
      <c r="A1899" t="str">
        <f>HYPERLINK("https://us2.cloudbeds.com/connect/10074733072513#/reservations/30652608045209?display=YQ7N6135S&amp;reservation_id=30652608045209", "YQ7N6135S")</f>
        <v>YQ7N6135S</v>
      </c>
      <c r="B1899" t="s">
        <v>186</v>
      </c>
      <c r="C1899">
        <v>64.150000000000006</v>
      </c>
      <c r="D1899">
        <v>69.72</v>
      </c>
      <c r="E1899">
        <v>69.73</v>
      </c>
      <c r="F1899">
        <v>-0.01</v>
      </c>
    </row>
    <row r="1900" spans="1:6" x14ac:dyDescent="0.3">
      <c r="A1900" t="str">
        <f>HYPERLINK("https://us2.cloudbeds.com/connect/10074733072513#/reservations/30652937625760?display=YQ7VJV5A9&amp;reservation_id=30652937625760", "YQ7VJV5A9")</f>
        <v>YQ7VJV5A9</v>
      </c>
      <c r="B1900" t="s">
        <v>253</v>
      </c>
      <c r="C1900">
        <v>134.1</v>
      </c>
      <c r="D1900">
        <v>145.76</v>
      </c>
      <c r="E1900">
        <v>145.77000000000001</v>
      </c>
      <c r="F1900">
        <v>-0.01</v>
      </c>
    </row>
    <row r="1901" spans="1:6" x14ac:dyDescent="0.3">
      <c r="A1901" t="str">
        <f>HYPERLINK("https://us2.cloudbeds.com/connect/10074733072513#/reservations/30652939509917?display=YQ7VYHJFV&amp;reservation_id=30652939509917", "YQ7VYHJFV")</f>
        <v>YQ7VYHJFV</v>
      </c>
      <c r="B1901" t="s">
        <v>227</v>
      </c>
      <c r="C1901">
        <v>64.150000000000006</v>
      </c>
      <c r="D1901">
        <v>69.72</v>
      </c>
      <c r="E1901">
        <v>69.73</v>
      </c>
      <c r="F1901">
        <v>-0.01</v>
      </c>
    </row>
    <row r="1902" spans="1:6" x14ac:dyDescent="0.3">
      <c r="A1902" t="str">
        <f>HYPERLINK("https://us2.cloudbeds.com/connect/10074733072513#/reservations/30653706735745?display=YQ8X8FPZF&amp;reservation_id=30653706735745", "YQ8X8FPZF")</f>
        <v>YQ8X8FPZF</v>
      </c>
      <c r="B1902" t="s">
        <v>227</v>
      </c>
      <c r="C1902">
        <v>64.150000000000006</v>
      </c>
      <c r="D1902">
        <v>69.72</v>
      </c>
      <c r="E1902">
        <v>69.73</v>
      </c>
      <c r="F1902">
        <v>-0.01</v>
      </c>
    </row>
    <row r="1903" spans="1:6" x14ac:dyDescent="0.3">
      <c r="A1903" t="str">
        <f>HYPERLINK("https://us2.cloudbeds.com/connect/10074733072513#/reservations/30653708222662?display=YQ8X9Z54X&amp;reservation_id=30653708222662", "YQ8X9Z54X")</f>
        <v>YQ8X9Z54X</v>
      </c>
      <c r="B1903" t="s">
        <v>227</v>
      </c>
      <c r="C1903">
        <v>64.150000000000006</v>
      </c>
      <c r="D1903">
        <v>69.72</v>
      </c>
      <c r="E1903">
        <v>69.73</v>
      </c>
      <c r="F1903">
        <v>-0.01</v>
      </c>
    </row>
    <row r="1904" spans="1:6" x14ac:dyDescent="0.3">
      <c r="A1904" t="str">
        <f>HYPERLINK("https://us2.cloudbeds.com/connect/10074733072513#/reservations/30653752905864?display=YQ8JEDHHW&amp;reservation_id=30653752905864", "YQ8JEDHHW")</f>
        <v>YQ8JEDHHW</v>
      </c>
      <c r="B1904" t="s">
        <v>250</v>
      </c>
      <c r="C1904">
        <v>214.4</v>
      </c>
      <c r="D1904">
        <v>233.04</v>
      </c>
      <c r="E1904">
        <v>233.05</v>
      </c>
      <c r="F1904">
        <v>-0.01</v>
      </c>
    </row>
    <row r="1905" spans="1:6" x14ac:dyDescent="0.3">
      <c r="A1905" t="str">
        <f>HYPERLINK("https://us2.cloudbeds.com/connect/10074733072513#/reservations/30656155680924?display=YQAERG9XE&amp;reservation_id=30656155680924", "YQAERG9XE")</f>
        <v>YQAERG9XE</v>
      </c>
      <c r="B1905" t="s">
        <v>253</v>
      </c>
      <c r="C1905">
        <v>127.2</v>
      </c>
      <c r="D1905">
        <v>138.26</v>
      </c>
      <c r="E1905">
        <v>138.27000000000001</v>
      </c>
      <c r="F1905">
        <v>-0.01</v>
      </c>
    </row>
    <row r="1906" spans="1:6" x14ac:dyDescent="0.3">
      <c r="A1906" t="str">
        <f>HYPERLINK("https://us2.cloudbeds.com/connect/10074733072513#/reservations/30653712806047?display=YQ8XDJMV0&amp;reservation_id=30653712806047", "YQ8XDJMV0")</f>
        <v>YQ8XDJMV0</v>
      </c>
      <c r="B1906" t="s">
        <v>227</v>
      </c>
      <c r="C1906">
        <v>64.150000000000006</v>
      </c>
      <c r="D1906">
        <v>69.72</v>
      </c>
      <c r="E1906">
        <v>69.73</v>
      </c>
      <c r="F1906">
        <v>-0.01</v>
      </c>
    </row>
    <row r="1907" spans="1:6" x14ac:dyDescent="0.3">
      <c r="A1907" t="str">
        <f>HYPERLINK("https://us2.cloudbeds.com/connect/10074733072513#/reservations/30656246522105?display=YQAH532KG&amp;reservation_id=30656246522105", "YQAH532KG")</f>
        <v>YQAH532KG</v>
      </c>
      <c r="B1907" t="s">
        <v>241</v>
      </c>
      <c r="C1907">
        <v>103.2</v>
      </c>
      <c r="D1907">
        <v>112.17</v>
      </c>
      <c r="E1907">
        <v>112.18</v>
      </c>
      <c r="F1907">
        <v>-0.01</v>
      </c>
    </row>
    <row r="1908" spans="1:6" x14ac:dyDescent="0.3">
      <c r="A1908" t="str">
        <f>HYPERLINK("https://us2.cloudbeds.com/connect/10074733072513#/reservations/30655613751520?display=YQA0WHA29&amp;reservation_id=30655613751520", "YQA0WHA29")</f>
        <v>YQA0WHA29</v>
      </c>
      <c r="B1908" t="s">
        <v>255</v>
      </c>
      <c r="C1908">
        <v>134.1</v>
      </c>
      <c r="D1908">
        <v>145.76</v>
      </c>
      <c r="E1908">
        <v>145.77000000000001</v>
      </c>
      <c r="F1908">
        <v>-0.01</v>
      </c>
    </row>
    <row r="1909" spans="1:6" x14ac:dyDescent="0.3">
      <c r="A1909" t="str">
        <f>HYPERLINK("https://us2.cloudbeds.com/connect/10074733072513#/reservations/30656240767139?display=YQAH07UWJ&amp;reservation_id=30656240767139", "YQAH07UWJ")</f>
        <v>YQAH07UWJ</v>
      </c>
      <c r="B1909" t="s">
        <v>256</v>
      </c>
      <c r="C1909">
        <v>87.2</v>
      </c>
      <c r="D1909">
        <v>94.78</v>
      </c>
      <c r="E1909">
        <v>94.79</v>
      </c>
      <c r="F1909">
        <v>-0.01</v>
      </c>
    </row>
    <row r="1910" spans="1:6" x14ac:dyDescent="0.3">
      <c r="A1910" t="str">
        <f>HYPERLINK("https://us2.cloudbeds.com/connect/10074733072513#/reservations/30653613453521?display=YQ8FSR24D&amp;reservation_id=30653613453521", "YQ8FSR24D")</f>
        <v>YQ8FSR24D</v>
      </c>
      <c r="B1910" t="s">
        <v>235</v>
      </c>
      <c r="C1910">
        <v>134.1</v>
      </c>
      <c r="D1910">
        <v>145.76</v>
      </c>
      <c r="E1910">
        <v>145.77000000000001</v>
      </c>
      <c r="F1910">
        <v>-0.01</v>
      </c>
    </row>
    <row r="1911" spans="1:6" x14ac:dyDescent="0.3">
      <c r="A1911" t="str">
        <f>HYPERLINK("https://us2.cloudbeds.com/connect/10074733072513#/reservations/30653855379632?display=YQ8M1R0GM&amp;reservation_id=30653855379632", "YQ8M1R0GM")</f>
        <v>YQ8M1R0GM</v>
      </c>
      <c r="B1911" t="s">
        <v>254</v>
      </c>
      <c r="C1911">
        <v>72.17</v>
      </c>
      <c r="D1911">
        <v>78.44</v>
      </c>
      <c r="E1911">
        <v>78.45</v>
      </c>
      <c r="F1911">
        <v>-0.01</v>
      </c>
    </row>
    <row r="1912" spans="1:6" x14ac:dyDescent="0.3">
      <c r="A1912" t="str">
        <f>HYPERLINK("https://us2.cloudbeds.com/connect/10074733072513#/reservations/30653703864544?display=YQ8X61T6C&amp;reservation_id=30653703864544", "YQ8X61T6C")</f>
        <v>YQ8X61T6C</v>
      </c>
      <c r="B1912" t="s">
        <v>257</v>
      </c>
      <c r="C1912">
        <v>103.2</v>
      </c>
      <c r="D1912">
        <v>112.17</v>
      </c>
      <c r="E1912">
        <v>112.18</v>
      </c>
      <c r="F1912">
        <v>-0.01</v>
      </c>
    </row>
    <row r="1913" spans="1:6" x14ac:dyDescent="0.3">
      <c r="A1913" t="str">
        <f>HYPERLINK("https://us2.cloudbeds.com/connect/10074733072513#/reservations/30652649930882?display=YQ7Z8BKMM&amp;reservation_id=30652649930882", "YQ7Z8BKMM")</f>
        <v>YQ7Z8BKMM</v>
      </c>
      <c r="B1913" t="s">
        <v>254</v>
      </c>
      <c r="C1913">
        <v>103.2</v>
      </c>
      <c r="D1913">
        <v>112.17</v>
      </c>
      <c r="E1913">
        <v>112.18</v>
      </c>
      <c r="F1913">
        <v>-0.01</v>
      </c>
    </row>
    <row r="1914" spans="1:6" x14ac:dyDescent="0.3">
      <c r="A1914" t="str">
        <f>HYPERLINK("https://us2.cloudbeds.com/connect/10074733072513#/reservations/30656104046776?display=YQADGVG99&amp;reservation_id=30656104046776", "YQADGVG99")</f>
        <v>YQADGVG99</v>
      </c>
      <c r="B1914" t="s">
        <v>258</v>
      </c>
      <c r="C1914">
        <v>87.2</v>
      </c>
      <c r="D1914">
        <v>94.78</v>
      </c>
      <c r="E1914">
        <v>94.79</v>
      </c>
      <c r="F1914">
        <v>-0.01</v>
      </c>
    </row>
    <row r="1915" spans="1:6" x14ac:dyDescent="0.3">
      <c r="A1915" t="str">
        <f>HYPERLINK("https://us2.cloudbeds.com/connect/10074733072513#/reservations/30653847515329?display=YQ8YS65UF&amp;reservation_id=30653847515329", "YQ8YS65UF")</f>
        <v>YQ8YS65UF</v>
      </c>
      <c r="B1915" t="s">
        <v>254</v>
      </c>
      <c r="C1915">
        <v>87.2</v>
      </c>
      <c r="D1915">
        <v>94.78</v>
      </c>
      <c r="E1915">
        <v>94.79</v>
      </c>
      <c r="F1915">
        <v>-0.01</v>
      </c>
    </row>
    <row r="1916" spans="1:6" x14ac:dyDescent="0.3">
      <c r="A1916" t="str">
        <f>HYPERLINK("https://us2.cloudbeds.com/connect/10074733072513#/reservations/30656139165916?display=YQAEDXZ8Y&amp;reservation_id=30656139165916", "YQAEDXZ8Y")</f>
        <v>YQAEDXZ8Y</v>
      </c>
      <c r="B1916" t="s">
        <v>259</v>
      </c>
      <c r="C1916">
        <v>87.2</v>
      </c>
      <c r="D1916">
        <v>94.78</v>
      </c>
      <c r="E1916">
        <v>94.79</v>
      </c>
      <c r="F1916">
        <v>-0.01</v>
      </c>
    </row>
    <row r="1917" spans="1:6" x14ac:dyDescent="0.3">
      <c r="A1917" t="str">
        <f>HYPERLINK("https://us2.cloudbeds.com/connect/10074733072513#/reservations/30656065433812?display=YQACHD10F&amp;reservation_id=30656065433812", "YQACHD10F")</f>
        <v>YQACHD10F</v>
      </c>
      <c r="B1917" t="s">
        <v>258</v>
      </c>
      <c r="C1917">
        <v>534.6</v>
      </c>
      <c r="D1917">
        <v>581.1</v>
      </c>
      <c r="E1917">
        <v>581.11</v>
      </c>
      <c r="F1917">
        <v>-0.01</v>
      </c>
    </row>
    <row r="1918" spans="1:6" x14ac:dyDescent="0.3">
      <c r="A1918" t="str">
        <f>HYPERLINK("https://us2.cloudbeds.com/connect/10074733072513#/reservations/30653887221939?display=YQ8MSM2F2&amp;reservation_id=30653887221939", "YQ8MSM2F2")</f>
        <v>YQ8MSM2F2</v>
      </c>
      <c r="B1918" t="s">
        <v>260</v>
      </c>
      <c r="C1918">
        <v>250.2</v>
      </c>
      <c r="D1918">
        <v>271.95999999999998</v>
      </c>
      <c r="E1918">
        <v>271.97000000000003</v>
      </c>
      <c r="F1918">
        <v>-0.01</v>
      </c>
    </row>
    <row r="1919" spans="1:6" x14ac:dyDescent="0.3">
      <c r="A1919" t="str">
        <f>HYPERLINK("https://us2.cloudbeds.com/connect/10074733072513#/reservations/30652276310226?display=YQ7ENA2MK&amp;reservation_id=30652276310226", "YQ7ENA2MK")</f>
        <v>YQ7ENA2MK</v>
      </c>
      <c r="B1919" t="s">
        <v>155</v>
      </c>
      <c r="C1919">
        <v>64.150000000000006</v>
      </c>
      <c r="D1919">
        <v>69.72</v>
      </c>
      <c r="E1919">
        <v>69.73</v>
      </c>
      <c r="F1919">
        <v>-0.01</v>
      </c>
    </row>
    <row r="1920" spans="1:6" x14ac:dyDescent="0.3">
      <c r="A1920" t="str">
        <f>HYPERLINK("https://us2.cloudbeds.com/connect/10074733072513#/reservations/30652288893127?display=YQ7F0U77Y&amp;reservation_id=30652288893127", "YQ7F0U77Y")</f>
        <v>YQ7F0U77Y</v>
      </c>
      <c r="B1920" t="s">
        <v>155</v>
      </c>
      <c r="C1920">
        <v>64.150000000000006</v>
      </c>
      <c r="D1920">
        <v>69.72</v>
      </c>
      <c r="E1920">
        <v>69.73</v>
      </c>
      <c r="F1920">
        <v>-0.01</v>
      </c>
    </row>
    <row r="1921" spans="1:6" x14ac:dyDescent="0.3">
      <c r="A1921" t="str">
        <f>HYPERLINK("https://us2.cloudbeds.com/connect/10074733072513#/reservations/30652285784221?display=YQ7EV9NDC&amp;reservation_id=30652285784221", "YQ7EV9NDC")</f>
        <v>YQ7EV9NDC</v>
      </c>
      <c r="B1921" t="s">
        <v>155</v>
      </c>
      <c r="C1921">
        <v>72.17</v>
      </c>
      <c r="D1921">
        <v>78.44</v>
      </c>
      <c r="E1921">
        <v>78.45</v>
      </c>
      <c r="F1921">
        <v>-0.01</v>
      </c>
    </row>
    <row r="1922" spans="1:6" x14ac:dyDescent="0.3">
      <c r="A1922" t="str">
        <f>HYPERLINK("https://us2.cloudbeds.com/connect/10074733072513#/reservations/30653990707399?display=YQ8PGUNE3&amp;reservation_id=30653990707399", "YQ8PGUNE3")</f>
        <v>YQ8PGUNE3</v>
      </c>
      <c r="B1922" t="s">
        <v>262</v>
      </c>
      <c r="C1922">
        <v>304.44</v>
      </c>
      <c r="D1922">
        <v>330.92</v>
      </c>
      <c r="E1922">
        <v>330.93</v>
      </c>
      <c r="F1922">
        <v>-0.01</v>
      </c>
    </row>
    <row r="1923" spans="1:6" x14ac:dyDescent="0.3">
      <c r="A1923" t="str">
        <f>HYPERLINK("https://us2.cloudbeds.com/connect/10074733072513#/reservations/30657142816987?display=YQB71SQJF&amp;reservation_id=30657142816987", "YQB71SQJF")</f>
        <v>YQB71SQJF</v>
      </c>
      <c r="B1923" t="s">
        <v>263</v>
      </c>
      <c r="C1923">
        <v>196.2</v>
      </c>
      <c r="D1923">
        <v>213.26</v>
      </c>
      <c r="E1923">
        <v>213.27</v>
      </c>
      <c r="F1923">
        <v>-0.01</v>
      </c>
    </row>
    <row r="1924" spans="1:6" x14ac:dyDescent="0.3">
      <c r="A1924" t="str">
        <f>HYPERLINK("https://us2.cloudbeds.com/connect/10074733072513#/reservations/30656228176071?display=YQAGMKXV2&amp;reservation_id=30656228176071", "YQAGMKXV2")</f>
        <v>YQAGMKXV2</v>
      </c>
      <c r="B1924" t="s">
        <v>241</v>
      </c>
      <c r="C1924">
        <v>267.3</v>
      </c>
      <c r="D1924">
        <v>290.55</v>
      </c>
      <c r="E1924">
        <v>290.56</v>
      </c>
      <c r="F1924">
        <v>-0.01</v>
      </c>
    </row>
    <row r="1925" spans="1:6" x14ac:dyDescent="0.3">
      <c r="A1925" t="str">
        <f>HYPERLINK("https://us2.cloudbeds.com/connect/10074733072513#/reservations/30653005848769?display=YQ80BFXN6&amp;reservation_id=30653005848769", "YQ80BFXN6")</f>
        <v>YQ80BFXN6</v>
      </c>
      <c r="B1925" t="s">
        <v>249</v>
      </c>
      <c r="C1925">
        <v>500.86</v>
      </c>
      <c r="D1925">
        <v>544.41999999999996</v>
      </c>
      <c r="E1925">
        <v>544.42999999999995</v>
      </c>
      <c r="F1925">
        <v>-0.01</v>
      </c>
    </row>
    <row r="1926" spans="1:6" x14ac:dyDescent="0.3">
      <c r="A1926" t="str">
        <f>HYPERLINK("https://us2.cloudbeds.com/connect/10074733072513#/reservations/30653972787389?display=YQ8P1R1VG&amp;reservation_id=30653972787389", "YQ8P1R1VG")</f>
        <v>YQ8P1R1VG</v>
      </c>
      <c r="B1926" t="s">
        <v>104</v>
      </c>
      <c r="C1926">
        <v>64.150000000000006</v>
      </c>
      <c r="D1926">
        <v>69.72</v>
      </c>
      <c r="E1926">
        <v>69.73</v>
      </c>
      <c r="F1926">
        <v>-0.01</v>
      </c>
    </row>
    <row r="1927" spans="1:6" x14ac:dyDescent="0.3">
      <c r="A1927" t="str">
        <f>HYPERLINK("https://us2.cloudbeds.com/connect/10074733072513#/reservations/30660236116213?display=YQDK37DZY&amp;reservation_id=30660236116213", "YQDK37DZY")</f>
        <v>YQDK37DZY</v>
      </c>
      <c r="B1927" t="s">
        <v>264</v>
      </c>
      <c r="C1927">
        <v>288.2</v>
      </c>
      <c r="D1927">
        <v>313.26</v>
      </c>
      <c r="E1927">
        <v>313.27</v>
      </c>
      <c r="F1927">
        <v>-0.01</v>
      </c>
    </row>
    <row r="1928" spans="1:6" x14ac:dyDescent="0.3">
      <c r="A1928" t="str">
        <f>HYPERLINK("https://us2.cloudbeds.com/connect/10074733072513#/reservations/30656230363364?display=YQAGZFEFM&amp;reservation_id=30656230363364", "YQAGZFEFM")</f>
        <v>YQAGZFEFM</v>
      </c>
      <c r="B1928" t="s">
        <v>256</v>
      </c>
      <c r="C1928">
        <v>84.15</v>
      </c>
      <c r="D1928">
        <v>91.46</v>
      </c>
      <c r="E1928">
        <v>91.47</v>
      </c>
      <c r="F1928">
        <v>-0.01</v>
      </c>
    </row>
    <row r="1929" spans="1:6" x14ac:dyDescent="0.3">
      <c r="A1929" t="str">
        <f>HYPERLINK("https://us2.cloudbeds.com/connect/10074733072513#/reservations/30652812914817?display=YQ7SDPTHQ&amp;reservation_id=30652812914817", "YQ7SDPTHQ")</f>
        <v>YQ7SDPTHQ</v>
      </c>
      <c r="B1929" t="s">
        <v>260</v>
      </c>
      <c r="C1929">
        <v>250.2</v>
      </c>
      <c r="D1929">
        <v>271.95999999999998</v>
      </c>
      <c r="E1929">
        <v>271.97000000000003</v>
      </c>
      <c r="F1929">
        <v>-0.01</v>
      </c>
    </row>
    <row r="1930" spans="1:6" x14ac:dyDescent="0.3">
      <c r="A1930" t="str">
        <f>HYPERLINK("https://us2.cloudbeds.com/connect/10074733072513#/reservations/30656454529168?display=YQAMFG60R&amp;reservation_id=30656454529168", "YQAMFG60R")</f>
        <v>YQAMFG60R</v>
      </c>
      <c r="B1930" t="s">
        <v>265</v>
      </c>
      <c r="C1930">
        <v>277.2</v>
      </c>
      <c r="D1930">
        <v>301.31</v>
      </c>
      <c r="E1930">
        <v>301.32</v>
      </c>
      <c r="F1930">
        <v>-0.01</v>
      </c>
    </row>
    <row r="1931" spans="1:6" x14ac:dyDescent="0.3">
      <c r="A1931" t="str">
        <f>HYPERLINK("https://us2.cloudbeds.com/connect/10074733072513#/reservations/30654283931874?display=YQ90063Z8&amp;reservation_id=30654283931874", "YQ90063Z8")</f>
        <v>YQ90063Z8</v>
      </c>
      <c r="B1931" t="s">
        <v>266</v>
      </c>
      <c r="C1931">
        <v>250.2</v>
      </c>
      <c r="D1931">
        <v>271.95999999999998</v>
      </c>
      <c r="E1931">
        <v>271.97000000000003</v>
      </c>
      <c r="F1931">
        <v>-0.01</v>
      </c>
    </row>
    <row r="1932" spans="1:6" x14ac:dyDescent="0.3">
      <c r="A1932" t="str">
        <f>HYPERLINK("https://us2.cloudbeds.com/connect/10074733072513#/reservations/30651561881745?display=YQ6TET1RN&amp;reservation_id=30651561881745", "YQ6TET1RN")</f>
        <v>YQ6TET1RN</v>
      </c>
      <c r="B1932" t="s">
        <v>267</v>
      </c>
      <c r="C1932">
        <v>366.6</v>
      </c>
      <c r="D1932">
        <v>398.48</v>
      </c>
      <c r="E1932">
        <v>398.49</v>
      </c>
      <c r="F1932">
        <v>-0.01</v>
      </c>
    </row>
    <row r="1933" spans="1:6" x14ac:dyDescent="0.3">
      <c r="A1933" t="str">
        <f>HYPERLINK("https://us2.cloudbeds.com/connect/10074733072513#/reservations/30652664234147?display=YQ7ZKDKWV&amp;reservation_id=30652664234147", "YQ7ZKDKWV")</f>
        <v>YQ7ZKDKWV</v>
      </c>
      <c r="B1933" t="s">
        <v>253</v>
      </c>
      <c r="C1933">
        <v>250.2</v>
      </c>
      <c r="D1933">
        <v>271.95999999999998</v>
      </c>
      <c r="E1933">
        <v>271.97000000000003</v>
      </c>
      <c r="F1933">
        <v>-0.01</v>
      </c>
    </row>
    <row r="1934" spans="1:6" x14ac:dyDescent="0.3">
      <c r="A1934" t="str">
        <f>HYPERLINK("https://us2.cloudbeds.com/connect/10074733072513#/reservations/30652994453699?display=YQ801SFU1&amp;reservation_id=30652994453699", "YQ801SFU1")</f>
        <v>YQ801SFU1</v>
      </c>
      <c r="B1934" t="s">
        <v>269</v>
      </c>
      <c r="C1934">
        <v>64.150000000000006</v>
      </c>
      <c r="D1934">
        <v>69.72</v>
      </c>
      <c r="E1934">
        <v>69.73</v>
      </c>
      <c r="F1934">
        <v>-0.01</v>
      </c>
    </row>
    <row r="1935" spans="1:6" x14ac:dyDescent="0.3">
      <c r="A1935" t="str">
        <f>HYPERLINK("https://us2.cloudbeds.com/connect/10074733072513#/reservations/30656116535456?display=YQADRG0A4&amp;reservation_id=30656116535456", "YQADRG0A4")</f>
        <v>YQADRG0A4</v>
      </c>
      <c r="B1935" t="s">
        <v>209</v>
      </c>
      <c r="C1935">
        <v>250.2</v>
      </c>
      <c r="D1935">
        <v>271.95999999999998</v>
      </c>
      <c r="E1935">
        <v>271.97000000000003</v>
      </c>
      <c r="F1935">
        <v>-0.01</v>
      </c>
    </row>
    <row r="1936" spans="1:6" x14ac:dyDescent="0.3">
      <c r="A1936" t="str">
        <f>HYPERLINK("https://us2.cloudbeds.com/connect/10074733072513#/reservations/30653013098634?display=YQ80HJA22&amp;reservation_id=30653013098634", "YQ80HJA22")</f>
        <v>YQ80HJA22</v>
      </c>
      <c r="B1936" t="s">
        <v>249</v>
      </c>
      <c r="C1936">
        <v>64.150000000000006</v>
      </c>
      <c r="D1936">
        <v>69.72</v>
      </c>
      <c r="E1936">
        <v>69.73</v>
      </c>
      <c r="F1936">
        <v>-0.01</v>
      </c>
    </row>
    <row r="1937" spans="1:6" x14ac:dyDescent="0.3">
      <c r="A1937" t="str">
        <f>HYPERLINK("https://us2.cloudbeds.com/connect/10074733072513#/reservations/30652965228672?display=YQ7WA74KW&amp;reservation_id=30652965228672", "YQ7WA74KW")</f>
        <v>YQ7WA74KW</v>
      </c>
      <c r="B1937" t="s">
        <v>253</v>
      </c>
      <c r="C1937">
        <v>250.2</v>
      </c>
      <c r="D1937">
        <v>271.95999999999998</v>
      </c>
      <c r="E1937">
        <v>271.97000000000003</v>
      </c>
      <c r="F1937">
        <v>-0.01</v>
      </c>
    </row>
    <row r="1938" spans="1:6" x14ac:dyDescent="0.3">
      <c r="A1938" t="str">
        <f>HYPERLINK("https://us2.cloudbeds.com/connect/10074733072513#/reservations/30654082203847?display=YQ8RS2Z6Z&amp;reservation_id=30654082203847", "YQ8RS2Z6Z")</f>
        <v>YQ8RS2Z6Z</v>
      </c>
      <c r="B1938" t="s">
        <v>270</v>
      </c>
      <c r="C1938">
        <v>250.2</v>
      </c>
      <c r="D1938">
        <v>271.95999999999998</v>
      </c>
      <c r="E1938">
        <v>271.97000000000003</v>
      </c>
      <c r="F1938">
        <v>-0.01</v>
      </c>
    </row>
    <row r="1939" spans="1:6" x14ac:dyDescent="0.3">
      <c r="A1939" t="str">
        <f>HYPERLINK("https://us2.cloudbeds.com/connect/10074733072513#/reservations/30653020381407?display=YQ80NNVY5&amp;reservation_id=30653020381407", "YQ80NNVY5")</f>
        <v>YQ80NNVY5</v>
      </c>
      <c r="B1939" t="s">
        <v>249</v>
      </c>
      <c r="C1939">
        <v>64.150000000000006</v>
      </c>
      <c r="D1939">
        <v>69.72</v>
      </c>
      <c r="E1939">
        <v>69.73</v>
      </c>
      <c r="F1939">
        <v>-0.01</v>
      </c>
    </row>
    <row r="1940" spans="1:6" x14ac:dyDescent="0.3">
      <c r="A1940" t="str">
        <f>HYPERLINK("https://us2.cloudbeds.com/connect/10074733072513#/reservations/30658141995161?display=YQBWJDDXV&amp;reservation_id=30658141995161", "YQBWJDDXV")</f>
        <v>YQBWJDDXV</v>
      </c>
      <c r="B1940" t="s">
        <v>271</v>
      </c>
      <c r="C1940">
        <v>304.2</v>
      </c>
      <c r="D1940">
        <v>330.66</v>
      </c>
      <c r="E1940">
        <v>330.67</v>
      </c>
      <c r="F1940">
        <v>-0.01</v>
      </c>
    </row>
    <row r="1941" spans="1:6" x14ac:dyDescent="0.3">
      <c r="A1941" t="str">
        <f>HYPERLINK("https://us2.cloudbeds.com/connect/10074733072513#/reservations/30653928501393?display=YQ8NUFZ9J&amp;reservation_id=30653928501393", "YQ8NUFZ9J")</f>
        <v>YQ8NUFZ9J</v>
      </c>
      <c r="B1941" t="s">
        <v>266</v>
      </c>
      <c r="C1941">
        <v>90.07</v>
      </c>
      <c r="D1941">
        <v>97.9</v>
      </c>
      <c r="E1941">
        <v>97.91</v>
      </c>
      <c r="F1941">
        <v>-0.01</v>
      </c>
    </row>
    <row r="1942" spans="1:6" x14ac:dyDescent="0.3">
      <c r="A1942" t="str">
        <f>HYPERLINK("https://us2.cloudbeds.com/connect/10074733072513#/reservations/30656209027324?display=YQAG6FZ50&amp;reservation_id=30656209027324", "YQAG6FZ50")</f>
        <v>YQAG6FZ50</v>
      </c>
      <c r="B1942" t="s">
        <v>253</v>
      </c>
      <c r="C1942">
        <v>267.3</v>
      </c>
      <c r="D1942">
        <v>290.55</v>
      </c>
      <c r="E1942">
        <v>290.56</v>
      </c>
      <c r="F1942">
        <v>-0.01</v>
      </c>
    </row>
    <row r="1943" spans="1:6" x14ac:dyDescent="0.3">
      <c r="A1943" t="str">
        <f>HYPERLINK("https://us2.cloudbeds.com/connect/10074733072513#/reservations/30654262116548?display=YQ8WEQ29P&amp;reservation_id=30654262116548", "YQ8WEQ29P")</f>
        <v>YQ8WEQ29P</v>
      </c>
      <c r="B1943" t="s">
        <v>272</v>
      </c>
      <c r="C1943">
        <v>64.150000000000006</v>
      </c>
      <c r="D1943">
        <v>69.72</v>
      </c>
      <c r="E1943">
        <v>69.73</v>
      </c>
      <c r="F1943">
        <v>-0.01</v>
      </c>
    </row>
    <row r="1944" spans="1:6" x14ac:dyDescent="0.3">
      <c r="A1944" t="str">
        <f>HYPERLINK("https://us2.cloudbeds.com/connect/10074733072513#/reservations/30652697338002?display=YQ7PFAQD2&amp;reservation_id=30652697338002", "YQ7PFAQD2")</f>
        <v>YQ7PFAQD2</v>
      </c>
      <c r="B1944" t="s">
        <v>273</v>
      </c>
      <c r="C1944">
        <v>87.2</v>
      </c>
      <c r="D1944">
        <v>94.78</v>
      </c>
      <c r="E1944">
        <v>94.79</v>
      </c>
      <c r="F1944">
        <v>-0.01</v>
      </c>
    </row>
    <row r="1945" spans="1:6" x14ac:dyDescent="0.3">
      <c r="A1945" t="str">
        <f>HYPERLINK("https://us2.cloudbeds.com/connect/10074733072513#/reservations/30656263545026?display=YQAHJEPAJ&amp;reservation_id=30656263545026", "YQAHJEPAJ")</f>
        <v>YQAHJEPAJ</v>
      </c>
      <c r="B1945" t="s">
        <v>274</v>
      </c>
      <c r="C1945">
        <v>64.150000000000006</v>
      </c>
      <c r="D1945">
        <v>69.72</v>
      </c>
      <c r="E1945">
        <v>69.73</v>
      </c>
      <c r="F1945">
        <v>-0.01</v>
      </c>
    </row>
    <row r="1946" spans="1:6" x14ac:dyDescent="0.3">
      <c r="A1946" t="str">
        <f>HYPERLINK("https://us2.cloudbeds.com/connect/10074733072513#/reservations/30656269013145?display=YQAHZ1UX4&amp;reservation_id=30656269013145", "YQAHZ1UX4")</f>
        <v>YQAHZ1UX4</v>
      </c>
      <c r="B1946" t="s">
        <v>274</v>
      </c>
      <c r="C1946">
        <v>64.150000000000006</v>
      </c>
      <c r="D1946">
        <v>69.72</v>
      </c>
      <c r="E1946">
        <v>69.73</v>
      </c>
      <c r="F1946">
        <v>-0.01</v>
      </c>
    </row>
    <row r="1947" spans="1:6" x14ac:dyDescent="0.3">
      <c r="A1947" t="str">
        <f>HYPERLINK("https://us2.cloudbeds.com/connect/10074733072513#/reservations/30653943906521?display=YQ8ZAFDDY&amp;reservation_id=30653943906521", "YQ8ZAFDDY")</f>
        <v>YQ8ZAFDDY</v>
      </c>
      <c r="B1947" t="s">
        <v>266</v>
      </c>
      <c r="C1947">
        <v>103.2</v>
      </c>
      <c r="D1947">
        <v>112.17</v>
      </c>
      <c r="E1947">
        <v>112.18</v>
      </c>
      <c r="F1947">
        <v>-0.01</v>
      </c>
    </row>
    <row r="1948" spans="1:6" x14ac:dyDescent="0.3">
      <c r="A1948" t="str">
        <f>HYPERLINK("https://us2.cloudbeds.com/connect/10074733072513#/reservations/30652923486429?display=YQ7V80NHN&amp;reservation_id=30652923486429", "YQ7V80NHN")</f>
        <v>YQ7V80NHN</v>
      </c>
      <c r="B1948" t="s">
        <v>253</v>
      </c>
      <c r="C1948">
        <v>134.1</v>
      </c>
      <c r="D1948">
        <v>145.76</v>
      </c>
      <c r="E1948">
        <v>145.77000000000001</v>
      </c>
      <c r="F1948">
        <v>-0.01</v>
      </c>
    </row>
    <row r="1949" spans="1:6" x14ac:dyDescent="0.3">
      <c r="A1949" t="str">
        <f>HYPERLINK("https://us2.cloudbeds.com/connect/10074733072513#/reservations/30654503444697?display=YQ95K9CXW&amp;reservation_id=30654503444697", "YQ95K9CXW")</f>
        <v>YQ95K9CXW</v>
      </c>
      <c r="B1949" t="s">
        <v>275</v>
      </c>
      <c r="C1949">
        <v>87.2</v>
      </c>
      <c r="D1949">
        <v>94.78</v>
      </c>
      <c r="E1949">
        <v>94.79</v>
      </c>
      <c r="F1949">
        <v>-0.01</v>
      </c>
    </row>
    <row r="1950" spans="1:6" x14ac:dyDescent="0.3">
      <c r="A1950" t="str">
        <f>HYPERLINK("https://us2.cloudbeds.com/connect/10074733072513#/reservations/30653949341939?display=YQ8ZF1YKA&amp;reservation_id=30653949341939", "YQ8ZF1YKA")</f>
        <v>YQ8ZF1YKA</v>
      </c>
      <c r="B1950" t="s">
        <v>266</v>
      </c>
      <c r="C1950">
        <v>90.07</v>
      </c>
      <c r="D1950">
        <v>97.9</v>
      </c>
      <c r="E1950">
        <v>97.91</v>
      </c>
      <c r="F1950">
        <v>-0.01</v>
      </c>
    </row>
    <row r="1951" spans="1:6" x14ac:dyDescent="0.3">
      <c r="A1951" t="str">
        <f>HYPERLINK("https://us2.cloudbeds.com/connect/10074733072513#/reservations/30654421291208?display=YQ93H0B6A&amp;reservation_id=30654421291208", "YQ93H0B6A")</f>
        <v>YQ93H0B6A</v>
      </c>
      <c r="B1951" t="s">
        <v>270</v>
      </c>
      <c r="C1951">
        <v>103.2</v>
      </c>
      <c r="D1951">
        <v>112.17</v>
      </c>
      <c r="E1951">
        <v>112.18</v>
      </c>
      <c r="F1951">
        <v>-0.01</v>
      </c>
    </row>
    <row r="1952" spans="1:6" x14ac:dyDescent="0.3">
      <c r="A1952" t="str">
        <f>HYPERLINK("https://us2.cloudbeds.com/connect/10074733072513#/reservations/30653234438297?display=YQ8667DEJ&amp;reservation_id=30653234438297", "YQ8667DEJ")</f>
        <v>YQ8667DEJ</v>
      </c>
      <c r="B1952" t="s">
        <v>276</v>
      </c>
      <c r="C1952">
        <v>182.4</v>
      </c>
      <c r="D1952">
        <v>198.26</v>
      </c>
      <c r="E1952">
        <v>198.27</v>
      </c>
      <c r="F1952">
        <v>-0.01</v>
      </c>
    </row>
    <row r="1953" spans="1:6" x14ac:dyDescent="0.3">
      <c r="A1953" t="str">
        <f>HYPERLINK("https://us2.cloudbeds.com/connect/10074733072513#/reservations/30656316612817?display=YQAXV6F2F&amp;reservation_id=30656316612817", "YQAXV6F2F")</f>
        <v>YQAXV6F2F</v>
      </c>
      <c r="B1953" t="s">
        <v>246</v>
      </c>
      <c r="C1953">
        <v>103.2</v>
      </c>
      <c r="D1953">
        <v>112.17</v>
      </c>
      <c r="E1953">
        <v>112.18</v>
      </c>
      <c r="F1953">
        <v>-0.01</v>
      </c>
    </row>
    <row r="1954" spans="1:6" x14ac:dyDescent="0.3">
      <c r="A1954" t="str">
        <f>HYPERLINK("https://us2.cloudbeds.com/connect/10074733072513#/reservations/30654381080706?display=YQ92G3DV8&amp;reservation_id=30654381080706", "YQ92G3DV8")</f>
        <v>YQ92G3DV8</v>
      </c>
      <c r="B1954" t="s">
        <v>270</v>
      </c>
      <c r="C1954">
        <v>285.60000000000002</v>
      </c>
      <c r="D1954">
        <v>310.44</v>
      </c>
      <c r="E1954">
        <v>310.45</v>
      </c>
      <c r="F1954">
        <v>-0.01</v>
      </c>
    </row>
    <row r="1955" spans="1:6" x14ac:dyDescent="0.3">
      <c r="A1955" t="str">
        <f>HYPERLINK("https://us2.cloudbeds.com/connect/10074733072513#/reservations/30656279584915?display=YQAHWW3AR&amp;reservation_id=30656279584915", "YQAHWW3AR")</f>
        <v>YQAHWW3AR</v>
      </c>
      <c r="B1955" t="s">
        <v>241</v>
      </c>
      <c r="C1955">
        <v>196.2</v>
      </c>
      <c r="D1955">
        <v>213.26</v>
      </c>
      <c r="E1955">
        <v>213.27</v>
      </c>
      <c r="F1955">
        <v>-0.01</v>
      </c>
    </row>
    <row r="1956" spans="1:6" x14ac:dyDescent="0.3">
      <c r="A1956" t="str">
        <f>HYPERLINK("https://us2.cloudbeds.com/connect/10074733072513#/reservations/30656347988133?display=YQAJZYH6K&amp;reservation_id=30656347988133", "YQAJZYH6K")</f>
        <v>YQAJZYH6K</v>
      </c>
      <c r="B1956" t="s">
        <v>246</v>
      </c>
      <c r="C1956">
        <v>64.150000000000006</v>
      </c>
      <c r="D1956">
        <v>69.72</v>
      </c>
      <c r="E1956">
        <v>69.73</v>
      </c>
      <c r="F1956">
        <v>-0.01</v>
      </c>
    </row>
    <row r="1957" spans="1:6" x14ac:dyDescent="0.3">
      <c r="A1957" t="str">
        <f>HYPERLINK("https://us2.cloudbeds.com/connect/10074733072513#/reservations/30653243334902?display=YQ86DNVVM&amp;reservation_id=30653243334902", "YQ86DNVVM")</f>
        <v>YQ86DNVVM</v>
      </c>
      <c r="B1957" t="s">
        <v>276</v>
      </c>
      <c r="C1957">
        <v>196.2</v>
      </c>
      <c r="D1957">
        <v>213.26</v>
      </c>
      <c r="E1957">
        <v>213.27</v>
      </c>
      <c r="F1957">
        <v>-0.01</v>
      </c>
    </row>
    <row r="1958" spans="1:6" x14ac:dyDescent="0.3">
      <c r="A1958" t="str">
        <f>HYPERLINK("https://us2.cloudbeds.com/connect/10074733072513#/reservations/30652548903066?display=YQ7YM5CGN&amp;reservation_id=30652548903066", "YQ7YM5CGN")</f>
        <v>YQ7YM5CGN</v>
      </c>
      <c r="B1958" t="s">
        <v>277</v>
      </c>
      <c r="C1958">
        <v>134.1</v>
      </c>
      <c r="D1958">
        <v>145.76</v>
      </c>
      <c r="E1958">
        <v>145.77000000000001</v>
      </c>
      <c r="F1958">
        <v>-0.01</v>
      </c>
    </row>
    <row r="1959" spans="1:6" x14ac:dyDescent="0.3">
      <c r="A1959" t="str">
        <f>HYPERLINK("https://us2.cloudbeds.com/connect/10074733072513#/reservations/30654607823050?display=YQ9899SFC&amp;reservation_id=30654607823050", "YQ9899SFC")</f>
        <v>YQ9899SFC</v>
      </c>
      <c r="B1959" t="s">
        <v>278</v>
      </c>
      <c r="C1959">
        <v>375.3</v>
      </c>
      <c r="D1959">
        <v>407.94</v>
      </c>
      <c r="E1959">
        <v>407.95</v>
      </c>
      <c r="F1959">
        <v>-0.01</v>
      </c>
    </row>
    <row r="1960" spans="1:6" x14ac:dyDescent="0.3">
      <c r="A1960" t="str">
        <f>HYPERLINK("https://us2.cloudbeds.com/connect/10074733072513#/reservations/30656269455578?display=YQAHZE7R7&amp;reservation_id=30656269455578", "YQAHZE7R7")</f>
        <v>YQAHZE7R7</v>
      </c>
      <c r="B1960" t="s">
        <v>241</v>
      </c>
      <c r="C1960">
        <v>64.150000000000006</v>
      </c>
      <c r="D1960">
        <v>69.72</v>
      </c>
      <c r="E1960">
        <v>69.73</v>
      </c>
      <c r="F1960">
        <v>-0.01</v>
      </c>
    </row>
    <row r="1961" spans="1:6" x14ac:dyDescent="0.3">
      <c r="A1961" t="str">
        <f>HYPERLINK("https://us2.cloudbeds.com/connect/10074733072513#/reservations/30656265158785?display=YQAHKQM6C&amp;reservation_id=30656265158785", "YQAHKQM6C")</f>
        <v>YQAHKQM6C</v>
      </c>
      <c r="B1961" t="s">
        <v>241</v>
      </c>
      <c r="C1961">
        <v>64.150000000000006</v>
      </c>
      <c r="D1961">
        <v>69.72</v>
      </c>
      <c r="E1961">
        <v>69.73</v>
      </c>
      <c r="F1961">
        <v>-0.01</v>
      </c>
    </row>
    <row r="1962" spans="1:6" x14ac:dyDescent="0.3">
      <c r="A1962" t="str">
        <f>HYPERLINK("https://us2.cloudbeds.com/connect/10074733072513#/reservations/30651874578634?display=YQ74EXA50&amp;reservation_id=30651874578634", "YQ74EXA50")</f>
        <v>YQ74EXA50</v>
      </c>
      <c r="B1962" t="s">
        <v>243</v>
      </c>
      <c r="C1962">
        <v>103.2</v>
      </c>
      <c r="D1962">
        <v>112.17</v>
      </c>
      <c r="E1962">
        <v>112.18</v>
      </c>
      <c r="F1962">
        <v>-0.01</v>
      </c>
    </row>
    <row r="1963" spans="1:6" x14ac:dyDescent="0.3">
      <c r="A1963" t="str">
        <f>HYPERLINK("https://us2.cloudbeds.com/connect/10074733072513#/reservations/30656308949126?display=YQAXZZ6NC&amp;reservation_id=30656308949126", "YQAXZZ6NC")</f>
        <v>YQAXZZ6NC</v>
      </c>
      <c r="B1963" t="s">
        <v>276</v>
      </c>
      <c r="C1963">
        <v>64.150000000000006</v>
      </c>
      <c r="D1963">
        <v>69.72</v>
      </c>
      <c r="E1963">
        <v>69.73</v>
      </c>
      <c r="F1963">
        <v>-0.01</v>
      </c>
    </row>
    <row r="1964" spans="1:6" x14ac:dyDescent="0.3">
      <c r="A1964" t="str">
        <f>HYPERLINK("https://us2.cloudbeds.com/connect/10074733072513#/reservations/30654267396254?display=YQ8WJ7WGS&amp;reservation_id=30654267396254", "YQ8WJ7WGS")</f>
        <v>YQ8WJ7WGS</v>
      </c>
      <c r="B1964" t="s">
        <v>272</v>
      </c>
      <c r="C1964">
        <v>64.150000000000006</v>
      </c>
      <c r="D1964">
        <v>69.72</v>
      </c>
      <c r="E1964">
        <v>69.73</v>
      </c>
      <c r="F1964">
        <v>-0.01</v>
      </c>
    </row>
    <row r="1965" spans="1:6" x14ac:dyDescent="0.3">
      <c r="A1965" t="str">
        <f>HYPERLINK("https://us2.cloudbeds.com/connect/10074733072513#/reservations/30660511531261?display=YQDR4F846&amp;reservation_id=30660511531261", "YQDR4F846")</f>
        <v>YQDR4F846</v>
      </c>
      <c r="B1965" t="s">
        <v>280</v>
      </c>
      <c r="C1965">
        <v>250.2</v>
      </c>
      <c r="D1965">
        <v>271.95999999999998</v>
      </c>
      <c r="E1965">
        <v>271.97000000000003</v>
      </c>
      <c r="F1965">
        <v>-0.01</v>
      </c>
    </row>
    <row r="1966" spans="1:6" x14ac:dyDescent="0.3">
      <c r="A1966" t="str">
        <f>HYPERLINK("https://us2.cloudbeds.com/connect/10074733072513#/reservations/30654365614269?display=YQ92321HB&amp;reservation_id=30654365614269", "YQ92321HB")</f>
        <v>YQ92321HB</v>
      </c>
      <c r="B1966" t="s">
        <v>270</v>
      </c>
      <c r="C1966">
        <v>103.2</v>
      </c>
      <c r="D1966">
        <v>112.17</v>
      </c>
      <c r="E1966">
        <v>112.18</v>
      </c>
      <c r="F1966">
        <v>-0.01</v>
      </c>
    </row>
    <row r="1967" spans="1:6" x14ac:dyDescent="0.3">
      <c r="A1967" t="str">
        <f>HYPERLINK("https://us2.cloudbeds.com/connect/10074733072513#/reservations/30654394028181?display=YQ92R0N8W&amp;reservation_id=30654394028181", "YQ92R0N8W")</f>
        <v>YQ92R0N8W</v>
      </c>
      <c r="B1967" t="s">
        <v>270</v>
      </c>
      <c r="C1967">
        <v>103.2</v>
      </c>
      <c r="D1967">
        <v>112.17</v>
      </c>
      <c r="E1967">
        <v>112.18</v>
      </c>
      <c r="F1967">
        <v>-0.01</v>
      </c>
    </row>
    <row r="1968" spans="1:6" x14ac:dyDescent="0.3">
      <c r="A1968" t="str">
        <f>HYPERLINK("https://us2.cloudbeds.com/connect/10074733072513#/reservations/30654618386589?display=YQ98X6QMK&amp;reservation_id=30654618386589", "YQ98X6QMK")</f>
        <v>YQ98X6QMK</v>
      </c>
      <c r="B1968" t="s">
        <v>281</v>
      </c>
      <c r="C1968">
        <v>134.1</v>
      </c>
      <c r="D1968">
        <v>145.76</v>
      </c>
      <c r="E1968">
        <v>145.77000000000001</v>
      </c>
      <c r="F1968">
        <v>-0.01</v>
      </c>
    </row>
    <row r="1969" spans="1:6" x14ac:dyDescent="0.3">
      <c r="A1969" t="str">
        <f>HYPERLINK("https://us2.cloudbeds.com/connect/10074733072513#/reservations/30652664299692?display=YQ7ZKFF65&amp;reservation_id=30652664299692", "YQ7ZKFF65")</f>
        <v>YQ7ZKFF65</v>
      </c>
      <c r="B1969" t="s">
        <v>282</v>
      </c>
      <c r="C1969">
        <v>79.2</v>
      </c>
      <c r="D1969">
        <v>86.08</v>
      </c>
      <c r="E1969">
        <v>86.09</v>
      </c>
      <c r="F1969">
        <v>-0.01</v>
      </c>
    </row>
    <row r="1970" spans="1:6" x14ac:dyDescent="0.3">
      <c r="A1970" t="str">
        <f>HYPERLINK("https://us2.cloudbeds.com/connect/10074733072513#/reservations/30652697342109?display=YQ7PFAU5H&amp;reservation_id=30652697342109", "YQ7PFAU5H")</f>
        <v>YQ7PFAU5H</v>
      </c>
      <c r="B1970" t="s">
        <v>273</v>
      </c>
      <c r="C1970">
        <v>64.150000000000006</v>
      </c>
      <c r="D1970">
        <v>69.72</v>
      </c>
      <c r="E1970">
        <v>69.73</v>
      </c>
      <c r="F1970">
        <v>-0.01</v>
      </c>
    </row>
    <row r="1971" spans="1:6" x14ac:dyDescent="0.3">
      <c r="A1971" t="str">
        <f>HYPERLINK("https://us2.cloudbeds.com/connect/10074733072513#/reservations/30654338429174?display=YQ91D4J5J&amp;reservation_id=30654338429174", "YQ91D4J5J")</f>
        <v>YQ91D4J5J</v>
      </c>
      <c r="B1971" t="s">
        <v>283</v>
      </c>
      <c r="C1971">
        <v>237.3</v>
      </c>
      <c r="D1971">
        <v>257.94</v>
      </c>
      <c r="E1971">
        <v>257.95</v>
      </c>
      <c r="F1971">
        <v>-0.01</v>
      </c>
    </row>
    <row r="1972" spans="1:6" x14ac:dyDescent="0.3">
      <c r="A1972" t="str">
        <f>HYPERLINK("https://us2.cloudbeds.com/connect/10074733072513#/reservations/30654345851094?display=YQ91JD3H8&amp;reservation_id=30654345851094", "YQ91JD3H8")</f>
        <v>YQ91JD3H8</v>
      </c>
      <c r="B1972" t="s">
        <v>283</v>
      </c>
      <c r="C1972">
        <v>87.2</v>
      </c>
      <c r="D1972">
        <v>94.78</v>
      </c>
      <c r="E1972">
        <v>94.79</v>
      </c>
      <c r="F1972">
        <v>-0.01</v>
      </c>
    </row>
    <row r="1973" spans="1:6" x14ac:dyDescent="0.3">
      <c r="A1973" t="str">
        <f>HYPERLINK("https://us2.cloudbeds.com/connect/10074733072513#/reservations/30654420562107?display=YQ93GD1MB&amp;reservation_id=30654420562107", "YQ93GD1MB")</f>
        <v>YQ93GD1MB</v>
      </c>
      <c r="B1973" t="s">
        <v>284</v>
      </c>
      <c r="C1973">
        <v>118.15</v>
      </c>
      <c r="D1973">
        <v>128.41999999999999</v>
      </c>
      <c r="E1973">
        <v>128.43</v>
      </c>
      <c r="F1973">
        <v>-0.01</v>
      </c>
    </row>
    <row r="1974" spans="1:6" x14ac:dyDescent="0.3">
      <c r="A1974" t="str">
        <f>HYPERLINK("https://us2.cloudbeds.com/connect/10074733072513#/reservations/30653448278216?display=YQ8BYHR04&amp;reservation_id=30653448278216", "YQ8BYHR04")</f>
        <v>YQ8BYHR04</v>
      </c>
      <c r="B1974" t="s">
        <v>209</v>
      </c>
      <c r="C1974">
        <v>90.07</v>
      </c>
      <c r="D1974">
        <v>97.9</v>
      </c>
      <c r="E1974">
        <v>97.91</v>
      </c>
      <c r="F1974">
        <v>-0.01</v>
      </c>
    </row>
    <row r="1975" spans="1:6" x14ac:dyDescent="0.3">
      <c r="A1975" t="str">
        <f>HYPERLINK("https://us2.cloudbeds.com/connect/10074733072513#/reservations/30657075118211?display=YQB5APWJD&amp;reservation_id=30657075118211", "YQB5APWJD")</f>
        <v>YQB5APWJD</v>
      </c>
      <c r="B1975" t="s">
        <v>285</v>
      </c>
      <c r="C1975">
        <v>268.2</v>
      </c>
      <c r="D1975">
        <v>291.52</v>
      </c>
      <c r="E1975">
        <v>291.52999999999997</v>
      </c>
      <c r="F1975">
        <v>-0.01</v>
      </c>
    </row>
    <row r="1976" spans="1:6" x14ac:dyDescent="0.3">
      <c r="A1976" t="str">
        <f>HYPERLINK("https://us2.cloudbeds.com/connect/10074733072513#/reservations/30656329609377?display=YQAJ953FK&amp;reservation_id=30656329609377", "YQAJ953FK")</f>
        <v>YQAJ953FK</v>
      </c>
      <c r="B1976" t="s">
        <v>284</v>
      </c>
      <c r="C1976">
        <v>90.07</v>
      </c>
      <c r="D1976">
        <v>97.9</v>
      </c>
      <c r="E1976">
        <v>97.91</v>
      </c>
      <c r="F1976">
        <v>-0.01</v>
      </c>
    </row>
    <row r="1977" spans="1:6" x14ac:dyDescent="0.3">
      <c r="A1977" t="str">
        <f>HYPERLINK("https://us2.cloudbeds.com/connect/10074733072513#/reservations/30654356603123?display=YQ91SF9R9&amp;reservation_id=30654356603123", "YQ91SF9R9")</f>
        <v>YQ91SF9R9</v>
      </c>
      <c r="B1977" t="s">
        <v>283</v>
      </c>
      <c r="C1977">
        <v>64.150000000000006</v>
      </c>
      <c r="D1977">
        <v>69.72</v>
      </c>
      <c r="E1977">
        <v>69.73</v>
      </c>
      <c r="F1977">
        <v>-0.01</v>
      </c>
    </row>
    <row r="1978" spans="1:6" x14ac:dyDescent="0.3">
      <c r="A1978" t="str">
        <f>HYPERLINK("https://us2.cloudbeds.com/connect/10074733072513#/reservations/30654448201938?display=YQ946N5JW&amp;reservation_id=30654448201938", "YQ946N5JW")</f>
        <v>YQ946N5JW</v>
      </c>
      <c r="B1978" t="s">
        <v>284</v>
      </c>
      <c r="C1978">
        <v>250.2</v>
      </c>
      <c r="D1978">
        <v>271.95999999999998</v>
      </c>
      <c r="E1978">
        <v>271.97000000000003</v>
      </c>
      <c r="F1978">
        <v>-0.01</v>
      </c>
    </row>
    <row r="1979" spans="1:6" x14ac:dyDescent="0.3">
      <c r="A1979" t="str">
        <f>HYPERLINK("https://us2.cloudbeds.com/connect/10074733072513#/reservations/30653426311366?display=YQ8B30XE0&amp;reservation_id=30653426311366", "YQ8B30XE0")</f>
        <v>YQ8B30XE0</v>
      </c>
      <c r="B1979" t="s">
        <v>284</v>
      </c>
      <c r="C1979">
        <v>134.1</v>
      </c>
      <c r="D1979">
        <v>145.76</v>
      </c>
      <c r="E1979">
        <v>145.77000000000001</v>
      </c>
      <c r="F1979">
        <v>-0.01</v>
      </c>
    </row>
    <row r="1980" spans="1:6" x14ac:dyDescent="0.3">
      <c r="A1980" t="str">
        <f>HYPERLINK("https://us2.cloudbeds.com/connect/10074733072513#/reservations/30653403349216?display=YQ8AGYJT9&amp;reservation_id=30653403349216", "YQ8AGYJT9")</f>
        <v>YQ8AGYJT9</v>
      </c>
      <c r="B1980" t="s">
        <v>209</v>
      </c>
      <c r="C1980">
        <v>268.2</v>
      </c>
      <c r="D1980">
        <v>291.52</v>
      </c>
      <c r="E1980">
        <v>291.52999999999997</v>
      </c>
      <c r="F1980">
        <v>-0.01</v>
      </c>
    </row>
    <row r="1981" spans="1:6" x14ac:dyDescent="0.3">
      <c r="A1981" t="str">
        <f>HYPERLINK("https://us2.cloudbeds.com/connect/10074733072513#/reservations/30654282981530?display=YQ8WWCM1V&amp;reservation_id=30654282981530", "YQ8WWCM1V")</f>
        <v>YQ8WWCM1V</v>
      </c>
      <c r="B1981" t="s">
        <v>272</v>
      </c>
      <c r="C1981">
        <v>64.150000000000006</v>
      </c>
      <c r="D1981">
        <v>69.72</v>
      </c>
      <c r="E1981">
        <v>69.73</v>
      </c>
      <c r="F1981">
        <v>-0.01</v>
      </c>
    </row>
    <row r="1982" spans="1:6" x14ac:dyDescent="0.3">
      <c r="A1982" t="str">
        <f>HYPERLINK("https://us2.cloudbeds.com/connect/10074733072513#/reservations/30656269451495?display=YQAHZE42G&amp;reservation_id=30656269451495", "YQAHZE42G")</f>
        <v>YQAHZE42G</v>
      </c>
      <c r="B1982" t="s">
        <v>286</v>
      </c>
      <c r="C1982">
        <v>64.150000000000006</v>
      </c>
      <c r="D1982">
        <v>69.72</v>
      </c>
      <c r="E1982">
        <v>69.73</v>
      </c>
      <c r="F1982">
        <v>-0.01</v>
      </c>
    </row>
    <row r="1983" spans="1:6" x14ac:dyDescent="0.3">
      <c r="A1983" t="str">
        <f>HYPERLINK("https://us2.cloudbeds.com/connect/10074733072513#/reservations/30656434307275?display=YQAYVEFQ6&amp;reservation_id=30656434307275", "YQAYVEFQ6")</f>
        <v>YQAYVEFQ6</v>
      </c>
      <c r="B1983" t="s">
        <v>287</v>
      </c>
      <c r="C1983">
        <v>90.07</v>
      </c>
      <c r="D1983">
        <v>97.9</v>
      </c>
      <c r="E1983">
        <v>97.91</v>
      </c>
      <c r="F1983">
        <v>-0.01</v>
      </c>
    </row>
    <row r="1984" spans="1:6" x14ac:dyDescent="0.3">
      <c r="A1984" t="str">
        <f>HYPERLINK("https://us2.cloudbeds.com/connect/10074733072513#/reservations/30653412159628?display=YQ8AZ2P8F&amp;reservation_id=30653412159628", "YQ8AZ2P8F")</f>
        <v>YQ8AZ2P8F</v>
      </c>
      <c r="B1984" t="s">
        <v>286</v>
      </c>
      <c r="C1984">
        <v>64.150000000000006</v>
      </c>
      <c r="D1984">
        <v>69.72</v>
      </c>
      <c r="E1984">
        <v>69.73</v>
      </c>
      <c r="F1984">
        <v>-0.01</v>
      </c>
    </row>
    <row r="1985" spans="1:6" x14ac:dyDescent="0.3">
      <c r="A1985" t="str">
        <f>HYPERLINK("https://us2.cloudbeds.com/connect/10074733072513#/reservations/30653403345137?display=YQ8AGYG4M&amp;reservation_id=30653403345137", "YQ8AGYG4M")</f>
        <v>YQ8AGYG4M</v>
      </c>
      <c r="B1985" t="s">
        <v>286</v>
      </c>
      <c r="C1985">
        <v>64.150000000000006</v>
      </c>
      <c r="D1985">
        <v>69.72</v>
      </c>
      <c r="E1985">
        <v>69.73</v>
      </c>
      <c r="F1985">
        <v>-0.01</v>
      </c>
    </row>
    <row r="1986" spans="1:6" x14ac:dyDescent="0.3">
      <c r="A1986" t="str">
        <f>HYPERLINK("https://us2.cloudbeds.com/connect/10074733072513#/reservations/30656489095321?display=YQANBY170&amp;reservation_id=30656489095321", "YQANBY170")</f>
        <v>YQANBY170</v>
      </c>
      <c r="B1986" t="s">
        <v>279</v>
      </c>
      <c r="C1986">
        <v>267.3</v>
      </c>
      <c r="D1986">
        <v>290.55</v>
      </c>
      <c r="E1986">
        <v>290.56</v>
      </c>
      <c r="F1986">
        <v>-0.01</v>
      </c>
    </row>
    <row r="1987" spans="1:6" x14ac:dyDescent="0.3">
      <c r="A1987" t="str">
        <f>HYPERLINK("https://us2.cloudbeds.com/connect/10074733072513#/reservations/30653469802741?display=YQ8C6MPDF&amp;reservation_id=30653469802741", "YQ8C6MPDF")</f>
        <v>YQ8C6MPDF</v>
      </c>
      <c r="B1987" t="s">
        <v>288</v>
      </c>
      <c r="C1987">
        <v>64.150000000000006</v>
      </c>
      <c r="D1987">
        <v>69.72</v>
      </c>
      <c r="E1987">
        <v>69.73</v>
      </c>
      <c r="F1987">
        <v>-0.01</v>
      </c>
    </row>
    <row r="1988" spans="1:6" x14ac:dyDescent="0.3">
      <c r="A1988" t="str">
        <f>HYPERLINK("https://us2.cloudbeds.com/connect/10074733072513#/reservations/30654130057379?display=YQ8T2EARP&amp;reservation_id=30654130057379", "YQ8T2EARP")</f>
        <v>YQ8T2EARP</v>
      </c>
      <c r="B1988" t="s">
        <v>279</v>
      </c>
      <c r="C1988">
        <v>64.150000000000006</v>
      </c>
      <c r="D1988">
        <v>69.72</v>
      </c>
      <c r="E1988">
        <v>69.73</v>
      </c>
      <c r="F1988">
        <v>-0.01</v>
      </c>
    </row>
    <row r="1989" spans="1:6" x14ac:dyDescent="0.3">
      <c r="A1989" t="str">
        <f>HYPERLINK("https://us2.cloudbeds.com/connect/10074733072513#/reservations/30656383611077?display=YQAKYMPQP&amp;reservation_id=30656383611077", "YQAKYMPQP")</f>
        <v>YQAKYMPQP</v>
      </c>
      <c r="B1989" t="s">
        <v>289</v>
      </c>
      <c r="C1989">
        <v>64.150000000000006</v>
      </c>
      <c r="D1989">
        <v>69.72</v>
      </c>
      <c r="E1989">
        <v>69.73</v>
      </c>
      <c r="F1989">
        <v>-0.01</v>
      </c>
    </row>
    <row r="1990" spans="1:6" x14ac:dyDescent="0.3">
      <c r="A1990" t="str">
        <f>HYPERLINK("https://us2.cloudbeds.com/connect/10074733072513#/reservations/30653516230818?display=YQ8DCRN2S&amp;reservation_id=30653516230818", "YQ8DCRN2S")</f>
        <v>YQ8DCRN2S</v>
      </c>
      <c r="B1990" t="s">
        <v>290</v>
      </c>
      <c r="C1990">
        <v>64.150000000000006</v>
      </c>
      <c r="D1990">
        <v>69.72</v>
      </c>
      <c r="E1990">
        <v>69.73</v>
      </c>
      <c r="F1990">
        <v>-0.01</v>
      </c>
    </row>
    <row r="1991" spans="1:6" x14ac:dyDescent="0.3">
      <c r="A1991" t="str">
        <f>HYPERLINK("https://us2.cloudbeds.com/connect/10074733072513#/reservations/30656397070512?display=YQAY01A8E&amp;reservation_id=30656397070512", "YQAY01A8E")</f>
        <v>YQAY01A8E</v>
      </c>
      <c r="B1991" t="s">
        <v>287</v>
      </c>
      <c r="C1991">
        <v>134.1</v>
      </c>
      <c r="D1991">
        <v>145.76</v>
      </c>
      <c r="E1991">
        <v>145.77000000000001</v>
      </c>
      <c r="F1991">
        <v>-0.01</v>
      </c>
    </row>
    <row r="1992" spans="1:6" x14ac:dyDescent="0.3">
      <c r="A1992" t="str">
        <f>HYPERLINK("https://us2.cloudbeds.com/connect/10074733072513#/reservations/30656381345922?display=YQAKJPZPN&amp;reservation_id=30656381345922", "YQAKJPZPN")</f>
        <v>YQAKJPZPN</v>
      </c>
      <c r="B1992" t="s">
        <v>289</v>
      </c>
      <c r="C1992">
        <v>64.150000000000006</v>
      </c>
      <c r="D1992">
        <v>69.72</v>
      </c>
      <c r="E1992">
        <v>69.73</v>
      </c>
      <c r="F1992">
        <v>-0.01</v>
      </c>
    </row>
    <row r="1993" spans="1:6" x14ac:dyDescent="0.3">
      <c r="A1993" t="str">
        <f>HYPERLINK("https://us2.cloudbeds.com/connect/10074733072513#/reservations/30653807333605?display=YQ8KRA23E&amp;reservation_id=30653807333605", "YQ8KRA23E")</f>
        <v>YQ8KRA23E</v>
      </c>
      <c r="B1993" t="s">
        <v>278</v>
      </c>
      <c r="C1993">
        <v>127.2</v>
      </c>
      <c r="D1993">
        <v>138.26</v>
      </c>
      <c r="E1993">
        <v>138.27000000000001</v>
      </c>
      <c r="F1993">
        <v>-0.01</v>
      </c>
    </row>
    <row r="1994" spans="1:6" x14ac:dyDescent="0.3">
      <c r="A1994" t="str">
        <f>HYPERLINK("https://us2.cloudbeds.com/connect/10074733072513#/reservations/30653637755010?display=YQ8GGA9X5&amp;reservation_id=30653637755010", "YQ8GGA9X5")</f>
        <v>YQ8GGA9X5</v>
      </c>
      <c r="B1994" t="s">
        <v>265</v>
      </c>
      <c r="C1994">
        <v>103.2</v>
      </c>
      <c r="D1994">
        <v>112.17</v>
      </c>
      <c r="E1994">
        <v>112.18</v>
      </c>
      <c r="F1994">
        <v>-0.01</v>
      </c>
    </row>
    <row r="1995" spans="1:6" x14ac:dyDescent="0.3">
      <c r="A1995" t="str">
        <f>HYPERLINK("https://us2.cloudbeds.com/connect/10074733072513#/reservations/30656404918471?display=YQAY6YMRB&amp;reservation_id=30656404918471", "YQAY6YMRB")</f>
        <v>YQAY6YMRB</v>
      </c>
      <c r="B1995" t="s">
        <v>287</v>
      </c>
      <c r="C1995">
        <v>113.2</v>
      </c>
      <c r="D1995">
        <v>123.04</v>
      </c>
      <c r="E1995">
        <v>123.05</v>
      </c>
      <c r="F1995">
        <v>-0.01</v>
      </c>
    </row>
    <row r="1996" spans="1:6" x14ac:dyDescent="0.3">
      <c r="A1996" t="str">
        <f>HYPERLINK("https://us2.cloudbeds.com/connect/10074733072513#/reservations/30654391947450?display=YQ92P8QJH&amp;reservation_id=30654391947450", "YQ92P8QJH")</f>
        <v>YQ92P8QJH</v>
      </c>
      <c r="B1996" t="s">
        <v>291</v>
      </c>
      <c r="C1996">
        <v>64.150000000000006</v>
      </c>
      <c r="D1996">
        <v>69.72</v>
      </c>
      <c r="E1996">
        <v>69.73</v>
      </c>
      <c r="F1996">
        <v>-0.01</v>
      </c>
    </row>
    <row r="1997" spans="1:6" x14ac:dyDescent="0.3">
      <c r="A1997" t="str">
        <f>HYPERLINK("https://us2.cloudbeds.com/connect/10074733072513#/reservations/30654394032272?display=YQ92R0R0V&amp;reservation_id=30654394032272", "YQ92R0R0V")</f>
        <v>YQ92R0R0V</v>
      </c>
      <c r="B1997" t="s">
        <v>291</v>
      </c>
      <c r="C1997">
        <v>64.150000000000006</v>
      </c>
      <c r="D1997">
        <v>69.72</v>
      </c>
      <c r="E1997">
        <v>69.73</v>
      </c>
      <c r="F1997">
        <v>-0.01</v>
      </c>
    </row>
    <row r="1998" spans="1:6" x14ac:dyDescent="0.3">
      <c r="A1998" t="str">
        <f>HYPERLINK("https://us2.cloudbeds.com/connect/10074733072513#/reservations/30654845333632?display=YQ9EBXRFX&amp;reservation_id=30654845333632", "YQ9EBXRFX")</f>
        <v>YQ9EBXRFX</v>
      </c>
      <c r="B1998" t="s">
        <v>277</v>
      </c>
      <c r="C1998">
        <v>294.3</v>
      </c>
      <c r="D1998">
        <v>319.89</v>
      </c>
      <c r="E1998">
        <v>319.89999999999998</v>
      </c>
      <c r="F1998">
        <v>-0.01</v>
      </c>
    </row>
    <row r="1999" spans="1:6" x14ac:dyDescent="0.3">
      <c r="A1999" t="str">
        <f>HYPERLINK("https://us2.cloudbeds.com/connect/10074733072513#/reservations/30655069626587?display=YQ9K2N7FV&amp;reservation_id=30655069626587", "YQ9K2N7FV")</f>
        <v>YQ9K2N7FV</v>
      </c>
      <c r="B1999" t="s">
        <v>277</v>
      </c>
      <c r="C1999">
        <v>250.2</v>
      </c>
      <c r="D1999">
        <v>271.95999999999998</v>
      </c>
      <c r="E1999">
        <v>271.97000000000003</v>
      </c>
      <c r="F1999">
        <v>-0.01</v>
      </c>
    </row>
    <row r="2000" spans="1:6" x14ac:dyDescent="0.3">
      <c r="A2000" t="str">
        <f>HYPERLINK("https://us2.cloudbeds.com/connect/10074733072513#/reservations/30654538686607?display=YQ96H019Y&amp;reservation_id=30654538686607", "YQ96H019Y")</f>
        <v>YQ96H019Y</v>
      </c>
      <c r="B2000" t="s">
        <v>245</v>
      </c>
      <c r="C2000">
        <v>64.150000000000006</v>
      </c>
      <c r="D2000">
        <v>69.72</v>
      </c>
      <c r="E2000">
        <v>69.73</v>
      </c>
      <c r="F2000">
        <v>-0.01</v>
      </c>
    </row>
    <row r="2001" spans="1:6" x14ac:dyDescent="0.3">
      <c r="A2001" t="str">
        <f>HYPERLINK("https://us2.cloudbeds.com/connect/10074733072513#/reservations/30654148260076?display=YQ8THPRTY&amp;reservation_id=30654148260076", "YQ8THPRTY")</f>
        <v>YQ8THPRTY</v>
      </c>
      <c r="B2001" t="s">
        <v>279</v>
      </c>
      <c r="C2001">
        <v>64.150000000000006</v>
      </c>
      <c r="D2001">
        <v>69.72</v>
      </c>
      <c r="E2001">
        <v>69.73</v>
      </c>
      <c r="F2001">
        <v>-0.01</v>
      </c>
    </row>
    <row r="2002" spans="1:6" x14ac:dyDescent="0.3">
      <c r="A2002" t="str">
        <f>HYPERLINK("https://us2.cloudbeds.com/connect/10074733072513#/reservations/30654143414421?display=YQ8TDN08K&amp;reservation_id=30654143414421", "YQ8TDN08K")</f>
        <v>YQ8TDN08K</v>
      </c>
      <c r="B2002" t="s">
        <v>279</v>
      </c>
      <c r="C2002">
        <v>64.150000000000006</v>
      </c>
      <c r="D2002">
        <v>69.72</v>
      </c>
      <c r="E2002">
        <v>69.73</v>
      </c>
      <c r="F2002">
        <v>-0.01</v>
      </c>
    </row>
    <row r="2003" spans="1:6" x14ac:dyDescent="0.3">
      <c r="A2003" t="str">
        <f>HYPERLINK("https://us2.cloudbeds.com/connect/10074733072513#/reservations/30656441549022?display=YQAM4HWN2&amp;reservation_id=30656441549022", "YQAM4HWN2")</f>
        <v>YQAM4HWN2</v>
      </c>
      <c r="B2003" t="s">
        <v>292</v>
      </c>
      <c r="C2003">
        <v>64.150000000000006</v>
      </c>
      <c r="D2003">
        <v>69.72</v>
      </c>
      <c r="E2003">
        <v>69.73</v>
      </c>
      <c r="F2003">
        <v>-0.01</v>
      </c>
    </row>
    <row r="2004" spans="1:6" x14ac:dyDescent="0.3">
      <c r="A2004" t="str">
        <f>HYPERLINK("https://us2.cloudbeds.com/connect/10074733072513#/reservations/30653666177247?display=YQ8H795V2&amp;reservation_id=30653666177247", "YQ8H795V2")</f>
        <v>YQ8H795V2</v>
      </c>
      <c r="B2004" t="s">
        <v>257</v>
      </c>
      <c r="C2004">
        <v>158.91999999999999</v>
      </c>
      <c r="D2004">
        <v>172.74</v>
      </c>
      <c r="E2004">
        <v>172.75</v>
      </c>
      <c r="F2004">
        <v>-0.01</v>
      </c>
    </row>
    <row r="2005" spans="1:6" x14ac:dyDescent="0.3">
      <c r="A2005" t="str">
        <f>HYPERLINK("https://us2.cloudbeds.com/connect/10074733072513#/reservations/30653676470400?display=YQ8HFVG5K&amp;reservation_id=30653676470400", "YQ8HFVG5K")</f>
        <v>YQ8HFVG5K</v>
      </c>
      <c r="B2005" t="s">
        <v>257</v>
      </c>
      <c r="C2005">
        <v>158.91999999999999</v>
      </c>
      <c r="D2005">
        <v>172.74</v>
      </c>
      <c r="E2005">
        <v>172.75</v>
      </c>
      <c r="F2005">
        <v>-0.01</v>
      </c>
    </row>
    <row r="2006" spans="1:6" x14ac:dyDescent="0.3">
      <c r="A2006" t="str">
        <f>HYPERLINK("https://us2.cloudbeds.com/connect/10074733072513#/reservations/30656307339401?display=YQAXNCDHS&amp;reservation_id=30656307339401", "YQAXNCDHS")</f>
        <v>YQAXNCDHS</v>
      </c>
      <c r="B2006" t="s">
        <v>292</v>
      </c>
      <c r="C2006">
        <v>64.150000000000006</v>
      </c>
      <c r="D2006">
        <v>69.72</v>
      </c>
      <c r="E2006">
        <v>69.73</v>
      </c>
      <c r="F2006">
        <v>-0.01</v>
      </c>
    </row>
    <row r="2007" spans="1:6" x14ac:dyDescent="0.3">
      <c r="A2007" t="str">
        <f>HYPERLINK("https://us2.cloudbeds.com/connect/10074733072513#/reservations/30656436383883?display=YQAM068MN&amp;reservation_id=30656436383883", "YQAM068MN")</f>
        <v>YQAM068MN</v>
      </c>
      <c r="B2007" t="s">
        <v>292</v>
      </c>
      <c r="C2007">
        <v>64.150000000000006</v>
      </c>
      <c r="D2007">
        <v>69.72</v>
      </c>
      <c r="E2007">
        <v>69.73</v>
      </c>
      <c r="F2007">
        <v>-0.01</v>
      </c>
    </row>
    <row r="2008" spans="1:6" x14ac:dyDescent="0.3">
      <c r="A2008" t="str">
        <f>HYPERLINK("https://us2.cloudbeds.com/connect/10074733072513#/reservations/30654548770947?display=YQ96PGYFN&amp;reservation_id=30654548770947", "YQ96PGYFN")</f>
        <v>YQ96PGYFN</v>
      </c>
      <c r="B2008" t="s">
        <v>245</v>
      </c>
      <c r="C2008">
        <v>64.150000000000006</v>
      </c>
      <c r="D2008">
        <v>69.72</v>
      </c>
      <c r="E2008">
        <v>69.73</v>
      </c>
      <c r="F2008">
        <v>-0.01</v>
      </c>
    </row>
    <row r="2009" spans="1:6" x14ac:dyDescent="0.3">
      <c r="A2009" t="str">
        <f>HYPERLINK("https://us2.cloudbeds.com/connect/10074733072513#/reservations/30654154002562?display=YQ8TMKY2B&amp;reservation_id=30654154002562", "YQ8TMKY2B")</f>
        <v>YQ8TMKY2B</v>
      </c>
      <c r="B2009" t="s">
        <v>279</v>
      </c>
      <c r="C2009">
        <v>64.150000000000006</v>
      </c>
      <c r="D2009">
        <v>69.72</v>
      </c>
      <c r="E2009">
        <v>69.73</v>
      </c>
      <c r="F2009">
        <v>-0.01</v>
      </c>
    </row>
    <row r="2010" spans="1:6" x14ac:dyDescent="0.3">
      <c r="A2010" t="str">
        <f>HYPERLINK("https://us2.cloudbeds.com/connect/10074733072513#/reservations/30656453267696?display=YQAMEE2YD&amp;reservation_id=30656453267696", "YQAMEE2YD")</f>
        <v>YQAMEE2YD</v>
      </c>
      <c r="B2010" t="s">
        <v>293</v>
      </c>
      <c r="C2010">
        <v>64.150000000000006</v>
      </c>
      <c r="D2010">
        <v>69.72</v>
      </c>
      <c r="E2010">
        <v>69.73</v>
      </c>
      <c r="F2010">
        <v>-0.01</v>
      </c>
    </row>
    <row r="2011" spans="1:6" x14ac:dyDescent="0.3">
      <c r="A2011" t="str">
        <f>HYPERLINK("https://us2.cloudbeds.com/connect/10074733072513#/reservations/30654554657003?display=YQ96UFEG1&amp;reservation_id=30654554657003", "YQ96UFEG1")</f>
        <v>YQ96UFEG1</v>
      </c>
      <c r="B2011" t="s">
        <v>245</v>
      </c>
      <c r="C2011">
        <v>64.150000000000006</v>
      </c>
      <c r="D2011">
        <v>69.72</v>
      </c>
      <c r="E2011">
        <v>69.73</v>
      </c>
      <c r="F2011">
        <v>-0.01</v>
      </c>
    </row>
    <row r="2012" spans="1:6" x14ac:dyDescent="0.3">
      <c r="A2012" t="str">
        <f>HYPERLINK("https://us2.cloudbeds.com/connect/10074733072513#/reservations/30656048124067?display=YQAC2QBUZ&amp;reservation_id=30656048124067", "YQAC2QBUZ")</f>
        <v>YQAC2QBUZ</v>
      </c>
      <c r="B2012" t="s">
        <v>295</v>
      </c>
      <c r="C2012">
        <v>196.2</v>
      </c>
      <c r="D2012">
        <v>213.26</v>
      </c>
      <c r="E2012">
        <v>213.27</v>
      </c>
      <c r="F2012">
        <v>-0.01</v>
      </c>
    </row>
    <row r="2013" spans="1:6" x14ac:dyDescent="0.3">
      <c r="A2013" t="str">
        <f>HYPERLINK("https://us2.cloudbeds.com/connect/10074733072513#/reservations/30655016005842?display=YQ9XNG4VT&amp;reservation_id=30655016005842", "YQ9XNG4VT")</f>
        <v>YQ9XNG4VT</v>
      </c>
      <c r="B2013" t="s">
        <v>296</v>
      </c>
      <c r="C2013">
        <v>192.05</v>
      </c>
      <c r="D2013">
        <v>208.75</v>
      </c>
      <c r="E2013">
        <v>208.76</v>
      </c>
      <c r="F2013">
        <v>-0.01</v>
      </c>
    </row>
    <row r="2014" spans="1:6" x14ac:dyDescent="0.3">
      <c r="A2014" t="str">
        <f>HYPERLINK("https://us2.cloudbeds.com/connect/10074733072513#/reservations/30654490165443?display=YQ9592SJB&amp;reservation_id=30654490165443", "YQ9592SJB")</f>
        <v>YQ9592SJB</v>
      </c>
      <c r="B2014" t="s">
        <v>298</v>
      </c>
      <c r="C2014">
        <v>80.19</v>
      </c>
      <c r="D2014">
        <v>87.16</v>
      </c>
      <c r="E2014">
        <v>87.17</v>
      </c>
      <c r="F2014">
        <v>-0.01</v>
      </c>
    </row>
    <row r="2015" spans="1:6" x14ac:dyDescent="0.3">
      <c r="A2015" t="str">
        <f>HYPERLINK("https://us2.cloudbeds.com/connect/10074733072513#/reservations/30656029032675?display=YQABJN3QN&amp;reservation_id=30656029032675", "YQABJN3QN")</f>
        <v>YQABJN3QN</v>
      </c>
      <c r="B2015" t="s">
        <v>299</v>
      </c>
      <c r="C2015">
        <v>87.2</v>
      </c>
      <c r="D2015">
        <v>94.78</v>
      </c>
      <c r="E2015">
        <v>94.79</v>
      </c>
      <c r="F2015">
        <v>-0.01</v>
      </c>
    </row>
    <row r="2016" spans="1:6" x14ac:dyDescent="0.3">
      <c r="A2016" t="str">
        <f>HYPERLINK("https://us2.cloudbeds.com/connect/10074733072513#/reservations/30656090300564?display=YQAD5BWGD&amp;reservation_id=30656090300564", "YQAD5BWGD")</f>
        <v>YQAD5BWGD</v>
      </c>
      <c r="B2016" t="s">
        <v>295</v>
      </c>
      <c r="C2016">
        <v>83.2</v>
      </c>
      <c r="D2016">
        <v>90.43</v>
      </c>
      <c r="E2016">
        <v>90.44</v>
      </c>
      <c r="F2016">
        <v>-0.01</v>
      </c>
    </row>
    <row r="2017" spans="1:6" x14ac:dyDescent="0.3">
      <c r="A2017" t="str">
        <f>HYPERLINK("https://us2.cloudbeds.com/connect/10074733072513#/reservations/30653714628783?display=YQ8XF4DNE&amp;reservation_id=30653714628783", "YQ8XF4DNE")</f>
        <v>YQ8XF4DNE</v>
      </c>
      <c r="B2017" t="s">
        <v>300</v>
      </c>
      <c r="C2017">
        <v>64.150000000000006</v>
      </c>
      <c r="D2017">
        <v>69.72</v>
      </c>
      <c r="E2017">
        <v>69.73</v>
      </c>
      <c r="F2017">
        <v>-0.01</v>
      </c>
    </row>
    <row r="2018" spans="1:6" x14ac:dyDescent="0.3">
      <c r="A2018" t="str">
        <f>HYPERLINK("https://us2.cloudbeds.com/connect/10074733072513#/reservations/30656497152199?display=YQANXE7KR&amp;reservation_id=30656497152199", "YQANXE7KR")</f>
        <v>YQANXE7KR</v>
      </c>
      <c r="B2018" t="s">
        <v>301</v>
      </c>
      <c r="C2018">
        <v>64.150000000000006</v>
      </c>
      <c r="D2018">
        <v>69.72</v>
      </c>
      <c r="E2018">
        <v>69.73</v>
      </c>
      <c r="F2018">
        <v>-0.01</v>
      </c>
    </row>
    <row r="2019" spans="1:6" x14ac:dyDescent="0.3">
      <c r="A2019" t="str">
        <f>HYPERLINK("https://us2.cloudbeds.com/connect/10074733072513#/reservations/30656156197026?display=YQAERUYFT&amp;reservation_id=30656156197026", "YQAERUYFT")</f>
        <v>YQAERUYFT</v>
      </c>
      <c r="B2019" t="s">
        <v>302</v>
      </c>
      <c r="C2019">
        <v>90.07</v>
      </c>
      <c r="D2019">
        <v>97.9</v>
      </c>
      <c r="E2019">
        <v>97.91</v>
      </c>
      <c r="F2019">
        <v>-0.01</v>
      </c>
    </row>
    <row r="2020" spans="1:6" x14ac:dyDescent="0.3">
      <c r="A2020" t="str">
        <f>HYPERLINK("https://us2.cloudbeds.com/connect/10074733072513#/reservations/30654765555891?display=YQ9CAA0CD&amp;reservation_id=30654765555891", "YQ9CAA0CD")</f>
        <v>YQ9CAA0CD</v>
      </c>
      <c r="B2020" t="s">
        <v>295</v>
      </c>
      <c r="C2020">
        <v>83.2</v>
      </c>
      <c r="D2020">
        <v>90.43</v>
      </c>
      <c r="E2020">
        <v>90.44</v>
      </c>
      <c r="F2020">
        <v>-0.01</v>
      </c>
    </row>
    <row r="2021" spans="1:6" x14ac:dyDescent="0.3">
      <c r="A2021" t="str">
        <f>HYPERLINK("https://us2.cloudbeds.com/connect/10074733072513#/reservations/30656454525078?display=YQAMFG28T&amp;reservation_id=30656454525078", "YQAMFG28T")</f>
        <v>YQAMFG28T</v>
      </c>
      <c r="B2021" t="s">
        <v>293</v>
      </c>
      <c r="C2021">
        <v>64.150000000000006</v>
      </c>
      <c r="D2021">
        <v>69.72</v>
      </c>
      <c r="E2021">
        <v>69.73</v>
      </c>
      <c r="F2021">
        <v>-0.01</v>
      </c>
    </row>
    <row r="2022" spans="1:6" x14ac:dyDescent="0.3">
      <c r="A2022" t="str">
        <f>HYPERLINK("https://us2.cloudbeds.com/connect/10074733072513#/reservations/30654568952027?display=YQ979H77J&amp;reservation_id=30654568952027", "YQ979H77J")</f>
        <v>YQ979H77J</v>
      </c>
      <c r="B2022" t="s">
        <v>278</v>
      </c>
      <c r="C2022">
        <v>134.1</v>
      </c>
      <c r="D2022">
        <v>145.76</v>
      </c>
      <c r="E2022">
        <v>145.77000000000001</v>
      </c>
      <c r="F2022">
        <v>-0.01</v>
      </c>
    </row>
    <row r="2023" spans="1:6" x14ac:dyDescent="0.3">
      <c r="A2023" t="str">
        <f>HYPERLINK("https://us2.cloudbeds.com/connect/10074733072513#/reservations/30656462725362?display=YQAMMD8CB&amp;reservation_id=30656462725362", "YQAMMD8CB")</f>
        <v>YQAMMD8CB</v>
      </c>
      <c r="B2023" t="s">
        <v>293</v>
      </c>
      <c r="C2023">
        <v>64.150000000000006</v>
      </c>
      <c r="D2023">
        <v>69.72</v>
      </c>
      <c r="E2023">
        <v>69.73</v>
      </c>
      <c r="F2023">
        <v>-0.01</v>
      </c>
    </row>
    <row r="2024" spans="1:6" x14ac:dyDescent="0.3">
      <c r="A2024" t="str">
        <f>HYPERLINK("https://us2.cloudbeds.com/connect/10074733072513#/reservations/30653819703479?display=YQ8Y4Z914&amp;reservation_id=30653819703479", "YQ8Y4Z914")</f>
        <v>YQ8Y4Z914</v>
      </c>
      <c r="B2024" t="s">
        <v>278</v>
      </c>
      <c r="C2024">
        <v>90.07</v>
      </c>
      <c r="D2024">
        <v>97.9</v>
      </c>
      <c r="E2024">
        <v>97.91</v>
      </c>
      <c r="F2024">
        <v>-0.01</v>
      </c>
    </row>
    <row r="2025" spans="1:6" x14ac:dyDescent="0.3">
      <c r="A2025" t="str">
        <f>HYPERLINK("https://us2.cloudbeds.com/connect/10074733072513#/reservations/30656511582433?display=YQANUJPHY&amp;reservation_id=30656511582433", "YQANUJPHY")</f>
        <v>YQANUJPHY</v>
      </c>
      <c r="B2025" t="s">
        <v>303</v>
      </c>
      <c r="C2025">
        <v>64.150000000000006</v>
      </c>
      <c r="D2025">
        <v>69.72</v>
      </c>
      <c r="E2025">
        <v>69.73</v>
      </c>
      <c r="F2025">
        <v>-0.01</v>
      </c>
    </row>
    <row r="2026" spans="1:6" x14ac:dyDescent="0.3">
      <c r="A2026" t="str">
        <f>HYPERLINK("https://us2.cloudbeds.com/connect/10074733072513#/reservations/30656513298679?display=YQANW1HH3&amp;reservation_id=30656513298679", "YQANW1HH3")</f>
        <v>YQANW1HH3</v>
      </c>
      <c r="B2026" t="s">
        <v>303</v>
      </c>
      <c r="C2026">
        <v>64.150000000000006</v>
      </c>
      <c r="D2026">
        <v>69.72</v>
      </c>
      <c r="E2026">
        <v>69.73</v>
      </c>
      <c r="F2026">
        <v>-0.01</v>
      </c>
    </row>
    <row r="2027" spans="1:6" x14ac:dyDescent="0.3">
      <c r="A2027" t="str">
        <f>HYPERLINK("https://us2.cloudbeds.com/connect/10074733072513#/reservations/30656517456013?display=YQAZ2X72U&amp;reservation_id=30656517456013", "YQAZ2X72U")</f>
        <v>YQAZ2X72U</v>
      </c>
      <c r="B2027" t="s">
        <v>303</v>
      </c>
      <c r="C2027">
        <v>64.150000000000006</v>
      </c>
      <c r="D2027">
        <v>69.72</v>
      </c>
      <c r="E2027">
        <v>69.73</v>
      </c>
      <c r="F2027">
        <v>-0.01</v>
      </c>
    </row>
    <row r="2028" spans="1:6" x14ac:dyDescent="0.3">
      <c r="A2028" t="str">
        <f>HYPERLINK("https://us2.cloudbeds.com/connect/10074733072513#/reservations/30656522563809?display=YQAZ6SBEJ&amp;reservation_id=30656522563809", "YQAZ6SBEJ")</f>
        <v>YQAZ6SBEJ</v>
      </c>
      <c r="B2028" t="s">
        <v>303</v>
      </c>
      <c r="C2028">
        <v>64.150000000000006</v>
      </c>
      <c r="D2028">
        <v>69.72</v>
      </c>
      <c r="E2028">
        <v>69.73</v>
      </c>
      <c r="F2028">
        <v>-0.01</v>
      </c>
    </row>
    <row r="2029" spans="1:6" x14ac:dyDescent="0.3">
      <c r="A2029" t="str">
        <f>HYPERLINK("https://us2.cloudbeds.com/connect/10074733072513#/reservations/30656533266656?display=YQAZFT5JA&amp;reservation_id=30656533266656", "YQAZFT5JA")</f>
        <v>YQAZFT5JA</v>
      </c>
      <c r="B2029" t="s">
        <v>303</v>
      </c>
      <c r="C2029">
        <v>64.150000000000006</v>
      </c>
      <c r="D2029">
        <v>69.72</v>
      </c>
      <c r="E2029">
        <v>69.73</v>
      </c>
      <c r="F2029">
        <v>-0.01</v>
      </c>
    </row>
    <row r="2030" spans="1:6" x14ac:dyDescent="0.3">
      <c r="A2030" t="str">
        <f>HYPERLINK("https://us2.cloudbeds.com/connect/10074733072513#/reservations/30656504995982?display=YQANP1GC7&amp;reservation_id=30656504995982", "YQANP1GC7")</f>
        <v>YQANP1GC7</v>
      </c>
      <c r="B2030" t="s">
        <v>303</v>
      </c>
      <c r="C2030">
        <v>87.2</v>
      </c>
      <c r="D2030">
        <v>94.78</v>
      </c>
      <c r="E2030">
        <v>94.79</v>
      </c>
      <c r="F2030">
        <v>-0.01</v>
      </c>
    </row>
    <row r="2031" spans="1:6" x14ac:dyDescent="0.3">
      <c r="A2031" t="str">
        <f>HYPERLINK("https://us2.cloudbeds.com/connect/10074733072513#/reservations/30653718257806?display=YQ8XX6D4R&amp;reservation_id=30653718257806", "YQ8XX6D4R")</f>
        <v>YQ8XX6D4R</v>
      </c>
      <c r="B2031" t="s">
        <v>300</v>
      </c>
      <c r="C2031">
        <v>64.150000000000006</v>
      </c>
      <c r="D2031">
        <v>69.72</v>
      </c>
      <c r="E2031">
        <v>69.73</v>
      </c>
      <c r="F2031">
        <v>-0.01</v>
      </c>
    </row>
    <row r="2032" spans="1:6" x14ac:dyDescent="0.3">
      <c r="A2032" t="str">
        <f>HYPERLINK("https://us2.cloudbeds.com/connect/10074733072513#/reservations/30656538804406?display=YQAZKX8ZU&amp;reservation_id=30656538804406", "YQAZKX8ZU")</f>
        <v>YQAZKX8ZU</v>
      </c>
      <c r="B2032" t="s">
        <v>303</v>
      </c>
      <c r="C2032">
        <v>64.150000000000006</v>
      </c>
      <c r="D2032">
        <v>69.72</v>
      </c>
      <c r="E2032">
        <v>69.73</v>
      </c>
      <c r="F2032">
        <v>-0.01</v>
      </c>
    </row>
    <row r="2033" spans="1:6" x14ac:dyDescent="0.3">
      <c r="A2033" t="str">
        <f>HYPERLINK("https://us2.cloudbeds.com/connect/10074733072513#/reservations/30653395353770?display=YQ8A9U3T1&amp;reservation_id=30653395353770", "YQ8A9U3T1")</f>
        <v>YQ8A9U3T1</v>
      </c>
      <c r="B2033" t="s">
        <v>300</v>
      </c>
      <c r="C2033">
        <v>64.150000000000006</v>
      </c>
      <c r="D2033">
        <v>69.72</v>
      </c>
      <c r="E2033">
        <v>69.73</v>
      </c>
      <c r="F2033">
        <v>-0.01</v>
      </c>
    </row>
    <row r="2034" spans="1:6" x14ac:dyDescent="0.3">
      <c r="A2034" t="str">
        <f>HYPERLINK("https://us2.cloudbeds.com/connect/10074733072513#/reservations/30653838065817?display=YQ8YK77MJ&amp;reservation_id=30653838065817", "YQ8YK77MJ")</f>
        <v>YQ8YK77MJ</v>
      </c>
      <c r="B2034" t="s">
        <v>278</v>
      </c>
      <c r="C2034">
        <v>90.07</v>
      </c>
      <c r="D2034">
        <v>97.9</v>
      </c>
      <c r="E2034">
        <v>97.91</v>
      </c>
      <c r="F2034">
        <v>-0.01</v>
      </c>
    </row>
    <row r="2035" spans="1:6" x14ac:dyDescent="0.3">
      <c r="A2035" t="str">
        <f>HYPERLINK("https://us2.cloudbeds.com/connect/10074733072513#/reservations/30654701162639?display=YQ9AM05ZP&amp;reservation_id=30654701162639", "YQ9AM05ZP")</f>
        <v>YQ9AM05ZP</v>
      </c>
      <c r="B2035" t="s">
        <v>304</v>
      </c>
      <c r="C2035">
        <v>250.2</v>
      </c>
      <c r="D2035">
        <v>271.95999999999998</v>
      </c>
      <c r="E2035">
        <v>271.97000000000003</v>
      </c>
      <c r="F2035">
        <v>-0.01</v>
      </c>
    </row>
    <row r="2036" spans="1:6" x14ac:dyDescent="0.3">
      <c r="A2036" t="str">
        <f>HYPERLINK("https://us2.cloudbeds.com/connect/10074733072513#/reservations/30654034878704?display=YQ8QY5RPG&amp;reservation_id=30654034878704", "YQ8QY5RPG")</f>
        <v>YQ8QY5RPG</v>
      </c>
      <c r="B2036" t="s">
        <v>304</v>
      </c>
      <c r="C2036">
        <v>127.2</v>
      </c>
      <c r="D2036">
        <v>138.26</v>
      </c>
      <c r="E2036">
        <v>138.27000000000001</v>
      </c>
      <c r="F2036">
        <v>-0.01</v>
      </c>
    </row>
    <row r="2037" spans="1:6" x14ac:dyDescent="0.3">
      <c r="A2037" t="str">
        <f>HYPERLINK("https://us2.cloudbeds.com/connect/10074733072513#/reservations/30652518375561?display=YQ7KTDTTQ&amp;reservation_id=30652518375561", "YQ7KTDTTQ")</f>
        <v>YQ7KTDTTQ</v>
      </c>
      <c r="B2037" t="s">
        <v>277</v>
      </c>
      <c r="C2037">
        <v>324.2</v>
      </c>
      <c r="D2037">
        <v>352.4</v>
      </c>
      <c r="E2037">
        <v>352.41</v>
      </c>
      <c r="F2037">
        <v>-0.01</v>
      </c>
    </row>
    <row r="2038" spans="1:6" x14ac:dyDescent="0.3">
      <c r="A2038" t="str">
        <f>HYPERLINK("https://us2.cloudbeds.com/connect/10074733072513#/reservations/30653323022525?display=YQ88EUD04&amp;reservation_id=30653323022525", "YQ88EUD04")</f>
        <v>YQ88EUD04</v>
      </c>
      <c r="B2038" t="s">
        <v>305</v>
      </c>
      <c r="C2038">
        <v>64.150000000000006</v>
      </c>
      <c r="D2038">
        <v>69.72</v>
      </c>
      <c r="E2038">
        <v>69.73</v>
      </c>
      <c r="F2038">
        <v>-0.01</v>
      </c>
    </row>
    <row r="2039" spans="1:6" x14ac:dyDescent="0.3">
      <c r="A2039" t="str">
        <f>HYPERLINK("https://us2.cloudbeds.com/connect/10074733072513#/reservations/30653731061888?display=YQ8XZCSTT&amp;reservation_id=30653731061888", "YQ8XZCSTT")</f>
        <v>YQ8XZCSTT</v>
      </c>
      <c r="B2039" t="s">
        <v>300</v>
      </c>
      <c r="C2039">
        <v>64.150000000000006</v>
      </c>
      <c r="D2039">
        <v>69.72</v>
      </c>
      <c r="E2039">
        <v>69.73</v>
      </c>
      <c r="F2039">
        <v>-0.01</v>
      </c>
    </row>
    <row r="2040" spans="1:6" x14ac:dyDescent="0.3">
      <c r="A2040" t="str">
        <f>HYPERLINK("https://us2.cloudbeds.com/connect/10074733072513#/reservations/30656020615393?display=YQABCJTEX&amp;reservation_id=30656020615393", "YQABCJTEX")</f>
        <v>YQABCJTEX</v>
      </c>
      <c r="B2040" t="s">
        <v>306</v>
      </c>
      <c r="C2040">
        <v>64.150000000000006</v>
      </c>
      <c r="D2040">
        <v>69.72</v>
      </c>
      <c r="E2040">
        <v>69.73</v>
      </c>
      <c r="F2040">
        <v>-0.01</v>
      </c>
    </row>
    <row r="2041" spans="1:6" x14ac:dyDescent="0.3">
      <c r="A2041" t="str">
        <f>HYPERLINK("https://us2.cloudbeds.com/connect/10074733072513#/reservations/30653733581020?display=YQ8XV3Q1Y&amp;reservation_id=30653733581020", "YQ8XV3Q1Y")</f>
        <v>YQ8XV3Q1Y</v>
      </c>
      <c r="B2041" t="s">
        <v>300</v>
      </c>
      <c r="C2041">
        <v>64.150000000000006</v>
      </c>
      <c r="D2041">
        <v>69.72</v>
      </c>
      <c r="E2041">
        <v>69.73</v>
      </c>
      <c r="F2041">
        <v>-0.01</v>
      </c>
    </row>
    <row r="2042" spans="1:6" x14ac:dyDescent="0.3">
      <c r="A2042" t="str">
        <f>HYPERLINK("https://us2.cloudbeds.com/connect/10074733072513#/reservations/30656060899520?display=YQACDXZJG&amp;reservation_id=30656060899520", "YQACDXZJG")</f>
        <v>YQACDXZJG</v>
      </c>
      <c r="B2042" t="s">
        <v>299</v>
      </c>
      <c r="C2042">
        <v>174.4</v>
      </c>
      <c r="D2042">
        <v>189.56</v>
      </c>
      <c r="E2042">
        <v>189.57</v>
      </c>
      <c r="F2042">
        <v>-0.01</v>
      </c>
    </row>
    <row r="2043" spans="1:6" x14ac:dyDescent="0.3">
      <c r="A2043" t="str">
        <f>HYPERLINK("https://us2.cloudbeds.com/connect/10074733072513#/reservations/30656015732874?display=YQAB8G0VE&amp;reservation_id=30656015732874", "YQAB8G0VE")</f>
        <v>YQAB8G0VE</v>
      </c>
      <c r="B2043" t="s">
        <v>306</v>
      </c>
      <c r="C2043">
        <v>64.150000000000006</v>
      </c>
      <c r="D2043">
        <v>69.72</v>
      </c>
      <c r="E2043">
        <v>69.73</v>
      </c>
      <c r="F2043">
        <v>-0.01</v>
      </c>
    </row>
    <row r="2044" spans="1:6" x14ac:dyDescent="0.3">
      <c r="A2044" t="str">
        <f>HYPERLINK("https://us2.cloudbeds.com/connect/10074733072513#/reservations/30656628064510?display=YQAQTR1VX&amp;reservation_id=30656628064510", "YQAQTR1VX")</f>
        <v>YQAQTR1VX</v>
      </c>
      <c r="B2044" t="s">
        <v>307</v>
      </c>
      <c r="C2044">
        <v>250.2</v>
      </c>
      <c r="D2044">
        <v>271.95999999999998</v>
      </c>
      <c r="E2044">
        <v>271.97000000000003</v>
      </c>
      <c r="F2044">
        <v>-0.01</v>
      </c>
    </row>
    <row r="2045" spans="1:6" x14ac:dyDescent="0.3">
      <c r="A2045" t="str">
        <f>HYPERLINK("https://us2.cloudbeds.com/connect/10074733072513#/reservations/30655076446399?display=YQ9K8EWUU&amp;reservation_id=30655076446399", "YQ9K8EWUU")</f>
        <v>YQ9K8EWUU</v>
      </c>
      <c r="B2045" t="s">
        <v>277</v>
      </c>
      <c r="C2045">
        <v>287.2</v>
      </c>
      <c r="D2045">
        <v>312.18</v>
      </c>
      <c r="E2045">
        <v>312.19</v>
      </c>
      <c r="F2045">
        <v>-0.01</v>
      </c>
    </row>
    <row r="2046" spans="1:6" x14ac:dyDescent="0.3">
      <c r="A2046" t="str">
        <f>HYPERLINK("https://us2.cloudbeds.com/connect/10074733072513#/reservations/30656428560616?display=YQAYQJXQ0&amp;reservation_id=30656428560616", "YQAYQJXQ0")</f>
        <v>YQAYQJXQ0</v>
      </c>
      <c r="B2046" t="s">
        <v>308</v>
      </c>
      <c r="C2046">
        <v>250.2</v>
      </c>
      <c r="D2046">
        <v>271.95999999999998</v>
      </c>
      <c r="E2046">
        <v>271.97000000000003</v>
      </c>
      <c r="F2046">
        <v>-0.01</v>
      </c>
    </row>
    <row r="2047" spans="1:6" x14ac:dyDescent="0.3">
      <c r="A2047" t="str">
        <f>HYPERLINK("https://us2.cloudbeds.com/connect/10074733072513#/reservations/30657088958684?display=YQB5MF3UM&amp;reservation_id=30657088958684", "YQB5MF3UM")</f>
        <v>YQB5MF3UM</v>
      </c>
      <c r="B2047" t="s">
        <v>285</v>
      </c>
      <c r="C2047">
        <v>268.2</v>
      </c>
      <c r="D2047">
        <v>291.52</v>
      </c>
      <c r="E2047">
        <v>291.52999999999997</v>
      </c>
      <c r="F2047">
        <v>-0.01</v>
      </c>
    </row>
    <row r="2048" spans="1:6" x14ac:dyDescent="0.3">
      <c r="A2048" t="str">
        <f>HYPERLINK("https://us2.cloudbeds.com/connect/10074733072513#/reservations/30659089924232?display=YQCNQNUSA&amp;reservation_id=30659089924232", "YQCNQNUSA")</f>
        <v>YQCNQNUSA</v>
      </c>
      <c r="B2048" t="s">
        <v>310</v>
      </c>
      <c r="C2048">
        <v>250.2</v>
      </c>
      <c r="D2048">
        <v>271.95999999999998</v>
      </c>
      <c r="E2048">
        <v>271.97000000000003</v>
      </c>
      <c r="F2048">
        <v>-0.01</v>
      </c>
    </row>
    <row r="2049" spans="1:6" x14ac:dyDescent="0.3">
      <c r="A2049" t="str">
        <f>HYPERLINK("https://us2.cloudbeds.com/connect/10074733072513#/reservations/30654898684043?display=YQ9FNXGES&amp;reservation_id=30654898684043", "YQ9FNXGES")</f>
        <v>YQ9FNXGES</v>
      </c>
      <c r="B2049" t="s">
        <v>311</v>
      </c>
      <c r="C2049">
        <v>64.150000000000006</v>
      </c>
      <c r="D2049">
        <v>69.72</v>
      </c>
      <c r="E2049">
        <v>69.73</v>
      </c>
      <c r="F2049">
        <v>-0.01</v>
      </c>
    </row>
    <row r="2050" spans="1:6" x14ac:dyDescent="0.3">
      <c r="A2050" t="str">
        <f>HYPERLINK("https://us2.cloudbeds.com/connect/10074733072513#/reservations/30656640438520?display=YQAR78CMH&amp;reservation_id=30656640438520", "YQAR78CMH")</f>
        <v>YQAR78CMH</v>
      </c>
      <c r="B2050" t="s">
        <v>307</v>
      </c>
      <c r="C2050">
        <v>380.8</v>
      </c>
      <c r="D2050">
        <v>413.92</v>
      </c>
      <c r="E2050">
        <v>413.93</v>
      </c>
      <c r="F2050">
        <v>-0.01</v>
      </c>
    </row>
    <row r="2051" spans="1:6" x14ac:dyDescent="0.3">
      <c r="A2051" t="str">
        <f>HYPERLINK("https://us2.cloudbeds.com/connect/10074733072513#/reservations/30652518371465?display=YQ7KTDQ4M&amp;reservation_id=30652518371465", "YQ7KTDQ4M")</f>
        <v>YQ7KTDQ4M</v>
      </c>
      <c r="B2051" t="s">
        <v>277</v>
      </c>
      <c r="C2051">
        <v>143.19999999999999</v>
      </c>
      <c r="D2051">
        <v>155.65</v>
      </c>
      <c r="E2051">
        <v>155.66</v>
      </c>
      <c r="F2051">
        <v>-0.01</v>
      </c>
    </row>
    <row r="2052" spans="1:6" x14ac:dyDescent="0.3">
      <c r="A2052" t="str">
        <f>HYPERLINK("https://us2.cloudbeds.com/connect/10074733072513#/reservations/30653564293331?display=YQ8EKC3KM&amp;reservation_id=30653564293331", "YQ8EKC3KM")</f>
        <v>YQ8EKC3KM</v>
      </c>
      <c r="B2052" t="s">
        <v>311</v>
      </c>
      <c r="C2052">
        <v>64.150000000000006</v>
      </c>
      <c r="D2052">
        <v>69.72</v>
      </c>
      <c r="E2052">
        <v>69.73</v>
      </c>
      <c r="F2052">
        <v>-0.01</v>
      </c>
    </row>
    <row r="2053" spans="1:6" x14ac:dyDescent="0.3">
      <c r="A2053" t="str">
        <f>HYPERLINK("https://us2.cloudbeds.com/connect/10074733072513#/reservations/30654917365926?display=YQ9G6ABHH&amp;reservation_id=30654917365926", "YQ9G6ABHH")</f>
        <v>YQ9G6ABHH</v>
      </c>
      <c r="B2053" t="s">
        <v>311</v>
      </c>
      <c r="C2053">
        <v>64.150000000000006</v>
      </c>
      <c r="D2053">
        <v>69.72</v>
      </c>
      <c r="E2053">
        <v>69.73</v>
      </c>
      <c r="F2053">
        <v>-0.01</v>
      </c>
    </row>
    <row r="2054" spans="1:6" x14ac:dyDescent="0.3">
      <c r="A2054" t="str">
        <f>HYPERLINK("https://us2.cloudbeds.com/connect/10074733072513#/reservations/30655382081718?display=YQ9S25ZQ8&amp;reservation_id=30655382081718", "YQ9S25ZQ8")</f>
        <v>YQ9S25ZQ8</v>
      </c>
      <c r="B2054" t="s">
        <v>312</v>
      </c>
      <c r="C2054">
        <v>134.1</v>
      </c>
      <c r="D2054">
        <v>145.76</v>
      </c>
      <c r="E2054">
        <v>145.77000000000001</v>
      </c>
      <c r="F2054">
        <v>-0.01</v>
      </c>
    </row>
    <row r="2055" spans="1:6" x14ac:dyDescent="0.3">
      <c r="A2055" t="str">
        <f>HYPERLINK("https://us2.cloudbeds.com/connect/10074733072513#/reservations/30654018977962?display=YQ8Q7PCHR&amp;reservation_id=30654018977962", "YQ8Q7PCHR")</f>
        <v>YQ8Q7PCHR</v>
      </c>
      <c r="B2055" t="s">
        <v>309</v>
      </c>
      <c r="C2055">
        <v>64.150000000000006</v>
      </c>
      <c r="D2055">
        <v>69.72</v>
      </c>
      <c r="E2055">
        <v>69.73</v>
      </c>
      <c r="F2055">
        <v>-0.01</v>
      </c>
    </row>
    <row r="2056" spans="1:6" x14ac:dyDescent="0.3">
      <c r="A2056" t="str">
        <f>HYPERLINK("https://us2.cloudbeds.com/connect/10074733072513#/reservations/30653567242476?display=YQ8EMS5ZN&amp;reservation_id=30653567242476", "YQ8EMS5ZN")</f>
        <v>YQ8EMS5ZN</v>
      </c>
      <c r="B2056" t="s">
        <v>311</v>
      </c>
      <c r="C2056">
        <v>64.150000000000006</v>
      </c>
      <c r="D2056">
        <v>69.72</v>
      </c>
      <c r="E2056">
        <v>69.73</v>
      </c>
      <c r="F2056">
        <v>-0.01</v>
      </c>
    </row>
    <row r="2057" spans="1:6" x14ac:dyDescent="0.3">
      <c r="A2057" t="str">
        <f>HYPERLINK("https://us2.cloudbeds.com/connect/10074733072513#/reservations/30653578121388?display=YQ8EW0TXN&amp;reservation_id=30653578121388", "YQ8EW0TXN")</f>
        <v>YQ8EW0TXN</v>
      </c>
      <c r="B2057" t="s">
        <v>313</v>
      </c>
      <c r="C2057">
        <v>84.15</v>
      </c>
      <c r="D2057">
        <v>91.46</v>
      </c>
      <c r="E2057">
        <v>91.47</v>
      </c>
      <c r="F2057">
        <v>-0.01</v>
      </c>
    </row>
    <row r="2058" spans="1:6" x14ac:dyDescent="0.3">
      <c r="A2058" t="str">
        <f>HYPERLINK("https://us2.cloudbeds.com/connect/10074733072513#/reservations/30656582766742?display=YQAPZKJ6U&amp;reservation_id=30656582766742", "YQAPZKJ6U")</f>
        <v>YQAPZKJ6U</v>
      </c>
      <c r="B2058" t="s">
        <v>313</v>
      </c>
      <c r="C2058">
        <v>64.150000000000006</v>
      </c>
      <c r="D2058">
        <v>69.72</v>
      </c>
      <c r="E2058">
        <v>69.73</v>
      </c>
      <c r="F2058">
        <v>-0.01</v>
      </c>
    </row>
    <row r="2059" spans="1:6" x14ac:dyDescent="0.3">
      <c r="A2059" t="str">
        <f>HYPERLINK("https://us2.cloudbeds.com/connect/10074733072513#/reservations/30656577409217?display=YQAPK3GHM&amp;reservation_id=30656577409217", "YQAPK3GHM")</f>
        <v>YQAPK3GHM</v>
      </c>
      <c r="B2059" t="s">
        <v>313</v>
      </c>
      <c r="C2059">
        <v>64.150000000000006</v>
      </c>
      <c r="D2059">
        <v>69.72</v>
      </c>
      <c r="E2059">
        <v>69.73</v>
      </c>
      <c r="F2059">
        <v>-0.01</v>
      </c>
    </row>
    <row r="2060" spans="1:6" x14ac:dyDescent="0.3">
      <c r="A2060" t="str">
        <f>HYPERLINK("https://us2.cloudbeds.com/connect/10074733072513#/reservations/30654117572783?display=YQ8SZTUXM&amp;reservation_id=30654117572783", "YQ8SZTUXM")</f>
        <v>YQ8SZTUXM</v>
      </c>
      <c r="B2060" t="s">
        <v>314</v>
      </c>
      <c r="C2060">
        <v>64.150000000000006</v>
      </c>
      <c r="D2060">
        <v>69.72</v>
      </c>
      <c r="E2060">
        <v>69.73</v>
      </c>
      <c r="F2060">
        <v>-0.01</v>
      </c>
    </row>
    <row r="2061" spans="1:6" x14ac:dyDescent="0.3">
      <c r="A2061" t="str">
        <f>HYPERLINK("https://us2.cloudbeds.com/connect/10074733072513#/reservations/30653969924283?display=YQ8ZWDCRN&amp;reservation_id=30653969924283", "YQ8ZWDCRN")</f>
        <v>YQ8ZWDCRN</v>
      </c>
      <c r="B2061" t="s">
        <v>314</v>
      </c>
      <c r="C2061">
        <v>64.150000000000006</v>
      </c>
      <c r="D2061">
        <v>69.72</v>
      </c>
      <c r="E2061">
        <v>69.73</v>
      </c>
      <c r="F2061">
        <v>-0.01</v>
      </c>
    </row>
    <row r="2062" spans="1:6" x14ac:dyDescent="0.3">
      <c r="A2062" t="str">
        <f>HYPERLINK("https://us2.cloudbeds.com/connect/10074733072513#/reservations/30653974900887?display=YQ8P3JSNT&amp;reservation_id=30653974900887", "YQ8P3JSNT")</f>
        <v>YQ8P3JSNT</v>
      </c>
      <c r="B2062" t="s">
        <v>314</v>
      </c>
      <c r="C2062">
        <v>64.150000000000006</v>
      </c>
      <c r="D2062">
        <v>69.72</v>
      </c>
      <c r="E2062">
        <v>69.73</v>
      </c>
      <c r="F2062">
        <v>-0.01</v>
      </c>
    </row>
    <row r="2063" spans="1:6" x14ac:dyDescent="0.3">
      <c r="A2063" t="str">
        <f>HYPERLINK("https://us2.cloudbeds.com/connect/10074733072513#/reservations/30654093967551?display=YQ8S502GK&amp;reservation_id=30654093967551", "YQ8S502GK")</f>
        <v>YQ8S502GK</v>
      </c>
      <c r="B2063" t="s">
        <v>314</v>
      </c>
      <c r="C2063">
        <v>64.150000000000006</v>
      </c>
      <c r="D2063">
        <v>69.72</v>
      </c>
      <c r="E2063">
        <v>69.73</v>
      </c>
      <c r="F2063">
        <v>-0.01</v>
      </c>
    </row>
    <row r="2064" spans="1:6" x14ac:dyDescent="0.3">
      <c r="A2064" t="str">
        <f>HYPERLINK("https://us2.cloudbeds.com/connect/10074733072513#/reservations/30654099611794?display=YQ8S9P4F9&amp;reservation_id=30654099611794", "YQ8S9P4F9")</f>
        <v>YQ8S9P4F9</v>
      </c>
      <c r="B2064" t="s">
        <v>314</v>
      </c>
      <c r="C2064">
        <v>72.17</v>
      </c>
      <c r="D2064">
        <v>78.44</v>
      </c>
      <c r="E2064">
        <v>78.45</v>
      </c>
      <c r="F2064">
        <v>-0.01</v>
      </c>
    </row>
    <row r="2065" spans="1:6" x14ac:dyDescent="0.3">
      <c r="A2065" t="str">
        <f>HYPERLINK("https://us2.cloudbeds.com/connect/10074733072513#/reservations/30654111932633?display=YQ8SK4WC1&amp;reservation_id=30654111932633", "YQ8SK4WC1")</f>
        <v>YQ8SK4WC1</v>
      </c>
      <c r="B2065" t="s">
        <v>314</v>
      </c>
      <c r="C2065">
        <v>64.150000000000006</v>
      </c>
      <c r="D2065">
        <v>69.72</v>
      </c>
      <c r="E2065">
        <v>69.73</v>
      </c>
      <c r="F2065">
        <v>-0.01</v>
      </c>
    </row>
    <row r="2066" spans="1:6" x14ac:dyDescent="0.3">
      <c r="A2066" t="str">
        <f>HYPERLINK("https://us2.cloudbeds.com/connect/10074733072513#/reservations/30656591364296?display=YQAPVSR3S&amp;reservation_id=30656591364296", "YQAPVSR3S")</f>
        <v>YQAPVSR3S</v>
      </c>
      <c r="B2066" t="s">
        <v>313</v>
      </c>
      <c r="C2066">
        <v>64.150000000000006</v>
      </c>
      <c r="D2066">
        <v>69.72</v>
      </c>
      <c r="E2066">
        <v>69.73</v>
      </c>
      <c r="F2066">
        <v>-0.01</v>
      </c>
    </row>
    <row r="2067" spans="1:6" x14ac:dyDescent="0.3">
      <c r="A2067" t="str">
        <f>HYPERLINK("https://us2.cloudbeds.com/connect/10074733072513#/reservations/30654014329046?display=YQ8Q3S0XJ&amp;reservation_id=30654014329046", "YQ8Q3S0XJ")</f>
        <v>YQ8Q3S0XJ</v>
      </c>
      <c r="B2067" t="s">
        <v>309</v>
      </c>
      <c r="C2067">
        <v>64.150000000000006</v>
      </c>
      <c r="D2067">
        <v>69.72</v>
      </c>
      <c r="E2067">
        <v>69.73</v>
      </c>
      <c r="F2067">
        <v>-0.01</v>
      </c>
    </row>
    <row r="2068" spans="1:6" x14ac:dyDescent="0.3">
      <c r="A2068" t="str">
        <f>HYPERLINK("https://us2.cloudbeds.com/connect/10074733072513#/reservations/30653984723143?display=YQ8PBT680&amp;reservation_id=30653984723143", "YQ8PBT680")</f>
        <v>YQ8PBT680</v>
      </c>
      <c r="B2068" t="s">
        <v>314</v>
      </c>
      <c r="C2068">
        <v>72.17</v>
      </c>
      <c r="D2068">
        <v>78.44</v>
      </c>
      <c r="E2068">
        <v>78.45</v>
      </c>
      <c r="F2068">
        <v>-0.01</v>
      </c>
    </row>
    <row r="2069" spans="1:6" x14ac:dyDescent="0.3">
      <c r="A2069" t="str">
        <f>HYPERLINK("https://us2.cloudbeds.com/connect/10074733072513#/reservations/30654514180253?display=YQ95TB3ZR&amp;reservation_id=30654514180253", "YQ95TB3ZR")</f>
        <v>YQ95TB3ZR</v>
      </c>
      <c r="B2069" t="s">
        <v>275</v>
      </c>
      <c r="C2069">
        <v>64.150000000000006</v>
      </c>
      <c r="D2069">
        <v>69.72</v>
      </c>
      <c r="E2069">
        <v>69.73</v>
      </c>
      <c r="F2069">
        <v>-0.01</v>
      </c>
    </row>
    <row r="2070" spans="1:6" x14ac:dyDescent="0.3">
      <c r="A2070" t="str">
        <f>HYPERLINK("https://us2.cloudbeds.com/connect/10074733072513#/reservations/30654508593326?display=YQ95ZKYE1&amp;reservation_id=30654508593326", "YQ95ZKYE1")</f>
        <v>YQ95ZKYE1</v>
      </c>
      <c r="B2070" t="s">
        <v>275</v>
      </c>
      <c r="C2070">
        <v>64.150000000000006</v>
      </c>
      <c r="D2070">
        <v>69.72</v>
      </c>
      <c r="E2070">
        <v>69.73</v>
      </c>
      <c r="F2070">
        <v>-0.01</v>
      </c>
    </row>
    <row r="2071" spans="1:6" x14ac:dyDescent="0.3">
      <c r="A2071" t="str">
        <f>HYPERLINK("https://us2.cloudbeds.com/connect/10074733072513#/reservations/30654509781188?display=YQ95PKN6S&amp;reservation_id=30654509781188", "YQ95PKN6S")</f>
        <v>YQ95PKN6S</v>
      </c>
      <c r="B2071" t="s">
        <v>275</v>
      </c>
      <c r="C2071">
        <v>64.150000000000006</v>
      </c>
      <c r="D2071">
        <v>69.72</v>
      </c>
      <c r="E2071">
        <v>69.73</v>
      </c>
      <c r="F2071">
        <v>-0.01</v>
      </c>
    </row>
    <row r="2072" spans="1:6" x14ac:dyDescent="0.3">
      <c r="A2072" t="str">
        <f>HYPERLINK("https://us2.cloudbeds.com/connect/10074733072513#/reservations/30656866082959?display=YQAWWH90R&amp;reservation_id=30656866082959", "YQAWWH90R")</f>
        <v>YQAWWH90R</v>
      </c>
      <c r="B2072" t="s">
        <v>315</v>
      </c>
      <c r="C2072">
        <v>456.2</v>
      </c>
      <c r="D2072">
        <v>495.88</v>
      </c>
      <c r="E2072">
        <v>495.89</v>
      </c>
      <c r="F2072">
        <v>-0.01</v>
      </c>
    </row>
    <row r="2073" spans="1:6" x14ac:dyDescent="0.3">
      <c r="A2073" t="str">
        <f>HYPERLINK("https://us2.cloudbeds.com/connect/10074733072513#/reservations/30654051438843?display=YQ8R24YGT&amp;reservation_id=30654051438843", "YQ8R24YGT")</f>
        <v>YQ8R24YGT</v>
      </c>
      <c r="B2073" t="s">
        <v>317</v>
      </c>
      <c r="C2073">
        <v>72.17</v>
      </c>
      <c r="D2073">
        <v>78.44</v>
      </c>
      <c r="E2073">
        <v>78.45</v>
      </c>
      <c r="F2073">
        <v>-0.01</v>
      </c>
    </row>
    <row r="2074" spans="1:6" x14ac:dyDescent="0.3">
      <c r="A2074" t="str">
        <f>HYPERLINK("https://us2.cloudbeds.com/connect/10074733072513#/reservations/30653794050182?display=YQ8KG3E9F&amp;reservation_id=30653794050182", "YQ8KG3E9F")</f>
        <v>YQ8KG3E9F</v>
      </c>
      <c r="B2074" t="s">
        <v>318</v>
      </c>
      <c r="C2074">
        <v>64.150000000000006</v>
      </c>
      <c r="D2074">
        <v>69.72</v>
      </c>
      <c r="E2074">
        <v>69.73</v>
      </c>
      <c r="F2074">
        <v>-0.01</v>
      </c>
    </row>
    <row r="2075" spans="1:6" x14ac:dyDescent="0.3">
      <c r="A2075" t="str">
        <f>HYPERLINK("https://us2.cloudbeds.com/connect/10074733072513#/reservations/30654057250953?display=YQ8R71CKE&amp;reservation_id=30654057250953", "YQ8R71CKE")</f>
        <v>YQ8R71CKE</v>
      </c>
      <c r="B2075" t="s">
        <v>317</v>
      </c>
      <c r="C2075">
        <v>72.17</v>
      </c>
      <c r="D2075">
        <v>78.44</v>
      </c>
      <c r="E2075">
        <v>78.45</v>
      </c>
      <c r="F2075">
        <v>-0.01</v>
      </c>
    </row>
    <row r="2076" spans="1:6" x14ac:dyDescent="0.3">
      <c r="A2076" t="str">
        <f>HYPERLINK("https://us2.cloudbeds.com/connect/10074733072513#/reservations/30653798383775?display=YQ8KJP0NF&amp;reservation_id=30653798383775", "YQ8KJP0NF")</f>
        <v>YQ8KJP0NF</v>
      </c>
      <c r="B2076" t="s">
        <v>318</v>
      </c>
      <c r="C2076">
        <v>64.150000000000006</v>
      </c>
      <c r="D2076">
        <v>69.72</v>
      </c>
      <c r="E2076">
        <v>69.73</v>
      </c>
      <c r="F2076">
        <v>-0.01</v>
      </c>
    </row>
    <row r="2077" spans="1:6" x14ac:dyDescent="0.3">
      <c r="A2077" t="str">
        <f>HYPERLINK("https://us2.cloudbeds.com/connect/10074733072513#/reservations/30654197817590?display=YQ8UQXS8G&amp;reservation_id=30654197817590", "YQ8UQXS8G")</f>
        <v>YQ8UQXS8G</v>
      </c>
      <c r="B2077" t="s">
        <v>319</v>
      </c>
      <c r="C2077">
        <v>222.83</v>
      </c>
      <c r="D2077">
        <v>242.21</v>
      </c>
      <c r="E2077">
        <v>242.22</v>
      </c>
      <c r="F2077">
        <v>-0.01</v>
      </c>
    </row>
    <row r="2078" spans="1:6" x14ac:dyDescent="0.3">
      <c r="A2078" t="str">
        <f>HYPERLINK("https://us2.cloudbeds.com/connect/10074733072513#/reservations/30657041309898?display=YQB4F97A2&amp;reservation_id=30657041309898", "YQB4F97A2")</f>
        <v>YQB4F97A2</v>
      </c>
      <c r="B2078" t="s">
        <v>320</v>
      </c>
      <c r="C2078">
        <v>134.1</v>
      </c>
      <c r="D2078">
        <v>145.76</v>
      </c>
      <c r="E2078">
        <v>145.77000000000001</v>
      </c>
      <c r="F2078">
        <v>-0.01</v>
      </c>
    </row>
    <row r="2079" spans="1:6" x14ac:dyDescent="0.3">
      <c r="A2079" t="str">
        <f>HYPERLINK("https://us2.cloudbeds.com/connect/10074733072513#/reservations/30653808423119?display=YQ8KS7CJ1&amp;reservation_id=30653808423119", "YQ8KS7CJ1")</f>
        <v>YQ8KS7CJ1</v>
      </c>
      <c r="B2079" t="s">
        <v>318</v>
      </c>
      <c r="C2079">
        <v>72.17</v>
      </c>
      <c r="D2079">
        <v>78.44</v>
      </c>
      <c r="E2079">
        <v>78.45</v>
      </c>
      <c r="F2079">
        <v>-0.01</v>
      </c>
    </row>
    <row r="2080" spans="1:6" x14ac:dyDescent="0.3">
      <c r="A2080" t="str">
        <f>HYPERLINK("https://us2.cloudbeds.com/connect/10074733072513#/reservations/30655287939285?display=YQ9PYQ398&amp;reservation_id=30655287939285", "YQ9PYQ398")</f>
        <v>YQ9PYQ398</v>
      </c>
      <c r="B2080" t="s">
        <v>322</v>
      </c>
      <c r="C2080">
        <v>64.150000000000006</v>
      </c>
      <c r="D2080">
        <v>69.72</v>
      </c>
      <c r="E2080">
        <v>69.73</v>
      </c>
      <c r="F2080">
        <v>-0.01</v>
      </c>
    </row>
    <row r="2081" spans="1:6" x14ac:dyDescent="0.3">
      <c r="A2081" t="str">
        <f>HYPERLINK("https://us2.cloudbeds.com/connect/10074733072513#/reservations/30656852611223?display=YQAWY5D9D&amp;reservation_id=30656852611223", "YQAWY5D9D")</f>
        <v>YQAWY5D9D</v>
      </c>
      <c r="B2081" t="s">
        <v>315</v>
      </c>
      <c r="C2081">
        <v>259.2</v>
      </c>
      <c r="D2081">
        <v>281.74</v>
      </c>
      <c r="E2081">
        <v>281.75</v>
      </c>
      <c r="F2081">
        <v>-0.01</v>
      </c>
    </row>
    <row r="2082" spans="1:6" x14ac:dyDescent="0.3">
      <c r="A2082" t="str">
        <f>HYPERLINK("https://us2.cloudbeds.com/connect/10074733072513#/reservations/30656804593903?display=YQAVDM883&amp;reservation_id=30656804593903", "YQAVDM883")</f>
        <v>YQAVDM883</v>
      </c>
      <c r="B2082" t="s">
        <v>317</v>
      </c>
      <c r="C2082">
        <v>267.3</v>
      </c>
      <c r="D2082">
        <v>290.55</v>
      </c>
      <c r="E2082">
        <v>290.56</v>
      </c>
      <c r="F2082">
        <v>-0.01</v>
      </c>
    </row>
    <row r="2083" spans="1:6" x14ac:dyDescent="0.3">
      <c r="A2083" t="str">
        <f>HYPERLINK("https://us2.cloudbeds.com/connect/10074733072513#/reservations/30656797208720?display=YQAV7EZKM&amp;reservation_id=30656797208720", "YQAV7EZKM")</f>
        <v>YQAV7EZKM</v>
      </c>
      <c r="B2083" t="s">
        <v>317</v>
      </c>
      <c r="C2083">
        <v>267.3</v>
      </c>
      <c r="D2083">
        <v>290.55</v>
      </c>
      <c r="E2083">
        <v>290.56</v>
      </c>
      <c r="F2083">
        <v>-0.01</v>
      </c>
    </row>
    <row r="2084" spans="1:6" x14ac:dyDescent="0.3">
      <c r="A2084" t="str">
        <f>HYPERLINK("https://us2.cloudbeds.com/connect/10074733072513#/reservations/30655295197421?display=YQ9PRU27P&amp;reservation_id=30655295197421", "YQ9PRU27P")</f>
        <v>YQ9PRU27P</v>
      </c>
      <c r="B2084" t="s">
        <v>322</v>
      </c>
      <c r="C2084">
        <v>64.150000000000006</v>
      </c>
      <c r="D2084">
        <v>69.72</v>
      </c>
      <c r="E2084">
        <v>69.73</v>
      </c>
      <c r="F2084">
        <v>-0.01</v>
      </c>
    </row>
    <row r="2085" spans="1:6" x14ac:dyDescent="0.3">
      <c r="A2085" t="str">
        <f>HYPERLINK("https://us2.cloudbeds.com/connect/10074733072513#/reservations/30656703647968?display=YQASRX98C&amp;reservation_id=30656703647968", "YQASRX98C")</f>
        <v>YQASRX98C</v>
      </c>
      <c r="B2085" t="s">
        <v>321</v>
      </c>
      <c r="C2085">
        <v>64.150000000000006</v>
      </c>
      <c r="D2085">
        <v>69.72</v>
      </c>
      <c r="E2085">
        <v>69.73</v>
      </c>
      <c r="F2085">
        <v>-0.01</v>
      </c>
    </row>
    <row r="2086" spans="1:6" x14ac:dyDescent="0.3">
      <c r="A2086" t="str">
        <f>HYPERLINK("https://us2.cloudbeds.com/connect/10074733072513#/reservations/30656719474849?display=YQAT7TMYR&amp;reservation_id=30656719474849", "YQAT7TMYR")</f>
        <v>YQAT7TMYR</v>
      </c>
      <c r="B2086" t="s">
        <v>321</v>
      </c>
      <c r="C2086">
        <v>72.17</v>
      </c>
      <c r="D2086">
        <v>78.44</v>
      </c>
      <c r="E2086">
        <v>78.45</v>
      </c>
      <c r="F2086">
        <v>-0.01</v>
      </c>
    </row>
    <row r="2087" spans="1:6" x14ac:dyDescent="0.3">
      <c r="A2087" t="str">
        <f>HYPERLINK("https://us2.cloudbeds.com/connect/10074733072513#/reservations/30656733454568?display=YQATJMMSM&amp;reservation_id=30656733454568", "YQATJMMSM")</f>
        <v>YQATJMMSM</v>
      </c>
      <c r="B2087" t="s">
        <v>321</v>
      </c>
      <c r="C2087">
        <v>64.150000000000006</v>
      </c>
      <c r="D2087">
        <v>69.72</v>
      </c>
      <c r="E2087">
        <v>69.73</v>
      </c>
      <c r="F2087">
        <v>-0.01</v>
      </c>
    </row>
    <row r="2088" spans="1:6" x14ac:dyDescent="0.3">
      <c r="A2088" t="str">
        <f>HYPERLINK("https://us2.cloudbeds.com/connect/10074733072513#/reservations/30656727916754?display=YQATF0JY4&amp;reservation_id=30656727916754", "YQATF0JY4")</f>
        <v>YQATF0JY4</v>
      </c>
      <c r="B2088" t="s">
        <v>321</v>
      </c>
      <c r="C2088">
        <v>72.17</v>
      </c>
      <c r="D2088">
        <v>78.44</v>
      </c>
      <c r="E2088">
        <v>78.45</v>
      </c>
      <c r="F2088">
        <v>-0.01</v>
      </c>
    </row>
    <row r="2089" spans="1:6" x14ac:dyDescent="0.3">
      <c r="A2089" t="str">
        <f>HYPERLINK("https://us2.cloudbeds.com/connect/10074733072513#/reservations/30656644034765?display=YQARA9F0Y&amp;reservation_id=30656644034765", "YQARA9F0Y")</f>
        <v>YQARA9F0Y</v>
      </c>
      <c r="B2089" t="s">
        <v>317</v>
      </c>
      <c r="C2089">
        <v>103.2</v>
      </c>
      <c r="D2089">
        <v>112.17</v>
      </c>
      <c r="E2089">
        <v>112.18</v>
      </c>
      <c r="F2089">
        <v>-0.01</v>
      </c>
    </row>
    <row r="2090" spans="1:6" x14ac:dyDescent="0.3">
      <c r="A2090" t="str">
        <f>HYPERLINK("https://us2.cloudbeds.com/connect/10074733072513#/reservations/30656739025084?display=YQATZCN46&amp;reservation_id=30656739025084", "YQATZCN46")</f>
        <v>YQATZCN46</v>
      </c>
      <c r="B2090" t="s">
        <v>321</v>
      </c>
      <c r="C2090">
        <v>64.150000000000006</v>
      </c>
      <c r="D2090">
        <v>69.72</v>
      </c>
      <c r="E2090">
        <v>69.73</v>
      </c>
      <c r="F2090">
        <v>-0.01</v>
      </c>
    </row>
    <row r="2091" spans="1:6" x14ac:dyDescent="0.3">
      <c r="A2091" t="str">
        <f>HYPERLINK("https://us2.cloudbeds.com/connect/10074733072513#/reservations/30656360378592?display=YQAK23A12&amp;reservation_id=30656360378592", "YQAK23A12")</f>
        <v>YQAK23A12</v>
      </c>
      <c r="B2091" t="s">
        <v>322</v>
      </c>
      <c r="C2091">
        <v>72.17</v>
      </c>
      <c r="D2091">
        <v>78.44</v>
      </c>
      <c r="E2091">
        <v>78.45</v>
      </c>
      <c r="F2091">
        <v>-0.01</v>
      </c>
    </row>
    <row r="2092" spans="1:6" x14ac:dyDescent="0.3">
      <c r="A2092" t="str">
        <f>HYPERLINK("https://us2.cloudbeds.com/connect/10074733072513#/reservations/30656771301609?display=YQAUXJRQN&amp;reservation_id=30656771301609", "YQAUXJRQN")</f>
        <v>YQAUXJRQN</v>
      </c>
      <c r="B2092" t="s">
        <v>317</v>
      </c>
      <c r="C2092">
        <v>174.4</v>
      </c>
      <c r="D2092">
        <v>189.56</v>
      </c>
      <c r="E2092">
        <v>189.57</v>
      </c>
      <c r="F2092">
        <v>-0.01</v>
      </c>
    </row>
    <row r="2093" spans="1:6" x14ac:dyDescent="0.3">
      <c r="A2093" t="str">
        <f>HYPERLINK("https://us2.cloudbeds.com/connect/10074733072513#/reservations/30656708968632?display=YQASW1B2K&amp;reservation_id=30656708968632", "YQASW1B2K")</f>
        <v>YQASW1B2K</v>
      </c>
      <c r="B2093" t="s">
        <v>321</v>
      </c>
      <c r="C2093">
        <v>72.17</v>
      </c>
      <c r="D2093">
        <v>78.44</v>
      </c>
      <c r="E2093">
        <v>78.45</v>
      </c>
      <c r="F2093">
        <v>-0.01</v>
      </c>
    </row>
    <row r="2094" spans="1:6" x14ac:dyDescent="0.3">
      <c r="A2094" t="str">
        <f>HYPERLINK("https://us2.cloudbeds.com/connect/10074733072513#/reservations/30656713580749?display=YQAT2UM8Z&amp;reservation_id=30656713580749", "YQAT2UM8Z")</f>
        <v>YQAT2UM8Z</v>
      </c>
      <c r="B2094" t="s">
        <v>321</v>
      </c>
      <c r="C2094">
        <v>72.17</v>
      </c>
      <c r="D2094">
        <v>78.44</v>
      </c>
      <c r="E2094">
        <v>78.45</v>
      </c>
      <c r="F2094">
        <v>-0.01</v>
      </c>
    </row>
    <row r="2095" spans="1:6" x14ac:dyDescent="0.3">
      <c r="A2095" t="str">
        <f>HYPERLINK("https://us2.cloudbeds.com/connect/10074733072513#/reservations/30655206052048?display=YQ9NXZFCR&amp;reservation_id=30655206052048", "YQ9NXZFCR")</f>
        <v>YQ9NXZFCR</v>
      </c>
      <c r="B2095" t="s">
        <v>323</v>
      </c>
      <c r="C2095">
        <v>325</v>
      </c>
      <c r="D2095">
        <v>353.27</v>
      </c>
      <c r="E2095">
        <v>353.28</v>
      </c>
      <c r="F2095">
        <v>-0.01</v>
      </c>
    </row>
    <row r="2096" spans="1:6" x14ac:dyDescent="0.3">
      <c r="A2096" t="str">
        <f>HYPERLINK("https://us2.cloudbeds.com/connect/10074733072513#/reservations/30656749920499?display=YQAU0XT39&amp;reservation_id=30656749920499", "YQAU0XT39")</f>
        <v>YQAU0XT39</v>
      </c>
      <c r="B2096" t="s">
        <v>321</v>
      </c>
      <c r="C2096">
        <v>64.150000000000006</v>
      </c>
      <c r="D2096">
        <v>69.72</v>
      </c>
      <c r="E2096">
        <v>69.73</v>
      </c>
      <c r="F2096">
        <v>-0.01</v>
      </c>
    </row>
    <row r="2097" spans="1:6" x14ac:dyDescent="0.3">
      <c r="A2097" t="str">
        <f>HYPERLINK("https://us2.cloudbeds.com/connect/10074733072513#/reservations/30656657486038?display=YQARYKZW0&amp;reservation_id=30656657486038", "YQARYKZW0")</f>
        <v>YQARYKZW0</v>
      </c>
      <c r="B2097" t="s">
        <v>317</v>
      </c>
      <c r="C2097">
        <v>72.17</v>
      </c>
      <c r="D2097">
        <v>78.44</v>
      </c>
      <c r="E2097">
        <v>78.45</v>
      </c>
      <c r="F2097">
        <v>-0.01</v>
      </c>
    </row>
    <row r="2098" spans="1:6" x14ac:dyDescent="0.3">
      <c r="A2098" t="str">
        <f>HYPERLINK("https://us2.cloudbeds.com/connect/10074733072513#/reservations/30656742654103?display=YQATREMXF&amp;reservation_id=30656742654103", "YQATREMXF")</f>
        <v>YQATREMXF</v>
      </c>
      <c r="B2098" t="s">
        <v>321</v>
      </c>
      <c r="C2098">
        <v>64.150000000000006</v>
      </c>
      <c r="D2098">
        <v>69.72</v>
      </c>
      <c r="E2098">
        <v>69.73</v>
      </c>
      <c r="F2098">
        <v>-0.01</v>
      </c>
    </row>
    <row r="2099" spans="1:6" x14ac:dyDescent="0.3">
      <c r="A2099" t="str">
        <f>HYPERLINK("https://us2.cloudbeds.com/connect/10074733072513#/reservations/30654219235496?display=YQ8VBKRZV&amp;reservation_id=30654219235496", "YQ8VBKRZV")</f>
        <v>YQ8VBKRZV</v>
      </c>
      <c r="B2099" t="s">
        <v>319</v>
      </c>
      <c r="C2099">
        <v>375.3</v>
      </c>
      <c r="D2099">
        <v>407.94</v>
      </c>
      <c r="E2099">
        <v>407.95</v>
      </c>
      <c r="F2099">
        <v>-0.01</v>
      </c>
    </row>
    <row r="2100" spans="1:6" x14ac:dyDescent="0.3">
      <c r="A2100" t="str">
        <f>HYPERLINK("https://us2.cloudbeds.com/connect/10074733072513#/reservations/30656818151589?display=YQAVP3GU2&amp;reservation_id=30656818151589", "YQAVP3GU2")</f>
        <v>YQAVP3GU2</v>
      </c>
      <c r="B2100" t="s">
        <v>315</v>
      </c>
      <c r="C2100">
        <v>250.2</v>
      </c>
      <c r="D2100">
        <v>271.95999999999998</v>
      </c>
      <c r="E2100">
        <v>271.97000000000003</v>
      </c>
      <c r="F2100">
        <v>-0.01</v>
      </c>
    </row>
    <row r="2101" spans="1:6" x14ac:dyDescent="0.3">
      <c r="A2101" t="str">
        <f>HYPERLINK("https://us2.cloudbeds.com/connect/10074733072513#/reservations/30656778285282?display=YQAUZG5Z5&amp;reservation_id=30656778285282", "YQAUZG5Z5")</f>
        <v>YQAUZG5Z5</v>
      </c>
      <c r="B2101" t="s">
        <v>315</v>
      </c>
      <c r="C2101">
        <v>134.1</v>
      </c>
      <c r="D2101">
        <v>145.76</v>
      </c>
      <c r="E2101">
        <v>145.77000000000001</v>
      </c>
      <c r="F2101">
        <v>-0.01</v>
      </c>
    </row>
    <row r="2102" spans="1:6" x14ac:dyDescent="0.3">
      <c r="A2102" t="str">
        <f>HYPERLINK("https://us2.cloudbeds.com/connect/10074733072513#/reservations/30654130053279?display=YQ8T2E72H&amp;reservation_id=30654130053279", "YQ8T2E72H")</f>
        <v>YQ8T2E72H</v>
      </c>
      <c r="B2102" t="s">
        <v>315</v>
      </c>
      <c r="C2102">
        <v>250.2</v>
      </c>
      <c r="D2102">
        <v>271.95999999999998</v>
      </c>
      <c r="E2102">
        <v>271.97000000000003</v>
      </c>
      <c r="F2102">
        <v>-0.01</v>
      </c>
    </row>
    <row r="2103" spans="1:6" x14ac:dyDescent="0.3">
      <c r="A2103" t="str">
        <f>HYPERLINK("https://us2.cloudbeds.com/connect/10074733072513#/reservations/30655182049412?display=YQ9MVGXD7&amp;reservation_id=30655182049412", "YQ9MVGXD7")</f>
        <v>YQ9MVGXD7</v>
      </c>
      <c r="B2103" t="s">
        <v>325</v>
      </c>
      <c r="C2103">
        <v>87.2</v>
      </c>
      <c r="D2103">
        <v>94.78</v>
      </c>
      <c r="E2103">
        <v>94.79</v>
      </c>
      <c r="F2103">
        <v>-0.01</v>
      </c>
    </row>
    <row r="2104" spans="1:6" x14ac:dyDescent="0.3">
      <c r="A2104" t="str">
        <f>HYPERLINK("https://us2.cloudbeds.com/connect/10074733072513#/reservations/30655176802543?display=YQ9MR2XB6&amp;reservation_id=30655176802543", "YQ9MR2XB6")</f>
        <v>YQ9MR2XB6</v>
      </c>
      <c r="B2104" t="s">
        <v>325</v>
      </c>
      <c r="C2104">
        <v>87.2</v>
      </c>
      <c r="D2104">
        <v>94.78</v>
      </c>
      <c r="E2104">
        <v>94.79</v>
      </c>
      <c r="F2104">
        <v>-0.01</v>
      </c>
    </row>
    <row r="2105" spans="1:6" x14ac:dyDescent="0.3">
      <c r="A2105" t="str">
        <f>HYPERLINK("https://us2.cloudbeds.com/connect/10074733072513#/reservations/30655128375520?display=YQ9YJ802Y&amp;reservation_id=30655128375520", "YQ9YJ802Y")</f>
        <v>YQ9YJ802Y</v>
      </c>
      <c r="B2105" t="s">
        <v>218</v>
      </c>
      <c r="C2105">
        <v>64.150000000000006</v>
      </c>
      <c r="D2105">
        <v>69.72</v>
      </c>
      <c r="E2105">
        <v>69.73</v>
      </c>
      <c r="F2105">
        <v>-0.01</v>
      </c>
    </row>
    <row r="2106" spans="1:6" x14ac:dyDescent="0.3">
      <c r="A2106" t="str">
        <f>HYPERLINK("https://us2.cloudbeds.com/connect/10074733072513#/reservations/30654607290541?display=YQ988S1FN&amp;reservation_id=30654607290541", "YQ988S1FN")</f>
        <v>YQ988S1FN</v>
      </c>
      <c r="B2106" t="s">
        <v>281</v>
      </c>
      <c r="C2106">
        <v>196.2</v>
      </c>
      <c r="D2106">
        <v>213.26</v>
      </c>
      <c r="E2106">
        <v>213.27</v>
      </c>
      <c r="F2106">
        <v>-0.01</v>
      </c>
    </row>
    <row r="2107" spans="1:6" x14ac:dyDescent="0.3">
      <c r="A2107" t="str">
        <f>HYPERLINK("https://us2.cloudbeds.com/connect/10074733072513#/reservations/30655247929566?display=YQ9ZY1PDH&amp;reservation_id=30655247929566", "YQ9ZY1PDH")</f>
        <v>YQ9ZY1PDH</v>
      </c>
      <c r="B2107" t="s">
        <v>244</v>
      </c>
      <c r="C2107">
        <v>366.3</v>
      </c>
      <c r="D2107">
        <v>398.16</v>
      </c>
      <c r="E2107">
        <v>398.17</v>
      </c>
      <c r="F2107">
        <v>-0.01</v>
      </c>
    </row>
    <row r="2108" spans="1:6" x14ac:dyDescent="0.3">
      <c r="A2108" t="str">
        <f>HYPERLINK("https://us2.cloudbeds.com/connect/10074733072513#/reservations/30655149162692?display=YQ9M3PECV&amp;reservation_id=30655149162692", "YQ9M3PECV")</f>
        <v>YQ9M3PECV</v>
      </c>
      <c r="B2108" t="s">
        <v>218</v>
      </c>
      <c r="C2108">
        <v>64.150000000000006</v>
      </c>
      <c r="D2108">
        <v>69.72</v>
      </c>
      <c r="E2108">
        <v>69.73</v>
      </c>
      <c r="F2108">
        <v>-0.01</v>
      </c>
    </row>
    <row r="2109" spans="1:6" x14ac:dyDescent="0.3">
      <c r="A2109" t="str">
        <f>HYPERLINK("https://us2.cloudbeds.com/connect/10074733072513#/reservations/30655141884072?display=YQ9YUKTKN&amp;reservation_id=30655141884072", "YQ9YUKTKN")</f>
        <v>YQ9YUKTKN</v>
      </c>
      <c r="B2109" t="s">
        <v>218</v>
      </c>
      <c r="C2109">
        <v>64.150000000000006</v>
      </c>
      <c r="D2109">
        <v>69.72</v>
      </c>
      <c r="E2109">
        <v>69.73</v>
      </c>
      <c r="F2109">
        <v>-0.01</v>
      </c>
    </row>
    <row r="2110" spans="1:6" x14ac:dyDescent="0.3">
      <c r="A2110" t="str">
        <f>HYPERLINK("https://us2.cloudbeds.com/connect/10074733072513#/reservations/30656167842007?display=YQAF4ZMP3&amp;reservation_id=30656167842007", "YQAF4ZMP3")</f>
        <v>YQAF4ZMP3</v>
      </c>
      <c r="B2110" t="s">
        <v>302</v>
      </c>
      <c r="C2110">
        <v>87.2</v>
      </c>
      <c r="D2110">
        <v>94.78</v>
      </c>
      <c r="E2110">
        <v>94.79</v>
      </c>
      <c r="F2110">
        <v>-0.01</v>
      </c>
    </row>
    <row r="2111" spans="1:6" x14ac:dyDescent="0.3">
      <c r="A2111" t="str">
        <f>HYPERLINK("https://us2.cloudbeds.com/connect/10074733072513#/reservations/30654623707379?display=YQ98MMSKM&amp;reservation_id=30654623707379", "YQ98MMSKM")</f>
        <v>YQ98MMSKM</v>
      </c>
      <c r="B2111" t="s">
        <v>281</v>
      </c>
      <c r="C2111">
        <v>87.2</v>
      </c>
      <c r="D2111">
        <v>94.78</v>
      </c>
      <c r="E2111">
        <v>94.79</v>
      </c>
      <c r="F2111">
        <v>-0.01</v>
      </c>
    </row>
    <row r="2112" spans="1:6" x14ac:dyDescent="0.3">
      <c r="A2112" t="str">
        <f>HYPERLINK("https://us2.cloudbeds.com/connect/10074733072513#/reservations/30654601044179?display=YQ983J7K1&amp;reservation_id=30654601044179", "YQ983J7K1")</f>
        <v>YQ983J7K1</v>
      </c>
      <c r="B2112" t="s">
        <v>281</v>
      </c>
      <c r="C2112">
        <v>87.2</v>
      </c>
      <c r="D2112">
        <v>94.78</v>
      </c>
      <c r="E2112">
        <v>94.79</v>
      </c>
      <c r="F2112">
        <v>-0.01</v>
      </c>
    </row>
    <row r="2113" spans="1:6" x14ac:dyDescent="0.3">
      <c r="A2113" t="str">
        <f>HYPERLINK("https://us2.cloudbeds.com/connect/10074733072513#/reservations/30655307305194?display=YQ9Q53WFW&amp;reservation_id=30655307305194", "YQ9Q53WFW")</f>
        <v>YQ9Q53WFW</v>
      </c>
      <c r="B2113" t="s">
        <v>281</v>
      </c>
      <c r="C2113">
        <v>196.2</v>
      </c>
      <c r="D2113">
        <v>213.26</v>
      </c>
      <c r="E2113">
        <v>213.27</v>
      </c>
      <c r="F2113">
        <v>-0.01</v>
      </c>
    </row>
    <row r="2114" spans="1:6" x14ac:dyDescent="0.3">
      <c r="A2114" t="str">
        <f>HYPERLINK("https://us2.cloudbeds.com/connect/10074733072513#/reservations/30656566329484?display=YQAPAP6A6&amp;reservation_id=30656566329484", "YQAPAP6A6")</f>
        <v>YQAPAP6A6</v>
      </c>
      <c r="B2114" t="s">
        <v>326</v>
      </c>
      <c r="C2114">
        <v>103.2</v>
      </c>
      <c r="D2114">
        <v>112.17</v>
      </c>
      <c r="E2114">
        <v>112.18</v>
      </c>
      <c r="F2114">
        <v>-0.01</v>
      </c>
    </row>
    <row r="2115" spans="1:6" x14ac:dyDescent="0.3">
      <c r="A2115" t="str">
        <f>HYPERLINK("https://us2.cloudbeds.com/connect/10074733072513#/reservations/30655489618171?display=YQ9UQS3MY&amp;reservation_id=30655489618171", "YQ9UQS3MY")</f>
        <v>YQ9UQS3MY</v>
      </c>
      <c r="B2115" t="s">
        <v>327</v>
      </c>
      <c r="C2115">
        <v>87.2</v>
      </c>
      <c r="D2115">
        <v>94.78</v>
      </c>
      <c r="E2115">
        <v>94.79</v>
      </c>
      <c r="F2115">
        <v>-0.01</v>
      </c>
    </row>
    <row r="2116" spans="1:6" x14ac:dyDescent="0.3">
      <c r="A2116" t="str">
        <f>HYPERLINK("https://us2.cloudbeds.com/connect/10074733072513#/reservations/30655089610969?display=YQ9KJXAK9&amp;reservation_id=30655089610969", "YQ9KJXAK9")</f>
        <v>YQ9KJXAK9</v>
      </c>
      <c r="B2116" t="s">
        <v>323</v>
      </c>
      <c r="C2116">
        <v>180.14</v>
      </c>
      <c r="D2116">
        <v>195.8</v>
      </c>
      <c r="E2116">
        <v>195.81</v>
      </c>
      <c r="F2116">
        <v>-0.01</v>
      </c>
    </row>
    <row r="2117" spans="1:6" x14ac:dyDescent="0.3">
      <c r="A2117" t="str">
        <f>HYPERLINK("https://us2.cloudbeds.com/connect/10074733072513#/reservations/30655056269518?display=YQ9JZEX19&amp;reservation_id=30655056269518", "YQ9JZEX19")</f>
        <v>YQ9JZEX19</v>
      </c>
      <c r="B2117" t="s">
        <v>323</v>
      </c>
      <c r="C2117">
        <v>103.2</v>
      </c>
      <c r="D2117">
        <v>112.17</v>
      </c>
      <c r="E2117">
        <v>112.18</v>
      </c>
      <c r="F2117">
        <v>-0.01</v>
      </c>
    </row>
    <row r="2118" spans="1:6" x14ac:dyDescent="0.3">
      <c r="A2118" t="str">
        <f>HYPERLINK("https://us2.cloudbeds.com/connect/10074733072513#/reservations/30655522021517?display=YQ9VY5PR7&amp;reservation_id=30655522021517", "YQ9VY5PR7")</f>
        <v>YQ9VY5PR7</v>
      </c>
      <c r="B2118" t="s">
        <v>328</v>
      </c>
      <c r="C2118">
        <v>87.2</v>
      </c>
      <c r="D2118">
        <v>94.78</v>
      </c>
      <c r="E2118">
        <v>94.79</v>
      </c>
      <c r="F2118">
        <v>-0.01</v>
      </c>
    </row>
    <row r="2119" spans="1:6" x14ac:dyDescent="0.3">
      <c r="A2119" t="str">
        <f>HYPERLINK("https://us2.cloudbeds.com/connect/10074733072513#/reservations/30655080104094?display=YQ9KBHPN5&amp;reservation_id=30655080104094", "YQ9KBHPN5")</f>
        <v>YQ9KBHPN5</v>
      </c>
      <c r="B2119" t="s">
        <v>323</v>
      </c>
      <c r="C2119">
        <v>87.2</v>
      </c>
      <c r="D2119">
        <v>94.78</v>
      </c>
      <c r="E2119">
        <v>94.79</v>
      </c>
      <c r="F2119">
        <v>-0.01</v>
      </c>
    </row>
    <row r="2120" spans="1:6" x14ac:dyDescent="0.3">
      <c r="A2120" t="str">
        <f>HYPERLINK("https://us2.cloudbeds.com/connect/10074733072513#/reservations/30656852615305?display=YQAWY5H13&amp;reservation_id=30656852615305", "YQAWY5H13")</f>
        <v>YQAWY5H13</v>
      </c>
      <c r="B2120" t="s">
        <v>330</v>
      </c>
      <c r="C2120">
        <v>134.1</v>
      </c>
      <c r="D2120">
        <v>145.76</v>
      </c>
      <c r="E2120">
        <v>145.77000000000001</v>
      </c>
      <c r="F2120">
        <v>-0.01</v>
      </c>
    </row>
    <row r="2121" spans="1:6" x14ac:dyDescent="0.3">
      <c r="A2121" t="str">
        <f>HYPERLINK("https://us2.cloudbeds.com/connect/10074733072513#/reservations/30654213476562?display=YQ8V6PJFQ&amp;reservation_id=30654213476562", "YQ8V6PJFQ")</f>
        <v>YQ8V6PJFQ</v>
      </c>
      <c r="B2121" t="s">
        <v>331</v>
      </c>
      <c r="C2121">
        <v>103.2</v>
      </c>
      <c r="D2121">
        <v>112.17</v>
      </c>
      <c r="E2121">
        <v>112.18</v>
      </c>
      <c r="F2121">
        <v>-0.01</v>
      </c>
    </row>
    <row r="2122" spans="1:6" x14ac:dyDescent="0.3">
      <c r="A2122" t="str">
        <f>HYPERLINK("https://us2.cloudbeds.com/connect/10074733072513#/reservations/30654229000440?display=YQ8VJSXYB&amp;reservation_id=30654229000440", "YQ8VJSXYB")</f>
        <v>YQ8VJSXYB</v>
      </c>
      <c r="B2122" t="s">
        <v>331</v>
      </c>
      <c r="C2122">
        <v>87.2</v>
      </c>
      <c r="D2122">
        <v>94.78</v>
      </c>
      <c r="E2122">
        <v>94.79</v>
      </c>
      <c r="F2122">
        <v>-0.01</v>
      </c>
    </row>
    <row r="2123" spans="1:6" x14ac:dyDescent="0.3">
      <c r="A2123" t="str">
        <f>HYPERLINK("https://us2.cloudbeds.com/connect/10074733072513#/reservations/30654213480658?display=YQ8V6PN7U&amp;reservation_id=30654213480658", "YQ8V6PN7U")</f>
        <v>YQ8V6PN7U</v>
      </c>
      <c r="B2123" t="s">
        <v>331</v>
      </c>
      <c r="C2123">
        <v>87.2</v>
      </c>
      <c r="D2123">
        <v>94.78</v>
      </c>
      <c r="E2123">
        <v>94.79</v>
      </c>
      <c r="F2123">
        <v>-0.01</v>
      </c>
    </row>
    <row r="2124" spans="1:6" x14ac:dyDescent="0.3">
      <c r="A2124" t="str">
        <f>HYPERLINK("https://us2.cloudbeds.com/connect/10074733072513#/reservations/30654263603355?display=YQ8WG1EJH&amp;reservation_id=30654263603355", "YQ8WG1EJH")</f>
        <v>YQ8WG1EJH</v>
      </c>
      <c r="B2124" t="s">
        <v>170</v>
      </c>
      <c r="C2124">
        <v>214.4</v>
      </c>
      <c r="D2124">
        <v>233.04</v>
      </c>
      <c r="E2124">
        <v>233.05</v>
      </c>
      <c r="F2124">
        <v>-0.01</v>
      </c>
    </row>
    <row r="2125" spans="1:6" x14ac:dyDescent="0.3">
      <c r="A2125" t="str">
        <f>HYPERLINK("https://us2.cloudbeds.com/connect/10074733072513#/reservations/30654245429501?display=YQ8W0NZ0M&amp;reservation_id=30654245429501", "YQ8W0NZ0M")</f>
        <v>YQ8W0NZ0M</v>
      </c>
      <c r="B2125" t="s">
        <v>331</v>
      </c>
      <c r="C2125">
        <v>103.2</v>
      </c>
      <c r="D2125">
        <v>112.17</v>
      </c>
      <c r="E2125">
        <v>112.18</v>
      </c>
      <c r="F2125">
        <v>-0.01</v>
      </c>
    </row>
    <row r="2126" spans="1:6" x14ac:dyDescent="0.3">
      <c r="A2126" t="str">
        <f>HYPERLINK("https://us2.cloudbeds.com/connect/10074733072513#/reservations/30656923308241?display=YQB1EPYG9&amp;reservation_id=30656923308241", "YQB1EPYG9")</f>
        <v>YQB1EPYG9</v>
      </c>
      <c r="B2126" t="s">
        <v>332</v>
      </c>
      <c r="C2126">
        <v>196.2</v>
      </c>
      <c r="D2126">
        <v>213.26</v>
      </c>
      <c r="E2126">
        <v>213.27</v>
      </c>
      <c r="F2126">
        <v>-0.01</v>
      </c>
    </row>
    <row r="2127" spans="1:6" x14ac:dyDescent="0.3">
      <c r="A2127" t="str">
        <f>HYPERLINK("https://us2.cloudbeds.com/connect/10074733072513#/reservations/30656992489600?display=YQB30BXDS&amp;reservation_id=30656992489600", "YQB30BXDS")</f>
        <v>YQB30BXDS</v>
      </c>
      <c r="B2127" t="s">
        <v>285</v>
      </c>
      <c r="C2127">
        <v>268.2</v>
      </c>
      <c r="D2127">
        <v>291.52</v>
      </c>
      <c r="E2127">
        <v>291.52999999999997</v>
      </c>
      <c r="F2127">
        <v>-0.01</v>
      </c>
    </row>
    <row r="2128" spans="1:6" x14ac:dyDescent="0.3">
      <c r="A2128" t="str">
        <f>HYPERLINK("https://us2.cloudbeds.com/connect/10074733072513#/reservations/30654072451287?display=YQ8RJSBMK&amp;reservation_id=30654072451287", "YQ8RJSBMK")</f>
        <v>YQ8RJSBMK</v>
      </c>
      <c r="B2128" t="s">
        <v>333</v>
      </c>
      <c r="C2128">
        <v>103.2</v>
      </c>
      <c r="D2128">
        <v>112.17</v>
      </c>
      <c r="E2128">
        <v>112.18</v>
      </c>
      <c r="F2128">
        <v>-0.01</v>
      </c>
    </row>
    <row r="2129" spans="1:6" x14ac:dyDescent="0.3">
      <c r="A2129" t="str">
        <f>HYPERLINK("https://us2.cloudbeds.com/connect/10074733072513#/reservations/30656361742481?display=YQAK388F1&amp;reservation_id=30656361742481", "YQAK388F1")</f>
        <v>YQAK388F1</v>
      </c>
      <c r="B2129" t="s">
        <v>326</v>
      </c>
      <c r="C2129">
        <v>87.2</v>
      </c>
      <c r="D2129">
        <v>94.78</v>
      </c>
      <c r="E2129">
        <v>94.79</v>
      </c>
      <c r="F2129">
        <v>-0.01</v>
      </c>
    </row>
    <row r="2130" spans="1:6" x14ac:dyDescent="0.3">
      <c r="A2130" t="str">
        <f>HYPERLINK("https://us2.cloudbeds.com/connect/10074733072513#/reservations/30657769214170?display=YQBN227K9&amp;reservation_id=30657769214170", "YQBN227K9")</f>
        <v>YQBN227K9</v>
      </c>
      <c r="B2130" t="s">
        <v>334</v>
      </c>
      <c r="C2130">
        <v>375.3</v>
      </c>
      <c r="D2130">
        <v>407.94</v>
      </c>
      <c r="E2130">
        <v>407.95</v>
      </c>
      <c r="F2130">
        <v>-0.01</v>
      </c>
    </row>
    <row r="2131" spans="1:6" x14ac:dyDescent="0.3">
      <c r="A2131" t="str">
        <f>HYPERLINK("https://us2.cloudbeds.com/connect/10074733072513#/reservations/30656981516485?display=YQB2USCJF&amp;reservation_id=30656981516485", "YQB2USCJF")</f>
        <v>YQB2USCJF</v>
      </c>
      <c r="B2131" t="s">
        <v>324</v>
      </c>
      <c r="C2131">
        <v>222.83</v>
      </c>
      <c r="D2131">
        <v>242.21</v>
      </c>
      <c r="E2131">
        <v>242.22</v>
      </c>
      <c r="F2131">
        <v>-0.01</v>
      </c>
    </row>
    <row r="2132" spans="1:6" x14ac:dyDescent="0.3">
      <c r="A2132" t="str">
        <f>HYPERLINK("https://us2.cloudbeds.com/connect/10074733072513#/reservations/30656760176802?display=YQAU9796B&amp;reservation_id=30656760176802", "YQAU9796B")</f>
        <v>YQAU9796B</v>
      </c>
      <c r="B2132" t="s">
        <v>324</v>
      </c>
      <c r="C2132">
        <v>87.2</v>
      </c>
      <c r="D2132">
        <v>94.78</v>
      </c>
      <c r="E2132">
        <v>94.79</v>
      </c>
      <c r="F2132">
        <v>-0.01</v>
      </c>
    </row>
    <row r="2133" spans="1:6" x14ac:dyDescent="0.3">
      <c r="A2133" t="str">
        <f>HYPERLINK("https://us2.cloudbeds.com/connect/10074733072513#/reservations/30657863798941?display=YQBPFR6AF&amp;reservation_id=30657863798941", "YQBPFR6AF")</f>
        <v>YQBPFR6AF</v>
      </c>
      <c r="B2133" t="s">
        <v>334</v>
      </c>
      <c r="C2133">
        <v>375.3</v>
      </c>
      <c r="D2133">
        <v>407.94</v>
      </c>
      <c r="E2133">
        <v>407.95</v>
      </c>
      <c r="F2133">
        <v>-0.01</v>
      </c>
    </row>
    <row r="2134" spans="1:6" x14ac:dyDescent="0.3">
      <c r="A2134" t="str">
        <f>HYPERLINK("https://us2.cloudbeds.com/connect/10074733072513#/reservations/30655514824895?display=YQ9VF3HBP&amp;reservation_id=30655514824895", "YQ9VF3HBP")</f>
        <v>YQ9VF3HBP</v>
      </c>
      <c r="B2134" t="s">
        <v>336</v>
      </c>
      <c r="C2134">
        <v>64.150000000000006</v>
      </c>
      <c r="D2134">
        <v>69.72</v>
      </c>
      <c r="E2134">
        <v>69.73</v>
      </c>
      <c r="F2134">
        <v>-0.01</v>
      </c>
    </row>
    <row r="2135" spans="1:6" x14ac:dyDescent="0.3">
      <c r="A2135" t="str">
        <f>HYPERLINK("https://us2.cloudbeds.com/connect/10074733072513#/reservations/30656710136052?display=YQAT00R2W&amp;reservation_id=30656710136052", "YQAT00R2W")</f>
        <v>YQAT00R2W</v>
      </c>
      <c r="B2135" t="s">
        <v>337</v>
      </c>
      <c r="C2135">
        <v>294.3</v>
      </c>
      <c r="D2135">
        <v>319.89</v>
      </c>
      <c r="E2135">
        <v>319.89999999999998</v>
      </c>
      <c r="F2135">
        <v>-0.01</v>
      </c>
    </row>
    <row r="2136" spans="1:6" x14ac:dyDescent="0.3">
      <c r="A2136" t="str">
        <f>HYPERLINK("https://us2.cloudbeds.com/connect/10074733072513#/reservations/30654978363595?display=YQ9HZZN2N&amp;reservation_id=30654978363595", "YQ9HZZN2N")</f>
        <v>YQ9HZZN2N</v>
      </c>
      <c r="B2136" t="s">
        <v>339</v>
      </c>
      <c r="C2136">
        <v>64.150000000000006</v>
      </c>
      <c r="D2136">
        <v>69.72</v>
      </c>
      <c r="E2136">
        <v>69.73</v>
      </c>
      <c r="F2136">
        <v>-0.01</v>
      </c>
    </row>
    <row r="2137" spans="1:6" x14ac:dyDescent="0.3">
      <c r="A2137" t="str">
        <f>HYPERLINK("https://us2.cloudbeds.com/connect/10074733072513#/reservations/30654480949417?display=YQ951ADZR&amp;reservation_id=30654480949417", "YQ951ADZR")</f>
        <v>YQ951ADZR</v>
      </c>
      <c r="B2137" t="s">
        <v>340</v>
      </c>
      <c r="C2137">
        <v>174.4</v>
      </c>
      <c r="D2137">
        <v>189.56</v>
      </c>
      <c r="E2137">
        <v>189.57</v>
      </c>
      <c r="F2137">
        <v>-0.01</v>
      </c>
    </row>
    <row r="2138" spans="1:6" x14ac:dyDescent="0.3">
      <c r="A2138" t="str">
        <f>HYPERLINK("https://us2.cloudbeds.com/connect/10074733072513#/reservations/30654985531549?display=YQ9HUQ57F&amp;reservation_id=30654985531549", "YQ9HUQ57F")</f>
        <v>YQ9HUQ57F</v>
      </c>
      <c r="B2138" t="s">
        <v>339</v>
      </c>
      <c r="C2138">
        <v>64.150000000000006</v>
      </c>
      <c r="D2138">
        <v>69.72</v>
      </c>
      <c r="E2138">
        <v>69.73</v>
      </c>
      <c r="F2138">
        <v>-0.01</v>
      </c>
    </row>
    <row r="2139" spans="1:6" x14ac:dyDescent="0.3">
      <c r="A2139" t="str">
        <f>HYPERLINK("https://us2.cloudbeds.com/connect/10074733072513#/reservations/30655529332936?display=YQ9VRB7NC&amp;reservation_id=30655529332936", "YQ9VRB7NC")</f>
        <v>YQ9VRB7NC</v>
      </c>
      <c r="B2139" t="s">
        <v>336</v>
      </c>
      <c r="C2139">
        <v>64.150000000000006</v>
      </c>
      <c r="D2139">
        <v>69.72</v>
      </c>
      <c r="E2139">
        <v>69.73</v>
      </c>
      <c r="F2139">
        <v>-0.01</v>
      </c>
    </row>
    <row r="2140" spans="1:6" x14ac:dyDescent="0.3">
      <c r="A2140" t="str">
        <f>HYPERLINK("https://us2.cloudbeds.com/connect/10074733072513#/reservations/30654993879182?display=YQ9X4REY1&amp;reservation_id=30654993879182", "YQ9X4REY1")</f>
        <v>YQ9X4REY1</v>
      </c>
      <c r="B2140" t="s">
        <v>339</v>
      </c>
      <c r="C2140">
        <v>72.17</v>
      </c>
      <c r="D2140">
        <v>78.44</v>
      </c>
      <c r="E2140">
        <v>78.45</v>
      </c>
      <c r="F2140">
        <v>-0.01</v>
      </c>
    </row>
    <row r="2141" spans="1:6" x14ac:dyDescent="0.3">
      <c r="A2141" t="str">
        <f>HYPERLINK("https://us2.cloudbeds.com/connect/10074733072513#/reservations/30655302455433?display=YQ9Q1112H&amp;reservation_id=30655302455433", "YQ9Q1112H")</f>
        <v>YQ9Q1112H</v>
      </c>
      <c r="B2141" t="s">
        <v>338</v>
      </c>
      <c r="C2141">
        <v>72.17</v>
      </c>
      <c r="D2141">
        <v>78.44</v>
      </c>
      <c r="E2141">
        <v>78.45</v>
      </c>
      <c r="F2141">
        <v>-0.01</v>
      </c>
    </row>
    <row r="2142" spans="1:6" x14ac:dyDescent="0.3">
      <c r="A2142" t="str">
        <f>HYPERLINK("https://us2.cloudbeds.com/connect/10074733072513#/reservations/30656962924730?display=YQB2F618U&amp;reservation_id=30656962924730", "YQB2F618U")</f>
        <v>YQB2F618U</v>
      </c>
      <c r="B2142" t="s">
        <v>332</v>
      </c>
      <c r="C2142">
        <v>87.2</v>
      </c>
      <c r="D2142">
        <v>94.78</v>
      </c>
      <c r="E2142">
        <v>94.79</v>
      </c>
      <c r="F2142">
        <v>-0.01</v>
      </c>
    </row>
    <row r="2143" spans="1:6" x14ac:dyDescent="0.3">
      <c r="A2143" t="str">
        <f>HYPERLINK("https://us2.cloudbeds.com/connect/10074733072513#/reservations/30655337713914?display=YQ9QUP50B&amp;reservation_id=30655337713914", "YQ9QUP50B")</f>
        <v>YQ9QUP50B</v>
      </c>
      <c r="B2143" t="s">
        <v>338</v>
      </c>
      <c r="C2143">
        <v>64.150000000000006</v>
      </c>
      <c r="D2143">
        <v>69.72</v>
      </c>
      <c r="E2143">
        <v>69.73</v>
      </c>
      <c r="F2143">
        <v>-0.01</v>
      </c>
    </row>
    <row r="2144" spans="1:6" x14ac:dyDescent="0.3">
      <c r="A2144" t="str">
        <f>HYPERLINK("https://us2.cloudbeds.com/connect/10074733072513#/reservations/30655319142563?display=YQ9QF3CE4&amp;reservation_id=30655319142563", "YQ9QF3CE4")</f>
        <v>YQ9QF3CE4</v>
      </c>
      <c r="B2144" t="s">
        <v>338</v>
      </c>
      <c r="C2144">
        <v>64.150000000000006</v>
      </c>
      <c r="D2144">
        <v>69.72</v>
      </c>
      <c r="E2144">
        <v>69.73</v>
      </c>
      <c r="F2144">
        <v>-0.01</v>
      </c>
    </row>
    <row r="2145" spans="1:6" x14ac:dyDescent="0.3">
      <c r="A2145" t="str">
        <f>HYPERLINK("https://us2.cloudbeds.com/connect/10074733072513#/reservations/30655326896265?display=YQ9QYY4EQ&amp;reservation_id=30655326896265", "YQ9QYY4EQ")</f>
        <v>YQ9QYY4EQ</v>
      </c>
      <c r="B2145" t="s">
        <v>338</v>
      </c>
      <c r="C2145">
        <v>64.150000000000006</v>
      </c>
      <c r="D2145">
        <v>69.72</v>
      </c>
      <c r="E2145">
        <v>69.73</v>
      </c>
      <c r="F2145">
        <v>-0.01</v>
      </c>
    </row>
    <row r="2146" spans="1:6" x14ac:dyDescent="0.3">
      <c r="A2146" t="str">
        <f>HYPERLINK("https://us2.cloudbeds.com/connect/10074733072513#/reservations/30655342166159?display=YQ9R1H1CS&amp;reservation_id=30655342166159", "YQ9R1H1CS")</f>
        <v>YQ9R1H1CS</v>
      </c>
      <c r="B2146" t="s">
        <v>338</v>
      </c>
      <c r="C2146">
        <v>72.17</v>
      </c>
      <c r="D2146">
        <v>78.44</v>
      </c>
      <c r="E2146">
        <v>78.45</v>
      </c>
      <c r="F2146">
        <v>-0.01</v>
      </c>
    </row>
    <row r="2147" spans="1:6" x14ac:dyDescent="0.3">
      <c r="A2147" t="str">
        <f>HYPERLINK("https://us2.cloudbeds.com/connect/10074733072513#/reservations/30655366119639?display=YQ9RYNJ7T&amp;reservation_id=30655366119639", "YQ9RYNJ7T")</f>
        <v>YQ9RYNJ7T</v>
      </c>
      <c r="B2147" t="s">
        <v>328</v>
      </c>
      <c r="C2147">
        <v>87.2</v>
      </c>
      <c r="D2147">
        <v>94.78</v>
      </c>
      <c r="E2147">
        <v>94.79</v>
      </c>
      <c r="F2147">
        <v>-0.01</v>
      </c>
    </row>
    <row r="2148" spans="1:6" x14ac:dyDescent="0.3">
      <c r="A2148" t="str">
        <f>HYPERLINK("https://us2.cloudbeds.com/connect/10074733072513#/reservations/30655357194402?display=YQ9RE67E5&amp;reservation_id=30655357194402", "YQ9RE67E5")</f>
        <v>YQ9RE67E5</v>
      </c>
      <c r="B2148" t="s">
        <v>338</v>
      </c>
      <c r="C2148">
        <v>64.150000000000006</v>
      </c>
      <c r="D2148">
        <v>69.72</v>
      </c>
      <c r="E2148">
        <v>69.73</v>
      </c>
      <c r="F2148">
        <v>-0.01</v>
      </c>
    </row>
    <row r="2149" spans="1:6" x14ac:dyDescent="0.3">
      <c r="A2149" t="str">
        <f>HYPERLINK("https://us2.cloudbeds.com/connect/10074733072513#/reservations/30654525218976?display=YQ965Y9AK&amp;reservation_id=30654525218976", "YQ965Y9AK")</f>
        <v>YQ965Y9AK</v>
      </c>
      <c r="B2149" t="s">
        <v>341</v>
      </c>
      <c r="C2149">
        <v>64.150000000000006</v>
      </c>
      <c r="D2149">
        <v>69.72</v>
      </c>
      <c r="E2149">
        <v>69.73</v>
      </c>
      <c r="F2149">
        <v>-0.01</v>
      </c>
    </row>
    <row r="2150" spans="1:6" x14ac:dyDescent="0.3">
      <c r="A2150" t="str">
        <f>HYPERLINK("https://us2.cloudbeds.com/connect/10074733072513#/reservations/30655031963870?display=YQ9J3V6QG&amp;reservation_id=30655031963870", "YQ9J3V6QG")</f>
        <v>YQ9J3V6QG</v>
      </c>
      <c r="B2150" t="s">
        <v>341</v>
      </c>
      <c r="C2150">
        <v>64.150000000000006</v>
      </c>
      <c r="D2150">
        <v>69.72</v>
      </c>
      <c r="E2150">
        <v>69.73</v>
      </c>
      <c r="F2150">
        <v>-0.01</v>
      </c>
    </row>
    <row r="2151" spans="1:6" x14ac:dyDescent="0.3">
      <c r="A2151" t="str">
        <f>HYPERLINK("https://us2.cloudbeds.com/connect/10074733072513#/reservations/30655047340192?display=YQ9JGU2FY&amp;reservation_id=30655047340192", "YQ9JGU2FY")</f>
        <v>YQ9JGU2FY</v>
      </c>
      <c r="B2151" t="s">
        <v>341</v>
      </c>
      <c r="C2151">
        <v>64.150000000000006</v>
      </c>
      <c r="D2151">
        <v>69.72</v>
      </c>
      <c r="E2151">
        <v>69.73</v>
      </c>
      <c r="F2151">
        <v>-0.01</v>
      </c>
    </row>
    <row r="2152" spans="1:6" x14ac:dyDescent="0.3">
      <c r="A2152" t="str">
        <f>HYPERLINK("https://us2.cloudbeds.com/connect/10074733072513#/reservations/30655057297617?display=YQ9JPA53Q&amp;reservation_id=30655057297617", "YQ9JPA53Q")</f>
        <v>YQ9JPA53Q</v>
      </c>
      <c r="B2152" t="s">
        <v>341</v>
      </c>
      <c r="C2152">
        <v>64.150000000000006</v>
      </c>
      <c r="D2152">
        <v>69.72</v>
      </c>
      <c r="E2152">
        <v>69.73</v>
      </c>
      <c r="F2152">
        <v>-0.01</v>
      </c>
    </row>
    <row r="2153" spans="1:6" x14ac:dyDescent="0.3">
      <c r="A2153" t="str">
        <f>HYPERLINK("https://us2.cloudbeds.com/connect/10074733072513#/reservations/30655062651046?display=YQ9JTR40U&amp;reservation_id=30655062651046", "YQ9JTR40U")</f>
        <v>YQ9JTR40U</v>
      </c>
      <c r="B2153" t="s">
        <v>341</v>
      </c>
      <c r="C2153">
        <v>64.150000000000006</v>
      </c>
      <c r="D2153">
        <v>69.72</v>
      </c>
      <c r="E2153">
        <v>69.73</v>
      </c>
      <c r="F2153">
        <v>-0.01</v>
      </c>
    </row>
    <row r="2154" spans="1:6" x14ac:dyDescent="0.3">
      <c r="A2154" t="str">
        <f>HYPERLINK("https://us2.cloudbeds.com/connect/10074733072513#/reservations/30655568027859?display=YQ9WQVW7Q&amp;reservation_id=30655568027859", "YQ9WQVW7Q")</f>
        <v>YQ9WQVW7Q</v>
      </c>
      <c r="B2154" t="s">
        <v>328</v>
      </c>
      <c r="C2154">
        <v>84</v>
      </c>
      <c r="D2154">
        <v>91.3</v>
      </c>
      <c r="E2154">
        <v>91.31</v>
      </c>
      <c r="F2154">
        <v>-0.01</v>
      </c>
    </row>
    <row r="2155" spans="1:6" x14ac:dyDescent="0.3">
      <c r="A2155" t="str">
        <f>HYPERLINK("https://us2.cloudbeds.com/connect/10074733072513#/reservations/30657759498453?display=YQBMQSSUJ&amp;reservation_id=30657759498453", "YQBMQSSUJ")</f>
        <v>YQBMQSSUJ</v>
      </c>
      <c r="B2155" t="s">
        <v>342</v>
      </c>
      <c r="C2155">
        <v>180.14</v>
      </c>
      <c r="D2155">
        <v>195.8</v>
      </c>
      <c r="E2155">
        <v>195.81</v>
      </c>
      <c r="F2155">
        <v>-0.01</v>
      </c>
    </row>
    <row r="2156" spans="1:6" x14ac:dyDescent="0.3">
      <c r="A2156" t="str">
        <f>HYPERLINK("https://us2.cloudbeds.com/connect/10074733072513#/reservations/30655553257610?display=YQ9WEGW3G&amp;reservation_id=30655553257610", "YQ9WEGW3G")</f>
        <v>YQ9WEGW3G</v>
      </c>
      <c r="B2156" t="s">
        <v>328</v>
      </c>
      <c r="C2156">
        <v>64.150000000000006</v>
      </c>
      <c r="D2156">
        <v>69.72</v>
      </c>
      <c r="E2156">
        <v>69.73</v>
      </c>
      <c r="F2156">
        <v>-0.01</v>
      </c>
    </row>
    <row r="2157" spans="1:6" x14ac:dyDescent="0.3">
      <c r="A2157" t="str">
        <f>HYPERLINK("https://us2.cloudbeds.com/connect/10074733072513#/reservations/30654538682516?display=YQ96GWUHM&amp;reservation_id=30654538682516", "YQ96GWUHM")</f>
        <v>YQ96GWUHM</v>
      </c>
      <c r="B2157" t="s">
        <v>341</v>
      </c>
      <c r="C2157">
        <v>64.150000000000006</v>
      </c>
      <c r="D2157">
        <v>69.72</v>
      </c>
      <c r="E2157">
        <v>69.73</v>
      </c>
      <c r="F2157">
        <v>-0.01</v>
      </c>
    </row>
    <row r="2158" spans="1:6" x14ac:dyDescent="0.3">
      <c r="A2158" t="str">
        <f>HYPERLINK("https://us2.cloudbeds.com/connect/10074733072513#/reservations/30656967463133?display=YQB2J0APA&amp;reservation_id=30656967463133", "YQB2J0APA")</f>
        <v>YQB2J0APA</v>
      </c>
      <c r="B2158" t="s">
        <v>332</v>
      </c>
      <c r="C2158">
        <v>87.2</v>
      </c>
      <c r="D2158">
        <v>94.78</v>
      </c>
      <c r="E2158">
        <v>94.79</v>
      </c>
      <c r="F2158">
        <v>-0.01</v>
      </c>
    </row>
    <row r="2159" spans="1:6" x14ac:dyDescent="0.3">
      <c r="A2159" t="str">
        <f>HYPERLINK("https://us2.cloudbeds.com/connect/10074733072513#/reservations/30655560515800?display=YQ9WKKV3Y&amp;reservation_id=30655560515800", "YQ9WKKV3Y")</f>
        <v>YQ9WKKV3Y</v>
      </c>
      <c r="B2159" t="s">
        <v>328</v>
      </c>
      <c r="C2159">
        <v>64.150000000000006</v>
      </c>
      <c r="D2159">
        <v>69.72</v>
      </c>
      <c r="E2159">
        <v>69.73</v>
      </c>
      <c r="F2159">
        <v>-0.01</v>
      </c>
    </row>
    <row r="2160" spans="1:6" x14ac:dyDescent="0.3">
      <c r="A2160" t="str">
        <f>HYPERLINK("https://us2.cloudbeds.com/connect/10074733072513#/reservations/30656835899621?display=YQAW72CF7&amp;reservation_id=30656835899621", "YQAW72CF7")</f>
        <v>YQAW72CF7</v>
      </c>
      <c r="B2160" t="s">
        <v>237</v>
      </c>
      <c r="C2160">
        <v>460.8</v>
      </c>
      <c r="D2160">
        <v>500.88</v>
      </c>
      <c r="E2160">
        <v>500.89</v>
      </c>
      <c r="F2160">
        <v>-0.01</v>
      </c>
    </row>
    <row r="2161" spans="1:6" x14ac:dyDescent="0.3">
      <c r="A2161" t="str">
        <f>HYPERLINK("https://us2.cloudbeds.com/connect/10074733072513#/reservations/30654467150043?display=YQ94MME4W&amp;reservation_id=30654467150043", "YQ94MME4W")</f>
        <v>YQ94MME4W</v>
      </c>
      <c r="B2161" t="s">
        <v>343</v>
      </c>
      <c r="C2161">
        <v>90.07</v>
      </c>
      <c r="D2161">
        <v>97.9</v>
      </c>
      <c r="E2161">
        <v>97.91</v>
      </c>
      <c r="F2161">
        <v>-0.01</v>
      </c>
    </row>
    <row r="2162" spans="1:6" x14ac:dyDescent="0.3">
      <c r="A2162" t="str">
        <f>HYPERLINK("https://us2.cloudbeds.com/connect/10074733072513#/reservations/30655704944797?display=YQA3ADTEU&amp;reservation_id=30655704944797", "YQA3ADTEU")</f>
        <v>YQA3ADTEU</v>
      </c>
      <c r="B2162" t="s">
        <v>343</v>
      </c>
      <c r="C2162">
        <v>90.07</v>
      </c>
      <c r="D2162">
        <v>97.9</v>
      </c>
      <c r="E2162">
        <v>97.91</v>
      </c>
      <c r="F2162">
        <v>-0.01</v>
      </c>
    </row>
    <row r="2163" spans="1:6" x14ac:dyDescent="0.3">
      <c r="A2163" t="str">
        <f>HYPERLINK("https://us2.cloudbeds.com/connect/10074733072513#/reservations/30655715233947?display=YQA3J36NB&amp;reservation_id=30655715233947", "YQA3J36NB")</f>
        <v>YQA3J36NB</v>
      </c>
      <c r="B2163" t="s">
        <v>343</v>
      </c>
      <c r="C2163">
        <v>90.07</v>
      </c>
      <c r="D2163">
        <v>97.9</v>
      </c>
      <c r="E2163">
        <v>97.91</v>
      </c>
      <c r="F2163">
        <v>-0.01</v>
      </c>
    </row>
    <row r="2164" spans="1:6" x14ac:dyDescent="0.3">
      <c r="A2164" t="str">
        <f>HYPERLINK("https://us2.cloudbeds.com/connect/10074733072513#/reservations/30655724179702?display=YQA3QY4BR&amp;reservation_id=30655724179702", "YQA3QY4BR")</f>
        <v>YQA3QY4BR</v>
      </c>
      <c r="B2164" t="s">
        <v>343</v>
      </c>
      <c r="C2164">
        <v>90.07</v>
      </c>
      <c r="D2164">
        <v>97.9</v>
      </c>
      <c r="E2164">
        <v>97.91</v>
      </c>
      <c r="F2164">
        <v>-0.01</v>
      </c>
    </row>
    <row r="2165" spans="1:6" x14ac:dyDescent="0.3">
      <c r="A2165" t="str">
        <f>HYPERLINK("https://us2.cloudbeds.com/connect/10074733072513#/reservations/30654607290543?display=YQ988S1FZ&amp;reservation_id=30654607290543", "YQ988S1FZ")</f>
        <v>YQ988S1FZ</v>
      </c>
      <c r="B2165" t="s">
        <v>344</v>
      </c>
      <c r="C2165">
        <v>87.2</v>
      </c>
      <c r="D2165">
        <v>94.78</v>
      </c>
      <c r="E2165">
        <v>94.79</v>
      </c>
      <c r="F2165">
        <v>-0.01</v>
      </c>
    </row>
    <row r="2166" spans="1:6" x14ac:dyDescent="0.3">
      <c r="A2166" t="str">
        <f>HYPERLINK("https://us2.cloudbeds.com/connect/10074733072513#/reservations/30654426149091?display=YQ93Y3H1T&amp;reservation_id=30654426149091", "YQ93Y3H1T")</f>
        <v>YQ93Y3H1T</v>
      </c>
      <c r="B2166" t="s">
        <v>343</v>
      </c>
      <c r="C2166">
        <v>134.1</v>
      </c>
      <c r="D2166">
        <v>145.76</v>
      </c>
      <c r="E2166">
        <v>145.77000000000001</v>
      </c>
      <c r="F2166">
        <v>-0.01</v>
      </c>
    </row>
    <row r="2167" spans="1:6" x14ac:dyDescent="0.3">
      <c r="A2167" t="str">
        <f>HYPERLINK("https://us2.cloudbeds.com/connect/10074733072513#/reservations/30654877094118?display=YQ9F5BNWN&amp;reservation_id=30654877094118", "YQ9F5BNWN")</f>
        <v>YQ9F5BNWN</v>
      </c>
      <c r="B2167" t="s">
        <v>345</v>
      </c>
      <c r="C2167">
        <v>64.150000000000006</v>
      </c>
      <c r="D2167">
        <v>69.72</v>
      </c>
      <c r="E2167">
        <v>69.73</v>
      </c>
      <c r="F2167">
        <v>-0.01</v>
      </c>
    </row>
    <row r="2168" spans="1:6" x14ac:dyDescent="0.3">
      <c r="A2168" t="str">
        <f>HYPERLINK("https://us2.cloudbeds.com/connect/10074733072513#/reservations/30654476611785?display=YQ94UYNKE&amp;reservation_id=30654476611785", "YQ94UYNKE")</f>
        <v>YQ94UYNKE</v>
      </c>
      <c r="B2168" t="s">
        <v>340</v>
      </c>
      <c r="C2168">
        <v>174.4</v>
      </c>
      <c r="D2168">
        <v>189.56</v>
      </c>
      <c r="E2168">
        <v>189.57</v>
      </c>
      <c r="F2168">
        <v>-0.01</v>
      </c>
    </row>
    <row r="2169" spans="1:6" x14ac:dyDescent="0.3">
      <c r="A2169" t="str">
        <f>HYPERLINK("https://us2.cloudbeds.com/connect/10074733072513#/reservations/30658120331509?display=YQBW14JDY&amp;reservation_id=30658120331509", "YQBW14JDY")</f>
        <v>YQBW14JDY</v>
      </c>
      <c r="B2169" t="s">
        <v>347</v>
      </c>
      <c r="C2169">
        <v>382.2</v>
      </c>
      <c r="D2169">
        <v>415.44</v>
      </c>
      <c r="E2169">
        <v>415.45</v>
      </c>
      <c r="F2169">
        <v>-0.01</v>
      </c>
    </row>
    <row r="2170" spans="1:6" x14ac:dyDescent="0.3">
      <c r="A2170" t="str">
        <f>HYPERLINK("https://us2.cloudbeds.com/connect/10074733072513#/reservations/30654889013387?display=YQ9FFDD4M&amp;reservation_id=30654889013387", "YQ9FFDD4M")</f>
        <v>YQ9FFDD4M</v>
      </c>
      <c r="B2170" t="s">
        <v>345</v>
      </c>
      <c r="C2170">
        <v>64.150000000000006</v>
      </c>
      <c r="D2170">
        <v>69.72</v>
      </c>
      <c r="E2170">
        <v>69.73</v>
      </c>
      <c r="F2170">
        <v>-0.01</v>
      </c>
    </row>
    <row r="2171" spans="1:6" x14ac:dyDescent="0.3">
      <c r="A2171" t="str">
        <f>HYPERLINK("https://us2.cloudbeds.com/connect/10074733072513#/reservations/30653113200849?display=YQ832WQ9H&amp;reservation_id=30653113200849", "YQ832WQ9H")</f>
        <v>YQ832WQ9H</v>
      </c>
      <c r="B2171" t="s">
        <v>348</v>
      </c>
      <c r="C2171">
        <v>87.2</v>
      </c>
      <c r="D2171">
        <v>94.78</v>
      </c>
      <c r="E2171">
        <v>94.79</v>
      </c>
      <c r="F2171">
        <v>-0.01</v>
      </c>
    </row>
    <row r="2172" spans="1:6" x14ac:dyDescent="0.3">
      <c r="A2172" t="str">
        <f>HYPERLINK("https://us2.cloudbeds.com/connect/10074733072513#/reservations/30654638903445?display=YQ992GNPH&amp;reservation_id=30654638903445", "YQ992GNPH")</f>
        <v>YQ992GNPH</v>
      </c>
      <c r="B2172" t="s">
        <v>344</v>
      </c>
      <c r="C2172">
        <v>187.2</v>
      </c>
      <c r="D2172">
        <v>203.48</v>
      </c>
      <c r="E2172">
        <v>203.49</v>
      </c>
      <c r="F2172">
        <v>-0.01</v>
      </c>
    </row>
    <row r="2173" spans="1:6" x14ac:dyDescent="0.3">
      <c r="A2173" t="str">
        <f>HYPERLINK("https://us2.cloudbeds.com/connect/10074733072513#/reservations/30655504294108?display=YQ9V67G70&amp;reservation_id=30655504294108", "YQ9V67G70")</f>
        <v>YQ9V67G70</v>
      </c>
      <c r="B2173" t="s">
        <v>327</v>
      </c>
      <c r="C2173">
        <v>87.2</v>
      </c>
      <c r="D2173">
        <v>94.78</v>
      </c>
      <c r="E2173">
        <v>94.79</v>
      </c>
      <c r="F2173">
        <v>-0.01</v>
      </c>
    </row>
    <row r="2174" spans="1:6" x14ac:dyDescent="0.3">
      <c r="A2174" t="str">
        <f>HYPERLINK("https://us2.cloudbeds.com/connect/10074733072513#/reservations/30655419023552?display=YQ9SR2WG2&amp;reservation_id=30655419023552", "YQ9SR2WG2")</f>
        <v>YQ9SR2WG2</v>
      </c>
      <c r="B2174" t="s">
        <v>346</v>
      </c>
      <c r="C2174">
        <v>87.2</v>
      </c>
      <c r="D2174">
        <v>94.78</v>
      </c>
      <c r="E2174">
        <v>94.79</v>
      </c>
      <c r="F2174">
        <v>-0.01</v>
      </c>
    </row>
    <row r="2175" spans="1:6" x14ac:dyDescent="0.3">
      <c r="A2175" t="str">
        <f>HYPERLINK("https://us2.cloudbeds.com/connect/10074733072513#/reservations/30655198453981?display=YQ9NCB19C&amp;reservation_id=30655198453981", "YQ9NCB19C")</f>
        <v>YQ9NCB19C</v>
      </c>
      <c r="B2175" t="s">
        <v>344</v>
      </c>
      <c r="C2175">
        <v>103.2</v>
      </c>
      <c r="D2175">
        <v>112.17</v>
      </c>
      <c r="E2175">
        <v>112.18</v>
      </c>
      <c r="F2175">
        <v>-0.01</v>
      </c>
    </row>
    <row r="2176" spans="1:6" x14ac:dyDescent="0.3">
      <c r="A2176" t="str">
        <f>HYPERLINK("https://us2.cloudbeds.com/connect/10074733072513#/reservations/30656929587408?display=YQB1K2CG2&amp;reservation_id=30656929587408", "YQB1K2CG2")</f>
        <v>YQB1K2CG2</v>
      </c>
      <c r="B2176" t="s">
        <v>340</v>
      </c>
      <c r="C2176">
        <v>196.2</v>
      </c>
      <c r="D2176">
        <v>213.26</v>
      </c>
      <c r="E2176">
        <v>213.27</v>
      </c>
      <c r="F2176">
        <v>-0.01</v>
      </c>
    </row>
    <row r="2177" spans="1:6" x14ac:dyDescent="0.3">
      <c r="A2177" t="str">
        <f>HYPERLINK("https://us2.cloudbeds.com/connect/10074733072513#/reservations/30654910247095?display=YQ9G0A8GC&amp;reservation_id=30654910247095", "YQ9G0A8GC")</f>
        <v>YQ9G0A8GC</v>
      </c>
      <c r="B2177" t="s">
        <v>345</v>
      </c>
      <c r="C2177">
        <v>64.150000000000006</v>
      </c>
      <c r="D2177">
        <v>69.72</v>
      </c>
      <c r="E2177">
        <v>69.73</v>
      </c>
      <c r="F2177">
        <v>-0.01</v>
      </c>
    </row>
    <row r="2178" spans="1:6" x14ac:dyDescent="0.3">
      <c r="A2178" t="str">
        <f>HYPERLINK("https://us2.cloudbeds.com/connect/10074733072513#/reservations/30654904721633?display=YQ9FSYGK4&amp;reservation_id=30654904721633", "YQ9FSYGK4")</f>
        <v>YQ9FSYGK4</v>
      </c>
      <c r="B2178" t="s">
        <v>345</v>
      </c>
      <c r="C2178">
        <v>64.150000000000006</v>
      </c>
      <c r="D2178">
        <v>69.72</v>
      </c>
      <c r="E2178">
        <v>69.73</v>
      </c>
      <c r="F2178">
        <v>-0.01</v>
      </c>
    </row>
    <row r="2179" spans="1:6" x14ac:dyDescent="0.3">
      <c r="A2179" t="str">
        <f>HYPERLINK("https://us2.cloudbeds.com/connect/10074733072513#/reservations/30654898679947?display=YQ9FNXCMZ&amp;reservation_id=30654898679947", "YQ9FNXCMZ")</f>
        <v>YQ9FNXCMZ</v>
      </c>
      <c r="B2179" t="s">
        <v>345</v>
      </c>
      <c r="C2179">
        <v>64.150000000000006</v>
      </c>
      <c r="D2179">
        <v>69.72</v>
      </c>
      <c r="E2179">
        <v>69.73</v>
      </c>
      <c r="F2179">
        <v>-0.01</v>
      </c>
    </row>
    <row r="2180" spans="1:6" x14ac:dyDescent="0.3">
      <c r="A2180" t="str">
        <f>HYPERLINK("https://us2.cloudbeds.com/connect/10074733072513#/reservations/30657775452364?display=YQBN7AQWF&amp;reservation_id=30657775452364", "YQBN7AQWF")</f>
        <v>YQBN7AQWF</v>
      </c>
      <c r="B2180" t="s">
        <v>350</v>
      </c>
      <c r="C2180">
        <v>250.2</v>
      </c>
      <c r="D2180">
        <v>271.95999999999998</v>
      </c>
      <c r="E2180">
        <v>271.97000000000003</v>
      </c>
      <c r="F2180">
        <v>-0.01</v>
      </c>
    </row>
    <row r="2181" spans="1:6" x14ac:dyDescent="0.3">
      <c r="A2181" t="str">
        <f>HYPERLINK("https://us2.cloudbeds.com/connect/10074733072513#/reservations/30657000472800?display=YQB3DRSM8&amp;reservation_id=30657000472800", "YQB3DRSM8")</f>
        <v>YQB3DRSM8</v>
      </c>
      <c r="B2181" t="s">
        <v>337</v>
      </c>
      <c r="C2181">
        <v>87.2</v>
      </c>
      <c r="D2181">
        <v>94.78</v>
      </c>
      <c r="E2181">
        <v>94.79</v>
      </c>
      <c r="F2181">
        <v>-0.01</v>
      </c>
    </row>
    <row r="2182" spans="1:6" x14ac:dyDescent="0.3">
      <c r="A2182" t="str">
        <f>HYPERLINK("https://us2.cloudbeds.com/connect/10074733072513#/reservations/30656697479305?display=YQASMBKZ6&amp;reservation_id=30656697479305", "YQASMBKZ6")</f>
        <v>YQASMBKZ6</v>
      </c>
      <c r="B2182" t="s">
        <v>337</v>
      </c>
      <c r="C2182">
        <v>294.3</v>
      </c>
      <c r="D2182">
        <v>319.89</v>
      </c>
      <c r="E2182">
        <v>319.89999999999998</v>
      </c>
      <c r="F2182">
        <v>-0.01</v>
      </c>
    </row>
    <row r="2183" spans="1:6" x14ac:dyDescent="0.3">
      <c r="A2183" t="str">
        <f>HYPERLINK("https://us2.cloudbeds.com/connect/10074733072513#/reservations/30653099315412?display=YQ82Z9DYN&amp;reservation_id=30653099315412", "YQ82Z9DYN")</f>
        <v>YQ82Z9DYN</v>
      </c>
      <c r="B2183" t="s">
        <v>348</v>
      </c>
      <c r="C2183">
        <v>196.2</v>
      </c>
      <c r="D2183">
        <v>213.26</v>
      </c>
      <c r="E2183">
        <v>213.27</v>
      </c>
      <c r="F2183">
        <v>-0.01</v>
      </c>
    </row>
    <row r="2184" spans="1:6" x14ac:dyDescent="0.3">
      <c r="A2184" t="str">
        <f>HYPERLINK("https://us2.cloudbeds.com/connect/10074733072513#/reservations/30656926482676?display=YQB1HEWG9&amp;reservation_id=30656926482676", "YQB1HEWG9")</f>
        <v>YQB1HEWG9</v>
      </c>
      <c r="B2184" t="s">
        <v>354</v>
      </c>
      <c r="C2184">
        <v>103.2</v>
      </c>
      <c r="D2184">
        <v>112.17</v>
      </c>
      <c r="E2184">
        <v>112.18</v>
      </c>
      <c r="F2184">
        <v>-0.01</v>
      </c>
    </row>
    <row r="2185" spans="1:6" x14ac:dyDescent="0.3">
      <c r="A2185" t="str">
        <f>HYPERLINK("https://us2.cloudbeds.com/connect/10074733072513#/reservations/30657112440996?display=YQB698X3T&amp;reservation_id=30657112440996", "YQB698X3T")</f>
        <v>YQB698X3T</v>
      </c>
      <c r="B2185" t="s">
        <v>263</v>
      </c>
      <c r="C2185">
        <v>87.2</v>
      </c>
      <c r="D2185">
        <v>94.78</v>
      </c>
      <c r="E2185">
        <v>94.79</v>
      </c>
      <c r="F2185">
        <v>-0.01</v>
      </c>
    </row>
    <row r="2186" spans="1:6" x14ac:dyDescent="0.3">
      <c r="A2186" t="str">
        <f>HYPERLINK("https://us2.cloudbeds.com/connect/10074733072513#/reservations/30656921415824?display=YQB1D5WZA&amp;reservation_id=30656921415824", "YQB1D5WZA")</f>
        <v>YQB1D5WZA</v>
      </c>
      <c r="B2186" t="s">
        <v>354</v>
      </c>
      <c r="C2186">
        <v>103.2</v>
      </c>
      <c r="D2186">
        <v>112.17</v>
      </c>
      <c r="E2186">
        <v>112.18</v>
      </c>
      <c r="F2186">
        <v>-0.01</v>
      </c>
    </row>
    <row r="2187" spans="1:6" x14ac:dyDescent="0.3">
      <c r="A2187" t="str">
        <f>HYPERLINK("https://us2.cloudbeds.com/connect/10074733072513#/reservations/30656937455818?display=YQB1QNARN&amp;reservation_id=30656937455818", "YQB1QNARN")</f>
        <v>YQB1QNARN</v>
      </c>
      <c r="B2187" t="s">
        <v>354</v>
      </c>
      <c r="C2187">
        <v>87.2</v>
      </c>
      <c r="D2187">
        <v>94.78</v>
      </c>
      <c r="E2187">
        <v>94.79</v>
      </c>
      <c r="F2187">
        <v>-0.01</v>
      </c>
    </row>
    <row r="2188" spans="1:6" x14ac:dyDescent="0.3">
      <c r="A2188" t="str">
        <f>HYPERLINK("https://us2.cloudbeds.com/connect/10074733072513#/reservations/30656941801636?display=YQB1UC8G6&amp;reservation_id=30656941801636", "YQB1UC8G6")</f>
        <v>YQB1UC8G6</v>
      </c>
      <c r="B2188" t="s">
        <v>354</v>
      </c>
      <c r="C2188">
        <v>87.2</v>
      </c>
      <c r="D2188">
        <v>94.78</v>
      </c>
      <c r="E2188">
        <v>94.79</v>
      </c>
      <c r="F2188">
        <v>-0.01</v>
      </c>
    </row>
    <row r="2189" spans="1:6" x14ac:dyDescent="0.3">
      <c r="A2189" t="str">
        <f>HYPERLINK("https://us2.cloudbeds.com/connect/10074733072513#/reservations/30656904323212?display=YQB0VPC1C&amp;reservation_id=30656904323212", "YQB0VPC1C")</f>
        <v>YQB0VPC1C</v>
      </c>
      <c r="B2189" t="s">
        <v>354</v>
      </c>
      <c r="C2189">
        <v>196.2</v>
      </c>
      <c r="D2189">
        <v>213.26</v>
      </c>
      <c r="E2189">
        <v>213.27</v>
      </c>
      <c r="F2189">
        <v>-0.01</v>
      </c>
    </row>
    <row r="2190" spans="1:6" x14ac:dyDescent="0.3">
      <c r="A2190" t="str">
        <f>HYPERLINK("https://us2.cloudbeds.com/connect/10074733072513#/reservations/30656967467217?display=YQB2J0EH2&amp;reservation_id=30656967467217", "YQB2J0EH2")</f>
        <v>YQB2J0EH2</v>
      </c>
      <c r="B2190" t="s">
        <v>346</v>
      </c>
      <c r="C2190">
        <v>196.2</v>
      </c>
      <c r="D2190">
        <v>213.26</v>
      </c>
      <c r="E2190">
        <v>213.27</v>
      </c>
      <c r="F2190">
        <v>-0.01</v>
      </c>
    </row>
    <row r="2191" spans="1:6" x14ac:dyDescent="0.3">
      <c r="A2191" t="str">
        <f>HYPERLINK("https://us2.cloudbeds.com/connect/10074733072513#/reservations/30656941805720?display=YQB1UCC7V&amp;reservation_id=30656941805720", "YQB1UCC7V")</f>
        <v>YQB1UCC7V</v>
      </c>
      <c r="B2191" t="s">
        <v>332</v>
      </c>
      <c r="C2191">
        <v>196.2</v>
      </c>
      <c r="D2191">
        <v>213.26</v>
      </c>
      <c r="E2191">
        <v>213.27</v>
      </c>
      <c r="F2191">
        <v>-0.01</v>
      </c>
    </row>
    <row r="2192" spans="1:6" x14ac:dyDescent="0.3">
      <c r="A2192" t="str">
        <f>HYPERLINK("https://us2.cloudbeds.com/connect/10074733072513#/reservations/30654665261262?display=YQ99ZZ5F8&amp;reservation_id=30654665261262", "YQ99ZZ5F8")</f>
        <v>YQ99ZZ5F8</v>
      </c>
      <c r="B2192" t="s">
        <v>355</v>
      </c>
      <c r="C2192">
        <v>127.2</v>
      </c>
      <c r="D2192">
        <v>138.26</v>
      </c>
      <c r="E2192">
        <v>138.27000000000001</v>
      </c>
      <c r="F2192">
        <v>-0.01</v>
      </c>
    </row>
    <row r="2193" spans="1:6" x14ac:dyDescent="0.3">
      <c r="A2193" t="str">
        <f>HYPERLINK("https://us2.cloudbeds.com/connect/10074733072513#/reservations/30657072853188?display=YQB58SVMA&amp;reservation_id=30657072853188", "YQB58SVMA")</f>
        <v>YQB58SVMA</v>
      </c>
      <c r="B2193" t="s">
        <v>263</v>
      </c>
      <c r="C2193">
        <v>87.2</v>
      </c>
      <c r="D2193">
        <v>94.78</v>
      </c>
      <c r="E2193">
        <v>94.79</v>
      </c>
      <c r="F2193">
        <v>-0.01</v>
      </c>
    </row>
    <row r="2194" spans="1:6" x14ac:dyDescent="0.3">
      <c r="A2194" t="str">
        <f>HYPERLINK("https://us2.cloudbeds.com/connect/10074733072513#/reservations/30654687355108?display=YQ9AABVYN&amp;reservation_id=30654687355108", "YQ9AABVYN")</f>
        <v>YQ9AABVYN</v>
      </c>
      <c r="B2194" t="s">
        <v>355</v>
      </c>
      <c r="C2194">
        <v>280.47000000000003</v>
      </c>
      <c r="D2194">
        <v>304.86</v>
      </c>
      <c r="E2194">
        <v>304.87</v>
      </c>
      <c r="F2194">
        <v>-0.01</v>
      </c>
    </row>
    <row r="2195" spans="1:6" x14ac:dyDescent="0.3">
      <c r="A2195" t="str">
        <f>HYPERLINK("https://us2.cloudbeds.com/connect/10074733072513#/reservations/30655784947947?display=YQA5BT37Q&amp;reservation_id=30655784947947", "YQA5BT37Q")</f>
        <v>YQA5BT37Q</v>
      </c>
      <c r="B2195" t="s">
        <v>255</v>
      </c>
      <c r="C2195">
        <v>268.2</v>
      </c>
      <c r="D2195">
        <v>291.52</v>
      </c>
      <c r="E2195">
        <v>291.52999999999997</v>
      </c>
      <c r="F2195">
        <v>-0.01</v>
      </c>
    </row>
    <row r="2196" spans="1:6" x14ac:dyDescent="0.3">
      <c r="A2196" t="str">
        <f>HYPERLINK("https://us2.cloudbeds.com/connect/10074733072513#/reservations/30654673043617?display=YQ99V9NQ6&amp;reservation_id=30654673043617", "YQ99V9NQ6")</f>
        <v>YQ99V9NQ6</v>
      </c>
      <c r="B2196" t="s">
        <v>355</v>
      </c>
      <c r="C2196">
        <v>134.1</v>
      </c>
      <c r="D2196">
        <v>145.76</v>
      </c>
      <c r="E2196">
        <v>145.77000000000001</v>
      </c>
      <c r="F2196">
        <v>-0.01</v>
      </c>
    </row>
    <row r="2197" spans="1:6" x14ac:dyDescent="0.3">
      <c r="A2197" t="str">
        <f>HYPERLINK("https://us2.cloudbeds.com/connect/10074733072513#/reservations/30654712697000?display=YQ9AVZ4ES&amp;reservation_id=30654712697000", "YQ9AVZ4ES")</f>
        <v>YQ9AVZ4ES</v>
      </c>
      <c r="B2197" t="s">
        <v>355</v>
      </c>
      <c r="C2197">
        <v>90.07</v>
      </c>
      <c r="D2197">
        <v>97.9</v>
      </c>
      <c r="E2197">
        <v>97.91</v>
      </c>
      <c r="F2197">
        <v>-0.01</v>
      </c>
    </row>
    <row r="2198" spans="1:6" x14ac:dyDescent="0.3">
      <c r="A2198" t="str">
        <f>HYPERLINK("https://us2.cloudbeds.com/connect/10074733072513#/reservations/30654704853210?display=YQ9AP3SN8&amp;reservation_id=30654704853210", "YQ9AP3SN8")</f>
        <v>YQ9AP3SN8</v>
      </c>
      <c r="B2198" t="s">
        <v>355</v>
      </c>
      <c r="C2198">
        <v>90.07</v>
      </c>
      <c r="D2198">
        <v>97.9</v>
      </c>
      <c r="E2198">
        <v>97.91</v>
      </c>
      <c r="F2198">
        <v>-0.01</v>
      </c>
    </row>
    <row r="2199" spans="1:6" x14ac:dyDescent="0.3">
      <c r="A2199" t="str">
        <f>HYPERLINK("https://us2.cloudbeds.com/connect/10074733072513#/reservations/30655596851427?display=YQA0X9158&amp;reservation_id=30655596851427", "YQA0X9158")</f>
        <v>YQA0X9158</v>
      </c>
      <c r="B2199" t="s">
        <v>312</v>
      </c>
      <c r="C2199">
        <v>90.07</v>
      </c>
      <c r="D2199">
        <v>97.9</v>
      </c>
      <c r="E2199">
        <v>97.91</v>
      </c>
      <c r="F2199">
        <v>-0.01</v>
      </c>
    </row>
    <row r="2200" spans="1:6" x14ac:dyDescent="0.3">
      <c r="A2200" t="str">
        <f>HYPERLINK("https://us2.cloudbeds.com/connect/10074733072513#/reservations/30655859196056?display=YQA78G5AG&amp;reservation_id=30655859196056", "YQA78G5AG")</f>
        <v>YQA78G5AG</v>
      </c>
      <c r="B2200" t="s">
        <v>357</v>
      </c>
      <c r="C2200">
        <v>90.07</v>
      </c>
      <c r="D2200">
        <v>97.9</v>
      </c>
      <c r="E2200">
        <v>97.91</v>
      </c>
      <c r="F2200">
        <v>-0.01</v>
      </c>
    </row>
    <row r="2201" spans="1:6" x14ac:dyDescent="0.3">
      <c r="A2201" t="str">
        <f>HYPERLINK("https://us2.cloudbeds.com/connect/10074733072513#/reservations/30660871348456?display=YQE3ASMPH&amp;reservation_id=30660871348456", "YQE3ASMPH")</f>
        <v>YQE3ASMPH</v>
      </c>
      <c r="B2201" t="s">
        <v>358</v>
      </c>
      <c r="C2201">
        <v>87.2</v>
      </c>
      <c r="D2201">
        <v>94.78</v>
      </c>
      <c r="E2201">
        <v>94.79</v>
      </c>
      <c r="F2201">
        <v>-0.01</v>
      </c>
    </row>
    <row r="2202" spans="1:6" x14ac:dyDescent="0.3">
      <c r="A2202" t="str">
        <f>HYPERLINK("https://us2.cloudbeds.com/connect/10074733072513#/reservations/30655802605794?display=YQA5QPEW2&amp;reservation_id=30655802605794", "YQA5QPEW2")</f>
        <v>YQA5QPEW2</v>
      </c>
      <c r="B2202" t="s">
        <v>359</v>
      </c>
      <c r="C2202">
        <v>127.2</v>
      </c>
      <c r="D2202">
        <v>138.26</v>
      </c>
      <c r="E2202">
        <v>138.27000000000001</v>
      </c>
      <c r="F2202">
        <v>-0.01</v>
      </c>
    </row>
    <row r="2203" spans="1:6" x14ac:dyDescent="0.3">
      <c r="A2203" t="str">
        <f>HYPERLINK("https://us2.cloudbeds.com/connect/10074733072513#/reservations/30655827767541?display=YQA6EWKB8&amp;reservation_id=30655827767541", "YQA6EWKB8")</f>
        <v>YQA6EWKB8</v>
      </c>
      <c r="B2203" t="s">
        <v>359</v>
      </c>
      <c r="C2203">
        <v>90.07</v>
      </c>
      <c r="D2203">
        <v>97.9</v>
      </c>
      <c r="E2203">
        <v>97.91</v>
      </c>
      <c r="F2203">
        <v>-0.01</v>
      </c>
    </row>
    <row r="2204" spans="1:6" x14ac:dyDescent="0.3">
      <c r="A2204" t="str">
        <f>HYPERLINK("https://us2.cloudbeds.com/connect/10074733072513#/reservations/30655444406494?display=YQ9TYZ0WR&amp;reservation_id=30655444406494", "YQ9TYZ0WR")</f>
        <v>YQ9TYZ0WR</v>
      </c>
      <c r="B2204" t="s">
        <v>357</v>
      </c>
      <c r="C2204">
        <v>140.1</v>
      </c>
      <c r="D2204">
        <v>152.28</v>
      </c>
      <c r="E2204">
        <v>152.29</v>
      </c>
      <c r="F2204">
        <v>-0.01</v>
      </c>
    </row>
    <row r="2205" spans="1:6" x14ac:dyDescent="0.3">
      <c r="A2205" t="str">
        <f>HYPERLINK("https://us2.cloudbeds.com/connect/10074733072513#/reservations/30657157783757?display=YQB7EG95V&amp;reservation_id=30657157783757", "YQB7EG95V")</f>
        <v>YQB7EG95V</v>
      </c>
      <c r="B2205" t="s">
        <v>353</v>
      </c>
      <c r="C2205">
        <v>90.07</v>
      </c>
      <c r="D2205">
        <v>97.9</v>
      </c>
      <c r="E2205">
        <v>97.91</v>
      </c>
      <c r="F2205">
        <v>-0.01</v>
      </c>
    </row>
    <row r="2206" spans="1:6" x14ac:dyDescent="0.3">
      <c r="A2206" t="str">
        <f>HYPERLINK("https://us2.cloudbeds.com/connect/10074733072513#/reservations/30657059901569?display=YQB4UVXX1&amp;reservation_id=30657059901569", "YQB4UVXX1")</f>
        <v>YQB4UVXX1</v>
      </c>
      <c r="B2206" t="s">
        <v>353</v>
      </c>
      <c r="C2206">
        <v>268.2</v>
      </c>
      <c r="D2206">
        <v>291.52</v>
      </c>
      <c r="E2206">
        <v>291.52999999999997</v>
      </c>
      <c r="F2206">
        <v>-0.01</v>
      </c>
    </row>
    <row r="2207" spans="1:6" x14ac:dyDescent="0.3">
      <c r="A2207" t="str">
        <f>HYPERLINK("https://us2.cloudbeds.com/connect/10074733072513#/reservations/30657072849099?display=YQB58SRUE&amp;reservation_id=30657072849099", "YQB58SRUE")</f>
        <v>YQB58SRUE</v>
      </c>
      <c r="B2207" t="s">
        <v>353</v>
      </c>
      <c r="C2207">
        <v>268.2</v>
      </c>
      <c r="D2207">
        <v>291.52</v>
      </c>
      <c r="E2207">
        <v>291.52999999999997</v>
      </c>
      <c r="F2207">
        <v>-0.01</v>
      </c>
    </row>
    <row r="2208" spans="1:6" x14ac:dyDescent="0.3">
      <c r="A2208" t="str">
        <f>HYPERLINK("https://us2.cloudbeds.com/connect/10074733072513#/reservations/30655105269933?display=YQ9KWP1RB&amp;reservation_id=30655105269933", "YQ9KWP1RB")</f>
        <v>YQ9KWP1RB</v>
      </c>
      <c r="B2208" t="s">
        <v>285</v>
      </c>
      <c r="C2208">
        <v>254.4</v>
      </c>
      <c r="D2208">
        <v>276.52</v>
      </c>
      <c r="E2208">
        <v>276.52999999999997</v>
      </c>
      <c r="F2208">
        <v>-0.01</v>
      </c>
    </row>
    <row r="2209" spans="1:6" x14ac:dyDescent="0.3">
      <c r="A2209" t="str">
        <f>HYPERLINK("https://us2.cloudbeds.com/connect/10074733072513#/reservations/30657056051450?display=YQB4RNE2P&amp;reservation_id=30657056051450", "YQB4RNE2P")</f>
        <v>YQB4RNE2P</v>
      </c>
      <c r="B2209" t="s">
        <v>353</v>
      </c>
      <c r="C2209">
        <v>134.1</v>
      </c>
      <c r="D2209">
        <v>145.76</v>
      </c>
      <c r="E2209">
        <v>145.77000000000001</v>
      </c>
      <c r="F2209">
        <v>-0.01</v>
      </c>
    </row>
    <row r="2210" spans="1:6" x14ac:dyDescent="0.3">
      <c r="A2210" t="str">
        <f>HYPERLINK("https://us2.cloudbeds.com/connect/10074733072513#/reservations/30653891715279?display=YQ8MWF3XT&amp;reservation_id=30653891715279", "YQ8MWF3XT")</f>
        <v>YQ8MWF3XT</v>
      </c>
      <c r="B2210" t="s">
        <v>320</v>
      </c>
      <c r="C2210">
        <v>134.1</v>
      </c>
      <c r="D2210">
        <v>145.76</v>
      </c>
      <c r="E2210">
        <v>145.77000000000001</v>
      </c>
      <c r="F2210">
        <v>-0.01</v>
      </c>
    </row>
    <row r="2211" spans="1:6" x14ac:dyDescent="0.3">
      <c r="A2211" t="str">
        <f>HYPERLINK("https://us2.cloudbeds.com/connect/10074733072513#/reservations/30659322503316?display=YQCTZRQ3B&amp;reservation_id=30659322503316", "YQCTZRQ3B")</f>
        <v>YQCTZRQ3B</v>
      </c>
      <c r="B2211" t="s">
        <v>360</v>
      </c>
      <c r="C2211">
        <v>250.2</v>
      </c>
      <c r="D2211">
        <v>271.95999999999998</v>
      </c>
      <c r="E2211">
        <v>271.97000000000003</v>
      </c>
      <c r="F2211">
        <v>-0.01</v>
      </c>
    </row>
    <row r="2212" spans="1:6" x14ac:dyDescent="0.3">
      <c r="A2212" t="str">
        <f>HYPERLINK("https://us2.cloudbeds.com/connect/10074733072513#/reservations/30659694883024?display=YQD68RQXU&amp;reservation_id=30659694883024", "YQD68RQXU")</f>
        <v>YQD68RQXU</v>
      </c>
      <c r="B2212" t="s">
        <v>361</v>
      </c>
      <c r="C2212">
        <v>87.2</v>
      </c>
      <c r="D2212">
        <v>94.78</v>
      </c>
      <c r="E2212">
        <v>94.79</v>
      </c>
      <c r="F2212">
        <v>-0.01</v>
      </c>
    </row>
    <row r="2213" spans="1:6" x14ac:dyDescent="0.3">
      <c r="A2213" t="str">
        <f>HYPERLINK("https://us2.cloudbeds.com/connect/10074733072513#/reservations/30653915099285?display=YQ8NJ5QG4&amp;reservation_id=30653915099285", "YQ8NJ5QG4")</f>
        <v>YQ8NJ5QG4</v>
      </c>
      <c r="B2213" t="s">
        <v>320</v>
      </c>
      <c r="C2213">
        <v>134.1</v>
      </c>
      <c r="D2213">
        <v>145.76</v>
      </c>
      <c r="E2213">
        <v>145.77000000000001</v>
      </c>
      <c r="F2213">
        <v>-0.01</v>
      </c>
    </row>
    <row r="2214" spans="1:6" x14ac:dyDescent="0.3">
      <c r="A2214" t="str">
        <f>HYPERLINK("https://us2.cloudbeds.com/connect/10074733072513#/reservations/30657847967907?display=YQBP2FM35&amp;reservation_id=30657847967907", "YQBP2FM35")</f>
        <v>YQBP2FM35</v>
      </c>
      <c r="B2214" t="s">
        <v>334</v>
      </c>
      <c r="C2214">
        <v>184.2</v>
      </c>
      <c r="D2214">
        <v>200.22</v>
      </c>
      <c r="E2214">
        <v>200.23</v>
      </c>
      <c r="F2214">
        <v>-0.01</v>
      </c>
    </row>
    <row r="2215" spans="1:6" x14ac:dyDescent="0.3">
      <c r="A2215" t="str">
        <f>HYPERLINK("https://us2.cloudbeds.com/connect/10074733072513#/reservations/30659735736520?display=YQD7A9K8Y&amp;reservation_id=30659735736520", "YQD7A9K8Y")</f>
        <v>YQD7A9K8Y</v>
      </c>
      <c r="B2215" t="s">
        <v>362</v>
      </c>
      <c r="C2215">
        <v>216.44</v>
      </c>
      <c r="D2215">
        <v>235.26</v>
      </c>
      <c r="E2215">
        <v>235.27</v>
      </c>
      <c r="F2215">
        <v>-0.01</v>
      </c>
    </row>
    <row r="2216" spans="1:6" x14ac:dyDescent="0.3">
      <c r="A2216" t="str">
        <f>HYPERLINK("https://us2.cloudbeds.com/connect/10074733072513#/reservations/30658291470588?display=YQC3DEPUB&amp;reservation_id=30658291470588", "YQC3DEPUB")</f>
        <v>YQC3DEPUB</v>
      </c>
      <c r="B2216" t="s">
        <v>351</v>
      </c>
      <c r="C2216">
        <v>103.2</v>
      </c>
      <c r="D2216">
        <v>112.17</v>
      </c>
      <c r="E2216">
        <v>112.18</v>
      </c>
      <c r="F2216">
        <v>-0.01</v>
      </c>
    </row>
    <row r="2217" spans="1:6" x14ac:dyDescent="0.3">
      <c r="A2217" t="str">
        <f>HYPERLINK("https://us2.cloudbeds.com/connect/10074733072513#/reservations/30657915949311?display=YQBQQQBKN&amp;reservation_id=30657915949311", "YQBQQQBKN")</f>
        <v>YQBQQQBKN</v>
      </c>
      <c r="B2217" t="s">
        <v>334</v>
      </c>
      <c r="C2217">
        <v>115.49</v>
      </c>
      <c r="D2217">
        <v>125.53</v>
      </c>
      <c r="E2217">
        <v>125.54</v>
      </c>
      <c r="F2217">
        <v>-0.01</v>
      </c>
    </row>
    <row r="2218" spans="1:6" x14ac:dyDescent="0.3">
      <c r="A2218" t="str">
        <f>HYPERLINK("https://us2.cloudbeds.com/connect/10074733072513#/reservations/30657920974984?display=YQBQV16XR&amp;reservation_id=30657920974984", "YQBQV16XR")</f>
        <v>YQBQV16XR</v>
      </c>
      <c r="B2218" t="s">
        <v>334</v>
      </c>
      <c r="C2218">
        <v>115.49</v>
      </c>
      <c r="D2218">
        <v>125.53</v>
      </c>
      <c r="E2218">
        <v>125.54</v>
      </c>
      <c r="F2218">
        <v>-0.01</v>
      </c>
    </row>
    <row r="2219" spans="1:6" x14ac:dyDescent="0.3">
      <c r="A2219" t="str">
        <f>HYPERLINK("https://us2.cloudbeds.com/connect/10074733072513#/reservations/30658678374528?display=YQCD9MRTW&amp;reservation_id=30658678374528", "YQCD9MRTW")</f>
        <v>YQCD9MRTW</v>
      </c>
      <c r="B2219" t="s">
        <v>364</v>
      </c>
      <c r="C2219">
        <v>539.20000000000005</v>
      </c>
      <c r="D2219">
        <v>586.1</v>
      </c>
      <c r="E2219">
        <v>586.11</v>
      </c>
      <c r="F2219">
        <v>-0.01</v>
      </c>
    </row>
    <row r="2220" spans="1:6" x14ac:dyDescent="0.3">
      <c r="A2220" t="str">
        <f>HYPERLINK("https://us2.cloudbeds.com/connect/10074733072513#/reservations/30658532540598?display=YQC9XNU55&amp;reservation_id=30658532540598", "YQC9XNU55")</f>
        <v>YQC9XNU55</v>
      </c>
      <c r="B2220" t="s">
        <v>297</v>
      </c>
      <c r="C2220">
        <v>284</v>
      </c>
      <c r="D2220">
        <v>308.7</v>
      </c>
      <c r="E2220">
        <v>308.70999999999998</v>
      </c>
      <c r="F2220">
        <v>-0.01</v>
      </c>
    </row>
    <row r="2221" spans="1:6" x14ac:dyDescent="0.3">
      <c r="A2221" t="str">
        <f>HYPERLINK("https://us2.cloudbeds.com/connect/10074733072513#/reservations/30658957627570?display=YQCKE5JAX&amp;reservation_id=30658957627570", "YQCKE5JAX")</f>
        <v>YQCKE5JAX</v>
      </c>
      <c r="B2221" t="s">
        <v>297</v>
      </c>
      <c r="C2221">
        <v>190.1</v>
      </c>
      <c r="D2221">
        <v>206.63</v>
      </c>
      <c r="E2221">
        <v>206.64</v>
      </c>
      <c r="F2221">
        <v>-0.01</v>
      </c>
    </row>
    <row r="2222" spans="1:6" x14ac:dyDescent="0.3">
      <c r="A2222" t="str">
        <f>HYPERLINK("https://us2.cloudbeds.com/connect/10074733072513#/reservations/30657983668380?display=YQBSHTZ8N&amp;reservation_id=30657983668380", "YQBSHTZ8N")</f>
        <v>YQBSHTZ8N</v>
      </c>
      <c r="B2222" t="s">
        <v>365</v>
      </c>
      <c r="C2222">
        <v>143.19999999999999</v>
      </c>
      <c r="D2222">
        <v>155.65</v>
      </c>
      <c r="E2222">
        <v>155.66</v>
      </c>
      <c r="F2222">
        <v>-0.01</v>
      </c>
    </row>
    <row r="2223" spans="1:6" x14ac:dyDescent="0.3">
      <c r="A2223" t="str">
        <f>HYPERLINK("https://us2.cloudbeds.com/connect/10074733072513#/reservations/30658009473169?display=YQBT6YQ40&amp;reservation_id=30658009473169", "YQBT6YQ40")</f>
        <v>YQBT6YQ40</v>
      </c>
      <c r="B2223" t="s">
        <v>366</v>
      </c>
      <c r="C2223">
        <v>90.07</v>
      </c>
      <c r="D2223">
        <v>97.9</v>
      </c>
      <c r="E2223">
        <v>97.91</v>
      </c>
      <c r="F2223">
        <v>-0.01</v>
      </c>
    </row>
    <row r="2224" spans="1:6" x14ac:dyDescent="0.3">
      <c r="A2224" t="str">
        <f>HYPERLINK("https://us2.cloudbeds.com/connect/10074733072513#/reservations/30658533646537?display=YQC9JYMNF&amp;reservation_id=30658533646537", "YQC9JYMNF")</f>
        <v>YQC9JYMNF</v>
      </c>
      <c r="B2224" t="s">
        <v>368</v>
      </c>
      <c r="C2224">
        <v>103.2</v>
      </c>
      <c r="D2224">
        <v>112.17</v>
      </c>
      <c r="E2224">
        <v>112.18</v>
      </c>
      <c r="F2224">
        <v>-0.01</v>
      </c>
    </row>
    <row r="2225" spans="1:6" x14ac:dyDescent="0.3">
      <c r="A2225" t="str">
        <f>HYPERLINK("https://us2.cloudbeds.com/connect/10074733072513#/reservations/30658190819520?display=YQC0KMH76&amp;reservation_id=30658190819520", "YQC0KMH76")</f>
        <v>YQC0KMH76</v>
      </c>
      <c r="B2225" t="s">
        <v>369</v>
      </c>
      <c r="C2225">
        <v>152.1</v>
      </c>
      <c r="D2225">
        <v>165.32</v>
      </c>
      <c r="E2225">
        <v>165.33</v>
      </c>
      <c r="F2225">
        <v>-0.01</v>
      </c>
    </row>
    <row r="2226" spans="1:6" x14ac:dyDescent="0.3">
      <c r="A2226" t="str">
        <f>HYPERLINK("https://us2.cloudbeds.com/connect/10074733072513#/reservations/30657801703635?display=YQBNTF9RH&amp;reservation_id=30657801703635", "YQBNTF9RH")</f>
        <v>YQBNTF9RH</v>
      </c>
      <c r="B2226" t="s">
        <v>370</v>
      </c>
      <c r="C2226">
        <v>103.2</v>
      </c>
      <c r="D2226">
        <v>112.17</v>
      </c>
      <c r="E2226">
        <v>112.18</v>
      </c>
      <c r="F2226">
        <v>-0.01</v>
      </c>
    </row>
    <row r="2227" spans="1:6" x14ac:dyDescent="0.3">
      <c r="A2227" t="str">
        <f>HYPERLINK("https://us2.cloudbeds.com/connect/10074733072513#/reservations/30658174746825?display=YQC0E0PXK&amp;reservation_id=30658174746825", "YQC0E0PXK")</f>
        <v>YQC0E0PXK</v>
      </c>
      <c r="B2227" t="s">
        <v>369</v>
      </c>
      <c r="C2227">
        <v>152.1</v>
      </c>
      <c r="D2227">
        <v>165.32</v>
      </c>
      <c r="E2227">
        <v>165.33</v>
      </c>
      <c r="F2227">
        <v>-0.01</v>
      </c>
    </row>
    <row r="2228" spans="1:6" x14ac:dyDescent="0.3">
      <c r="A2228" t="str">
        <f>HYPERLINK("https://us2.cloudbeds.com/connect/10074733072513#/reservations/30657825386701?display=YQBZGEAC6&amp;reservation_id=30657825386701", "YQBZGEAC6")</f>
        <v>YQBZGEAC6</v>
      </c>
      <c r="B2228" t="s">
        <v>370</v>
      </c>
      <c r="C2228">
        <v>90.07</v>
      </c>
      <c r="D2228">
        <v>97.9</v>
      </c>
      <c r="E2228">
        <v>97.91</v>
      </c>
      <c r="F2228">
        <v>-0.01</v>
      </c>
    </row>
    <row r="2229" spans="1:6" x14ac:dyDescent="0.3">
      <c r="A2229" t="str">
        <f>HYPERLINK("https://us2.cloudbeds.com/connect/10074733072513#/reservations/30658227450060?display=YQC1PFAXB&amp;reservation_id=30658227450060", "YQC1PFAXB")</f>
        <v>YQC1PFAXB</v>
      </c>
      <c r="B2229" t="s">
        <v>369</v>
      </c>
      <c r="C2229">
        <v>313.2</v>
      </c>
      <c r="D2229">
        <v>340.44</v>
      </c>
      <c r="E2229">
        <v>340.45</v>
      </c>
      <c r="F2229">
        <v>-0.01</v>
      </c>
    </row>
    <row r="2230" spans="1:6" x14ac:dyDescent="0.3">
      <c r="A2230" t="str">
        <f>HYPERLINK("https://us2.cloudbeds.com/connect/10074733072513#/reservations/30657822572727?display=YQBZE20C8&amp;reservation_id=30657822572727", "YQBZE20C8")</f>
        <v>YQBZE20C8</v>
      </c>
      <c r="B2230" t="s">
        <v>370</v>
      </c>
      <c r="C2230">
        <v>90.07</v>
      </c>
      <c r="D2230">
        <v>97.9</v>
      </c>
      <c r="E2230">
        <v>97.91</v>
      </c>
      <c r="F2230">
        <v>-0.01</v>
      </c>
    </row>
    <row r="2231" spans="1:6" x14ac:dyDescent="0.3">
      <c r="A2231" t="str">
        <f>HYPERLINK("https://us2.cloudbeds.com/connect/10074733072513#/reservations/30657930649755?display=YQBR66DYN&amp;reservation_id=30657930649755", "YQBR66DYN")</f>
        <v>YQBR66DYN</v>
      </c>
      <c r="B2231" t="s">
        <v>370</v>
      </c>
      <c r="C2231">
        <v>90.07</v>
      </c>
      <c r="D2231">
        <v>97.9</v>
      </c>
      <c r="E2231">
        <v>97.91</v>
      </c>
      <c r="F2231">
        <v>-0.01</v>
      </c>
    </row>
    <row r="2232" spans="1:6" x14ac:dyDescent="0.3">
      <c r="A2232" t="str">
        <f>HYPERLINK("https://us2.cloudbeds.com/connect/10074733072513#/reservations/30657934041286?display=YQBR91Q0C&amp;reservation_id=30657934041286", "YQBR91Q0C")</f>
        <v>YQBR91Q0C</v>
      </c>
      <c r="B2232" t="s">
        <v>370</v>
      </c>
      <c r="C2232">
        <v>90.07</v>
      </c>
      <c r="D2232">
        <v>97.9</v>
      </c>
      <c r="E2232">
        <v>97.91</v>
      </c>
      <c r="F2232">
        <v>-0.01</v>
      </c>
    </row>
    <row r="2233" spans="1:6" x14ac:dyDescent="0.3">
      <c r="A2233" t="str">
        <f>HYPERLINK("https://us2.cloudbeds.com/connect/10074733072513#/reservations/30661774553325?display=YQEQDFN02&amp;reservation_id=30661774553325", "YQEQDFN02")</f>
        <v>YQEQDFN02</v>
      </c>
      <c r="B2233" t="s">
        <v>373</v>
      </c>
      <c r="C2233">
        <v>87.2</v>
      </c>
      <c r="D2233">
        <v>94.78</v>
      </c>
      <c r="E2233">
        <v>94.79</v>
      </c>
      <c r="F2233">
        <v>-0.01</v>
      </c>
    </row>
    <row r="2234" spans="1:6" x14ac:dyDescent="0.3">
      <c r="A2234" t="str">
        <f>HYPERLINK("https://us2.cloudbeds.com/connect/10074733072513#/reservations/30660778045670?display=YQE0V6D9D&amp;reservation_id=30660778045670", "YQE0V6D9D")</f>
        <v>YQE0V6D9D</v>
      </c>
      <c r="B2234" t="s">
        <v>373</v>
      </c>
      <c r="C2234">
        <v>87.2</v>
      </c>
      <c r="D2234">
        <v>94.78</v>
      </c>
      <c r="E2234">
        <v>94.79</v>
      </c>
      <c r="F2234">
        <v>-0.01</v>
      </c>
    </row>
    <row r="2235" spans="1:6" x14ac:dyDescent="0.3">
      <c r="A2235" t="str">
        <f>HYPERLINK("https://us2.cloudbeds.com/connect/10074733072513#/reservations/30658224038139?display=YQC1MJCFQ&amp;reservation_id=30658224038139", "YQC1MJCFQ")</f>
        <v>YQC1MJCFQ</v>
      </c>
      <c r="B2235" t="s">
        <v>351</v>
      </c>
      <c r="C2235">
        <v>90.07</v>
      </c>
      <c r="D2235">
        <v>97.9</v>
      </c>
      <c r="E2235">
        <v>97.91</v>
      </c>
      <c r="F2235">
        <v>-0.01</v>
      </c>
    </row>
    <row r="2236" spans="1:6" x14ac:dyDescent="0.3">
      <c r="A2236" t="str">
        <f>HYPERLINK("https://us2.cloudbeds.com/connect/10074733072513#/reservations/30658944897277?display=YQCK3EBE3&amp;reservation_id=30658944897277", "YQCK3EBE3")</f>
        <v>YQCK3EBE3</v>
      </c>
      <c r="B2236" t="s">
        <v>297</v>
      </c>
      <c r="C2236">
        <v>152.15</v>
      </c>
      <c r="D2236">
        <v>165.38</v>
      </c>
      <c r="E2236">
        <v>165.39</v>
      </c>
      <c r="F2236">
        <v>-0.01</v>
      </c>
    </row>
    <row r="2237" spans="1:6" x14ac:dyDescent="0.3">
      <c r="A2237" t="str">
        <f>HYPERLINK("https://us2.cloudbeds.com/connect/10074733072513#/reservations/30659223421074?display=YQCR79MG5&amp;reservation_id=30659223421074", "YQCR79MG5")</f>
        <v>YQCR79MG5</v>
      </c>
      <c r="B2237" t="s">
        <v>374</v>
      </c>
      <c r="C2237">
        <v>103.2</v>
      </c>
      <c r="D2237">
        <v>112.17</v>
      </c>
      <c r="E2237">
        <v>112.18</v>
      </c>
      <c r="F2237">
        <v>-0.01</v>
      </c>
    </row>
    <row r="2238" spans="1:6" x14ac:dyDescent="0.3">
      <c r="A2238" t="str">
        <f>HYPERLINK("https://us2.cloudbeds.com/connect/10074733072513#/reservations/30658273271982?display=YQC2V3CKE&amp;reservation_id=30658273271982", "YQC2V3CKE")</f>
        <v>YQC2V3CKE</v>
      </c>
      <c r="B2238" t="s">
        <v>351</v>
      </c>
      <c r="C2238">
        <v>90.07</v>
      </c>
      <c r="D2238">
        <v>97.9</v>
      </c>
      <c r="E2238">
        <v>97.91</v>
      </c>
      <c r="F2238">
        <v>-0.01</v>
      </c>
    </row>
    <row r="2239" spans="1:6" x14ac:dyDescent="0.3">
      <c r="A2239" t="str">
        <f>HYPERLINK("https://us2.cloudbeds.com/connect/10074733072513#/reservations/30658793558232?display=YQCG7R3PE&amp;reservation_id=30658793558232", "YQCG7R3PE")</f>
        <v>YQCG7R3PE</v>
      </c>
      <c r="B2239" t="s">
        <v>368</v>
      </c>
      <c r="C2239">
        <v>90.07</v>
      </c>
      <c r="D2239">
        <v>97.9</v>
      </c>
      <c r="E2239">
        <v>97.91</v>
      </c>
      <c r="F2239">
        <v>-0.01</v>
      </c>
    </row>
    <row r="2240" spans="1:6" x14ac:dyDescent="0.3">
      <c r="A2240" t="str">
        <f>HYPERLINK("https://us2.cloudbeds.com/connect/10074733072513#/reservations/30658228756628?display=YQC1QXMBA&amp;reservation_id=30658228756628", "YQC1QXMBA")</f>
        <v>YQC1QXMBA</v>
      </c>
      <c r="B2240" t="s">
        <v>351</v>
      </c>
      <c r="C2240">
        <v>90.07</v>
      </c>
      <c r="D2240">
        <v>97.9</v>
      </c>
      <c r="E2240">
        <v>97.91</v>
      </c>
      <c r="F2240">
        <v>-0.01</v>
      </c>
    </row>
    <row r="2241" spans="1:6" x14ac:dyDescent="0.3">
      <c r="A2241" t="str">
        <f>HYPERLINK("https://us2.cloudbeds.com/connect/10074733072513#/reservations/30658255478976?display=YQC2BYMRY&amp;reservation_id=30658255478976", "YQC2BYMRY")</f>
        <v>YQC2BYMRY</v>
      </c>
      <c r="B2241" t="s">
        <v>352</v>
      </c>
      <c r="C2241">
        <v>103.2</v>
      </c>
      <c r="D2241">
        <v>112.17</v>
      </c>
      <c r="E2241">
        <v>112.18</v>
      </c>
      <c r="F2241">
        <v>-0.01</v>
      </c>
    </row>
    <row r="2242" spans="1:6" x14ac:dyDescent="0.3">
      <c r="A2242" t="str">
        <f>HYPERLINK("https://us2.cloudbeds.com/connect/10074733072513#/reservations/30658334351514?display=YQC4GK0BB&amp;reservation_id=30658334351514", "YQC4GK0BB")</f>
        <v>YQC4GK0BB</v>
      </c>
      <c r="B2242" t="s">
        <v>352</v>
      </c>
      <c r="C2242">
        <v>103.2</v>
      </c>
      <c r="D2242">
        <v>112.17</v>
      </c>
      <c r="E2242">
        <v>112.18</v>
      </c>
      <c r="F2242">
        <v>-0.01</v>
      </c>
    </row>
    <row r="2243" spans="1:6" x14ac:dyDescent="0.3">
      <c r="A2243" t="str">
        <f>HYPERLINK("https://us2.cloudbeds.com/connect/10074733072513#/reservations/30658600374469?display=YQCB9UG6W&amp;reservation_id=30658600374469", "YQCB9UG6W")</f>
        <v>YQCB9UG6W</v>
      </c>
      <c r="B2243" t="s">
        <v>368</v>
      </c>
      <c r="C2243">
        <v>90.07</v>
      </c>
      <c r="D2243">
        <v>97.9</v>
      </c>
      <c r="E2243">
        <v>97.91</v>
      </c>
      <c r="F2243">
        <v>-0.01</v>
      </c>
    </row>
    <row r="2244" spans="1:6" x14ac:dyDescent="0.3">
      <c r="A2244" t="str">
        <f>HYPERLINK("https://us2.cloudbeds.com/connect/10074733072513#/reservations/30658820931779?display=YQCGUTR5R&amp;reservation_id=30658820931779", "YQCGUTR5R")</f>
        <v>YQCGUTR5R</v>
      </c>
      <c r="B2244" t="s">
        <v>368</v>
      </c>
      <c r="C2244">
        <v>90.07</v>
      </c>
      <c r="D2244">
        <v>97.9</v>
      </c>
      <c r="E2244">
        <v>97.91</v>
      </c>
      <c r="F2244">
        <v>-0.01</v>
      </c>
    </row>
    <row r="2245" spans="1:6" x14ac:dyDescent="0.3">
      <c r="A2245" t="str">
        <f>HYPERLINK("https://us2.cloudbeds.com/connect/10074733072513#/reservations/30658947940547?display=YQCK600WD&amp;reservation_id=30658947940547", "YQCK600WD")</f>
        <v>YQCK600WD</v>
      </c>
      <c r="B2245" t="s">
        <v>375</v>
      </c>
      <c r="C2245">
        <v>103.2</v>
      </c>
      <c r="D2245">
        <v>112.17</v>
      </c>
      <c r="E2245">
        <v>112.18</v>
      </c>
      <c r="F2245">
        <v>-0.01</v>
      </c>
    </row>
    <row r="2246" spans="1:6" x14ac:dyDescent="0.3">
      <c r="A2246" t="str">
        <f>HYPERLINK("https://us2.cloudbeds.com/connect/10074733072513#/reservations/30661329023191?display=YQEF0Q5DU&amp;reservation_id=30661329023191", "YQEF0Q5DU")</f>
        <v>YQEF0Q5DU</v>
      </c>
      <c r="B2246" t="s">
        <v>358</v>
      </c>
      <c r="C2246">
        <v>87.2</v>
      </c>
      <c r="D2246">
        <v>94.78</v>
      </c>
      <c r="E2246">
        <v>94.79</v>
      </c>
      <c r="F2246">
        <v>-0.01</v>
      </c>
    </row>
    <row r="2247" spans="1:6" x14ac:dyDescent="0.3">
      <c r="A2247" t="str">
        <f>HYPERLINK("https://us2.cloudbeds.com/connect/10074733072513#/reservations/30664577085680?display=YQGW0Y9JV&amp;reservation_id=30664577085680", "YQGW0Y9JV")</f>
        <v>YQGW0Y9JV</v>
      </c>
      <c r="B2247" t="s">
        <v>240</v>
      </c>
      <c r="C2247">
        <v>356.4</v>
      </c>
      <c r="D2247">
        <v>387.4</v>
      </c>
      <c r="E2247">
        <v>387.41</v>
      </c>
      <c r="F2247">
        <v>-0.01</v>
      </c>
    </row>
    <row r="2248" spans="1:6" x14ac:dyDescent="0.3">
      <c r="A2248" t="str">
        <f>HYPERLINK("https://us2.cloudbeds.com/connect/10074733072513#/reservations/30658343223527?display=YQC4Z2T97&amp;reservation_id=30658343223527", "YQC4Z2T97")</f>
        <v>YQC4Z2T97</v>
      </c>
      <c r="B2248" t="s">
        <v>376</v>
      </c>
      <c r="C2248">
        <v>268.2</v>
      </c>
      <c r="D2248">
        <v>291.52</v>
      </c>
      <c r="E2248">
        <v>291.52999999999997</v>
      </c>
      <c r="F2248">
        <v>-0.01</v>
      </c>
    </row>
    <row r="2249" spans="1:6" x14ac:dyDescent="0.3">
      <c r="A2249" t="str">
        <f>HYPERLINK("https://us2.cloudbeds.com/connect/10074733072513#/reservations/30658822373599?display=YQCGW3V5C&amp;reservation_id=30658822373599", "YQCGW3V5C")</f>
        <v>YQCGW3V5C</v>
      </c>
      <c r="B2249" t="s">
        <v>377</v>
      </c>
      <c r="C2249">
        <v>90.07</v>
      </c>
      <c r="D2249">
        <v>97.9</v>
      </c>
      <c r="E2249">
        <v>97.91</v>
      </c>
      <c r="F2249">
        <v>-0.01</v>
      </c>
    </row>
    <row r="2250" spans="1:6" x14ac:dyDescent="0.3">
      <c r="A2250" t="str">
        <f>HYPERLINK("https://us2.cloudbeds.com/connect/10074733072513#/reservations/30660081918158?display=YQDG56KZA&amp;reservation_id=30660081918158", "YQDG56KZA")</f>
        <v>YQDG56KZA</v>
      </c>
      <c r="B2250" t="s">
        <v>378</v>
      </c>
      <c r="C2250">
        <v>87.2</v>
      </c>
      <c r="D2250">
        <v>94.78</v>
      </c>
      <c r="E2250">
        <v>94.79</v>
      </c>
      <c r="F2250">
        <v>-0.01</v>
      </c>
    </row>
    <row r="2251" spans="1:6" x14ac:dyDescent="0.3">
      <c r="A2251" t="str">
        <f>HYPERLINK("https://us2.cloudbeds.com/connect/10074733072513#/reservations/30659028111503?display=YQCM7JTSA&amp;reservation_id=30659028111503", "YQCM7JTSA")</f>
        <v>YQCM7JTSA</v>
      </c>
      <c r="B2251" t="s">
        <v>379</v>
      </c>
      <c r="C2251">
        <v>222.4</v>
      </c>
      <c r="D2251">
        <v>241.74</v>
      </c>
      <c r="E2251">
        <v>241.75</v>
      </c>
      <c r="F2251">
        <v>-0.01</v>
      </c>
    </row>
    <row r="2252" spans="1:6" x14ac:dyDescent="0.3">
      <c r="A2252" t="str">
        <f>HYPERLINK("https://us2.cloudbeds.com/connect/10074733072513#/reservations/30660046233768?display=YQDF83YN5&amp;reservation_id=30660046233768", "YQDF83YN5")</f>
        <v>YQDF83YN5</v>
      </c>
      <c r="B2252" t="s">
        <v>380</v>
      </c>
      <c r="C2252">
        <v>285.60000000000002</v>
      </c>
      <c r="D2252">
        <v>310.44</v>
      </c>
      <c r="E2252">
        <v>310.45</v>
      </c>
      <c r="F2252">
        <v>-0.01</v>
      </c>
    </row>
    <row r="2253" spans="1:6" x14ac:dyDescent="0.3">
      <c r="A2253" t="str">
        <f>HYPERLINK("https://us2.cloudbeds.com/connect/10074733072513#/reservations/30658512568459?display=YQC91T58R&amp;reservation_id=30658512568459", "YQC91T58R")</f>
        <v>YQC91T58R</v>
      </c>
      <c r="B2253" t="s">
        <v>316</v>
      </c>
      <c r="C2253">
        <v>134.1</v>
      </c>
      <c r="D2253">
        <v>145.76</v>
      </c>
      <c r="E2253">
        <v>145.77000000000001</v>
      </c>
      <c r="F2253">
        <v>-0.01</v>
      </c>
    </row>
    <row r="2254" spans="1:6" x14ac:dyDescent="0.3">
      <c r="A2254" t="str">
        <f>HYPERLINK("https://us2.cloudbeds.com/connect/10074733072513#/reservations/30658370121931?display=YQC5DPCCC&amp;reservation_id=30658370121931", "YQC5DPCCC")</f>
        <v>YQC5DPCCC</v>
      </c>
      <c r="B2254" t="s">
        <v>377</v>
      </c>
      <c r="C2254">
        <v>210.2</v>
      </c>
      <c r="D2254">
        <v>228.48</v>
      </c>
      <c r="E2254">
        <v>228.49</v>
      </c>
      <c r="F2254">
        <v>-0.01</v>
      </c>
    </row>
    <row r="2255" spans="1:6" x14ac:dyDescent="0.3">
      <c r="A2255" t="str">
        <f>HYPERLINK("https://us2.cloudbeds.com/connect/10074733072513#/reservations/30658999853255?display=YQCYGPJ1P&amp;reservation_id=30658999853255", "YQCYGPJ1P")</f>
        <v>YQCYGPJ1P</v>
      </c>
      <c r="B2255" t="s">
        <v>379</v>
      </c>
      <c r="C2255">
        <v>250.2</v>
      </c>
      <c r="D2255">
        <v>271.95999999999998</v>
      </c>
      <c r="E2255">
        <v>271.97000000000003</v>
      </c>
      <c r="F2255">
        <v>-0.01</v>
      </c>
    </row>
    <row r="2256" spans="1:6" x14ac:dyDescent="0.3">
      <c r="A2256" t="str">
        <f>HYPERLINK("https://us2.cloudbeds.com/connect/10074733072513#/reservations/30660699054302?display=YQDVUJBJJ&amp;reservation_id=30660699054302", "YQDVUJBJJ")</f>
        <v>YQDVUJBJJ</v>
      </c>
      <c r="B2256" t="s">
        <v>381</v>
      </c>
      <c r="C2256">
        <v>138.15</v>
      </c>
      <c r="D2256">
        <v>150.16</v>
      </c>
      <c r="E2256">
        <v>150.16999999999999</v>
      </c>
      <c r="F2256">
        <v>-0.01</v>
      </c>
    </row>
    <row r="2257" spans="1:6" x14ac:dyDescent="0.3">
      <c r="A2257" t="str">
        <f>HYPERLINK("https://us2.cloudbeds.com/connect/10074733072513#/reservations/30658533642446?display=YQC9JYXVG&amp;reservation_id=30658533642446", "YQC9JYXVG")</f>
        <v>YQC9JYXVG</v>
      </c>
      <c r="B2257" t="s">
        <v>316</v>
      </c>
      <c r="C2257">
        <v>90.07</v>
      </c>
      <c r="D2257">
        <v>97.9</v>
      </c>
      <c r="E2257">
        <v>97.91</v>
      </c>
      <c r="F2257">
        <v>-0.01</v>
      </c>
    </row>
    <row r="2258" spans="1:6" x14ac:dyDescent="0.3">
      <c r="A2258" t="str">
        <f>HYPERLINK("https://us2.cloudbeds.com/connect/10074733072513#/reservations/30658512572552?display=YQC91T90S&amp;reservation_id=30658512572552", "YQC91T90S")</f>
        <v>YQC91T90S</v>
      </c>
      <c r="B2258" t="s">
        <v>316</v>
      </c>
      <c r="C2258">
        <v>90.07</v>
      </c>
      <c r="D2258">
        <v>97.9</v>
      </c>
      <c r="E2258">
        <v>97.91</v>
      </c>
      <c r="F2258">
        <v>-0.01</v>
      </c>
    </row>
    <row r="2259" spans="1:6" x14ac:dyDescent="0.3">
      <c r="A2259" t="str">
        <f>HYPERLINK("https://us2.cloudbeds.com/connect/10074733072513#/reservations/30658384175259?display=YQC5PKE5Q&amp;reservation_id=30658384175259", "YQC5PKE5Q")</f>
        <v>YQC5PKE5Q</v>
      </c>
      <c r="B2259" t="s">
        <v>316</v>
      </c>
      <c r="C2259">
        <v>90.07</v>
      </c>
      <c r="D2259">
        <v>97.9</v>
      </c>
      <c r="E2259">
        <v>97.91</v>
      </c>
      <c r="F2259">
        <v>-0.01</v>
      </c>
    </row>
    <row r="2260" spans="1:6" x14ac:dyDescent="0.3">
      <c r="A2260" t="str">
        <f>HYPERLINK("https://us2.cloudbeds.com/connect/10074733072513#/reservations/30658371735782?display=YQC5F49AV&amp;reservation_id=30658371735782", "YQC5F49AV")</f>
        <v>YQC5F49AV</v>
      </c>
      <c r="B2260" t="s">
        <v>316</v>
      </c>
      <c r="C2260">
        <v>90.07</v>
      </c>
      <c r="D2260">
        <v>97.9</v>
      </c>
      <c r="E2260">
        <v>97.91</v>
      </c>
      <c r="F2260">
        <v>-0.01</v>
      </c>
    </row>
    <row r="2261" spans="1:6" x14ac:dyDescent="0.3">
      <c r="A2261" t="str">
        <f>HYPERLINK("https://us2.cloudbeds.com/connect/10074733072513#/reservations/30658938896546?display=YQCJVCC3P&amp;reservation_id=30658938896546", "YQCJVCC3P")</f>
        <v>YQCJVCC3P</v>
      </c>
      <c r="B2261" t="s">
        <v>382</v>
      </c>
      <c r="C2261">
        <v>90.07</v>
      </c>
      <c r="D2261">
        <v>97.9</v>
      </c>
      <c r="E2261">
        <v>97.91</v>
      </c>
      <c r="F2261">
        <v>-0.01</v>
      </c>
    </row>
    <row r="2262" spans="1:6" x14ac:dyDescent="0.3">
      <c r="A2262" t="str">
        <f>HYPERLINK("https://us2.cloudbeds.com/connect/10074733072513#/reservations/30658390495408?display=YQC5UV9QF&amp;reservation_id=30658390495408", "YQC5UV9QF")</f>
        <v>YQC5UV9QF</v>
      </c>
      <c r="B2262" t="s">
        <v>316</v>
      </c>
      <c r="C2262">
        <v>90.07</v>
      </c>
      <c r="D2262">
        <v>97.9</v>
      </c>
      <c r="E2262">
        <v>97.91</v>
      </c>
      <c r="F2262">
        <v>-0.01</v>
      </c>
    </row>
    <row r="2263" spans="1:6" x14ac:dyDescent="0.3">
      <c r="A2263" t="str">
        <f>HYPERLINK("https://us2.cloudbeds.com/connect/10074733072513#/reservations/30658481946797?display=YQC89226M&amp;reservation_id=30658481946797", "YQC89226M")</f>
        <v>YQC89226M</v>
      </c>
      <c r="B2263" t="s">
        <v>383</v>
      </c>
      <c r="C2263">
        <v>569.1</v>
      </c>
      <c r="D2263">
        <v>618.6</v>
      </c>
      <c r="E2263">
        <v>618.61</v>
      </c>
      <c r="F2263">
        <v>-0.01</v>
      </c>
    </row>
    <row r="2264" spans="1:6" x14ac:dyDescent="0.3">
      <c r="A2264" t="str">
        <f>HYPERLINK("https://us2.cloudbeds.com/connect/10074733072513#/reservations/30658927329436?display=YQCJYKGB9&amp;reservation_id=30658927329436", "YQCJYKGB9")</f>
        <v>YQCJYKGB9</v>
      </c>
      <c r="B2264" t="s">
        <v>382</v>
      </c>
      <c r="C2264">
        <v>90.07</v>
      </c>
      <c r="D2264">
        <v>97.9</v>
      </c>
      <c r="E2264">
        <v>97.91</v>
      </c>
      <c r="F2264">
        <v>-0.01</v>
      </c>
    </row>
    <row r="2265" spans="1:6" x14ac:dyDescent="0.3">
      <c r="A2265" t="str">
        <f>HYPERLINK("https://us2.cloudbeds.com/connect/10074733072513#/reservations/30658678341806?display=YQCD9M1XJ&amp;reservation_id=30658678341806", "YQCD9M1XJ")</f>
        <v>YQCD9M1XJ</v>
      </c>
      <c r="B2265" t="s">
        <v>384</v>
      </c>
      <c r="C2265">
        <v>373.2</v>
      </c>
      <c r="D2265">
        <v>405.66</v>
      </c>
      <c r="E2265">
        <v>405.67</v>
      </c>
      <c r="F2265">
        <v>-0.01</v>
      </c>
    </row>
    <row r="2266" spans="1:6" x14ac:dyDescent="0.3">
      <c r="A2266" t="str">
        <f>HYPERLINK("https://us2.cloudbeds.com/connect/10074733072513#/reservations/30658847170761?display=YQCHK0VZH&amp;reservation_id=30658847170761", "YQCHK0VZH")</f>
        <v>YQCHK0VZH</v>
      </c>
      <c r="B2266" t="s">
        <v>385</v>
      </c>
      <c r="C2266">
        <v>268.2</v>
      </c>
      <c r="D2266">
        <v>291.52</v>
      </c>
      <c r="E2266">
        <v>291.52999999999997</v>
      </c>
      <c r="F2266">
        <v>-0.01</v>
      </c>
    </row>
    <row r="2267" spans="1:6" x14ac:dyDescent="0.3">
      <c r="A2267" t="str">
        <f>HYPERLINK("https://us2.cloudbeds.com/connect/10074733072513#/reservations/30659093520529?display=YQCNTP080&amp;reservation_id=30659093520529", "YQCNTP080")</f>
        <v>YQCNTP080</v>
      </c>
      <c r="B2267" t="s">
        <v>385</v>
      </c>
      <c r="C2267">
        <v>90.07</v>
      </c>
      <c r="D2267">
        <v>97.9</v>
      </c>
      <c r="E2267">
        <v>97.91</v>
      </c>
      <c r="F2267">
        <v>-0.01</v>
      </c>
    </row>
    <row r="2268" spans="1:6" x14ac:dyDescent="0.3">
      <c r="A2268" t="str">
        <f>HYPERLINK("https://us2.cloudbeds.com/connect/10074733072513#/reservations/30658898649220?display=YQCXUEE1R&amp;reservation_id=30658898649220", "YQCXUEE1R")</f>
        <v>YQCXUEE1R</v>
      </c>
      <c r="B2268" t="s">
        <v>271</v>
      </c>
      <c r="C2268">
        <v>304.2</v>
      </c>
      <c r="D2268">
        <v>330.66</v>
      </c>
      <c r="E2268">
        <v>330.67</v>
      </c>
      <c r="F2268">
        <v>-0.01</v>
      </c>
    </row>
    <row r="2269" spans="1:6" x14ac:dyDescent="0.3">
      <c r="A2269" t="str">
        <f>HYPERLINK("https://us2.cloudbeds.com/connect/10074733072513#/reservations/30659297976512?display=YQCT4562M&amp;reservation_id=30659297976512", "YQCT4562M")</f>
        <v>YQCT4562M</v>
      </c>
      <c r="B2269" t="s">
        <v>386</v>
      </c>
      <c r="C2269">
        <v>500.4</v>
      </c>
      <c r="D2269">
        <v>543.91999999999996</v>
      </c>
      <c r="E2269">
        <v>543.92999999999995</v>
      </c>
      <c r="F2269">
        <v>-0.01</v>
      </c>
    </row>
    <row r="2270" spans="1:6" x14ac:dyDescent="0.3">
      <c r="A2270" t="str">
        <f>HYPERLINK("https://us2.cloudbeds.com/connect/10074733072513#/reservations/30662251200731?display=YQF5JD3ZS&amp;reservation_id=30662251200731", "YQF5JD3ZS")</f>
        <v>YQF5JD3ZS</v>
      </c>
      <c r="B2270" t="s">
        <v>240</v>
      </c>
      <c r="C2270">
        <v>267.3</v>
      </c>
      <c r="D2270">
        <v>290.55</v>
      </c>
      <c r="E2270">
        <v>290.56</v>
      </c>
      <c r="F2270">
        <v>-0.01</v>
      </c>
    </row>
    <row r="2271" spans="1:6" x14ac:dyDescent="0.3">
      <c r="A2271" t="str">
        <f>HYPERLINK("https://us2.cloudbeds.com/connect/10074733072513#/reservations/30658659045596?display=YQCCQD3BU&amp;reservation_id=30658659045596", "YQCCQD3BU")</f>
        <v>YQCCQD3BU</v>
      </c>
      <c r="B2271" t="s">
        <v>387</v>
      </c>
      <c r="C2271">
        <v>222.4</v>
      </c>
      <c r="D2271">
        <v>241.74</v>
      </c>
      <c r="E2271">
        <v>241.75</v>
      </c>
      <c r="F2271">
        <v>-0.01</v>
      </c>
    </row>
    <row r="2272" spans="1:6" x14ac:dyDescent="0.3">
      <c r="A2272" t="str">
        <f>HYPERLINK("https://us2.cloudbeds.com/connect/10074733072513#/reservations/30661666717949?display=YQENYX0KD&amp;reservation_id=30661666717949", "YQENYX0KD")</f>
        <v>YQENYX0KD</v>
      </c>
      <c r="B2272" t="s">
        <v>388</v>
      </c>
      <c r="C2272">
        <v>268.2</v>
      </c>
      <c r="D2272">
        <v>291.52</v>
      </c>
      <c r="E2272">
        <v>291.52999999999997</v>
      </c>
      <c r="F2272">
        <v>-0.01</v>
      </c>
    </row>
    <row r="2273" spans="1:6" x14ac:dyDescent="0.3">
      <c r="A2273" t="str">
        <f>HYPERLINK("https://us2.cloudbeds.com/connect/10074733072513#/reservations/30661219336341?display=YQEC79VSW&amp;reservation_id=30661219336341", "YQEC79VSW")</f>
        <v>YQEC79VSW</v>
      </c>
      <c r="B2273" t="s">
        <v>360</v>
      </c>
      <c r="C2273">
        <v>250.2</v>
      </c>
      <c r="D2273">
        <v>271.95999999999998</v>
      </c>
      <c r="E2273">
        <v>271.97000000000003</v>
      </c>
      <c r="F2273">
        <v>-0.01</v>
      </c>
    </row>
    <row r="2274" spans="1:6" x14ac:dyDescent="0.3">
      <c r="A2274" t="str">
        <f>HYPERLINK("https://us2.cloudbeds.com/connect/10074733072513#/reservations/30658645639396?display=YQCCF31QF&amp;reservation_id=30658645639396", "YQCCF31QF")</f>
        <v>YQCCF31QF</v>
      </c>
      <c r="B2274" t="s">
        <v>389</v>
      </c>
      <c r="C2274">
        <v>134.1</v>
      </c>
      <c r="D2274">
        <v>145.76</v>
      </c>
      <c r="E2274">
        <v>145.77000000000001</v>
      </c>
      <c r="F2274">
        <v>-0.01</v>
      </c>
    </row>
    <row r="2275" spans="1:6" x14ac:dyDescent="0.3">
      <c r="A2275" t="str">
        <f>HYPERLINK("https://us2.cloudbeds.com/connect/10074733072513#/reservations/30660118888663?display=YQDH3CCPY&amp;reservation_id=30660118888663", "YQDH3CCPY")</f>
        <v>YQDH3CCPY</v>
      </c>
      <c r="B2275" t="s">
        <v>390</v>
      </c>
      <c r="C2275">
        <v>87.2</v>
      </c>
      <c r="D2275">
        <v>94.78</v>
      </c>
      <c r="E2275">
        <v>94.79</v>
      </c>
      <c r="F2275">
        <v>-0.01</v>
      </c>
    </row>
    <row r="2276" spans="1:6" x14ac:dyDescent="0.3">
      <c r="A2276" t="str">
        <f>HYPERLINK("https://us2.cloudbeds.com/connect/10074733072513#/reservations/30660590846157?display=YQDT5B9TT&amp;reservation_id=30660590846157", "YQDT5B9TT")</f>
        <v>YQDT5B9TT</v>
      </c>
      <c r="B2276" t="s">
        <v>391</v>
      </c>
      <c r="C2276">
        <v>250.2</v>
      </c>
      <c r="D2276">
        <v>271.95999999999998</v>
      </c>
      <c r="E2276">
        <v>271.97000000000003</v>
      </c>
      <c r="F2276">
        <v>-0.01</v>
      </c>
    </row>
    <row r="2277" spans="1:6" x14ac:dyDescent="0.3">
      <c r="A2277" t="str">
        <f>HYPERLINK("https://us2.cloudbeds.com/connect/10074733072513#/reservations/30662568857849?display=YQFDN8CU4&amp;reservation_id=30662568857849", "YQFDN8CU4")</f>
        <v>YQFDN8CU4</v>
      </c>
      <c r="B2277" t="s">
        <v>392</v>
      </c>
      <c r="C2277">
        <v>534.6</v>
      </c>
      <c r="D2277">
        <v>581.1</v>
      </c>
      <c r="E2277">
        <v>581.11</v>
      </c>
      <c r="F2277">
        <v>-0.01</v>
      </c>
    </row>
    <row r="2278" spans="1:6" x14ac:dyDescent="0.3">
      <c r="A2278" t="str">
        <f>HYPERLINK("https://us2.cloudbeds.com/connect/10074733072513#/reservations/30662575681720?display=YQFDT0933&amp;reservation_id=30662575681720", "YQFDT0933")</f>
        <v>YQFDT0933</v>
      </c>
      <c r="B2278" t="s">
        <v>392</v>
      </c>
      <c r="C2278">
        <v>534.6</v>
      </c>
      <c r="D2278">
        <v>581.1</v>
      </c>
      <c r="E2278">
        <v>581.11</v>
      </c>
      <c r="F2278">
        <v>-0.01</v>
      </c>
    </row>
    <row r="2279" spans="1:6" x14ac:dyDescent="0.3">
      <c r="A2279" t="str">
        <f>HYPERLINK("https://us2.cloudbeds.com/connect/10074733072513#/reservations/30660746510499?display=YQE04JTC5&amp;reservation_id=30660746510499", "YQE04JTC5")</f>
        <v>YQE04JTC5</v>
      </c>
      <c r="B2279" t="s">
        <v>381</v>
      </c>
      <c r="C2279">
        <v>250.2</v>
      </c>
      <c r="D2279">
        <v>271.95999999999998</v>
      </c>
      <c r="E2279">
        <v>271.97000000000003</v>
      </c>
      <c r="F2279">
        <v>-0.01</v>
      </c>
    </row>
    <row r="2280" spans="1:6" x14ac:dyDescent="0.3">
      <c r="A2280" t="str">
        <f>HYPERLINK("https://us2.cloudbeds.com/connect/10074733072513#/reservations/30660103401655?display=YQDGNAEFC&amp;reservation_id=30660103401655", "YQDGNAEFC")</f>
        <v>YQDGNAEFC</v>
      </c>
      <c r="B2280" t="s">
        <v>378</v>
      </c>
      <c r="C2280">
        <v>294.3</v>
      </c>
      <c r="D2280">
        <v>319.89</v>
      </c>
      <c r="E2280">
        <v>319.89999999999998</v>
      </c>
      <c r="F2280">
        <v>-0.01</v>
      </c>
    </row>
    <row r="2281" spans="1:6" x14ac:dyDescent="0.3">
      <c r="A2281" t="str">
        <f>HYPERLINK("https://us2.cloudbeds.com/connect/10074733072513#/reservations/30660370927772?display=YQDNHTZYC&amp;reservation_id=30660370927772", "YQDNHTZYC")</f>
        <v>YQDNHTZYC</v>
      </c>
      <c r="B2281" t="s">
        <v>390</v>
      </c>
      <c r="C2281">
        <v>87.2</v>
      </c>
      <c r="D2281">
        <v>94.78</v>
      </c>
      <c r="E2281">
        <v>94.79</v>
      </c>
      <c r="F2281">
        <v>-0.01</v>
      </c>
    </row>
    <row r="2282" spans="1:6" x14ac:dyDescent="0.3">
      <c r="A2282" t="str">
        <f>HYPERLINK("https://us2.cloudbeds.com/connect/10074733072513#/reservations/30659509715159?display=YQD1HN7QG&amp;reservation_id=30659509715159", "YQD1HN7QG")</f>
        <v>YQD1HN7QG</v>
      </c>
      <c r="B2282" t="s">
        <v>394</v>
      </c>
      <c r="C2282">
        <v>206.4</v>
      </c>
      <c r="D2282">
        <v>224.35</v>
      </c>
      <c r="E2282">
        <v>224.36</v>
      </c>
      <c r="F2282">
        <v>-0.01</v>
      </c>
    </row>
    <row r="2283" spans="1:6" x14ac:dyDescent="0.3">
      <c r="A2283" t="str">
        <f>HYPERLINK("https://us2.cloudbeds.com/connect/10074733072513#/reservations/30660627685521?display=YQDU3DDH8&amp;reservation_id=30660627685521", "YQDU3DDH8")</f>
        <v>YQDU3DDH8</v>
      </c>
      <c r="B2283" t="s">
        <v>395</v>
      </c>
      <c r="C2283">
        <v>103.2</v>
      </c>
      <c r="D2283">
        <v>112.17</v>
      </c>
      <c r="E2283">
        <v>112.18</v>
      </c>
      <c r="F2283">
        <v>-0.01</v>
      </c>
    </row>
    <row r="2284" spans="1:6" x14ac:dyDescent="0.3">
      <c r="A2284" t="str">
        <f>HYPERLINK("https://us2.cloudbeds.com/connect/10074733072513#/reservations/30659896471709?display=YQDBDRA4V&amp;reservation_id=30659896471709", "YQDBDRA4V")</f>
        <v>YQDBDRA4V</v>
      </c>
      <c r="B2284" t="s">
        <v>396</v>
      </c>
      <c r="C2284">
        <v>196.2</v>
      </c>
      <c r="D2284">
        <v>213.26</v>
      </c>
      <c r="E2284">
        <v>213.27</v>
      </c>
      <c r="F2284">
        <v>-0.01</v>
      </c>
    </row>
    <row r="2285" spans="1:6" x14ac:dyDescent="0.3">
      <c r="A2285" t="str">
        <f>HYPERLINK("https://us2.cloudbeds.com/connect/10074733072513#/reservations/30661227274482?display=YQECDWS8N&amp;reservation_id=30661227274482", "YQECDWS8N")</f>
        <v>YQECDWS8N</v>
      </c>
      <c r="B2285" t="s">
        <v>397</v>
      </c>
      <c r="C2285">
        <v>87.2</v>
      </c>
      <c r="D2285">
        <v>94.78</v>
      </c>
      <c r="E2285">
        <v>94.79</v>
      </c>
      <c r="F2285">
        <v>-0.01</v>
      </c>
    </row>
    <row r="2286" spans="1:6" x14ac:dyDescent="0.3">
      <c r="A2286" t="str">
        <f>HYPERLINK("https://us2.cloudbeds.com/connect/10074733072513#/reservations/30658692530370?display=YQCDYKSX2&amp;reservation_id=30658692530370", "YQCDYKSX2")</f>
        <v>YQCDYKSX2</v>
      </c>
      <c r="B2286" t="s">
        <v>384</v>
      </c>
      <c r="C2286">
        <v>90.07</v>
      </c>
      <c r="D2286">
        <v>97.9</v>
      </c>
      <c r="E2286">
        <v>97.91</v>
      </c>
      <c r="F2286">
        <v>-0.01</v>
      </c>
    </row>
    <row r="2287" spans="1:6" x14ac:dyDescent="0.3">
      <c r="A2287" t="str">
        <f>HYPERLINK("https://us2.cloudbeds.com/connect/10074733072513#/reservations/30658694340760?display=YQCDN57WC&amp;reservation_id=30658694340760", "YQCDN57WC")</f>
        <v>YQCDN57WC</v>
      </c>
      <c r="B2287" t="s">
        <v>384</v>
      </c>
      <c r="C2287">
        <v>90.07</v>
      </c>
      <c r="D2287">
        <v>97.9</v>
      </c>
      <c r="E2287">
        <v>97.91</v>
      </c>
      <c r="F2287">
        <v>-0.01</v>
      </c>
    </row>
    <row r="2288" spans="1:6" x14ac:dyDescent="0.3">
      <c r="A2288" t="str">
        <f>HYPERLINK("https://us2.cloudbeds.com/connect/10074733072513#/reservations/30658699555070?display=YQCDRXB4P&amp;reservation_id=30658699555070", "YQCDRXB4P")</f>
        <v>YQCDRXB4P</v>
      </c>
      <c r="B2288" t="s">
        <v>384</v>
      </c>
      <c r="C2288">
        <v>90.07</v>
      </c>
      <c r="D2288">
        <v>97.9</v>
      </c>
      <c r="E2288">
        <v>97.91</v>
      </c>
      <c r="F2288">
        <v>-0.01</v>
      </c>
    </row>
    <row r="2289" spans="1:6" x14ac:dyDescent="0.3">
      <c r="A2289" t="str">
        <f>HYPERLINK("https://us2.cloudbeds.com/connect/10074733072513#/reservations/30660835840157?display=YQE2DUKEG&amp;reservation_id=30660835840157", "YQE2DUKEG")</f>
        <v>YQE2DUKEG</v>
      </c>
      <c r="B2289" t="s">
        <v>358</v>
      </c>
      <c r="C2289">
        <v>87.2</v>
      </c>
      <c r="D2289">
        <v>94.78</v>
      </c>
      <c r="E2289">
        <v>94.79</v>
      </c>
      <c r="F2289">
        <v>-0.01</v>
      </c>
    </row>
    <row r="2290" spans="1:6" x14ac:dyDescent="0.3">
      <c r="A2290" t="str">
        <f>HYPERLINK("https://us2.cloudbeds.com/connect/10074733072513#/reservations/30658833502357?display=YQCH8GKDF&amp;reservation_id=30658833502357", "YQCH8GKDF")</f>
        <v>YQCH8GKDF</v>
      </c>
      <c r="B2290" t="s">
        <v>384</v>
      </c>
      <c r="C2290">
        <v>90.07</v>
      </c>
      <c r="D2290">
        <v>97.9</v>
      </c>
      <c r="E2290">
        <v>97.91</v>
      </c>
      <c r="F2290">
        <v>-0.01</v>
      </c>
    </row>
    <row r="2291" spans="1:6" x14ac:dyDescent="0.3">
      <c r="A2291" t="str">
        <f>HYPERLINK("https://us2.cloudbeds.com/connect/10074733072513#/reservations/30658826322082?display=YQCH2EQVC&amp;reservation_id=30658826322082", "YQCH2EQVC")</f>
        <v>YQCH2EQVC</v>
      </c>
      <c r="B2291" t="s">
        <v>384</v>
      </c>
      <c r="C2291">
        <v>90.07</v>
      </c>
      <c r="D2291">
        <v>97.9</v>
      </c>
      <c r="E2291">
        <v>97.91</v>
      </c>
      <c r="F2291">
        <v>-0.01</v>
      </c>
    </row>
    <row r="2292" spans="1:6" x14ac:dyDescent="0.3">
      <c r="A2292" t="str">
        <f>HYPERLINK("https://us2.cloudbeds.com/connect/10074733072513#/reservations/30658668028096?display=YQCCS4AF3&amp;reservation_id=30658668028096", "YQCCS4AF3")</f>
        <v>YQCCS4AF3</v>
      </c>
      <c r="B2292" t="s">
        <v>384</v>
      </c>
      <c r="C2292">
        <v>134.1</v>
      </c>
      <c r="D2292">
        <v>145.76</v>
      </c>
      <c r="E2292">
        <v>145.77000000000001</v>
      </c>
      <c r="F2292">
        <v>-0.01</v>
      </c>
    </row>
    <row r="2293" spans="1:6" x14ac:dyDescent="0.3">
      <c r="A2293" t="str">
        <f>HYPERLINK("https://us2.cloudbeds.com/connect/10074733072513#/reservations/30661705236635?display=YQEZY0SAA&amp;reservation_id=30661705236635", "YQEZY0SAA")</f>
        <v>YQEZY0SAA</v>
      </c>
      <c r="B2293" t="s">
        <v>360</v>
      </c>
      <c r="C2293">
        <v>250.2</v>
      </c>
      <c r="D2293">
        <v>271.95999999999998</v>
      </c>
      <c r="E2293">
        <v>271.97000000000003</v>
      </c>
      <c r="F2293">
        <v>-0.01</v>
      </c>
    </row>
    <row r="2294" spans="1:6" x14ac:dyDescent="0.3">
      <c r="A2294" t="str">
        <f>HYPERLINK("https://us2.cloudbeds.com/connect/10074733072513#/reservations/30659572142316?display=YQD34BC0H&amp;reservation_id=30659572142316", "YQD34BC0H")</f>
        <v>YQD34BC0H</v>
      </c>
      <c r="B2294" t="s">
        <v>398</v>
      </c>
      <c r="C2294">
        <v>87.2</v>
      </c>
      <c r="D2294">
        <v>94.78</v>
      </c>
      <c r="E2294">
        <v>94.79</v>
      </c>
      <c r="F2294">
        <v>-0.01</v>
      </c>
    </row>
    <row r="2295" spans="1:6" x14ac:dyDescent="0.3">
      <c r="A2295" t="str">
        <f>HYPERLINK("https://us2.cloudbeds.com/connect/10074733072513#/reservations/30658492965019?display=YQC8XBYV6&amp;reservation_id=30658492965019", "YQC8XBYV6")</f>
        <v>YQC8XBYV6</v>
      </c>
      <c r="B2295" t="s">
        <v>383</v>
      </c>
      <c r="C2295">
        <v>250.2</v>
      </c>
      <c r="D2295">
        <v>271.95999999999998</v>
      </c>
      <c r="E2295">
        <v>271.97000000000003</v>
      </c>
      <c r="F2295">
        <v>-0.01</v>
      </c>
    </row>
    <row r="2296" spans="1:6" x14ac:dyDescent="0.3">
      <c r="A2296" t="str">
        <f>HYPERLINK("https://us2.cloudbeds.com/connect/10074733072513#/reservations/30660320075911?display=YQDM80NNU&amp;reservation_id=30660320075911", "YQDM80NNU")</f>
        <v>YQDM80NNU</v>
      </c>
      <c r="B2296" t="s">
        <v>400</v>
      </c>
      <c r="C2296">
        <v>118.15</v>
      </c>
      <c r="D2296">
        <v>128.41999999999999</v>
      </c>
      <c r="E2296">
        <v>128.43</v>
      </c>
      <c r="F2296">
        <v>-0.01</v>
      </c>
    </row>
    <row r="2297" spans="1:6" x14ac:dyDescent="0.3">
      <c r="A2297" t="str">
        <f>HYPERLINK("https://us2.cloudbeds.com/connect/10074733072513#/reservations/30660311191703?display=YQDM0HGJG&amp;reservation_id=30660311191703", "YQDM0HGJG")</f>
        <v>YQDM0HGJG</v>
      </c>
      <c r="B2297" t="s">
        <v>400</v>
      </c>
      <c r="C2297">
        <v>118.15</v>
      </c>
      <c r="D2297">
        <v>128.41999999999999</v>
      </c>
      <c r="E2297">
        <v>128.43</v>
      </c>
      <c r="F2297">
        <v>-0.01</v>
      </c>
    </row>
    <row r="2298" spans="1:6" x14ac:dyDescent="0.3">
      <c r="A2298" t="str">
        <f>HYPERLINK("https://us2.cloudbeds.com/connect/10074733072513#/reservations/30661181300937?display=YQEB87XVW&amp;reservation_id=30661181300937", "YQEB87XVW")</f>
        <v>YQEB87XVW</v>
      </c>
      <c r="B2298" t="s">
        <v>360</v>
      </c>
      <c r="C2298">
        <v>250.2</v>
      </c>
      <c r="D2298">
        <v>271.95999999999998</v>
      </c>
      <c r="E2298">
        <v>271.97000000000003</v>
      </c>
      <c r="F2298">
        <v>-0.01</v>
      </c>
    </row>
    <row r="2299" spans="1:6" x14ac:dyDescent="0.3">
      <c r="A2299" t="str">
        <f>HYPERLINK("https://us2.cloudbeds.com/connect/10074733072513#/reservations/30660178563284?display=YQDXKMUDG&amp;reservation_id=30660178563284", "YQDXKMUDG")</f>
        <v>YQDXKMUDG</v>
      </c>
      <c r="B2299" t="s">
        <v>402</v>
      </c>
      <c r="C2299">
        <v>363.2</v>
      </c>
      <c r="D2299">
        <v>394.79</v>
      </c>
      <c r="E2299">
        <v>394.8</v>
      </c>
      <c r="F2299">
        <v>-0.01</v>
      </c>
    </row>
    <row r="2300" spans="1:6" x14ac:dyDescent="0.3">
      <c r="A2300" t="str">
        <f>HYPERLINK("https://us2.cloudbeds.com/connect/10074733072513#/reservations/30659427852485?display=YQCWEM9FD&amp;reservation_id=30659427852485", "YQCWEM9FD")</f>
        <v>YQCWEM9FD</v>
      </c>
      <c r="B2300" t="s">
        <v>403</v>
      </c>
      <c r="C2300">
        <v>174.4</v>
      </c>
      <c r="D2300">
        <v>189.56</v>
      </c>
      <c r="E2300">
        <v>189.57</v>
      </c>
      <c r="F2300">
        <v>-0.01</v>
      </c>
    </row>
    <row r="2301" spans="1:6" x14ac:dyDescent="0.3">
      <c r="A2301" t="str">
        <f>HYPERLINK("https://us2.cloudbeds.com/connect/10074733072513#/reservations/30658975215859?display=YQCKT0060&amp;reservation_id=30658975215859", "YQCKT0060")</f>
        <v>YQCKT0060</v>
      </c>
      <c r="B2301" t="s">
        <v>404</v>
      </c>
      <c r="C2301">
        <v>103.2</v>
      </c>
      <c r="D2301">
        <v>112.17</v>
      </c>
      <c r="E2301">
        <v>112.18</v>
      </c>
      <c r="F2301">
        <v>-0.01</v>
      </c>
    </row>
    <row r="2302" spans="1:6" x14ac:dyDescent="0.3">
      <c r="A2302" t="str">
        <f>HYPERLINK("https://us2.cloudbeds.com/connect/10074733072513#/reservations/30664013992133?display=YQGHKRCY4&amp;reservation_id=30664013992133", "YQGHKRCY4")</f>
        <v>YQGHKRCY4</v>
      </c>
      <c r="B2302" t="s">
        <v>405</v>
      </c>
      <c r="C2302">
        <v>268.2</v>
      </c>
      <c r="D2302">
        <v>291.52</v>
      </c>
      <c r="E2302">
        <v>291.52999999999997</v>
      </c>
      <c r="F2302">
        <v>-0.01</v>
      </c>
    </row>
    <row r="2303" spans="1:6" x14ac:dyDescent="0.3">
      <c r="A2303" t="str">
        <f>HYPERLINK("https://us2.cloudbeds.com/connect/10074733072513#/reservations/30660222201995?display=YQDJZG7MM&amp;reservation_id=30660222201995", "YQDJZG7MM")</f>
        <v>YQDJZG7MM</v>
      </c>
      <c r="B2303" t="s">
        <v>264</v>
      </c>
      <c r="C2303">
        <v>134.1</v>
      </c>
      <c r="D2303">
        <v>145.76</v>
      </c>
      <c r="E2303">
        <v>145.77000000000001</v>
      </c>
      <c r="F2303">
        <v>-0.01</v>
      </c>
    </row>
    <row r="2304" spans="1:6" x14ac:dyDescent="0.3">
      <c r="A2304" t="str">
        <f>HYPERLINK("https://us2.cloudbeds.com/connect/10074733072513#/reservations/30659968999667?display=YQDD8WGYS&amp;reservation_id=30659968999667", "YQDD8WGYS")</f>
        <v>YQDD8WGYS</v>
      </c>
      <c r="B2304" t="s">
        <v>383</v>
      </c>
      <c r="C2304">
        <v>87.2</v>
      </c>
      <c r="D2304">
        <v>94.78</v>
      </c>
      <c r="E2304">
        <v>94.79</v>
      </c>
      <c r="F2304">
        <v>-0.01</v>
      </c>
    </row>
    <row r="2305" spans="1:6" x14ac:dyDescent="0.3">
      <c r="A2305" t="str">
        <f>HYPERLINK("https://us2.cloudbeds.com/connect/10074733072513#/reservations/30659453935810?display=YQD03M336&amp;reservation_id=30659453935810", "YQD03M336")</f>
        <v>YQD03M336</v>
      </c>
      <c r="B2305" t="s">
        <v>403</v>
      </c>
      <c r="C2305">
        <v>87.2</v>
      </c>
      <c r="D2305">
        <v>94.78</v>
      </c>
      <c r="E2305">
        <v>94.79</v>
      </c>
      <c r="F2305">
        <v>-0.01</v>
      </c>
    </row>
    <row r="2306" spans="1:6" x14ac:dyDescent="0.3">
      <c r="A2306" t="str">
        <f>HYPERLINK("https://us2.cloudbeds.com/connect/10074733072513#/reservations/30659478704354?display=YQD0ZXAD4&amp;reservation_id=30659478704354", "YQD0ZXAD4")</f>
        <v>YQD0ZXAD4</v>
      </c>
      <c r="B2306" t="s">
        <v>403</v>
      </c>
      <c r="C2306">
        <v>103.2</v>
      </c>
      <c r="D2306">
        <v>112.17</v>
      </c>
      <c r="E2306">
        <v>112.18</v>
      </c>
      <c r="F2306">
        <v>-0.01</v>
      </c>
    </row>
    <row r="2307" spans="1:6" x14ac:dyDescent="0.3">
      <c r="A2307" t="str">
        <f>HYPERLINK("https://us2.cloudbeds.com/connect/10074733072513#/reservations/30659954983113?display=YQDCU5FKQ&amp;reservation_id=30659954983113", "YQDCU5FKQ")</f>
        <v>YQDCU5FKQ</v>
      </c>
      <c r="B2307" t="s">
        <v>383</v>
      </c>
      <c r="C2307">
        <v>90.07</v>
      </c>
      <c r="D2307">
        <v>97.9</v>
      </c>
      <c r="E2307">
        <v>97.91</v>
      </c>
      <c r="F2307">
        <v>-0.01</v>
      </c>
    </row>
    <row r="2308" spans="1:6" x14ac:dyDescent="0.3">
      <c r="A2308" t="str">
        <f>HYPERLINK("https://us2.cloudbeds.com/connect/10074733072513#/reservations/30659962876062?display=YQDD3R3H2&amp;reservation_id=30659962876062", "YQDD3R3H2")</f>
        <v>YQDD3R3H2</v>
      </c>
      <c r="B2308" t="s">
        <v>383</v>
      </c>
      <c r="C2308">
        <v>87.2</v>
      </c>
      <c r="D2308">
        <v>94.78</v>
      </c>
      <c r="E2308">
        <v>94.79</v>
      </c>
      <c r="F2308">
        <v>-0.01</v>
      </c>
    </row>
    <row r="2309" spans="1:6" x14ac:dyDescent="0.3">
      <c r="A2309" t="str">
        <f>HYPERLINK("https://us2.cloudbeds.com/connect/10074733072513#/reservations/30661576851638?display=YQEYBPBZS&amp;reservation_id=30661576851638", "YQEYBPBZS")</f>
        <v>YQEYBPBZS</v>
      </c>
      <c r="B2309" t="s">
        <v>406</v>
      </c>
      <c r="C2309">
        <v>250.2</v>
      </c>
      <c r="D2309">
        <v>271.95999999999998</v>
      </c>
      <c r="E2309">
        <v>271.97000000000003</v>
      </c>
      <c r="F2309">
        <v>-0.01</v>
      </c>
    </row>
    <row r="2310" spans="1:6" x14ac:dyDescent="0.3">
      <c r="A2310" t="str">
        <f>HYPERLINK("https://us2.cloudbeds.com/connect/10074733072513#/reservations/30660746514581?display=YQE04K03S&amp;reservation_id=30660746514581", "YQE04K03S")</f>
        <v>YQE04K03S</v>
      </c>
      <c r="B2310" t="s">
        <v>407</v>
      </c>
      <c r="C2310">
        <v>87.2</v>
      </c>
      <c r="D2310">
        <v>94.78</v>
      </c>
      <c r="E2310">
        <v>94.79</v>
      </c>
      <c r="F2310">
        <v>-0.01</v>
      </c>
    </row>
    <row r="2311" spans="1:6" x14ac:dyDescent="0.3">
      <c r="A2311" t="str">
        <f>HYPERLINK("https://us2.cloudbeds.com/connect/10074733072513#/reservations/30659377127567?display=YQCV4TQ3M&amp;reservation_id=30659377127567", "YQCV4TQ3M")</f>
        <v>YQCV4TQ3M</v>
      </c>
      <c r="B2311" t="s">
        <v>394</v>
      </c>
      <c r="C2311">
        <v>196.2</v>
      </c>
      <c r="D2311">
        <v>213.26</v>
      </c>
      <c r="E2311">
        <v>213.27</v>
      </c>
      <c r="F2311">
        <v>-0.01</v>
      </c>
    </row>
    <row r="2312" spans="1:6" x14ac:dyDescent="0.3">
      <c r="A2312" t="str">
        <f>HYPERLINK("https://us2.cloudbeds.com/connect/10074733072513#/reservations/30659397943451?display=YQCVMF0Q0&amp;reservation_id=30659397943451", "YQCVMF0Q0")</f>
        <v>YQCVMF0Q0</v>
      </c>
      <c r="B2312" t="s">
        <v>394</v>
      </c>
      <c r="C2312">
        <v>196.2</v>
      </c>
      <c r="D2312">
        <v>213.26</v>
      </c>
      <c r="E2312">
        <v>213.27</v>
      </c>
      <c r="F2312">
        <v>-0.01</v>
      </c>
    </row>
    <row r="2313" spans="1:6" x14ac:dyDescent="0.3">
      <c r="A2313" t="str">
        <f>HYPERLINK("https://us2.cloudbeds.com/connect/10074733072513#/reservations/30660338700501?display=YQDMNNW6E&amp;reservation_id=30660338700501", "YQDMNNW6E")</f>
        <v>YQDMNNW6E</v>
      </c>
      <c r="B2313" t="s">
        <v>390</v>
      </c>
      <c r="C2313">
        <v>87.2</v>
      </c>
      <c r="D2313">
        <v>94.78</v>
      </c>
      <c r="E2313">
        <v>94.79</v>
      </c>
      <c r="F2313">
        <v>-0.01</v>
      </c>
    </row>
    <row r="2314" spans="1:6" x14ac:dyDescent="0.3">
      <c r="A2314" t="str">
        <f>HYPERLINK("https://us2.cloudbeds.com/connect/10074733072513#/reservations/30659524280545?display=YQD1TWHQR&amp;reservation_id=30659524280545", "YQD1TWHQR")</f>
        <v>YQD1TWHQR</v>
      </c>
      <c r="B2314" t="s">
        <v>394</v>
      </c>
      <c r="C2314">
        <v>87.2</v>
      </c>
      <c r="D2314">
        <v>94.78</v>
      </c>
      <c r="E2314">
        <v>94.79</v>
      </c>
      <c r="F2314">
        <v>-0.01</v>
      </c>
    </row>
    <row r="2315" spans="1:6" x14ac:dyDescent="0.3">
      <c r="A2315" t="str">
        <f>HYPERLINK("https://us2.cloudbeds.com/connect/10074733072513#/reservations/30660441739425?display=YQDPBK642&amp;reservation_id=30660441739425", "YQDPBK642")</f>
        <v>YQDPBK642</v>
      </c>
      <c r="B2315" t="s">
        <v>411</v>
      </c>
      <c r="C2315">
        <v>134.1</v>
      </c>
      <c r="D2315">
        <v>145.76</v>
      </c>
      <c r="E2315">
        <v>145.77000000000001</v>
      </c>
      <c r="F2315">
        <v>-0.01</v>
      </c>
    </row>
    <row r="2316" spans="1:6" x14ac:dyDescent="0.3">
      <c r="A2316" t="str">
        <f>HYPERLINK("https://us2.cloudbeds.com/connect/10074733072513#/reservations/30659186217177?display=YQCQ8UE4B&amp;reservation_id=30659186217177", "YQCQ8UE4B")</f>
        <v>YQCQ8UE4B</v>
      </c>
      <c r="B2316" t="s">
        <v>264</v>
      </c>
      <c r="C2316">
        <v>259.2</v>
      </c>
      <c r="D2316">
        <v>281.74</v>
      </c>
      <c r="E2316">
        <v>281.75</v>
      </c>
      <c r="F2316">
        <v>-0.01</v>
      </c>
    </row>
    <row r="2317" spans="1:6" x14ac:dyDescent="0.3">
      <c r="A2317" t="str">
        <f>HYPERLINK("https://us2.cloudbeds.com/connect/10074733072513#/reservations/30658507706518?display=YQC8UPSM9&amp;reservation_id=30658507706518", "YQC8UPSM9")</f>
        <v>YQC8UPSM9</v>
      </c>
      <c r="B2317" t="s">
        <v>383</v>
      </c>
      <c r="C2317">
        <v>103.2</v>
      </c>
      <c r="D2317">
        <v>112.17</v>
      </c>
      <c r="E2317">
        <v>112.18</v>
      </c>
      <c r="F2317">
        <v>-0.01</v>
      </c>
    </row>
    <row r="2318" spans="1:6" x14ac:dyDescent="0.3">
      <c r="A2318" t="str">
        <f>HYPERLINK("https://us2.cloudbeds.com/connect/10074733072513#/reservations/30659710128340?display=YQD6YN0V6&amp;reservation_id=30659710128340", "YQD6YN0V6")</f>
        <v>YQD6YN0V6</v>
      </c>
      <c r="B2318" t="s">
        <v>361</v>
      </c>
      <c r="C2318">
        <v>87.2</v>
      </c>
      <c r="D2318">
        <v>94.78</v>
      </c>
      <c r="E2318">
        <v>94.79</v>
      </c>
      <c r="F2318">
        <v>-0.01</v>
      </c>
    </row>
    <row r="2319" spans="1:6" x14ac:dyDescent="0.3">
      <c r="A2319" t="str">
        <f>HYPERLINK("https://us2.cloudbeds.com/connect/10074733072513#/reservations/30660131270881?display=YQDHDQV1B&amp;reservation_id=30660131270881", "YQDHDQV1B")</f>
        <v>YQDHDQV1B</v>
      </c>
      <c r="B2319" t="s">
        <v>264</v>
      </c>
      <c r="C2319">
        <v>134.1</v>
      </c>
      <c r="D2319">
        <v>145.76</v>
      </c>
      <c r="E2319">
        <v>145.77000000000001</v>
      </c>
      <c r="F2319">
        <v>-0.01</v>
      </c>
    </row>
    <row r="2320" spans="1:6" x14ac:dyDescent="0.3">
      <c r="A2320" t="str">
        <f>HYPERLINK("https://us2.cloudbeds.com/connect/10074733072513#/reservations/30660059066547?display=YQDFXUZN8&amp;reservation_id=30660059066547", "YQDFXUZN8")</f>
        <v>YQDFXUZN8</v>
      </c>
      <c r="B2320" t="s">
        <v>374</v>
      </c>
      <c r="C2320">
        <v>250.2</v>
      </c>
      <c r="D2320">
        <v>271.95999999999998</v>
      </c>
      <c r="E2320">
        <v>271.97000000000003</v>
      </c>
      <c r="F2320">
        <v>-0.01</v>
      </c>
    </row>
    <row r="2321" spans="1:6" x14ac:dyDescent="0.3">
      <c r="A2321" t="str">
        <f>HYPERLINK("https://us2.cloudbeds.com/connect/10074733072513#/reservations/30660042133639?display=YQDF4YXYR&amp;reservation_id=30660042133639", "YQDF4YXYR")</f>
        <v>YQDF4YXYR</v>
      </c>
      <c r="B2321" t="s">
        <v>374</v>
      </c>
      <c r="C2321">
        <v>90.07</v>
      </c>
      <c r="D2321">
        <v>97.9</v>
      </c>
      <c r="E2321">
        <v>97.91</v>
      </c>
      <c r="F2321">
        <v>-0.01</v>
      </c>
    </row>
    <row r="2322" spans="1:6" x14ac:dyDescent="0.3">
      <c r="A2322" t="str">
        <f>HYPERLINK("https://us2.cloudbeds.com/connect/10074733072513#/reservations/30660636627080?display=YQDUAV7AJ&amp;reservation_id=30660636627080", "YQDUAV7AJ")</f>
        <v>YQDUAV7AJ</v>
      </c>
      <c r="B2322" t="s">
        <v>395</v>
      </c>
      <c r="C2322">
        <v>87.2</v>
      </c>
      <c r="D2322">
        <v>94.78</v>
      </c>
      <c r="E2322">
        <v>94.79</v>
      </c>
      <c r="F2322">
        <v>-0.01</v>
      </c>
    </row>
    <row r="2323" spans="1:6" x14ac:dyDescent="0.3">
      <c r="A2323" t="str">
        <f>HYPERLINK("https://us2.cloudbeds.com/connect/10074733072513#/reservations/30659890962631?display=YQDB960A6&amp;reservation_id=30659890962631", "YQDB960A6")</f>
        <v>YQDB960A6</v>
      </c>
      <c r="B2323" t="s">
        <v>396</v>
      </c>
      <c r="C2323">
        <v>87.2</v>
      </c>
      <c r="D2323">
        <v>94.78</v>
      </c>
      <c r="E2323">
        <v>94.79</v>
      </c>
      <c r="F2323">
        <v>-0.01</v>
      </c>
    </row>
    <row r="2324" spans="1:6" x14ac:dyDescent="0.3">
      <c r="A2324" t="str">
        <f>HYPERLINK("https://us2.cloudbeds.com/connect/10074733072513#/reservations/30660796461263?display=YQE1DNRRM&amp;reservation_id=30660796461263", "YQE1DNRRM")</f>
        <v>YQE1DNRRM</v>
      </c>
      <c r="B2324" t="s">
        <v>412</v>
      </c>
      <c r="C2324">
        <v>87.2</v>
      </c>
      <c r="D2324">
        <v>94.78</v>
      </c>
      <c r="E2324">
        <v>94.79</v>
      </c>
      <c r="F2324">
        <v>-0.01</v>
      </c>
    </row>
    <row r="2325" spans="1:6" x14ac:dyDescent="0.3">
      <c r="A2325" t="str">
        <f>HYPERLINK("https://us2.cloudbeds.com/connect/10074733072513#/reservations/30659868127460?display=YQDAMUJCA&amp;reservation_id=30659868127460", "YQDAMUJCA")</f>
        <v>YQDAMUJCA</v>
      </c>
      <c r="B2325" t="s">
        <v>396</v>
      </c>
      <c r="C2325">
        <v>103.2</v>
      </c>
      <c r="D2325">
        <v>112.17</v>
      </c>
      <c r="E2325">
        <v>112.18</v>
      </c>
      <c r="F2325">
        <v>-0.01</v>
      </c>
    </row>
    <row r="2326" spans="1:6" x14ac:dyDescent="0.3">
      <c r="A2326" t="str">
        <f>HYPERLINK("https://us2.cloudbeds.com/connect/10074733072513#/reservations/30661972619501?display=YQEVFG5VD&amp;reservation_id=30661972619501", "YQEVFG5VD")</f>
        <v>YQEVFG5VD</v>
      </c>
      <c r="B2326" t="s">
        <v>391</v>
      </c>
      <c r="C2326">
        <v>250.2</v>
      </c>
      <c r="D2326">
        <v>271.95999999999998</v>
      </c>
      <c r="E2326">
        <v>271.97000000000003</v>
      </c>
      <c r="F2326">
        <v>-0.01</v>
      </c>
    </row>
    <row r="2327" spans="1:6" x14ac:dyDescent="0.3">
      <c r="A2327" t="str">
        <f>HYPERLINK("https://us2.cloudbeds.com/connect/10074733072513#/reservations/30660596216023?display=YQDT9SNU3&amp;reservation_id=30660596216023", "YQDT9SNU3")</f>
        <v>YQDT9SNU3</v>
      </c>
      <c r="B2327" t="s">
        <v>391</v>
      </c>
      <c r="C2327">
        <v>264</v>
      </c>
      <c r="D2327">
        <v>286.95999999999998</v>
      </c>
      <c r="E2327">
        <v>286.97000000000003</v>
      </c>
      <c r="F2327">
        <v>-0.01</v>
      </c>
    </row>
    <row r="2328" spans="1:6" x14ac:dyDescent="0.3">
      <c r="A2328" t="str">
        <f>HYPERLINK("https://us2.cloudbeds.com/connect/10074733072513#/reservations/30660734955740?display=YQDWRSBUV&amp;reservation_id=30660734955740", "YQDWRSBUV")</f>
        <v>YQDWRSBUV</v>
      </c>
      <c r="B2328" t="s">
        <v>407</v>
      </c>
      <c r="C2328">
        <v>87.2</v>
      </c>
      <c r="D2328">
        <v>94.78</v>
      </c>
      <c r="E2328">
        <v>94.79</v>
      </c>
      <c r="F2328">
        <v>-0.01</v>
      </c>
    </row>
    <row r="2329" spans="1:6" x14ac:dyDescent="0.3">
      <c r="A2329" t="str">
        <f>HYPERLINK("https://us2.cloudbeds.com/connect/10074733072513#/reservations/30660981063900?display=YQE64CMXW&amp;reservation_id=30660981063900", "YQE64CMXW")</f>
        <v>YQE64CMXW</v>
      </c>
      <c r="B2329" t="s">
        <v>408</v>
      </c>
      <c r="C2329">
        <v>90.07</v>
      </c>
      <c r="D2329">
        <v>97.9</v>
      </c>
      <c r="E2329">
        <v>97.91</v>
      </c>
      <c r="F2329">
        <v>-0.01</v>
      </c>
    </row>
    <row r="2330" spans="1:6" x14ac:dyDescent="0.3">
      <c r="A2330" t="str">
        <f>HYPERLINK("https://us2.cloudbeds.com/connect/10074733072513#/reservations/30661178826929?display=YQEB64Z51&amp;reservation_id=30661178826929", "YQEB64Z51")</f>
        <v>YQEB64Z51</v>
      </c>
      <c r="B2330" t="s">
        <v>360</v>
      </c>
      <c r="C2330">
        <v>250.2</v>
      </c>
      <c r="D2330">
        <v>271.95999999999998</v>
      </c>
      <c r="E2330">
        <v>271.97000000000003</v>
      </c>
      <c r="F2330">
        <v>-0.01</v>
      </c>
    </row>
    <row r="2331" spans="1:6" x14ac:dyDescent="0.3">
      <c r="A2331" t="str">
        <f>HYPERLINK("https://us2.cloudbeds.com/connect/10074733072513#/reservations/30660110049475?display=YQDGSUDWF&amp;reservation_id=30660110049475", "YQDGSUDWF")</f>
        <v>YQDGSUDWF</v>
      </c>
      <c r="B2331" t="s">
        <v>390</v>
      </c>
      <c r="C2331">
        <v>87.2</v>
      </c>
      <c r="D2331">
        <v>94.78</v>
      </c>
      <c r="E2331">
        <v>94.79</v>
      </c>
      <c r="F2331">
        <v>-0.01</v>
      </c>
    </row>
    <row r="2332" spans="1:6" x14ac:dyDescent="0.3">
      <c r="A2332" t="str">
        <f>HYPERLINK("https://us2.cloudbeds.com/connect/10074733072513#/reservations/30660803424410?display=YQE1JJJU4&amp;reservation_id=30660803424410", "YQE1JJJU4")</f>
        <v>YQE1JJJU4</v>
      </c>
      <c r="B2332" t="s">
        <v>412</v>
      </c>
      <c r="C2332">
        <v>87.2</v>
      </c>
      <c r="D2332">
        <v>94.78</v>
      </c>
      <c r="E2332">
        <v>94.79</v>
      </c>
      <c r="F2332">
        <v>-0.01</v>
      </c>
    </row>
    <row r="2333" spans="1:6" x14ac:dyDescent="0.3">
      <c r="A2333" t="str">
        <f>HYPERLINK("https://us2.cloudbeds.com/connect/10074733072513#/reservations/30663152595147?display=YQFSKFZG5&amp;reservation_id=30663152595147", "YQFSKFZG5")</f>
        <v>YQFSKFZG5</v>
      </c>
      <c r="B2333" t="s">
        <v>413</v>
      </c>
      <c r="C2333">
        <v>250.2</v>
      </c>
      <c r="D2333">
        <v>271.95999999999998</v>
      </c>
      <c r="E2333">
        <v>271.97000000000003</v>
      </c>
      <c r="F2333">
        <v>-0.01</v>
      </c>
    </row>
    <row r="2334" spans="1:6" x14ac:dyDescent="0.3">
      <c r="A2334" t="str">
        <f>HYPERLINK("https://us2.cloudbeds.com/connect/10074733072513#/reservations/30661087621271?display=YQE8S7QD7&amp;reservation_id=30661087621271", "YQE8S7QD7")</f>
        <v>YQE8S7QD7</v>
      </c>
      <c r="B2334" t="s">
        <v>393</v>
      </c>
      <c r="C2334">
        <v>134.1</v>
      </c>
      <c r="D2334">
        <v>145.76</v>
      </c>
      <c r="E2334">
        <v>145.77000000000001</v>
      </c>
      <c r="F2334">
        <v>-0.01</v>
      </c>
    </row>
    <row r="2335" spans="1:6" x14ac:dyDescent="0.3">
      <c r="A2335" t="str">
        <f>HYPERLINK("https://us2.cloudbeds.com/connect/10074733072513#/reservations/30662213218444?display=YQF4KC6KF&amp;reservation_id=30662213218444", "YQF4KC6KF")</f>
        <v>YQF4KC6KF</v>
      </c>
      <c r="B2335" t="s">
        <v>413</v>
      </c>
      <c r="C2335">
        <v>134.1</v>
      </c>
      <c r="D2335">
        <v>145.76</v>
      </c>
      <c r="E2335">
        <v>145.77000000000001</v>
      </c>
      <c r="F2335">
        <v>-0.01</v>
      </c>
    </row>
    <row r="2336" spans="1:6" x14ac:dyDescent="0.3">
      <c r="A2336" t="str">
        <f>HYPERLINK("https://us2.cloudbeds.com/connect/10074733072513#/reservations/30660656689348?display=YQDURSFW3&amp;reservation_id=30660656689348", "YQDURSFW3")</f>
        <v>YQDURSFW3</v>
      </c>
      <c r="B2336" t="s">
        <v>395</v>
      </c>
      <c r="C2336">
        <v>87.2</v>
      </c>
      <c r="D2336">
        <v>94.78</v>
      </c>
      <c r="E2336">
        <v>94.79</v>
      </c>
      <c r="F2336">
        <v>-0.01</v>
      </c>
    </row>
    <row r="2337" spans="1:6" x14ac:dyDescent="0.3">
      <c r="A2337" t="str">
        <f>HYPERLINK("https://us2.cloudbeds.com/connect/10074733072513#/reservations/30660595642594?display=YQDT9CPBF&amp;reservation_id=30660595642594", "YQDT9CPBF")</f>
        <v>YQDT9CPBF</v>
      </c>
      <c r="B2337" t="s">
        <v>361</v>
      </c>
      <c r="C2337">
        <v>87.2</v>
      </c>
      <c r="D2337">
        <v>94.78</v>
      </c>
      <c r="E2337">
        <v>94.79</v>
      </c>
      <c r="F2337">
        <v>-0.01</v>
      </c>
    </row>
    <row r="2338" spans="1:6" x14ac:dyDescent="0.3">
      <c r="A2338" t="str">
        <f>HYPERLINK("https://us2.cloudbeds.com/connect/10074733072513#/reservations/30659727012016?display=YQD72URPZ&amp;reservation_id=30659727012016", "YQD72URPZ")</f>
        <v>YQD72URPZ</v>
      </c>
      <c r="B2338" t="s">
        <v>361</v>
      </c>
      <c r="C2338">
        <v>87.2</v>
      </c>
      <c r="D2338">
        <v>94.78</v>
      </c>
      <c r="E2338">
        <v>94.79</v>
      </c>
      <c r="F2338">
        <v>-0.01</v>
      </c>
    </row>
    <row r="2339" spans="1:6" x14ac:dyDescent="0.3">
      <c r="A2339" t="str">
        <f>HYPERLINK("https://us2.cloudbeds.com/connect/10074733072513#/reservations/30662059974880?display=YQF0N4W33&amp;reservation_id=30662059974880", "YQF0N4W33")</f>
        <v>YQF0N4W33</v>
      </c>
      <c r="B2339" t="s">
        <v>414</v>
      </c>
      <c r="C2339">
        <v>64.150000000000006</v>
      </c>
      <c r="D2339">
        <v>69.72</v>
      </c>
      <c r="E2339">
        <v>69.73</v>
      </c>
      <c r="F2339">
        <v>-0.01</v>
      </c>
    </row>
    <row r="2340" spans="1:6" x14ac:dyDescent="0.3">
      <c r="A2340" t="str">
        <f>HYPERLINK("https://us2.cloudbeds.com/connect/10074733072513#/reservations/30662078095585?display=YQF15E6SB&amp;reservation_id=30662078095585", "YQF15E6SB")</f>
        <v>YQF15E6SB</v>
      </c>
      <c r="B2340" t="s">
        <v>414</v>
      </c>
      <c r="C2340">
        <v>64.150000000000006</v>
      </c>
      <c r="D2340">
        <v>69.72</v>
      </c>
      <c r="E2340">
        <v>69.73</v>
      </c>
      <c r="F2340">
        <v>-0.01</v>
      </c>
    </row>
    <row r="2341" spans="1:6" x14ac:dyDescent="0.3">
      <c r="A2341" t="str">
        <f>HYPERLINK("https://us2.cloudbeds.com/connect/10074733072513#/reservations/30662073008330?display=YQF114YC4&amp;reservation_id=30662073008330", "YQF114YC4")</f>
        <v>YQF114YC4</v>
      </c>
      <c r="B2341" t="s">
        <v>414</v>
      </c>
      <c r="C2341">
        <v>64.150000000000006</v>
      </c>
      <c r="D2341">
        <v>69.72</v>
      </c>
      <c r="E2341">
        <v>69.73</v>
      </c>
      <c r="F2341">
        <v>-0.01</v>
      </c>
    </row>
    <row r="2342" spans="1:6" x14ac:dyDescent="0.3">
      <c r="A2342" t="str">
        <f>HYPERLINK("https://us2.cloudbeds.com/connect/10074733072513#/reservations/30659618566350?display=YQD4AG5WE&amp;reservation_id=30659618566350", "YQD4AG5WE")</f>
        <v>YQD4AG5WE</v>
      </c>
      <c r="B2342" t="s">
        <v>361</v>
      </c>
      <c r="C2342">
        <v>196.2</v>
      </c>
      <c r="D2342">
        <v>213.26</v>
      </c>
      <c r="E2342">
        <v>213.27</v>
      </c>
      <c r="F2342">
        <v>-0.01</v>
      </c>
    </row>
    <row r="2343" spans="1:6" x14ac:dyDescent="0.3">
      <c r="A2343" t="str">
        <f>HYPERLINK("https://us2.cloudbeds.com/connect/10074733072513#/reservations/30659651903682?display=YQD55JRPK&amp;reservation_id=30659651903682", "YQD55JRPK")</f>
        <v>YQD55JRPK</v>
      </c>
      <c r="B2343" t="s">
        <v>361</v>
      </c>
      <c r="C2343">
        <v>87.2</v>
      </c>
      <c r="D2343">
        <v>94.78</v>
      </c>
      <c r="E2343">
        <v>94.79</v>
      </c>
      <c r="F2343">
        <v>-0.01</v>
      </c>
    </row>
    <row r="2344" spans="1:6" x14ac:dyDescent="0.3">
      <c r="A2344" t="str">
        <f>HYPERLINK("https://us2.cloudbeds.com/connect/10074733072513#/reservations/30660680822966?display=YQDVF717S&amp;reservation_id=30660680822966", "YQDVF717S")</f>
        <v>YQDVF717S</v>
      </c>
      <c r="B2344" t="s">
        <v>395</v>
      </c>
      <c r="C2344">
        <v>87.2</v>
      </c>
      <c r="D2344">
        <v>94.78</v>
      </c>
      <c r="E2344">
        <v>94.79</v>
      </c>
      <c r="F2344">
        <v>-0.01</v>
      </c>
    </row>
    <row r="2345" spans="1:6" x14ac:dyDescent="0.3">
      <c r="A2345" t="str">
        <f>HYPERLINK("https://us2.cloudbeds.com/connect/10074733072513#/reservations/30660853453046?display=YQE2SPNTB&amp;reservation_id=30660853453046", "YQE2SPNTB")</f>
        <v>YQE2SPNTB</v>
      </c>
      <c r="B2345" t="s">
        <v>358</v>
      </c>
      <c r="C2345">
        <v>100.1</v>
      </c>
      <c r="D2345">
        <v>108.8</v>
      </c>
      <c r="E2345">
        <v>108.81</v>
      </c>
      <c r="F2345">
        <v>-0.01</v>
      </c>
    </row>
    <row r="2346" spans="1:6" x14ac:dyDescent="0.3">
      <c r="A2346" t="str">
        <f>HYPERLINK("https://us2.cloudbeds.com/connect/10074733072513#/reservations/30660364107984?display=YQDNC4W75&amp;reservation_id=30660364107984", "YQDNC4W75")</f>
        <v>YQDNC4W75</v>
      </c>
      <c r="B2346" t="s">
        <v>415</v>
      </c>
      <c r="C2346">
        <v>87.2</v>
      </c>
      <c r="D2346">
        <v>94.78</v>
      </c>
      <c r="E2346">
        <v>94.79</v>
      </c>
      <c r="F2346">
        <v>-0.01</v>
      </c>
    </row>
    <row r="2347" spans="1:6" x14ac:dyDescent="0.3">
      <c r="A2347" t="str">
        <f>HYPERLINK("https://us2.cloudbeds.com/connect/10074733072513#/reservations/30661367189729?display=YQEFWW6ZM&amp;reservation_id=30661367189729", "YQEFWW6ZM")</f>
        <v>YQEFWW6ZM</v>
      </c>
      <c r="B2347" t="s">
        <v>410</v>
      </c>
      <c r="C2347">
        <v>134.1</v>
      </c>
      <c r="D2347">
        <v>145.76</v>
      </c>
      <c r="E2347">
        <v>145.77000000000001</v>
      </c>
      <c r="F2347">
        <v>-0.01</v>
      </c>
    </row>
    <row r="2348" spans="1:6" x14ac:dyDescent="0.3">
      <c r="A2348" t="str">
        <f>HYPERLINK("https://us2.cloudbeds.com/connect/10074733072513#/reservations/30660382437597?display=YQDNRK0QW&amp;reservation_id=30660382437597", "YQDNRK0QW")</f>
        <v>YQDNRK0QW</v>
      </c>
      <c r="B2348" t="s">
        <v>390</v>
      </c>
      <c r="C2348">
        <v>87.2</v>
      </c>
      <c r="D2348">
        <v>94.78</v>
      </c>
      <c r="E2348">
        <v>94.79</v>
      </c>
      <c r="F2348">
        <v>-0.01</v>
      </c>
    </row>
    <row r="2349" spans="1:6" x14ac:dyDescent="0.3">
      <c r="A2349" t="str">
        <f>HYPERLINK("https://us2.cloudbeds.com/connect/10074733072513#/reservations/30660377522311?display=YQDNNF87U&amp;reservation_id=30660377522311", "YQDNNF87U")</f>
        <v>YQDNNF87U</v>
      </c>
      <c r="B2349" t="s">
        <v>390</v>
      </c>
      <c r="C2349">
        <v>87.2</v>
      </c>
      <c r="D2349">
        <v>94.78</v>
      </c>
      <c r="E2349">
        <v>94.79</v>
      </c>
      <c r="F2349">
        <v>-0.01</v>
      </c>
    </row>
    <row r="2350" spans="1:6" x14ac:dyDescent="0.3">
      <c r="A2350" t="str">
        <f>HYPERLINK("https://us2.cloudbeds.com/connect/10074733072513#/reservations/30669293662420?display=YQKKHPWNR&amp;reservation_id=30669293662420", "YQKKHPWNR")</f>
        <v>YQKKHPWNR</v>
      </c>
      <c r="B2350" t="s">
        <v>416</v>
      </c>
      <c r="C2350">
        <v>270.2</v>
      </c>
      <c r="D2350">
        <v>293.7</v>
      </c>
      <c r="E2350">
        <v>293.70999999999998</v>
      </c>
      <c r="F2350">
        <v>-0.01</v>
      </c>
    </row>
    <row r="2351" spans="1:6" x14ac:dyDescent="0.3">
      <c r="A2351" t="str">
        <f>HYPERLINK("https://us2.cloudbeds.com/connect/10074733072513#/reservations/30660752421117?display=YQE09JBUQ&amp;reservation_id=30660752421117", "YQE09JBUQ")</f>
        <v>YQE09JBUQ</v>
      </c>
      <c r="B2351" t="s">
        <v>407</v>
      </c>
      <c r="C2351">
        <v>103.2</v>
      </c>
      <c r="D2351">
        <v>112.17</v>
      </c>
      <c r="E2351">
        <v>112.18</v>
      </c>
      <c r="F2351">
        <v>-0.01</v>
      </c>
    </row>
    <row r="2352" spans="1:6" x14ac:dyDescent="0.3">
      <c r="A2352" t="str">
        <f>HYPERLINK("https://us2.cloudbeds.com/connect/10074733072513#/reservations/30662291615961?display=YQF6KFNWQ&amp;reservation_id=30662291615961", "YQF6KFNWQ")</f>
        <v>YQF6KFNWQ</v>
      </c>
      <c r="B2352" t="s">
        <v>418</v>
      </c>
      <c r="C2352">
        <v>285.60000000000002</v>
      </c>
      <c r="D2352">
        <v>310.44</v>
      </c>
      <c r="E2352">
        <v>310.45</v>
      </c>
      <c r="F2352">
        <v>-0.01</v>
      </c>
    </row>
    <row r="2353" spans="1:6" x14ac:dyDescent="0.3">
      <c r="A2353" t="str">
        <f>HYPERLINK("https://us2.cloudbeds.com/connect/10074733072513#/reservations/30661345075404?display=YQEFEARZJ&amp;reservation_id=30661345075404", "YQEFEARZJ")</f>
        <v>YQEFEARZJ</v>
      </c>
      <c r="B2353" t="s">
        <v>358</v>
      </c>
      <c r="C2353">
        <v>87.2</v>
      </c>
      <c r="D2353">
        <v>94.78</v>
      </c>
      <c r="E2353">
        <v>94.79</v>
      </c>
      <c r="F2353">
        <v>-0.01</v>
      </c>
    </row>
    <row r="2354" spans="1:6" x14ac:dyDescent="0.3">
      <c r="A2354" t="str">
        <f>HYPERLINK("https://us2.cloudbeds.com/connect/10074733072513#/reservations/30661193355457?display=YQEBXD0AF&amp;reservation_id=30661193355457", "YQEBXD0AF")</f>
        <v>YQEBXD0AF</v>
      </c>
      <c r="B2354" t="s">
        <v>360</v>
      </c>
      <c r="C2354">
        <v>270.2</v>
      </c>
      <c r="D2354">
        <v>293.7</v>
      </c>
      <c r="E2354">
        <v>293.70999999999998</v>
      </c>
      <c r="F2354">
        <v>-0.01</v>
      </c>
    </row>
    <row r="2355" spans="1:6" x14ac:dyDescent="0.3">
      <c r="A2355" t="str">
        <f>HYPERLINK("https://us2.cloudbeds.com/connect/10074733072513#/reservations/30659735732425?display=YQD7A9GGX&amp;reservation_id=30659735732425", "YQD7A9GGX")</f>
        <v>YQD7A9GGX</v>
      </c>
      <c r="B2355" t="s">
        <v>362</v>
      </c>
      <c r="C2355">
        <v>134.1</v>
      </c>
      <c r="D2355">
        <v>145.76</v>
      </c>
      <c r="E2355">
        <v>145.77000000000001</v>
      </c>
      <c r="F2355">
        <v>-0.01</v>
      </c>
    </row>
    <row r="2356" spans="1:6" x14ac:dyDescent="0.3">
      <c r="A2356" t="str">
        <f>HYPERLINK("https://us2.cloudbeds.com/connect/10074733072513#/reservations/30661322547412?display=YQEESAVT6&amp;reservation_id=30661322547412", "YQEESAVT6")</f>
        <v>YQEESAVT6</v>
      </c>
      <c r="B2356" t="s">
        <v>419</v>
      </c>
      <c r="C2356">
        <v>250.2</v>
      </c>
      <c r="D2356">
        <v>271.95999999999998</v>
      </c>
      <c r="E2356">
        <v>271.97000000000003</v>
      </c>
      <c r="F2356">
        <v>-0.01</v>
      </c>
    </row>
    <row r="2357" spans="1:6" x14ac:dyDescent="0.3">
      <c r="A2357" t="str">
        <f>HYPERLINK("https://us2.cloudbeds.com/connect/10074733072513#/reservations/30660638605459?display=YQDUCK90F&amp;reservation_id=30660638605459", "YQDUCK90F")</f>
        <v>YQDUCK90F</v>
      </c>
      <c r="B2357" t="s">
        <v>420</v>
      </c>
      <c r="C2357">
        <v>174.4</v>
      </c>
      <c r="D2357">
        <v>189.56</v>
      </c>
      <c r="E2357">
        <v>189.57</v>
      </c>
      <c r="F2357">
        <v>-0.01</v>
      </c>
    </row>
    <row r="2358" spans="1:6" x14ac:dyDescent="0.3">
      <c r="A2358" t="str">
        <f>HYPERLINK("https://us2.cloudbeds.com/connect/10074733072513#/reservations/30661373587611?display=YQEG5C7ZT&amp;reservation_id=30661373587611", "YQEG5C7ZT")</f>
        <v>YQEG5C7ZT</v>
      </c>
      <c r="B2358" t="s">
        <v>421</v>
      </c>
      <c r="C2358">
        <v>250.2</v>
      </c>
      <c r="D2358">
        <v>271.95999999999998</v>
      </c>
      <c r="E2358">
        <v>271.97000000000003</v>
      </c>
      <c r="F2358">
        <v>-0.01</v>
      </c>
    </row>
    <row r="2359" spans="1:6" x14ac:dyDescent="0.3">
      <c r="A2359" t="str">
        <f>HYPERLINK("https://us2.cloudbeds.com/connect/10074733072513#/reservations/30660730581127?display=YQDWZ5KRU&amp;reservation_id=30660730581127", "YQDWZ5KRU")</f>
        <v>YQDWZ5KRU</v>
      </c>
      <c r="B2359" t="s">
        <v>407</v>
      </c>
      <c r="C2359">
        <v>87.2</v>
      </c>
      <c r="D2359">
        <v>94.78</v>
      </c>
      <c r="E2359">
        <v>94.79</v>
      </c>
      <c r="F2359">
        <v>-0.01</v>
      </c>
    </row>
    <row r="2360" spans="1:6" x14ac:dyDescent="0.3">
      <c r="A2360" t="str">
        <f>HYPERLINK("https://us2.cloudbeds.com/connect/10074733072513#/reservations/30660742295803?display=YQE011K43&amp;reservation_id=30660742295803", "YQE011K43")</f>
        <v>YQE011K43</v>
      </c>
      <c r="B2360" t="s">
        <v>407</v>
      </c>
      <c r="C2360">
        <v>87.2</v>
      </c>
      <c r="D2360">
        <v>94.78</v>
      </c>
      <c r="E2360">
        <v>94.79</v>
      </c>
      <c r="F2360">
        <v>-0.01</v>
      </c>
    </row>
    <row r="2361" spans="1:6" x14ac:dyDescent="0.3">
      <c r="A2361" t="str">
        <f>HYPERLINK("https://us2.cloudbeds.com/connect/10074733072513#/reservations/30659868131555?display=YQDAMUN4D&amp;reservation_id=30659868131555", "YQDAMUN4D")</f>
        <v>YQDAMUN4D</v>
      </c>
      <c r="B2361" t="s">
        <v>396</v>
      </c>
      <c r="C2361">
        <v>103.2</v>
      </c>
      <c r="D2361">
        <v>112.17</v>
      </c>
      <c r="E2361">
        <v>112.18</v>
      </c>
      <c r="F2361">
        <v>-0.01</v>
      </c>
    </row>
    <row r="2362" spans="1:6" x14ac:dyDescent="0.3">
      <c r="A2362" t="str">
        <f>HYPERLINK("https://us2.cloudbeds.com/connect/10074733072513#/reservations/30659725566181?display=YQD71NK3X&amp;reservation_id=30659725566181", "YQD71NK3X")</f>
        <v>YQD71NK3X</v>
      </c>
      <c r="B2362" t="s">
        <v>423</v>
      </c>
      <c r="C2362">
        <v>90.07</v>
      </c>
      <c r="D2362">
        <v>97.9</v>
      </c>
      <c r="E2362">
        <v>97.91</v>
      </c>
      <c r="F2362">
        <v>-0.01</v>
      </c>
    </row>
    <row r="2363" spans="1:6" x14ac:dyDescent="0.3">
      <c r="A2363" t="str">
        <f>HYPERLINK("https://us2.cloudbeds.com/connect/10074733072513#/reservations/30661097439367?display=YQE93H038&amp;reservation_id=30661097439367", "YQE93H038")</f>
        <v>YQE93H038</v>
      </c>
      <c r="B2363" t="s">
        <v>424</v>
      </c>
      <c r="C2363">
        <v>87.2</v>
      </c>
      <c r="D2363">
        <v>94.78</v>
      </c>
      <c r="E2363">
        <v>94.79</v>
      </c>
      <c r="F2363">
        <v>-0.01</v>
      </c>
    </row>
    <row r="2364" spans="1:6" x14ac:dyDescent="0.3">
      <c r="A2364" t="str">
        <f>HYPERLINK("https://us2.cloudbeds.com/connect/10074733072513#/reservations/30661281337542?display=YQEDQJ7V8&amp;reservation_id=30661281337542", "YQEDQJ7V8")</f>
        <v>YQEDQJ7V8</v>
      </c>
      <c r="B2364" t="s">
        <v>371</v>
      </c>
      <c r="C2364">
        <v>87.2</v>
      </c>
      <c r="D2364">
        <v>94.78</v>
      </c>
      <c r="E2364">
        <v>94.79</v>
      </c>
      <c r="F2364">
        <v>-0.01</v>
      </c>
    </row>
    <row r="2365" spans="1:6" x14ac:dyDescent="0.3">
      <c r="A2365" t="str">
        <f>HYPERLINK("https://us2.cloudbeds.com/connect/10074733072513#/reservations/30661001461976?display=YQE6YJ9JG&amp;reservation_id=30661001461976", "YQE6YJ9JG")</f>
        <v>YQE6YJ9JG</v>
      </c>
      <c r="B2365" t="s">
        <v>425</v>
      </c>
      <c r="C2365">
        <v>87.2</v>
      </c>
      <c r="D2365">
        <v>94.78</v>
      </c>
      <c r="E2365">
        <v>94.79</v>
      </c>
      <c r="F2365">
        <v>-0.01</v>
      </c>
    </row>
    <row r="2366" spans="1:6" x14ac:dyDescent="0.3">
      <c r="A2366" t="str">
        <f>HYPERLINK("https://us2.cloudbeds.com/connect/10074733072513#/reservations/30660703342790?display=YQDW16MJP&amp;reservation_id=30660703342790", "YQDW16MJP")</f>
        <v>YQDW16MJP</v>
      </c>
      <c r="B2366" t="s">
        <v>426</v>
      </c>
      <c r="C2366">
        <v>87.2</v>
      </c>
      <c r="D2366">
        <v>94.78</v>
      </c>
      <c r="E2366">
        <v>94.79</v>
      </c>
      <c r="F2366">
        <v>-0.01</v>
      </c>
    </row>
    <row r="2367" spans="1:6" x14ac:dyDescent="0.3">
      <c r="A2367" t="str">
        <f>HYPERLINK("https://us2.cloudbeds.com/connect/10074733072513#/reservations/30660451188900?display=YQDPJJ4AP&amp;reservation_id=30660451188900", "YQDPJJ4AP")</f>
        <v>YQDPJJ4AP</v>
      </c>
      <c r="B2367" t="s">
        <v>401</v>
      </c>
      <c r="C2367">
        <v>103.2</v>
      </c>
      <c r="D2367">
        <v>112.17</v>
      </c>
      <c r="E2367">
        <v>112.18</v>
      </c>
      <c r="F2367">
        <v>-0.01</v>
      </c>
    </row>
    <row r="2368" spans="1:6" x14ac:dyDescent="0.3">
      <c r="A2368" t="str">
        <f>HYPERLINK("https://us2.cloudbeds.com/connect/10074733072513#/reservations/30660406239367?display=YQDZEMBBZ&amp;reservation_id=30660406239367", "YQDZEMBBZ")</f>
        <v>YQDZEMBBZ</v>
      </c>
      <c r="B2368" t="s">
        <v>415</v>
      </c>
      <c r="C2368">
        <v>196.2</v>
      </c>
      <c r="D2368">
        <v>213.26</v>
      </c>
      <c r="E2368">
        <v>213.27</v>
      </c>
      <c r="F2368">
        <v>-0.01</v>
      </c>
    </row>
    <row r="2369" spans="1:6" x14ac:dyDescent="0.3">
      <c r="A2369" t="str">
        <f>HYPERLINK("https://us2.cloudbeds.com/connect/10074733072513#/reservations/30662344937609?display=YQF7WEFSA&amp;reservation_id=30662344937609", "YQF7WEFSA")</f>
        <v>YQF7WEFSA</v>
      </c>
      <c r="B2369" t="s">
        <v>427</v>
      </c>
      <c r="C2369">
        <v>304.2</v>
      </c>
      <c r="D2369">
        <v>330.66</v>
      </c>
      <c r="E2369">
        <v>330.67</v>
      </c>
      <c r="F2369">
        <v>-0.01</v>
      </c>
    </row>
    <row r="2370" spans="1:6" x14ac:dyDescent="0.3">
      <c r="A2370" t="str">
        <f>HYPERLINK("https://us2.cloudbeds.com/connect/10074733072513#/reservations/30661142266069?display=YQEA8AC96&amp;reservation_id=30661142266069", "YQEA8AC96")</f>
        <v>YQEA8AC96</v>
      </c>
      <c r="B2370" t="s">
        <v>397</v>
      </c>
      <c r="C2370">
        <v>196.2</v>
      </c>
      <c r="D2370">
        <v>213.26</v>
      </c>
      <c r="E2370">
        <v>213.27</v>
      </c>
      <c r="F2370">
        <v>-0.01</v>
      </c>
    </row>
    <row r="2371" spans="1:6" x14ac:dyDescent="0.3">
      <c r="A2371" t="str">
        <f>HYPERLINK("https://us2.cloudbeds.com/connect/10074733072513#/reservations/30661033226485?display=YQE7FC63C&amp;reservation_id=30661033226485", "YQE7FC63C")</f>
        <v>YQE7FC63C</v>
      </c>
      <c r="B2371" t="s">
        <v>425</v>
      </c>
      <c r="C2371">
        <v>174.4</v>
      </c>
      <c r="D2371">
        <v>189.56</v>
      </c>
      <c r="E2371">
        <v>189.57</v>
      </c>
      <c r="F2371">
        <v>-0.01</v>
      </c>
    </row>
    <row r="2372" spans="1:6" x14ac:dyDescent="0.3">
      <c r="A2372" t="str">
        <f>HYPERLINK("https://us2.cloudbeds.com/connect/10074733072513#/reservations/30660424810718?display=YQDZUB3UV&amp;reservation_id=30660424810718", "YQDZUB3UV")</f>
        <v>YQDZUB3UV</v>
      </c>
      <c r="B2372" t="s">
        <v>415</v>
      </c>
      <c r="C2372">
        <v>250.2</v>
      </c>
      <c r="D2372">
        <v>271.95999999999998</v>
      </c>
      <c r="E2372">
        <v>271.97000000000003</v>
      </c>
      <c r="F2372">
        <v>-0.01</v>
      </c>
    </row>
    <row r="2373" spans="1:6" x14ac:dyDescent="0.3">
      <c r="A2373" t="str">
        <f>HYPERLINK("https://us2.cloudbeds.com/connect/10074733072513#/reservations/30661686235288?display=YQEZ503SU&amp;reservation_id=30661686235288", "YQEZ503SU")</f>
        <v>YQEZ503SU</v>
      </c>
      <c r="B2373" t="s">
        <v>401</v>
      </c>
      <c r="C2373">
        <v>87.2</v>
      </c>
      <c r="D2373">
        <v>94.78</v>
      </c>
      <c r="E2373">
        <v>94.79</v>
      </c>
      <c r="F2373">
        <v>-0.01</v>
      </c>
    </row>
    <row r="2374" spans="1:6" x14ac:dyDescent="0.3">
      <c r="A2374" t="str">
        <f>HYPERLINK("https://us2.cloudbeds.com/connect/10074733072513#/reservations/30661007208622?display=YQE6QE6J9&amp;reservation_id=30661007208622", "YQE6QE6J9")</f>
        <v>YQE6QE6J9</v>
      </c>
      <c r="B2374" t="s">
        <v>425</v>
      </c>
      <c r="C2374">
        <v>196.2</v>
      </c>
      <c r="D2374">
        <v>213.26</v>
      </c>
      <c r="E2374">
        <v>213.27</v>
      </c>
      <c r="F2374">
        <v>-0.01</v>
      </c>
    </row>
    <row r="2375" spans="1:6" x14ac:dyDescent="0.3">
      <c r="A2375" t="str">
        <f>HYPERLINK("https://us2.cloudbeds.com/connect/10074733072513#/reservations/30661102416093?display=YQE97NG35&amp;reservation_id=30661102416093", "YQE97NG35")</f>
        <v>YQE97NG35</v>
      </c>
      <c r="B2375" t="s">
        <v>428</v>
      </c>
      <c r="C2375">
        <v>87.2</v>
      </c>
      <c r="D2375">
        <v>94.78</v>
      </c>
      <c r="E2375">
        <v>94.79</v>
      </c>
      <c r="F2375">
        <v>-0.01</v>
      </c>
    </row>
    <row r="2376" spans="1:6" x14ac:dyDescent="0.3">
      <c r="A2376" t="str">
        <f>HYPERLINK("https://us2.cloudbeds.com/connect/10074733072513#/reservations/30660270719116?display=YQDKWD9MF&amp;reservation_id=30660270719116", "YQDKWD9MF")</f>
        <v>YQDKWD9MF</v>
      </c>
      <c r="B2376" t="s">
        <v>426</v>
      </c>
      <c r="C2376">
        <v>180.14</v>
      </c>
      <c r="D2376">
        <v>195.8</v>
      </c>
      <c r="E2376">
        <v>195.81</v>
      </c>
      <c r="F2376">
        <v>-0.01</v>
      </c>
    </row>
    <row r="2377" spans="1:6" x14ac:dyDescent="0.3">
      <c r="A2377" t="str">
        <f>HYPERLINK("https://us2.cloudbeds.com/connect/10074733072513#/reservations/30660470112459?display=YQDQ2HNAW&amp;reservation_id=30660470112459", "YQDQ2HNAW")</f>
        <v>YQDQ2HNAW</v>
      </c>
      <c r="B2377" t="s">
        <v>401</v>
      </c>
      <c r="C2377">
        <v>103.2</v>
      </c>
      <c r="D2377">
        <v>112.17</v>
      </c>
      <c r="E2377">
        <v>112.18</v>
      </c>
      <c r="F2377">
        <v>-0.01</v>
      </c>
    </row>
    <row r="2378" spans="1:6" x14ac:dyDescent="0.3">
      <c r="A2378" t="str">
        <f>HYPERLINK("https://us2.cloudbeds.com/connect/10074733072513#/reservations/30661028298922?display=YQE7B7289&amp;reservation_id=30661028298922", "YQE7B7289")</f>
        <v>YQE7B7289</v>
      </c>
      <c r="B2378" t="s">
        <v>425</v>
      </c>
      <c r="C2378">
        <v>90.07</v>
      </c>
      <c r="D2378">
        <v>97.9</v>
      </c>
      <c r="E2378">
        <v>97.91</v>
      </c>
      <c r="F2378">
        <v>-0.01</v>
      </c>
    </row>
    <row r="2379" spans="1:6" x14ac:dyDescent="0.3">
      <c r="A2379" t="str">
        <f>HYPERLINK("https://us2.cloudbeds.com/connect/10074733072513#/reservations/30661097435272?display=YQE93GTB6&amp;reservation_id=30661097435272", "YQE93GTB6")</f>
        <v>YQE93GTB6</v>
      </c>
      <c r="B2379" t="s">
        <v>428</v>
      </c>
      <c r="C2379">
        <v>103.2</v>
      </c>
      <c r="D2379">
        <v>112.17</v>
      </c>
      <c r="E2379">
        <v>112.18</v>
      </c>
      <c r="F2379">
        <v>-0.01</v>
      </c>
    </row>
    <row r="2380" spans="1:6" x14ac:dyDescent="0.3">
      <c r="A2380" t="str">
        <f>HYPERLINK("https://us2.cloudbeds.com/connect/10074733072513#/reservations/30661495857344?display=YQEJ9FF44&amp;reservation_id=30661495857344", "YQEJ9FF44")</f>
        <v>YQEJ9FF44</v>
      </c>
      <c r="B2380" t="s">
        <v>429</v>
      </c>
      <c r="C2380">
        <v>87.2</v>
      </c>
      <c r="D2380">
        <v>94.78</v>
      </c>
      <c r="E2380">
        <v>94.79</v>
      </c>
      <c r="F2380">
        <v>-0.01</v>
      </c>
    </row>
    <row r="2381" spans="1:6" x14ac:dyDescent="0.3">
      <c r="A2381" t="str">
        <f>HYPERLINK("https://us2.cloudbeds.com/connect/10074733072513#/reservations/30661129859297?display=YQE9US4FD&amp;reservation_id=30661129859297", "YQE9US4FD")</f>
        <v>YQE9US4FD</v>
      </c>
      <c r="B2381" t="s">
        <v>428</v>
      </c>
      <c r="C2381">
        <v>87.2</v>
      </c>
      <c r="D2381">
        <v>94.78</v>
      </c>
      <c r="E2381">
        <v>94.79</v>
      </c>
      <c r="F2381">
        <v>-0.01</v>
      </c>
    </row>
    <row r="2382" spans="1:6" x14ac:dyDescent="0.3">
      <c r="A2382" t="str">
        <f>HYPERLINK("https://us2.cloudbeds.com/connect/10074733072513#/reservations/30662250016897?display=YQF5XD5M3&amp;reservation_id=30662250016897", "YQF5XD5M3")</f>
        <v>YQF5XD5M3</v>
      </c>
      <c r="B2382" t="s">
        <v>214</v>
      </c>
      <c r="C2382">
        <v>259.2</v>
      </c>
      <c r="D2382">
        <v>281.74</v>
      </c>
      <c r="E2382">
        <v>281.75</v>
      </c>
      <c r="F2382">
        <v>-0.01</v>
      </c>
    </row>
    <row r="2383" spans="1:6" x14ac:dyDescent="0.3">
      <c r="A2383" t="str">
        <f>HYPERLINK("https://us2.cloudbeds.com/connect/10074733072513#/reservations/30661102420189?display=YQE97NJS9&amp;reservation_id=30661102420189", "YQE97NJS9")</f>
        <v>YQE97NJS9</v>
      </c>
      <c r="B2383" t="s">
        <v>428</v>
      </c>
      <c r="C2383">
        <v>103.2</v>
      </c>
      <c r="D2383">
        <v>112.17</v>
      </c>
      <c r="E2383">
        <v>112.18</v>
      </c>
      <c r="F2383">
        <v>-0.01</v>
      </c>
    </row>
    <row r="2384" spans="1:6" x14ac:dyDescent="0.3">
      <c r="A2384" t="str">
        <f>HYPERLINK("https://us2.cloudbeds.com/connect/10074733072513#/reservations/30660202160296?display=YQDJ7JHUF&amp;reservation_id=30660202160296", "YQDJ7JHUF")</f>
        <v>YQDJ7JHUF</v>
      </c>
      <c r="B2384" t="s">
        <v>420</v>
      </c>
      <c r="C2384">
        <v>285.60000000000002</v>
      </c>
      <c r="D2384">
        <v>310.44</v>
      </c>
      <c r="E2384">
        <v>310.45</v>
      </c>
      <c r="F2384">
        <v>-0.01</v>
      </c>
    </row>
    <row r="2385" spans="1:6" x14ac:dyDescent="0.3">
      <c r="A2385" t="str">
        <f>HYPERLINK("https://us2.cloudbeds.com/connect/10074733072513#/reservations/30661870657690?display=YQESSGV3H&amp;reservation_id=30661870657690", "YQESSGV3H")</f>
        <v>YQESSGV3H</v>
      </c>
      <c r="B2385" t="s">
        <v>419</v>
      </c>
      <c r="C2385">
        <v>134.1</v>
      </c>
      <c r="D2385">
        <v>145.76</v>
      </c>
      <c r="E2385">
        <v>145.77000000000001</v>
      </c>
      <c r="F2385">
        <v>-0.01</v>
      </c>
    </row>
    <row r="2386" spans="1:6" x14ac:dyDescent="0.3">
      <c r="A2386" t="str">
        <f>HYPERLINK("https://us2.cloudbeds.com/connect/10074733072513#/reservations/30662579904701?display=YQFDWXPV7&amp;reservation_id=30662579904701", "YQFDWXPV7")</f>
        <v>YQFDWXPV7</v>
      </c>
      <c r="B2386" t="s">
        <v>430</v>
      </c>
      <c r="C2386">
        <v>196.2</v>
      </c>
      <c r="D2386">
        <v>213.26</v>
      </c>
      <c r="E2386">
        <v>213.27</v>
      </c>
      <c r="F2386">
        <v>-0.01</v>
      </c>
    </row>
    <row r="2387" spans="1:6" x14ac:dyDescent="0.3">
      <c r="A2387" t="str">
        <f>HYPERLINK("https://us2.cloudbeds.com/connect/10074733072513#/reservations/30661151252687?display=YQEAFTEEV&amp;reservation_id=30661151252687", "YQEAFTEEV")</f>
        <v>YQEAFTEEV</v>
      </c>
      <c r="B2387" t="s">
        <v>397</v>
      </c>
      <c r="C2387">
        <v>103.2</v>
      </c>
      <c r="D2387">
        <v>112.17</v>
      </c>
      <c r="E2387">
        <v>112.18</v>
      </c>
      <c r="F2387">
        <v>-0.01</v>
      </c>
    </row>
    <row r="2388" spans="1:6" x14ac:dyDescent="0.3">
      <c r="A2388" t="str">
        <f>HYPERLINK("https://us2.cloudbeds.com/connect/10074733072513#/reservations/30660162867398?display=YQDX7F59J&amp;reservation_id=30660162867398", "YQDX7F59J")</f>
        <v>YQDX7F59J</v>
      </c>
      <c r="B2388" t="s">
        <v>420</v>
      </c>
      <c r="C2388">
        <v>87.2</v>
      </c>
      <c r="D2388">
        <v>94.78</v>
      </c>
      <c r="E2388">
        <v>94.79</v>
      </c>
      <c r="F2388">
        <v>-0.01</v>
      </c>
    </row>
    <row r="2389" spans="1:6" x14ac:dyDescent="0.3">
      <c r="A2389" t="str">
        <f>HYPERLINK("https://us2.cloudbeds.com/connect/10074733072513#/reservations/30661330137325?display=YQEF1Z5GX&amp;reservation_id=30661330137325", "YQEF1Z5GX")</f>
        <v>YQEF1Z5GX</v>
      </c>
      <c r="B2389" t="s">
        <v>419</v>
      </c>
      <c r="C2389">
        <v>250.2</v>
      </c>
      <c r="D2389">
        <v>271.95999999999998</v>
      </c>
      <c r="E2389">
        <v>271.97000000000003</v>
      </c>
      <c r="F2389">
        <v>-0.01</v>
      </c>
    </row>
    <row r="2390" spans="1:6" x14ac:dyDescent="0.3">
      <c r="A2390" t="str">
        <f>HYPERLINK("https://us2.cloudbeds.com/connect/10074733072513#/reservations/30660971901072?display=YQE5TYNJH&amp;reservation_id=30660971901072", "YQE5TYNJH")</f>
        <v>YQE5TYNJH</v>
      </c>
      <c r="B2390" t="s">
        <v>431</v>
      </c>
      <c r="C2390">
        <v>250.2</v>
      </c>
      <c r="D2390">
        <v>271.95999999999998</v>
      </c>
      <c r="E2390">
        <v>271.97000000000003</v>
      </c>
      <c r="F2390">
        <v>-0.01</v>
      </c>
    </row>
    <row r="2391" spans="1:6" x14ac:dyDescent="0.3">
      <c r="A2391" t="str">
        <f>HYPERLINK("https://us2.cloudbeds.com/connect/10074733072513#/reservations/30661514760340?display=YQEJPDXVC&amp;reservation_id=30661514760340", "YQEJPDXVC")</f>
        <v>YQEJPDXVC</v>
      </c>
      <c r="B2391" t="s">
        <v>429</v>
      </c>
      <c r="C2391">
        <v>87.2</v>
      </c>
      <c r="D2391">
        <v>94.78</v>
      </c>
      <c r="E2391">
        <v>94.79</v>
      </c>
      <c r="F2391">
        <v>-0.01</v>
      </c>
    </row>
    <row r="2392" spans="1:6" x14ac:dyDescent="0.3">
      <c r="A2392" t="str">
        <f>HYPERLINK("https://us2.cloudbeds.com/connect/10074733072513#/reservations/30660461281531?display=YQDPS2W43&amp;reservation_id=30660461281531", "YQDPS2W43")</f>
        <v>YQDPS2W43</v>
      </c>
      <c r="B2392" t="s">
        <v>432</v>
      </c>
      <c r="C2392">
        <v>134.1</v>
      </c>
      <c r="D2392">
        <v>145.76</v>
      </c>
      <c r="E2392">
        <v>145.77000000000001</v>
      </c>
      <c r="F2392">
        <v>-0.01</v>
      </c>
    </row>
    <row r="2393" spans="1:6" x14ac:dyDescent="0.3">
      <c r="A2393" t="str">
        <f>HYPERLINK("https://us2.cloudbeds.com/connect/10074733072513#/reservations/30660778049763?display=YQE0V6H1E&amp;reservation_id=30660778049763", "YQE0V6H1E")</f>
        <v>YQE0V6H1E</v>
      </c>
      <c r="B2393" t="s">
        <v>419</v>
      </c>
      <c r="C2393">
        <v>90.07</v>
      </c>
      <c r="D2393">
        <v>97.9</v>
      </c>
      <c r="E2393">
        <v>97.91</v>
      </c>
      <c r="F2393">
        <v>-0.01</v>
      </c>
    </row>
    <row r="2394" spans="1:6" x14ac:dyDescent="0.3">
      <c r="A2394" t="str">
        <f>HYPERLINK("https://us2.cloudbeds.com/connect/10074733072513#/reservations/30661940846817?display=YQEUYN1UQ&amp;reservation_id=30661940846817", "YQEUYN1UQ")</f>
        <v>YQEUYN1UQ</v>
      </c>
      <c r="B2394" t="s">
        <v>419</v>
      </c>
      <c r="C2394">
        <v>90.07</v>
      </c>
      <c r="D2394">
        <v>97.9</v>
      </c>
      <c r="E2394">
        <v>97.91</v>
      </c>
      <c r="F2394">
        <v>-0.01</v>
      </c>
    </row>
    <row r="2395" spans="1:6" x14ac:dyDescent="0.3">
      <c r="A2395" t="str">
        <f>HYPERLINK("https://us2.cloudbeds.com/connect/10074733072513#/reservations/30662895296666?display=YQFM1H12G&amp;reservation_id=30662895296666", "YQFM1H12G")</f>
        <v>YQFM1H12G</v>
      </c>
      <c r="B2395" t="s">
        <v>413</v>
      </c>
      <c r="C2395">
        <v>277.2</v>
      </c>
      <c r="D2395">
        <v>301.31</v>
      </c>
      <c r="E2395">
        <v>301.32</v>
      </c>
      <c r="F2395">
        <v>-0.01</v>
      </c>
    </row>
    <row r="2396" spans="1:6" x14ac:dyDescent="0.3">
      <c r="A2396" t="str">
        <f>HYPERLINK("https://us2.cloudbeds.com/connect/10074733072513#/reservations/30661234749666?display=YQECK9SHE&amp;reservation_id=30661234749666", "YQECK9SHE")</f>
        <v>YQECK9SHE</v>
      </c>
      <c r="B2396" t="s">
        <v>421</v>
      </c>
      <c r="C2396">
        <v>87.2</v>
      </c>
      <c r="D2396">
        <v>94.78</v>
      </c>
      <c r="E2396">
        <v>94.79</v>
      </c>
      <c r="F2396">
        <v>-0.01</v>
      </c>
    </row>
    <row r="2397" spans="1:6" x14ac:dyDescent="0.3">
      <c r="A2397" t="str">
        <f>HYPERLINK("https://us2.cloudbeds.com/connect/10074733072513#/reservations/30661247541385?display=YQECV2QR9&amp;reservation_id=30661247541385", "YQECV2QR9")</f>
        <v>YQECV2QR9</v>
      </c>
      <c r="B2397" t="s">
        <v>421</v>
      </c>
      <c r="C2397">
        <v>87.2</v>
      </c>
      <c r="D2397">
        <v>94.78</v>
      </c>
      <c r="E2397">
        <v>94.79</v>
      </c>
      <c r="F2397">
        <v>-0.01</v>
      </c>
    </row>
    <row r="2398" spans="1:6" x14ac:dyDescent="0.3">
      <c r="A2398" t="str">
        <f>HYPERLINK("https://us2.cloudbeds.com/connect/10074733072513#/reservations/30662471512254?display=YQFB75K0K&amp;reservation_id=30662471512254", "YQFB75K0K")</f>
        <v>YQFB75K0K</v>
      </c>
      <c r="B2398" t="s">
        <v>418</v>
      </c>
      <c r="C2398">
        <v>90.07</v>
      </c>
      <c r="D2398">
        <v>97.9</v>
      </c>
      <c r="E2398">
        <v>97.91</v>
      </c>
      <c r="F2398">
        <v>-0.01</v>
      </c>
    </row>
    <row r="2399" spans="1:6" x14ac:dyDescent="0.3">
      <c r="A2399" t="str">
        <f>HYPERLINK("https://us2.cloudbeds.com/connect/10074733072513#/reservations/30661365506301?display=YQEFVXBTN&amp;reservation_id=30661365506301", "YQEFVXBTN")</f>
        <v>YQEFVXBTN</v>
      </c>
      <c r="B2399" t="s">
        <v>421</v>
      </c>
      <c r="C2399">
        <v>87.2</v>
      </c>
      <c r="D2399">
        <v>94.78</v>
      </c>
      <c r="E2399">
        <v>94.79</v>
      </c>
      <c r="F2399">
        <v>-0.01</v>
      </c>
    </row>
    <row r="2400" spans="1:6" x14ac:dyDescent="0.3">
      <c r="A2400" t="str">
        <f>HYPERLINK("https://us2.cloudbeds.com/connect/10074733072513#/reservations/30661419811042?display=YQEHBBFGU&amp;reservation_id=30661419811042", "YQEHBBFGU")</f>
        <v>YQEHBBFGU</v>
      </c>
      <c r="B2400" t="s">
        <v>433</v>
      </c>
      <c r="C2400">
        <v>289.39999999999998</v>
      </c>
      <c r="D2400">
        <v>314.57</v>
      </c>
      <c r="E2400">
        <v>314.58</v>
      </c>
      <c r="F2400">
        <v>-0.01</v>
      </c>
    </row>
    <row r="2401" spans="1:6" x14ac:dyDescent="0.3">
      <c r="A2401" t="str">
        <f>HYPERLINK("https://us2.cloudbeds.com/connect/10074733072513#/reservations/30664677363843?display=YQH1J6MD5&amp;reservation_id=30664677363843", "YQH1J6MD5")</f>
        <v>YQH1J6MD5</v>
      </c>
      <c r="B2401" t="s">
        <v>434</v>
      </c>
      <c r="C2401">
        <v>270.2</v>
      </c>
      <c r="D2401">
        <v>293.7</v>
      </c>
      <c r="E2401">
        <v>293.70999999999998</v>
      </c>
      <c r="F2401">
        <v>-0.01</v>
      </c>
    </row>
    <row r="2402" spans="1:6" x14ac:dyDescent="0.3">
      <c r="A2402" t="str">
        <f>HYPERLINK("https://us2.cloudbeds.com/connect/10074733072513#/reservations/30662474322132?display=YQFB9HQ8E&amp;reservation_id=30662474322132", "YQFB9HQ8E")</f>
        <v>YQFB9HQ8E</v>
      </c>
      <c r="B2402" t="s">
        <v>418</v>
      </c>
      <c r="C2402">
        <v>87.2</v>
      </c>
      <c r="D2402">
        <v>94.78</v>
      </c>
      <c r="E2402">
        <v>94.79</v>
      </c>
      <c r="F2402">
        <v>-0.01</v>
      </c>
    </row>
    <row r="2403" spans="1:6" x14ac:dyDescent="0.3">
      <c r="A2403" t="str">
        <f>HYPERLINK("https://us2.cloudbeds.com/connect/10074733072513#/reservations/30662179102947?display=YQF3ZJT8H&amp;reservation_id=30662179102947", "YQF3ZJT8H")</f>
        <v>YQF3ZJT8H</v>
      </c>
      <c r="B2403" t="s">
        <v>435</v>
      </c>
      <c r="C2403">
        <v>87.2</v>
      </c>
      <c r="D2403">
        <v>94.78</v>
      </c>
      <c r="E2403">
        <v>94.79</v>
      </c>
      <c r="F2403">
        <v>-0.01</v>
      </c>
    </row>
    <row r="2404" spans="1:6" x14ac:dyDescent="0.3">
      <c r="A2404" t="str">
        <f>HYPERLINK("https://us2.cloudbeds.com/connect/10074733072513#/reservations/30662488445062?display=YQFBYEPW0&amp;reservation_id=30662488445062", "YQFBYEPW0")</f>
        <v>YQFBYEPW0</v>
      </c>
      <c r="B2404" t="s">
        <v>418</v>
      </c>
      <c r="C2404">
        <v>87.2</v>
      </c>
      <c r="D2404">
        <v>94.78</v>
      </c>
      <c r="E2404">
        <v>94.79</v>
      </c>
      <c r="F2404">
        <v>-0.01</v>
      </c>
    </row>
    <row r="2405" spans="1:6" x14ac:dyDescent="0.3">
      <c r="A2405" t="str">
        <f>HYPERLINK("https://us2.cloudbeds.com/connect/10074733072513#/reservations/30662480343217?display=YQFBEKB8X&amp;reservation_id=30662480343217", "YQFBEKB8X")</f>
        <v>YQFBEKB8X</v>
      </c>
      <c r="B2405" t="s">
        <v>418</v>
      </c>
      <c r="C2405">
        <v>87.2</v>
      </c>
      <c r="D2405">
        <v>94.78</v>
      </c>
      <c r="E2405">
        <v>94.79</v>
      </c>
      <c r="F2405">
        <v>-0.01</v>
      </c>
    </row>
    <row r="2406" spans="1:6" x14ac:dyDescent="0.3">
      <c r="A2406" t="str">
        <f>HYPERLINK("https://us2.cloudbeds.com/connect/10074733072513#/reservations/30662444265674?display=YQFAH6E6M&amp;reservation_id=30662444265674", "YQFAH6E6M")</f>
        <v>YQFAH6E6M</v>
      </c>
      <c r="B2406" t="s">
        <v>418</v>
      </c>
      <c r="C2406">
        <v>196.2</v>
      </c>
      <c r="D2406">
        <v>213.26</v>
      </c>
      <c r="E2406">
        <v>213.27</v>
      </c>
      <c r="F2406">
        <v>-0.01</v>
      </c>
    </row>
    <row r="2407" spans="1:6" x14ac:dyDescent="0.3">
      <c r="A2407" t="str">
        <f>HYPERLINK("https://us2.cloudbeds.com/connect/10074733072513#/reservations/30662211121392?display=YQF4XJRVE&amp;reservation_id=30662211121392", "YQF4XJRVE")</f>
        <v>YQF4XJRVE</v>
      </c>
      <c r="B2407" t="s">
        <v>214</v>
      </c>
      <c r="C2407">
        <v>118.15</v>
      </c>
      <c r="D2407">
        <v>128.41999999999999</v>
      </c>
      <c r="E2407">
        <v>128.43</v>
      </c>
      <c r="F2407">
        <v>-0.01</v>
      </c>
    </row>
    <row r="2408" spans="1:6" x14ac:dyDescent="0.3">
      <c r="A2408" t="str">
        <f>HYPERLINK("https://us2.cloudbeds.com/connect/10074733072513#/reservations/30660580253909?display=YQDSTDXAM&amp;reservation_id=30660580253909", "YQDSTDXAM")</f>
        <v>YQDSTDXAM</v>
      </c>
      <c r="B2408" t="s">
        <v>391</v>
      </c>
      <c r="C2408">
        <v>264</v>
      </c>
      <c r="D2408">
        <v>286.95999999999998</v>
      </c>
      <c r="E2408">
        <v>286.97000000000003</v>
      </c>
      <c r="F2408">
        <v>-0.01</v>
      </c>
    </row>
    <row r="2409" spans="1:6" x14ac:dyDescent="0.3">
      <c r="A2409" t="str">
        <f>HYPERLINK("https://us2.cloudbeds.com/connect/10074733072513#/reservations/30661865087177?display=YQESNQUS4&amp;reservation_id=30661865087177", "YQESNQUS4")</f>
        <v>YQESNQUS4</v>
      </c>
      <c r="B2409" t="s">
        <v>436</v>
      </c>
      <c r="C2409">
        <v>103.2</v>
      </c>
      <c r="D2409">
        <v>112.17</v>
      </c>
      <c r="E2409">
        <v>112.18</v>
      </c>
      <c r="F2409">
        <v>-0.01</v>
      </c>
    </row>
    <row r="2410" spans="1:6" x14ac:dyDescent="0.3">
      <c r="A2410" t="str">
        <f>HYPERLINK("https://us2.cloudbeds.com/connect/10074733072513#/reservations/30661851660437?display=YQESCGAE7&amp;reservation_id=30661851660437", "YQESCGAE7")</f>
        <v>YQESCGAE7</v>
      </c>
      <c r="B2410" t="s">
        <v>436</v>
      </c>
      <c r="C2410">
        <v>103.2</v>
      </c>
      <c r="D2410">
        <v>112.17</v>
      </c>
      <c r="E2410">
        <v>112.18</v>
      </c>
      <c r="F2410">
        <v>-0.01</v>
      </c>
    </row>
    <row r="2411" spans="1:6" x14ac:dyDescent="0.3">
      <c r="A2411" t="str">
        <f>HYPERLINK("https://us2.cloudbeds.com/connect/10074733072513#/reservations/30663120289951?display=YQFRQ7QFR&amp;reservation_id=30663120289951", "YQFRQ7QFR")</f>
        <v>YQFRQ7QFR</v>
      </c>
      <c r="B2411" t="s">
        <v>413</v>
      </c>
      <c r="C2411">
        <v>294.3</v>
      </c>
      <c r="D2411">
        <v>319.89</v>
      </c>
      <c r="E2411">
        <v>319.89999999999998</v>
      </c>
      <c r="F2411">
        <v>-0.01</v>
      </c>
    </row>
    <row r="2412" spans="1:6" x14ac:dyDescent="0.3">
      <c r="A2412" t="str">
        <f>HYPERLINK("https://us2.cloudbeds.com/connect/10074733072513#/reservations/30660556484815?display=YQDS9C4Q3&amp;reservation_id=30660556484815", "YQDS9C4Q3")</f>
        <v>YQDS9C4Q3</v>
      </c>
      <c r="B2412" t="s">
        <v>391</v>
      </c>
      <c r="C2412">
        <v>90.07</v>
      </c>
      <c r="D2412">
        <v>97.9</v>
      </c>
      <c r="E2412">
        <v>97.91</v>
      </c>
      <c r="F2412">
        <v>-0.01</v>
      </c>
    </row>
    <row r="2413" spans="1:6" x14ac:dyDescent="0.3">
      <c r="A2413" t="str">
        <f>HYPERLINK("https://us2.cloudbeds.com/connect/10074733072513#/reservations/30662027120806?display=YQEWSEP22&amp;reservation_id=30662027120806", "YQEWSEP22")</f>
        <v>YQEWSEP22</v>
      </c>
      <c r="B2413" t="s">
        <v>391</v>
      </c>
      <c r="C2413">
        <v>90.07</v>
      </c>
      <c r="D2413">
        <v>97.9</v>
      </c>
      <c r="E2413">
        <v>97.91</v>
      </c>
      <c r="F2413">
        <v>-0.01</v>
      </c>
    </row>
    <row r="2414" spans="1:6" x14ac:dyDescent="0.3">
      <c r="A2414" t="str">
        <f>HYPERLINK("https://us2.cloudbeds.com/connect/10074733072513#/reservations/30660569465067?display=YQDSKAB72&amp;reservation_id=30660569465067", "YQDSKAB72")</f>
        <v>YQDSKAB72</v>
      </c>
      <c r="B2414" t="s">
        <v>391</v>
      </c>
      <c r="C2414">
        <v>90.07</v>
      </c>
      <c r="D2414">
        <v>97.9</v>
      </c>
      <c r="E2414">
        <v>97.91</v>
      </c>
      <c r="F2414">
        <v>-0.01</v>
      </c>
    </row>
    <row r="2415" spans="1:6" x14ac:dyDescent="0.3">
      <c r="A2415" t="str">
        <f>HYPERLINK("https://us2.cloudbeds.com/connect/10074733072513#/reservations/30662951895258?display=YQFNG7W2B&amp;reservation_id=30662951895258", "YQFNG7W2B")</f>
        <v>YQFNG7W2B</v>
      </c>
      <c r="B2415" t="s">
        <v>413</v>
      </c>
      <c r="C2415">
        <v>250.2</v>
      </c>
      <c r="D2415">
        <v>271.95999999999998</v>
      </c>
      <c r="E2415">
        <v>271.97000000000003</v>
      </c>
      <c r="F2415">
        <v>-0.01</v>
      </c>
    </row>
    <row r="2416" spans="1:6" x14ac:dyDescent="0.3">
      <c r="A2416" t="str">
        <f>HYPERLINK("https://us2.cloudbeds.com/connect/10074733072513#/reservations/30660953735348?display=YQE5EB7G1&amp;reservation_id=30660953735348", "YQE5EB7G1")</f>
        <v>YQE5EB7G1</v>
      </c>
      <c r="B2416" t="s">
        <v>437</v>
      </c>
      <c r="C2416">
        <v>250.2</v>
      </c>
      <c r="D2416">
        <v>271.95999999999998</v>
      </c>
      <c r="E2416">
        <v>271.97000000000003</v>
      </c>
      <c r="F2416">
        <v>-0.01</v>
      </c>
    </row>
    <row r="2417" spans="1:6" x14ac:dyDescent="0.3">
      <c r="A2417" t="str">
        <f>HYPERLINK("https://us2.cloudbeds.com/connect/10074733072513#/reservations/30661866967218?display=YQESPD882&amp;reservation_id=30661866967218", "YQESPD882")</f>
        <v>YQESPD882</v>
      </c>
      <c r="B2417" t="s">
        <v>438</v>
      </c>
      <c r="C2417">
        <v>64.150000000000006</v>
      </c>
      <c r="D2417">
        <v>69.72</v>
      </c>
      <c r="E2417">
        <v>69.73</v>
      </c>
      <c r="F2417">
        <v>-0.01</v>
      </c>
    </row>
    <row r="2418" spans="1:6" x14ac:dyDescent="0.3">
      <c r="A2418" t="str">
        <f>HYPERLINK("https://us2.cloudbeds.com/connect/10074733072513#/reservations/30661454835923?display=YQEX7T2UV&amp;reservation_id=30661454835923", "YQEX7T2UV")</f>
        <v>YQEX7T2UV</v>
      </c>
      <c r="B2418" t="s">
        <v>439</v>
      </c>
      <c r="C2418">
        <v>64.150000000000006</v>
      </c>
      <c r="D2418">
        <v>69.72</v>
      </c>
      <c r="E2418">
        <v>69.73</v>
      </c>
      <c r="F2418">
        <v>-0.01</v>
      </c>
    </row>
    <row r="2419" spans="1:6" x14ac:dyDescent="0.3">
      <c r="A2419" t="str">
        <f>HYPERLINK("https://us2.cloudbeds.com/connect/10074733072513#/reservations/30661872095432?display=YQESTNVBG&amp;reservation_id=30661872095432", "YQESTNVBG")</f>
        <v>YQESTNVBG</v>
      </c>
      <c r="B2419" t="s">
        <v>438</v>
      </c>
      <c r="C2419">
        <v>64.150000000000006</v>
      </c>
      <c r="D2419">
        <v>69.72</v>
      </c>
      <c r="E2419">
        <v>69.73</v>
      </c>
      <c r="F2419">
        <v>-0.01</v>
      </c>
    </row>
    <row r="2420" spans="1:6" x14ac:dyDescent="0.3">
      <c r="A2420" t="str">
        <f>HYPERLINK("https://us2.cloudbeds.com/connect/10074733072513#/reservations/30661773840589?display=YQEQCSSH0&amp;reservation_id=30661773840589", "YQEQCSSH0")</f>
        <v>YQEQCSSH0</v>
      </c>
      <c r="B2420" t="s">
        <v>440</v>
      </c>
      <c r="C2420">
        <v>64.150000000000006</v>
      </c>
      <c r="D2420">
        <v>69.72</v>
      </c>
      <c r="E2420">
        <v>69.73</v>
      </c>
      <c r="F2420">
        <v>-0.01</v>
      </c>
    </row>
    <row r="2421" spans="1:6" x14ac:dyDescent="0.3">
      <c r="A2421" t="str">
        <f>HYPERLINK("https://us2.cloudbeds.com/connect/10074733072513#/reservations/30661761003676?display=YQEQ21YNY&amp;reservation_id=30661761003676", "YQEQ21YNY")</f>
        <v>YQEQ21YNY</v>
      </c>
      <c r="B2421" t="s">
        <v>440</v>
      </c>
      <c r="C2421">
        <v>64.150000000000006</v>
      </c>
      <c r="D2421">
        <v>69.72</v>
      </c>
      <c r="E2421">
        <v>69.73</v>
      </c>
      <c r="F2421">
        <v>-0.01</v>
      </c>
    </row>
    <row r="2422" spans="1:6" x14ac:dyDescent="0.3">
      <c r="A2422" t="str">
        <f>HYPERLINK("https://us2.cloudbeds.com/connect/10074733072513#/reservations/30661435613326?display=YQEHZM6B0&amp;reservation_id=30661435613326", "YQEHZM6B0")</f>
        <v>YQEHZM6B0</v>
      </c>
      <c r="B2422" t="s">
        <v>433</v>
      </c>
      <c r="C2422">
        <v>182.4</v>
      </c>
      <c r="D2422">
        <v>198.26</v>
      </c>
      <c r="E2422">
        <v>198.27</v>
      </c>
      <c r="F2422">
        <v>-0.01</v>
      </c>
    </row>
    <row r="2423" spans="1:6" x14ac:dyDescent="0.3">
      <c r="A2423" t="str">
        <f>HYPERLINK("https://us2.cloudbeds.com/connect/10074733072513#/reservations/30662336303319?display=YQF7P5775&amp;reservation_id=30662336303319", "YQF7P5775")</f>
        <v>YQF7P5775</v>
      </c>
      <c r="B2423" t="s">
        <v>441</v>
      </c>
      <c r="C2423">
        <v>174.4</v>
      </c>
      <c r="D2423">
        <v>189.56</v>
      </c>
      <c r="E2423">
        <v>189.57</v>
      </c>
      <c r="F2423">
        <v>-0.01</v>
      </c>
    </row>
    <row r="2424" spans="1:6" x14ac:dyDescent="0.3">
      <c r="A2424" t="str">
        <f>HYPERLINK("https://us2.cloudbeds.com/connect/10074733072513#/reservations/30661206241416?display=YQEBT8J52&amp;reservation_id=30661206241416", "YQEBT8J52")</f>
        <v>YQEBT8J52</v>
      </c>
      <c r="B2424" t="s">
        <v>422</v>
      </c>
      <c r="C2424">
        <v>90.07</v>
      </c>
      <c r="D2424">
        <v>97.9</v>
      </c>
      <c r="E2424">
        <v>97.91</v>
      </c>
      <c r="F2424">
        <v>-0.01</v>
      </c>
    </row>
    <row r="2425" spans="1:6" x14ac:dyDescent="0.3">
      <c r="A2425" t="str">
        <f>HYPERLINK("https://us2.cloudbeds.com/connect/10074733072513#/reservations/30662951899353?display=YQFNG82RE&amp;reservation_id=30662951899353", "YQFNG82RE")</f>
        <v>YQFNG82RE</v>
      </c>
      <c r="B2425" t="s">
        <v>442</v>
      </c>
      <c r="C2425">
        <v>134.1</v>
      </c>
      <c r="D2425">
        <v>145.76</v>
      </c>
      <c r="E2425">
        <v>145.77000000000001</v>
      </c>
      <c r="F2425">
        <v>-0.01</v>
      </c>
    </row>
    <row r="2426" spans="1:6" x14ac:dyDescent="0.3">
      <c r="A2426" t="str">
        <f>HYPERLINK("https://us2.cloudbeds.com/connect/10074733072513#/reservations/30662926237906?display=YQFMRK0JR&amp;reservation_id=30662926237906", "YQFMRK0JR")</f>
        <v>YQFMRK0JR</v>
      </c>
      <c r="B2426" t="s">
        <v>442</v>
      </c>
      <c r="C2426">
        <v>134.1</v>
      </c>
      <c r="D2426">
        <v>145.76</v>
      </c>
      <c r="E2426">
        <v>145.77000000000001</v>
      </c>
      <c r="F2426">
        <v>-0.01</v>
      </c>
    </row>
    <row r="2427" spans="1:6" x14ac:dyDescent="0.3">
      <c r="A2427" t="str">
        <f>HYPERLINK("https://us2.cloudbeds.com/connect/10074733072513#/reservations/30662302990541?display=YQF6U27W0&amp;reservation_id=30662302990541", "YQF6U27W0")</f>
        <v>YQF6U27W0</v>
      </c>
      <c r="B2427" t="s">
        <v>427</v>
      </c>
      <c r="C2427">
        <v>103.2</v>
      </c>
      <c r="D2427">
        <v>112.17</v>
      </c>
      <c r="E2427">
        <v>112.18</v>
      </c>
      <c r="F2427">
        <v>-0.01</v>
      </c>
    </row>
    <row r="2428" spans="1:6" x14ac:dyDescent="0.3">
      <c r="A2428" t="str">
        <f>HYPERLINK("https://us2.cloudbeds.com/connect/10074733072513#/reservations/30660928987279?display=YQE4QFXWX&amp;reservation_id=30660928987279", "YQE4QFXWX")</f>
        <v>YQE4QFXWX</v>
      </c>
      <c r="B2428" t="s">
        <v>443</v>
      </c>
      <c r="C2428">
        <v>64.150000000000006</v>
      </c>
      <c r="D2428">
        <v>69.72</v>
      </c>
      <c r="E2428">
        <v>69.73</v>
      </c>
      <c r="F2428">
        <v>-0.01</v>
      </c>
    </row>
    <row r="2429" spans="1:6" x14ac:dyDescent="0.3">
      <c r="A2429" t="str">
        <f>HYPERLINK("https://us2.cloudbeds.com/connect/10074733072513#/reservations/30663279870146?display=YQFVSQBPA&amp;reservation_id=30663279870146", "YQFVSQBPA")</f>
        <v>YQFVSQBPA</v>
      </c>
      <c r="B2429" t="s">
        <v>444</v>
      </c>
      <c r="C2429">
        <v>500.4</v>
      </c>
      <c r="D2429">
        <v>543.91999999999996</v>
      </c>
      <c r="E2429">
        <v>543.92999999999995</v>
      </c>
      <c r="F2429">
        <v>-0.01</v>
      </c>
    </row>
    <row r="2430" spans="1:6" x14ac:dyDescent="0.3">
      <c r="A2430" t="str">
        <f>HYPERLINK("https://us2.cloudbeds.com/connect/10074733072513#/reservations/30663459463346?display=YQG3F7QE8&amp;reservation_id=30663459463346", "YQG3F7QE8")</f>
        <v>YQG3F7QE8</v>
      </c>
      <c r="B2430" t="s">
        <v>445</v>
      </c>
      <c r="C2430">
        <v>356.4</v>
      </c>
      <c r="D2430">
        <v>387.4</v>
      </c>
      <c r="E2430">
        <v>387.41</v>
      </c>
      <c r="F2430">
        <v>-0.01</v>
      </c>
    </row>
    <row r="2431" spans="1:6" x14ac:dyDescent="0.3">
      <c r="A2431" t="str">
        <f>HYPERLINK("https://us2.cloudbeds.com/connect/10074733072513#/reservations/30660936773836?display=YQE50185R&amp;reservation_id=30660936773836", "YQE50185R")</f>
        <v>YQE50185R</v>
      </c>
      <c r="B2431" t="s">
        <v>443</v>
      </c>
      <c r="C2431">
        <v>64.150000000000006</v>
      </c>
      <c r="D2431">
        <v>69.72</v>
      </c>
      <c r="E2431">
        <v>69.73</v>
      </c>
      <c r="F2431">
        <v>-0.01</v>
      </c>
    </row>
    <row r="2432" spans="1:6" x14ac:dyDescent="0.3">
      <c r="A2432" t="str">
        <f>HYPERLINK("https://us2.cloudbeds.com/connect/10074733072513#/reservations/30661468491971?display=YQEXJD2UJ&amp;reservation_id=30661468491971", "YQEXJD2UJ")</f>
        <v>YQEXJD2UJ</v>
      </c>
      <c r="B2432" t="s">
        <v>439</v>
      </c>
      <c r="C2432">
        <v>64.150000000000006</v>
      </c>
      <c r="D2432">
        <v>69.72</v>
      </c>
      <c r="E2432">
        <v>69.73</v>
      </c>
      <c r="F2432">
        <v>-0.01</v>
      </c>
    </row>
    <row r="2433" spans="1:6" x14ac:dyDescent="0.3">
      <c r="A2433" t="str">
        <f>HYPERLINK("https://us2.cloudbeds.com/connect/10074733072513#/reservations/30663221833950?display=YQFUCSDYN&amp;reservation_id=30663221833950", "YQFUCSDYN")</f>
        <v>YQFUCSDYN</v>
      </c>
      <c r="B2433" t="s">
        <v>448</v>
      </c>
      <c r="C2433">
        <v>64.150000000000006</v>
      </c>
      <c r="D2433">
        <v>69.72</v>
      </c>
      <c r="E2433">
        <v>69.73</v>
      </c>
      <c r="F2433">
        <v>-0.01</v>
      </c>
    </row>
    <row r="2434" spans="1:6" x14ac:dyDescent="0.3">
      <c r="A2434" t="str">
        <f>HYPERLINK("https://us2.cloudbeds.com/connect/10074733072513#/reservations/30663213613254?display=YQFU5UYQN&amp;reservation_id=30663213613254", "YQFU5UYQN")</f>
        <v>YQFU5UYQN</v>
      </c>
      <c r="B2434" t="s">
        <v>448</v>
      </c>
      <c r="C2434">
        <v>64.150000000000006</v>
      </c>
      <c r="D2434">
        <v>69.72</v>
      </c>
      <c r="E2434">
        <v>69.73</v>
      </c>
      <c r="F2434">
        <v>-0.01</v>
      </c>
    </row>
    <row r="2435" spans="1:6" x14ac:dyDescent="0.3">
      <c r="A2435" t="str">
        <f>HYPERLINK("https://us2.cloudbeds.com/connect/10074733072513#/reservations/30660636627132?display=YQDUAV7C4&amp;reservation_id=30660636627132", "YQDUAV7C4")</f>
        <v>YQDUAV7C4</v>
      </c>
      <c r="B2435" t="s">
        <v>439</v>
      </c>
      <c r="C2435">
        <v>64.150000000000006</v>
      </c>
      <c r="D2435">
        <v>69.72</v>
      </c>
      <c r="E2435">
        <v>69.73</v>
      </c>
      <c r="F2435">
        <v>-0.01</v>
      </c>
    </row>
    <row r="2436" spans="1:6" x14ac:dyDescent="0.3">
      <c r="A2436" t="str">
        <f>HYPERLINK("https://us2.cloudbeds.com/connect/10074733072513#/reservations/30661479670000?display=YQEXSR4DN&amp;reservation_id=30661479670000", "YQEXSR4DN")</f>
        <v>YQEXSR4DN</v>
      </c>
      <c r="B2436" t="s">
        <v>439</v>
      </c>
      <c r="C2436">
        <v>64.150000000000006</v>
      </c>
      <c r="D2436">
        <v>69.72</v>
      </c>
      <c r="E2436">
        <v>69.73</v>
      </c>
      <c r="F2436">
        <v>-0.01</v>
      </c>
    </row>
    <row r="2437" spans="1:6" x14ac:dyDescent="0.3">
      <c r="A2437" t="str">
        <f>HYPERLINK("https://us2.cloudbeds.com/connect/10074733072513#/reservations/30661472673945?display=YQEXMUF42&amp;reservation_id=30661472673945", "YQEXMUF42")</f>
        <v>YQEXMUF42</v>
      </c>
      <c r="B2437" t="s">
        <v>439</v>
      </c>
      <c r="C2437">
        <v>64.150000000000006</v>
      </c>
      <c r="D2437">
        <v>69.72</v>
      </c>
      <c r="E2437">
        <v>69.73</v>
      </c>
      <c r="F2437">
        <v>-0.01</v>
      </c>
    </row>
    <row r="2438" spans="1:6" x14ac:dyDescent="0.3">
      <c r="A2438" t="str">
        <f>HYPERLINK("https://us2.cloudbeds.com/connect/10074733072513#/reservations/30663278358677?display=YQFVRH9R7&amp;reservation_id=30663278358677", "YQFVRH9R7")</f>
        <v>YQFVRH9R7</v>
      </c>
      <c r="B2438" t="s">
        <v>439</v>
      </c>
      <c r="C2438">
        <v>64.150000000000006</v>
      </c>
      <c r="D2438">
        <v>69.72</v>
      </c>
      <c r="E2438">
        <v>69.73</v>
      </c>
      <c r="F2438">
        <v>-0.01</v>
      </c>
    </row>
    <row r="2439" spans="1:6" x14ac:dyDescent="0.3">
      <c r="A2439" t="str">
        <f>HYPERLINK("https://us2.cloudbeds.com/connect/10074733072513#/reservations/30663243596028?display=YQFUV6W6K&amp;reservation_id=30663243596028", "YQFUV6W6K")</f>
        <v>YQFUV6W6K</v>
      </c>
      <c r="B2439" t="s">
        <v>448</v>
      </c>
      <c r="C2439">
        <v>64.150000000000006</v>
      </c>
      <c r="D2439">
        <v>69.72</v>
      </c>
      <c r="E2439">
        <v>69.73</v>
      </c>
      <c r="F2439">
        <v>-0.01</v>
      </c>
    </row>
    <row r="2440" spans="1:6" x14ac:dyDescent="0.3">
      <c r="A2440" t="str">
        <f>HYPERLINK("https://us2.cloudbeds.com/connect/10074733072513#/reservations/30663221829855?display=YQFUCS9TK&amp;reservation_id=30663221829855", "YQFUCS9TK")</f>
        <v>YQFUCS9TK</v>
      </c>
      <c r="B2440" t="s">
        <v>445</v>
      </c>
      <c r="C2440">
        <v>64.150000000000006</v>
      </c>
      <c r="D2440">
        <v>69.72</v>
      </c>
      <c r="E2440">
        <v>69.73</v>
      </c>
      <c r="F2440">
        <v>-0.01</v>
      </c>
    </row>
    <row r="2441" spans="1:6" x14ac:dyDescent="0.3">
      <c r="A2441" t="str">
        <f>HYPERLINK("https://us2.cloudbeds.com/connect/10074733072513#/reservations/30661497524417?display=YQEJASVYM&amp;reservation_id=30661497524417", "YQEJASVYM")</f>
        <v>YQEJASVYM</v>
      </c>
      <c r="B2441" t="s">
        <v>439</v>
      </c>
      <c r="C2441">
        <v>64.150000000000006</v>
      </c>
      <c r="D2441">
        <v>69.72</v>
      </c>
      <c r="E2441">
        <v>69.73</v>
      </c>
      <c r="F2441">
        <v>-0.01</v>
      </c>
    </row>
    <row r="2442" spans="1:6" x14ac:dyDescent="0.3">
      <c r="A2442" t="str">
        <f>HYPERLINK("https://us2.cloudbeds.com/connect/10074733072513#/reservations/30661499502812?display=YQEJCX0C1&amp;reservation_id=30661499502812", "YQEJCX0C1")</f>
        <v>YQEJCX0C1</v>
      </c>
      <c r="B2442" t="s">
        <v>439</v>
      </c>
      <c r="C2442">
        <v>64.150000000000006</v>
      </c>
      <c r="D2442">
        <v>69.72</v>
      </c>
      <c r="E2442">
        <v>69.73</v>
      </c>
      <c r="F2442">
        <v>-0.01</v>
      </c>
    </row>
    <row r="2443" spans="1:6" x14ac:dyDescent="0.3">
      <c r="A2443" t="str">
        <f>HYPERLINK("https://us2.cloudbeds.com/connect/10074733072513#/reservations/30663232385227?display=YQFUYP0KC&amp;reservation_id=30663232385227", "YQFUYP0KC")</f>
        <v>YQFUYP0KC</v>
      </c>
      <c r="B2443" t="s">
        <v>445</v>
      </c>
      <c r="C2443">
        <v>64.150000000000006</v>
      </c>
      <c r="D2443">
        <v>69.72</v>
      </c>
      <c r="E2443">
        <v>69.73</v>
      </c>
      <c r="F2443">
        <v>-0.01</v>
      </c>
    </row>
    <row r="2444" spans="1:6" x14ac:dyDescent="0.3">
      <c r="A2444" t="str">
        <f>HYPERLINK("https://us2.cloudbeds.com/connect/10074733072513#/reservations/30663229460661?display=YQFUJ9Y25&amp;reservation_id=30663229460661", "YQFUJ9Y25")</f>
        <v>YQFUJ9Y25</v>
      </c>
      <c r="B2444" t="s">
        <v>445</v>
      </c>
      <c r="C2444">
        <v>64.150000000000006</v>
      </c>
      <c r="D2444">
        <v>69.72</v>
      </c>
      <c r="E2444">
        <v>69.73</v>
      </c>
      <c r="F2444">
        <v>-0.01</v>
      </c>
    </row>
    <row r="2445" spans="1:6" x14ac:dyDescent="0.3">
      <c r="A2445" t="str">
        <f>HYPERLINK("https://us2.cloudbeds.com/connect/10074733072513#/reservations/30662329090263?display=YQF7J2GYN&amp;reservation_id=30662329090263", "YQF7J2GYN")</f>
        <v>YQF7J2GYN</v>
      </c>
      <c r="B2445" t="s">
        <v>427</v>
      </c>
      <c r="C2445">
        <v>64.150000000000006</v>
      </c>
      <c r="D2445">
        <v>69.72</v>
      </c>
      <c r="E2445">
        <v>69.73</v>
      </c>
      <c r="F2445">
        <v>-0.01</v>
      </c>
    </row>
    <row r="2446" spans="1:6" x14ac:dyDescent="0.3">
      <c r="A2446" t="str">
        <f>HYPERLINK("https://us2.cloudbeds.com/connect/10074733072513#/reservations/30662319419546?display=YQF7AUD9M&amp;reservation_id=30662319419546", "YQF7AUD9M")</f>
        <v>YQF7AUD9M</v>
      </c>
      <c r="B2446" t="s">
        <v>427</v>
      </c>
      <c r="C2446">
        <v>64.150000000000006</v>
      </c>
      <c r="D2446">
        <v>69.72</v>
      </c>
      <c r="E2446">
        <v>69.73</v>
      </c>
      <c r="F2446">
        <v>-0.01</v>
      </c>
    </row>
    <row r="2447" spans="1:6" x14ac:dyDescent="0.3">
      <c r="A2447" t="str">
        <f>HYPERLINK("https://us2.cloudbeds.com/connect/10074733072513#/reservations/30663253143794?display=YQFV68YYS&amp;reservation_id=30663253143794", "YQFV68YYS")</f>
        <v>YQFV68YYS</v>
      </c>
      <c r="B2447" t="s">
        <v>445</v>
      </c>
      <c r="C2447">
        <v>64.150000000000006</v>
      </c>
      <c r="D2447">
        <v>69.72</v>
      </c>
      <c r="E2447">
        <v>69.73</v>
      </c>
      <c r="F2447">
        <v>-0.01</v>
      </c>
    </row>
    <row r="2448" spans="1:6" x14ac:dyDescent="0.3">
      <c r="A2448" t="str">
        <f>HYPERLINK("https://us2.cloudbeds.com/connect/10074733072513#/reservations/30663264551146?display=YQFVFT2Z6&amp;reservation_id=30663264551146", "YQFVFT2Z6")</f>
        <v>YQFVFT2Z6</v>
      </c>
      <c r="B2448" t="s">
        <v>445</v>
      </c>
      <c r="C2448">
        <v>64.150000000000006</v>
      </c>
      <c r="D2448">
        <v>69.72</v>
      </c>
      <c r="E2448">
        <v>69.73</v>
      </c>
      <c r="F2448">
        <v>-0.01</v>
      </c>
    </row>
    <row r="2449" spans="1:6" x14ac:dyDescent="0.3">
      <c r="A2449" t="str">
        <f>HYPERLINK("https://us2.cloudbeds.com/connect/10074733072513#/reservations/30661234745564?display=YQECK9ZP4&amp;reservation_id=30661234745564", "YQECK9ZP4")</f>
        <v>YQECK9ZP4</v>
      </c>
      <c r="B2449" t="s">
        <v>446</v>
      </c>
      <c r="C2449">
        <v>363.2</v>
      </c>
      <c r="D2449">
        <v>394.79</v>
      </c>
      <c r="E2449">
        <v>394.8</v>
      </c>
      <c r="F2449">
        <v>-0.01</v>
      </c>
    </row>
    <row r="2450" spans="1:6" x14ac:dyDescent="0.3">
      <c r="A2450" t="str">
        <f>HYPERLINK("https://us2.cloudbeds.com/connect/10074733072513#/reservations/30661485850757?display=YQEJ1141D&amp;reservation_id=30661485850757", "YQEJ1141D")</f>
        <v>YQEJ1141D</v>
      </c>
      <c r="B2450" t="s">
        <v>450</v>
      </c>
      <c r="C2450">
        <v>90.07</v>
      </c>
      <c r="D2450">
        <v>97.9</v>
      </c>
      <c r="E2450">
        <v>97.91</v>
      </c>
      <c r="F2450">
        <v>-0.01</v>
      </c>
    </row>
    <row r="2451" spans="1:6" x14ac:dyDescent="0.3">
      <c r="A2451" t="str">
        <f>HYPERLINK("https://us2.cloudbeds.com/connect/10074733072513#/reservations/30662275170497?display=YQF66K3XD&amp;reservation_id=30662275170497", "YQF66K3XD")</f>
        <v>YQF66K3XD</v>
      </c>
      <c r="B2451" t="s">
        <v>427</v>
      </c>
      <c r="C2451">
        <v>64.150000000000006</v>
      </c>
      <c r="D2451">
        <v>69.72</v>
      </c>
      <c r="E2451">
        <v>69.73</v>
      </c>
      <c r="F2451">
        <v>-0.01</v>
      </c>
    </row>
    <row r="2452" spans="1:6" x14ac:dyDescent="0.3">
      <c r="A2452" t="str">
        <f>HYPERLINK("https://us2.cloudbeds.com/connect/10074733072513#/reservations/30663627632792?display=YQG7P1C1A&amp;reservation_id=30663627632792", "YQG7P1C1A")</f>
        <v>YQG7P1C1A</v>
      </c>
      <c r="B2452" t="s">
        <v>427</v>
      </c>
      <c r="C2452">
        <v>64.150000000000006</v>
      </c>
      <c r="D2452">
        <v>69.72</v>
      </c>
      <c r="E2452">
        <v>69.73</v>
      </c>
      <c r="F2452">
        <v>-0.01</v>
      </c>
    </row>
    <row r="2453" spans="1:6" x14ac:dyDescent="0.3">
      <c r="A2453" t="str">
        <f>HYPERLINK("https://us2.cloudbeds.com/connect/10074733072513#/reservations/30662428328136?display=YQFA3ZV5W&amp;reservation_id=30662428328136", "YQFA3ZV5W")</f>
        <v>YQFA3ZV5W</v>
      </c>
      <c r="B2453" t="s">
        <v>452</v>
      </c>
      <c r="C2453">
        <v>64.150000000000006</v>
      </c>
      <c r="D2453">
        <v>69.72</v>
      </c>
      <c r="E2453">
        <v>69.73</v>
      </c>
      <c r="F2453">
        <v>-0.01</v>
      </c>
    </row>
    <row r="2454" spans="1:6" x14ac:dyDescent="0.3">
      <c r="A2454" t="str">
        <f>HYPERLINK("https://us2.cloudbeds.com/connect/10074733072513#/reservations/30662338412786?display=YQF7QUU9D&amp;reservation_id=30662338412786", "YQF7QUU9D")</f>
        <v>YQF7QUU9D</v>
      </c>
      <c r="B2454" t="s">
        <v>427</v>
      </c>
      <c r="C2454">
        <v>64.150000000000006</v>
      </c>
      <c r="D2454">
        <v>69.72</v>
      </c>
      <c r="E2454">
        <v>69.73</v>
      </c>
      <c r="F2454">
        <v>-0.01</v>
      </c>
    </row>
    <row r="2455" spans="1:6" x14ac:dyDescent="0.3">
      <c r="A2455" t="str">
        <f>HYPERLINK("https://us2.cloudbeds.com/connect/10074733072513#/reservations/30662016200874?display=YQEWJ7TJ2&amp;reservation_id=30662016200874", "YQEWJ7TJ2")</f>
        <v>YQEWJ7TJ2</v>
      </c>
      <c r="B2455" t="s">
        <v>451</v>
      </c>
      <c r="C2455">
        <v>64.150000000000006</v>
      </c>
      <c r="D2455">
        <v>69.72</v>
      </c>
      <c r="E2455">
        <v>69.73</v>
      </c>
      <c r="F2455">
        <v>-0.01</v>
      </c>
    </row>
    <row r="2456" spans="1:6" x14ac:dyDescent="0.3">
      <c r="A2456" t="str">
        <f>HYPERLINK("https://us2.cloudbeds.com/connect/10074733072513#/reservations/30662406779053?display=YQF9XJA7F&amp;reservation_id=30662406779053", "YQF9XJA7F")</f>
        <v>YQF9XJA7F</v>
      </c>
      <c r="B2456" t="s">
        <v>453</v>
      </c>
      <c r="C2456">
        <v>1064</v>
      </c>
      <c r="D2456">
        <v>1156.56</v>
      </c>
      <c r="E2456">
        <v>1156.57</v>
      </c>
      <c r="F2456">
        <v>-0.01</v>
      </c>
    </row>
    <row r="2457" spans="1:6" x14ac:dyDescent="0.3">
      <c r="A2457" t="str">
        <f>HYPERLINK("https://us2.cloudbeds.com/connect/10074733072513#/reservations/30662383677683?display=YQF8W3FRV&amp;reservation_id=30662383677683", "YQF8W3FRV")</f>
        <v>YQF8W3FRV</v>
      </c>
      <c r="B2457" t="s">
        <v>446</v>
      </c>
      <c r="C2457">
        <v>84.15</v>
      </c>
      <c r="D2457">
        <v>91.46</v>
      </c>
      <c r="E2457">
        <v>91.47</v>
      </c>
      <c r="F2457">
        <v>-0.01</v>
      </c>
    </row>
    <row r="2458" spans="1:6" x14ac:dyDescent="0.3">
      <c r="A2458" t="str">
        <f>HYPERLINK("https://us2.cloudbeds.com/connect/10074733072513#/reservations/30661284106368?display=YQEDNSE3Y&amp;reservation_id=30661284106368", "YQEDNSE3Y")</f>
        <v>YQEDNSE3Y</v>
      </c>
      <c r="B2458" t="s">
        <v>446</v>
      </c>
      <c r="C2458">
        <v>64.150000000000006</v>
      </c>
      <c r="D2458">
        <v>69.72</v>
      </c>
      <c r="E2458">
        <v>69.73</v>
      </c>
      <c r="F2458">
        <v>-0.01</v>
      </c>
    </row>
    <row r="2459" spans="1:6" x14ac:dyDescent="0.3">
      <c r="A2459" t="str">
        <f>HYPERLINK("https://us2.cloudbeds.com/connect/10074733072513#/reservations/30661603172588?display=YQEM0VPJD&amp;reservation_id=30661603172588", "YQEM0VPJD")</f>
        <v>YQEM0VPJD</v>
      </c>
      <c r="B2459" t="s">
        <v>451</v>
      </c>
      <c r="C2459">
        <v>64.150000000000006</v>
      </c>
      <c r="D2459">
        <v>69.72</v>
      </c>
      <c r="E2459">
        <v>69.73</v>
      </c>
      <c r="F2459">
        <v>-0.01</v>
      </c>
    </row>
    <row r="2460" spans="1:6" x14ac:dyDescent="0.3">
      <c r="A2460" t="str">
        <f>HYPERLINK("https://us2.cloudbeds.com/connect/10074733072513#/reservations/30661609037953?display=YQEM5TWJZ&amp;reservation_id=30661609037953", "YQEM5TWJZ")</f>
        <v>YQEM5TWJZ</v>
      </c>
      <c r="B2460" t="s">
        <v>451</v>
      </c>
      <c r="C2460">
        <v>64.150000000000006</v>
      </c>
      <c r="D2460">
        <v>69.72</v>
      </c>
      <c r="E2460">
        <v>69.73</v>
      </c>
      <c r="F2460">
        <v>-0.01</v>
      </c>
    </row>
    <row r="2461" spans="1:6" x14ac:dyDescent="0.3">
      <c r="A2461" t="str">
        <f>HYPERLINK("https://us2.cloudbeds.com/connect/10074733072513#/reservations/30661595648143?display=YQEYRKD2U&amp;reservation_id=30661595648143", "YQEYRKD2U")</f>
        <v>YQEYRKD2U</v>
      </c>
      <c r="B2461" t="s">
        <v>451</v>
      </c>
      <c r="C2461">
        <v>64.150000000000006</v>
      </c>
      <c r="D2461">
        <v>69.72</v>
      </c>
      <c r="E2461">
        <v>69.73</v>
      </c>
      <c r="F2461">
        <v>-0.01</v>
      </c>
    </row>
    <row r="2462" spans="1:6" x14ac:dyDescent="0.3">
      <c r="A2462" t="str">
        <f>HYPERLINK("https://us2.cloudbeds.com/connect/10074733072513#/reservations/30663832465610?display=YQGCWP4KD&amp;reservation_id=30663832465610", "YQGCWP4KD")</f>
        <v>YQGCWP4KD</v>
      </c>
      <c r="B2462" t="s">
        <v>455</v>
      </c>
      <c r="C2462">
        <v>374.4</v>
      </c>
      <c r="D2462">
        <v>406.96</v>
      </c>
      <c r="E2462">
        <v>406.97</v>
      </c>
      <c r="F2462">
        <v>-0.01</v>
      </c>
    </row>
    <row r="2463" spans="1:6" x14ac:dyDescent="0.3">
      <c r="A2463" t="str">
        <f>HYPERLINK("https://us2.cloudbeds.com/connect/10074733072513#/reservations/30661287555224?display=YQEDVR8FS&amp;reservation_id=30661287555224", "YQEDVR8FS")</f>
        <v>YQEDVR8FS</v>
      </c>
      <c r="B2463" t="s">
        <v>446</v>
      </c>
      <c r="C2463">
        <v>64.150000000000006</v>
      </c>
      <c r="D2463">
        <v>69.72</v>
      </c>
      <c r="E2463">
        <v>69.73</v>
      </c>
      <c r="F2463">
        <v>-0.01</v>
      </c>
    </row>
    <row r="2464" spans="1:6" x14ac:dyDescent="0.3">
      <c r="A2464" t="str">
        <f>HYPERLINK("https://us2.cloudbeds.com/connect/10074733072513#/reservations/30661660360866?display=YQENG642G&amp;reservation_id=30661660360866", "YQENG642G")</f>
        <v>YQENG642G</v>
      </c>
      <c r="B2464" t="s">
        <v>454</v>
      </c>
      <c r="C2464">
        <v>64.150000000000006</v>
      </c>
      <c r="D2464">
        <v>69.72</v>
      </c>
      <c r="E2464">
        <v>69.73</v>
      </c>
      <c r="F2464">
        <v>-0.01</v>
      </c>
    </row>
    <row r="2465" spans="1:6" x14ac:dyDescent="0.3">
      <c r="A2465" t="str">
        <f>HYPERLINK("https://us2.cloudbeds.com/connect/10074733072513#/reservations/30661619937414?display=YQEMF399E&amp;reservation_id=30661619937414", "YQEMF399E")</f>
        <v>YQEMF399E</v>
      </c>
      <c r="B2465" t="s">
        <v>454</v>
      </c>
      <c r="C2465">
        <v>84.15</v>
      </c>
      <c r="D2465">
        <v>91.46</v>
      </c>
      <c r="E2465">
        <v>91.47</v>
      </c>
      <c r="F2465">
        <v>-0.01</v>
      </c>
    </row>
    <row r="2466" spans="1:6" x14ac:dyDescent="0.3">
      <c r="A2466" t="str">
        <f>HYPERLINK("https://us2.cloudbeds.com/connect/10074733072513#/reservations/30662588137630?display=YQFE6GT0U&amp;reservation_id=30662588137630", "YQFE6GT0U")</f>
        <v>YQFE6GT0U</v>
      </c>
      <c r="B2466" t="s">
        <v>430</v>
      </c>
      <c r="C2466">
        <v>103.2</v>
      </c>
      <c r="D2466">
        <v>112.17</v>
      </c>
      <c r="E2466">
        <v>112.18</v>
      </c>
      <c r="F2466">
        <v>-0.01</v>
      </c>
    </row>
    <row r="2467" spans="1:6" x14ac:dyDescent="0.3">
      <c r="A2467" t="str">
        <f>HYPERLINK("https://us2.cloudbeds.com/connect/10074733072513#/reservations/30662098624665?display=YQF1MZF5N&amp;reservation_id=30662098624665", "YQF1MZF5N")</f>
        <v>YQF1MZF5N</v>
      </c>
      <c r="B2467" t="s">
        <v>454</v>
      </c>
      <c r="C2467">
        <v>64.150000000000006</v>
      </c>
      <c r="D2467">
        <v>69.72</v>
      </c>
      <c r="E2467">
        <v>69.73</v>
      </c>
      <c r="F2467">
        <v>-0.01</v>
      </c>
    </row>
    <row r="2468" spans="1:6" x14ac:dyDescent="0.3">
      <c r="A2468" t="str">
        <f>HYPERLINK("https://us2.cloudbeds.com/connect/10074733072513#/reservations/30662112661654?display=YQF21J1W0&amp;reservation_id=30662112661654", "YQF21J1W0")</f>
        <v>YQF21J1W0</v>
      </c>
      <c r="B2468" t="s">
        <v>454</v>
      </c>
      <c r="C2468">
        <v>64.150000000000006</v>
      </c>
      <c r="D2468">
        <v>69.72</v>
      </c>
      <c r="E2468">
        <v>69.73</v>
      </c>
      <c r="F2468">
        <v>-0.01</v>
      </c>
    </row>
    <row r="2469" spans="1:6" x14ac:dyDescent="0.3">
      <c r="A2469" t="str">
        <f>HYPERLINK("https://us2.cloudbeds.com/connect/10074733072513#/reservations/30662373810312?display=YQF8NPTTN&amp;reservation_id=30662373810312", "YQF8NPTTN")</f>
        <v>YQF8NPTTN</v>
      </c>
      <c r="B2469" t="s">
        <v>453</v>
      </c>
      <c r="C2469">
        <v>64.150000000000006</v>
      </c>
      <c r="D2469">
        <v>69.72</v>
      </c>
      <c r="E2469">
        <v>69.73</v>
      </c>
      <c r="F2469">
        <v>-0.01</v>
      </c>
    </row>
    <row r="2470" spans="1:6" x14ac:dyDescent="0.3">
      <c r="A2470" t="str">
        <f>HYPERLINK("https://us2.cloudbeds.com/connect/10074733072513#/reservations/30662377975964?display=YQF8R9R3J&amp;reservation_id=30662377975964", "YQF8R9R3J")</f>
        <v>YQF8R9R3J</v>
      </c>
      <c r="B2470" t="s">
        <v>453</v>
      </c>
      <c r="C2470">
        <v>64.150000000000006</v>
      </c>
      <c r="D2470">
        <v>69.72</v>
      </c>
      <c r="E2470">
        <v>69.73</v>
      </c>
      <c r="F2470">
        <v>-0.01</v>
      </c>
    </row>
    <row r="2471" spans="1:6" x14ac:dyDescent="0.3">
      <c r="A2471" t="str">
        <f>HYPERLINK("https://us2.cloudbeds.com/connect/10074733072513#/reservations/30662500499598?display=YQFBVK7AW&amp;reservation_id=30662500499598", "YQFBVK7AW")</f>
        <v>YQFBVK7AW</v>
      </c>
      <c r="B2471" t="s">
        <v>447</v>
      </c>
      <c r="C2471">
        <v>340.84</v>
      </c>
      <c r="D2471">
        <v>370.48</v>
      </c>
      <c r="E2471">
        <v>370.49</v>
      </c>
      <c r="F2471">
        <v>-0.01</v>
      </c>
    </row>
    <row r="2472" spans="1:6" x14ac:dyDescent="0.3">
      <c r="A2472" t="str">
        <f>HYPERLINK("https://us2.cloudbeds.com/connect/10074733072513#/reservations/30661438456047?display=YQEHR29Z2&amp;reservation_id=30661438456047", "YQEHR29Z2")</f>
        <v>YQEHR29Z2</v>
      </c>
      <c r="B2472" t="s">
        <v>457</v>
      </c>
      <c r="C2472">
        <v>64.150000000000006</v>
      </c>
      <c r="D2472">
        <v>69.72</v>
      </c>
      <c r="E2472">
        <v>69.73</v>
      </c>
      <c r="F2472">
        <v>-0.01</v>
      </c>
    </row>
    <row r="2473" spans="1:6" x14ac:dyDescent="0.3">
      <c r="A2473" t="str">
        <f>HYPERLINK("https://us2.cloudbeds.com/connect/10074733072513#/reservations/30661400400087?display=YQEGRWAV5&amp;reservation_id=30661400400087", "YQEGRWAV5")</f>
        <v>YQEGRWAV5</v>
      </c>
      <c r="B2473" t="s">
        <v>458</v>
      </c>
      <c r="C2473">
        <v>64.150000000000006</v>
      </c>
      <c r="D2473">
        <v>69.72</v>
      </c>
      <c r="E2473">
        <v>69.73</v>
      </c>
      <c r="F2473">
        <v>-0.01</v>
      </c>
    </row>
    <row r="2474" spans="1:6" x14ac:dyDescent="0.3">
      <c r="A2474" t="str">
        <f>HYPERLINK("https://us2.cloudbeds.com/connect/10074733072513#/reservations/30661906882814?display=YQETQ1VMJ&amp;reservation_id=30661906882814", "YQETQ1VMJ")</f>
        <v>YQETQ1VMJ</v>
      </c>
      <c r="B2474" t="s">
        <v>459</v>
      </c>
      <c r="C2474">
        <v>64.150000000000006</v>
      </c>
      <c r="D2474">
        <v>69.72</v>
      </c>
      <c r="E2474">
        <v>69.73</v>
      </c>
      <c r="F2474">
        <v>-0.01</v>
      </c>
    </row>
    <row r="2475" spans="1:6" x14ac:dyDescent="0.3">
      <c r="A2475" t="str">
        <f>HYPERLINK("https://us2.cloudbeds.com/connect/10074733072513#/reservations/30662057058488?display=YQF0KMR1J&amp;reservation_id=30662057058488", "YQF0KMR1J")</f>
        <v>YQF0KMR1J</v>
      </c>
      <c r="B2475" t="s">
        <v>414</v>
      </c>
      <c r="C2475">
        <v>375.3</v>
      </c>
      <c r="D2475">
        <v>407.94</v>
      </c>
      <c r="E2475">
        <v>407.95</v>
      </c>
      <c r="F2475">
        <v>-0.01</v>
      </c>
    </row>
    <row r="2476" spans="1:6" x14ac:dyDescent="0.3">
      <c r="A2476" t="str">
        <f>HYPERLINK("https://us2.cloudbeds.com/connect/10074733072513#/reservations/30663940436107?display=YQGFZQJ2Y&amp;reservation_id=30663940436107", "YQGFZQJ2Y")</f>
        <v>YQGFZQJ2Y</v>
      </c>
      <c r="B2476" t="s">
        <v>461</v>
      </c>
      <c r="C2476">
        <v>87.2</v>
      </c>
      <c r="D2476">
        <v>94.78</v>
      </c>
      <c r="E2476">
        <v>94.79</v>
      </c>
      <c r="F2476">
        <v>-0.01</v>
      </c>
    </row>
    <row r="2477" spans="1:6" x14ac:dyDescent="0.3">
      <c r="A2477" t="str">
        <f>HYPERLINK("https://us2.cloudbeds.com/connect/10074733072513#/reservations/30661912383695?display=YQETUN0WV&amp;reservation_id=30661912383695", "YQETUN0WV")</f>
        <v>YQETUN0WV</v>
      </c>
      <c r="B2477" t="s">
        <v>459</v>
      </c>
      <c r="C2477">
        <v>64.150000000000006</v>
      </c>
      <c r="D2477">
        <v>69.72</v>
      </c>
      <c r="E2477">
        <v>69.73</v>
      </c>
      <c r="F2477">
        <v>-0.01</v>
      </c>
    </row>
    <row r="2478" spans="1:6" x14ac:dyDescent="0.3">
      <c r="A2478" t="str">
        <f>HYPERLINK("https://us2.cloudbeds.com/connect/10074733072513#/reservations/30661454840013?display=YQEX7T6MT&amp;reservation_id=30661454840013", "YQEX7T6MT")</f>
        <v>YQEX7T6MT</v>
      </c>
      <c r="B2478" t="s">
        <v>457</v>
      </c>
      <c r="C2478">
        <v>72.17</v>
      </c>
      <c r="D2478">
        <v>78.44</v>
      </c>
      <c r="E2478">
        <v>78.45</v>
      </c>
      <c r="F2478">
        <v>-0.01</v>
      </c>
    </row>
    <row r="2479" spans="1:6" x14ac:dyDescent="0.3">
      <c r="A2479" t="str">
        <f>HYPERLINK("https://us2.cloudbeds.com/connect/10074733072513#/reservations/30661928984778?display=YQEUBMWB2&amp;reservation_id=30661928984778", "YQEUBMWB2")</f>
        <v>YQEUBMWB2</v>
      </c>
      <c r="B2479" t="s">
        <v>459</v>
      </c>
      <c r="C2479">
        <v>64.150000000000006</v>
      </c>
      <c r="D2479">
        <v>69.72</v>
      </c>
      <c r="E2479">
        <v>69.73</v>
      </c>
      <c r="F2479">
        <v>-0.01</v>
      </c>
    </row>
    <row r="2480" spans="1:6" x14ac:dyDescent="0.3">
      <c r="A2480" t="str">
        <f>HYPERLINK("https://us2.cloudbeds.com/connect/10074733072513#/reservations/30661451608311?display=YQEX5593H&amp;reservation_id=30661451608311", "YQEX5593H")</f>
        <v>YQEX5593H</v>
      </c>
      <c r="B2480" t="s">
        <v>457</v>
      </c>
      <c r="C2480">
        <v>64.150000000000006</v>
      </c>
      <c r="D2480">
        <v>69.72</v>
      </c>
      <c r="E2480">
        <v>69.73</v>
      </c>
      <c r="F2480">
        <v>-0.01</v>
      </c>
    </row>
    <row r="2481" spans="1:6" x14ac:dyDescent="0.3">
      <c r="A2481" t="str">
        <f>HYPERLINK("https://us2.cloudbeds.com/connect/10074733072513#/reservations/30661917827226?display=YQEU29GYD&amp;reservation_id=30661917827226", "YQEU29GYD")</f>
        <v>YQEU29GYD</v>
      </c>
      <c r="B2481" t="s">
        <v>459</v>
      </c>
      <c r="C2481">
        <v>64.150000000000006</v>
      </c>
      <c r="D2481">
        <v>69.72</v>
      </c>
      <c r="E2481">
        <v>69.73</v>
      </c>
      <c r="F2481">
        <v>-0.01</v>
      </c>
    </row>
    <row r="2482" spans="1:6" x14ac:dyDescent="0.3">
      <c r="A2482" t="str">
        <f>HYPERLINK("https://us2.cloudbeds.com/connect/10074733072513#/reservations/30662082552002?display=YQF19672A&amp;reservation_id=30662082552002", "YQF19672A")</f>
        <v>YQF19672A</v>
      </c>
      <c r="B2482" t="s">
        <v>414</v>
      </c>
      <c r="C2482">
        <v>72.17</v>
      </c>
      <c r="D2482">
        <v>78.44</v>
      </c>
      <c r="E2482">
        <v>78.45</v>
      </c>
      <c r="F2482">
        <v>-0.01</v>
      </c>
    </row>
    <row r="2483" spans="1:6" x14ac:dyDescent="0.3">
      <c r="A2483" t="str">
        <f>HYPERLINK("https://us2.cloudbeds.com/connect/10074733072513#/reservations/30662085939361?display=YQF1C1FJX&amp;reservation_id=30662085939361", "YQF1C1FJX")</f>
        <v>YQF1C1FJX</v>
      </c>
      <c r="B2483" t="s">
        <v>414</v>
      </c>
      <c r="C2483">
        <v>64.150000000000006</v>
      </c>
      <c r="D2483">
        <v>69.72</v>
      </c>
      <c r="E2483">
        <v>69.73</v>
      </c>
      <c r="F2483">
        <v>-0.01</v>
      </c>
    </row>
    <row r="2484" spans="1:6" x14ac:dyDescent="0.3">
      <c r="A2484" t="str">
        <f>HYPERLINK("https://us2.cloudbeds.com/connect/10074733072513#/reservations/30661934616705?display=YQEUBN33K&amp;reservation_id=30661934616705", "YQEUBN33K")</f>
        <v>YQEUBN33K</v>
      </c>
      <c r="B2484" t="s">
        <v>459</v>
      </c>
      <c r="C2484">
        <v>64.150000000000006</v>
      </c>
      <c r="D2484">
        <v>69.72</v>
      </c>
      <c r="E2484">
        <v>69.73</v>
      </c>
      <c r="F2484">
        <v>-0.01</v>
      </c>
    </row>
    <row r="2485" spans="1:6" x14ac:dyDescent="0.3">
      <c r="A2485" t="str">
        <f>HYPERLINK("https://us2.cloudbeds.com/connect/10074733072513#/reservations/30662466199778?display=YQFB2MPNG&amp;reservation_id=30662466199778", "YQFB2MPNG")</f>
        <v>YQFB2MPNG</v>
      </c>
      <c r="B2485" t="s">
        <v>463</v>
      </c>
      <c r="C2485">
        <v>64.150000000000006</v>
      </c>
      <c r="D2485">
        <v>69.72</v>
      </c>
      <c r="E2485">
        <v>69.73</v>
      </c>
      <c r="F2485">
        <v>-0.01</v>
      </c>
    </row>
    <row r="2486" spans="1:6" x14ac:dyDescent="0.3">
      <c r="A2486" t="str">
        <f>HYPERLINK("https://us2.cloudbeds.com/connect/10074733072513#/reservations/30662402871508?display=YQF9F9J10&amp;reservation_id=30662402871508", "YQF9F9J10")</f>
        <v>YQF9F9J10</v>
      </c>
      <c r="B2486" t="s">
        <v>452</v>
      </c>
      <c r="C2486">
        <v>196.2</v>
      </c>
      <c r="D2486">
        <v>213.26</v>
      </c>
      <c r="E2486">
        <v>213.27</v>
      </c>
      <c r="F2486">
        <v>-0.01</v>
      </c>
    </row>
    <row r="2487" spans="1:6" x14ac:dyDescent="0.3">
      <c r="A2487" t="str">
        <f>HYPERLINK("https://us2.cloudbeds.com/connect/10074733072513#/reservations/30662475702483?display=YQFBAN6Q8&amp;reservation_id=30662475702483", "YQFBAN6Q8")</f>
        <v>YQFBAN6Q8</v>
      </c>
      <c r="B2487" t="s">
        <v>463</v>
      </c>
      <c r="C2487">
        <v>64.150000000000006</v>
      </c>
      <c r="D2487">
        <v>69.72</v>
      </c>
      <c r="E2487">
        <v>69.73</v>
      </c>
      <c r="F2487">
        <v>-0.01</v>
      </c>
    </row>
    <row r="2488" spans="1:6" x14ac:dyDescent="0.3">
      <c r="A2488" t="str">
        <f>HYPERLINK("https://us2.cloudbeds.com/connect/10074733072513#/reservations/30661998690435?display=YQEW4FY6N&amp;reservation_id=30661998690435", "YQEW4FY6N")</f>
        <v>YQEW4FY6N</v>
      </c>
      <c r="B2488" t="s">
        <v>392</v>
      </c>
      <c r="C2488">
        <v>356.4</v>
      </c>
      <c r="D2488">
        <v>387.4</v>
      </c>
      <c r="E2488">
        <v>387.41</v>
      </c>
      <c r="F2488">
        <v>-0.01</v>
      </c>
    </row>
    <row r="2489" spans="1:6" x14ac:dyDescent="0.3">
      <c r="A2489" t="str">
        <f>HYPERLINK("https://us2.cloudbeds.com/connect/10074733072513#/reservations/30662438932721?display=YQFACN131&amp;reservation_id=30662438932721", "YQFACN131")</f>
        <v>YQFACN131</v>
      </c>
      <c r="B2489" t="s">
        <v>452</v>
      </c>
      <c r="C2489">
        <v>64.150000000000006</v>
      </c>
      <c r="D2489">
        <v>69.72</v>
      </c>
      <c r="E2489">
        <v>69.73</v>
      </c>
      <c r="F2489">
        <v>-0.01</v>
      </c>
    </row>
    <row r="2490" spans="1:6" x14ac:dyDescent="0.3">
      <c r="A2490" t="str">
        <f>HYPERLINK("https://us2.cloudbeds.com/connect/10074733072513#/reservations/30663722033347?display=YQGA5Y6J6&amp;reservation_id=30663722033347", "YQGA5Y6J6")</f>
        <v>YQGA5Y6J6</v>
      </c>
      <c r="B2490" t="s">
        <v>464</v>
      </c>
      <c r="C2490">
        <v>174.4</v>
      </c>
      <c r="D2490">
        <v>189.56</v>
      </c>
      <c r="E2490">
        <v>189.57</v>
      </c>
      <c r="F2490">
        <v>-0.01</v>
      </c>
    </row>
    <row r="2491" spans="1:6" x14ac:dyDescent="0.3">
      <c r="A2491" t="str">
        <f>HYPERLINK("https://us2.cloudbeds.com/connect/10074733072513#/reservations/30662676476118?display=YQFGF00UQ&amp;reservation_id=30662676476118", "YQFGF00UQ")</f>
        <v>YQFGF00UQ</v>
      </c>
      <c r="B2491" t="s">
        <v>462</v>
      </c>
      <c r="C2491">
        <v>276.3</v>
      </c>
      <c r="D2491">
        <v>300.33</v>
      </c>
      <c r="E2491">
        <v>300.33999999999997</v>
      </c>
      <c r="F2491">
        <v>-0.01</v>
      </c>
    </row>
    <row r="2492" spans="1:6" x14ac:dyDescent="0.3">
      <c r="A2492" t="str">
        <f>HYPERLINK("https://us2.cloudbeds.com/connect/10074733072513#/reservations/30662136721621?display=YQF2YSXJU&amp;reservation_id=30662136721621", "YQF2YSXJU")</f>
        <v>YQF2YSXJU</v>
      </c>
      <c r="B2492" t="s">
        <v>465</v>
      </c>
      <c r="C2492">
        <v>222.4</v>
      </c>
      <c r="D2492">
        <v>241.74</v>
      </c>
      <c r="E2492">
        <v>241.75</v>
      </c>
      <c r="F2492">
        <v>-0.01</v>
      </c>
    </row>
    <row r="2493" spans="1:6" x14ac:dyDescent="0.3">
      <c r="A2493" t="str">
        <f>HYPERLINK("https://us2.cloudbeds.com/connect/10074733072513#/reservations/30663738998991?display=YQGAJV9MK&amp;reservation_id=30663738998991", "YQGAJV9MK")</f>
        <v>YQGAJV9MK</v>
      </c>
      <c r="B2493" t="s">
        <v>464</v>
      </c>
      <c r="C2493">
        <v>174.4</v>
      </c>
      <c r="D2493">
        <v>189.56</v>
      </c>
      <c r="E2493">
        <v>189.57</v>
      </c>
      <c r="F2493">
        <v>-0.01</v>
      </c>
    </row>
    <row r="2494" spans="1:6" x14ac:dyDescent="0.3">
      <c r="A2494" t="str">
        <f>HYPERLINK("https://us2.cloudbeds.com/connect/10074733072513#/reservations/30664063340677?display=YQGXTEJ3H&amp;reservation_id=30664063340677", "YQGXTEJ3H")</f>
        <v>YQGXTEJ3H</v>
      </c>
      <c r="B2494" t="s">
        <v>464</v>
      </c>
      <c r="C2494">
        <v>174.4</v>
      </c>
      <c r="D2494">
        <v>189.56</v>
      </c>
      <c r="E2494">
        <v>189.57</v>
      </c>
      <c r="F2494">
        <v>-0.01</v>
      </c>
    </row>
    <row r="2495" spans="1:6" x14ac:dyDescent="0.3">
      <c r="A2495" t="str">
        <f>HYPERLINK("https://us2.cloudbeds.com/connect/10074733072513#/reservations/30662527807629?display=YQFCYY3J2&amp;reservation_id=30662527807629", "YQFCYY3J2")</f>
        <v>YQFCYY3J2</v>
      </c>
      <c r="B2495" t="s">
        <v>466</v>
      </c>
      <c r="C2495">
        <v>445.5</v>
      </c>
      <c r="D2495">
        <v>484.25</v>
      </c>
      <c r="E2495">
        <v>484.26</v>
      </c>
      <c r="F2495">
        <v>-0.01</v>
      </c>
    </row>
    <row r="2496" spans="1:6" x14ac:dyDescent="0.3">
      <c r="A2496" t="str">
        <f>HYPERLINK("https://us2.cloudbeds.com/connect/10074733072513#/reservations/30662190440608?display=YQF415CB0&amp;reservation_id=30662190440608", "YQF415CB0")</f>
        <v>YQF415CB0</v>
      </c>
      <c r="B2496" t="s">
        <v>444</v>
      </c>
      <c r="C2496">
        <v>356.4</v>
      </c>
      <c r="D2496">
        <v>387.4</v>
      </c>
      <c r="E2496">
        <v>387.41</v>
      </c>
      <c r="F2496">
        <v>-0.01</v>
      </c>
    </row>
    <row r="2497" spans="1:6" x14ac:dyDescent="0.3">
      <c r="A2497" t="str">
        <f>HYPERLINK("https://us2.cloudbeds.com/connect/10074733072513#/reservations/30664114479340?display=YQGK6XJD0&amp;reservation_id=30664114479340", "YQGK6XJD0")</f>
        <v>YQGK6XJD0</v>
      </c>
      <c r="B2497" t="s">
        <v>467</v>
      </c>
      <c r="C2497">
        <v>64.150000000000006</v>
      </c>
      <c r="D2497">
        <v>69.72</v>
      </c>
      <c r="E2497">
        <v>69.73</v>
      </c>
      <c r="F2497">
        <v>-0.01</v>
      </c>
    </row>
    <row r="2498" spans="1:6" x14ac:dyDescent="0.3">
      <c r="A2498" t="str">
        <f>HYPERLINK("https://us2.cloudbeds.com/connect/10074733072513#/reservations/30664219218128?display=YQGMST38M&amp;reservation_id=30664219218128", "YQGMST38M")</f>
        <v>YQGMST38M</v>
      </c>
      <c r="B2498" t="s">
        <v>460</v>
      </c>
      <c r="C2498">
        <v>64.150000000000006</v>
      </c>
      <c r="D2498">
        <v>69.72</v>
      </c>
      <c r="E2498">
        <v>69.73</v>
      </c>
      <c r="F2498">
        <v>-0.01</v>
      </c>
    </row>
    <row r="2499" spans="1:6" x14ac:dyDescent="0.3">
      <c r="A2499" t="str">
        <f>HYPERLINK("https://us2.cloudbeds.com/connect/10074733072513#/reservations/30664094990535?display=YQGJN49B5&amp;reservation_id=30664094990535", "YQGJN49B5")</f>
        <v>YQGJN49B5</v>
      </c>
      <c r="B2499" t="s">
        <v>464</v>
      </c>
      <c r="C2499">
        <v>103.2</v>
      </c>
      <c r="D2499">
        <v>112.17</v>
      </c>
      <c r="E2499">
        <v>112.18</v>
      </c>
      <c r="F2499">
        <v>-0.01</v>
      </c>
    </row>
    <row r="2500" spans="1:6" x14ac:dyDescent="0.3">
      <c r="A2500" t="str">
        <f>HYPERLINK("https://us2.cloudbeds.com/connect/10074733072513#/reservations/30662739435740?display=YQFX22W34&amp;reservation_id=30662739435740", "YQFX22W34")</f>
        <v>YQFX22W34</v>
      </c>
      <c r="B2500" t="s">
        <v>469</v>
      </c>
      <c r="C2500">
        <v>285.3</v>
      </c>
      <c r="D2500">
        <v>310.11</v>
      </c>
      <c r="E2500">
        <v>310.12</v>
      </c>
      <c r="F2500">
        <v>-0.01</v>
      </c>
    </row>
    <row r="2501" spans="1:6" x14ac:dyDescent="0.3">
      <c r="A2501" t="str">
        <f>HYPERLINK("https://us2.cloudbeds.com/connect/10074733072513#/reservations/30662045814953?display=YQF0B6VDD&amp;reservation_id=30662045814953", "YQF0B6VDD")</f>
        <v>YQF0B6VDD</v>
      </c>
      <c r="B2501" t="s">
        <v>467</v>
      </c>
      <c r="C2501">
        <v>64.150000000000006</v>
      </c>
      <c r="D2501">
        <v>69.72</v>
      </c>
      <c r="E2501">
        <v>69.73</v>
      </c>
      <c r="F2501">
        <v>-0.01</v>
      </c>
    </row>
    <row r="2502" spans="1:6" x14ac:dyDescent="0.3">
      <c r="A2502" t="str">
        <f>HYPERLINK("https://us2.cloudbeds.com/connect/10074733072513#/reservations/30662146932945?display=YQF2UFNCW&amp;reservation_id=30662146932945", "YQF2UFNCW")</f>
        <v>YQF2UFNCW</v>
      </c>
      <c r="B2502" t="s">
        <v>465</v>
      </c>
      <c r="C2502">
        <v>64.150000000000006</v>
      </c>
      <c r="D2502">
        <v>69.72</v>
      </c>
      <c r="E2502">
        <v>69.73</v>
      </c>
      <c r="F2502">
        <v>-0.01</v>
      </c>
    </row>
    <row r="2503" spans="1:6" x14ac:dyDescent="0.3">
      <c r="A2503" t="str">
        <f>HYPERLINK("https://us2.cloudbeds.com/connect/10074733072513#/reservations/30662144671883?display=YQF2SXQ3V&amp;reservation_id=30662144671883", "YQF2SXQ3V")</f>
        <v>YQF2SXQ3V</v>
      </c>
      <c r="B2503" t="s">
        <v>465</v>
      </c>
      <c r="C2503">
        <v>87.2</v>
      </c>
      <c r="D2503">
        <v>94.78</v>
      </c>
      <c r="E2503">
        <v>94.79</v>
      </c>
      <c r="F2503">
        <v>-0.01</v>
      </c>
    </row>
    <row r="2504" spans="1:6" x14ac:dyDescent="0.3">
      <c r="A2504" t="str">
        <f>HYPERLINK("https://us2.cloudbeds.com/connect/10074733072513#/reservations/30662185222341?display=YQF3TP5HN&amp;reservation_id=30662185222341", "YQF3TP5HN")</f>
        <v>YQF3TP5HN</v>
      </c>
      <c r="B2504" t="s">
        <v>470</v>
      </c>
      <c r="C2504">
        <v>64.150000000000006</v>
      </c>
      <c r="D2504">
        <v>69.72</v>
      </c>
      <c r="E2504">
        <v>69.73</v>
      </c>
      <c r="F2504">
        <v>-0.01</v>
      </c>
    </row>
    <row r="2505" spans="1:6" x14ac:dyDescent="0.3">
      <c r="A2505" t="str">
        <f>HYPERLINK("https://us2.cloudbeds.com/connect/10074733072513#/reservations/30663084835014?display=YQFQTB74Q&amp;reservation_id=30663084835014", "YQFQTB74Q")</f>
        <v>YQFQTB74Q</v>
      </c>
      <c r="B2505" t="s">
        <v>471</v>
      </c>
      <c r="C2505">
        <v>174.4</v>
      </c>
      <c r="D2505">
        <v>189.56</v>
      </c>
      <c r="E2505">
        <v>189.57</v>
      </c>
      <c r="F2505">
        <v>-0.01</v>
      </c>
    </row>
    <row r="2506" spans="1:6" x14ac:dyDescent="0.3">
      <c r="A2506" t="str">
        <f>HYPERLINK("https://us2.cloudbeds.com/connect/10074733072513#/reservations/30663080722579?display=YQFQPSPQX&amp;reservation_id=30663080722579", "YQFQPSPQX")</f>
        <v>YQFQPSPQX</v>
      </c>
      <c r="B2506" t="s">
        <v>471</v>
      </c>
      <c r="C2506">
        <v>276.3</v>
      </c>
      <c r="D2506">
        <v>300.33</v>
      </c>
      <c r="E2506">
        <v>300.33999999999997</v>
      </c>
      <c r="F2506">
        <v>-0.01</v>
      </c>
    </row>
    <row r="2507" spans="1:6" x14ac:dyDescent="0.3">
      <c r="A2507" t="str">
        <f>HYPERLINK("https://us2.cloudbeds.com/connect/10074733072513#/reservations/30661850730733?display=YQESBNENC&amp;reservation_id=30661850730733", "YQESBNENC")</f>
        <v>YQESBNENC</v>
      </c>
      <c r="B2507" t="s">
        <v>472</v>
      </c>
      <c r="C2507">
        <v>72.17</v>
      </c>
      <c r="D2507">
        <v>78.44</v>
      </c>
      <c r="E2507">
        <v>78.45</v>
      </c>
      <c r="F2507">
        <v>-0.01</v>
      </c>
    </row>
    <row r="2508" spans="1:6" x14ac:dyDescent="0.3">
      <c r="A2508" t="str">
        <f>HYPERLINK("https://us2.cloudbeds.com/connect/10074733072513#/reservations/30662194978949?display=YQF44WYPG&amp;reservation_id=30662194978949", "YQF44WYPG")</f>
        <v>YQF44WYPG</v>
      </c>
      <c r="B2508" t="s">
        <v>470</v>
      </c>
      <c r="C2508">
        <v>72.17</v>
      </c>
      <c r="D2508">
        <v>78.44</v>
      </c>
      <c r="E2508">
        <v>78.45</v>
      </c>
      <c r="F2508">
        <v>-0.01</v>
      </c>
    </row>
    <row r="2509" spans="1:6" x14ac:dyDescent="0.3">
      <c r="A2509" t="str">
        <f>HYPERLINK("https://us2.cloudbeds.com/connect/10074733072513#/reservations/30662157189310?display=YQF3643HU&amp;reservation_id=30662157189310", "YQF3643HU")</f>
        <v>YQF3643HU</v>
      </c>
      <c r="B2509" t="s">
        <v>465</v>
      </c>
      <c r="C2509">
        <v>64.150000000000006</v>
      </c>
      <c r="D2509">
        <v>69.72</v>
      </c>
      <c r="E2509">
        <v>69.73</v>
      </c>
      <c r="F2509">
        <v>-0.01</v>
      </c>
    </row>
    <row r="2510" spans="1:6" x14ac:dyDescent="0.3">
      <c r="A2510" t="str">
        <f>HYPERLINK("https://us2.cloudbeds.com/connect/10074733072513#/reservations/30664587792555?display=YQGW9M7EN&amp;reservation_id=30664587792555", "YQGW9M7EN")</f>
        <v>YQGW9M7EN</v>
      </c>
      <c r="B2510" t="s">
        <v>240</v>
      </c>
      <c r="C2510">
        <v>417.95</v>
      </c>
      <c r="D2510">
        <v>454.3</v>
      </c>
      <c r="E2510">
        <v>454.31</v>
      </c>
      <c r="F2510">
        <v>-0.01</v>
      </c>
    </row>
    <row r="2511" spans="1:6" x14ac:dyDescent="0.3">
      <c r="A2511" t="str">
        <f>HYPERLINK("https://us2.cloudbeds.com/connect/10074733072513#/reservations/30662882795684?display=YQFYNW5ZS&amp;reservation_id=30662882795684", "YQFYNW5ZS")</f>
        <v>YQFYNW5ZS</v>
      </c>
      <c r="B2511" t="s">
        <v>468</v>
      </c>
      <c r="C2511">
        <v>64.150000000000006</v>
      </c>
      <c r="D2511">
        <v>69.72</v>
      </c>
      <c r="E2511">
        <v>69.73</v>
      </c>
      <c r="F2511">
        <v>-0.01</v>
      </c>
    </row>
    <row r="2512" spans="1:6" x14ac:dyDescent="0.3">
      <c r="A2512" t="str">
        <f>HYPERLINK("https://us2.cloudbeds.com/connect/10074733072513#/reservations/30663496237291?display=YQG4D830F&amp;reservation_id=30663496237291", "YQG4D830F")</f>
        <v>YQG4D830F</v>
      </c>
      <c r="B2512" t="s">
        <v>473</v>
      </c>
      <c r="C2512">
        <v>64.150000000000006</v>
      </c>
      <c r="D2512">
        <v>69.72</v>
      </c>
      <c r="E2512">
        <v>69.73</v>
      </c>
      <c r="F2512">
        <v>-0.01</v>
      </c>
    </row>
    <row r="2513" spans="1:6" x14ac:dyDescent="0.3">
      <c r="A2513" t="str">
        <f>HYPERLINK("https://us2.cloudbeds.com/connect/10074733072513#/reservations/30662893781231?display=YQFM07SG7&amp;reservation_id=30662893781231", "YQFM07SG7")</f>
        <v>YQFM07SG7</v>
      </c>
      <c r="B2513" t="s">
        <v>468</v>
      </c>
      <c r="C2513">
        <v>64.150000000000006</v>
      </c>
      <c r="D2513">
        <v>69.72</v>
      </c>
      <c r="E2513">
        <v>69.73</v>
      </c>
      <c r="F2513">
        <v>-0.01</v>
      </c>
    </row>
    <row r="2514" spans="1:6" x14ac:dyDescent="0.3">
      <c r="A2514" t="str">
        <f>HYPERLINK("https://us2.cloudbeds.com/connect/10074733072513#/reservations/30663101055106?display=YQFRA0XKN&amp;reservation_id=30663101055106", "YQFRA0XKN")</f>
        <v>YQFRA0XKN</v>
      </c>
      <c r="B2514" t="s">
        <v>471</v>
      </c>
      <c r="C2514">
        <v>87.2</v>
      </c>
      <c r="D2514">
        <v>94.78</v>
      </c>
      <c r="E2514">
        <v>94.79</v>
      </c>
      <c r="F2514">
        <v>-0.01</v>
      </c>
    </row>
    <row r="2515" spans="1:6" x14ac:dyDescent="0.3">
      <c r="A2515" t="str">
        <f>HYPERLINK("https://us2.cloudbeds.com/connect/10074733072513#/reservations/30660588716172?display=YQDT3X0WT&amp;reservation_id=30660588716172", "YQDT3X0WT")</f>
        <v>YQDT3X0WT</v>
      </c>
      <c r="B2515" t="s">
        <v>474</v>
      </c>
      <c r="C2515">
        <v>64.150000000000006</v>
      </c>
      <c r="D2515">
        <v>69.72</v>
      </c>
      <c r="E2515">
        <v>69.73</v>
      </c>
      <c r="F2515">
        <v>-0.01</v>
      </c>
    </row>
    <row r="2516" spans="1:6" x14ac:dyDescent="0.3">
      <c r="A2516" t="str">
        <f>HYPERLINK("https://us2.cloudbeds.com/connect/10074733072513#/reservations/30661806158053?display=YQER744Q3&amp;reservation_id=30661806158053", "YQER744Q3")</f>
        <v>YQER744Q3</v>
      </c>
      <c r="B2516" t="s">
        <v>469</v>
      </c>
      <c r="C2516">
        <v>90.07</v>
      </c>
      <c r="D2516">
        <v>97.9</v>
      </c>
      <c r="E2516">
        <v>97.91</v>
      </c>
      <c r="F2516">
        <v>-0.01</v>
      </c>
    </row>
    <row r="2517" spans="1:6" x14ac:dyDescent="0.3">
      <c r="A2517" t="str">
        <f>HYPERLINK("https://us2.cloudbeds.com/connect/10074733072513#/reservations/30663009431778?display=YQFZVP0B8&amp;reservation_id=30663009431778", "YQFZVP0B8")</f>
        <v>YQFZVP0B8</v>
      </c>
      <c r="B2517" t="s">
        <v>456</v>
      </c>
      <c r="C2517">
        <v>64.150000000000006</v>
      </c>
      <c r="D2517">
        <v>69.72</v>
      </c>
      <c r="E2517">
        <v>69.73</v>
      </c>
      <c r="F2517">
        <v>-0.01</v>
      </c>
    </row>
    <row r="2518" spans="1:6" x14ac:dyDescent="0.3">
      <c r="A2518" t="str">
        <f>HYPERLINK("https://us2.cloudbeds.com/connect/10074733072513#/reservations/30663116726469?display=YQFRN7Y7H&amp;reservation_id=30663116726469", "YQFRN7Y7H")</f>
        <v>YQFRN7Y7H</v>
      </c>
      <c r="B2518" t="s">
        <v>471</v>
      </c>
      <c r="C2518">
        <v>87.2</v>
      </c>
      <c r="D2518">
        <v>94.78</v>
      </c>
      <c r="E2518">
        <v>94.79</v>
      </c>
      <c r="F2518">
        <v>-0.01</v>
      </c>
    </row>
    <row r="2519" spans="1:6" x14ac:dyDescent="0.3">
      <c r="A2519" t="str">
        <f>HYPERLINK("https://us2.cloudbeds.com/connect/10074733072513#/reservations/30660575584455?display=YQDSPFKG2&amp;reservation_id=30660575584455", "YQDSPFKG2")</f>
        <v>YQDSPFKG2</v>
      </c>
      <c r="B2519" t="s">
        <v>474</v>
      </c>
      <c r="C2519">
        <v>64.150000000000006</v>
      </c>
      <c r="D2519">
        <v>69.72</v>
      </c>
      <c r="E2519">
        <v>69.73</v>
      </c>
      <c r="F2519">
        <v>-0.01</v>
      </c>
    </row>
    <row r="2520" spans="1:6" x14ac:dyDescent="0.3">
      <c r="A2520" t="str">
        <f>HYPERLINK("https://us2.cloudbeds.com/connect/10074733072513#/reservations/30664633806983?display=YQH0FFY9A&amp;reservation_id=30664633806983", "YQH0FFY9A")</f>
        <v>YQH0FFY9A</v>
      </c>
      <c r="B2520" t="s">
        <v>475</v>
      </c>
      <c r="C2520">
        <v>406.1</v>
      </c>
      <c r="D2520">
        <v>441.42</v>
      </c>
      <c r="E2520">
        <v>441.43</v>
      </c>
      <c r="F2520">
        <v>-0.01</v>
      </c>
    </row>
    <row r="2521" spans="1:6" x14ac:dyDescent="0.3">
      <c r="A2521" t="str">
        <f>HYPERLINK("https://us2.cloudbeds.com/connect/10074733072513#/reservations/30660595638491?display=YQDT9CYJ4&amp;reservation_id=30660595638491", "YQDT9CYJ4")</f>
        <v>YQDT9CYJ4</v>
      </c>
      <c r="B2521" t="s">
        <v>474</v>
      </c>
      <c r="C2521">
        <v>64.150000000000006</v>
      </c>
      <c r="D2521">
        <v>69.72</v>
      </c>
      <c r="E2521">
        <v>69.73</v>
      </c>
      <c r="F2521">
        <v>-0.01</v>
      </c>
    </row>
    <row r="2522" spans="1:6" x14ac:dyDescent="0.3">
      <c r="A2522" t="str">
        <f>HYPERLINK("https://us2.cloudbeds.com/connect/10074733072513#/reservations/30662281515229?display=YQF6BVYP0&amp;reservation_id=30662281515229", "YQF6BVYP0")</f>
        <v>YQF6BVYP0</v>
      </c>
      <c r="B2522" t="s">
        <v>240</v>
      </c>
      <c r="C2522">
        <v>66.209999999999994</v>
      </c>
      <c r="D2522">
        <v>71.959999999999994</v>
      </c>
      <c r="E2522">
        <v>71.97</v>
      </c>
      <c r="F2522">
        <v>-0.01</v>
      </c>
    </row>
    <row r="2523" spans="1:6" x14ac:dyDescent="0.3">
      <c r="A2523" t="str">
        <f>HYPERLINK("https://us2.cloudbeds.com/connect/10074733072513#/reservations/30663002456195?display=YQFZPSTRV&amp;reservation_id=30663002456195", "YQFZPSTRV")</f>
        <v>YQFZPSTRV</v>
      </c>
      <c r="B2523" t="s">
        <v>417</v>
      </c>
      <c r="C2523">
        <v>250.2</v>
      </c>
      <c r="D2523">
        <v>271.95999999999998</v>
      </c>
      <c r="E2523">
        <v>271.97000000000003</v>
      </c>
      <c r="F2523">
        <v>-0.01</v>
      </c>
    </row>
    <row r="2524" spans="1:6" x14ac:dyDescent="0.3">
      <c r="A2524" t="str">
        <f>HYPERLINK("https://us2.cloudbeds.com/connect/10074733072513#/reservations/30664547262633?display=YQGV8GDT8&amp;reservation_id=30664547262633", "YQGV8GDT8")</f>
        <v>YQGV8GDT8</v>
      </c>
      <c r="B2524" t="s">
        <v>240</v>
      </c>
      <c r="C2524">
        <v>66.209999999999994</v>
      </c>
      <c r="D2524">
        <v>71.959999999999994</v>
      </c>
      <c r="E2524">
        <v>71.97</v>
      </c>
      <c r="F2524">
        <v>-0.01</v>
      </c>
    </row>
    <row r="2525" spans="1:6" x14ac:dyDescent="0.3">
      <c r="A2525" t="str">
        <f>HYPERLINK("https://us2.cloudbeds.com/connect/10074733072513#/reservations/30662291763355?display=YQF6KJRB9&amp;reservation_id=30662291763355", "YQF6KJRB9")</f>
        <v>YQF6KJRB9</v>
      </c>
      <c r="B2525" t="s">
        <v>240</v>
      </c>
      <c r="C2525">
        <v>66.209999999999994</v>
      </c>
      <c r="D2525">
        <v>71.959999999999994</v>
      </c>
      <c r="E2525">
        <v>71.97</v>
      </c>
      <c r="F2525">
        <v>-0.01</v>
      </c>
    </row>
    <row r="2526" spans="1:6" x14ac:dyDescent="0.3">
      <c r="A2526" t="str">
        <f>HYPERLINK("https://us2.cloudbeds.com/connect/10074733072513#/reservations/30664455717019?display=YQGSUA0VZ&amp;reservation_id=30664455717019", "YQGSUA0VZ")</f>
        <v>YQGSUA0VZ</v>
      </c>
      <c r="B2526" t="s">
        <v>478</v>
      </c>
      <c r="C2526">
        <v>250.2</v>
      </c>
      <c r="D2526">
        <v>271.95999999999998</v>
      </c>
      <c r="E2526">
        <v>271.97000000000003</v>
      </c>
      <c r="F2526">
        <v>-0.01</v>
      </c>
    </row>
    <row r="2527" spans="1:6" x14ac:dyDescent="0.3">
      <c r="A2527" t="str">
        <f>HYPERLINK("https://us2.cloudbeds.com/connect/10074733072513#/reservations/30662593966226?display=YQFEBE291&amp;reservation_id=30662593966226", "YQFEBE291")</f>
        <v>YQFEBE291</v>
      </c>
      <c r="B2527" t="s">
        <v>479</v>
      </c>
      <c r="C2527">
        <v>445.5</v>
      </c>
      <c r="D2527">
        <v>484.25</v>
      </c>
      <c r="E2527">
        <v>484.26</v>
      </c>
      <c r="F2527">
        <v>-0.01</v>
      </c>
    </row>
    <row r="2528" spans="1:6" x14ac:dyDescent="0.3">
      <c r="A2528" t="str">
        <f>HYPERLINK("https://us2.cloudbeds.com/connect/10074733072513#/reservations/30664479211710?display=YQGTH3QH2&amp;reservation_id=30664479211710", "YQGTH3QH2")</f>
        <v>YQGTH3QH2</v>
      </c>
      <c r="B2528" t="s">
        <v>480</v>
      </c>
      <c r="C2528">
        <v>267.3</v>
      </c>
      <c r="D2528">
        <v>290.55</v>
      </c>
      <c r="E2528">
        <v>290.56</v>
      </c>
      <c r="F2528">
        <v>-0.01</v>
      </c>
    </row>
    <row r="2529" spans="1:6" x14ac:dyDescent="0.3">
      <c r="A2529" t="str">
        <f>HYPERLINK("https://us2.cloudbeds.com/connect/10074733072513#/reservations/30662533882109?display=YQFCQP4K7&amp;reservation_id=30662533882109", "YQFCQP4K7")</f>
        <v>YQFCQP4K7</v>
      </c>
      <c r="B2529" t="s">
        <v>481</v>
      </c>
      <c r="C2529">
        <v>187.2</v>
      </c>
      <c r="D2529">
        <v>203.48</v>
      </c>
      <c r="E2529">
        <v>203.49</v>
      </c>
      <c r="F2529">
        <v>-0.01</v>
      </c>
    </row>
    <row r="2530" spans="1:6" x14ac:dyDescent="0.3">
      <c r="A2530" t="str">
        <f>HYPERLINK("https://us2.cloudbeds.com/connect/10074733072513#/reservations/30662513668289?display=YQFC9NYQ7&amp;reservation_id=30662513668289", "YQFC9NYQ7")</f>
        <v>YQFC9NYQ7</v>
      </c>
      <c r="B2530" t="s">
        <v>466</v>
      </c>
      <c r="C2530">
        <v>66.209999999999994</v>
      </c>
      <c r="D2530">
        <v>71.959999999999994</v>
      </c>
      <c r="E2530">
        <v>71.97</v>
      </c>
      <c r="F2530">
        <v>-0.01</v>
      </c>
    </row>
    <row r="2531" spans="1:6" x14ac:dyDescent="0.3">
      <c r="A2531" t="str">
        <f>HYPERLINK("https://us2.cloudbeds.com/connect/10074733072513#/reservations/30662325997806?display=YQF7GFEUT&amp;reservation_id=30662325997806", "YQF7GFEUT")</f>
        <v>YQF7GFEUT</v>
      </c>
      <c r="B2531" t="s">
        <v>441</v>
      </c>
      <c r="C2531">
        <v>134.1</v>
      </c>
      <c r="D2531">
        <v>145.76</v>
      </c>
      <c r="E2531">
        <v>145.77000000000001</v>
      </c>
      <c r="F2531">
        <v>-0.01</v>
      </c>
    </row>
    <row r="2532" spans="1:6" x14ac:dyDescent="0.3">
      <c r="A2532" t="str">
        <f>HYPERLINK("https://us2.cloudbeds.com/connect/10074733072513#/reservations/30664423674004?display=YQGS39CN9&amp;reservation_id=30664423674004", "YQGS39CN9")</f>
        <v>YQGS39CN9</v>
      </c>
      <c r="B2532" t="s">
        <v>482</v>
      </c>
      <c r="C2532">
        <v>66.209999999999994</v>
      </c>
      <c r="D2532">
        <v>71.959999999999994</v>
      </c>
      <c r="E2532">
        <v>71.97</v>
      </c>
      <c r="F2532">
        <v>-0.01</v>
      </c>
    </row>
    <row r="2533" spans="1:6" x14ac:dyDescent="0.3">
      <c r="A2533" t="str">
        <f>HYPERLINK("https://us2.cloudbeds.com/connect/10074733072513#/reservations/30664430010601?display=YQGS8KNEC&amp;reservation_id=30664430010601", "YQGS8KNEC")</f>
        <v>YQGS8KNEC</v>
      </c>
      <c r="B2533" t="s">
        <v>482</v>
      </c>
      <c r="C2533">
        <v>66.209999999999994</v>
      </c>
      <c r="D2533">
        <v>71.959999999999994</v>
      </c>
      <c r="E2533">
        <v>71.97</v>
      </c>
      <c r="F2533">
        <v>-0.01</v>
      </c>
    </row>
    <row r="2534" spans="1:6" x14ac:dyDescent="0.3">
      <c r="A2534" t="str">
        <f>HYPERLINK("https://us2.cloudbeds.com/connect/10074733072513#/reservations/30664414445795?display=YQGRSGJMJ&amp;reservation_id=30664414445795", "YQGRSGJMJ")</f>
        <v>YQGRSGJMJ</v>
      </c>
      <c r="B2534" t="s">
        <v>482</v>
      </c>
      <c r="C2534">
        <v>66.209999999999994</v>
      </c>
      <c r="D2534">
        <v>71.959999999999994</v>
      </c>
      <c r="E2534">
        <v>71.97</v>
      </c>
      <c r="F2534">
        <v>-0.01</v>
      </c>
    </row>
    <row r="2535" spans="1:6" x14ac:dyDescent="0.3">
      <c r="A2535" t="str">
        <f>HYPERLINK("https://us2.cloudbeds.com/connect/10074733072513#/reservations/30664433959105?display=YQGSBVJ80&amp;reservation_id=30664433959105", "YQGSBVJ80")</f>
        <v>YQGSBVJ80</v>
      </c>
      <c r="B2535" t="s">
        <v>482</v>
      </c>
      <c r="C2535">
        <v>66.209999999999994</v>
      </c>
      <c r="D2535">
        <v>71.959999999999994</v>
      </c>
      <c r="E2535">
        <v>71.97</v>
      </c>
      <c r="F2535">
        <v>-0.01</v>
      </c>
    </row>
    <row r="2536" spans="1:6" x14ac:dyDescent="0.3">
      <c r="A2536" t="str">
        <f>HYPERLINK("https://us2.cloudbeds.com/connect/10074733072513#/reservations/30664441204890?display=YQGSX26S8&amp;reservation_id=30664441204890", "YQGSX26S8")</f>
        <v>YQGSX26S8</v>
      </c>
      <c r="B2536" t="s">
        <v>482</v>
      </c>
      <c r="C2536">
        <v>66.209999999999994</v>
      </c>
      <c r="D2536">
        <v>71.959999999999994</v>
      </c>
      <c r="E2536">
        <v>71.97</v>
      </c>
      <c r="F2536">
        <v>-0.01</v>
      </c>
    </row>
    <row r="2537" spans="1:6" x14ac:dyDescent="0.3">
      <c r="A2537" t="str">
        <f>HYPERLINK("https://us2.cloudbeds.com/connect/10074733072513#/reservations/30662610702591?display=YQFEPHPRK&amp;reservation_id=30662610702591", "YQFEPHPRK")</f>
        <v>YQFEPHPRK</v>
      </c>
      <c r="B2537" t="s">
        <v>483</v>
      </c>
      <c r="C2537">
        <v>64.150000000000006</v>
      </c>
      <c r="D2537">
        <v>69.72</v>
      </c>
      <c r="E2537">
        <v>69.73</v>
      </c>
      <c r="F2537">
        <v>-0.01</v>
      </c>
    </row>
    <row r="2538" spans="1:6" x14ac:dyDescent="0.3">
      <c r="A2538" t="str">
        <f>HYPERLINK("https://us2.cloudbeds.com/connect/10074733072513#/reservations/30664507957443?display=YQGU8BMVT&amp;reservation_id=30664507957443", "YQGU8BMVT")</f>
        <v>YQGU8BMVT</v>
      </c>
      <c r="B2538" t="s">
        <v>480</v>
      </c>
      <c r="C2538">
        <v>64.150000000000006</v>
      </c>
      <c r="D2538">
        <v>69.72</v>
      </c>
      <c r="E2538">
        <v>69.73</v>
      </c>
      <c r="F2538">
        <v>-0.01</v>
      </c>
    </row>
    <row r="2539" spans="1:6" x14ac:dyDescent="0.3">
      <c r="A2539" t="str">
        <f>HYPERLINK("https://us2.cloudbeds.com/connect/10074733072513#/reservations/30661920751756?display=YQEU4ZT5X&amp;reservation_id=30661920751756", "YQEU4ZT5X")</f>
        <v>YQEU4ZT5X</v>
      </c>
      <c r="B2539" t="s">
        <v>461</v>
      </c>
      <c r="C2539">
        <v>64.150000000000006</v>
      </c>
      <c r="D2539">
        <v>69.72</v>
      </c>
      <c r="E2539">
        <v>69.73</v>
      </c>
      <c r="F2539">
        <v>-0.01</v>
      </c>
    </row>
    <row r="2540" spans="1:6" x14ac:dyDescent="0.3">
      <c r="A2540" t="str">
        <f>HYPERLINK("https://us2.cloudbeds.com/connect/10074733072513#/reservations/30664830132409?display=YQH5G0MZK&amp;reservation_id=30664830132409", "YQH5G0MZK")</f>
        <v>YQH5G0MZK</v>
      </c>
      <c r="B2540" t="s">
        <v>461</v>
      </c>
      <c r="C2540">
        <v>64.150000000000006</v>
      </c>
      <c r="D2540">
        <v>69.72</v>
      </c>
      <c r="E2540">
        <v>69.73</v>
      </c>
      <c r="F2540">
        <v>-0.01</v>
      </c>
    </row>
    <row r="2541" spans="1:6" x14ac:dyDescent="0.3">
      <c r="A2541" t="str">
        <f>HYPERLINK("https://us2.cloudbeds.com/connect/10074733072513#/reservations/30663075057864?display=YQFQY351H&amp;reservation_id=30663075057864", "YQFQY351H")</f>
        <v>YQFQY351H</v>
      </c>
      <c r="B2541" t="s">
        <v>484</v>
      </c>
      <c r="C2541">
        <v>64.150000000000006</v>
      </c>
      <c r="D2541">
        <v>69.72</v>
      </c>
      <c r="E2541">
        <v>69.73</v>
      </c>
      <c r="F2541">
        <v>-0.01</v>
      </c>
    </row>
    <row r="2542" spans="1:6" x14ac:dyDescent="0.3">
      <c r="A2542" t="str">
        <f>HYPERLINK("https://us2.cloudbeds.com/connect/10074733072513#/reservations/30663421989021?display=YQG2GY0PT&amp;reservation_id=30663421989021", "YQG2GY0PT")</f>
        <v>YQG2GY0PT</v>
      </c>
      <c r="B2542" t="s">
        <v>485</v>
      </c>
      <c r="C2542">
        <v>64.150000000000006</v>
      </c>
      <c r="D2542">
        <v>69.72</v>
      </c>
      <c r="E2542">
        <v>69.73</v>
      </c>
      <c r="F2542">
        <v>-0.01</v>
      </c>
    </row>
    <row r="2543" spans="1:6" x14ac:dyDescent="0.3">
      <c r="A2543" t="str">
        <f>HYPERLINK("https://us2.cloudbeds.com/connect/10074733072513#/reservations/30663029711055?display=YQFPFSA8Q&amp;reservation_id=30663029711055", "YQFPFSA8Q")</f>
        <v>YQFPFSA8Q</v>
      </c>
      <c r="B2543" t="s">
        <v>484</v>
      </c>
      <c r="C2543">
        <v>64.150000000000006</v>
      </c>
      <c r="D2543">
        <v>69.72</v>
      </c>
      <c r="E2543">
        <v>69.73</v>
      </c>
      <c r="F2543">
        <v>-0.01</v>
      </c>
    </row>
    <row r="2544" spans="1:6" x14ac:dyDescent="0.3">
      <c r="A2544" t="str">
        <f>HYPERLINK("https://us2.cloudbeds.com/connect/10074733072513#/reservations/30663291097216?display=YQFW045J9&amp;reservation_id=30663291097216", "YQFW045J9")</f>
        <v>YQFW045J9</v>
      </c>
      <c r="B2544" t="s">
        <v>486</v>
      </c>
      <c r="C2544">
        <v>64.150000000000006</v>
      </c>
      <c r="D2544">
        <v>69.72</v>
      </c>
      <c r="E2544">
        <v>69.73</v>
      </c>
      <c r="F2544">
        <v>-0.01</v>
      </c>
    </row>
    <row r="2545" spans="1:6" x14ac:dyDescent="0.3">
      <c r="A2545" t="str">
        <f>HYPERLINK("https://us2.cloudbeds.com/connect/10074733072513#/reservations/30663300174010?display=YQFWCUB8U&amp;reservation_id=30663300174010", "YQFWCUB8U")</f>
        <v>YQFWCUB8U</v>
      </c>
      <c r="B2545" t="s">
        <v>486</v>
      </c>
      <c r="C2545">
        <v>64.150000000000006</v>
      </c>
      <c r="D2545">
        <v>69.72</v>
      </c>
      <c r="E2545">
        <v>69.73</v>
      </c>
      <c r="F2545">
        <v>-0.01</v>
      </c>
    </row>
    <row r="2546" spans="1:6" x14ac:dyDescent="0.3">
      <c r="A2546" t="str">
        <f>HYPERLINK("https://us2.cloudbeds.com/connect/10074733072513#/reservations/30663294894294?display=YQFW8FE1H&amp;reservation_id=30663294894294", "YQFW8FE1H")</f>
        <v>YQFW8FE1H</v>
      </c>
      <c r="B2546" t="s">
        <v>486</v>
      </c>
      <c r="C2546">
        <v>64.150000000000006</v>
      </c>
      <c r="D2546">
        <v>69.72</v>
      </c>
      <c r="E2546">
        <v>69.73</v>
      </c>
      <c r="F2546">
        <v>-0.01</v>
      </c>
    </row>
    <row r="2547" spans="1:6" x14ac:dyDescent="0.3">
      <c r="A2547" t="str">
        <f>HYPERLINK("https://us2.cloudbeds.com/connect/10074733072513#/reservations/30663717322889?display=YQGA1M431&amp;reservation_id=30663717322889", "YQGA1M431")</f>
        <v>YQGA1M431</v>
      </c>
      <c r="B2547" t="s">
        <v>487</v>
      </c>
      <c r="C2547">
        <v>87.2</v>
      </c>
      <c r="D2547">
        <v>94.78</v>
      </c>
      <c r="E2547">
        <v>94.79</v>
      </c>
      <c r="F2547">
        <v>-0.01</v>
      </c>
    </row>
    <row r="2548" spans="1:6" x14ac:dyDescent="0.3">
      <c r="A2548" t="str">
        <f>HYPERLINK("https://us2.cloudbeds.com/connect/10074733072513#/reservations/30663147147430?display=YQFSFT4WR&amp;reservation_id=30663147147430", "YQFSFT4WR")</f>
        <v>YQFSFT4WR</v>
      </c>
      <c r="B2548" t="s">
        <v>483</v>
      </c>
      <c r="C2548">
        <v>64.150000000000006</v>
      </c>
      <c r="D2548">
        <v>69.72</v>
      </c>
      <c r="E2548">
        <v>69.73</v>
      </c>
      <c r="F2548">
        <v>-0.01</v>
      </c>
    </row>
    <row r="2549" spans="1:6" x14ac:dyDescent="0.3">
      <c r="A2549" t="str">
        <f>HYPERLINK("https://us2.cloudbeds.com/connect/10074733072513#/reservations/30663735992449?display=YQGAHDKS9&amp;reservation_id=30663735992449", "YQGAHDKS9")</f>
        <v>YQGAHDKS9</v>
      </c>
      <c r="B2549" t="s">
        <v>487</v>
      </c>
      <c r="C2549">
        <v>187.2</v>
      </c>
      <c r="D2549">
        <v>203.48</v>
      </c>
      <c r="E2549">
        <v>203.49</v>
      </c>
      <c r="F2549">
        <v>-0.01</v>
      </c>
    </row>
    <row r="2550" spans="1:6" x14ac:dyDescent="0.3">
      <c r="A2550" t="str">
        <f>HYPERLINK("https://us2.cloudbeds.com/connect/10074733072513#/reservations/30662572679404?display=YQFDQFZ4R&amp;reservation_id=30662572679404", "YQFDQFZ4R")</f>
        <v>YQFDQFZ4R</v>
      </c>
      <c r="B2550" t="s">
        <v>483</v>
      </c>
      <c r="C2550">
        <v>64.150000000000006</v>
      </c>
      <c r="D2550">
        <v>69.72</v>
      </c>
      <c r="E2550">
        <v>69.73</v>
      </c>
      <c r="F2550">
        <v>-0.01</v>
      </c>
    </row>
    <row r="2551" spans="1:6" x14ac:dyDescent="0.3">
      <c r="A2551" t="str">
        <f>HYPERLINK("https://us2.cloudbeds.com/connect/10074733072513#/reservations/30663430213842?display=YQG2NXTDT&amp;reservation_id=30663430213842", "YQG2NXTDT")</f>
        <v>YQG2NXTDT</v>
      </c>
      <c r="B2551" t="s">
        <v>485</v>
      </c>
      <c r="C2551">
        <v>72.17</v>
      </c>
      <c r="D2551">
        <v>78.44</v>
      </c>
      <c r="E2551">
        <v>78.45</v>
      </c>
      <c r="F2551">
        <v>-0.01</v>
      </c>
    </row>
    <row r="2552" spans="1:6" x14ac:dyDescent="0.3">
      <c r="A2552" t="str">
        <f>HYPERLINK("https://us2.cloudbeds.com/connect/10074733072513#/reservations/30664057630956?display=YQGXZKN0N&amp;reservation_id=30664057630956", "YQGXZKN0N")</f>
        <v>YQGXZKN0N</v>
      </c>
      <c r="B2552" t="s">
        <v>489</v>
      </c>
      <c r="C2552">
        <v>87.2</v>
      </c>
      <c r="D2552">
        <v>94.78</v>
      </c>
      <c r="E2552">
        <v>94.79</v>
      </c>
      <c r="F2552">
        <v>-0.01</v>
      </c>
    </row>
    <row r="2553" spans="1:6" x14ac:dyDescent="0.3">
      <c r="A2553" t="str">
        <f>HYPERLINK("https://us2.cloudbeds.com/connect/10074733072513#/reservations/30662045601987?display=YQF0B10RT&amp;reservation_id=30662045601987", "YQF0B10RT")</f>
        <v>YQF0B10RT</v>
      </c>
      <c r="B2553" t="s">
        <v>490</v>
      </c>
      <c r="C2553">
        <v>64.150000000000006</v>
      </c>
      <c r="D2553">
        <v>69.72</v>
      </c>
      <c r="E2553">
        <v>69.73</v>
      </c>
      <c r="F2553">
        <v>-0.01</v>
      </c>
    </row>
    <row r="2554" spans="1:6" x14ac:dyDescent="0.3">
      <c r="A2554" t="str">
        <f>HYPERLINK("https://us2.cloudbeds.com/connect/10074733072513#/reservations/30664830132364?display=YQH5G0MN9&amp;reservation_id=30664830132364", "YQH5G0MN9")</f>
        <v>YQH5G0MN9</v>
      </c>
      <c r="B2554" t="s">
        <v>491</v>
      </c>
      <c r="C2554">
        <v>80.099999999999994</v>
      </c>
      <c r="D2554">
        <v>87.06</v>
      </c>
      <c r="E2554">
        <v>87.07</v>
      </c>
      <c r="F2554">
        <v>-0.01</v>
      </c>
    </row>
    <row r="2555" spans="1:6" x14ac:dyDescent="0.3">
      <c r="A2555" t="str">
        <f>HYPERLINK("https://us2.cloudbeds.com/connect/10074733072513#/reservations/30663063458006?display=YQFQBAC6M&amp;reservation_id=30663063458006", "YQFQBAC6M")</f>
        <v>YQFQBAC6M</v>
      </c>
      <c r="B2555" t="s">
        <v>492</v>
      </c>
      <c r="C2555">
        <v>64.150000000000006</v>
      </c>
      <c r="D2555">
        <v>69.72</v>
      </c>
      <c r="E2555">
        <v>69.73</v>
      </c>
      <c r="F2555">
        <v>-0.01</v>
      </c>
    </row>
    <row r="2556" spans="1:6" x14ac:dyDescent="0.3">
      <c r="A2556" t="str">
        <f>HYPERLINK("https://us2.cloudbeds.com/connect/10074733072513#/reservations/30663051071693?display=YQFQ0SN5S&amp;reservation_id=30663051071693", "YQFQ0SN5S")</f>
        <v>YQFQ0SN5S</v>
      </c>
      <c r="B2556" t="s">
        <v>492</v>
      </c>
      <c r="C2556">
        <v>64.150000000000006</v>
      </c>
      <c r="D2556">
        <v>69.72</v>
      </c>
      <c r="E2556">
        <v>69.73</v>
      </c>
      <c r="F2556">
        <v>-0.01</v>
      </c>
    </row>
    <row r="2557" spans="1:6" x14ac:dyDescent="0.3">
      <c r="A2557" t="str">
        <f>HYPERLINK("https://us2.cloudbeds.com/connect/10074733072513#/reservations/30662444269772?display=YQFAH6HVS&amp;reservation_id=30662444269772", "YQFAH6HVS")</f>
        <v>YQFAH6HVS</v>
      </c>
      <c r="B2557" t="s">
        <v>493</v>
      </c>
      <c r="C2557">
        <v>134.1</v>
      </c>
      <c r="D2557">
        <v>145.76</v>
      </c>
      <c r="E2557">
        <v>145.77000000000001</v>
      </c>
      <c r="F2557">
        <v>-0.01</v>
      </c>
    </row>
    <row r="2558" spans="1:6" x14ac:dyDescent="0.3">
      <c r="A2558" t="str">
        <f>HYPERLINK("https://us2.cloudbeds.com/connect/10074733072513#/reservations/30664811483269?display=YQH509ZZ6&amp;reservation_id=30664811483269", "YQH509ZZ6")</f>
        <v>YQH509ZZ6</v>
      </c>
      <c r="B2558" t="s">
        <v>491</v>
      </c>
      <c r="C2558">
        <v>80.099999999999994</v>
      </c>
      <c r="D2558">
        <v>87.06</v>
      </c>
      <c r="E2558">
        <v>87.07</v>
      </c>
      <c r="F2558">
        <v>-0.01</v>
      </c>
    </row>
    <row r="2559" spans="1:6" x14ac:dyDescent="0.3">
      <c r="A2559" t="str">
        <f>HYPERLINK("https://us2.cloudbeds.com/connect/10074733072513#/reservations/30664071205092?display=YQGJ32DQ5&amp;reservation_id=30664071205092", "YQGJ32DQ5")</f>
        <v>YQGJ32DQ5</v>
      </c>
      <c r="B2559" t="s">
        <v>489</v>
      </c>
      <c r="C2559">
        <v>90.07</v>
      </c>
      <c r="D2559">
        <v>97.9</v>
      </c>
      <c r="E2559">
        <v>97.91</v>
      </c>
      <c r="F2559">
        <v>-0.01</v>
      </c>
    </row>
    <row r="2560" spans="1:6" x14ac:dyDescent="0.3">
      <c r="A2560" t="str">
        <f>HYPERLINK("https://us2.cloudbeds.com/connect/10074733072513#/reservations/30663322538124?display=YQFWVPYYB&amp;reservation_id=30663322538124", "YQFWVPYYB")</f>
        <v>YQFWVPYYB</v>
      </c>
      <c r="B2560" t="s">
        <v>494</v>
      </c>
      <c r="C2560">
        <v>64.150000000000006</v>
      </c>
      <c r="D2560">
        <v>69.72</v>
      </c>
      <c r="E2560">
        <v>69.73</v>
      </c>
      <c r="F2560">
        <v>-0.01</v>
      </c>
    </row>
    <row r="2561" spans="1:6" x14ac:dyDescent="0.3">
      <c r="A2561" t="str">
        <f>HYPERLINK("https://us2.cloudbeds.com/connect/10074733072513#/reservations/30663415296199?display=YQG2AWPV3&amp;reservation_id=30663415296199", "YQG2AWPV3")</f>
        <v>YQG2AWPV3</v>
      </c>
      <c r="B2561" t="s">
        <v>495</v>
      </c>
      <c r="C2561">
        <v>64.150000000000006</v>
      </c>
      <c r="D2561">
        <v>69.72</v>
      </c>
      <c r="E2561">
        <v>69.73</v>
      </c>
      <c r="F2561">
        <v>-0.01</v>
      </c>
    </row>
    <row r="2562" spans="1:6" x14ac:dyDescent="0.3">
      <c r="A2562" t="str">
        <f>HYPERLINK("https://us2.cloudbeds.com/connect/10074733072513#/reservations/30664841343223?display=YQH5PFYB9&amp;reservation_id=30664841343223", "YQH5PFYB9")</f>
        <v>YQH5PFYB9</v>
      </c>
      <c r="B2562" t="s">
        <v>491</v>
      </c>
      <c r="C2562">
        <v>80.099999999999994</v>
      </c>
      <c r="D2562">
        <v>87.06</v>
      </c>
      <c r="E2562">
        <v>87.07</v>
      </c>
      <c r="F2562">
        <v>-0.01</v>
      </c>
    </row>
    <row r="2563" spans="1:6" x14ac:dyDescent="0.3">
      <c r="A2563" t="str">
        <f>HYPERLINK("https://us2.cloudbeds.com/connect/10074733072513#/reservations/30664953942180?display=YQH8YDSWM&amp;reservation_id=30664953942180", "YQH8YDSWM")</f>
        <v>YQH8YDSWM</v>
      </c>
      <c r="B2563" t="s">
        <v>488</v>
      </c>
      <c r="C2563">
        <v>174.4</v>
      </c>
      <c r="D2563">
        <v>189.56</v>
      </c>
      <c r="E2563">
        <v>189.57</v>
      </c>
      <c r="F2563">
        <v>-0.01</v>
      </c>
    </row>
    <row r="2564" spans="1:6" x14ac:dyDescent="0.3">
      <c r="A2564" t="str">
        <f>HYPERLINK("https://us2.cloudbeds.com/connect/10074733072513#/reservations/30663310995682?display=YQFWM1FHC&amp;reservation_id=30663310995682", "YQFWM1FHC")</f>
        <v>YQFWM1FHC</v>
      </c>
      <c r="B2564" t="s">
        <v>494</v>
      </c>
      <c r="C2564">
        <v>64.150000000000006</v>
      </c>
      <c r="D2564">
        <v>69.72</v>
      </c>
      <c r="E2564">
        <v>69.73</v>
      </c>
      <c r="F2564">
        <v>-0.01</v>
      </c>
    </row>
    <row r="2565" spans="1:6" x14ac:dyDescent="0.3">
      <c r="A2565" t="str">
        <f>HYPERLINK("https://us2.cloudbeds.com/connect/10074733072513#/reservations/30662634602676?display=YQFFCMRY5&amp;reservation_id=30662634602676", "YQFFCMRY5")</f>
        <v>YQFFCMRY5</v>
      </c>
      <c r="B2565" t="s">
        <v>479</v>
      </c>
      <c r="C2565">
        <v>64.150000000000006</v>
      </c>
      <c r="D2565">
        <v>69.72</v>
      </c>
      <c r="E2565">
        <v>69.73</v>
      </c>
      <c r="F2565">
        <v>-0.01</v>
      </c>
    </row>
    <row r="2566" spans="1:6" x14ac:dyDescent="0.3">
      <c r="A2566" t="str">
        <f>HYPERLINK("https://us2.cloudbeds.com/connect/10074733072513#/reservations/30664930189538?display=YQH81CUXS&amp;reservation_id=30664930189538", "YQH81CUXS")</f>
        <v>YQH81CUXS</v>
      </c>
      <c r="B2566" t="s">
        <v>488</v>
      </c>
      <c r="C2566">
        <v>72.17</v>
      </c>
      <c r="D2566">
        <v>78.44</v>
      </c>
      <c r="E2566">
        <v>78.45</v>
      </c>
      <c r="F2566">
        <v>-0.01</v>
      </c>
    </row>
    <row r="2567" spans="1:6" x14ac:dyDescent="0.3">
      <c r="A2567" t="str">
        <f>HYPERLINK("https://us2.cloudbeds.com/connect/10074733072513#/reservations/30662306685066?display=YQF7061XB&amp;reservation_id=30662306685066", "YQF7061XB")</f>
        <v>YQF7061XB</v>
      </c>
      <c r="B2567" t="s">
        <v>441</v>
      </c>
      <c r="C2567">
        <v>285.3</v>
      </c>
      <c r="D2567">
        <v>310.11</v>
      </c>
      <c r="E2567">
        <v>310.12</v>
      </c>
      <c r="F2567">
        <v>-0.01</v>
      </c>
    </row>
    <row r="2568" spans="1:6" x14ac:dyDescent="0.3">
      <c r="A2568" t="str">
        <f>HYPERLINK("https://us2.cloudbeds.com/connect/10074733072513#/reservations/30659786563712?display=YQD8E1M8X&amp;reservation_id=30659786563712", "YQD8E1M8X")</f>
        <v>YQD8E1M8X</v>
      </c>
      <c r="B2568" t="s">
        <v>441</v>
      </c>
      <c r="C2568">
        <v>294.95</v>
      </c>
      <c r="D2568">
        <v>320.60000000000002</v>
      </c>
      <c r="E2568">
        <v>320.61</v>
      </c>
      <c r="F2568">
        <v>-0.01</v>
      </c>
    </row>
    <row r="2569" spans="1:6" x14ac:dyDescent="0.3">
      <c r="A2569" t="str">
        <f>HYPERLINK("https://us2.cloudbeds.com/connect/10074733072513#/reservations/30664847933585?display=YQH5V1137&amp;reservation_id=30664847933585", "YQH5V1137")</f>
        <v>YQH5V1137</v>
      </c>
      <c r="B2569" t="s">
        <v>492</v>
      </c>
      <c r="C2569">
        <v>87.2</v>
      </c>
      <c r="D2569">
        <v>94.78</v>
      </c>
      <c r="E2569">
        <v>94.79</v>
      </c>
      <c r="F2569">
        <v>-0.01</v>
      </c>
    </row>
    <row r="2570" spans="1:6" x14ac:dyDescent="0.3">
      <c r="A2570" t="str">
        <f>HYPERLINK("https://us2.cloudbeds.com/connect/10074733072513#/reservations/30663421984919?display=YQG2GKU0J&amp;reservation_id=30663421984919", "YQG2GKU0J")</f>
        <v>YQG2GKU0J</v>
      </c>
      <c r="B2570" t="s">
        <v>495</v>
      </c>
      <c r="C2570">
        <v>64.150000000000006</v>
      </c>
      <c r="D2570">
        <v>69.72</v>
      </c>
      <c r="E2570">
        <v>69.73</v>
      </c>
      <c r="F2570">
        <v>-0.01</v>
      </c>
    </row>
    <row r="2571" spans="1:6" x14ac:dyDescent="0.3">
      <c r="A2571" t="str">
        <f>HYPERLINK("https://us2.cloudbeds.com/connect/10074733072513#/reservations/30663968489667?display=YQGGFF6UH&amp;reservation_id=30663968489667", "YQGGFF6UH")</f>
        <v>YQGGFF6UH</v>
      </c>
      <c r="B2571" t="s">
        <v>479</v>
      </c>
      <c r="C2571">
        <v>87.2</v>
      </c>
      <c r="D2571">
        <v>94.78</v>
      </c>
      <c r="E2571">
        <v>94.79</v>
      </c>
      <c r="F2571">
        <v>-0.01</v>
      </c>
    </row>
    <row r="2572" spans="1:6" x14ac:dyDescent="0.3">
      <c r="A2572" t="str">
        <f>HYPERLINK("https://us2.cloudbeds.com/connect/10074733072513#/reservations/30662826045585?display=YQFK940KT&amp;reservation_id=30662826045585", "YQFK940KT")</f>
        <v>YQFK940KT</v>
      </c>
      <c r="B2572" t="s">
        <v>496</v>
      </c>
      <c r="C2572">
        <v>64.150000000000006</v>
      </c>
      <c r="D2572">
        <v>69.72</v>
      </c>
      <c r="E2572">
        <v>69.73</v>
      </c>
      <c r="F2572">
        <v>-0.01</v>
      </c>
    </row>
    <row r="2573" spans="1:6" x14ac:dyDescent="0.3">
      <c r="A2573" t="str">
        <f>HYPERLINK("https://us2.cloudbeds.com/connect/10074733072513#/reservations/30664860430522?display=YQH68XPN9&amp;reservation_id=30664860430522", "YQH68XPN9")</f>
        <v>YQH68XPN9</v>
      </c>
      <c r="B2573" t="s">
        <v>492</v>
      </c>
      <c r="C2573">
        <v>64.150000000000006</v>
      </c>
      <c r="D2573">
        <v>69.72</v>
      </c>
      <c r="E2573">
        <v>69.73</v>
      </c>
      <c r="F2573">
        <v>-0.01</v>
      </c>
    </row>
    <row r="2574" spans="1:6" x14ac:dyDescent="0.3">
      <c r="A2574" t="str">
        <f>HYPERLINK("https://us2.cloudbeds.com/connect/10074733072513#/reservations/30664872452313?display=YQH6XN9WV&amp;reservation_id=30664872452313", "YQH6XN9WV")</f>
        <v>YQH6XN9WV</v>
      </c>
      <c r="B2574" t="s">
        <v>492</v>
      </c>
      <c r="C2574">
        <v>64.150000000000006</v>
      </c>
      <c r="D2574">
        <v>69.72</v>
      </c>
      <c r="E2574">
        <v>69.73</v>
      </c>
      <c r="F2574">
        <v>-0.01</v>
      </c>
    </row>
    <row r="2575" spans="1:6" x14ac:dyDescent="0.3">
      <c r="A2575" t="str">
        <f>HYPERLINK("https://us2.cloudbeds.com/connect/10074733072513#/reservations/30664966705375?display=YQH8W613C&amp;reservation_id=30664966705375", "YQH8W613C")</f>
        <v>YQH8W613C</v>
      </c>
      <c r="B2575" t="s">
        <v>488</v>
      </c>
      <c r="C2575">
        <v>187.2</v>
      </c>
      <c r="D2575">
        <v>203.48</v>
      </c>
      <c r="E2575">
        <v>203.49</v>
      </c>
      <c r="F2575">
        <v>-0.01</v>
      </c>
    </row>
    <row r="2576" spans="1:6" x14ac:dyDescent="0.3">
      <c r="A2576" t="str">
        <f>HYPERLINK("https://us2.cloudbeds.com/connect/10074733072513#/reservations/30665134047374?display=YQHD89XS1&amp;reservation_id=30665134047374", "YQHD89XS1")</f>
        <v>YQHD89XS1</v>
      </c>
      <c r="B2576" t="s">
        <v>476</v>
      </c>
      <c r="C2576">
        <v>238</v>
      </c>
      <c r="D2576">
        <v>258.7</v>
      </c>
      <c r="E2576">
        <v>258.70999999999998</v>
      </c>
      <c r="F2576">
        <v>-0.01</v>
      </c>
    </row>
    <row r="2577" spans="1:6" x14ac:dyDescent="0.3">
      <c r="A2577" t="str">
        <f>HYPERLINK("https://us2.cloudbeds.com/connect/10074733072513#/reservations/30663842787574?display=YQGD8FC06&amp;reservation_id=30663842787574", "YQGD8FC06")</f>
        <v>YQGD8FC06</v>
      </c>
      <c r="B2577" t="s">
        <v>497</v>
      </c>
      <c r="C2577">
        <v>87.2</v>
      </c>
      <c r="D2577">
        <v>94.78</v>
      </c>
      <c r="E2577">
        <v>94.79</v>
      </c>
      <c r="F2577">
        <v>-0.01</v>
      </c>
    </row>
    <row r="2578" spans="1:6" x14ac:dyDescent="0.3">
      <c r="A2578" t="str">
        <f>HYPERLINK("https://us2.cloudbeds.com/connect/10074733072513#/reservations/30663847190674?display=YQGDC5T8F&amp;reservation_id=30663847190674", "YQGDC5T8F")</f>
        <v>YQGDC5T8F</v>
      </c>
      <c r="B2578" t="s">
        <v>499</v>
      </c>
      <c r="C2578">
        <v>294.3</v>
      </c>
      <c r="D2578">
        <v>319.89</v>
      </c>
      <c r="E2578">
        <v>319.89999999999998</v>
      </c>
      <c r="F2578">
        <v>-0.01</v>
      </c>
    </row>
    <row r="2579" spans="1:6" x14ac:dyDescent="0.3">
      <c r="A2579" t="str">
        <f>HYPERLINK("https://us2.cloudbeds.com/connect/10074733072513#/reservations/30664919765200?display=YQH7PJS5R&amp;reservation_id=30664919765200", "YQH7PJS5R")</f>
        <v>YQH7PJS5R</v>
      </c>
      <c r="B2579" t="s">
        <v>488</v>
      </c>
      <c r="C2579">
        <v>64.150000000000006</v>
      </c>
      <c r="D2579">
        <v>69.72</v>
      </c>
      <c r="E2579">
        <v>69.73</v>
      </c>
      <c r="F2579">
        <v>-0.01</v>
      </c>
    </row>
    <row r="2580" spans="1:6" x14ac:dyDescent="0.3">
      <c r="A2580" t="str">
        <f>HYPERLINK("https://us2.cloudbeds.com/connect/10074733072513#/reservations/30663097454752?display=YQFR6WCH3&amp;reservation_id=30663097454752", "YQFR6WCH3")</f>
        <v>YQFR6WCH3</v>
      </c>
      <c r="B2580" t="s">
        <v>500</v>
      </c>
      <c r="C2580">
        <v>64.150000000000006</v>
      </c>
      <c r="D2580">
        <v>69.72</v>
      </c>
      <c r="E2580">
        <v>69.73</v>
      </c>
      <c r="F2580">
        <v>-0.01</v>
      </c>
    </row>
    <row r="2581" spans="1:6" x14ac:dyDescent="0.3">
      <c r="A2581" t="str">
        <f>HYPERLINK("https://us2.cloudbeds.com/connect/10074733072513#/reservations/30663079674075?display=YQFQZWJWN&amp;reservation_id=30663079674075", "YQFQZWJWN")</f>
        <v>YQFQZWJWN</v>
      </c>
      <c r="B2581" t="s">
        <v>500</v>
      </c>
      <c r="C2581">
        <v>64.150000000000006</v>
      </c>
      <c r="D2581">
        <v>69.72</v>
      </c>
      <c r="E2581">
        <v>69.73</v>
      </c>
      <c r="F2581">
        <v>-0.01</v>
      </c>
    </row>
    <row r="2582" spans="1:6" x14ac:dyDescent="0.3">
      <c r="A2582" t="str">
        <f>HYPERLINK("https://us2.cloudbeds.com/connect/10074733072513#/reservations/30663086411960?display=YQFQUM371&amp;reservation_id=30663086411960", "YQFQUM371")</f>
        <v>YQFQUM371</v>
      </c>
      <c r="B2582" t="s">
        <v>500</v>
      </c>
      <c r="C2582">
        <v>64.150000000000006</v>
      </c>
      <c r="D2582">
        <v>69.72</v>
      </c>
      <c r="E2582">
        <v>69.73</v>
      </c>
      <c r="F2582">
        <v>-0.01</v>
      </c>
    </row>
    <row r="2583" spans="1:6" x14ac:dyDescent="0.3">
      <c r="A2583" t="str">
        <f>HYPERLINK("https://us2.cloudbeds.com/connect/10074733072513#/reservations/30663900922048?display=YQGEJZTE0&amp;reservation_id=30663900922048", "YQGEJZTE0")</f>
        <v>YQGEJZTE0</v>
      </c>
      <c r="B2583" t="s">
        <v>499</v>
      </c>
      <c r="C2583">
        <v>64.150000000000006</v>
      </c>
      <c r="D2583">
        <v>69.72</v>
      </c>
      <c r="E2583">
        <v>69.73</v>
      </c>
      <c r="F2583">
        <v>-0.01</v>
      </c>
    </row>
    <row r="2584" spans="1:6" x14ac:dyDescent="0.3">
      <c r="A2584" t="str">
        <f>HYPERLINK("https://us2.cloudbeds.com/connect/10074733072513#/reservations/30663889129675?display=YQGEEHTZ9&amp;reservation_id=30663889129675", "YQGEEHTZ9")</f>
        <v>YQGEEHTZ9</v>
      </c>
      <c r="B2584" t="s">
        <v>499</v>
      </c>
      <c r="C2584">
        <v>64.150000000000006</v>
      </c>
      <c r="D2584">
        <v>69.72</v>
      </c>
      <c r="E2584">
        <v>69.73</v>
      </c>
      <c r="F2584">
        <v>-0.01</v>
      </c>
    </row>
    <row r="2585" spans="1:6" x14ac:dyDescent="0.3">
      <c r="A2585" t="str">
        <f>HYPERLINK("https://us2.cloudbeds.com/connect/10074733072513#/reservations/30662605357203?display=YQFEY11A5&amp;reservation_id=30662605357203", "YQFEY11A5")</f>
        <v>YQFEY11A5</v>
      </c>
      <c r="B2585" t="s">
        <v>479</v>
      </c>
      <c r="C2585">
        <v>64.150000000000006</v>
      </c>
      <c r="D2585">
        <v>69.72</v>
      </c>
      <c r="E2585">
        <v>69.73</v>
      </c>
      <c r="F2585">
        <v>-0.01</v>
      </c>
    </row>
    <row r="2586" spans="1:6" x14ac:dyDescent="0.3">
      <c r="A2586" t="str">
        <f>HYPERLINK("https://us2.cloudbeds.com/connect/10074733072513#/reservations/30665134051477?display=YQHD89MKC&amp;reservation_id=30665134051477", "YQHD89MKC")</f>
        <v>YQHD89MKC</v>
      </c>
      <c r="B2586" t="s">
        <v>476</v>
      </c>
      <c r="C2586">
        <v>119.2</v>
      </c>
      <c r="D2586">
        <v>129.56</v>
      </c>
      <c r="E2586">
        <v>129.57</v>
      </c>
      <c r="F2586">
        <v>-0.01</v>
      </c>
    </row>
    <row r="2587" spans="1:6" x14ac:dyDescent="0.3">
      <c r="A2587" t="str">
        <f>HYPERLINK("https://us2.cloudbeds.com/connect/10074733072513#/reservations/30662847721605?display=YQFKRD64W&amp;reservation_id=30662847721605", "YQFKRD64W")</f>
        <v>YQFKRD64W</v>
      </c>
      <c r="B2587" t="s">
        <v>496</v>
      </c>
      <c r="C2587">
        <v>187.2</v>
      </c>
      <c r="D2587">
        <v>203.48</v>
      </c>
      <c r="E2587">
        <v>203.49</v>
      </c>
      <c r="F2587">
        <v>-0.01</v>
      </c>
    </row>
    <row r="2588" spans="1:6" x14ac:dyDescent="0.3">
      <c r="A2588" t="str">
        <f>HYPERLINK("https://us2.cloudbeds.com/connect/10074733072513#/reservations/30665119969473?display=YQHCTDRFW&amp;reservation_id=30665119969473", "YQHCTDRFW")</f>
        <v>YQHCTDRFW</v>
      </c>
      <c r="B2588" t="s">
        <v>476</v>
      </c>
      <c r="C2588">
        <v>84.15</v>
      </c>
      <c r="D2588">
        <v>91.46</v>
      </c>
      <c r="E2588">
        <v>91.47</v>
      </c>
      <c r="F2588">
        <v>-0.01</v>
      </c>
    </row>
    <row r="2589" spans="1:6" x14ac:dyDescent="0.3">
      <c r="A2589" t="str">
        <f>HYPERLINK("https://us2.cloudbeds.com/connect/10074733072513#/reservations/30664937267328?display=YQH7W95KQ&amp;reservation_id=30664937267328", "YQH7W95KQ")</f>
        <v>YQH7W95KQ</v>
      </c>
      <c r="B2589" t="s">
        <v>501</v>
      </c>
      <c r="C2589">
        <v>250.2</v>
      </c>
      <c r="D2589">
        <v>271.95999999999998</v>
      </c>
      <c r="E2589">
        <v>271.97000000000003</v>
      </c>
      <c r="F2589">
        <v>-0.01</v>
      </c>
    </row>
    <row r="2590" spans="1:6" x14ac:dyDescent="0.3">
      <c r="A2590" t="str">
        <f>HYPERLINK("https://us2.cloudbeds.com/connect/10074733072513#/reservations/30663482421388?display=YQG41JY7Z&amp;reservation_id=30663482421388", "YQG41JY7Z")</f>
        <v>YQG41JY7Z</v>
      </c>
      <c r="B2590" t="s">
        <v>502</v>
      </c>
      <c r="C2590">
        <v>72.17</v>
      </c>
      <c r="D2590">
        <v>78.44</v>
      </c>
      <c r="E2590">
        <v>78.45</v>
      </c>
      <c r="F2590">
        <v>-0.01</v>
      </c>
    </row>
    <row r="2591" spans="1:6" x14ac:dyDescent="0.3">
      <c r="A2591" t="str">
        <f>HYPERLINK("https://us2.cloudbeds.com/connect/10074733072513#/reservations/30663508353227?display=YQG4NF7P1&amp;reservation_id=30663508353227", "YQG4NF7P1")</f>
        <v>YQG4NF7P1</v>
      </c>
      <c r="B2591" t="s">
        <v>503</v>
      </c>
      <c r="C2591">
        <v>64.150000000000006</v>
      </c>
      <c r="D2591">
        <v>69.72</v>
      </c>
      <c r="E2591">
        <v>69.73</v>
      </c>
      <c r="F2591">
        <v>-0.01</v>
      </c>
    </row>
    <row r="2592" spans="1:6" x14ac:dyDescent="0.3">
      <c r="A2592" t="str">
        <f>HYPERLINK("https://us2.cloudbeds.com/connect/10074733072513#/reservations/30664311734473?display=YQGP7TGJ8&amp;reservation_id=30664311734473", "YQGP7TGJ8")</f>
        <v>YQGP7TGJ8</v>
      </c>
      <c r="B2592" t="s">
        <v>501</v>
      </c>
      <c r="C2592">
        <v>72.17</v>
      </c>
      <c r="D2592">
        <v>78.44</v>
      </c>
      <c r="E2592">
        <v>78.45</v>
      </c>
      <c r="F2592">
        <v>-0.01</v>
      </c>
    </row>
    <row r="2593" spans="1:6" x14ac:dyDescent="0.3">
      <c r="A2593" t="str">
        <f>HYPERLINK("https://us2.cloudbeds.com/connect/10074733072513#/reservations/30664296980627?display=YQGZSEVH0&amp;reservation_id=30664296980627", "YQGZSEVH0")</f>
        <v>YQGZSEVH0</v>
      </c>
      <c r="B2593" t="s">
        <v>501</v>
      </c>
      <c r="C2593">
        <v>72.17</v>
      </c>
      <c r="D2593">
        <v>78.44</v>
      </c>
      <c r="E2593">
        <v>78.45</v>
      </c>
      <c r="F2593">
        <v>-0.01</v>
      </c>
    </row>
    <row r="2594" spans="1:6" x14ac:dyDescent="0.3">
      <c r="A2594" t="str">
        <f>HYPERLINK("https://us2.cloudbeds.com/connect/10074733072513#/reservations/30664137900176?display=YQGKQAA4A&amp;reservation_id=30664137900176", "YQGKQAA4A")</f>
        <v>YQGKQAA4A</v>
      </c>
      <c r="B2594" t="s">
        <v>503</v>
      </c>
      <c r="C2594">
        <v>64.150000000000006</v>
      </c>
      <c r="D2594">
        <v>69.72</v>
      </c>
      <c r="E2594">
        <v>69.73</v>
      </c>
      <c r="F2594">
        <v>-0.01</v>
      </c>
    </row>
    <row r="2595" spans="1:6" x14ac:dyDescent="0.3">
      <c r="A2595" t="str">
        <f>HYPERLINK("https://us2.cloudbeds.com/connect/10074733072513#/reservations/30664589353125?display=YQGWAWYFN&amp;reservation_id=30664589353125", "YQGWAWYFN")</f>
        <v>YQGWAWYFN</v>
      </c>
      <c r="B2595" t="s">
        <v>475</v>
      </c>
      <c r="C2595">
        <v>64.150000000000006</v>
      </c>
      <c r="D2595">
        <v>69.72</v>
      </c>
      <c r="E2595">
        <v>69.73</v>
      </c>
      <c r="F2595">
        <v>-0.01</v>
      </c>
    </row>
    <row r="2596" spans="1:6" x14ac:dyDescent="0.3">
      <c r="A2596" t="str">
        <f>HYPERLINK("https://us2.cloudbeds.com/connect/10074733072513#/reservations/30664786591919?display=YQH4CA3YS&amp;reservation_id=30664786591919", "YQH4CA3YS")</f>
        <v>YQH4CA3YS</v>
      </c>
      <c r="B2596" t="s">
        <v>505</v>
      </c>
      <c r="C2596">
        <v>64.150000000000006</v>
      </c>
      <c r="D2596">
        <v>69.72</v>
      </c>
      <c r="E2596">
        <v>69.73</v>
      </c>
      <c r="F2596">
        <v>-0.01</v>
      </c>
    </row>
    <row r="2597" spans="1:6" x14ac:dyDescent="0.3">
      <c r="A2597" t="str">
        <f>HYPERLINK("https://us2.cloudbeds.com/connect/10074733072513#/reservations/30664146874591?display=YQGY0T139&amp;reservation_id=30664146874591", "YQGY0T139")</f>
        <v>YQGY0T139</v>
      </c>
      <c r="B2597" t="s">
        <v>503</v>
      </c>
      <c r="C2597">
        <v>64.150000000000006</v>
      </c>
      <c r="D2597">
        <v>69.72</v>
      </c>
      <c r="E2597">
        <v>69.73</v>
      </c>
      <c r="F2597">
        <v>-0.01</v>
      </c>
    </row>
    <row r="2598" spans="1:6" x14ac:dyDescent="0.3">
      <c r="A2598" t="str">
        <f>HYPERLINK("https://us2.cloudbeds.com/connect/10074733072513#/reservations/30664325828770?display=YQGPJPN06&amp;reservation_id=30664325828770", "YQGPJPN06")</f>
        <v>YQGPJPN06</v>
      </c>
      <c r="B2598" t="s">
        <v>501</v>
      </c>
      <c r="C2598">
        <v>196.2</v>
      </c>
      <c r="D2598">
        <v>213.26</v>
      </c>
      <c r="E2598">
        <v>213.27</v>
      </c>
      <c r="F2598">
        <v>-0.01</v>
      </c>
    </row>
    <row r="2599" spans="1:6" x14ac:dyDescent="0.3">
      <c r="A2599" t="str">
        <f>HYPERLINK("https://us2.cloudbeds.com/connect/10074733072513#/reservations/30664606531797?display=YQGWPFM6H&amp;reservation_id=30664606531797", "YQGWPFM6H")</f>
        <v>YQGWPFM6H</v>
      </c>
      <c r="B2599" t="s">
        <v>475</v>
      </c>
      <c r="C2599">
        <v>64.150000000000006</v>
      </c>
      <c r="D2599">
        <v>69.72</v>
      </c>
      <c r="E2599">
        <v>69.73</v>
      </c>
      <c r="F2599">
        <v>-0.01</v>
      </c>
    </row>
    <row r="2600" spans="1:6" x14ac:dyDescent="0.3">
      <c r="A2600" t="str">
        <f>HYPERLINK("https://us2.cloudbeds.com/connect/10074733072513#/reservations/30664619544830?display=YQH03EPNS&amp;reservation_id=30664619544830", "YQH03EPNS")</f>
        <v>YQH03EPNS</v>
      </c>
      <c r="B2600" t="s">
        <v>475</v>
      </c>
      <c r="C2600">
        <v>64.150000000000006</v>
      </c>
      <c r="D2600">
        <v>69.72</v>
      </c>
      <c r="E2600">
        <v>69.73</v>
      </c>
      <c r="F2600">
        <v>-0.01</v>
      </c>
    </row>
    <row r="2601" spans="1:6" x14ac:dyDescent="0.3">
      <c r="A2601" t="str">
        <f>HYPERLINK("https://us2.cloudbeds.com/connect/10074733072513#/reservations/30664215089309?display=YQGMPD6SV&amp;reservation_id=30664215089309", "YQGMPD6SV")</f>
        <v>YQGMPD6SV</v>
      </c>
      <c r="B2601" t="s">
        <v>475</v>
      </c>
      <c r="C2601">
        <v>64.150000000000006</v>
      </c>
      <c r="D2601">
        <v>69.72</v>
      </c>
      <c r="E2601">
        <v>69.73</v>
      </c>
      <c r="F2601">
        <v>-0.01</v>
      </c>
    </row>
    <row r="2602" spans="1:6" x14ac:dyDescent="0.3">
      <c r="A2602" t="str">
        <f>HYPERLINK("https://us2.cloudbeds.com/connect/10074733072513#/reservations/30664638468338?display=YQH0JDBMG&amp;reservation_id=30664638468338", "YQH0JDBMG")</f>
        <v>YQH0JDBMG</v>
      </c>
      <c r="B2602" t="s">
        <v>475</v>
      </c>
      <c r="C2602">
        <v>64.150000000000006</v>
      </c>
      <c r="D2602">
        <v>69.72</v>
      </c>
      <c r="E2602">
        <v>69.73</v>
      </c>
      <c r="F2602">
        <v>-0.01</v>
      </c>
    </row>
    <row r="2603" spans="1:6" x14ac:dyDescent="0.3">
      <c r="A2603" t="str">
        <f>HYPERLINK("https://us2.cloudbeds.com/connect/10074733072513#/reservations/30665192788103?display=YQHEZR3U4&amp;reservation_id=30665192788103", "YQHEZR3U4")</f>
        <v>YQHEZR3U4</v>
      </c>
      <c r="B2603" t="s">
        <v>506</v>
      </c>
      <c r="C2603">
        <v>80.099999999999994</v>
      </c>
      <c r="D2603">
        <v>87.06</v>
      </c>
      <c r="E2603">
        <v>87.07</v>
      </c>
      <c r="F2603">
        <v>-0.01</v>
      </c>
    </row>
    <row r="2604" spans="1:6" x14ac:dyDescent="0.3">
      <c r="A2604" t="str">
        <f>HYPERLINK("https://us2.cloudbeds.com/connect/10074733072513#/reservations/30664890302613?display=YQH70P0F5&amp;reservation_id=30664890302613", "YQH70P0F5")</f>
        <v>YQH70P0F5</v>
      </c>
      <c r="B2604" t="s">
        <v>501</v>
      </c>
      <c r="C2604">
        <v>64.150000000000006</v>
      </c>
      <c r="D2604">
        <v>69.72</v>
      </c>
      <c r="E2604">
        <v>69.73</v>
      </c>
      <c r="F2604">
        <v>-0.01</v>
      </c>
    </row>
    <row r="2605" spans="1:6" x14ac:dyDescent="0.3">
      <c r="A2605" t="str">
        <f>HYPERLINK("https://us2.cloudbeds.com/connect/10074733072513#/reservations/30663590211753?display=YQG6QG29E&amp;reservation_id=30663590211753", "YQG6QG29E")</f>
        <v>YQG6QG29E</v>
      </c>
      <c r="B2605" t="s">
        <v>504</v>
      </c>
      <c r="C2605">
        <v>64.150000000000006</v>
      </c>
      <c r="D2605">
        <v>69.72</v>
      </c>
      <c r="E2605">
        <v>69.73</v>
      </c>
      <c r="F2605">
        <v>-0.01</v>
      </c>
    </row>
    <row r="2606" spans="1:6" x14ac:dyDescent="0.3">
      <c r="A2606" t="str">
        <f>HYPERLINK("https://us2.cloudbeds.com/connect/10074733072513#/reservations/30665172164818?display=YQHE7E833&amp;reservation_id=30665172164818", "YQHE7E833")</f>
        <v>YQHE7E833</v>
      </c>
      <c r="B2606" t="s">
        <v>493</v>
      </c>
      <c r="C2606">
        <v>87.2</v>
      </c>
      <c r="D2606">
        <v>94.78</v>
      </c>
      <c r="E2606">
        <v>94.79</v>
      </c>
      <c r="F2606">
        <v>-0.01</v>
      </c>
    </row>
    <row r="2607" spans="1:6" x14ac:dyDescent="0.3">
      <c r="A2607" t="str">
        <f>HYPERLINK("https://us2.cloudbeds.com/connect/10074733072513#/reservations/30665311416506?display=YQHHPS486&amp;reservation_id=30665311416506", "YQHHPS486")</f>
        <v>YQHHPS486</v>
      </c>
      <c r="B2607" t="s">
        <v>507</v>
      </c>
      <c r="C2607">
        <v>196.2</v>
      </c>
      <c r="D2607">
        <v>213.26</v>
      </c>
      <c r="E2607">
        <v>213.27</v>
      </c>
      <c r="F2607">
        <v>-0.01</v>
      </c>
    </row>
    <row r="2608" spans="1:6" x14ac:dyDescent="0.3">
      <c r="A2608" t="str">
        <f>HYPERLINK("https://us2.cloudbeds.com/connect/10074733072513#/reservations/30665224708231?display=YQHFXZBAZ&amp;reservation_id=30665224708231", "YQHFXZBAZ")</f>
        <v>YQHFXZBAZ</v>
      </c>
      <c r="B2608" t="s">
        <v>506</v>
      </c>
      <c r="C2608">
        <v>64.150000000000006</v>
      </c>
      <c r="D2608">
        <v>69.72</v>
      </c>
      <c r="E2608">
        <v>69.73</v>
      </c>
      <c r="F2608">
        <v>-0.01</v>
      </c>
    </row>
    <row r="2609" spans="1:6" x14ac:dyDescent="0.3">
      <c r="A2609" t="str">
        <f>HYPERLINK("https://us2.cloudbeds.com/connect/10074733072513#/reservations/30662313652474?display=YQF761UHU&amp;reservation_id=30662313652474", "YQF761UHU")</f>
        <v>YQF761UHU</v>
      </c>
      <c r="B2609" t="s">
        <v>506</v>
      </c>
      <c r="C2609">
        <v>64.150000000000006</v>
      </c>
      <c r="D2609">
        <v>69.72</v>
      </c>
      <c r="E2609">
        <v>69.73</v>
      </c>
      <c r="F2609">
        <v>-0.01</v>
      </c>
    </row>
    <row r="2610" spans="1:6" x14ac:dyDescent="0.3">
      <c r="A2610" t="str">
        <f>HYPERLINK("https://us2.cloudbeds.com/connect/10074733072513#/reservations/30664366006409?display=YQGQKYN2D&amp;reservation_id=30664366006409", "YQGQKYN2D")</f>
        <v>YQGQKYN2D</v>
      </c>
      <c r="B2610" t="s">
        <v>508</v>
      </c>
      <c r="C2610">
        <v>80.099999999999994</v>
      </c>
      <c r="D2610">
        <v>87.06</v>
      </c>
      <c r="E2610">
        <v>87.07</v>
      </c>
      <c r="F2610">
        <v>-0.01</v>
      </c>
    </row>
    <row r="2611" spans="1:6" x14ac:dyDescent="0.3">
      <c r="A2611" t="str">
        <f>HYPERLINK("https://us2.cloudbeds.com/connect/10074733072513#/reservations/30665221832945?display=YQHFGAB0S&amp;reservation_id=30665221832945", "YQHFGAB0S")</f>
        <v>YQHFGAB0S</v>
      </c>
      <c r="B2611" t="s">
        <v>506</v>
      </c>
      <c r="C2611">
        <v>64.150000000000006</v>
      </c>
      <c r="D2611">
        <v>69.72</v>
      </c>
      <c r="E2611">
        <v>69.73</v>
      </c>
      <c r="F2611">
        <v>-0.01</v>
      </c>
    </row>
    <row r="2612" spans="1:6" x14ac:dyDescent="0.3">
      <c r="A2612" t="str">
        <f>HYPERLINK("https://us2.cloudbeds.com/connect/10074733072513#/reservations/30663295676636?display=YQFW946ES&amp;reservation_id=30663295676636", "YQFW946ES")</f>
        <v>YQFW946ES</v>
      </c>
      <c r="B2612" t="s">
        <v>509</v>
      </c>
      <c r="C2612">
        <v>72.17</v>
      </c>
      <c r="D2612">
        <v>78.44</v>
      </c>
      <c r="E2612">
        <v>78.45</v>
      </c>
      <c r="F2612">
        <v>-0.01</v>
      </c>
    </row>
    <row r="2613" spans="1:6" x14ac:dyDescent="0.3">
      <c r="A2613" t="str">
        <f>HYPERLINK("https://us2.cloudbeds.com/connect/10074733072513#/reservations/30665172168922?display=YQHE7EBSF&amp;reservation_id=30665172168922", "YQHE7EBSF")</f>
        <v>YQHE7EBSF</v>
      </c>
      <c r="B2613" t="s">
        <v>493</v>
      </c>
      <c r="C2613">
        <v>72.17</v>
      </c>
      <c r="D2613">
        <v>78.44</v>
      </c>
      <c r="E2613">
        <v>78.45</v>
      </c>
      <c r="F2613">
        <v>-0.01</v>
      </c>
    </row>
    <row r="2614" spans="1:6" x14ac:dyDescent="0.3">
      <c r="A2614" t="str">
        <f>HYPERLINK("https://us2.cloudbeds.com/connect/10074733072513#/reservations/30663550361747?display=YQG5PT62G&amp;reservation_id=30663550361747", "YQG5PT62G")</f>
        <v>YQG5PT62G</v>
      </c>
      <c r="B2614" t="s">
        <v>510</v>
      </c>
      <c r="C2614">
        <v>64.150000000000006</v>
      </c>
      <c r="D2614">
        <v>69.72</v>
      </c>
      <c r="E2614">
        <v>69.73</v>
      </c>
      <c r="F2614">
        <v>-0.01</v>
      </c>
    </row>
    <row r="2615" spans="1:6" x14ac:dyDescent="0.3">
      <c r="A2615" t="str">
        <f>HYPERLINK("https://us2.cloudbeds.com/connect/10074733072513#/reservations/30663306305724?display=YQFWX2VSE&amp;reservation_id=30663306305724", "YQFWX2VSE")</f>
        <v>YQFWX2VSE</v>
      </c>
      <c r="B2615" t="s">
        <v>509</v>
      </c>
      <c r="C2615">
        <v>64.150000000000006</v>
      </c>
      <c r="D2615">
        <v>69.72</v>
      </c>
      <c r="E2615">
        <v>69.73</v>
      </c>
      <c r="F2615">
        <v>-0.01</v>
      </c>
    </row>
    <row r="2616" spans="1:6" x14ac:dyDescent="0.3">
      <c r="A2616" t="str">
        <f>HYPERLINK("https://us2.cloudbeds.com/connect/10074733072513#/reservations/30663304696039?display=YQFWGZ5Z3&amp;reservation_id=30663304696039", "YQFWGZ5Z3")</f>
        <v>YQFWGZ5Z3</v>
      </c>
      <c r="B2616" t="s">
        <v>509</v>
      </c>
      <c r="C2616">
        <v>64.150000000000006</v>
      </c>
      <c r="D2616">
        <v>69.72</v>
      </c>
      <c r="E2616">
        <v>69.73</v>
      </c>
      <c r="F2616">
        <v>-0.01</v>
      </c>
    </row>
    <row r="2617" spans="1:6" x14ac:dyDescent="0.3">
      <c r="A2617" t="str">
        <f>HYPERLINK("https://us2.cloudbeds.com/connect/10074733072513#/reservations/30664229990566?display=YQGN4VSA6&amp;reservation_id=30664229990566", "YQGN4VSA6")</f>
        <v>YQGN4VSA6</v>
      </c>
      <c r="B2617" t="s">
        <v>504</v>
      </c>
      <c r="C2617">
        <v>84.15</v>
      </c>
      <c r="D2617">
        <v>91.46</v>
      </c>
      <c r="E2617">
        <v>91.47</v>
      </c>
      <c r="F2617">
        <v>-0.01</v>
      </c>
    </row>
    <row r="2618" spans="1:6" x14ac:dyDescent="0.3">
      <c r="A2618" t="str">
        <f>HYPERLINK("https://us2.cloudbeds.com/connect/10074733072513#/reservations/30663579746528?display=YQG6HYSBD&amp;reservation_id=30663579746528", "YQG6HYSBD")</f>
        <v>YQG6HYSBD</v>
      </c>
      <c r="B2618" t="s">
        <v>504</v>
      </c>
      <c r="C2618">
        <v>68.16</v>
      </c>
      <c r="D2618">
        <v>74.08</v>
      </c>
      <c r="E2618">
        <v>74.09</v>
      </c>
      <c r="F2618">
        <v>-0.01</v>
      </c>
    </row>
    <row r="2619" spans="1:6" x14ac:dyDescent="0.3">
      <c r="A2619" t="str">
        <f>HYPERLINK("https://us2.cloudbeds.com/connect/10074733072513#/reservations/30664597766303?display=YQGWX2P2G&amp;reservation_id=30664597766303", "YQGWX2P2G")</f>
        <v>YQGWX2P2G</v>
      </c>
      <c r="B2619" t="s">
        <v>511</v>
      </c>
      <c r="C2619">
        <v>84.15</v>
      </c>
      <c r="D2619">
        <v>91.46</v>
      </c>
      <c r="E2619">
        <v>91.47</v>
      </c>
      <c r="F2619">
        <v>-0.01</v>
      </c>
    </row>
    <row r="2620" spans="1:6" x14ac:dyDescent="0.3">
      <c r="A2620" t="str">
        <f>HYPERLINK("https://us2.cloudbeds.com/connect/10074733072513#/reservations/30663310999763?display=YQFWM1J8W&amp;reservation_id=30663310999763", "YQFWM1J8W")</f>
        <v>YQFWM1J8W</v>
      </c>
      <c r="B2620" t="s">
        <v>509</v>
      </c>
      <c r="C2620">
        <v>68.16</v>
      </c>
      <c r="D2620">
        <v>74.08</v>
      </c>
      <c r="E2620">
        <v>74.09</v>
      </c>
      <c r="F2620">
        <v>-0.01</v>
      </c>
    </row>
    <row r="2621" spans="1:6" x14ac:dyDescent="0.3">
      <c r="A2621" t="str">
        <f>HYPERLINK("https://us2.cloudbeds.com/connect/10074733072513#/reservations/30665166499969?display=YQHE2YK70&amp;reservation_id=30665166499969", "YQHE2YK70")</f>
        <v>YQHE2YK70</v>
      </c>
      <c r="B2621" t="s">
        <v>493</v>
      </c>
      <c r="C2621">
        <v>158.91999999999999</v>
      </c>
      <c r="D2621">
        <v>172.74</v>
      </c>
      <c r="E2621">
        <v>172.75</v>
      </c>
      <c r="F2621">
        <v>-0.01</v>
      </c>
    </row>
    <row r="2622" spans="1:6" x14ac:dyDescent="0.3">
      <c r="A2622" t="str">
        <f>HYPERLINK("https://us2.cloudbeds.com/connect/10074733072513#/reservations/30665334296739?display=YQHXC4QXK&amp;reservation_id=30665334296739", "YQHXC4QXK")</f>
        <v>YQHXC4QXK</v>
      </c>
      <c r="B2622" t="s">
        <v>507</v>
      </c>
      <c r="C2622">
        <v>68.16</v>
      </c>
      <c r="D2622">
        <v>74.08</v>
      </c>
      <c r="E2622">
        <v>74.09</v>
      </c>
      <c r="F2622">
        <v>-0.01</v>
      </c>
    </row>
    <row r="2623" spans="1:6" x14ac:dyDescent="0.3">
      <c r="A2623" t="str">
        <f>HYPERLINK("https://us2.cloudbeds.com/connect/10074733072513#/reservations/30668416254101?display=YQJV3UQPU&amp;reservation_id=30668416254101", "YQJV3UQPU")</f>
        <v>YQJV3UQPU</v>
      </c>
      <c r="B2623" t="s">
        <v>416</v>
      </c>
      <c r="C2623">
        <v>134.1</v>
      </c>
      <c r="D2623">
        <v>145.76</v>
      </c>
      <c r="E2623">
        <v>145.77000000000001</v>
      </c>
      <c r="F2623">
        <v>-0.01</v>
      </c>
    </row>
    <row r="2624" spans="1:6" x14ac:dyDescent="0.3">
      <c r="A2624" t="str">
        <f>HYPERLINK("https://us2.cloudbeds.com/connect/10074733072513#/reservations/30664242266305?display=YQGNFAEQ9&amp;reservation_id=30664242266305", "YQGNFAEQ9")</f>
        <v>YQGNFAEQ9</v>
      </c>
      <c r="B2624" t="s">
        <v>507</v>
      </c>
      <c r="C2624">
        <v>72.17</v>
      </c>
      <c r="D2624">
        <v>78.44</v>
      </c>
      <c r="E2624">
        <v>78.45</v>
      </c>
      <c r="F2624">
        <v>-0.01</v>
      </c>
    </row>
    <row r="2625" spans="1:6" x14ac:dyDescent="0.3">
      <c r="A2625" t="str">
        <f>HYPERLINK("https://us2.cloudbeds.com/connect/10074733072513#/reservations/30665328210121?display=YQHX70ECY&amp;reservation_id=30665328210121", "YQHX70ECY")</f>
        <v>YQHX70ECY</v>
      </c>
      <c r="B2625" t="s">
        <v>507</v>
      </c>
      <c r="C2625">
        <v>68.16</v>
      </c>
      <c r="D2625">
        <v>74.08</v>
      </c>
      <c r="E2625">
        <v>74.09</v>
      </c>
      <c r="F2625">
        <v>-0.01</v>
      </c>
    </row>
    <row r="2626" spans="1:6" x14ac:dyDescent="0.3">
      <c r="A2626" t="str">
        <f>HYPERLINK("https://us2.cloudbeds.com/connect/10074733072513#/reservations/30664242266366?display=YQGNFAES4&amp;reservation_id=30664242266366", "YQGNFAES4")</f>
        <v>YQGNFAES4</v>
      </c>
      <c r="B2626" t="s">
        <v>507</v>
      </c>
      <c r="C2626">
        <v>68.16</v>
      </c>
      <c r="D2626">
        <v>74.08</v>
      </c>
      <c r="E2626">
        <v>74.09</v>
      </c>
      <c r="F2626">
        <v>-0.01</v>
      </c>
    </row>
    <row r="2627" spans="1:6" x14ac:dyDescent="0.3">
      <c r="A2627" t="str">
        <f>HYPERLINK("https://us2.cloudbeds.com/connect/10074733072513#/reservations/30664730226943?display=YQH2UPM69&amp;reservation_id=30664730226943", "YQH2UPM69")</f>
        <v>YQH2UPM69</v>
      </c>
      <c r="B2627" t="s">
        <v>434</v>
      </c>
      <c r="C2627">
        <v>294.3</v>
      </c>
      <c r="D2627">
        <v>319.89</v>
      </c>
      <c r="E2627">
        <v>319.89999999999998</v>
      </c>
      <c r="F2627">
        <v>-0.01</v>
      </c>
    </row>
    <row r="2628" spans="1:6" x14ac:dyDescent="0.3">
      <c r="A2628" t="str">
        <f>HYPERLINK("https://us2.cloudbeds.com/connect/10074733072513#/reservations/30664281403603?display=YQGZFAGX0&amp;reservation_id=30664281403603", "YQGZFAGX0")</f>
        <v>YQGZFAGX0</v>
      </c>
      <c r="B2628" t="s">
        <v>513</v>
      </c>
      <c r="C2628">
        <v>72.17</v>
      </c>
      <c r="D2628">
        <v>78.44</v>
      </c>
      <c r="E2628">
        <v>78.45</v>
      </c>
      <c r="F2628">
        <v>-0.01</v>
      </c>
    </row>
    <row r="2629" spans="1:6" x14ac:dyDescent="0.3">
      <c r="A2629" t="str">
        <f>HYPERLINK("https://us2.cloudbeds.com/connect/10074733072513#/reservations/30665368924306?display=YQHJ8BC4R&amp;reservation_id=30665368924306", "YQHJ8BC4R")</f>
        <v>YQHJ8BC4R</v>
      </c>
      <c r="B2629" t="s">
        <v>514</v>
      </c>
      <c r="C2629">
        <v>68.16</v>
      </c>
      <c r="D2629">
        <v>74.08</v>
      </c>
      <c r="E2629">
        <v>74.09</v>
      </c>
      <c r="F2629">
        <v>-0.01</v>
      </c>
    </row>
    <row r="2630" spans="1:6" x14ac:dyDescent="0.3">
      <c r="A2630" t="str">
        <f>HYPERLINK("https://us2.cloudbeds.com/connect/10074733072513#/reservations/30664735776967?display=YQH32F3KR&amp;reservation_id=30664735776967", "YQH32F3KR")</f>
        <v>YQH32F3KR</v>
      </c>
      <c r="B2630" t="s">
        <v>515</v>
      </c>
      <c r="C2630">
        <v>68.16</v>
      </c>
      <c r="D2630">
        <v>74.08</v>
      </c>
      <c r="E2630">
        <v>74.09</v>
      </c>
      <c r="F2630">
        <v>-0.01</v>
      </c>
    </row>
    <row r="2631" spans="1:6" x14ac:dyDescent="0.3">
      <c r="A2631" t="str">
        <f>HYPERLINK("https://us2.cloudbeds.com/connect/10074733072513#/reservations/30665390514408?display=YQHJQX4PB&amp;reservation_id=30665390514408", "YQHJQX4PB")</f>
        <v>YQHJQX4PB</v>
      </c>
      <c r="B2631" t="s">
        <v>514</v>
      </c>
      <c r="C2631">
        <v>68.16</v>
      </c>
      <c r="D2631">
        <v>74.08</v>
      </c>
      <c r="E2631">
        <v>74.09</v>
      </c>
      <c r="F2631">
        <v>-0.01</v>
      </c>
    </row>
    <row r="2632" spans="1:6" x14ac:dyDescent="0.3">
      <c r="A2632" t="str">
        <f>HYPERLINK("https://us2.cloudbeds.com/connect/10074733072513#/reservations/30663968493762?display=YQGGFFAMK&amp;reservation_id=30663968493762", "YQGGFFAMK")</f>
        <v>YQGGFFAMK</v>
      </c>
      <c r="B2632" t="s">
        <v>516</v>
      </c>
      <c r="C2632">
        <v>68.16</v>
      </c>
      <c r="D2632">
        <v>74.08</v>
      </c>
      <c r="E2632">
        <v>74.09</v>
      </c>
      <c r="F2632">
        <v>-0.01</v>
      </c>
    </row>
    <row r="2633" spans="1:6" x14ac:dyDescent="0.3">
      <c r="A2633" t="str">
        <f>HYPERLINK("https://us2.cloudbeds.com/connect/10074733072513#/reservations/30663973347481?display=YQGGJXCZ0&amp;reservation_id=30663973347481", "YQGGJXCZ0")</f>
        <v>YQGGJXCZ0</v>
      </c>
      <c r="B2633" t="s">
        <v>516</v>
      </c>
      <c r="C2633">
        <v>68.16</v>
      </c>
      <c r="D2633">
        <v>74.08</v>
      </c>
      <c r="E2633">
        <v>74.09</v>
      </c>
      <c r="F2633">
        <v>-0.01</v>
      </c>
    </row>
    <row r="2634" spans="1:6" x14ac:dyDescent="0.3">
      <c r="A2634" t="str">
        <f>HYPERLINK("https://us2.cloudbeds.com/connect/10074733072513#/reservations/30664483832040?display=YQGTY0C82&amp;reservation_id=30664483832040", "YQGTY0C82")</f>
        <v>YQGTY0C82</v>
      </c>
      <c r="B2634" t="s">
        <v>517</v>
      </c>
      <c r="C2634">
        <v>68.16</v>
      </c>
      <c r="D2634">
        <v>74.08</v>
      </c>
      <c r="E2634">
        <v>74.09</v>
      </c>
      <c r="F2634">
        <v>-0.01</v>
      </c>
    </row>
    <row r="2635" spans="1:6" x14ac:dyDescent="0.3">
      <c r="A2635" t="str">
        <f>HYPERLINK("https://us2.cloudbeds.com/connect/10074733072513#/reservations/30661426036928?display=YQEHA155W&amp;reservation_id=30661426036928", "YQEHA155W")</f>
        <v>YQEHA155W</v>
      </c>
      <c r="B2635" t="s">
        <v>518</v>
      </c>
      <c r="C2635">
        <v>68.16</v>
      </c>
      <c r="D2635">
        <v>74.08</v>
      </c>
      <c r="E2635">
        <v>74.09</v>
      </c>
      <c r="F2635">
        <v>-0.01</v>
      </c>
    </row>
    <row r="2636" spans="1:6" x14ac:dyDescent="0.3">
      <c r="A2636" t="str">
        <f>HYPERLINK("https://us2.cloudbeds.com/connect/10074733072513#/reservations/30664097763490?display=YQGJPFEM3&amp;reservation_id=30664097763490", "YQGJPFEM3")</f>
        <v>YQGJPFEM3</v>
      </c>
      <c r="B2636" t="s">
        <v>519</v>
      </c>
      <c r="C2636">
        <v>184.51</v>
      </c>
      <c r="D2636">
        <v>200.55</v>
      </c>
      <c r="E2636">
        <v>200.56</v>
      </c>
      <c r="F2636">
        <v>-0.01</v>
      </c>
    </row>
    <row r="2637" spans="1:6" x14ac:dyDescent="0.3">
      <c r="A2637" t="str">
        <f>HYPERLINK("https://us2.cloudbeds.com/connect/10074733072513#/reservations/30663945355481?display=YQGFSVFDJ&amp;reservation_id=30663945355481", "YQGFSVFDJ")</f>
        <v>YQGFSVFDJ</v>
      </c>
      <c r="B2637" t="s">
        <v>516</v>
      </c>
      <c r="C2637">
        <v>68.16</v>
      </c>
      <c r="D2637">
        <v>74.08</v>
      </c>
      <c r="E2637">
        <v>74.09</v>
      </c>
      <c r="F2637">
        <v>-0.01</v>
      </c>
    </row>
    <row r="2638" spans="1:6" x14ac:dyDescent="0.3">
      <c r="A2638" t="str">
        <f>HYPERLINK("https://us2.cloudbeds.com/connect/10074733072513#/reservations/30664464859268?display=YQGT50E1J&amp;reservation_id=30664464859268", "YQGT50E1J")</f>
        <v>YQGT50E1J</v>
      </c>
      <c r="B2638" t="s">
        <v>519</v>
      </c>
      <c r="C2638">
        <v>196.2</v>
      </c>
      <c r="D2638">
        <v>213.26</v>
      </c>
      <c r="E2638">
        <v>213.27</v>
      </c>
      <c r="F2638">
        <v>-0.01</v>
      </c>
    </row>
    <row r="2639" spans="1:6" x14ac:dyDescent="0.3">
      <c r="A2639" t="str">
        <f>HYPERLINK("https://us2.cloudbeds.com/connect/10074733072513#/reservations/30665000161491?display=YQH9RCWW2&amp;reservation_id=30665000161491", "YQH9RCWW2")</f>
        <v>YQH9RCWW2</v>
      </c>
      <c r="B2639" t="s">
        <v>520</v>
      </c>
      <c r="C2639">
        <v>68.16</v>
      </c>
      <c r="D2639">
        <v>74.08</v>
      </c>
      <c r="E2639">
        <v>74.09</v>
      </c>
      <c r="F2639">
        <v>-0.01</v>
      </c>
    </row>
    <row r="2640" spans="1:6" x14ac:dyDescent="0.3">
      <c r="A2640" t="str">
        <f>HYPERLINK("https://us2.cloudbeds.com/connect/10074733072513#/reservations/30663748001949?display=YQGARHQRW&amp;reservation_id=30663748001949", "YQGARHQRW")</f>
        <v>YQGARHQRW</v>
      </c>
      <c r="B2640" t="s">
        <v>521</v>
      </c>
      <c r="C2640">
        <v>68.16</v>
      </c>
      <c r="D2640">
        <v>74.08</v>
      </c>
      <c r="E2640">
        <v>74.09</v>
      </c>
      <c r="F2640">
        <v>-0.01</v>
      </c>
    </row>
    <row r="2641" spans="1:6" x14ac:dyDescent="0.3">
      <c r="A2641" t="str">
        <f>HYPERLINK("https://us2.cloudbeds.com/connect/10074733072513#/reservations/30664495431843?display=YQGTUQ518&amp;reservation_id=30664495431843", "YQGTUQ518")</f>
        <v>YQGTUQ518</v>
      </c>
      <c r="B2641" t="s">
        <v>517</v>
      </c>
      <c r="C2641">
        <v>68.16</v>
      </c>
      <c r="D2641">
        <v>74.08</v>
      </c>
      <c r="E2641">
        <v>74.09</v>
      </c>
      <c r="F2641">
        <v>-0.01</v>
      </c>
    </row>
    <row r="2642" spans="1:6" x14ac:dyDescent="0.3">
      <c r="A2642" t="str">
        <f>HYPERLINK("https://us2.cloudbeds.com/connect/10074733072513#/reservations/30664755593412?display=YQH3J5HX5&amp;reservation_id=30664755593412", "YQH3J5HX5")</f>
        <v>YQH3J5HX5</v>
      </c>
      <c r="B2642" t="s">
        <v>522</v>
      </c>
      <c r="C2642">
        <v>84.15</v>
      </c>
      <c r="D2642">
        <v>91.46</v>
      </c>
      <c r="E2642">
        <v>91.47</v>
      </c>
      <c r="F2642">
        <v>-0.01</v>
      </c>
    </row>
    <row r="2643" spans="1:6" x14ac:dyDescent="0.3">
      <c r="A2643" t="str">
        <f>HYPERLINK("https://us2.cloudbeds.com/connect/10074733072513#/reservations/30663759384762?display=YQGB44XD8&amp;reservation_id=30663759384762", "YQGB44XD8")</f>
        <v>YQGB44XD8</v>
      </c>
      <c r="B2643" t="s">
        <v>521</v>
      </c>
      <c r="C2643">
        <v>68.16</v>
      </c>
      <c r="D2643">
        <v>74.08</v>
      </c>
      <c r="E2643">
        <v>74.09</v>
      </c>
      <c r="F2643">
        <v>-0.01</v>
      </c>
    </row>
    <row r="2644" spans="1:6" x14ac:dyDescent="0.3">
      <c r="A2644" t="str">
        <f>HYPERLINK("https://us2.cloudbeds.com/connect/10074733072513#/reservations/30664787943622?display=YQH4DENTX&amp;reservation_id=30664787943622", "YQH4DENTX")</f>
        <v>YQH4DENTX</v>
      </c>
      <c r="B2644" t="s">
        <v>505</v>
      </c>
      <c r="C2644">
        <v>80.19</v>
      </c>
      <c r="D2644">
        <v>87.16</v>
      </c>
      <c r="E2644">
        <v>87.17</v>
      </c>
      <c r="F2644">
        <v>-0.01</v>
      </c>
    </row>
    <row r="2645" spans="1:6" x14ac:dyDescent="0.3">
      <c r="A2645" t="str">
        <f>HYPERLINK("https://us2.cloudbeds.com/connect/10074733072513#/reservations/30663766003913?display=YQGB9NZJJ&amp;reservation_id=30663766003913", "YQGB9NZJJ")</f>
        <v>YQGB9NZJJ</v>
      </c>
      <c r="B2645" t="s">
        <v>521</v>
      </c>
      <c r="C2645">
        <v>68.16</v>
      </c>
      <c r="D2645">
        <v>74.08</v>
      </c>
      <c r="E2645">
        <v>74.09</v>
      </c>
      <c r="F2645">
        <v>-0.01</v>
      </c>
    </row>
    <row r="2646" spans="1:6" x14ac:dyDescent="0.3">
      <c r="A2646" t="str">
        <f>HYPERLINK("https://us2.cloudbeds.com/connect/10074733072513#/reservations/30665583317219?display=YQHZZ45GP&amp;reservation_id=30665583317219", "YQHZZ45GP")</f>
        <v>YQHZZ45GP</v>
      </c>
      <c r="B2646" t="s">
        <v>521</v>
      </c>
      <c r="C2646">
        <v>68.16</v>
      </c>
      <c r="D2646">
        <v>74.08</v>
      </c>
      <c r="E2646">
        <v>74.09</v>
      </c>
      <c r="F2646">
        <v>-0.01</v>
      </c>
    </row>
    <row r="2647" spans="1:6" x14ac:dyDescent="0.3">
      <c r="A2647" t="str">
        <f>HYPERLINK("https://us2.cloudbeds.com/connect/10074733072513#/reservations/30664153559195?display=YQGY6H1D1&amp;reservation_id=30664153559195", "YQGY6H1D1")</f>
        <v>YQGY6H1D1</v>
      </c>
      <c r="B2647" t="s">
        <v>519</v>
      </c>
      <c r="C2647">
        <v>68.16</v>
      </c>
      <c r="D2647">
        <v>74.08</v>
      </c>
      <c r="E2647">
        <v>74.09</v>
      </c>
      <c r="F2647">
        <v>-0.01</v>
      </c>
    </row>
    <row r="2648" spans="1:6" x14ac:dyDescent="0.3">
      <c r="A2648" t="str">
        <f>HYPERLINK("https://us2.cloudbeds.com/connect/10074733072513#/reservations/30663382458550?display=YQG1GA0WR&amp;reservation_id=30663382458550", "YQG1GA0WR")</f>
        <v>YQG1GA0WR</v>
      </c>
      <c r="B2648" t="s">
        <v>518</v>
      </c>
      <c r="C2648">
        <v>84.15</v>
      </c>
      <c r="D2648">
        <v>91.46</v>
      </c>
      <c r="E2648">
        <v>91.47</v>
      </c>
      <c r="F2648">
        <v>-0.01</v>
      </c>
    </row>
    <row r="2649" spans="1:6" x14ac:dyDescent="0.3">
      <c r="A2649" t="str">
        <f>HYPERLINK("https://us2.cloudbeds.com/connect/10074733072513#/reservations/30663389880459?display=YQG1MXXB5&amp;reservation_id=30663389880459", "YQG1MXXB5")</f>
        <v>YQG1MXXB5</v>
      </c>
      <c r="B2649" t="s">
        <v>518</v>
      </c>
      <c r="C2649">
        <v>68.16</v>
      </c>
      <c r="D2649">
        <v>74.08</v>
      </c>
      <c r="E2649">
        <v>74.09</v>
      </c>
      <c r="F2649">
        <v>-0.01</v>
      </c>
    </row>
    <row r="2650" spans="1:6" x14ac:dyDescent="0.3">
      <c r="A2650" t="str">
        <f>HYPERLINK("https://us2.cloudbeds.com/connect/10074733072513#/reservations/30664793391276?display=YQH4X1AAW&amp;reservation_id=30664793391276", "YQH4X1AAW")</f>
        <v>YQH4X1AAW</v>
      </c>
      <c r="B2650" t="s">
        <v>505</v>
      </c>
      <c r="C2650">
        <v>72.17</v>
      </c>
      <c r="D2650">
        <v>78.44</v>
      </c>
      <c r="E2650">
        <v>78.45</v>
      </c>
      <c r="F2650">
        <v>-0.01</v>
      </c>
    </row>
    <row r="2651" spans="1:6" x14ac:dyDescent="0.3">
      <c r="A2651" t="str">
        <f>HYPERLINK("https://us2.cloudbeds.com/connect/10074733072513#/reservations/30664860057792?display=YQH632M20&amp;reservation_id=30664860057792", "YQH632M20")</f>
        <v>YQH632M20</v>
      </c>
      <c r="B2651" t="s">
        <v>524</v>
      </c>
      <c r="C2651">
        <v>196.2</v>
      </c>
      <c r="D2651">
        <v>213.26</v>
      </c>
      <c r="E2651">
        <v>213.27</v>
      </c>
      <c r="F2651">
        <v>-0.01</v>
      </c>
    </row>
    <row r="2652" spans="1:6" x14ac:dyDescent="0.3">
      <c r="A2652" t="str">
        <f>HYPERLINK("https://us2.cloudbeds.com/connect/10074733072513#/reservations/30664799539329?display=YQH4N7CUK&amp;reservation_id=30664799539329", "YQH4N7CUK")</f>
        <v>YQH4N7CUK</v>
      </c>
      <c r="B2652" t="s">
        <v>505</v>
      </c>
      <c r="C2652">
        <v>68.16</v>
      </c>
      <c r="D2652">
        <v>74.08</v>
      </c>
      <c r="E2652">
        <v>74.09</v>
      </c>
      <c r="F2652">
        <v>-0.01</v>
      </c>
    </row>
    <row r="2653" spans="1:6" x14ac:dyDescent="0.3">
      <c r="A2653" t="str">
        <f>HYPERLINK("https://us2.cloudbeds.com/connect/10074733072513#/reservations/30664774639841?display=YQH427HCM&amp;reservation_id=30664774639841", "YQH427HCM")</f>
        <v>YQH427HCM</v>
      </c>
      <c r="B2653" t="s">
        <v>522</v>
      </c>
      <c r="C2653">
        <v>68.16</v>
      </c>
      <c r="D2653">
        <v>74.08</v>
      </c>
      <c r="E2653">
        <v>74.09</v>
      </c>
      <c r="F2653">
        <v>-0.01</v>
      </c>
    </row>
    <row r="2654" spans="1:6" x14ac:dyDescent="0.3">
      <c r="A2654" t="str">
        <f>HYPERLINK("https://us2.cloudbeds.com/connect/10074733072513#/reservations/30663675805895?display=YQG8WYS4A&amp;reservation_id=30663675805895", "YQG8WYS4A")</f>
        <v>YQG8WYS4A</v>
      </c>
      <c r="B2654" t="s">
        <v>525</v>
      </c>
      <c r="C2654">
        <v>396.4</v>
      </c>
      <c r="D2654">
        <v>430.88</v>
      </c>
      <c r="E2654">
        <v>430.89</v>
      </c>
      <c r="F2654">
        <v>-0.01</v>
      </c>
    </row>
    <row r="2655" spans="1:6" x14ac:dyDescent="0.3">
      <c r="A2655" t="str">
        <f>HYPERLINK("https://us2.cloudbeds.com/connect/10074733072513#/reservations/30665350185205?display=YQHXPHUH9&amp;reservation_id=30665350185205", "YQHXPHUH9")</f>
        <v>YQHXPHUH9</v>
      </c>
      <c r="B2655" t="s">
        <v>526</v>
      </c>
      <c r="C2655">
        <v>356.4</v>
      </c>
      <c r="D2655">
        <v>387.4</v>
      </c>
      <c r="E2655">
        <v>387.41</v>
      </c>
      <c r="F2655">
        <v>-0.01</v>
      </c>
    </row>
    <row r="2656" spans="1:6" x14ac:dyDescent="0.3">
      <c r="A2656" t="str">
        <f>HYPERLINK("https://us2.cloudbeds.com/connect/10074733072513#/reservations/30665563893984?display=YQHZ7ZMYT&amp;reservation_id=30665563893984", "YQHZ7ZMYT")</f>
        <v>YQHZ7ZMYT</v>
      </c>
      <c r="B2656" t="s">
        <v>523</v>
      </c>
      <c r="C2656">
        <v>80.19</v>
      </c>
      <c r="D2656">
        <v>87.16</v>
      </c>
      <c r="E2656">
        <v>87.17</v>
      </c>
      <c r="F2656">
        <v>-0.01</v>
      </c>
    </row>
    <row r="2657" spans="1:6" x14ac:dyDescent="0.3">
      <c r="A2657" t="str">
        <f>HYPERLINK("https://us2.cloudbeds.com/connect/10074733072513#/reservations/30664054771940?display=YQGXM74YS&amp;reservation_id=30664054771940", "YQGXM74YS")</f>
        <v>YQGXM74YS</v>
      </c>
      <c r="B2657" t="s">
        <v>528</v>
      </c>
      <c r="C2657">
        <v>333.6</v>
      </c>
      <c r="D2657">
        <v>362.61</v>
      </c>
      <c r="E2657">
        <v>362.62</v>
      </c>
      <c r="F2657">
        <v>-0.01</v>
      </c>
    </row>
    <row r="2658" spans="1:6" x14ac:dyDescent="0.3">
      <c r="A2658" t="str">
        <f>HYPERLINK("https://us2.cloudbeds.com/connect/10074733072513#/reservations/30666664759502?display=YQXJC0TF1&amp;reservation_id=30666664759502", "YQXJC0TF1")</f>
        <v>YQXJC0TF1</v>
      </c>
      <c r="B2658" t="s">
        <v>530</v>
      </c>
      <c r="C2658">
        <v>259.2</v>
      </c>
      <c r="D2658">
        <v>281.74</v>
      </c>
      <c r="E2658">
        <v>281.75</v>
      </c>
      <c r="F2658">
        <v>-0.01</v>
      </c>
    </row>
    <row r="2659" spans="1:6" x14ac:dyDescent="0.3">
      <c r="A2659" t="str">
        <f>HYPERLINK("https://us2.cloudbeds.com/connect/10074733072513#/reservations/30665070801113?display=YQHBKVYFY&amp;reservation_id=30665070801113", "YQHBKVYFY")</f>
        <v>YQHBKVYFY</v>
      </c>
      <c r="B2659" t="s">
        <v>525</v>
      </c>
      <c r="C2659">
        <v>68.16</v>
      </c>
      <c r="D2659">
        <v>74.08</v>
      </c>
      <c r="E2659">
        <v>74.09</v>
      </c>
      <c r="F2659">
        <v>-0.01</v>
      </c>
    </row>
    <row r="2660" spans="1:6" x14ac:dyDescent="0.3">
      <c r="A2660" t="str">
        <f>HYPERLINK("https://us2.cloudbeds.com/connect/10074733072513#/reservations/30664033423529?display=YQGX472WA&amp;reservation_id=30664033423529", "YQGX472WA")</f>
        <v>YQGX472WA</v>
      </c>
      <c r="B2660" t="s">
        <v>528</v>
      </c>
      <c r="C2660">
        <v>72.17</v>
      </c>
      <c r="D2660">
        <v>78.44</v>
      </c>
      <c r="E2660">
        <v>78.45</v>
      </c>
      <c r="F2660">
        <v>-0.01</v>
      </c>
    </row>
    <row r="2661" spans="1:6" x14ac:dyDescent="0.3">
      <c r="A2661" t="str">
        <f>HYPERLINK("https://us2.cloudbeds.com/connect/10074733072513#/reservations/30665306546384?display=YQHHYZK4P&amp;reservation_id=30665306546384", "YQHHYZK4P")</f>
        <v>YQHHYZK4P</v>
      </c>
      <c r="B2661" t="s">
        <v>532</v>
      </c>
      <c r="C2661">
        <v>160.38</v>
      </c>
      <c r="D2661">
        <v>174.32</v>
      </c>
      <c r="E2661">
        <v>174.33</v>
      </c>
      <c r="F2661">
        <v>-0.01</v>
      </c>
    </row>
    <row r="2662" spans="1:6" x14ac:dyDescent="0.3">
      <c r="A2662" t="str">
        <f>HYPERLINK("https://us2.cloudbeds.com/connect/10074733072513#/reservations/30665296949438?display=YQHHDYXH7&amp;reservation_id=30665296949438", "YQHHDYXH7")</f>
        <v>YQHHDYXH7</v>
      </c>
      <c r="B2662" t="s">
        <v>532</v>
      </c>
      <c r="C2662">
        <v>368.34</v>
      </c>
      <c r="D2662">
        <v>400.38</v>
      </c>
      <c r="E2662">
        <v>400.39</v>
      </c>
      <c r="F2662">
        <v>-0.01</v>
      </c>
    </row>
    <row r="2663" spans="1:6" x14ac:dyDescent="0.3">
      <c r="A2663" t="str">
        <f>HYPERLINK("https://us2.cloudbeds.com/connect/10074733072513#/reservations/30665257509008?display=YQHGDD2DM&amp;reservation_id=30665257509008", "YQHGDD2DM")</f>
        <v>YQHGDD2DM</v>
      </c>
      <c r="B2663" t="s">
        <v>532</v>
      </c>
      <c r="C2663">
        <v>368.34</v>
      </c>
      <c r="D2663">
        <v>400.38</v>
      </c>
      <c r="E2663">
        <v>400.39</v>
      </c>
      <c r="F2663">
        <v>-0.01</v>
      </c>
    </row>
    <row r="2664" spans="1:6" x14ac:dyDescent="0.3">
      <c r="A2664" t="str">
        <f>HYPERLINK("https://us2.cloudbeds.com/connect/10074733072513#/reservations/30665268547716?display=YQHGMN7VW&amp;reservation_id=30665268547716", "YQHGMN7VW")</f>
        <v>YQHGMN7VW</v>
      </c>
      <c r="B2664" t="s">
        <v>532</v>
      </c>
      <c r="C2664">
        <v>368.34</v>
      </c>
      <c r="D2664">
        <v>400.38</v>
      </c>
      <c r="E2664">
        <v>400.39</v>
      </c>
      <c r="F2664">
        <v>-0.01</v>
      </c>
    </row>
    <row r="2665" spans="1:6" x14ac:dyDescent="0.3">
      <c r="A2665" t="str">
        <f>HYPERLINK("https://us2.cloudbeds.com/connect/10074733072513#/reservations/30665313812632?display=YQHHRSQX3&amp;reservation_id=30665313812632", "YQHHRSQX3")</f>
        <v>YQHHRSQX3</v>
      </c>
      <c r="B2665" t="s">
        <v>532</v>
      </c>
      <c r="C2665">
        <v>68.16</v>
      </c>
      <c r="D2665">
        <v>74.08</v>
      </c>
      <c r="E2665">
        <v>74.09</v>
      </c>
      <c r="F2665">
        <v>-0.01</v>
      </c>
    </row>
    <row r="2666" spans="1:6" x14ac:dyDescent="0.3">
      <c r="A2666" t="str">
        <f>HYPERLINK("https://us2.cloudbeds.com/connect/10074733072513#/reservations/30665277640883?display=YQHGUC8WG&amp;reservation_id=30665277640883", "YQHGUC8WG")</f>
        <v>YQHGUC8WG</v>
      </c>
      <c r="B2666" t="s">
        <v>532</v>
      </c>
      <c r="C2666">
        <v>368.34</v>
      </c>
      <c r="D2666">
        <v>400.38</v>
      </c>
      <c r="E2666">
        <v>400.39</v>
      </c>
      <c r="F2666">
        <v>-0.01</v>
      </c>
    </row>
    <row r="2667" spans="1:6" x14ac:dyDescent="0.3">
      <c r="A2667" t="str">
        <f>HYPERLINK("https://us2.cloudbeds.com/connect/10074733072513#/reservations/30665239187704?display=YQHFUV8EY&amp;reservation_id=30665239187704", "YQHFUV8EY")</f>
        <v>YQHFUV8EY</v>
      </c>
      <c r="B2667" t="s">
        <v>527</v>
      </c>
      <c r="C2667">
        <v>68.16</v>
      </c>
      <c r="D2667">
        <v>74.08</v>
      </c>
      <c r="E2667">
        <v>74.09</v>
      </c>
      <c r="F2667">
        <v>-0.01</v>
      </c>
    </row>
    <row r="2668" spans="1:6" x14ac:dyDescent="0.3">
      <c r="A2668" t="str">
        <f>HYPERLINK("https://us2.cloudbeds.com/connect/10074733072513#/reservations/30665896825044?display=YQHWZFWFT&amp;reservation_id=30665896825044", "YQHWZFWFT")</f>
        <v>YQHWZFWFT</v>
      </c>
      <c r="B2668" t="s">
        <v>533</v>
      </c>
      <c r="C2668">
        <v>68.16</v>
      </c>
      <c r="D2668">
        <v>74.08</v>
      </c>
      <c r="E2668">
        <v>74.09</v>
      </c>
      <c r="F2668">
        <v>-0.01</v>
      </c>
    </row>
    <row r="2669" spans="1:6" x14ac:dyDescent="0.3">
      <c r="A2669" t="str">
        <f>HYPERLINK("https://us2.cloudbeds.com/connect/10074733072513#/reservations/30665043124406?display=YQHAUKGMJ&amp;reservation_id=30665043124406", "YQHAUKGMJ")</f>
        <v>YQHAUKGMJ</v>
      </c>
      <c r="B2669" t="s">
        <v>527</v>
      </c>
      <c r="C2669">
        <v>68.16</v>
      </c>
      <c r="D2669">
        <v>74.08</v>
      </c>
      <c r="E2669">
        <v>74.09</v>
      </c>
      <c r="F2669">
        <v>-0.01</v>
      </c>
    </row>
    <row r="2670" spans="1:6" x14ac:dyDescent="0.3">
      <c r="A2670" t="str">
        <f>HYPERLINK("https://us2.cloudbeds.com/connect/10074733072513#/reservations/30665049682164?display=YQHB34WGH&amp;reservation_id=30665049682164", "YQHB34WGH")</f>
        <v>YQHB34WGH</v>
      </c>
      <c r="B2670" t="s">
        <v>527</v>
      </c>
      <c r="C2670">
        <v>174.42</v>
      </c>
      <c r="D2670">
        <v>189.58</v>
      </c>
      <c r="E2670">
        <v>189.59</v>
      </c>
      <c r="F2670">
        <v>-0.01</v>
      </c>
    </row>
    <row r="2671" spans="1:6" x14ac:dyDescent="0.3">
      <c r="A2671" t="str">
        <f>HYPERLINK("https://us2.cloudbeds.com/connect/10074733072513#/reservations/30665866240129?display=YQHVZ8W8S&amp;reservation_id=30665866240129", "YQHVZ8W8S")</f>
        <v>YQHVZ8W8S</v>
      </c>
      <c r="B2671" t="s">
        <v>532</v>
      </c>
      <c r="C2671">
        <v>72.17</v>
      </c>
      <c r="D2671">
        <v>78.44</v>
      </c>
      <c r="E2671">
        <v>78.45</v>
      </c>
      <c r="F2671">
        <v>-0.01</v>
      </c>
    </row>
    <row r="2672" spans="1:6" x14ac:dyDescent="0.3">
      <c r="A2672" t="str">
        <f>HYPERLINK("https://us2.cloudbeds.com/connect/10074733072513#/reservations/30666444660945?display=YQXDZEAZQ&amp;reservation_id=30666444660945", "YQXDZEAZQ")</f>
        <v>YQXDZEAZQ</v>
      </c>
      <c r="B2672" t="s">
        <v>535</v>
      </c>
      <c r="C2672">
        <v>72.17</v>
      </c>
      <c r="D2672">
        <v>78.44</v>
      </c>
      <c r="E2672">
        <v>78.45</v>
      </c>
      <c r="F2672">
        <v>-0.01</v>
      </c>
    </row>
    <row r="2673" spans="1:6" x14ac:dyDescent="0.3">
      <c r="A2673" t="str">
        <f>HYPERLINK("https://us2.cloudbeds.com/connect/10074733072513#/reservations/30665867714778?display=YQHVWUV9K&amp;reservation_id=30665867714778", "YQHVWUV9K")</f>
        <v>YQHVWUV9K</v>
      </c>
      <c r="B2673" t="s">
        <v>532</v>
      </c>
      <c r="C2673">
        <v>68.16</v>
      </c>
      <c r="D2673">
        <v>74.08</v>
      </c>
      <c r="E2673">
        <v>74.09</v>
      </c>
      <c r="F2673">
        <v>-0.01</v>
      </c>
    </row>
    <row r="2674" spans="1:6" x14ac:dyDescent="0.3">
      <c r="A2674" t="str">
        <f>HYPERLINK("https://us2.cloudbeds.com/connect/10074733072513#/reservations/30663994458270?display=YQGH4BR6T&amp;reservation_id=30663994458270", "YQGH4BR6T")</f>
        <v>YQGH4BR6T</v>
      </c>
      <c r="B2674" t="s">
        <v>534</v>
      </c>
      <c r="C2674">
        <v>80.099999999999994</v>
      </c>
      <c r="D2674">
        <v>87.06</v>
      </c>
      <c r="E2674">
        <v>87.07</v>
      </c>
      <c r="F2674">
        <v>-0.01</v>
      </c>
    </row>
    <row r="2675" spans="1:6" x14ac:dyDescent="0.3">
      <c r="A2675" t="str">
        <f>HYPERLINK("https://us2.cloudbeds.com/connect/10074733072513#/reservations/30665382490331?display=YQHJJPSFG&amp;reservation_id=30665382490331", "YQHJJPSFG")</f>
        <v>YQHJJPSFG</v>
      </c>
      <c r="B2675" t="s">
        <v>536</v>
      </c>
      <c r="C2675">
        <v>437.86</v>
      </c>
      <c r="D2675">
        <v>475.94</v>
      </c>
      <c r="E2675">
        <v>475.95</v>
      </c>
      <c r="F2675">
        <v>-0.01</v>
      </c>
    </row>
    <row r="2676" spans="1:6" x14ac:dyDescent="0.3">
      <c r="A2676" t="str">
        <f>HYPERLINK("https://us2.cloudbeds.com/connect/10074733072513#/reservations/30663360790685?display=YQG0V12VS&amp;reservation_id=30663360790685", "YQG0V12VS")</f>
        <v>YQG0V12VS</v>
      </c>
      <c r="B2676" t="s">
        <v>534</v>
      </c>
      <c r="C2676">
        <v>68.16</v>
      </c>
      <c r="D2676">
        <v>74.08</v>
      </c>
      <c r="E2676">
        <v>74.09</v>
      </c>
      <c r="F2676">
        <v>-0.01</v>
      </c>
    </row>
    <row r="2677" spans="1:6" x14ac:dyDescent="0.3">
      <c r="A2677" t="str">
        <f>HYPERLINK("https://us2.cloudbeds.com/connect/10074733072513#/reservations/30663354835076?display=YQG0Q0C2S&amp;reservation_id=30663354835076", "YQG0Q0C2S")</f>
        <v>YQG0Q0C2S</v>
      </c>
      <c r="B2677" t="s">
        <v>534</v>
      </c>
      <c r="C2677">
        <v>68.16</v>
      </c>
      <c r="D2677">
        <v>74.08</v>
      </c>
      <c r="E2677">
        <v>74.09</v>
      </c>
      <c r="F2677">
        <v>-0.01</v>
      </c>
    </row>
    <row r="2678" spans="1:6" x14ac:dyDescent="0.3">
      <c r="A2678" t="str">
        <f>HYPERLINK("https://us2.cloudbeds.com/connect/10074733072513#/reservations/30665848713357?display=YQHVGU6PW&amp;reservation_id=30665848713357", "YQHVGU6PW")</f>
        <v>YQHVGU6PW</v>
      </c>
      <c r="B2678" t="s">
        <v>537</v>
      </c>
      <c r="C2678">
        <v>294.3</v>
      </c>
      <c r="D2678">
        <v>319.89</v>
      </c>
      <c r="E2678">
        <v>319.89999999999998</v>
      </c>
      <c r="F2678">
        <v>-0.01</v>
      </c>
    </row>
    <row r="2679" spans="1:6" x14ac:dyDescent="0.3">
      <c r="A2679" t="str">
        <f>HYPERLINK("https://us2.cloudbeds.com/connect/10074733072513#/reservations/30663345291458?display=YQG0HVQEA&amp;reservation_id=30663345291458", "YQG0HVQEA")</f>
        <v>YQG0HVQEA</v>
      </c>
      <c r="B2679" t="s">
        <v>534</v>
      </c>
      <c r="C2679">
        <v>68.16</v>
      </c>
      <c r="D2679">
        <v>74.08</v>
      </c>
      <c r="E2679">
        <v>74.09</v>
      </c>
      <c r="F2679">
        <v>-0.01</v>
      </c>
    </row>
    <row r="2680" spans="1:6" x14ac:dyDescent="0.3">
      <c r="A2680" t="str">
        <f>HYPERLINK("https://us2.cloudbeds.com/connect/10074733072513#/reservations/30663338643629?display=YQG0CBQTV&amp;reservation_id=30663338643629", "YQG0CBQTV")</f>
        <v>YQG0CBQTV</v>
      </c>
      <c r="B2680" t="s">
        <v>534</v>
      </c>
      <c r="C2680">
        <v>68.16</v>
      </c>
      <c r="D2680">
        <v>74.08</v>
      </c>
      <c r="E2680">
        <v>74.09</v>
      </c>
      <c r="F2680">
        <v>-0.01</v>
      </c>
    </row>
    <row r="2681" spans="1:6" x14ac:dyDescent="0.3">
      <c r="A2681" t="str">
        <f>HYPERLINK("https://us2.cloudbeds.com/connect/10074733072513#/reservations/30663354830981?display=YQG0Q08AP&amp;reservation_id=30663354830981", "YQG0Q08AP")</f>
        <v>YQG0Q08AP</v>
      </c>
      <c r="B2681" t="s">
        <v>534</v>
      </c>
      <c r="C2681">
        <v>68.16</v>
      </c>
      <c r="D2681">
        <v>74.08</v>
      </c>
      <c r="E2681">
        <v>74.09</v>
      </c>
      <c r="F2681">
        <v>-0.01</v>
      </c>
    </row>
    <row r="2682" spans="1:6" x14ac:dyDescent="0.3">
      <c r="A2682" t="str">
        <f>HYPERLINK("https://us2.cloudbeds.com/connect/10074733072513#/reservations/30666626310344?display=YQXXCJWK1&amp;reservation_id=30666626310344", "YQXXCJWK1")</f>
        <v>YQXXCJWK1</v>
      </c>
      <c r="B2682" t="s">
        <v>539</v>
      </c>
      <c r="C2682">
        <v>84.15</v>
      </c>
      <c r="D2682">
        <v>91.46</v>
      </c>
      <c r="E2682">
        <v>91.47</v>
      </c>
      <c r="F2682">
        <v>-0.01</v>
      </c>
    </row>
    <row r="2683" spans="1:6" x14ac:dyDescent="0.3">
      <c r="A2683" t="str">
        <f>HYPERLINK("https://us2.cloudbeds.com/connect/10074733072513#/reservations/30665624260741?display=YQHPPYFSX&amp;reservation_id=30665624260741", "YQHPPYFSX")</f>
        <v>YQHPPYFSX</v>
      </c>
      <c r="B2683" t="s">
        <v>540</v>
      </c>
      <c r="C2683">
        <v>68.16</v>
      </c>
      <c r="D2683">
        <v>74.08</v>
      </c>
      <c r="E2683">
        <v>74.09</v>
      </c>
      <c r="F2683">
        <v>-0.01</v>
      </c>
    </row>
    <row r="2684" spans="1:6" x14ac:dyDescent="0.3">
      <c r="A2684" t="str">
        <f>HYPERLINK("https://us2.cloudbeds.com/connect/10074733072513#/reservations/30665634529487?display=YQHQ1A7CM&amp;reservation_id=30665634529487", "YQHQ1A7CM")</f>
        <v>YQHQ1A7CM</v>
      </c>
      <c r="B2684" t="s">
        <v>540</v>
      </c>
      <c r="C2684">
        <v>68.16</v>
      </c>
      <c r="D2684">
        <v>74.08</v>
      </c>
      <c r="E2684">
        <v>74.09</v>
      </c>
      <c r="F2684">
        <v>-0.01</v>
      </c>
    </row>
    <row r="2685" spans="1:6" x14ac:dyDescent="0.3">
      <c r="A2685" t="str">
        <f>HYPERLINK("https://us2.cloudbeds.com/connect/10074733072513#/reservations/30665642918059?display=YQHQ8CYCR&amp;reservation_id=30665642918059", "YQHQ8CYCR")</f>
        <v>YQHQ8CYCR</v>
      </c>
      <c r="B2685" t="s">
        <v>540</v>
      </c>
      <c r="C2685">
        <v>68.16</v>
      </c>
      <c r="D2685">
        <v>74.08</v>
      </c>
      <c r="E2685">
        <v>74.09</v>
      </c>
      <c r="F2685">
        <v>-0.01</v>
      </c>
    </row>
    <row r="2686" spans="1:6" x14ac:dyDescent="0.3">
      <c r="A2686" t="str">
        <f>HYPERLINK("https://us2.cloudbeds.com/connect/10074733072513#/reservations/30665654571201?display=YQHQX6U5B&amp;reservation_id=30665654571201", "YQHQX6U5B")</f>
        <v>YQHQX6U5B</v>
      </c>
      <c r="B2686" t="s">
        <v>526</v>
      </c>
      <c r="C2686">
        <v>80.099999999999994</v>
      </c>
      <c r="D2686">
        <v>87.06</v>
      </c>
      <c r="E2686">
        <v>87.07</v>
      </c>
      <c r="F2686">
        <v>-0.01</v>
      </c>
    </row>
    <row r="2687" spans="1:6" x14ac:dyDescent="0.3">
      <c r="A2687" t="str">
        <f>HYPERLINK("https://us2.cloudbeds.com/connect/10074733072513#/reservations/30665634525395?display=YQHQ1A3KM&amp;reservation_id=30665634525395", "YQHQ1A3KM")</f>
        <v>YQHQ1A3KM</v>
      </c>
      <c r="B2687" t="s">
        <v>540</v>
      </c>
      <c r="C2687">
        <v>68.16</v>
      </c>
      <c r="D2687">
        <v>74.08</v>
      </c>
      <c r="E2687">
        <v>74.09</v>
      </c>
      <c r="F2687">
        <v>-0.01</v>
      </c>
    </row>
    <row r="2688" spans="1:6" x14ac:dyDescent="0.3">
      <c r="A2688" t="str">
        <f>HYPERLINK("https://us2.cloudbeds.com/connect/10074733072513#/reservations/30665316180176?display=YQHHTSMJR&amp;reservation_id=30665316180176", "YQHHTSMJR")</f>
        <v>YQHHTSMJR</v>
      </c>
      <c r="B2688" t="s">
        <v>526</v>
      </c>
      <c r="C2688">
        <v>68.16</v>
      </c>
      <c r="D2688">
        <v>74.08</v>
      </c>
      <c r="E2688">
        <v>74.09</v>
      </c>
      <c r="F2688">
        <v>-0.01</v>
      </c>
    </row>
    <row r="2689" spans="1:6" x14ac:dyDescent="0.3">
      <c r="A2689" t="str">
        <f>HYPERLINK("https://us2.cloudbeds.com/connect/10074733072513#/reservations/30665322279075?display=YQHX20D1W&amp;reservation_id=30665322279075", "YQHX20D1W")</f>
        <v>YQHX20D1W</v>
      </c>
      <c r="B2689" t="s">
        <v>526</v>
      </c>
      <c r="C2689">
        <v>68.16</v>
      </c>
      <c r="D2689">
        <v>74.08</v>
      </c>
      <c r="E2689">
        <v>74.09</v>
      </c>
      <c r="F2689">
        <v>-0.01</v>
      </c>
    </row>
    <row r="2690" spans="1:6" x14ac:dyDescent="0.3">
      <c r="A2690" t="str">
        <f>HYPERLINK("https://us2.cloudbeds.com/connect/10074733072513#/reservations/30666450276519?display=YQXDT5JCN&amp;reservation_id=30666450276519", "YQXDT5JCN")</f>
        <v>YQXDT5JCN</v>
      </c>
      <c r="B2690" t="s">
        <v>535</v>
      </c>
      <c r="C2690">
        <v>80.099999999999994</v>
      </c>
      <c r="D2690">
        <v>87.06</v>
      </c>
      <c r="E2690">
        <v>87.07</v>
      </c>
      <c r="F2690">
        <v>-0.01</v>
      </c>
    </row>
    <row r="2691" spans="1:6" x14ac:dyDescent="0.3">
      <c r="A2691" t="str">
        <f>HYPERLINK("https://us2.cloudbeds.com/connect/10074733072513#/reservations/30665311416462?display=YQHHPS46T&amp;reservation_id=30665311416462", "YQHHPS46T")</f>
        <v>YQHHPS46T</v>
      </c>
      <c r="B2691" t="s">
        <v>526</v>
      </c>
      <c r="C2691">
        <v>68.16</v>
      </c>
      <c r="D2691">
        <v>74.08</v>
      </c>
      <c r="E2691">
        <v>74.09</v>
      </c>
      <c r="F2691">
        <v>-0.01</v>
      </c>
    </row>
    <row r="2692" spans="1:6" x14ac:dyDescent="0.3">
      <c r="A2692" t="str">
        <f>HYPERLINK("https://us2.cloudbeds.com/connect/10074733072513#/reservations/30665302470878?display=YQHHXA6NJ&amp;reservation_id=30665302470878", "YQHHXA6NJ")</f>
        <v>YQHHXA6NJ</v>
      </c>
      <c r="B2692" t="s">
        <v>526</v>
      </c>
      <c r="C2692">
        <v>68.16</v>
      </c>
      <c r="D2692">
        <v>74.08</v>
      </c>
      <c r="E2692">
        <v>74.09</v>
      </c>
      <c r="F2692">
        <v>-0.01</v>
      </c>
    </row>
    <row r="2693" spans="1:6" x14ac:dyDescent="0.3">
      <c r="A2693" t="str">
        <f>HYPERLINK("https://us2.cloudbeds.com/connect/10074733072513#/reservations/30665211162821?display=YQHF7ADUP&amp;reservation_id=30665211162821", "YQHF7ADUP")</f>
        <v>YQHF7ADUP</v>
      </c>
      <c r="B2693" t="s">
        <v>535</v>
      </c>
      <c r="C2693">
        <v>68.16</v>
      </c>
      <c r="D2693">
        <v>74.08</v>
      </c>
      <c r="E2693">
        <v>74.09</v>
      </c>
      <c r="F2693">
        <v>-0.01</v>
      </c>
    </row>
    <row r="2694" spans="1:6" x14ac:dyDescent="0.3">
      <c r="A2694" t="str">
        <f>HYPERLINK("https://us2.cloudbeds.com/connect/10074733072513#/reservations/30666452009165?display=YQXDUKQE4&amp;reservation_id=30666452009165", "YQXDUKQE4")</f>
        <v>YQXDUKQE4</v>
      </c>
      <c r="B2694" t="s">
        <v>535</v>
      </c>
      <c r="C2694">
        <v>68.16</v>
      </c>
      <c r="D2694">
        <v>74.08</v>
      </c>
      <c r="E2694">
        <v>74.09</v>
      </c>
      <c r="F2694">
        <v>-0.01</v>
      </c>
    </row>
    <row r="2695" spans="1:6" x14ac:dyDescent="0.3">
      <c r="A2695" t="str">
        <f>HYPERLINK("https://us2.cloudbeds.com/connect/10074733072513#/reservations/30665215914139?display=YQHFBAKV3&amp;reservation_id=30665215914139", "YQHFBAKV3")</f>
        <v>YQHFBAKV3</v>
      </c>
      <c r="B2695" t="s">
        <v>535</v>
      </c>
      <c r="C2695">
        <v>68.16</v>
      </c>
      <c r="D2695">
        <v>74.08</v>
      </c>
      <c r="E2695">
        <v>74.09</v>
      </c>
      <c r="F2695">
        <v>-0.01</v>
      </c>
    </row>
    <row r="2696" spans="1:6" x14ac:dyDescent="0.3">
      <c r="A2696" t="str">
        <f>HYPERLINK("https://us2.cloudbeds.com/connect/10074733072513#/reservations/30665201754332?display=YQHEWCKC1&amp;reservation_id=30665201754332", "YQHEWCKC1")</f>
        <v>YQHEWCKC1</v>
      </c>
      <c r="B2696" t="s">
        <v>535</v>
      </c>
      <c r="C2696">
        <v>68.16</v>
      </c>
      <c r="D2696">
        <v>74.08</v>
      </c>
      <c r="E2696">
        <v>74.09</v>
      </c>
      <c r="F2696">
        <v>-0.01</v>
      </c>
    </row>
    <row r="2697" spans="1:6" x14ac:dyDescent="0.3">
      <c r="A2697" t="str">
        <f>HYPERLINK("https://us2.cloudbeds.com/connect/10074733072513#/reservations/30665207148719?display=YQHF3UNTA&amp;reservation_id=30665207148719", "YQHF3UNTA")</f>
        <v>YQHF3UNTA</v>
      </c>
      <c r="B2697" t="s">
        <v>535</v>
      </c>
      <c r="C2697">
        <v>68.16</v>
      </c>
      <c r="D2697">
        <v>74.08</v>
      </c>
      <c r="E2697">
        <v>74.09</v>
      </c>
      <c r="F2697">
        <v>-0.01</v>
      </c>
    </row>
    <row r="2698" spans="1:6" x14ac:dyDescent="0.3">
      <c r="A2698" t="str">
        <f>HYPERLINK("https://us2.cloudbeds.com/connect/10074733072513#/reservations/30665161744593?display=YQHDVY9FN&amp;reservation_id=30665161744593", "YQHDVY9FN")</f>
        <v>YQHDVY9FN</v>
      </c>
      <c r="B2698" t="s">
        <v>542</v>
      </c>
      <c r="C2698">
        <v>84.15</v>
      </c>
      <c r="D2698">
        <v>91.46</v>
      </c>
      <c r="E2698">
        <v>91.47</v>
      </c>
      <c r="F2698">
        <v>-0.01</v>
      </c>
    </row>
    <row r="2699" spans="1:6" x14ac:dyDescent="0.3">
      <c r="A2699" t="str">
        <f>HYPERLINK("https://us2.cloudbeds.com/connect/10074733072513#/reservations/30665188229324?display=YQHEKW8NA&amp;reservation_id=30665188229324", "YQHEKW8NA")</f>
        <v>YQHEKW8NA</v>
      </c>
      <c r="B2699" t="s">
        <v>542</v>
      </c>
      <c r="C2699">
        <v>80.19</v>
      </c>
      <c r="D2699">
        <v>87.16</v>
      </c>
      <c r="E2699">
        <v>87.17</v>
      </c>
      <c r="F2699">
        <v>-0.01</v>
      </c>
    </row>
    <row r="2700" spans="1:6" x14ac:dyDescent="0.3">
      <c r="A2700" t="str">
        <f>HYPERLINK("https://us2.cloudbeds.com/connect/10074733072513#/reservations/30665194434787?display=YQHEQ6V0Y&amp;reservation_id=30665194434787", "YQHEQ6V0Y")</f>
        <v>YQHEQ6V0Y</v>
      </c>
      <c r="B2700" t="s">
        <v>542</v>
      </c>
      <c r="C2700">
        <v>68.16</v>
      </c>
      <c r="D2700">
        <v>74.08</v>
      </c>
      <c r="E2700">
        <v>74.09</v>
      </c>
      <c r="F2700">
        <v>-0.01</v>
      </c>
    </row>
    <row r="2701" spans="1:6" x14ac:dyDescent="0.3">
      <c r="A2701" t="str">
        <f>HYPERLINK("https://us2.cloudbeds.com/connect/10074733072513#/reservations/30666582827161?display=YQXH8V04R&amp;reservation_id=30666582827161", "YQXH8V04R")</f>
        <v>YQXH8V04R</v>
      </c>
      <c r="B2701" t="s">
        <v>543</v>
      </c>
      <c r="C2701">
        <v>68.16</v>
      </c>
      <c r="D2701">
        <v>74.08</v>
      </c>
      <c r="E2701">
        <v>74.09</v>
      </c>
      <c r="F2701">
        <v>-0.01</v>
      </c>
    </row>
    <row r="2702" spans="1:6" x14ac:dyDescent="0.3">
      <c r="A2702" t="str">
        <f>HYPERLINK("https://us2.cloudbeds.com/connect/10074733072513#/reservations/30666312581332?display=YQXAC20H9&amp;reservation_id=30666312581332", "YQXAC20H9")</f>
        <v>YQXAC20H9</v>
      </c>
      <c r="B2702" t="s">
        <v>543</v>
      </c>
      <c r="C2702">
        <v>72.17</v>
      </c>
      <c r="D2702">
        <v>78.44</v>
      </c>
      <c r="E2702">
        <v>78.45</v>
      </c>
      <c r="F2702">
        <v>-0.01</v>
      </c>
    </row>
    <row r="2703" spans="1:6" x14ac:dyDescent="0.3">
      <c r="A2703" t="str">
        <f>HYPERLINK("https://us2.cloudbeds.com/connect/10074733072513#/reservations/30670793662650?display=YQYPSKND8&amp;reservation_id=30670793662650", "YQYPSKND8")</f>
        <v>YQYPSKND8</v>
      </c>
      <c r="B2703" t="s">
        <v>544</v>
      </c>
      <c r="C2703">
        <v>230.2</v>
      </c>
      <c r="D2703">
        <v>250.22</v>
      </c>
      <c r="E2703">
        <v>250.23</v>
      </c>
      <c r="F2703">
        <v>-0.01</v>
      </c>
    </row>
    <row r="2704" spans="1:6" x14ac:dyDescent="0.3">
      <c r="A2704" t="str">
        <f>HYPERLINK("https://us2.cloudbeds.com/connect/10074733072513#/reservations/30665553076413?display=YQHNVKM5N&amp;reservation_id=30665553076413", "YQHNVKM5N")</f>
        <v>YQHNVKM5N</v>
      </c>
      <c r="B2704" t="s">
        <v>545</v>
      </c>
      <c r="C2704">
        <v>94.1</v>
      </c>
      <c r="D2704">
        <v>102.28</v>
      </c>
      <c r="E2704">
        <v>102.29</v>
      </c>
      <c r="F2704">
        <v>-0.01</v>
      </c>
    </row>
    <row r="2705" spans="1:6" x14ac:dyDescent="0.3">
      <c r="A2705" t="str">
        <f>HYPERLINK("https://us2.cloudbeds.com/connect/10074733072513#/reservations/30665544544385?display=YQHNZE8ED&amp;reservation_id=30665544544385", "YQHNZE8ED")</f>
        <v>YQHNZE8ED</v>
      </c>
      <c r="B2705" t="s">
        <v>547</v>
      </c>
      <c r="C2705">
        <v>68.16</v>
      </c>
      <c r="D2705">
        <v>74.08</v>
      </c>
      <c r="E2705">
        <v>74.09</v>
      </c>
      <c r="F2705">
        <v>-0.01</v>
      </c>
    </row>
    <row r="2706" spans="1:6" x14ac:dyDescent="0.3">
      <c r="A2706" t="str">
        <f>HYPERLINK("https://us2.cloudbeds.com/connect/10074733072513#/reservations/30665563889901?display=YQHZ7ZXU5&amp;reservation_id=30665563889901", "YQHZ7ZXU5")</f>
        <v>YQHZ7ZXU5</v>
      </c>
      <c r="B2706" t="s">
        <v>545</v>
      </c>
      <c r="C2706">
        <v>103.2</v>
      </c>
      <c r="D2706">
        <v>112.17</v>
      </c>
      <c r="E2706">
        <v>112.18</v>
      </c>
      <c r="F2706">
        <v>-0.01</v>
      </c>
    </row>
    <row r="2707" spans="1:6" x14ac:dyDescent="0.3">
      <c r="A2707" t="str">
        <f>HYPERLINK("https://us2.cloudbeds.com/connect/10074733072513#/reservations/30669395022016?display=YQKN48BSX&amp;reservation_id=30669395022016", "YQKN48BSX")</f>
        <v>YQKN48BSX</v>
      </c>
      <c r="B2707" t="s">
        <v>549</v>
      </c>
      <c r="C2707">
        <v>224</v>
      </c>
      <c r="D2707">
        <v>243.48</v>
      </c>
      <c r="E2707">
        <v>243.49</v>
      </c>
      <c r="F2707">
        <v>-0.01</v>
      </c>
    </row>
    <row r="2708" spans="1:6" x14ac:dyDescent="0.3">
      <c r="A2708" t="str">
        <f>HYPERLINK("https://us2.cloudbeds.com/connect/10074733072513#/reservations/30665493446892?display=YQHMEBCVH&amp;reservation_id=30665493446892", "YQHMEBCVH")</f>
        <v>YQHMEBCVH</v>
      </c>
      <c r="B2708" t="s">
        <v>546</v>
      </c>
      <c r="C2708">
        <v>84.15</v>
      </c>
      <c r="D2708">
        <v>91.46</v>
      </c>
      <c r="E2708">
        <v>91.47</v>
      </c>
      <c r="F2708">
        <v>-0.01</v>
      </c>
    </row>
    <row r="2709" spans="1:6" x14ac:dyDescent="0.3">
      <c r="A2709" t="str">
        <f>HYPERLINK("https://us2.cloudbeds.com/connect/10074733072513#/reservations/30666849128671?display=YQXZ2G7QX&amp;reservation_id=30666849128671", "YQXZ2G7QX")</f>
        <v>YQXZ2G7QX</v>
      </c>
      <c r="B2709" t="s">
        <v>550</v>
      </c>
      <c r="C2709">
        <v>268.2</v>
      </c>
      <c r="D2709">
        <v>291.52</v>
      </c>
      <c r="E2709">
        <v>291.52999999999997</v>
      </c>
      <c r="F2709">
        <v>-0.01</v>
      </c>
    </row>
    <row r="2710" spans="1:6" x14ac:dyDescent="0.3">
      <c r="A2710" t="str">
        <f>HYPERLINK("https://us2.cloudbeds.com/connect/10074733072513#/reservations/30665699922134?display=YQHRNESZ1&amp;reservation_id=30665699922134", "YQHRNESZ1")</f>
        <v>YQHRNESZ1</v>
      </c>
      <c r="B2710" t="s">
        <v>551</v>
      </c>
      <c r="C2710">
        <v>80.19</v>
      </c>
      <c r="D2710">
        <v>87.16</v>
      </c>
      <c r="E2710">
        <v>87.17</v>
      </c>
      <c r="F2710">
        <v>-0.01</v>
      </c>
    </row>
    <row r="2711" spans="1:6" x14ac:dyDescent="0.3">
      <c r="A2711" t="str">
        <f>HYPERLINK("https://us2.cloudbeds.com/connect/10074733072513#/reservations/30665448607970?display=YQHY9HMXA&amp;reservation_id=30665448607970", "YQHY9HMXA")</f>
        <v>YQHY9HMXA</v>
      </c>
      <c r="B2711" t="s">
        <v>546</v>
      </c>
      <c r="C2711">
        <v>80.099999999999994</v>
      </c>
      <c r="D2711">
        <v>87.06</v>
      </c>
      <c r="E2711">
        <v>87.07</v>
      </c>
      <c r="F2711">
        <v>-0.01</v>
      </c>
    </row>
    <row r="2712" spans="1:6" x14ac:dyDescent="0.3">
      <c r="A2712" t="str">
        <f>HYPERLINK("https://us2.cloudbeds.com/connect/10074733072513#/reservations/30665496490114?display=YQHMGU2FC&amp;reservation_id=30665496490114", "YQHMGU2FC")</f>
        <v>YQHMGU2FC</v>
      </c>
      <c r="B2712" t="s">
        <v>546</v>
      </c>
      <c r="C2712">
        <v>68.16</v>
      </c>
      <c r="D2712">
        <v>74.08</v>
      </c>
      <c r="E2712">
        <v>74.09</v>
      </c>
      <c r="F2712">
        <v>-0.01</v>
      </c>
    </row>
    <row r="2713" spans="1:6" x14ac:dyDescent="0.3">
      <c r="A2713" t="str">
        <f>HYPERLINK("https://us2.cloudbeds.com/connect/10074733072513#/reservations/30666613268621?display=YQXX1K2ZA&amp;reservation_id=30666613268621", "YQXX1K2ZA")</f>
        <v>YQXX1K2ZA</v>
      </c>
      <c r="B2713" t="s">
        <v>552</v>
      </c>
      <c r="C2713">
        <v>80.099999999999994</v>
      </c>
      <c r="D2713">
        <v>87.06</v>
      </c>
      <c r="E2713">
        <v>87.07</v>
      </c>
      <c r="F2713">
        <v>-0.01</v>
      </c>
    </row>
    <row r="2714" spans="1:6" x14ac:dyDescent="0.3">
      <c r="A2714" t="str">
        <f>HYPERLINK("https://us2.cloudbeds.com/connect/10074733072513#/reservations/30666640158960?display=YQXXZ9BE2&amp;reservation_id=30666640158960", "YQXXZ9BE2")</f>
        <v>YQXXZ9BE2</v>
      </c>
      <c r="B2714" t="s">
        <v>539</v>
      </c>
      <c r="C2714">
        <v>80.19</v>
      </c>
      <c r="D2714">
        <v>87.16</v>
      </c>
      <c r="E2714">
        <v>87.17</v>
      </c>
      <c r="F2714">
        <v>-0.01</v>
      </c>
    </row>
    <row r="2715" spans="1:6" x14ac:dyDescent="0.3">
      <c r="A2715" t="str">
        <f>HYPERLINK("https://us2.cloudbeds.com/connect/10074733072513#/reservations/30666592735430?display=YQXHH9NY8&amp;reservation_id=30666592735430", "YQXHH9NY8")</f>
        <v>YQXHH9NY8</v>
      </c>
      <c r="B2715" t="s">
        <v>539</v>
      </c>
      <c r="C2715">
        <v>80.19</v>
      </c>
      <c r="D2715">
        <v>87.16</v>
      </c>
      <c r="E2715">
        <v>87.17</v>
      </c>
      <c r="F2715">
        <v>-0.01</v>
      </c>
    </row>
    <row r="2716" spans="1:6" x14ac:dyDescent="0.3">
      <c r="A2716" t="str">
        <f>HYPERLINK("https://us2.cloudbeds.com/connect/10074733072513#/reservations/30666639458498?display=YQXXNMS6V&amp;reservation_id=30666639458498", "YQXXNMS6V")</f>
        <v>YQXXNMS6V</v>
      </c>
      <c r="B2716" t="s">
        <v>552</v>
      </c>
      <c r="C2716">
        <v>68.17</v>
      </c>
      <c r="D2716">
        <v>74.09</v>
      </c>
      <c r="E2716">
        <v>74.099999999999994</v>
      </c>
      <c r="F2716">
        <v>-0.01</v>
      </c>
    </row>
    <row r="2717" spans="1:6" x14ac:dyDescent="0.3">
      <c r="A2717" t="str">
        <f>HYPERLINK("https://us2.cloudbeds.com/connect/10074733072513#/reservations/30666607386811?display=YQXHTYDKY&amp;reservation_id=30666607386811", "YQXHTYDKY")</f>
        <v>YQXHTYDKY</v>
      </c>
      <c r="B2717" t="s">
        <v>552</v>
      </c>
      <c r="C2717">
        <v>143.19999999999999</v>
      </c>
      <c r="D2717">
        <v>155.65</v>
      </c>
      <c r="E2717">
        <v>155.66</v>
      </c>
      <c r="F2717">
        <v>-0.01</v>
      </c>
    </row>
    <row r="2718" spans="1:6" x14ac:dyDescent="0.3">
      <c r="A2718" t="str">
        <f>HYPERLINK("https://us2.cloudbeds.com/connect/10074733072513#/reservations/30664660869327?display=YQH159MUB&amp;reservation_id=30664660869327", "YQH159MUB")</f>
        <v>YQH159MUB</v>
      </c>
      <c r="B2718" t="s">
        <v>537</v>
      </c>
      <c r="C2718">
        <v>72.17</v>
      </c>
      <c r="D2718">
        <v>78.44</v>
      </c>
      <c r="E2718">
        <v>78.45</v>
      </c>
      <c r="F2718">
        <v>-0.01</v>
      </c>
    </row>
    <row r="2719" spans="1:6" x14ac:dyDescent="0.3">
      <c r="A2719" t="str">
        <f>HYPERLINK("https://us2.cloudbeds.com/connect/10074733072513#/reservations/30664724668568?display=YQH2Q302M&amp;reservation_id=30664724668568", "YQH2Q302M")</f>
        <v>YQH2Q302M</v>
      </c>
      <c r="B2719" t="s">
        <v>537</v>
      </c>
      <c r="C2719">
        <v>68.16</v>
      </c>
      <c r="D2719">
        <v>74.08</v>
      </c>
      <c r="E2719">
        <v>74.09</v>
      </c>
      <c r="F2719">
        <v>-0.01</v>
      </c>
    </row>
    <row r="2720" spans="1:6" x14ac:dyDescent="0.3">
      <c r="A2720" t="str">
        <f>HYPERLINK("https://us2.cloudbeds.com/connect/10074733072513#/reservations/30665414590669?display=YQHKDS3C0&amp;reservation_id=30665414590669", "YQHKDS3C0")</f>
        <v>YQHKDS3C0</v>
      </c>
      <c r="B2720" t="s">
        <v>536</v>
      </c>
      <c r="C2720">
        <v>294.95</v>
      </c>
      <c r="D2720">
        <v>320.60000000000002</v>
      </c>
      <c r="E2720">
        <v>320.61</v>
      </c>
      <c r="F2720">
        <v>-0.01</v>
      </c>
    </row>
    <row r="2721" spans="1:6" x14ac:dyDescent="0.3">
      <c r="A2721" t="str">
        <f>HYPERLINK("https://us2.cloudbeds.com/connect/10074733072513#/reservations/30664723423465?display=YQH2P1BZ9&amp;reservation_id=30664723423465", "YQH2P1BZ9")</f>
        <v>YQH2P1BZ9</v>
      </c>
      <c r="B2721" t="s">
        <v>537</v>
      </c>
      <c r="C2721">
        <v>68.16</v>
      </c>
      <c r="D2721">
        <v>74.08</v>
      </c>
      <c r="E2721">
        <v>74.09</v>
      </c>
      <c r="F2721">
        <v>-0.01</v>
      </c>
    </row>
    <row r="2722" spans="1:6" x14ac:dyDescent="0.3">
      <c r="A2722" t="str">
        <f>HYPERLINK("https://us2.cloudbeds.com/connect/10074733072513#/reservations/30664668356844?display=YQH1BK1GQ&amp;reservation_id=30664668356844", "YQH1BK1GQ")</f>
        <v>YQH1BK1GQ</v>
      </c>
      <c r="B2722" t="s">
        <v>554</v>
      </c>
      <c r="C2722">
        <v>84.15</v>
      </c>
      <c r="D2722">
        <v>91.46</v>
      </c>
      <c r="E2722">
        <v>91.47</v>
      </c>
      <c r="F2722">
        <v>-0.01</v>
      </c>
    </row>
    <row r="2723" spans="1:6" x14ac:dyDescent="0.3">
      <c r="A2723" t="str">
        <f>HYPERLINK("https://us2.cloudbeds.com/connect/10074733072513#/reservations/30664732119277?display=YQH2WCASZ&amp;reservation_id=30664732119277", "YQH2WCASZ")</f>
        <v>YQH2WCASZ</v>
      </c>
      <c r="B2723" t="s">
        <v>537</v>
      </c>
      <c r="C2723">
        <v>68.16</v>
      </c>
      <c r="D2723">
        <v>74.08</v>
      </c>
      <c r="E2723">
        <v>74.09</v>
      </c>
      <c r="F2723">
        <v>-0.01</v>
      </c>
    </row>
    <row r="2724" spans="1:6" x14ac:dyDescent="0.3">
      <c r="A2724" t="str">
        <f>HYPERLINK("https://us2.cloudbeds.com/connect/10074733072513#/reservations/30665313808553?display=YQHHRSMQG&amp;reservation_id=30665313808553", "YQHHRSMQG")</f>
        <v>YQHHRSMQG</v>
      </c>
      <c r="B2724" t="s">
        <v>555</v>
      </c>
      <c r="C2724">
        <v>84.15</v>
      </c>
      <c r="D2724">
        <v>91.46</v>
      </c>
      <c r="E2724">
        <v>91.47</v>
      </c>
      <c r="F2724">
        <v>-0.01</v>
      </c>
    </row>
    <row r="2725" spans="1:6" x14ac:dyDescent="0.3">
      <c r="A2725" t="str">
        <f>HYPERLINK("https://us2.cloudbeds.com/connect/10074733072513#/reservations/30666038116483?display=YQX3BKKMY&amp;reservation_id=30666038116483", "YQX3BKKMY")</f>
        <v>YQX3BKKMY</v>
      </c>
      <c r="B2725" t="s">
        <v>556</v>
      </c>
      <c r="C2725">
        <v>118.15</v>
      </c>
      <c r="D2725">
        <v>128.41999999999999</v>
      </c>
      <c r="E2725">
        <v>128.43</v>
      </c>
      <c r="F2725">
        <v>-0.01</v>
      </c>
    </row>
    <row r="2726" spans="1:6" x14ac:dyDescent="0.3">
      <c r="A2726" t="str">
        <f>HYPERLINK("https://us2.cloudbeds.com/connect/10074733072513#/reservations/30665496486024?display=YQHMGTVNE&amp;reservation_id=30665496486024", "YQHMGTVNE")</f>
        <v>YQHMGTVNE</v>
      </c>
      <c r="B2726" t="s">
        <v>553</v>
      </c>
      <c r="C2726">
        <v>84.15</v>
      </c>
      <c r="D2726">
        <v>91.46</v>
      </c>
      <c r="E2726">
        <v>91.47</v>
      </c>
      <c r="F2726">
        <v>-0.01</v>
      </c>
    </row>
    <row r="2727" spans="1:6" x14ac:dyDescent="0.3">
      <c r="A2727" t="str">
        <f>HYPERLINK("https://us2.cloudbeds.com/connect/10074733072513#/reservations/30665644851375?display=YQHQA0EN5&amp;reservation_id=30665644851375", "YQHQA0EN5")</f>
        <v>YQHQA0EN5</v>
      </c>
      <c r="B2727" t="s">
        <v>548</v>
      </c>
      <c r="C2727">
        <v>68.16</v>
      </c>
      <c r="D2727">
        <v>74.08</v>
      </c>
      <c r="E2727">
        <v>74.09</v>
      </c>
      <c r="F2727">
        <v>-0.01</v>
      </c>
    </row>
    <row r="2728" spans="1:6" x14ac:dyDescent="0.3">
      <c r="A2728" t="str">
        <f>HYPERLINK("https://us2.cloudbeds.com/connect/10074733072513#/reservations/30665487155350?display=YQHM91AJZ&amp;reservation_id=30665487155350", "YQHM91AJZ")</f>
        <v>YQHM91AJZ</v>
      </c>
      <c r="B2728" t="s">
        <v>553</v>
      </c>
      <c r="C2728">
        <v>68.16</v>
      </c>
      <c r="D2728">
        <v>74.08</v>
      </c>
      <c r="E2728">
        <v>74.09</v>
      </c>
      <c r="F2728">
        <v>-0.01</v>
      </c>
    </row>
    <row r="2729" spans="1:6" x14ac:dyDescent="0.3">
      <c r="A2729" t="str">
        <f>HYPERLINK("https://us2.cloudbeds.com/connect/10074733072513#/reservations/30665167966379?display=YQHE3TDPM&amp;reservation_id=30665167966379", "YQHE3TDPM")</f>
        <v>YQHE3TDPM</v>
      </c>
      <c r="B2729" t="s">
        <v>553</v>
      </c>
      <c r="C2729">
        <v>68.16</v>
      </c>
      <c r="D2729">
        <v>74.08</v>
      </c>
      <c r="E2729">
        <v>74.09</v>
      </c>
      <c r="F2729">
        <v>-0.01</v>
      </c>
    </row>
    <row r="2730" spans="1:6" x14ac:dyDescent="0.3">
      <c r="A2730" t="str">
        <f>HYPERLINK("https://us2.cloudbeds.com/connect/10074733072513#/reservations/30665172607105?display=YQHE7QX7Z&amp;reservation_id=30665172607105", "YQHE7QX7Z")</f>
        <v>YQHE7QX7Z</v>
      </c>
      <c r="B2730" t="s">
        <v>553</v>
      </c>
      <c r="C2730">
        <v>80.19</v>
      </c>
      <c r="D2730">
        <v>87.16</v>
      </c>
      <c r="E2730">
        <v>87.17</v>
      </c>
      <c r="F2730">
        <v>-0.01</v>
      </c>
    </row>
    <row r="2731" spans="1:6" x14ac:dyDescent="0.3">
      <c r="A2731" t="str">
        <f>HYPERLINK("https://us2.cloudbeds.com/connect/10074733072513#/reservations/30666708455555?display=YQXKFSQCR&amp;reservation_id=30666708455555", "YQXKFSQCR")</f>
        <v>YQXKFSQCR</v>
      </c>
      <c r="B2731" t="s">
        <v>530</v>
      </c>
      <c r="C2731">
        <v>224</v>
      </c>
      <c r="D2731">
        <v>243.48</v>
      </c>
      <c r="E2731">
        <v>243.49</v>
      </c>
      <c r="F2731">
        <v>-0.01</v>
      </c>
    </row>
    <row r="2732" spans="1:6" x14ac:dyDescent="0.3">
      <c r="A2732" t="str">
        <f>HYPERLINK("https://us2.cloudbeds.com/connect/10074733072513#/reservations/30665845330101?display=YQHVE2212&amp;reservation_id=30665845330101", "YQHVE2212")</f>
        <v>YQHVE2212</v>
      </c>
      <c r="B2732" t="s">
        <v>558</v>
      </c>
      <c r="C2732">
        <v>68.16</v>
      </c>
      <c r="D2732">
        <v>74.08</v>
      </c>
      <c r="E2732">
        <v>74.09</v>
      </c>
      <c r="F2732">
        <v>-0.01</v>
      </c>
    </row>
    <row r="2733" spans="1:6" x14ac:dyDescent="0.3">
      <c r="A2733" t="str">
        <f>HYPERLINK("https://us2.cloudbeds.com/connect/10074733072513#/reservations/30667027390681?display=YQXSKQY3Y&amp;reservation_id=30667027390681", "YQXSKQY3Y")</f>
        <v>YQXSKQY3Y</v>
      </c>
      <c r="B2733" t="s">
        <v>558</v>
      </c>
      <c r="C2733">
        <v>68.16</v>
      </c>
      <c r="D2733">
        <v>74.08</v>
      </c>
      <c r="E2733">
        <v>74.09</v>
      </c>
      <c r="F2733">
        <v>-0.01</v>
      </c>
    </row>
    <row r="2734" spans="1:6" x14ac:dyDescent="0.3">
      <c r="A2734" t="str">
        <f>HYPERLINK("https://us2.cloudbeds.com/connect/10074733072513#/reservations/30666896502994?display=YQXP9EGD3&amp;reservation_id=30666896502994", "YQXP9EGD3")</f>
        <v>YQXP9EGD3</v>
      </c>
      <c r="B2734" t="s">
        <v>550</v>
      </c>
      <c r="C2734">
        <v>80.19</v>
      </c>
      <c r="D2734">
        <v>87.16</v>
      </c>
      <c r="E2734">
        <v>87.17</v>
      </c>
      <c r="F2734">
        <v>-0.01</v>
      </c>
    </row>
    <row r="2735" spans="1:6" x14ac:dyDescent="0.3">
      <c r="A2735" t="str">
        <f>HYPERLINK("https://us2.cloudbeds.com/connect/10074733072513#/reservations/30666817773723?display=YQXN91ZCK&amp;reservation_id=30666817773723", "YQXN91ZCK")</f>
        <v>YQXN91ZCK</v>
      </c>
      <c r="B2735" t="s">
        <v>550</v>
      </c>
      <c r="C2735">
        <v>80.19</v>
      </c>
      <c r="D2735">
        <v>87.16</v>
      </c>
      <c r="E2735">
        <v>87.17</v>
      </c>
      <c r="F2735">
        <v>-0.01</v>
      </c>
    </row>
    <row r="2736" spans="1:6" x14ac:dyDescent="0.3">
      <c r="A2736" t="str">
        <f>HYPERLINK("https://us2.cloudbeds.com/connect/10074733072513#/reservations/30665935118583?display=YQX0NPXE5&amp;reservation_id=30665935118583", "YQX0NPXE5")</f>
        <v>YQX0NPXE5</v>
      </c>
      <c r="B2736" t="s">
        <v>559</v>
      </c>
      <c r="C2736">
        <v>534.6</v>
      </c>
      <c r="D2736">
        <v>581.1</v>
      </c>
      <c r="E2736">
        <v>581.11</v>
      </c>
      <c r="F2736">
        <v>-0.01</v>
      </c>
    </row>
    <row r="2737" spans="1:6" x14ac:dyDescent="0.3">
      <c r="A2737" t="str">
        <f>HYPERLINK("https://us2.cloudbeds.com/connect/10074733072513#/reservations/30666082083057?display=YQX4FN212&amp;reservation_id=30666082083057", "YQX4FN212")</f>
        <v>YQX4FN212</v>
      </c>
      <c r="B2737" t="s">
        <v>561</v>
      </c>
      <c r="C2737">
        <v>144</v>
      </c>
      <c r="D2737">
        <v>156.52000000000001</v>
      </c>
      <c r="E2737">
        <v>156.53</v>
      </c>
      <c r="F2737">
        <v>-0.01</v>
      </c>
    </row>
    <row r="2738" spans="1:6" x14ac:dyDescent="0.3">
      <c r="A2738" t="str">
        <f>HYPERLINK("https://us2.cloudbeds.com/connect/10074733072513#/reservations/30666954944645?display=YQXQPNNR7&amp;reservation_id=30666954944645", "YQXQPNNR7")</f>
        <v>YQXQPNNR7</v>
      </c>
      <c r="B2738" t="s">
        <v>562</v>
      </c>
      <c r="C2738">
        <v>302.60000000000002</v>
      </c>
      <c r="D2738">
        <v>328.92</v>
      </c>
      <c r="E2738">
        <v>328.93</v>
      </c>
      <c r="F2738">
        <v>-0.01</v>
      </c>
    </row>
    <row r="2739" spans="1:6" x14ac:dyDescent="0.3">
      <c r="A2739" t="str">
        <f>HYPERLINK("https://us2.cloudbeds.com/connect/10074733072513#/reservations/30666932850816?display=YQXQ72QV2&amp;reservation_id=30666932850816", "YQXQ72QV2")</f>
        <v>YQXQ72QV2</v>
      </c>
      <c r="B2739" t="s">
        <v>563</v>
      </c>
      <c r="C2739">
        <v>80.19</v>
      </c>
      <c r="D2739">
        <v>87.16</v>
      </c>
      <c r="E2739">
        <v>87.17</v>
      </c>
      <c r="F2739">
        <v>-0.01</v>
      </c>
    </row>
    <row r="2740" spans="1:6" x14ac:dyDescent="0.3">
      <c r="A2740" t="str">
        <f>HYPERLINK("https://us2.cloudbeds.com/connect/10074733072513#/reservations/30665407647985?display=YQHK7WU2Y&amp;reservation_id=30665407647985", "YQHK7WU2Y")</f>
        <v>YQHK7WU2Y</v>
      </c>
      <c r="B2740" t="s">
        <v>564</v>
      </c>
      <c r="C2740">
        <v>68.16</v>
      </c>
      <c r="D2740">
        <v>74.08</v>
      </c>
      <c r="E2740">
        <v>74.09</v>
      </c>
      <c r="F2740">
        <v>-0.01</v>
      </c>
    </row>
    <row r="2741" spans="1:6" x14ac:dyDescent="0.3">
      <c r="A2741" t="str">
        <f>HYPERLINK("https://us2.cloudbeds.com/connect/10074733072513#/reservations/30665401258136?display=YQHK2K3ES&amp;reservation_id=30665401258136", "YQHK2K3ES")</f>
        <v>YQHK2K3ES</v>
      </c>
      <c r="B2741" t="s">
        <v>564</v>
      </c>
      <c r="C2741">
        <v>68.16</v>
      </c>
      <c r="D2741">
        <v>74.08</v>
      </c>
      <c r="E2741">
        <v>74.09</v>
      </c>
      <c r="F2741">
        <v>-0.01</v>
      </c>
    </row>
    <row r="2742" spans="1:6" x14ac:dyDescent="0.3">
      <c r="A2742" t="str">
        <f>HYPERLINK("https://us2.cloudbeds.com/connect/10074733072513#/reservations/30666875863258?display=YQXZP15FH&amp;reservation_id=30666875863258", "YQXZP15FH")</f>
        <v>YQXZP15FH</v>
      </c>
      <c r="B2742" t="s">
        <v>566</v>
      </c>
      <c r="C2742">
        <v>68.16</v>
      </c>
      <c r="D2742">
        <v>74.08</v>
      </c>
      <c r="E2742">
        <v>74.09</v>
      </c>
      <c r="F2742">
        <v>-0.01</v>
      </c>
    </row>
    <row r="2743" spans="1:6" x14ac:dyDescent="0.3">
      <c r="A2743" t="str">
        <f>HYPERLINK("https://us2.cloudbeds.com/connect/10074733072513#/reservations/30666284462296?display=YQX9YBXX9&amp;reservation_id=30666284462296", "YQX9YBXX9")</f>
        <v>YQX9YBXX9</v>
      </c>
      <c r="B2743" t="s">
        <v>568</v>
      </c>
      <c r="C2743">
        <v>84.15</v>
      </c>
      <c r="D2743">
        <v>91.46</v>
      </c>
      <c r="E2743">
        <v>91.47</v>
      </c>
      <c r="F2743">
        <v>-0.01</v>
      </c>
    </row>
    <row r="2744" spans="1:6" x14ac:dyDescent="0.3">
      <c r="A2744" t="str">
        <f>HYPERLINK("https://us2.cloudbeds.com/connect/10074733072513#/reservations/30666516295928?display=YQXFXRM8S&amp;reservation_id=30666516295928", "YQXFXRM8S")</f>
        <v>YQXFXRM8S</v>
      </c>
      <c r="B2744" t="s">
        <v>569</v>
      </c>
      <c r="C2744">
        <v>187.2</v>
      </c>
      <c r="D2744">
        <v>203.48</v>
      </c>
      <c r="E2744">
        <v>203.49</v>
      </c>
      <c r="F2744">
        <v>-0.01</v>
      </c>
    </row>
    <row r="2745" spans="1:6" x14ac:dyDescent="0.3">
      <c r="A2745" t="str">
        <f>HYPERLINK("https://us2.cloudbeds.com/connect/10074733072513#/reservations/30666510700701?display=YQXFE3WAH&amp;reservation_id=30666510700701", "YQXFE3WAH")</f>
        <v>YQXFE3WAH</v>
      </c>
      <c r="B2745" t="s">
        <v>569</v>
      </c>
      <c r="C2745">
        <v>80.19</v>
      </c>
      <c r="D2745">
        <v>87.16</v>
      </c>
      <c r="E2745">
        <v>87.17</v>
      </c>
      <c r="F2745">
        <v>-0.01</v>
      </c>
    </row>
    <row r="2746" spans="1:6" x14ac:dyDescent="0.3">
      <c r="A2746" t="str">
        <f>HYPERLINK("https://us2.cloudbeds.com/connect/10074733072513#/reservations/30666847838340?display=YQXZ1DAUK&amp;reservation_id=30666847838340", "YQXZ1DAUK")</f>
        <v>YQXZ1DAUK</v>
      </c>
      <c r="B2746" t="s">
        <v>570</v>
      </c>
      <c r="C2746">
        <v>196.2</v>
      </c>
      <c r="D2746">
        <v>213.26</v>
      </c>
      <c r="E2746">
        <v>213.27</v>
      </c>
      <c r="F2746">
        <v>-0.01</v>
      </c>
    </row>
    <row r="2747" spans="1:6" x14ac:dyDescent="0.3">
      <c r="A2747" t="str">
        <f>HYPERLINK("https://us2.cloudbeds.com/connect/10074733072513#/reservations/30667118612731?display=YQXUVZ0U6&amp;reservation_id=30667118612731", "YQXUVZ0U6")</f>
        <v>YQXUVZ0U6</v>
      </c>
      <c r="B2747" t="s">
        <v>571</v>
      </c>
      <c r="C2747">
        <v>68.16</v>
      </c>
      <c r="D2747">
        <v>74.08</v>
      </c>
      <c r="E2747">
        <v>74.09</v>
      </c>
      <c r="F2747">
        <v>-0.01</v>
      </c>
    </row>
    <row r="2748" spans="1:6" x14ac:dyDescent="0.3">
      <c r="A2748" t="str">
        <f>HYPERLINK("https://us2.cloudbeds.com/connect/10074733072513#/reservations/30666889949327?display=YQXP3U4B4&amp;reservation_id=30666889949327", "YQXP3U4B4")</f>
        <v>YQXP3U4B4</v>
      </c>
      <c r="B2748" t="s">
        <v>572</v>
      </c>
      <c r="C2748">
        <v>72.17</v>
      </c>
      <c r="D2748">
        <v>78.44</v>
      </c>
      <c r="E2748">
        <v>78.45</v>
      </c>
      <c r="F2748">
        <v>-0.01</v>
      </c>
    </row>
    <row r="2749" spans="1:6" x14ac:dyDescent="0.3">
      <c r="A2749" t="str">
        <f>HYPERLINK("https://us2.cloudbeds.com/connect/10074733072513#/reservations/30666032832743?display=YQX375JPA&amp;reservation_id=30666032832743", "YQX375JPA")</f>
        <v>YQX375JPA</v>
      </c>
      <c r="B2749" t="s">
        <v>573</v>
      </c>
      <c r="C2749">
        <v>80.19</v>
      </c>
      <c r="D2749">
        <v>87.16</v>
      </c>
      <c r="E2749">
        <v>87.17</v>
      </c>
      <c r="F2749">
        <v>-0.01</v>
      </c>
    </row>
    <row r="2750" spans="1:6" x14ac:dyDescent="0.3">
      <c r="A2750" t="str">
        <f>HYPERLINK("https://us2.cloudbeds.com/connect/10074733072513#/reservations/30666011177122?display=YQX2YTWWC&amp;reservation_id=30666011177122", "YQX2YTWWC")</f>
        <v>YQX2YTWWC</v>
      </c>
      <c r="B2750" t="s">
        <v>573</v>
      </c>
      <c r="C2750">
        <v>68.16</v>
      </c>
      <c r="D2750">
        <v>74.08</v>
      </c>
      <c r="E2750">
        <v>74.09</v>
      </c>
      <c r="F2750">
        <v>-0.01</v>
      </c>
    </row>
    <row r="2751" spans="1:6" x14ac:dyDescent="0.3">
      <c r="A2751" t="str">
        <f>HYPERLINK("https://us2.cloudbeds.com/connect/10074733072513#/reservations/30666875867352?display=YQXZP197K&amp;reservation_id=30666875867352", "YQXZP197K")</f>
        <v>YQXZP197K</v>
      </c>
      <c r="B2751" t="s">
        <v>576</v>
      </c>
      <c r="C2751">
        <v>118.15</v>
      </c>
      <c r="D2751">
        <v>128.41999999999999</v>
      </c>
      <c r="E2751">
        <v>128.43</v>
      </c>
      <c r="F2751">
        <v>-0.01</v>
      </c>
    </row>
    <row r="2752" spans="1:6" x14ac:dyDescent="0.3">
      <c r="A2752" t="str">
        <f>HYPERLINK("https://us2.cloudbeds.com/connect/10074733072513#/reservations/30667272401123?display=YQJ1TDDZG&amp;reservation_id=30667272401123", "YQJ1TDDZG")</f>
        <v>YQJ1TDDZG</v>
      </c>
      <c r="B2752" t="s">
        <v>577</v>
      </c>
      <c r="C2752">
        <v>80.19</v>
      </c>
      <c r="D2752">
        <v>87.16</v>
      </c>
      <c r="E2752">
        <v>87.17</v>
      </c>
      <c r="F2752">
        <v>-0.01</v>
      </c>
    </row>
    <row r="2753" spans="1:6" x14ac:dyDescent="0.3">
      <c r="A2753" t="str">
        <f>HYPERLINK("https://us2.cloudbeds.com/connect/10074733072513#/reservations/30666430128260?display=YQXDC5UPD&amp;reservation_id=30666430128260", "YQXDC5UPD")</f>
        <v>YQXDC5UPD</v>
      </c>
      <c r="B2753" t="s">
        <v>578</v>
      </c>
      <c r="C2753">
        <v>68.16</v>
      </c>
      <c r="D2753">
        <v>74.08</v>
      </c>
      <c r="E2753">
        <v>74.09</v>
      </c>
      <c r="F2753">
        <v>-0.01</v>
      </c>
    </row>
    <row r="2754" spans="1:6" x14ac:dyDescent="0.3">
      <c r="A2754" t="str">
        <f>HYPERLINK("https://us2.cloudbeds.com/connect/10074733072513#/reservations/30667683410060?display=YQJCCWBDP&amp;reservation_id=30667683410060", "YQJCCWBDP")</f>
        <v>YQJCCWBDP</v>
      </c>
      <c r="B2754" t="s">
        <v>579</v>
      </c>
      <c r="C2754">
        <v>198.28</v>
      </c>
      <c r="D2754">
        <v>215.52</v>
      </c>
      <c r="E2754">
        <v>215.53</v>
      </c>
      <c r="F2754">
        <v>-0.01</v>
      </c>
    </row>
    <row r="2755" spans="1:6" x14ac:dyDescent="0.3">
      <c r="A2755" t="str">
        <f>HYPERLINK("https://us2.cloudbeds.com/connect/10074733072513#/reservations/30666678325415?display=YQXJNFCMA&amp;reservation_id=30666678325415", "YQXJNFCMA")</f>
        <v>YQXJNFCMA</v>
      </c>
      <c r="B2755" t="s">
        <v>580</v>
      </c>
      <c r="C2755">
        <v>103.2</v>
      </c>
      <c r="D2755">
        <v>112.17</v>
      </c>
      <c r="E2755">
        <v>112.18</v>
      </c>
      <c r="F2755">
        <v>-0.01</v>
      </c>
    </row>
    <row r="2756" spans="1:6" x14ac:dyDescent="0.3">
      <c r="A2756" t="str">
        <f>HYPERLINK("https://us2.cloudbeds.com/connect/10074733072513#/reservations/30667031290042?display=YQXSZ34Q3&amp;reservation_id=30667031290042", "YQXSZ34Q3")</f>
        <v>YQXSZ34Q3</v>
      </c>
      <c r="B2756" t="s">
        <v>581</v>
      </c>
      <c r="C2756">
        <v>68.16</v>
      </c>
      <c r="D2756">
        <v>74.08</v>
      </c>
      <c r="E2756">
        <v>74.09</v>
      </c>
      <c r="F2756">
        <v>-0.01</v>
      </c>
    </row>
    <row r="2757" spans="1:6" x14ac:dyDescent="0.3">
      <c r="A2757" t="str">
        <f>HYPERLINK("https://us2.cloudbeds.com/connect/10074733072513#/reservations/30667009949831?display=YQXS63AY1&amp;reservation_id=30667009949831", "YQXS63AY1")</f>
        <v>YQXS63AY1</v>
      </c>
      <c r="B2757" t="s">
        <v>581</v>
      </c>
      <c r="C2757">
        <v>68.16</v>
      </c>
      <c r="D2757">
        <v>74.08</v>
      </c>
      <c r="E2757">
        <v>74.09</v>
      </c>
      <c r="F2757">
        <v>-0.01</v>
      </c>
    </row>
    <row r="2758" spans="1:6" x14ac:dyDescent="0.3">
      <c r="A2758" t="str">
        <f>HYPERLINK("https://us2.cloudbeds.com/connect/10074733072513#/reservations/30667199705281?display=YQJ013X26&amp;reservation_id=30667199705281", "YQJ013X26")</f>
        <v>YQJ013X26</v>
      </c>
      <c r="B2758" t="s">
        <v>582</v>
      </c>
      <c r="C2758">
        <v>196.2</v>
      </c>
      <c r="D2758">
        <v>213.26</v>
      </c>
      <c r="E2758">
        <v>213.27</v>
      </c>
      <c r="F2758">
        <v>-0.01</v>
      </c>
    </row>
    <row r="2759" spans="1:6" x14ac:dyDescent="0.3">
      <c r="A2759" t="str">
        <f>HYPERLINK("https://us2.cloudbeds.com/connect/10074733072513#/reservations/30667068743884?display=YQXTMMBM0&amp;reservation_id=30667068743884", "YQXTMMBM0")</f>
        <v>YQXTMMBM0</v>
      </c>
      <c r="B2759" t="s">
        <v>583</v>
      </c>
      <c r="C2759">
        <v>80.19</v>
      </c>
      <c r="D2759">
        <v>87.16</v>
      </c>
      <c r="E2759">
        <v>87.17</v>
      </c>
      <c r="F2759">
        <v>-0.01</v>
      </c>
    </row>
    <row r="2760" spans="1:6" x14ac:dyDescent="0.3">
      <c r="A2760" t="str">
        <f>HYPERLINK("https://us2.cloudbeds.com/connect/10074733072513#/reservations/30663447769217?display=YQG35CD1V&amp;reservation_id=30663447769217", "YQG35CD1V")</f>
        <v>YQG35CD1V</v>
      </c>
      <c r="B2760" t="s">
        <v>584</v>
      </c>
      <c r="C2760">
        <v>68.16</v>
      </c>
      <c r="D2760">
        <v>74.08</v>
      </c>
      <c r="E2760">
        <v>74.09</v>
      </c>
      <c r="F2760">
        <v>-0.01</v>
      </c>
    </row>
    <row r="2761" spans="1:6" x14ac:dyDescent="0.3">
      <c r="A2761" t="str">
        <f>HYPERLINK("https://us2.cloudbeds.com/connect/10074733072513#/reservations/30666171334858?display=YQX6ZVKK3&amp;reservation_id=30666171334858", "YQX6ZVKK3")</f>
        <v>YQX6ZVKK3</v>
      </c>
      <c r="B2761" t="s">
        <v>585</v>
      </c>
      <c r="C2761">
        <v>356.4</v>
      </c>
      <c r="D2761">
        <v>387.4</v>
      </c>
      <c r="E2761">
        <v>387.41</v>
      </c>
      <c r="F2761">
        <v>-0.01</v>
      </c>
    </row>
    <row r="2762" spans="1:6" x14ac:dyDescent="0.3">
      <c r="A2762" t="str">
        <f>HYPERLINK("https://us2.cloudbeds.com/connect/10074733072513#/reservations/30666178965638?display=YQX6VCVZS&amp;reservation_id=30666178965638", "YQX6VCVZS")</f>
        <v>YQX6VCVZS</v>
      </c>
      <c r="B2762" t="s">
        <v>585</v>
      </c>
      <c r="C2762">
        <v>68.16</v>
      </c>
      <c r="D2762">
        <v>74.08</v>
      </c>
      <c r="E2762">
        <v>74.09</v>
      </c>
      <c r="F2762">
        <v>-0.01</v>
      </c>
    </row>
    <row r="2763" spans="1:6" x14ac:dyDescent="0.3">
      <c r="A2763" t="str">
        <f>HYPERLINK("https://us2.cloudbeds.com/connect/10074733072513#/reservations/30667107336396?display=YQXUM7852&amp;reservation_id=30667107336396", "YQXUM7852")</f>
        <v>YQXUM7852</v>
      </c>
      <c r="B2763" t="s">
        <v>586</v>
      </c>
      <c r="C2763">
        <v>68.16</v>
      </c>
      <c r="D2763">
        <v>74.08</v>
      </c>
      <c r="E2763">
        <v>74.09</v>
      </c>
      <c r="F2763">
        <v>-0.01</v>
      </c>
    </row>
    <row r="2764" spans="1:6" x14ac:dyDescent="0.3">
      <c r="A2764" t="str">
        <f>HYPERLINK("https://us2.cloudbeds.com/connect/10074733072513#/reservations/30667107332303?display=YQXUM74D1&amp;reservation_id=30667107332303", "YQXUM74D1")</f>
        <v>YQXUM74D1</v>
      </c>
      <c r="B2764" t="s">
        <v>586</v>
      </c>
      <c r="C2764">
        <v>84.15</v>
      </c>
      <c r="D2764">
        <v>91.46</v>
      </c>
      <c r="E2764">
        <v>91.47</v>
      </c>
      <c r="F2764">
        <v>-0.01</v>
      </c>
    </row>
    <row r="2765" spans="1:6" x14ac:dyDescent="0.3">
      <c r="A2765" t="str">
        <f>HYPERLINK("https://us2.cloudbeds.com/connect/10074733072513#/reservations/30663451971737?display=YQG38UB41&amp;reservation_id=30663451971737", "YQG38UB41")</f>
        <v>YQG38UB41</v>
      </c>
      <c r="B2765" t="s">
        <v>584</v>
      </c>
      <c r="C2765">
        <v>84.15</v>
      </c>
      <c r="D2765">
        <v>91.46</v>
      </c>
      <c r="E2765">
        <v>91.47</v>
      </c>
      <c r="F2765">
        <v>-0.01</v>
      </c>
    </row>
    <row r="2766" spans="1:6" x14ac:dyDescent="0.3">
      <c r="A2766" t="str">
        <f>HYPERLINK("https://us2.cloudbeds.com/connect/10074733072513#/reservations/30667287335129?display=YQJ28WW84&amp;reservation_id=30667287335129", "YQJ28WW84")</f>
        <v>YQJ28WW84</v>
      </c>
      <c r="B2766" t="s">
        <v>587</v>
      </c>
      <c r="C2766">
        <v>80.19</v>
      </c>
      <c r="D2766">
        <v>87.16</v>
      </c>
      <c r="E2766">
        <v>87.17</v>
      </c>
      <c r="F2766">
        <v>-0.01</v>
      </c>
    </row>
    <row r="2767" spans="1:6" x14ac:dyDescent="0.3">
      <c r="A2767" t="str">
        <f>HYPERLINK("https://us2.cloudbeds.com/connect/10074733072513#/reservations/30667248648419?display=YQJ19CF8J&amp;reservation_id=30667248648419", "YQJ19CF8J")</f>
        <v>YQJ19CF8J</v>
      </c>
      <c r="B2767" t="s">
        <v>582</v>
      </c>
      <c r="C2767">
        <v>80.19</v>
      </c>
      <c r="D2767">
        <v>87.16</v>
      </c>
      <c r="E2767">
        <v>87.17</v>
      </c>
      <c r="F2767">
        <v>-0.01</v>
      </c>
    </row>
    <row r="2768" spans="1:6" x14ac:dyDescent="0.3">
      <c r="A2768" t="str">
        <f>HYPERLINK("https://us2.cloudbeds.com/connect/10074733072513#/reservations/30671590224073?display=YQMD7A6P6&amp;reservation_id=30671590224073", "YQMD7A6P6")</f>
        <v>YQMD7A6P6</v>
      </c>
      <c r="B2768" t="s">
        <v>591</v>
      </c>
      <c r="C2768">
        <v>285.3</v>
      </c>
      <c r="D2768">
        <v>310.11</v>
      </c>
      <c r="E2768">
        <v>310.12</v>
      </c>
      <c r="F2768">
        <v>-0.01</v>
      </c>
    </row>
    <row r="2769" spans="1:6" x14ac:dyDescent="0.3">
      <c r="A2769" t="str">
        <f>HYPERLINK("https://us2.cloudbeds.com/connect/10074733072513#/reservations/30668007956652?display=YQJKMYAWW&amp;reservation_id=30668007956652", "YQJKMYAWW")</f>
        <v>YQJKMYAWW</v>
      </c>
      <c r="B2769" t="s">
        <v>589</v>
      </c>
      <c r="C2769">
        <v>196.2</v>
      </c>
      <c r="D2769">
        <v>213.26</v>
      </c>
      <c r="E2769">
        <v>213.27</v>
      </c>
      <c r="F2769">
        <v>-0.01</v>
      </c>
    </row>
    <row r="2770" spans="1:6" x14ac:dyDescent="0.3">
      <c r="A2770" t="str">
        <f>HYPERLINK("https://us2.cloudbeds.com/connect/10074733072513#/reservations/30667832991951?display=YQJG73MHB&amp;reservation_id=30667832991951", "YQJG73MHB")</f>
        <v>YQJG73MHB</v>
      </c>
      <c r="B2770" t="s">
        <v>590</v>
      </c>
      <c r="C2770">
        <v>80.19</v>
      </c>
      <c r="D2770">
        <v>87.16</v>
      </c>
      <c r="E2770">
        <v>87.17</v>
      </c>
      <c r="F2770">
        <v>-0.01</v>
      </c>
    </row>
    <row r="2771" spans="1:6" x14ac:dyDescent="0.3">
      <c r="A2771" t="str">
        <f>HYPERLINK("https://us2.cloudbeds.com/connect/10074733072513#/reservations/30666810192091?display=YQXN2YPC6&amp;reservation_id=30666810192091", "YQXN2YPC6")</f>
        <v>YQXN2YPC6</v>
      </c>
      <c r="B2771" t="s">
        <v>592</v>
      </c>
      <c r="C2771">
        <v>72.17</v>
      </c>
      <c r="D2771">
        <v>78.44</v>
      </c>
      <c r="E2771">
        <v>78.45</v>
      </c>
      <c r="F2771">
        <v>-0.01</v>
      </c>
    </row>
    <row r="2772" spans="1:6" x14ac:dyDescent="0.3">
      <c r="A2772" t="str">
        <f>HYPERLINK("https://us2.cloudbeds.com/connect/10074733072513#/reservations/30665921892581?display=YQX0CKHB7&amp;reservation_id=30665921892581", "YQX0CKHB7")</f>
        <v>YQX0CKHB7</v>
      </c>
      <c r="B2772" t="s">
        <v>593</v>
      </c>
      <c r="C2772">
        <v>84.15</v>
      </c>
      <c r="D2772">
        <v>91.46</v>
      </c>
      <c r="E2772">
        <v>91.47</v>
      </c>
      <c r="F2772">
        <v>-0.01</v>
      </c>
    </row>
    <row r="2773" spans="1:6" x14ac:dyDescent="0.3">
      <c r="A2773" t="str">
        <f>HYPERLINK("https://us2.cloudbeds.com/connect/10074733072513#/reservations/30668100698340?display=YQJN1S085&amp;reservation_id=30668100698340", "YQJN1S085")</f>
        <v>YQJN1S085</v>
      </c>
      <c r="B2773" t="s">
        <v>594</v>
      </c>
      <c r="C2773">
        <v>68.16</v>
      </c>
      <c r="D2773">
        <v>74.08</v>
      </c>
      <c r="E2773">
        <v>74.09</v>
      </c>
      <c r="F2773">
        <v>-0.01</v>
      </c>
    </row>
    <row r="2774" spans="1:6" x14ac:dyDescent="0.3">
      <c r="A2774" t="str">
        <f>HYPERLINK("https://us2.cloudbeds.com/connect/10074733072513#/reservations/30666763374745?display=YQXYT607N&amp;reservation_id=30666763374745", "YQXYT607N")</f>
        <v>YQXYT607N</v>
      </c>
      <c r="B2774" t="s">
        <v>594</v>
      </c>
      <c r="C2774">
        <v>72.17</v>
      </c>
      <c r="D2774">
        <v>78.44</v>
      </c>
      <c r="E2774">
        <v>78.45</v>
      </c>
      <c r="F2774">
        <v>-0.01</v>
      </c>
    </row>
    <row r="2775" spans="1:6" x14ac:dyDescent="0.3">
      <c r="A2775" t="str">
        <f>HYPERLINK("https://us2.cloudbeds.com/connect/10074733072513#/reservations/30668194083030?display=YQJPEJXV8&amp;reservation_id=30668194083030", "YQJPEJXV8")</f>
        <v>YQJPEJXV8</v>
      </c>
      <c r="B2775" t="s">
        <v>595</v>
      </c>
      <c r="C2775">
        <v>160.38</v>
      </c>
      <c r="D2775">
        <v>174.32</v>
      </c>
      <c r="E2775">
        <v>174.33</v>
      </c>
      <c r="F2775">
        <v>-0.01</v>
      </c>
    </row>
    <row r="2776" spans="1:6" x14ac:dyDescent="0.3">
      <c r="A2776" t="str">
        <f>HYPERLINK("https://us2.cloudbeds.com/connect/10074733072513#/reservations/30666816082111?display=YQXN7KM0Y&amp;reservation_id=30666816082111", "YQXN7KM0Y")</f>
        <v>YQXN7KM0Y</v>
      </c>
      <c r="B2776" t="s">
        <v>592</v>
      </c>
      <c r="C2776">
        <v>68.16</v>
      </c>
      <c r="D2776">
        <v>74.08</v>
      </c>
      <c r="E2776">
        <v>74.09</v>
      </c>
      <c r="F2776">
        <v>-0.01</v>
      </c>
    </row>
    <row r="2777" spans="1:6" x14ac:dyDescent="0.3">
      <c r="A2777" t="str">
        <f>HYPERLINK("https://us2.cloudbeds.com/connect/10074733072513#/reservations/30668147335337?display=YQJZ85ZPG&amp;reservation_id=30668147335337", "YQJZ85ZPG")</f>
        <v>YQJZ85ZPG</v>
      </c>
      <c r="B2777" t="s">
        <v>592</v>
      </c>
      <c r="C2777">
        <v>80.19</v>
      </c>
      <c r="D2777">
        <v>87.16</v>
      </c>
      <c r="E2777">
        <v>87.17</v>
      </c>
      <c r="F2777">
        <v>-0.01</v>
      </c>
    </row>
    <row r="2778" spans="1:6" x14ac:dyDescent="0.3">
      <c r="A2778" t="str">
        <f>HYPERLINK("https://us2.cloudbeds.com/connect/10074733072513#/reservations/30666800799992?display=YQXMRZDS4&amp;reservation_id=30666800799992", "YQXMRZDS4")</f>
        <v>YQXMRZDS4</v>
      </c>
      <c r="B2778" t="s">
        <v>592</v>
      </c>
      <c r="C2778">
        <v>68.16</v>
      </c>
      <c r="D2778">
        <v>74.08</v>
      </c>
      <c r="E2778">
        <v>74.09</v>
      </c>
      <c r="F2778">
        <v>-0.01</v>
      </c>
    </row>
    <row r="2779" spans="1:6" x14ac:dyDescent="0.3">
      <c r="A2779" t="str">
        <f>HYPERLINK("https://us2.cloudbeds.com/connect/10074733072513#/reservations/30668179447956?display=YQJP28AV5&amp;reservation_id=30668179447956", "YQJP28AV5")</f>
        <v>YQJP28AV5</v>
      </c>
      <c r="B2779" t="s">
        <v>595</v>
      </c>
      <c r="C2779">
        <v>80.19</v>
      </c>
      <c r="D2779">
        <v>87.16</v>
      </c>
      <c r="E2779">
        <v>87.17</v>
      </c>
      <c r="F2779">
        <v>-0.01</v>
      </c>
    </row>
    <row r="2780" spans="1:6" x14ac:dyDescent="0.3">
      <c r="A2780" t="str">
        <f>HYPERLINK("https://us2.cloudbeds.com/connect/10074733072513#/reservations/30665218048213?display=YQHFD40K0&amp;reservation_id=30665218048213", "YQHFD40K0")</f>
        <v>YQHFD40K0</v>
      </c>
      <c r="B2780" t="s">
        <v>593</v>
      </c>
      <c r="C2780">
        <v>84.15</v>
      </c>
      <c r="D2780">
        <v>91.46</v>
      </c>
      <c r="E2780">
        <v>91.47</v>
      </c>
      <c r="F2780">
        <v>-0.01</v>
      </c>
    </row>
    <row r="2781" spans="1:6" x14ac:dyDescent="0.3">
      <c r="A2781" t="str">
        <f>HYPERLINK("https://us2.cloudbeds.com/connect/10074733072513#/reservations/30668214227172?display=YQJPVJ3PQ&amp;reservation_id=30668214227172", "YQJPVJ3PQ")</f>
        <v>YQJPVJ3PQ</v>
      </c>
      <c r="B2781" t="s">
        <v>595</v>
      </c>
      <c r="C2781">
        <v>80.19</v>
      </c>
      <c r="D2781">
        <v>87.16</v>
      </c>
      <c r="E2781">
        <v>87.17</v>
      </c>
      <c r="F2781">
        <v>-0.01</v>
      </c>
    </row>
    <row r="2782" spans="1:6" x14ac:dyDescent="0.3">
      <c r="A2782" t="str">
        <f>HYPERLINK("https://us2.cloudbeds.com/connect/10074733072513#/reservations/30665894105313?display=YQHWM6A0Q&amp;reservation_id=30665894105313", "YQHWM6A0Q")</f>
        <v>YQHWM6A0Q</v>
      </c>
      <c r="B2782" t="s">
        <v>596</v>
      </c>
      <c r="C2782">
        <v>84.15</v>
      </c>
      <c r="D2782">
        <v>91.46</v>
      </c>
      <c r="E2782">
        <v>91.47</v>
      </c>
      <c r="F2782">
        <v>-0.01</v>
      </c>
    </row>
    <row r="2783" spans="1:6" x14ac:dyDescent="0.3">
      <c r="A2783" t="str">
        <f>HYPERLINK("https://us2.cloudbeds.com/connect/10074733072513#/reservations/30665921896674?display=YQX0CKY38&amp;reservation_id=30665921896674", "YQX0CKY38")</f>
        <v>YQX0CKY38</v>
      </c>
      <c r="B2783" t="s">
        <v>593</v>
      </c>
      <c r="C2783">
        <v>64.150000000000006</v>
      </c>
      <c r="D2783">
        <v>69.72</v>
      </c>
      <c r="E2783">
        <v>69.73</v>
      </c>
      <c r="F2783">
        <v>-0.01</v>
      </c>
    </row>
    <row r="2784" spans="1:6" x14ac:dyDescent="0.3">
      <c r="A2784" t="str">
        <f>HYPERLINK("https://us2.cloudbeds.com/connect/10074733072513#/reservations/30667343663238?display=YQJ3NGCSH&amp;reservation_id=30667343663238", "YQJ3NGCSH")</f>
        <v>YQJ3NGCSH</v>
      </c>
      <c r="B2784" t="s">
        <v>597</v>
      </c>
      <c r="C2784">
        <v>64.150000000000006</v>
      </c>
      <c r="D2784">
        <v>69.72</v>
      </c>
      <c r="E2784">
        <v>69.73</v>
      </c>
      <c r="F2784">
        <v>-0.01</v>
      </c>
    </row>
    <row r="2785" spans="1:6" x14ac:dyDescent="0.3">
      <c r="A2785" t="str">
        <f>HYPERLINK("https://us2.cloudbeds.com/connect/10074733072513#/reservations/30667332866188?display=YQJ3ECV76&amp;reservation_id=30667332866188", "YQJ3ECV76")</f>
        <v>YQJ3ECV76</v>
      </c>
      <c r="B2785" t="s">
        <v>597</v>
      </c>
      <c r="C2785">
        <v>176.24</v>
      </c>
      <c r="D2785">
        <v>191.56</v>
      </c>
      <c r="E2785">
        <v>191.57</v>
      </c>
      <c r="F2785">
        <v>-0.01</v>
      </c>
    </row>
    <row r="2786" spans="1:6" x14ac:dyDescent="0.3">
      <c r="A2786" t="str">
        <f>HYPERLINK("https://us2.cloudbeds.com/connect/10074733072513#/reservations/30667290394780?display=YQJ2BJ3RR&amp;reservation_id=30667290394780", "YQJ2BJ3RR")</f>
        <v>YQJ2BJ3RR</v>
      </c>
      <c r="B2786" t="s">
        <v>598</v>
      </c>
      <c r="C2786">
        <v>64.150000000000006</v>
      </c>
      <c r="D2786">
        <v>69.72</v>
      </c>
      <c r="E2786">
        <v>69.73</v>
      </c>
      <c r="F2786">
        <v>-0.01</v>
      </c>
    </row>
    <row r="2787" spans="1:6" x14ac:dyDescent="0.3">
      <c r="A2787" t="str">
        <f>HYPERLINK("https://us2.cloudbeds.com/connect/10074733072513#/reservations/30667349954723?display=YQJ3SQF5J&amp;reservation_id=30667349954723", "YQJ3SQF5J")</f>
        <v>YQJ3SQF5J</v>
      </c>
      <c r="B2787" t="s">
        <v>597</v>
      </c>
      <c r="C2787">
        <v>68.16</v>
      </c>
      <c r="D2787">
        <v>74.08</v>
      </c>
      <c r="E2787">
        <v>74.09</v>
      </c>
      <c r="F2787">
        <v>-0.01</v>
      </c>
    </row>
    <row r="2788" spans="1:6" x14ac:dyDescent="0.3">
      <c r="A2788" t="str">
        <f>HYPERLINK("https://us2.cloudbeds.com/connect/10074733072513#/reservations/30667282727045?display=YQJ253ZP7&amp;reservation_id=30667282727045", "YQJ253ZP7")</f>
        <v>YQJ253ZP7</v>
      </c>
      <c r="B2788" t="s">
        <v>598</v>
      </c>
      <c r="C2788">
        <v>64.150000000000006</v>
      </c>
      <c r="D2788">
        <v>69.72</v>
      </c>
      <c r="E2788">
        <v>69.73</v>
      </c>
      <c r="F2788">
        <v>-0.01</v>
      </c>
    </row>
    <row r="2789" spans="1:6" x14ac:dyDescent="0.3">
      <c r="A2789" t="str">
        <f>HYPERLINK("https://us2.cloudbeds.com/connect/10074733072513#/reservations/30666132541621?display=YQX5P84QF&amp;reservation_id=30666132541621", "YQX5P84QF")</f>
        <v>YQX5P84QF</v>
      </c>
      <c r="B2789" t="s">
        <v>600</v>
      </c>
      <c r="C2789">
        <v>64.150000000000006</v>
      </c>
      <c r="D2789">
        <v>69.72</v>
      </c>
      <c r="E2789">
        <v>69.73</v>
      </c>
      <c r="F2789">
        <v>-0.01</v>
      </c>
    </row>
    <row r="2790" spans="1:6" x14ac:dyDescent="0.3">
      <c r="A2790" t="str">
        <f>HYPERLINK("https://us2.cloudbeds.com/connect/10074733072513#/reservations/30666120900828?display=YQX5FE7C5&amp;reservation_id=30666120900828", "YQX5FE7C5")</f>
        <v>YQX5FE7C5</v>
      </c>
      <c r="B2790" t="s">
        <v>600</v>
      </c>
      <c r="C2790">
        <v>80.19</v>
      </c>
      <c r="D2790">
        <v>87.16</v>
      </c>
      <c r="E2790">
        <v>87.17</v>
      </c>
      <c r="F2790">
        <v>-0.01</v>
      </c>
    </row>
    <row r="2791" spans="1:6" x14ac:dyDescent="0.3">
      <c r="A2791" t="str">
        <f>HYPERLINK("https://us2.cloudbeds.com/connect/10074733072513#/reservations/30665272664229?display=YQHGQ5Q1Q&amp;reservation_id=30665272664229", "YQHGQ5Q1Q")</f>
        <v>YQHGQ5Q1Q</v>
      </c>
      <c r="B2791" t="s">
        <v>601</v>
      </c>
      <c r="C2791">
        <v>68.16</v>
      </c>
      <c r="D2791">
        <v>74.08</v>
      </c>
      <c r="E2791">
        <v>74.09</v>
      </c>
      <c r="F2791">
        <v>-0.01</v>
      </c>
    </row>
    <row r="2792" spans="1:6" x14ac:dyDescent="0.3">
      <c r="A2792" t="str">
        <f>HYPERLINK("https://us2.cloudbeds.com/connect/10074733072513#/reservations/30667422060763?display=YQJ5NJU83&amp;reservation_id=30667422060763", "YQJ5NJU83")</f>
        <v>YQJ5NJU83</v>
      </c>
      <c r="B2792" t="s">
        <v>599</v>
      </c>
      <c r="C2792">
        <v>64.150000000000006</v>
      </c>
      <c r="D2792">
        <v>69.72</v>
      </c>
      <c r="E2792">
        <v>69.73</v>
      </c>
      <c r="F2792">
        <v>-0.01</v>
      </c>
    </row>
    <row r="2793" spans="1:6" x14ac:dyDescent="0.3">
      <c r="A2793" t="str">
        <f>HYPERLINK("https://us2.cloudbeds.com/connect/10074733072513#/reservations/30667433255121?display=YQJ601DZ2&amp;reservation_id=30667433255121", "YQJ601DZ2")</f>
        <v>YQJ601DZ2</v>
      </c>
      <c r="B2793" t="s">
        <v>602</v>
      </c>
      <c r="C2793">
        <v>127.2</v>
      </c>
      <c r="D2793">
        <v>138.26</v>
      </c>
      <c r="E2793">
        <v>138.27000000000001</v>
      </c>
      <c r="F2793">
        <v>-0.01</v>
      </c>
    </row>
    <row r="2794" spans="1:6" x14ac:dyDescent="0.3">
      <c r="A2794" t="str">
        <f>HYPERLINK("https://us2.cloudbeds.com/connect/10074733072513#/reservations/30667442290889?display=YQJ67YS17&amp;reservation_id=30667442290889", "YQJ67YS17")</f>
        <v>YQJ67YS17</v>
      </c>
      <c r="B2794" t="s">
        <v>599</v>
      </c>
      <c r="C2794">
        <v>72.17</v>
      </c>
      <c r="D2794">
        <v>78.44</v>
      </c>
      <c r="E2794">
        <v>78.45</v>
      </c>
      <c r="F2794">
        <v>-0.01</v>
      </c>
    </row>
    <row r="2795" spans="1:6" x14ac:dyDescent="0.3">
      <c r="A2795" t="str">
        <f>HYPERLINK("https://us2.cloudbeds.com/connect/10074733072513#/reservations/30668061364469?display=YQJM1MFWM&amp;reservation_id=30668061364469", "YQJM1MFWM")</f>
        <v>YQJM1MFWM</v>
      </c>
      <c r="B2795" t="s">
        <v>603</v>
      </c>
      <c r="C2795">
        <v>64.150000000000006</v>
      </c>
      <c r="D2795">
        <v>69.72</v>
      </c>
      <c r="E2795">
        <v>69.73</v>
      </c>
      <c r="F2795">
        <v>-0.01</v>
      </c>
    </row>
    <row r="2796" spans="1:6" x14ac:dyDescent="0.3">
      <c r="A2796" t="str">
        <f>HYPERLINK("https://us2.cloudbeds.com/connect/10074733072513#/reservations/30665274876091?display=YQHGS1B4U&amp;reservation_id=30665274876091", "YQHGS1B4U")</f>
        <v>YQHGS1B4U</v>
      </c>
      <c r="B2796" t="s">
        <v>601</v>
      </c>
      <c r="C2796">
        <v>64.150000000000006</v>
      </c>
      <c r="D2796">
        <v>69.72</v>
      </c>
      <c r="E2796">
        <v>69.73</v>
      </c>
      <c r="F2796">
        <v>-0.01</v>
      </c>
    </row>
    <row r="2797" spans="1:6" x14ac:dyDescent="0.3">
      <c r="A2797" t="str">
        <f>HYPERLINK("https://us2.cloudbeds.com/connect/10074733072513#/reservations/30667461447828?display=YQJ6NQUBH&amp;reservation_id=30667461447828", "YQJ6NQUBH")</f>
        <v>YQJ6NQUBH</v>
      </c>
      <c r="B2797" t="s">
        <v>599</v>
      </c>
      <c r="C2797">
        <v>68.16</v>
      </c>
      <c r="D2797">
        <v>74.08</v>
      </c>
      <c r="E2797">
        <v>74.09</v>
      </c>
      <c r="F2797">
        <v>-0.01</v>
      </c>
    </row>
    <row r="2798" spans="1:6" x14ac:dyDescent="0.3">
      <c r="A2798" t="str">
        <f>HYPERLINK("https://us2.cloudbeds.com/connect/10074733072513#/reservations/30666567352468?display=YQXGSTD4Z&amp;reservation_id=30666567352468", "YQXGSTD4Z")</f>
        <v>YQXGSTD4Z</v>
      </c>
      <c r="B2798" t="s">
        <v>604</v>
      </c>
      <c r="C2798">
        <v>160.38</v>
      </c>
      <c r="D2798">
        <v>174.32</v>
      </c>
      <c r="E2798">
        <v>174.33</v>
      </c>
      <c r="F2798">
        <v>-0.01</v>
      </c>
    </row>
    <row r="2799" spans="1:6" x14ac:dyDescent="0.3">
      <c r="A2799" t="str">
        <f>HYPERLINK("https://us2.cloudbeds.com/connect/10074733072513#/reservations/30666589036777?display=YQXHE5Q90&amp;reservation_id=30666589036777", "YQXHE5Q90")</f>
        <v>YQXHE5Q90</v>
      </c>
      <c r="B2799" t="s">
        <v>604</v>
      </c>
      <c r="C2799">
        <v>174.4</v>
      </c>
      <c r="D2799">
        <v>189.56</v>
      </c>
      <c r="E2799">
        <v>189.57</v>
      </c>
      <c r="F2799">
        <v>-0.01</v>
      </c>
    </row>
    <row r="2800" spans="1:6" x14ac:dyDescent="0.3">
      <c r="A2800" t="str">
        <f>HYPERLINK("https://us2.cloudbeds.com/connect/10074733072513#/reservations/30667416785030?display=YQJ5J53MD&amp;reservation_id=30667416785030", "YQJ5J53MD")</f>
        <v>YQJ5J53MD</v>
      </c>
      <c r="B2800" t="s">
        <v>599</v>
      </c>
      <c r="C2800">
        <v>64.150000000000006</v>
      </c>
      <c r="D2800">
        <v>69.72</v>
      </c>
      <c r="E2800">
        <v>69.73</v>
      </c>
      <c r="F2800">
        <v>-0.01</v>
      </c>
    </row>
    <row r="2801" spans="1:6" x14ac:dyDescent="0.3">
      <c r="A2801" t="str">
        <f>HYPERLINK("https://us2.cloudbeds.com/connect/10074733072513#/reservations/30668000596124?display=YQJKGEH0M&amp;reservation_id=30668000596124", "YQJKGEH0M")</f>
        <v>YQJKGEH0M</v>
      </c>
      <c r="B2801" t="s">
        <v>603</v>
      </c>
      <c r="C2801">
        <v>64.150000000000006</v>
      </c>
      <c r="D2801">
        <v>69.72</v>
      </c>
      <c r="E2801">
        <v>69.73</v>
      </c>
      <c r="F2801">
        <v>-0.01</v>
      </c>
    </row>
    <row r="2802" spans="1:6" x14ac:dyDescent="0.3">
      <c r="A2802" t="str">
        <f>HYPERLINK("https://us2.cloudbeds.com/connect/10074733072513#/reservations/30668062654606?display=YQJM2PCMZ&amp;reservation_id=30668062654606", "YQJM2PCMZ")</f>
        <v>YQJM2PCMZ</v>
      </c>
      <c r="B2802" t="s">
        <v>603</v>
      </c>
      <c r="C2802">
        <v>103.2</v>
      </c>
      <c r="D2802">
        <v>112.17</v>
      </c>
      <c r="E2802">
        <v>112.18</v>
      </c>
      <c r="F2802">
        <v>-0.01</v>
      </c>
    </row>
    <row r="2803" spans="1:6" x14ac:dyDescent="0.3">
      <c r="A2803" t="str">
        <f>HYPERLINK("https://us2.cloudbeds.com/connect/10074733072513#/reservations/30667461443712?display=YQJ6NQMSK&amp;reservation_id=30667461443712", "YQJ6NQMSK")</f>
        <v>YQJ6NQMSK</v>
      </c>
      <c r="B2803" t="s">
        <v>604</v>
      </c>
      <c r="C2803">
        <v>84.15</v>
      </c>
      <c r="D2803">
        <v>91.46</v>
      </c>
      <c r="E2803">
        <v>91.47</v>
      </c>
      <c r="F2803">
        <v>-0.01</v>
      </c>
    </row>
    <row r="2804" spans="1:6" x14ac:dyDescent="0.3">
      <c r="A2804" t="str">
        <f>HYPERLINK("https://us2.cloudbeds.com/connect/10074733072513#/reservations/30667461439618?display=YQJ6NQMQZ&amp;reservation_id=30667461439618", "YQJ6NQMQZ")</f>
        <v>YQJ6NQMQZ</v>
      </c>
      <c r="B2804" t="s">
        <v>605</v>
      </c>
      <c r="C2804">
        <v>68.16</v>
      </c>
      <c r="D2804">
        <v>74.08</v>
      </c>
      <c r="E2804">
        <v>74.09</v>
      </c>
      <c r="F2804">
        <v>-0.01</v>
      </c>
    </row>
    <row r="2805" spans="1:6" x14ac:dyDescent="0.3">
      <c r="A2805" t="str">
        <f>HYPERLINK("https://us2.cloudbeds.com/connect/10074733072513#/reservations/30667442675846?display=YQJ67WXHJ&amp;reservation_id=30667442675846", "YQJ67WXHJ")</f>
        <v>YQJ67WXHJ</v>
      </c>
      <c r="B2805" t="s">
        <v>605</v>
      </c>
      <c r="C2805">
        <v>64.150000000000006</v>
      </c>
      <c r="D2805">
        <v>69.72</v>
      </c>
      <c r="E2805">
        <v>69.73</v>
      </c>
      <c r="F2805">
        <v>-0.01</v>
      </c>
    </row>
    <row r="2806" spans="1:6" x14ac:dyDescent="0.3">
      <c r="A2806" t="str">
        <f>HYPERLINK("https://us2.cloudbeds.com/connect/10074733072513#/reservations/30666583761046?display=YQXH9NWNC&amp;reservation_id=30666583761046", "YQXH9NWNC")</f>
        <v>YQXH9NWNC</v>
      </c>
      <c r="B2806" t="s">
        <v>604</v>
      </c>
      <c r="C2806">
        <v>68.16</v>
      </c>
      <c r="D2806">
        <v>74.08</v>
      </c>
      <c r="E2806">
        <v>74.09</v>
      </c>
      <c r="F2806">
        <v>-0.01</v>
      </c>
    </row>
    <row r="2807" spans="1:6" x14ac:dyDescent="0.3">
      <c r="A2807" t="str">
        <f>HYPERLINK("https://us2.cloudbeds.com/connect/10074733072513#/reservations/30666579640449?display=YQXH68ASQ&amp;reservation_id=30666579640449", "YQXH68ASQ")</f>
        <v>YQXH68ASQ</v>
      </c>
      <c r="B2807" t="s">
        <v>604</v>
      </c>
      <c r="C2807">
        <v>80.19</v>
      </c>
      <c r="D2807">
        <v>87.16</v>
      </c>
      <c r="E2807">
        <v>87.17</v>
      </c>
      <c r="F2807">
        <v>-0.01</v>
      </c>
    </row>
    <row r="2808" spans="1:6" x14ac:dyDescent="0.3">
      <c r="A2808" t="str">
        <f>HYPERLINK("https://us2.cloudbeds.com/connect/10074733072513#/reservations/30667062562998?display=YQXTHFBUE&amp;reservation_id=30667062562998", "YQXTHFBUE")</f>
        <v>YQXTHFBUE</v>
      </c>
      <c r="B2808" t="s">
        <v>606</v>
      </c>
      <c r="C2808">
        <v>80.19</v>
      </c>
      <c r="D2808">
        <v>87.16</v>
      </c>
      <c r="E2808">
        <v>87.17</v>
      </c>
      <c r="F2808">
        <v>-0.01</v>
      </c>
    </row>
    <row r="2809" spans="1:6" x14ac:dyDescent="0.3">
      <c r="A2809" t="str">
        <f>HYPERLINK("https://us2.cloudbeds.com/connect/10074733072513#/reservations/30668068798694?display=YQJM7VBY7&amp;reservation_id=30668068798694", "YQJM7VBY7")</f>
        <v>YQJM7VBY7</v>
      </c>
      <c r="B2809" t="s">
        <v>603</v>
      </c>
      <c r="C2809">
        <v>64.150000000000006</v>
      </c>
      <c r="D2809">
        <v>69.72</v>
      </c>
      <c r="E2809">
        <v>69.73</v>
      </c>
      <c r="F2809">
        <v>-0.01</v>
      </c>
    </row>
    <row r="2810" spans="1:6" x14ac:dyDescent="0.3">
      <c r="A2810" t="str">
        <f>HYPERLINK("https://us2.cloudbeds.com/connect/10074733072513#/reservations/30668081324160?display=YQJM7VFD8&amp;reservation_id=30668081324160", "YQJM7VFD8")</f>
        <v>YQJM7VFD8</v>
      </c>
      <c r="B2810" t="s">
        <v>603</v>
      </c>
      <c r="C2810">
        <v>80.19</v>
      </c>
      <c r="D2810">
        <v>87.16</v>
      </c>
      <c r="E2810">
        <v>87.17</v>
      </c>
      <c r="F2810">
        <v>-0.01</v>
      </c>
    </row>
    <row r="2811" spans="1:6" x14ac:dyDescent="0.3">
      <c r="A2811" t="str">
        <f>HYPERLINK("https://us2.cloudbeds.com/connect/10074733072513#/reservations/30666592731340?display=YQXHH9JTF&amp;reservation_id=30666592731340", "YQXHH9JTF")</f>
        <v>YQXHH9JTF</v>
      </c>
      <c r="B2811" t="s">
        <v>604</v>
      </c>
      <c r="C2811">
        <v>64.150000000000006</v>
      </c>
      <c r="D2811">
        <v>69.72</v>
      </c>
      <c r="E2811">
        <v>69.73</v>
      </c>
      <c r="F2811">
        <v>-0.01</v>
      </c>
    </row>
    <row r="2812" spans="1:6" x14ac:dyDescent="0.3">
      <c r="A2812" t="str">
        <f>HYPERLINK("https://us2.cloudbeds.com/connect/10074733072513#/reservations/30666425643152?display=YQXD8D471&amp;reservation_id=30666425643152", "YQXD8D471")</f>
        <v>YQXD8D471</v>
      </c>
      <c r="B2812" t="s">
        <v>608</v>
      </c>
      <c r="C2812">
        <v>282.14999999999998</v>
      </c>
      <c r="D2812">
        <v>306.69</v>
      </c>
      <c r="E2812">
        <v>306.7</v>
      </c>
      <c r="F2812">
        <v>-0.01</v>
      </c>
    </row>
    <row r="2813" spans="1:6" x14ac:dyDescent="0.3">
      <c r="A2813" t="str">
        <f>HYPERLINK("https://us2.cloudbeds.com/connect/10074733072513#/reservations/30667056574680?display=YQXTCDZ08&amp;reservation_id=30667056574680", "YQXTCDZ08")</f>
        <v>YQXTCDZ08</v>
      </c>
      <c r="B2813" t="s">
        <v>606</v>
      </c>
      <c r="C2813">
        <v>72.17</v>
      </c>
      <c r="D2813">
        <v>78.44</v>
      </c>
      <c r="E2813">
        <v>78.45</v>
      </c>
      <c r="F2813">
        <v>-0.01</v>
      </c>
    </row>
    <row r="2814" spans="1:6" x14ac:dyDescent="0.3">
      <c r="A2814" t="str">
        <f>HYPERLINK("https://us2.cloudbeds.com/connect/10074733072513#/reservations/30666738852046?display=YQXY8GKMY&amp;reservation_id=30666738852046", "YQXY8GKMY")</f>
        <v>YQXY8GKMY</v>
      </c>
      <c r="B2814" t="s">
        <v>601</v>
      </c>
      <c r="C2814">
        <v>64.150000000000006</v>
      </c>
      <c r="D2814">
        <v>69.72</v>
      </c>
      <c r="E2814">
        <v>69.73</v>
      </c>
      <c r="F2814">
        <v>-0.01</v>
      </c>
    </row>
    <row r="2815" spans="1:6" x14ac:dyDescent="0.3">
      <c r="A2815" t="str">
        <f>HYPERLINK("https://us2.cloudbeds.com/connect/10074733072513#/reservations/30666722275546?display=YQXKRHBUF&amp;reservation_id=30666722275546", "YQXKRHBUF")</f>
        <v>YQXKRHBUF</v>
      </c>
      <c r="B2815" t="s">
        <v>601</v>
      </c>
      <c r="C2815">
        <v>64.150000000000006</v>
      </c>
      <c r="D2815">
        <v>69.72</v>
      </c>
      <c r="E2815">
        <v>69.73</v>
      </c>
      <c r="F2815">
        <v>-0.01</v>
      </c>
    </row>
    <row r="2816" spans="1:6" x14ac:dyDescent="0.3">
      <c r="A2816" t="str">
        <f>HYPERLINK("https://us2.cloudbeds.com/connect/10074733072513#/reservations/30670583836900?display=YQYKGMWV6&amp;reservation_id=30670583836900", "YQYKGMWV6")</f>
        <v>YQYKGMWV6</v>
      </c>
      <c r="B2816" t="s">
        <v>544</v>
      </c>
      <c r="C2816">
        <v>230.2</v>
      </c>
      <c r="D2816">
        <v>250.22</v>
      </c>
      <c r="E2816">
        <v>250.23</v>
      </c>
      <c r="F2816">
        <v>-0.01</v>
      </c>
    </row>
    <row r="2817" spans="1:6" x14ac:dyDescent="0.3">
      <c r="A2817" t="str">
        <f>HYPERLINK("https://us2.cloudbeds.com/connect/10074733072513#/reservations/30666385244387?display=YQXC7AW31&amp;reservation_id=30666385244387", "YQXC7AW31")</f>
        <v>YQXC7AW31</v>
      </c>
      <c r="B2817" t="s">
        <v>608</v>
      </c>
      <c r="C2817">
        <v>72.17</v>
      </c>
      <c r="D2817">
        <v>78.44</v>
      </c>
      <c r="E2817">
        <v>78.45</v>
      </c>
      <c r="F2817">
        <v>-0.01</v>
      </c>
    </row>
    <row r="2818" spans="1:6" x14ac:dyDescent="0.3">
      <c r="A2818" t="str">
        <f>HYPERLINK("https://us2.cloudbeds.com/connect/10074733072513#/reservations/30667907920011?display=YQJX49YWK&amp;reservation_id=30667907920011", "YQJX49YWK")</f>
        <v>YQJX49YWK</v>
      </c>
      <c r="B2818" t="s">
        <v>612</v>
      </c>
      <c r="C2818">
        <v>87.2</v>
      </c>
      <c r="D2818">
        <v>94.78</v>
      </c>
      <c r="E2818">
        <v>94.79</v>
      </c>
      <c r="F2818">
        <v>-0.01</v>
      </c>
    </row>
    <row r="2819" spans="1:6" x14ac:dyDescent="0.3">
      <c r="A2819" t="str">
        <f>HYPERLINK("https://us2.cloudbeds.com/connect/10074733072513#/reservations/30667624980630?display=YQJATNF6W&amp;reservation_id=30667624980630", "YQJATNF6W")</f>
        <v>YQJATNF6W</v>
      </c>
      <c r="B2819" t="s">
        <v>613</v>
      </c>
      <c r="C2819">
        <v>68.16</v>
      </c>
      <c r="D2819">
        <v>74.08</v>
      </c>
      <c r="E2819">
        <v>74.09</v>
      </c>
      <c r="F2819">
        <v>-0.01</v>
      </c>
    </row>
    <row r="2820" spans="1:6" x14ac:dyDescent="0.3">
      <c r="A2820" t="str">
        <f>HYPERLINK("https://us2.cloudbeds.com/connect/10074733072513#/reservations/30667607466175?display=YQJAEV34U&amp;reservation_id=30667607466175", "YQJAEV34U")</f>
        <v>YQJAEV34U</v>
      </c>
      <c r="B2820" t="s">
        <v>613</v>
      </c>
      <c r="C2820">
        <v>80.19</v>
      </c>
      <c r="D2820">
        <v>87.16</v>
      </c>
      <c r="E2820">
        <v>87.17</v>
      </c>
      <c r="F2820">
        <v>-0.01</v>
      </c>
    </row>
    <row r="2821" spans="1:6" x14ac:dyDescent="0.3">
      <c r="A2821" t="str">
        <f>HYPERLINK("https://us2.cloudbeds.com/connect/10074733072513#/reservations/30666551816342?display=YQXGFQ2Z1&amp;reservation_id=30666551816342", "YQXGFQ2Z1")</f>
        <v>YQXGFQ2Z1</v>
      </c>
      <c r="B2821" t="s">
        <v>610</v>
      </c>
      <c r="C2821">
        <v>64.150000000000006</v>
      </c>
      <c r="D2821">
        <v>69.72</v>
      </c>
      <c r="E2821">
        <v>69.73</v>
      </c>
      <c r="F2821">
        <v>-0.01</v>
      </c>
    </row>
    <row r="2822" spans="1:6" x14ac:dyDescent="0.3">
      <c r="A2822" t="str">
        <f>HYPERLINK("https://us2.cloudbeds.com/connect/10074733072513#/reservations/30667085742321?display=YQXU40BT5&amp;reservation_id=30667085742321", "YQXU40BT5")</f>
        <v>YQXU40BT5</v>
      </c>
      <c r="B2822" t="s">
        <v>606</v>
      </c>
      <c r="C2822">
        <v>64.150000000000006</v>
      </c>
      <c r="D2822">
        <v>69.72</v>
      </c>
      <c r="E2822">
        <v>69.73</v>
      </c>
      <c r="F2822">
        <v>-0.01</v>
      </c>
    </row>
    <row r="2823" spans="1:6" x14ac:dyDescent="0.3">
      <c r="A2823" t="str">
        <f>HYPERLINK("https://us2.cloudbeds.com/connect/10074733072513#/reservations/30667171881123?display=YQXWAY9ST&amp;reservation_id=30667171881123", "YQXWAY9ST")</f>
        <v>YQXWAY9ST</v>
      </c>
      <c r="B2823" t="s">
        <v>608</v>
      </c>
      <c r="C2823">
        <v>160.38</v>
      </c>
      <c r="D2823">
        <v>174.32</v>
      </c>
      <c r="E2823">
        <v>174.33</v>
      </c>
      <c r="F2823">
        <v>-0.01</v>
      </c>
    </row>
    <row r="2824" spans="1:6" x14ac:dyDescent="0.3">
      <c r="A2824" t="str">
        <f>HYPERLINK("https://us2.cloudbeds.com/connect/10074733072513#/reservations/30666522161298?display=YQXFNPT9B&amp;reservation_id=30666522161298", "YQXFNPT9B")</f>
        <v>YQXFNPT9B</v>
      </c>
      <c r="B2824" t="s">
        <v>615</v>
      </c>
      <c r="C2824">
        <v>64.150000000000006</v>
      </c>
      <c r="D2824">
        <v>69.72</v>
      </c>
      <c r="E2824">
        <v>69.73</v>
      </c>
      <c r="F2824">
        <v>-0.01</v>
      </c>
    </row>
    <row r="2825" spans="1:6" x14ac:dyDescent="0.3">
      <c r="A2825" t="str">
        <f>HYPERLINK("https://us2.cloudbeds.com/connect/10074733072513#/reservations/30667164618950?display=YQXW4H771&amp;reservation_id=30667164618950", "YQXW4H771")</f>
        <v>YQXW4H771</v>
      </c>
      <c r="B2825" t="s">
        <v>608</v>
      </c>
      <c r="C2825">
        <v>68.16</v>
      </c>
      <c r="D2825">
        <v>74.08</v>
      </c>
      <c r="E2825">
        <v>74.09</v>
      </c>
      <c r="F2825">
        <v>-0.01</v>
      </c>
    </row>
    <row r="2826" spans="1:6" x14ac:dyDescent="0.3">
      <c r="A2826" t="str">
        <f>HYPERLINK("https://us2.cloudbeds.com/connect/10074733072513#/reservations/30666769731775?display=YQXM1HTZ0&amp;reservation_id=30666769731775", "YQXM1HTZ0")</f>
        <v>YQXM1HTZ0</v>
      </c>
      <c r="B2826" t="s">
        <v>606</v>
      </c>
      <c r="C2826">
        <v>80.19</v>
      </c>
      <c r="D2826">
        <v>87.16</v>
      </c>
      <c r="E2826">
        <v>87.17</v>
      </c>
      <c r="F2826">
        <v>-0.01</v>
      </c>
    </row>
    <row r="2827" spans="1:6" x14ac:dyDescent="0.3">
      <c r="A2827" t="str">
        <f>HYPERLINK("https://us2.cloudbeds.com/connect/10074733072513#/reservations/30667603509492?display=YQJABJWRE&amp;reservation_id=30667603509492", "YQJABJWRE")</f>
        <v>YQJABJWRE</v>
      </c>
      <c r="B2827" t="s">
        <v>613</v>
      </c>
      <c r="C2827">
        <v>64.150000000000006</v>
      </c>
      <c r="D2827">
        <v>69.72</v>
      </c>
      <c r="E2827">
        <v>69.73</v>
      </c>
      <c r="F2827">
        <v>-0.01</v>
      </c>
    </row>
    <row r="2828" spans="1:6" x14ac:dyDescent="0.3">
      <c r="A2828" t="str">
        <f>HYPERLINK("https://us2.cloudbeds.com/connect/10074733072513#/reservations/30667184918671?display=YQXWYY2U3&amp;reservation_id=30667184918671", "YQXWYY2U3")</f>
        <v>YQXWYY2U3</v>
      </c>
      <c r="B2828" t="s">
        <v>616</v>
      </c>
      <c r="C2828">
        <v>87.2</v>
      </c>
      <c r="D2828">
        <v>94.78</v>
      </c>
      <c r="E2828">
        <v>94.79</v>
      </c>
      <c r="F2828">
        <v>-0.01</v>
      </c>
    </row>
    <row r="2829" spans="1:6" x14ac:dyDescent="0.3">
      <c r="A2829" t="str">
        <f>HYPERLINK("https://us2.cloudbeds.com/connect/10074733072513#/reservations/30667009274007?display=YQXS5HH1H&amp;reservation_id=30667009274007", "YQXS5HH1H")</f>
        <v>YQXS5HH1H</v>
      </c>
      <c r="B2829" t="s">
        <v>617</v>
      </c>
      <c r="C2829">
        <v>285.60000000000002</v>
      </c>
      <c r="D2829">
        <v>310.44</v>
      </c>
      <c r="E2829">
        <v>310.45</v>
      </c>
      <c r="F2829">
        <v>-0.01</v>
      </c>
    </row>
    <row r="2830" spans="1:6" x14ac:dyDescent="0.3">
      <c r="A2830" t="str">
        <f>HYPERLINK("https://us2.cloudbeds.com/connect/10074733072513#/reservations/30671450800293?display=YQM9YZHJ5&amp;reservation_id=30671450800293", "YQM9YZHJ5")</f>
        <v>YQM9YZHJ5</v>
      </c>
      <c r="B2830" t="s">
        <v>549</v>
      </c>
      <c r="C2830">
        <v>98.69</v>
      </c>
      <c r="D2830">
        <v>107.27</v>
      </c>
      <c r="E2830">
        <v>107.28</v>
      </c>
      <c r="F2830">
        <v>-0.01</v>
      </c>
    </row>
    <row r="2831" spans="1:6" x14ac:dyDescent="0.3">
      <c r="A2831" t="str">
        <f>HYPERLINK("https://us2.cloudbeds.com/connect/10074733072513#/reservations/30666617966815?display=YQXX5XQVR&amp;reservation_id=30666617966815", "YQXX5XQVR")</f>
        <v>YQXX5XQVR</v>
      </c>
      <c r="B2831" t="s">
        <v>613</v>
      </c>
      <c r="C2831">
        <v>64.150000000000006</v>
      </c>
      <c r="D2831">
        <v>69.72</v>
      </c>
      <c r="E2831">
        <v>69.73</v>
      </c>
      <c r="F2831">
        <v>-0.01</v>
      </c>
    </row>
    <row r="2832" spans="1:6" x14ac:dyDescent="0.3">
      <c r="A2832" t="str">
        <f>HYPERLINK("https://us2.cloudbeds.com/connect/10074733072513#/reservations/30666652717243?display=YQXJ1SQC3&amp;reservation_id=30666652717243", "YQXJ1SQC3")</f>
        <v>YQXJ1SQC3</v>
      </c>
      <c r="B2832" t="s">
        <v>613</v>
      </c>
      <c r="C2832">
        <v>64.150000000000006</v>
      </c>
      <c r="D2832">
        <v>69.72</v>
      </c>
      <c r="E2832">
        <v>69.73</v>
      </c>
      <c r="F2832">
        <v>-0.01</v>
      </c>
    </row>
    <row r="2833" spans="1:6" x14ac:dyDescent="0.3">
      <c r="A2833" t="str">
        <f>HYPERLINK("https://us2.cloudbeds.com/connect/10074733072513#/reservations/30667238617340?display=YQJ10UAWG&amp;reservation_id=30667238617340", "YQJ10UAWG")</f>
        <v>YQJ10UAWG</v>
      </c>
      <c r="B2833" t="s">
        <v>618</v>
      </c>
      <c r="C2833">
        <v>64.150000000000006</v>
      </c>
      <c r="D2833">
        <v>69.72</v>
      </c>
      <c r="E2833">
        <v>69.73</v>
      </c>
      <c r="F2833">
        <v>-0.01</v>
      </c>
    </row>
    <row r="2834" spans="1:6" x14ac:dyDescent="0.3">
      <c r="A2834" t="str">
        <f>HYPERLINK("https://us2.cloudbeds.com/connect/10074733072513#/reservations/30668667216126?display=YQK4HX6JQ&amp;reservation_id=30668667216126", "YQK4HX6JQ")</f>
        <v>YQK4HX6JQ</v>
      </c>
      <c r="B2834" t="s">
        <v>619</v>
      </c>
      <c r="C2834">
        <v>366.3</v>
      </c>
      <c r="D2834">
        <v>398.16</v>
      </c>
      <c r="E2834">
        <v>398.17</v>
      </c>
      <c r="F2834">
        <v>-0.01</v>
      </c>
    </row>
    <row r="2835" spans="1:6" x14ac:dyDescent="0.3">
      <c r="A2835" t="str">
        <f>HYPERLINK("https://us2.cloudbeds.com/connect/10074733072513#/reservations/30666359034028?display=YQXBX7KQZ&amp;reservation_id=30666359034028", "YQXBX7KQZ")</f>
        <v>YQXBX7KQZ</v>
      </c>
      <c r="B2835" t="s">
        <v>620</v>
      </c>
      <c r="C2835">
        <v>64.150000000000006</v>
      </c>
      <c r="D2835">
        <v>69.72</v>
      </c>
      <c r="E2835">
        <v>69.73</v>
      </c>
      <c r="F2835">
        <v>-0.01</v>
      </c>
    </row>
    <row r="2836" spans="1:6" x14ac:dyDescent="0.3">
      <c r="A2836" t="str">
        <f>HYPERLINK("https://us2.cloudbeds.com/connect/10074733072513#/reservations/30669615685884?display=YQKSPAPCK&amp;reservation_id=30669615685884", "YQKSPAPCK")</f>
        <v>YQKSPAPCK</v>
      </c>
      <c r="B2836" t="s">
        <v>621</v>
      </c>
      <c r="C2836">
        <v>302.39999999999998</v>
      </c>
      <c r="D2836">
        <v>328.7</v>
      </c>
      <c r="E2836">
        <v>328.71</v>
      </c>
      <c r="F2836">
        <v>-0.01</v>
      </c>
    </row>
    <row r="2837" spans="1:6" x14ac:dyDescent="0.3">
      <c r="A2837" t="str">
        <f>HYPERLINK("https://us2.cloudbeds.com/connect/10074733072513#/reservations/30667889860766?display=YQJHM24YP&amp;reservation_id=30667889860766", "YQJHM24YP")</f>
        <v>YQJHM24YP</v>
      </c>
      <c r="B2837" t="s">
        <v>612</v>
      </c>
      <c r="C2837">
        <v>87.2</v>
      </c>
      <c r="D2837">
        <v>94.78</v>
      </c>
      <c r="E2837">
        <v>94.79</v>
      </c>
      <c r="F2837">
        <v>-0.01</v>
      </c>
    </row>
    <row r="2838" spans="1:6" x14ac:dyDescent="0.3">
      <c r="A2838" t="str">
        <f>HYPERLINK("https://us2.cloudbeds.com/connect/10074733072513#/reservations/30667816358096?display=YQJFQ2R34&amp;reservation_id=30667816358096", "YQJFQ2R34")</f>
        <v>YQJFQ2R34</v>
      </c>
      <c r="B2838" t="s">
        <v>609</v>
      </c>
      <c r="C2838">
        <v>87.2</v>
      </c>
      <c r="D2838">
        <v>94.78</v>
      </c>
      <c r="E2838">
        <v>94.79</v>
      </c>
      <c r="F2838">
        <v>-0.01</v>
      </c>
    </row>
    <row r="2839" spans="1:6" x14ac:dyDescent="0.3">
      <c r="A2839" t="str">
        <f>HYPERLINK("https://us2.cloudbeds.com/connect/10074733072513#/reservations/30668759318710?display=YQK6T72W6&amp;reservation_id=30668759318710", "YQK6T72W6")</f>
        <v>YQK6T72W6</v>
      </c>
      <c r="B2839" t="s">
        <v>622</v>
      </c>
      <c r="C2839">
        <v>87.2</v>
      </c>
      <c r="D2839">
        <v>94.78</v>
      </c>
      <c r="E2839">
        <v>94.79</v>
      </c>
      <c r="F2839">
        <v>-0.01</v>
      </c>
    </row>
    <row r="2840" spans="1:6" x14ac:dyDescent="0.3">
      <c r="A2840" t="str">
        <f>HYPERLINK("https://us2.cloudbeds.com/connect/10074733072513#/reservations/30666514100438?display=YQXFGWJ6S&amp;reservation_id=30666514100438", "YQXFGWJ6S")</f>
        <v>YQXFGWJ6S</v>
      </c>
      <c r="B2840" t="s">
        <v>610</v>
      </c>
      <c r="C2840">
        <v>166.78</v>
      </c>
      <c r="D2840">
        <v>181.28</v>
      </c>
      <c r="E2840">
        <v>181.29</v>
      </c>
      <c r="F2840">
        <v>-0.01</v>
      </c>
    </row>
    <row r="2841" spans="1:6" x14ac:dyDescent="0.3">
      <c r="A2841" t="str">
        <f>HYPERLINK("https://us2.cloudbeds.com/connect/10074733072513#/reservations/30667763507439?display=YQJEEH5Z2&amp;reservation_id=30667763507439", "YQJEEH5Z2")</f>
        <v>YQJEEH5Z2</v>
      </c>
      <c r="B2841" t="s">
        <v>609</v>
      </c>
      <c r="C2841">
        <v>294.3</v>
      </c>
      <c r="D2841">
        <v>319.89</v>
      </c>
      <c r="E2841">
        <v>319.89999999999998</v>
      </c>
      <c r="F2841">
        <v>-0.01</v>
      </c>
    </row>
    <row r="2842" spans="1:6" x14ac:dyDescent="0.3">
      <c r="A2842" t="str">
        <f>HYPERLINK("https://us2.cloudbeds.com/connect/10074733072513#/reservations/30667800219890?display=YQJFCFZQJ&amp;reservation_id=30667800219890", "YQJFCFZQJ")</f>
        <v>YQJFCFZQJ</v>
      </c>
      <c r="B2842" t="s">
        <v>609</v>
      </c>
      <c r="C2842">
        <v>166.78</v>
      </c>
      <c r="D2842">
        <v>181.28</v>
      </c>
      <c r="E2842">
        <v>181.29</v>
      </c>
      <c r="F2842">
        <v>-0.01</v>
      </c>
    </row>
    <row r="2843" spans="1:6" x14ac:dyDescent="0.3">
      <c r="A2843" t="str">
        <f>HYPERLINK("https://us2.cloudbeds.com/connect/10074733072513#/reservations/30668842524841?display=YQK90CDW3&amp;reservation_id=30668842524841", "YQK90CDW3")</f>
        <v>YQK90CDW3</v>
      </c>
      <c r="B2843" t="s">
        <v>624</v>
      </c>
      <c r="C2843">
        <v>87.2</v>
      </c>
      <c r="D2843">
        <v>94.78</v>
      </c>
      <c r="E2843">
        <v>94.79</v>
      </c>
      <c r="F2843">
        <v>-0.01</v>
      </c>
    </row>
    <row r="2844" spans="1:6" x14ac:dyDescent="0.3">
      <c r="A2844" t="str">
        <f>HYPERLINK("https://us2.cloudbeds.com/connect/10074733072513#/reservations/30667416780940?display=YQJ5J4WUF&amp;reservation_id=30667416780940", "YQJ5J4WUF")</f>
        <v>YQJ5J4WUF</v>
      </c>
      <c r="B2844" t="s">
        <v>602</v>
      </c>
      <c r="C2844">
        <v>134.1</v>
      </c>
      <c r="D2844">
        <v>145.76</v>
      </c>
      <c r="E2844">
        <v>145.77000000000001</v>
      </c>
      <c r="F2844">
        <v>-0.01</v>
      </c>
    </row>
    <row r="2845" spans="1:6" x14ac:dyDescent="0.3">
      <c r="A2845" t="str">
        <f>HYPERLINK("https://us2.cloudbeds.com/connect/10074733072513#/reservations/30668822614241?display=YQK8GJCJJ&amp;reservation_id=30668822614241", "YQK8GJCJJ")</f>
        <v>YQK8GJCJJ</v>
      </c>
      <c r="B2845" t="s">
        <v>624</v>
      </c>
      <c r="C2845">
        <v>87.2</v>
      </c>
      <c r="D2845">
        <v>94.78</v>
      </c>
      <c r="E2845">
        <v>94.79</v>
      </c>
      <c r="F2845">
        <v>-0.01</v>
      </c>
    </row>
    <row r="2846" spans="1:6" x14ac:dyDescent="0.3">
      <c r="A2846" t="str">
        <f>HYPERLINK("https://us2.cloudbeds.com/connect/10074733072513#/reservations/30668835164374?display=YQK8R5K1Y&amp;reservation_id=30668835164374", "YQK8R5K1Y")</f>
        <v>YQK8R5K1Y</v>
      </c>
      <c r="B2846" t="s">
        <v>624</v>
      </c>
      <c r="C2846">
        <v>87.2</v>
      </c>
      <c r="D2846">
        <v>94.78</v>
      </c>
      <c r="E2846">
        <v>94.79</v>
      </c>
      <c r="F2846">
        <v>-0.01</v>
      </c>
    </row>
    <row r="2847" spans="1:6" x14ac:dyDescent="0.3">
      <c r="A2847" t="str">
        <f>HYPERLINK("https://us2.cloudbeds.com/connect/10074733072513#/reservations/30667620036799?display=YQJAPHTDU&amp;reservation_id=30667620036799", "YQJAPHTDU")</f>
        <v>YQJAPHTDU</v>
      </c>
      <c r="B2847" t="s">
        <v>611</v>
      </c>
      <c r="C2847">
        <v>90.07</v>
      </c>
      <c r="D2847">
        <v>97.9</v>
      </c>
      <c r="E2847">
        <v>97.91</v>
      </c>
      <c r="F2847">
        <v>-0.01</v>
      </c>
    </row>
    <row r="2848" spans="1:6" x14ac:dyDescent="0.3">
      <c r="A2848" t="str">
        <f>HYPERLINK("https://us2.cloudbeds.com/connect/10074733072513#/reservations/30668151459985?display=YQJZBYHAR&amp;reservation_id=30668151459985", "YQJZBYHAR")</f>
        <v>YQJZBYHAR</v>
      </c>
      <c r="B2848" t="s">
        <v>623</v>
      </c>
      <c r="C2848">
        <v>98.69</v>
      </c>
      <c r="D2848">
        <v>107.27</v>
      </c>
      <c r="E2848">
        <v>107.28</v>
      </c>
      <c r="F2848">
        <v>-0.01</v>
      </c>
    </row>
    <row r="2849" spans="1:6" x14ac:dyDescent="0.3">
      <c r="A2849" t="str">
        <f>HYPERLINK("https://us2.cloudbeds.com/connect/10074733072513#/reservations/30666789707954?display=YQXMXCPAP&amp;reservation_id=30666789707954", "YQXMXCPAP")</f>
        <v>YQXMXCPAP</v>
      </c>
      <c r="B2849" t="s">
        <v>625</v>
      </c>
      <c r="C2849">
        <v>166.78</v>
      </c>
      <c r="D2849">
        <v>181.28</v>
      </c>
      <c r="E2849">
        <v>181.29</v>
      </c>
      <c r="F2849">
        <v>-0.01</v>
      </c>
    </row>
    <row r="2850" spans="1:6" x14ac:dyDescent="0.3">
      <c r="A2850" t="str">
        <f>HYPERLINK("https://us2.cloudbeds.com/connect/10074733072513#/reservations/30667512365310?display=YQJ80ZPHH&amp;reservation_id=30667512365310", "YQJ80ZPHH")</f>
        <v>YQJ80ZPHH</v>
      </c>
      <c r="B2850" t="s">
        <v>614</v>
      </c>
      <c r="C2850">
        <v>500.4</v>
      </c>
      <c r="D2850">
        <v>543.91999999999996</v>
      </c>
      <c r="E2850">
        <v>543.92999999999995</v>
      </c>
      <c r="F2850">
        <v>-0.01</v>
      </c>
    </row>
    <row r="2851" spans="1:6" x14ac:dyDescent="0.3">
      <c r="A2851" t="str">
        <f>HYPERLINK("https://us2.cloudbeds.com/connect/10074733072513#/reservations/30667442294982?display=YQJ67YVQ8&amp;reservation_id=30667442294982", "YQJ67YVQ8")</f>
        <v>YQJ67YVQ8</v>
      </c>
      <c r="B2851" t="s">
        <v>602</v>
      </c>
      <c r="C2851">
        <v>220.33</v>
      </c>
      <c r="D2851">
        <v>239.49</v>
      </c>
      <c r="E2851">
        <v>239.5</v>
      </c>
      <c r="F2851">
        <v>-0.01</v>
      </c>
    </row>
    <row r="2852" spans="1:6" x14ac:dyDescent="0.3">
      <c r="A2852" t="str">
        <f>HYPERLINK("https://us2.cloudbeds.com/connect/10074733072513#/reservations/30664586952939?display=YQGW8VSEQ&amp;reservation_id=30664586952939", "YQGW8VSEQ")</f>
        <v>YQGW8VSEQ</v>
      </c>
      <c r="B2852" t="s">
        <v>628</v>
      </c>
      <c r="C2852">
        <v>250.2</v>
      </c>
      <c r="D2852">
        <v>271.95999999999998</v>
      </c>
      <c r="E2852">
        <v>271.97000000000003</v>
      </c>
      <c r="F2852">
        <v>-0.01</v>
      </c>
    </row>
    <row r="2853" spans="1:6" x14ac:dyDescent="0.3">
      <c r="A2853" t="str">
        <f>HYPERLINK("https://us2.cloudbeds.com/connect/10074733072513#/reservations/30667537912044?display=YQJ8M9YDW&amp;reservation_id=30667537912044", "YQJ8M9YDW")</f>
        <v>YQJ8M9YDW</v>
      </c>
      <c r="B2853" t="s">
        <v>629</v>
      </c>
      <c r="C2853">
        <v>87.21</v>
      </c>
      <c r="D2853">
        <v>94.79</v>
      </c>
      <c r="E2853">
        <v>94.8</v>
      </c>
      <c r="F2853">
        <v>-0.01</v>
      </c>
    </row>
    <row r="2854" spans="1:6" x14ac:dyDescent="0.3">
      <c r="A2854" t="str">
        <f>HYPERLINK("https://us2.cloudbeds.com/connect/10074733072513#/reservations/30668726079675?display=YQK6165EN&amp;reservation_id=30668726079675", "YQK6165EN")</f>
        <v>YQK6165EN</v>
      </c>
      <c r="B2854" t="s">
        <v>630</v>
      </c>
      <c r="C2854">
        <v>87.21</v>
      </c>
      <c r="D2854">
        <v>94.79</v>
      </c>
      <c r="E2854">
        <v>94.8</v>
      </c>
      <c r="F2854">
        <v>-0.01</v>
      </c>
    </row>
    <row r="2855" spans="1:6" x14ac:dyDescent="0.3">
      <c r="A2855" t="str">
        <f>HYPERLINK("https://us2.cloudbeds.com/connect/10074733072513#/reservations/30667452399778?display=YQJ6G64P6&amp;reservation_id=30667452399778", "YQJ6G64P6")</f>
        <v>YQJ6G64P6</v>
      </c>
      <c r="B2855" t="s">
        <v>602</v>
      </c>
      <c r="C2855">
        <v>134.1</v>
      </c>
      <c r="D2855">
        <v>145.76</v>
      </c>
      <c r="E2855">
        <v>145.77000000000001</v>
      </c>
      <c r="F2855">
        <v>-0.01</v>
      </c>
    </row>
    <row r="2856" spans="1:6" x14ac:dyDescent="0.3">
      <c r="A2856" t="str">
        <f>HYPERLINK("https://us2.cloudbeds.com/connect/10074733072513#/reservations/30668434661587?display=YQJVJF0TH&amp;reservation_id=30668434661587", "YQJVJF0TH")</f>
        <v>YQJVJF0TH</v>
      </c>
      <c r="B2856" t="s">
        <v>616</v>
      </c>
      <c r="C2856">
        <v>107.2</v>
      </c>
      <c r="D2856">
        <v>116.52</v>
      </c>
      <c r="E2856">
        <v>116.53</v>
      </c>
      <c r="F2856">
        <v>-0.01</v>
      </c>
    </row>
    <row r="2857" spans="1:6" x14ac:dyDescent="0.3">
      <c r="A2857" t="str">
        <f>HYPERLINK("https://us2.cloudbeds.com/connect/10074733072513#/reservations/30667422056673?display=YQJ5NJQG5&amp;reservation_id=30667422056673", "YQJ5NJQG5")</f>
        <v>YQJ5NJQG5</v>
      </c>
      <c r="B2857" t="s">
        <v>602</v>
      </c>
      <c r="C2857">
        <v>98.69</v>
      </c>
      <c r="D2857">
        <v>107.27</v>
      </c>
      <c r="E2857">
        <v>107.28</v>
      </c>
      <c r="F2857">
        <v>-0.01</v>
      </c>
    </row>
    <row r="2858" spans="1:6" x14ac:dyDescent="0.3">
      <c r="A2858" t="str">
        <f>HYPERLINK("https://us2.cloudbeds.com/connect/10074733072513#/reservations/30666405023921?display=YQXCZ0C3S&amp;reservation_id=30666405023921", "YQXCZ0C3S")</f>
        <v>YQXCZ0C3S</v>
      </c>
      <c r="B2858" t="s">
        <v>631</v>
      </c>
      <c r="C2858">
        <v>93.65</v>
      </c>
      <c r="D2858">
        <v>101.79</v>
      </c>
      <c r="E2858">
        <v>101.8</v>
      </c>
      <c r="F2858">
        <v>-0.01</v>
      </c>
    </row>
    <row r="2859" spans="1:6" x14ac:dyDescent="0.3">
      <c r="A2859" t="str">
        <f>HYPERLINK("https://us2.cloudbeds.com/connect/10074733072513#/reservations/30668412453045?display=YQJV0Z1CE&amp;reservation_id=30668412453045", "YQJV0Z1CE")</f>
        <v>YQJV0Z1CE</v>
      </c>
      <c r="B2859" t="s">
        <v>627</v>
      </c>
      <c r="C2859">
        <v>127.2</v>
      </c>
      <c r="D2859">
        <v>138.26</v>
      </c>
      <c r="E2859">
        <v>138.27000000000001</v>
      </c>
      <c r="F2859">
        <v>-0.01</v>
      </c>
    </row>
    <row r="2860" spans="1:6" x14ac:dyDescent="0.3">
      <c r="A2860" t="str">
        <f>HYPERLINK("https://us2.cloudbeds.com/connect/10074733072513#/reservations/30666436722906?display=YQXDHZEF5&amp;reservation_id=30666436722906", "YQXDHZEF5")</f>
        <v>YQXDHZEF5</v>
      </c>
      <c r="B2860" t="s">
        <v>633</v>
      </c>
      <c r="C2860">
        <v>143.19999999999999</v>
      </c>
      <c r="D2860">
        <v>155.65</v>
      </c>
      <c r="E2860">
        <v>155.66</v>
      </c>
      <c r="F2860">
        <v>-0.01</v>
      </c>
    </row>
    <row r="2861" spans="1:6" x14ac:dyDescent="0.3">
      <c r="A2861" t="str">
        <f>HYPERLINK("https://us2.cloudbeds.com/connect/10074733072513#/reservations/30667691966674?display=YQJCK6EZ3&amp;reservation_id=30667691966674", "YQJCK6EZ3")</f>
        <v>YQJCK6EZ3</v>
      </c>
      <c r="B2861" t="s">
        <v>634</v>
      </c>
      <c r="C2861">
        <v>250.2</v>
      </c>
      <c r="D2861">
        <v>271.95999999999998</v>
      </c>
      <c r="E2861">
        <v>271.97000000000003</v>
      </c>
      <c r="F2861">
        <v>-0.01</v>
      </c>
    </row>
    <row r="2862" spans="1:6" x14ac:dyDescent="0.3">
      <c r="A2862" t="str">
        <f>HYPERLINK("https://us2.cloudbeds.com/connect/10074733072513#/reservations/30668958859492?display=YQKBWFK0X&amp;reservation_id=30668958859492", "YQKBWFK0X")</f>
        <v>YQKBWFK0X</v>
      </c>
      <c r="B2862" t="s">
        <v>635</v>
      </c>
      <c r="C2862">
        <v>273.60000000000002</v>
      </c>
      <c r="D2862">
        <v>297.39</v>
      </c>
      <c r="E2862">
        <v>297.39999999999998</v>
      </c>
      <c r="F2862">
        <v>-0.01</v>
      </c>
    </row>
    <row r="2863" spans="1:6" x14ac:dyDescent="0.3">
      <c r="A2863" t="str">
        <f>HYPERLINK("https://us2.cloudbeds.com/connect/10074733072513#/reservations/30668195479752?display=YQJPFPEH5&amp;reservation_id=30668195479752", "YQJPFPEH5")</f>
        <v>YQJPFPEH5</v>
      </c>
      <c r="B2863" t="s">
        <v>636</v>
      </c>
      <c r="C2863">
        <v>87.21</v>
      </c>
      <c r="D2863">
        <v>94.79</v>
      </c>
      <c r="E2863">
        <v>94.8</v>
      </c>
      <c r="F2863">
        <v>-0.01</v>
      </c>
    </row>
    <row r="2864" spans="1:6" x14ac:dyDescent="0.3">
      <c r="A2864" t="str">
        <f>HYPERLINK("https://us2.cloudbeds.com/connect/10074733072513#/reservations/30669088125128?display=YQKF9FK81&amp;reservation_id=30669088125128", "YQKF9FK81")</f>
        <v>YQKF9FK81</v>
      </c>
      <c r="B2864" t="s">
        <v>637</v>
      </c>
      <c r="C2864">
        <v>267.3</v>
      </c>
      <c r="D2864">
        <v>290.55</v>
      </c>
      <c r="E2864">
        <v>290.56</v>
      </c>
      <c r="F2864">
        <v>-0.01</v>
      </c>
    </row>
    <row r="2865" spans="1:6" x14ac:dyDescent="0.3">
      <c r="A2865" t="str">
        <f>HYPERLINK("https://us2.cloudbeds.com/connect/10074733072513#/reservations/30667193712799?display=YQXWT1QAR&amp;reservation_id=30667193712799", "YQXWT1QAR")</f>
        <v>YQXWT1QAR</v>
      </c>
      <c r="B2865" t="s">
        <v>635</v>
      </c>
      <c r="C2865">
        <v>84.13</v>
      </c>
      <c r="D2865">
        <v>91.44</v>
      </c>
      <c r="E2865">
        <v>91.45</v>
      </c>
      <c r="F2865">
        <v>-0.01</v>
      </c>
    </row>
    <row r="2866" spans="1:6" x14ac:dyDescent="0.3">
      <c r="A2866" t="str">
        <f>HYPERLINK("https://us2.cloudbeds.com/connect/10074733072513#/reservations/30664711835842?display=YQH2F8U45&amp;reservation_id=30664711835842", "YQH2F8U45")</f>
        <v>YQH2F8U45</v>
      </c>
      <c r="B2866" t="s">
        <v>638</v>
      </c>
      <c r="C2866">
        <v>262.39999999999998</v>
      </c>
      <c r="D2866">
        <v>285.22000000000003</v>
      </c>
      <c r="E2866">
        <v>285.23</v>
      </c>
      <c r="F2866">
        <v>-0.01</v>
      </c>
    </row>
    <row r="2867" spans="1:6" x14ac:dyDescent="0.3">
      <c r="A2867" t="str">
        <f>HYPERLINK("https://us2.cloudbeds.com/connect/10074733072513#/reservations/30667202678929?display=YQJ03K9MZ&amp;reservation_id=30667202678929", "YQJ03K9MZ")</f>
        <v>YQJ03K9MZ</v>
      </c>
      <c r="B2867" t="s">
        <v>635</v>
      </c>
      <c r="C2867">
        <v>87.21</v>
      </c>
      <c r="D2867">
        <v>94.79</v>
      </c>
      <c r="E2867">
        <v>94.8</v>
      </c>
      <c r="F2867">
        <v>-0.01</v>
      </c>
    </row>
    <row r="2868" spans="1:6" x14ac:dyDescent="0.3">
      <c r="A2868" t="str">
        <f>HYPERLINK("https://us2.cloudbeds.com/connect/10074733072513#/reservations/30667184959684?display=YQXWYM7XU&amp;reservation_id=30667184959684", "YQXWYM7XU")</f>
        <v>YQXWYM7XU</v>
      </c>
      <c r="B2868" t="s">
        <v>635</v>
      </c>
      <c r="C2868">
        <v>72.959999999999994</v>
      </c>
      <c r="D2868">
        <v>79.3</v>
      </c>
      <c r="E2868">
        <v>79.31</v>
      </c>
      <c r="F2868">
        <v>-0.01</v>
      </c>
    </row>
    <row r="2869" spans="1:6" x14ac:dyDescent="0.3">
      <c r="A2869" t="str">
        <f>HYPERLINK("https://us2.cloudbeds.com/connect/10074733072513#/reservations/30668946038923?display=YQKBYYS7F&amp;reservation_id=30668946038923", "YQKBYYS7F")</f>
        <v>YQKBYYS7F</v>
      </c>
      <c r="B2869" t="s">
        <v>635</v>
      </c>
      <c r="C2869">
        <v>87.21</v>
      </c>
      <c r="D2869">
        <v>94.79</v>
      </c>
      <c r="E2869">
        <v>94.8</v>
      </c>
      <c r="F2869">
        <v>-0.01</v>
      </c>
    </row>
    <row r="2870" spans="1:6" x14ac:dyDescent="0.3">
      <c r="A2870" t="str">
        <f>HYPERLINK("https://us2.cloudbeds.com/connect/10074733072513#/reservations/30668325904520?display=YQJSQZN4S&amp;reservation_id=30668325904520", "YQJSQZN4S")</f>
        <v>YQJSQZN4S</v>
      </c>
      <c r="B2870" t="s">
        <v>634</v>
      </c>
      <c r="C2870">
        <v>108.16</v>
      </c>
      <c r="D2870">
        <v>117.56</v>
      </c>
      <c r="E2870">
        <v>117.57</v>
      </c>
      <c r="F2870">
        <v>-0.01</v>
      </c>
    </row>
    <row r="2871" spans="1:6" x14ac:dyDescent="0.3">
      <c r="A2871" t="str">
        <f>HYPERLINK("https://us2.cloudbeds.com/connect/10074733072513#/reservations/30667689160930?display=YQJCHRC9X&amp;reservation_id=30667689160930", "YQJCHRC9X")</f>
        <v>YQJCHRC9X</v>
      </c>
      <c r="B2871" t="s">
        <v>634</v>
      </c>
      <c r="C2871">
        <v>118.15</v>
      </c>
      <c r="D2871">
        <v>128.41999999999999</v>
      </c>
      <c r="E2871">
        <v>128.43</v>
      </c>
      <c r="F2871">
        <v>-0.01</v>
      </c>
    </row>
    <row r="2872" spans="1:6" x14ac:dyDescent="0.3">
      <c r="A2872" t="str">
        <f>HYPERLINK("https://us2.cloudbeds.com/connect/10074733072513#/reservations/30666895999162?display=YQXP90FZF&amp;reservation_id=30666895999162", "YQXP90FZF")</f>
        <v>YQXP90FZF</v>
      </c>
      <c r="B2872" t="s">
        <v>619</v>
      </c>
      <c r="C2872">
        <v>87.21</v>
      </c>
      <c r="D2872">
        <v>94.79</v>
      </c>
      <c r="E2872">
        <v>94.8</v>
      </c>
      <c r="F2872">
        <v>-0.01</v>
      </c>
    </row>
    <row r="2873" spans="1:6" x14ac:dyDescent="0.3">
      <c r="A2873" t="str">
        <f>HYPERLINK("https://us2.cloudbeds.com/connect/10074733072513#/reservations/30666699669677?display=YQXK8FAX4&amp;reservation_id=30666699669677", "YQXK8FAX4")</f>
        <v>YQXK8FAX4</v>
      </c>
      <c r="B2873" t="s">
        <v>639</v>
      </c>
      <c r="C2873">
        <v>152.32</v>
      </c>
      <c r="D2873">
        <v>165.56</v>
      </c>
      <c r="E2873">
        <v>165.57</v>
      </c>
      <c r="F2873">
        <v>-0.01</v>
      </c>
    </row>
    <row r="2874" spans="1:6" x14ac:dyDescent="0.3">
      <c r="A2874" t="str">
        <f>HYPERLINK("https://us2.cloudbeds.com/connect/10074733072513#/reservations/30669184549003?display=YQKHZPZZY&amp;reservation_id=30669184549003", "YQKHZPZZY")</f>
        <v>YQKHZPZZY</v>
      </c>
      <c r="B2874" t="s">
        <v>640</v>
      </c>
      <c r="C2874">
        <v>405.6</v>
      </c>
      <c r="D2874">
        <v>440.88</v>
      </c>
      <c r="E2874">
        <v>440.89</v>
      </c>
      <c r="F2874">
        <v>-0.01</v>
      </c>
    </row>
    <row r="2875" spans="1:6" x14ac:dyDescent="0.3">
      <c r="A2875" t="str">
        <f>HYPERLINK("https://us2.cloudbeds.com/connect/10074733072513#/reservations/30668735672485?display=YQK69938U&amp;reservation_id=30668735672485", "YQK69938U")</f>
        <v>YQK69938U</v>
      </c>
      <c r="B2875" t="s">
        <v>619</v>
      </c>
      <c r="C2875">
        <v>189.72</v>
      </c>
      <c r="D2875">
        <v>206.22</v>
      </c>
      <c r="E2875">
        <v>206.23</v>
      </c>
      <c r="F2875">
        <v>-0.01</v>
      </c>
    </row>
    <row r="2876" spans="1:6" x14ac:dyDescent="0.3">
      <c r="A2876" t="str">
        <f>HYPERLINK("https://us2.cloudbeds.com/connect/10074733072513#/reservations/30668577480916?display=YQK27T640&amp;reservation_id=30668577480916", "YQK27T640")</f>
        <v>YQK27T640</v>
      </c>
      <c r="B2876" t="s">
        <v>641</v>
      </c>
      <c r="C2876">
        <v>384.3</v>
      </c>
      <c r="D2876">
        <v>417.72</v>
      </c>
      <c r="E2876">
        <v>417.73</v>
      </c>
      <c r="F2876">
        <v>-0.01</v>
      </c>
    </row>
    <row r="2877" spans="1:6" x14ac:dyDescent="0.3">
      <c r="A2877" t="str">
        <f>HYPERLINK("https://us2.cloudbeds.com/connect/10074733072513#/reservations/30667961360630?display=YQJJGBZ3A&amp;reservation_id=30667961360630", "YQJJGBZ3A")</f>
        <v>YQJJGBZ3A</v>
      </c>
      <c r="B2877" t="s">
        <v>630</v>
      </c>
      <c r="C2877">
        <v>72.959999999999994</v>
      </c>
      <c r="D2877">
        <v>79.3</v>
      </c>
      <c r="E2877">
        <v>79.31</v>
      </c>
      <c r="F2877">
        <v>-0.01</v>
      </c>
    </row>
    <row r="2878" spans="1:6" x14ac:dyDescent="0.3">
      <c r="A2878" t="str">
        <f>HYPERLINK("https://us2.cloudbeds.com/connect/10074733072513#/reservations/30670933803251?display=YQYTEQAR4&amp;reservation_id=30670933803251", "YQYTEQAR4")</f>
        <v>YQYTEQAR4</v>
      </c>
      <c r="B2878" t="s">
        <v>644</v>
      </c>
      <c r="C2878">
        <v>76.16</v>
      </c>
      <c r="D2878">
        <v>82.78</v>
      </c>
      <c r="E2878">
        <v>82.79</v>
      </c>
      <c r="F2878">
        <v>-0.01</v>
      </c>
    </row>
    <row r="2879" spans="1:6" x14ac:dyDescent="0.3">
      <c r="A2879" t="str">
        <f>HYPERLINK("https://us2.cloudbeds.com/connect/10074733072513#/reservations/30670930743514?display=YQYTC764R&amp;reservation_id=30670930743514", "YQYTC764R")</f>
        <v>YQYTC764R</v>
      </c>
      <c r="B2879" t="s">
        <v>644</v>
      </c>
      <c r="C2879">
        <v>76.16</v>
      </c>
      <c r="D2879">
        <v>82.78</v>
      </c>
      <c r="E2879">
        <v>82.79</v>
      </c>
      <c r="F2879">
        <v>-0.01</v>
      </c>
    </row>
    <row r="2880" spans="1:6" x14ac:dyDescent="0.3">
      <c r="A2880" t="str">
        <f>HYPERLINK("https://us2.cloudbeds.com/connect/10074733072513#/reservations/30668640071897?display=YQK3RYSPD&amp;reservation_id=30668640071897", "YQK3RYSPD")</f>
        <v>YQK3RYSPD</v>
      </c>
      <c r="B2880" t="s">
        <v>639</v>
      </c>
      <c r="C2880">
        <v>152.32</v>
      </c>
      <c r="D2880">
        <v>165.56</v>
      </c>
      <c r="E2880">
        <v>165.57</v>
      </c>
      <c r="F2880">
        <v>-0.01</v>
      </c>
    </row>
    <row r="2881" spans="1:6" x14ac:dyDescent="0.3">
      <c r="A2881" t="str">
        <f>HYPERLINK("https://us2.cloudbeds.com/connect/10074733072513#/reservations/30669082767561?display=YQKF4VHHH&amp;reservation_id=30669082767561", "YQKF4VHHH")</f>
        <v>YQKF4VHHH</v>
      </c>
      <c r="B2881" t="s">
        <v>645</v>
      </c>
      <c r="C2881">
        <v>134.1</v>
      </c>
      <c r="D2881">
        <v>145.76</v>
      </c>
      <c r="E2881">
        <v>145.77000000000001</v>
      </c>
      <c r="F2881">
        <v>-0.01</v>
      </c>
    </row>
    <row r="2882" spans="1:6" x14ac:dyDescent="0.3">
      <c r="A2882" t="str">
        <f>HYPERLINK("https://us2.cloudbeds.com/connect/10074733072513#/reservations/30669098033395?display=YQKFHRAZX&amp;reservation_id=30669098033395", "YQKFHRAZX")</f>
        <v>YQKFHRAZX</v>
      </c>
      <c r="B2882" t="s">
        <v>645</v>
      </c>
      <c r="C2882">
        <v>76.16</v>
      </c>
      <c r="D2882">
        <v>82.78</v>
      </c>
      <c r="E2882">
        <v>82.79</v>
      </c>
      <c r="F2882">
        <v>-0.01</v>
      </c>
    </row>
    <row r="2883" spans="1:6" x14ac:dyDescent="0.3">
      <c r="A2883" t="str">
        <f>HYPERLINK("https://us2.cloudbeds.com/connect/10074733072513#/reservations/30669091344535?display=YQKFC66HR&amp;reservation_id=30669091344535", "YQKFC66HR")</f>
        <v>YQKFC66HR</v>
      </c>
      <c r="B2883" t="s">
        <v>645</v>
      </c>
      <c r="C2883">
        <v>98.69</v>
      </c>
      <c r="D2883">
        <v>107.27</v>
      </c>
      <c r="E2883">
        <v>107.28</v>
      </c>
      <c r="F2883">
        <v>-0.01</v>
      </c>
    </row>
    <row r="2884" spans="1:6" x14ac:dyDescent="0.3">
      <c r="A2884" t="str">
        <f>HYPERLINK("https://us2.cloudbeds.com/connect/10074733072513#/reservations/30668745019590?display=YQK6H56FH&amp;reservation_id=30668745019590", "YQK6H56FH")</f>
        <v>YQK6H56FH</v>
      </c>
      <c r="B2884" t="s">
        <v>646</v>
      </c>
      <c r="C2884">
        <v>387.3</v>
      </c>
      <c r="D2884">
        <v>420.99</v>
      </c>
      <c r="E2884">
        <v>421</v>
      </c>
      <c r="F2884">
        <v>-0.01</v>
      </c>
    </row>
    <row r="2885" spans="1:6" x14ac:dyDescent="0.3">
      <c r="A2885" t="str">
        <f>HYPERLINK("https://us2.cloudbeds.com/connect/10074733072513#/reservations/30667593838745?display=YQJA3ETEG&amp;reservation_id=30667593838745", "YQJA3ETEG")</f>
        <v>YQJA3ETEG</v>
      </c>
      <c r="B2885" t="s">
        <v>621</v>
      </c>
      <c r="C2885">
        <v>304.2</v>
      </c>
      <c r="D2885">
        <v>330.66</v>
      </c>
      <c r="E2885">
        <v>330.67</v>
      </c>
      <c r="F2885">
        <v>-0.01</v>
      </c>
    </row>
    <row r="2886" spans="1:6" x14ac:dyDescent="0.3">
      <c r="A2886" t="str">
        <f>HYPERLINK("https://us2.cloudbeds.com/connect/10074733072513#/reservations/30666705522900?display=YQXKDD6DH&amp;reservation_id=30666705522900", "YQXKDD6DH")</f>
        <v>YQXKDD6DH</v>
      </c>
      <c r="B2886" t="s">
        <v>639</v>
      </c>
      <c r="C2886">
        <v>103.2</v>
      </c>
      <c r="D2886">
        <v>112.17</v>
      </c>
      <c r="E2886">
        <v>112.18</v>
      </c>
      <c r="F2886">
        <v>-0.01</v>
      </c>
    </row>
    <row r="2887" spans="1:6" x14ac:dyDescent="0.3">
      <c r="A2887" t="str">
        <f>HYPERLINK("https://us2.cloudbeds.com/connect/10074733072513#/reservations/30668856389887?display=YQK9C27T0&amp;reservation_id=30668856389887", "YQK9C27T0")</f>
        <v>YQK9C27T0</v>
      </c>
      <c r="B2887" t="s">
        <v>647</v>
      </c>
      <c r="C2887">
        <v>285.60000000000002</v>
      </c>
      <c r="D2887">
        <v>310.44</v>
      </c>
      <c r="E2887">
        <v>310.45</v>
      </c>
      <c r="F2887">
        <v>-0.01</v>
      </c>
    </row>
    <row r="2888" spans="1:6" x14ac:dyDescent="0.3">
      <c r="A2888" t="str">
        <f>HYPERLINK("https://us2.cloudbeds.com/connect/10074733072513#/reservations/30670400041119?display=YQYFQNK42&amp;reservation_id=30670400041119", "YQYFQNK42")</f>
        <v>YQYFQNK42</v>
      </c>
      <c r="B2888" t="s">
        <v>648</v>
      </c>
      <c r="C2888">
        <v>134.1</v>
      </c>
      <c r="D2888">
        <v>145.76</v>
      </c>
      <c r="E2888">
        <v>145.77000000000001</v>
      </c>
      <c r="F2888">
        <v>-0.01</v>
      </c>
    </row>
    <row r="2889" spans="1:6" x14ac:dyDescent="0.3">
      <c r="A2889" t="str">
        <f>HYPERLINK("https://us2.cloudbeds.com/connect/10074733072513#/reservations/30669854228617?display=YQY1SFXT9&amp;reservation_id=30669854228617", "YQY1SFXT9")</f>
        <v>YQY1SFXT9</v>
      </c>
      <c r="B2889" t="s">
        <v>649</v>
      </c>
      <c r="C2889">
        <v>489.8</v>
      </c>
      <c r="D2889">
        <v>532.4</v>
      </c>
      <c r="E2889">
        <v>532.41</v>
      </c>
      <c r="F2889">
        <v>-0.01</v>
      </c>
    </row>
    <row r="2890" spans="1:6" x14ac:dyDescent="0.3">
      <c r="A2890" t="str">
        <f>HYPERLINK("https://us2.cloudbeds.com/connect/10074733072513#/reservations/30669582594186?display=YQKRUDV4T&amp;reservation_id=30669582594186", "YQKRUDV4T")</f>
        <v>YQKRUDV4T</v>
      </c>
      <c r="B2890" t="s">
        <v>650</v>
      </c>
      <c r="C2890">
        <v>272.86</v>
      </c>
      <c r="D2890">
        <v>296.58999999999997</v>
      </c>
      <c r="E2890">
        <v>296.60000000000002</v>
      </c>
      <c r="F2890">
        <v>-0.01</v>
      </c>
    </row>
    <row r="2891" spans="1:6" x14ac:dyDescent="0.3">
      <c r="A2891" t="str">
        <f>HYPERLINK("https://us2.cloudbeds.com/connect/10074733072513#/reservations/30670745837801?display=YQYZY9U3D&amp;reservation_id=30670745837801", "YQYZY9U3D")</f>
        <v>YQYZY9U3D</v>
      </c>
      <c r="B2891" t="s">
        <v>651</v>
      </c>
      <c r="C2891">
        <v>304.2</v>
      </c>
      <c r="D2891">
        <v>330.66</v>
      </c>
      <c r="E2891">
        <v>330.67</v>
      </c>
      <c r="F2891">
        <v>-0.01</v>
      </c>
    </row>
    <row r="2892" spans="1:6" x14ac:dyDescent="0.3">
      <c r="A2892" t="str">
        <f>HYPERLINK("https://us2.cloudbeds.com/connect/10074733072513#/reservations/30668492816630?display=YQK02G94J&amp;reservation_id=30668492816630", "YQK02G94J")</f>
        <v>YQK02G94J</v>
      </c>
      <c r="B2892" t="s">
        <v>640</v>
      </c>
      <c r="C2892">
        <v>304.2</v>
      </c>
      <c r="D2892">
        <v>330.66</v>
      </c>
      <c r="E2892">
        <v>330.67</v>
      </c>
      <c r="F2892">
        <v>-0.01</v>
      </c>
    </row>
    <row r="2893" spans="1:6" x14ac:dyDescent="0.3">
      <c r="A2893" t="str">
        <f>HYPERLINK("https://us2.cloudbeds.com/connect/10074733072513#/reservations/30668868559024?display=YQK9MASFZ&amp;reservation_id=30668868559024", "YQK9MASFZ")</f>
        <v>YQK9MASFZ</v>
      </c>
      <c r="B2893" t="s">
        <v>652</v>
      </c>
      <c r="C2893">
        <v>460.8</v>
      </c>
      <c r="D2893">
        <v>500.88</v>
      </c>
      <c r="E2893">
        <v>500.89</v>
      </c>
      <c r="F2893">
        <v>-0.01</v>
      </c>
    </row>
    <row r="2894" spans="1:6" x14ac:dyDescent="0.3">
      <c r="A2894" t="str">
        <f>HYPERLINK("https://us2.cloudbeds.com/connect/10074733072513#/reservations/30670620340360?display=YQYYEFP3Y&amp;reservation_id=30670620340360", "YQYYEFP3Y")</f>
        <v>YQYYEFP3Y</v>
      </c>
      <c r="B2894" t="s">
        <v>544</v>
      </c>
      <c r="C2894">
        <v>230.2</v>
      </c>
      <c r="D2894">
        <v>250.22</v>
      </c>
      <c r="E2894">
        <v>250.23</v>
      </c>
      <c r="F2894">
        <v>-0.01</v>
      </c>
    </row>
    <row r="2895" spans="1:6" x14ac:dyDescent="0.3">
      <c r="A2895" t="str">
        <f>HYPERLINK("https://us2.cloudbeds.com/connect/10074733072513#/reservations/30670025822345?display=YQY685DT7&amp;reservation_id=30670025822345", "YQY685DT7")</f>
        <v>YQY685DT7</v>
      </c>
      <c r="B2895" t="s">
        <v>626</v>
      </c>
      <c r="C2895">
        <v>608.4</v>
      </c>
      <c r="D2895">
        <v>661.32</v>
      </c>
      <c r="E2895">
        <v>661.33</v>
      </c>
      <c r="F2895">
        <v>-0.01</v>
      </c>
    </row>
    <row r="2896" spans="1:6" x14ac:dyDescent="0.3">
      <c r="A2896" t="str">
        <f>HYPERLINK("https://us2.cloudbeds.com/connect/10074733072513#/reservations/30668779860218?display=YQK7DHMN4&amp;reservation_id=30668779860218", "YQK7DHMN4")</f>
        <v>YQK7DHMN4</v>
      </c>
      <c r="B2896" t="s">
        <v>627</v>
      </c>
      <c r="C2896">
        <v>152.15</v>
      </c>
      <c r="D2896">
        <v>165.38</v>
      </c>
      <c r="E2896">
        <v>165.39</v>
      </c>
      <c r="F2896">
        <v>-0.01</v>
      </c>
    </row>
    <row r="2897" spans="1:6" x14ac:dyDescent="0.3">
      <c r="A2897" t="str">
        <f>HYPERLINK("https://us2.cloudbeds.com/connect/10074733072513#/reservations/30668761862290?display=YQK6VBSMC&amp;reservation_id=30668761862290", "YQK6VBSMC")</f>
        <v>YQK6VBSMC</v>
      </c>
      <c r="B2897" t="s">
        <v>646</v>
      </c>
      <c r="C2897">
        <v>259.2</v>
      </c>
      <c r="D2897">
        <v>281.74</v>
      </c>
      <c r="E2897">
        <v>281.75</v>
      </c>
      <c r="F2897">
        <v>-0.01</v>
      </c>
    </row>
    <row r="2898" spans="1:6" x14ac:dyDescent="0.3">
      <c r="A2898" t="str">
        <f>HYPERLINK("https://us2.cloudbeds.com/connect/10074733072513#/reservations/30670605275329?display=YQYY1PX9X&amp;reservation_id=30670605275329", "YQYY1PX9X")</f>
        <v>YQYY1PX9X</v>
      </c>
      <c r="B2898" t="s">
        <v>544</v>
      </c>
      <c r="C2898">
        <v>250.2</v>
      </c>
      <c r="D2898">
        <v>271.95999999999998</v>
      </c>
      <c r="E2898">
        <v>271.97000000000003</v>
      </c>
      <c r="F2898">
        <v>-0.01</v>
      </c>
    </row>
    <row r="2899" spans="1:6" x14ac:dyDescent="0.3">
      <c r="A2899" t="str">
        <f>HYPERLINK("https://us2.cloudbeds.com/connect/10074733072513#/reservations/30679252865156?display=YQSB0YG44&amp;reservation_id=30679252865156", "YQSB0YG44")</f>
        <v>YQSB0YG44</v>
      </c>
      <c r="B2899" t="s">
        <v>653</v>
      </c>
      <c r="C2899">
        <v>464.2</v>
      </c>
      <c r="D2899">
        <v>504.58</v>
      </c>
      <c r="E2899">
        <v>504.59</v>
      </c>
      <c r="F2899">
        <v>-0.01</v>
      </c>
    </row>
    <row r="2900" spans="1:6" x14ac:dyDescent="0.3">
      <c r="A2900" t="str">
        <f>HYPERLINK("https://us2.cloudbeds.com/connect/10074733072513#/reservations/30667492438169?display=YQJ7GV8VP&amp;reservation_id=30667492438169", "YQJ7GV8VP")</f>
        <v>YQJ7GV8VP</v>
      </c>
      <c r="B2900" t="s">
        <v>621</v>
      </c>
      <c r="C2900">
        <v>129.6</v>
      </c>
      <c r="D2900">
        <v>140.87</v>
      </c>
      <c r="E2900">
        <v>140.88</v>
      </c>
      <c r="F2900">
        <v>-0.01</v>
      </c>
    </row>
    <row r="2901" spans="1:6" x14ac:dyDescent="0.3">
      <c r="A2901" t="str">
        <f>HYPERLINK("https://us2.cloudbeds.com/connect/10074733072513#/reservations/30670640251042?display=YQYYV8QXY&amp;reservation_id=30670640251042", "YQYYV8QXY")</f>
        <v>YQYYV8QXY</v>
      </c>
      <c r="B2901" t="s">
        <v>544</v>
      </c>
      <c r="C2901">
        <v>230.2</v>
      </c>
      <c r="D2901">
        <v>250.22</v>
      </c>
      <c r="E2901">
        <v>250.23</v>
      </c>
      <c r="F2901">
        <v>-0.01</v>
      </c>
    </row>
    <row r="2902" spans="1:6" x14ac:dyDescent="0.3">
      <c r="A2902" t="str">
        <f>HYPERLINK("https://us2.cloudbeds.com/connect/10074733072513#/reservations/30670635401351?display=YQYYR5S7A&amp;reservation_id=30670635401351", "YQYYR5S7A")</f>
        <v>YQYYR5S7A</v>
      </c>
      <c r="B2902" t="s">
        <v>544</v>
      </c>
      <c r="C2902">
        <v>230.2</v>
      </c>
      <c r="D2902">
        <v>250.22</v>
      </c>
      <c r="E2902">
        <v>250.23</v>
      </c>
      <c r="F2902">
        <v>-0.01</v>
      </c>
    </row>
    <row r="2903" spans="1:6" x14ac:dyDescent="0.3">
      <c r="A2903" t="str">
        <f>HYPERLINK("https://us2.cloudbeds.com/connect/10074733072513#/reservations/30670615519483?display=YQYYADK7F&amp;reservation_id=30670615519483", "YQYYADK7F")</f>
        <v>YQYYADK7F</v>
      </c>
      <c r="B2903" t="s">
        <v>544</v>
      </c>
      <c r="C2903">
        <v>230.2</v>
      </c>
      <c r="D2903">
        <v>250.22</v>
      </c>
      <c r="E2903">
        <v>250.23</v>
      </c>
      <c r="F2903">
        <v>-0.01</v>
      </c>
    </row>
    <row r="2904" spans="1:6" x14ac:dyDescent="0.3">
      <c r="A2904" t="str">
        <f>HYPERLINK("https://us2.cloudbeds.com/connect/10074733072513#/reservations/30669606359265?display=YQKSHF7WQ&amp;reservation_id=30669606359265", "YQKSHF7WQ")</f>
        <v>YQKSHF7WQ</v>
      </c>
      <c r="B2904" t="s">
        <v>650</v>
      </c>
      <c r="C2904">
        <v>110.3</v>
      </c>
      <c r="D2904">
        <v>119.89</v>
      </c>
      <c r="E2904">
        <v>119.9</v>
      </c>
      <c r="F2904">
        <v>-0.01</v>
      </c>
    </row>
    <row r="2905" spans="1:6" x14ac:dyDescent="0.3">
      <c r="A2905" t="str">
        <f>HYPERLINK("https://us2.cloudbeds.com/connect/10074733072513#/reservations/30668898820243?display=YQKAERUXC&amp;reservation_id=30668898820243", "YQKAERUXC")</f>
        <v>YQKAERUXC</v>
      </c>
      <c r="B2905" t="s">
        <v>654</v>
      </c>
      <c r="C2905">
        <v>285.60000000000002</v>
      </c>
      <c r="D2905">
        <v>310.44</v>
      </c>
      <c r="E2905">
        <v>310.45</v>
      </c>
      <c r="F2905">
        <v>-0.01</v>
      </c>
    </row>
    <row r="2906" spans="1:6" x14ac:dyDescent="0.3">
      <c r="A2906" t="str">
        <f>HYPERLINK("https://us2.cloudbeds.com/connect/10074733072513#/reservations/30668331483358?display=YQJSVEV1X&amp;reservation_id=30668331483358", "YQJSVEV1X")</f>
        <v>YQJSVEV1X</v>
      </c>
      <c r="B2906" t="s">
        <v>655</v>
      </c>
      <c r="C2906">
        <v>112.24</v>
      </c>
      <c r="D2906">
        <v>121.99</v>
      </c>
      <c r="E2906">
        <v>122</v>
      </c>
      <c r="F2906">
        <v>-0.01</v>
      </c>
    </row>
    <row r="2907" spans="1:6" x14ac:dyDescent="0.3">
      <c r="A2907" t="str">
        <f>HYPERLINK("https://us2.cloudbeds.com/connect/10074733072513#/reservations/30668714524804?display=YQK5ZEKU3&amp;reservation_id=30668714524804", "YQK5ZEKU3")</f>
        <v>YQK5ZEKU3</v>
      </c>
      <c r="B2907" t="s">
        <v>656</v>
      </c>
      <c r="C2907">
        <v>112.24</v>
      </c>
      <c r="D2907">
        <v>121.99</v>
      </c>
      <c r="E2907">
        <v>122</v>
      </c>
      <c r="F2907">
        <v>-0.01</v>
      </c>
    </row>
    <row r="2908" spans="1:6" x14ac:dyDescent="0.3">
      <c r="A2908" t="str">
        <f>HYPERLINK("https://us2.cloudbeds.com/connect/10074733072513#/reservations/30668241334416?display=YQJQYEDYE&amp;reservation_id=30668241334416", "YQJQYEDYE")</f>
        <v>YQJQYEDYE</v>
      </c>
      <c r="B2908" t="s">
        <v>655</v>
      </c>
      <c r="C2908">
        <v>110.3</v>
      </c>
      <c r="D2908">
        <v>119.89</v>
      </c>
      <c r="E2908">
        <v>119.9</v>
      </c>
      <c r="F2908">
        <v>-0.01</v>
      </c>
    </row>
    <row r="2909" spans="1:6" x14ac:dyDescent="0.3">
      <c r="A2909" t="str">
        <f>HYPERLINK("https://us2.cloudbeds.com/connect/10074733072513#/reservations/30669651362026?display=YQKTMDGRR&amp;reservation_id=30669651362026", "YQKTMDGRR")</f>
        <v>YQKTMDGRR</v>
      </c>
      <c r="B2909" t="s">
        <v>642</v>
      </c>
      <c r="C2909">
        <v>134.1</v>
      </c>
      <c r="D2909">
        <v>145.76</v>
      </c>
      <c r="E2909">
        <v>145.77000000000001</v>
      </c>
      <c r="F2909">
        <v>-0.01</v>
      </c>
    </row>
    <row r="2910" spans="1:6" x14ac:dyDescent="0.3">
      <c r="A2910" t="str">
        <f>HYPERLINK("https://us2.cloudbeds.com/connect/10074733072513#/reservations/30669691629781?display=YQKUNC0YR&amp;reservation_id=30669691629781", "YQKUNC0YR")</f>
        <v>YQKUNC0YR</v>
      </c>
      <c r="B2910" t="s">
        <v>642</v>
      </c>
      <c r="C2910">
        <v>272.94</v>
      </c>
      <c r="D2910">
        <v>296.68</v>
      </c>
      <c r="E2910">
        <v>296.69</v>
      </c>
      <c r="F2910">
        <v>-0.01</v>
      </c>
    </row>
    <row r="2911" spans="1:6" x14ac:dyDescent="0.3">
      <c r="A2911" t="str">
        <f>HYPERLINK("https://us2.cloudbeds.com/connect/10074733072513#/reservations/30670061162709?display=YQY74VR0B&amp;reservation_id=30670061162709", "YQY74VR0B")</f>
        <v>YQY74VR0B</v>
      </c>
      <c r="B2911" t="s">
        <v>659</v>
      </c>
      <c r="C2911">
        <v>129.6</v>
      </c>
      <c r="D2911">
        <v>140.87</v>
      </c>
      <c r="E2911">
        <v>140.88</v>
      </c>
      <c r="F2911">
        <v>-0.01</v>
      </c>
    </row>
    <row r="2912" spans="1:6" x14ac:dyDescent="0.3">
      <c r="A2912" t="str">
        <f>HYPERLINK("https://us2.cloudbeds.com/connect/10074733072513#/reservations/30670749704337?display=YQYZZXGY5&amp;reservation_id=30670749704337", "YQYZZXGY5")</f>
        <v>YQYZZXGY5</v>
      </c>
      <c r="B2912" t="s">
        <v>651</v>
      </c>
      <c r="C2912">
        <v>500.4</v>
      </c>
      <c r="D2912">
        <v>543.91999999999996</v>
      </c>
      <c r="E2912">
        <v>543.92999999999995</v>
      </c>
      <c r="F2912">
        <v>-0.01</v>
      </c>
    </row>
    <row r="2913" spans="1:6" x14ac:dyDescent="0.3">
      <c r="A2913" t="str">
        <f>HYPERLINK("https://us2.cloudbeds.com/connect/10074733072513#/reservations/30669493629138?display=YQKPYDBTB&amp;reservation_id=30669493629138", "YQKPYDBTB")</f>
        <v>YQKPYDBTB</v>
      </c>
      <c r="B2913" t="s">
        <v>661</v>
      </c>
      <c r="C2913">
        <v>338</v>
      </c>
      <c r="D2913">
        <v>367.4</v>
      </c>
      <c r="E2913">
        <v>367.41</v>
      </c>
      <c r="F2913">
        <v>-0.01</v>
      </c>
    </row>
    <row r="2914" spans="1:6" x14ac:dyDescent="0.3">
      <c r="A2914" t="str">
        <f>HYPERLINK("https://us2.cloudbeds.com/connect/10074733072513#/reservations/30671313764503?display=YQM656A7E&amp;reservation_id=30671313764503", "YQM656A7E")</f>
        <v>YQM656A7E</v>
      </c>
      <c r="B2914" t="s">
        <v>662</v>
      </c>
      <c r="C2914">
        <v>118.15</v>
      </c>
      <c r="D2914">
        <v>128.41999999999999</v>
      </c>
      <c r="E2914">
        <v>128.43</v>
      </c>
      <c r="F2914">
        <v>-0.01</v>
      </c>
    </row>
    <row r="2915" spans="1:6" x14ac:dyDescent="0.3">
      <c r="A2915" t="str">
        <f>HYPERLINK("https://us2.cloudbeds.com/connect/10074733072513#/reservations/30669225803948?display=YQKXQXZ2G&amp;reservation_id=30669225803948", "YQKXQXZ2G")</f>
        <v>YQKXQXZ2G</v>
      </c>
      <c r="B2915" t="s">
        <v>658</v>
      </c>
      <c r="C2915">
        <v>112.24</v>
      </c>
      <c r="D2915">
        <v>121.99</v>
      </c>
      <c r="E2915">
        <v>122</v>
      </c>
      <c r="F2915">
        <v>-0.01</v>
      </c>
    </row>
    <row r="2916" spans="1:6" x14ac:dyDescent="0.3">
      <c r="A2916" t="str">
        <f>HYPERLINK("https://us2.cloudbeds.com/connect/10074733072513#/reservations/30669482152097?display=YQKPBNWR7&amp;reservation_id=30669482152097", "YQKPBNWR7")</f>
        <v>YQKPBNWR7</v>
      </c>
      <c r="B2916" t="s">
        <v>661</v>
      </c>
      <c r="C2916">
        <v>250.2</v>
      </c>
      <c r="D2916">
        <v>271.95999999999998</v>
      </c>
      <c r="E2916">
        <v>271.97000000000003</v>
      </c>
      <c r="F2916">
        <v>-0.01</v>
      </c>
    </row>
    <row r="2917" spans="1:6" x14ac:dyDescent="0.3">
      <c r="A2917" t="str">
        <f>HYPERLINK("https://us2.cloudbeds.com/connect/10074733072513#/reservations/30670696571098?display=YQYNCZWQ0&amp;reservation_id=30670696571098", "YQYNCZWQ0")</f>
        <v>YQYNCZWQ0</v>
      </c>
      <c r="B2917" t="s">
        <v>663</v>
      </c>
      <c r="C2917">
        <v>100.24</v>
      </c>
      <c r="D2917">
        <v>108.95</v>
      </c>
      <c r="E2917">
        <v>108.96</v>
      </c>
      <c r="F2917">
        <v>-0.01</v>
      </c>
    </row>
    <row r="2918" spans="1:6" x14ac:dyDescent="0.3">
      <c r="A2918" t="str">
        <f>HYPERLINK("https://us2.cloudbeds.com/connect/10074733072513#/reservations/30671029117067?display=YQYVT5XWJ&amp;reservation_id=30671029117067", "YQYVT5XWJ")</f>
        <v>YQYVT5XWJ</v>
      </c>
      <c r="B2918" t="s">
        <v>665</v>
      </c>
      <c r="C2918">
        <v>250.2</v>
      </c>
      <c r="D2918">
        <v>271.95999999999998</v>
      </c>
      <c r="E2918">
        <v>271.97000000000003</v>
      </c>
      <c r="F2918">
        <v>-0.01</v>
      </c>
    </row>
    <row r="2919" spans="1:6" x14ac:dyDescent="0.3">
      <c r="A2919" t="str">
        <f>HYPERLINK("https://us2.cloudbeds.com/connect/10074733072513#/reservations/30670491537653?display=YQYX4SKWA&amp;reservation_id=30670491537653", "YQYX4SKWA")</f>
        <v>YQYX4SKWA</v>
      </c>
      <c r="B2919" t="s">
        <v>664</v>
      </c>
      <c r="C2919">
        <v>112.24</v>
      </c>
      <c r="D2919">
        <v>121.99</v>
      </c>
      <c r="E2919">
        <v>122</v>
      </c>
      <c r="F2919">
        <v>-0.01</v>
      </c>
    </row>
    <row r="2920" spans="1:6" x14ac:dyDescent="0.3">
      <c r="A2920" t="str">
        <f>HYPERLINK("https://us2.cloudbeds.com/connect/10074733072513#/reservations/30670478901431?display=YQYHR70FG&amp;reservation_id=30670478901431", "YQYHR70FG")</f>
        <v>YQYHR70FG</v>
      </c>
      <c r="B2920" t="s">
        <v>664</v>
      </c>
      <c r="C2920">
        <v>250.2</v>
      </c>
      <c r="D2920">
        <v>271.95999999999998</v>
      </c>
      <c r="E2920">
        <v>271.97000000000003</v>
      </c>
      <c r="F2920">
        <v>-0.01</v>
      </c>
    </row>
    <row r="2921" spans="1:6" x14ac:dyDescent="0.3">
      <c r="A2921" t="str">
        <f>HYPERLINK("https://us2.cloudbeds.com/connect/10074733072513#/reservations/30668220535011?display=YQJQ3TY3E&amp;reservation_id=30668220535011", "YQJQ3TY3E")</f>
        <v>YQJQ3TY3E</v>
      </c>
      <c r="B2921" t="s">
        <v>666</v>
      </c>
      <c r="C2921">
        <v>112.24</v>
      </c>
      <c r="D2921">
        <v>121.99</v>
      </c>
      <c r="E2921">
        <v>122</v>
      </c>
      <c r="F2921">
        <v>-0.01</v>
      </c>
    </row>
    <row r="2922" spans="1:6" x14ac:dyDescent="0.3">
      <c r="A2922" t="str">
        <f>HYPERLINK("https://us2.cloudbeds.com/connect/10074733072513#/reservations/30668457418954?display=YQJW5Y9CZ&amp;reservation_id=30668457418954", "YQJW5Y9CZ")</f>
        <v>YQJW5Y9CZ</v>
      </c>
      <c r="B2922" t="s">
        <v>416</v>
      </c>
      <c r="C2922">
        <v>352.87</v>
      </c>
      <c r="D2922">
        <v>383.56</v>
      </c>
      <c r="E2922">
        <v>383.57</v>
      </c>
      <c r="F2922">
        <v>-0.01</v>
      </c>
    </row>
    <row r="2923" spans="1:6" x14ac:dyDescent="0.3">
      <c r="A2923" t="str">
        <f>HYPERLINK("https://us2.cloudbeds.com/connect/10074733072513#/reservations/30669007917262?display=YQKD7RNFY&amp;reservation_id=30669007917262", "YQKD7RNFY")</f>
        <v>YQKD7RNFY</v>
      </c>
      <c r="B2923" t="s">
        <v>668</v>
      </c>
      <c r="C2923">
        <v>169.15</v>
      </c>
      <c r="D2923">
        <v>183.86</v>
      </c>
      <c r="E2923">
        <v>183.87</v>
      </c>
      <c r="F2923">
        <v>-0.01</v>
      </c>
    </row>
    <row r="2924" spans="1:6" x14ac:dyDescent="0.3">
      <c r="A2924" t="str">
        <f>HYPERLINK("https://us2.cloudbeds.com/connect/10074733072513#/reservations/30670262382788?display=YQYC9Y23G&amp;reservation_id=30670262382788", "YQYC9Y23G")</f>
        <v>YQYC9Y23G</v>
      </c>
      <c r="B2924" t="s">
        <v>544</v>
      </c>
      <c r="C2924">
        <v>230.2</v>
      </c>
      <c r="D2924">
        <v>250.22</v>
      </c>
      <c r="E2924">
        <v>250.23</v>
      </c>
      <c r="F2924">
        <v>-0.01</v>
      </c>
    </row>
    <row r="2925" spans="1:6" x14ac:dyDescent="0.3">
      <c r="A2925" t="str">
        <f>HYPERLINK("https://us2.cloudbeds.com/connect/10074733072513#/reservations/30669399130266?display=YQKN7NQ25&amp;reservation_id=30669399130266", "YQKN7NQ25")</f>
        <v>YQKN7NQ25</v>
      </c>
      <c r="B2925" t="s">
        <v>670</v>
      </c>
      <c r="C2925">
        <v>134.1</v>
      </c>
      <c r="D2925">
        <v>145.76</v>
      </c>
      <c r="E2925">
        <v>145.77000000000001</v>
      </c>
      <c r="F2925">
        <v>-0.01</v>
      </c>
    </row>
    <row r="2926" spans="1:6" x14ac:dyDescent="0.3">
      <c r="A2926" t="str">
        <f>HYPERLINK("https://us2.cloudbeds.com/connect/10074733072513#/reservations/30668017365202?display=YQJKUJ4KX&amp;reservation_id=30668017365202", "YQJKUJ4KX")</f>
        <v>YQJKUJ4KX</v>
      </c>
      <c r="B2926" t="s">
        <v>671</v>
      </c>
      <c r="C2926">
        <v>110.3</v>
      </c>
      <c r="D2926">
        <v>119.89</v>
      </c>
      <c r="E2926">
        <v>119.9</v>
      </c>
      <c r="F2926">
        <v>-0.01</v>
      </c>
    </row>
    <row r="2927" spans="1:6" x14ac:dyDescent="0.3">
      <c r="A2927" t="str">
        <f>HYPERLINK("https://us2.cloudbeds.com/connect/10074733072513#/reservations/30671351730352?display=YQM746P8Z&amp;reservation_id=30671351730352", "YQM746P8Z")</f>
        <v>YQM746P8Z</v>
      </c>
      <c r="B2927" t="s">
        <v>648</v>
      </c>
      <c r="C2927">
        <v>143.65</v>
      </c>
      <c r="D2927">
        <v>156.13999999999999</v>
      </c>
      <c r="E2927">
        <v>156.15</v>
      </c>
      <c r="F2927">
        <v>-0.01</v>
      </c>
    </row>
    <row r="2928" spans="1:6" x14ac:dyDescent="0.3">
      <c r="A2928" t="str">
        <f>HYPERLINK("https://us2.cloudbeds.com/connect/10074733072513#/reservations/30671744590036?display=YQMH5FYVY&amp;reservation_id=30671744590036", "YQMH5FYVY")</f>
        <v>YQMH5FYVY</v>
      </c>
      <c r="B2928" t="s">
        <v>674</v>
      </c>
      <c r="C2928">
        <v>288.2</v>
      </c>
      <c r="D2928">
        <v>313.26</v>
      </c>
      <c r="E2928">
        <v>313.27</v>
      </c>
      <c r="F2928">
        <v>-0.01</v>
      </c>
    </row>
    <row r="2929" spans="1:6" x14ac:dyDescent="0.3">
      <c r="A2929" t="str">
        <f>HYPERLINK("https://us2.cloudbeds.com/connect/10074733072513#/reservations/30668337852604?display=YQJT3R5P0&amp;reservation_id=30668337852604", "YQJT3R5P0")</f>
        <v>YQJT3R5P0</v>
      </c>
      <c r="B2929" t="s">
        <v>675</v>
      </c>
      <c r="C2929">
        <v>110.3</v>
      </c>
      <c r="D2929">
        <v>119.89</v>
      </c>
      <c r="E2929">
        <v>119.9</v>
      </c>
      <c r="F2929">
        <v>-0.01</v>
      </c>
    </row>
    <row r="2930" spans="1:6" x14ac:dyDescent="0.3">
      <c r="A2930" t="str">
        <f>HYPERLINK("https://us2.cloudbeds.com/connect/10074733072513#/reservations/30671408877787?display=YQM8JCW86&amp;reservation_id=30671408877787", "YQM8JCW86")</f>
        <v>YQM8JCW86</v>
      </c>
      <c r="B2930" t="s">
        <v>648</v>
      </c>
      <c r="C2930">
        <v>366.3</v>
      </c>
      <c r="D2930">
        <v>398.16</v>
      </c>
      <c r="E2930">
        <v>398.17</v>
      </c>
      <c r="F2930">
        <v>-0.01</v>
      </c>
    </row>
    <row r="2931" spans="1:6" x14ac:dyDescent="0.3">
      <c r="A2931" t="str">
        <f>HYPERLINK("https://us2.cloudbeds.com/connect/10074733072513#/reservations/30670383468682?display=YQYFCZF30&amp;reservation_id=30670383468682", "YQYFCZF30")</f>
        <v>YQYFCZF30</v>
      </c>
      <c r="B2931" t="s">
        <v>677</v>
      </c>
      <c r="C2931">
        <v>172.96</v>
      </c>
      <c r="D2931">
        <v>188</v>
      </c>
      <c r="E2931">
        <v>188.01</v>
      </c>
      <c r="F2931">
        <v>-0.01</v>
      </c>
    </row>
    <row r="2932" spans="1:6" x14ac:dyDescent="0.3">
      <c r="A2932" t="str">
        <f>HYPERLINK("https://us2.cloudbeds.com/connect/10074733072513#/reservations/30671430684881?display=YQM94PQ47&amp;reservation_id=30671430684881", "YQM94PQ47")</f>
        <v>YQM94PQ47</v>
      </c>
      <c r="B2932" t="s">
        <v>651</v>
      </c>
      <c r="C2932">
        <v>345.95</v>
      </c>
      <c r="D2932">
        <v>376.04</v>
      </c>
      <c r="E2932">
        <v>376.05</v>
      </c>
      <c r="F2932">
        <v>-0.01</v>
      </c>
    </row>
    <row r="2933" spans="1:6" x14ac:dyDescent="0.3">
      <c r="A2933" t="str">
        <f>HYPERLINK("https://us2.cloudbeds.com/connect/10074733072513#/reservations/30669015929025?display=YQKDEJYFB&amp;reservation_id=30669015929025", "YQKDEJYFB")</f>
        <v>YQKDEJYFB</v>
      </c>
      <c r="B2933" t="s">
        <v>678</v>
      </c>
      <c r="C2933">
        <v>134.1</v>
      </c>
      <c r="D2933">
        <v>145.76</v>
      </c>
      <c r="E2933">
        <v>145.77000000000001</v>
      </c>
      <c r="F2933">
        <v>-0.01</v>
      </c>
    </row>
    <row r="2934" spans="1:6" x14ac:dyDescent="0.3">
      <c r="A2934" t="str">
        <f>HYPERLINK("https://us2.cloudbeds.com/connect/10074733072513#/reservations/30670844768453?display=YQYR5NQGV&amp;reservation_id=30670844768453", "YQYR5NQGV")</f>
        <v>YQYR5NQGV</v>
      </c>
      <c r="B2934" t="s">
        <v>544</v>
      </c>
      <c r="C2934">
        <v>262.82</v>
      </c>
      <c r="D2934">
        <v>285.68</v>
      </c>
      <c r="E2934">
        <v>285.69</v>
      </c>
      <c r="F2934">
        <v>-0.01</v>
      </c>
    </row>
    <row r="2935" spans="1:6" x14ac:dyDescent="0.3">
      <c r="A2935" t="str">
        <f>HYPERLINK("https://us2.cloudbeds.com/connect/10074733072513#/reservations/30670212538525?display=YQYB0K2E9&amp;reservation_id=30670212538525", "YQYB0K2E9")</f>
        <v>YQYB0K2E9</v>
      </c>
      <c r="B2935" t="s">
        <v>544</v>
      </c>
      <c r="C2935">
        <v>254.4</v>
      </c>
      <c r="D2935">
        <v>276.52</v>
      </c>
      <c r="E2935">
        <v>276.52999999999997</v>
      </c>
      <c r="F2935">
        <v>-0.01</v>
      </c>
    </row>
    <row r="2936" spans="1:6" x14ac:dyDescent="0.3">
      <c r="A2936" t="str">
        <f>HYPERLINK("https://us2.cloudbeds.com/connect/10074733072513#/reservations/30671083782287?display=YQM098NKD&amp;reservation_id=30671083782287", "YQM098NKD")</f>
        <v>YQM098NKD</v>
      </c>
      <c r="B2936" t="s">
        <v>682</v>
      </c>
      <c r="C2936">
        <v>250.2</v>
      </c>
      <c r="D2936">
        <v>271.95999999999998</v>
      </c>
      <c r="E2936">
        <v>271.97000000000003</v>
      </c>
      <c r="F2936">
        <v>-0.01</v>
      </c>
    </row>
    <row r="2937" spans="1:6" x14ac:dyDescent="0.3">
      <c r="A2937" t="str">
        <f>HYPERLINK("https://us2.cloudbeds.com/connect/10074733072513#/reservations/30670326780060?display=YQYDUV0DW&amp;reservation_id=30670326780060", "YQYDUV0DW")</f>
        <v>YQYDUV0DW</v>
      </c>
      <c r="B2937" t="s">
        <v>683</v>
      </c>
      <c r="C2937">
        <v>134.1</v>
      </c>
      <c r="D2937">
        <v>145.76</v>
      </c>
      <c r="E2937">
        <v>145.77000000000001</v>
      </c>
      <c r="F2937">
        <v>-0.01</v>
      </c>
    </row>
    <row r="2938" spans="1:6" x14ac:dyDescent="0.3">
      <c r="A2938" t="str">
        <f>HYPERLINK("https://us2.cloudbeds.com/connect/10074733072513#/reservations/30670790103199?display=YQYPPKYS3&amp;reservation_id=30670790103199", "YQYPPKYS3")</f>
        <v>YQYPPKYS3</v>
      </c>
      <c r="B2938" t="s">
        <v>651</v>
      </c>
      <c r="C2938">
        <v>270.2</v>
      </c>
      <c r="D2938">
        <v>293.7</v>
      </c>
      <c r="E2938">
        <v>293.70999999999998</v>
      </c>
      <c r="F2938">
        <v>-0.01</v>
      </c>
    </row>
    <row r="2939" spans="1:6" x14ac:dyDescent="0.3">
      <c r="A2939" t="str">
        <f>HYPERLINK("https://us2.cloudbeds.com/connect/10074733072513#/reservations/30670596550859?display=YQYKRDPRM&amp;reservation_id=30670596550859", "YQYKRDPRM")</f>
        <v>YQYKRDPRM</v>
      </c>
      <c r="B2939" t="s">
        <v>544</v>
      </c>
      <c r="C2939">
        <v>270.2</v>
      </c>
      <c r="D2939">
        <v>293.7</v>
      </c>
      <c r="E2939">
        <v>293.70999999999998</v>
      </c>
      <c r="F2939">
        <v>-0.01</v>
      </c>
    </row>
    <row r="2940" spans="1:6" x14ac:dyDescent="0.3">
      <c r="A2940" t="str">
        <f>HYPERLINK("https://us2.cloudbeds.com/connect/10074733072513#/reservations/30670089490609?display=YQY7SS2PX&amp;reservation_id=30670089490609", "YQY7SS2PX")</f>
        <v>YQY7SS2PX</v>
      </c>
      <c r="B2940" t="s">
        <v>685</v>
      </c>
      <c r="C2940">
        <v>100.24</v>
      </c>
      <c r="D2940">
        <v>108.95</v>
      </c>
      <c r="E2940">
        <v>108.96</v>
      </c>
      <c r="F2940">
        <v>-0.01</v>
      </c>
    </row>
    <row r="2941" spans="1:6" x14ac:dyDescent="0.3">
      <c r="A2941" t="str">
        <f>HYPERLINK("https://us2.cloudbeds.com/connect/10074733072513#/reservations/30671684178123?display=YQMFKHK9K&amp;reservation_id=30671684178123", "YQMFKHK9K")</f>
        <v>YQMFKHK9K</v>
      </c>
      <c r="B2941" t="s">
        <v>685</v>
      </c>
      <c r="C2941">
        <v>100.24</v>
      </c>
      <c r="D2941">
        <v>108.95</v>
      </c>
      <c r="E2941">
        <v>108.96</v>
      </c>
      <c r="F2941">
        <v>-0.01</v>
      </c>
    </row>
    <row r="2942" spans="1:6" x14ac:dyDescent="0.3">
      <c r="A2942" t="str">
        <f>HYPERLINK("https://us2.cloudbeds.com/connect/10074733072513#/reservations/30670151651502?display=YQY9F8QFW&amp;reservation_id=30670151651502", "YQY9F8QFW")</f>
        <v>YQY9F8QFW</v>
      </c>
      <c r="B2942" t="s">
        <v>651</v>
      </c>
      <c r="C2942">
        <v>170.1</v>
      </c>
      <c r="D2942">
        <v>184.89</v>
      </c>
      <c r="E2942">
        <v>184.9</v>
      </c>
      <c r="F2942">
        <v>-0.01</v>
      </c>
    </row>
    <row r="2943" spans="1:6" x14ac:dyDescent="0.3">
      <c r="A2943" t="str">
        <f>HYPERLINK("https://us2.cloudbeds.com/connect/10074733072513#/reservations/30670646251772?display=YQYM3APSV&amp;reservation_id=30670646251772", "YQYM3APSV")</f>
        <v>YQYM3APSV</v>
      </c>
      <c r="B2943" t="s">
        <v>544</v>
      </c>
      <c r="C2943">
        <v>230.2</v>
      </c>
      <c r="D2943">
        <v>250.22</v>
      </c>
      <c r="E2943">
        <v>250.23</v>
      </c>
      <c r="F2943">
        <v>-0.01</v>
      </c>
    </row>
    <row r="2944" spans="1:6" x14ac:dyDescent="0.3">
      <c r="A2944" t="str">
        <f>HYPERLINK("https://us2.cloudbeds.com/connect/10074733072513#/reservations/30672256995583?display=YQMU8X3FF&amp;reservation_id=30672256995583", "YQMU8X3FF")</f>
        <v>YQMU8X3FF</v>
      </c>
      <c r="B2944" t="s">
        <v>687</v>
      </c>
      <c r="C2944">
        <v>118.15</v>
      </c>
      <c r="D2944">
        <v>128.41999999999999</v>
      </c>
      <c r="E2944">
        <v>128.43</v>
      </c>
      <c r="F2944">
        <v>-0.01</v>
      </c>
    </row>
    <row r="2945" spans="1:6" x14ac:dyDescent="0.3">
      <c r="A2945" t="str">
        <f>HYPERLINK("https://us2.cloudbeds.com/connect/10074733072513#/reservations/30687164498118?display=YR1F5VB5H&amp;reservation_id=30687164498118", "YR1F5VB5H")</f>
        <v>YR1F5VB5H</v>
      </c>
      <c r="B2945" t="s">
        <v>688</v>
      </c>
      <c r="C2945">
        <v>250.2</v>
      </c>
      <c r="D2945">
        <v>271.95999999999998</v>
      </c>
      <c r="E2945">
        <v>271.97000000000003</v>
      </c>
      <c r="F2945">
        <v>-0.01</v>
      </c>
    </row>
    <row r="2946" spans="1:6" x14ac:dyDescent="0.3">
      <c r="A2946" t="str">
        <f>HYPERLINK("https://us2.cloudbeds.com/connect/10074733072513#/reservations/30669020827863?display=YQKDXNVUW&amp;reservation_id=30669020827863", "YQKDXNVUW")</f>
        <v>YQKDXNVUW</v>
      </c>
      <c r="B2946" t="s">
        <v>678</v>
      </c>
      <c r="C2946">
        <v>176.64</v>
      </c>
      <c r="D2946">
        <v>192</v>
      </c>
      <c r="E2946">
        <v>192.01</v>
      </c>
      <c r="F2946">
        <v>-0.01</v>
      </c>
    </row>
    <row r="2947" spans="1:6" x14ac:dyDescent="0.3">
      <c r="A2947" t="str">
        <f>HYPERLINK("https://us2.cloudbeds.com/connect/10074733072513#/reservations/30670383464584?display=YQYFCZBAR&amp;reservation_id=30670383464584", "YQYFCZBAR")</f>
        <v>YQYFCZBAR</v>
      </c>
      <c r="B2947" t="s">
        <v>677</v>
      </c>
      <c r="C2947">
        <v>205.38</v>
      </c>
      <c r="D2947">
        <v>223.24</v>
      </c>
      <c r="E2947">
        <v>223.25</v>
      </c>
      <c r="F2947">
        <v>-0.01</v>
      </c>
    </row>
    <row r="2948" spans="1:6" x14ac:dyDescent="0.3">
      <c r="A2948" t="str">
        <f>HYPERLINK("https://us2.cloudbeds.com/connect/10074733072513#/reservations/30670395597036?display=YQYFMVV7T&amp;reservation_id=30670395597036", "YQYFMVV7T")</f>
        <v>YQYFMVV7T</v>
      </c>
      <c r="B2948" t="s">
        <v>677</v>
      </c>
      <c r="C2948">
        <v>205.38</v>
      </c>
      <c r="D2948">
        <v>223.24</v>
      </c>
      <c r="E2948">
        <v>223.25</v>
      </c>
      <c r="F2948">
        <v>-0.01</v>
      </c>
    </row>
    <row r="2949" spans="1:6" x14ac:dyDescent="0.3">
      <c r="A2949" t="str">
        <f>HYPERLINK("https://us2.cloudbeds.com/connect/10074733072513#/reservations/30669503086783?display=YQKPTCHJK&amp;reservation_id=30669503086783", "YQKPTCHJK")</f>
        <v>YQKPTCHJK</v>
      </c>
      <c r="B2949" t="s">
        <v>689</v>
      </c>
      <c r="C2949">
        <v>118.15</v>
      </c>
      <c r="D2949">
        <v>128.41999999999999</v>
      </c>
      <c r="E2949">
        <v>128.43</v>
      </c>
      <c r="F2949">
        <v>-0.01</v>
      </c>
    </row>
    <row r="2950" spans="1:6" x14ac:dyDescent="0.3">
      <c r="A2950" t="str">
        <f>HYPERLINK("https://us2.cloudbeds.com/connect/10074733072513#/reservations/30670660669671?display=YQYMFFWEW&amp;reservation_id=30670660669671", "YQYMFFWEW")</f>
        <v>YQYMFFWEW</v>
      </c>
      <c r="B2950" t="s">
        <v>684</v>
      </c>
      <c r="C2950">
        <v>205.38</v>
      </c>
      <c r="D2950">
        <v>223.24</v>
      </c>
      <c r="E2950">
        <v>223.25</v>
      </c>
      <c r="F2950">
        <v>-0.01</v>
      </c>
    </row>
    <row r="2951" spans="1:6" x14ac:dyDescent="0.3">
      <c r="A2951" t="str">
        <f>HYPERLINK("https://us2.cloudbeds.com/connect/10074733072513#/reservations/30670241202396?display=YQYBZPMNE&amp;reservation_id=30670241202396", "YQYBZPMNE")</f>
        <v>YQYBZPMNE</v>
      </c>
      <c r="B2951" t="s">
        <v>692</v>
      </c>
      <c r="C2951">
        <v>460.8</v>
      </c>
      <c r="D2951">
        <v>500.88</v>
      </c>
      <c r="E2951">
        <v>500.89</v>
      </c>
      <c r="F2951">
        <v>-0.01</v>
      </c>
    </row>
    <row r="2952" spans="1:6" x14ac:dyDescent="0.3">
      <c r="A2952" t="str">
        <f>HYPERLINK("https://us2.cloudbeds.com/connect/10074733072513#/reservations/30671182008542?display=YQM2Q306J&amp;reservation_id=30671182008542", "YQM2Q306J")</f>
        <v>YQM2Q306J</v>
      </c>
      <c r="B2952" t="s">
        <v>693</v>
      </c>
      <c r="C2952">
        <v>357.3</v>
      </c>
      <c r="D2952">
        <v>388.38</v>
      </c>
      <c r="E2952">
        <v>388.39</v>
      </c>
      <c r="F2952">
        <v>-0.01</v>
      </c>
    </row>
    <row r="2953" spans="1:6" x14ac:dyDescent="0.3">
      <c r="A2953" t="str">
        <f>HYPERLINK("https://us2.cloudbeds.com/connect/10074733072513#/reservations/30671039950998?display=YQYW5A1G8&amp;reservation_id=30671039950998", "YQYW5A1G8")</f>
        <v>YQYW5A1G8</v>
      </c>
      <c r="B2953" t="s">
        <v>682</v>
      </c>
      <c r="C2953">
        <v>504.3</v>
      </c>
      <c r="D2953">
        <v>548.16</v>
      </c>
      <c r="E2953">
        <v>548.16999999999996</v>
      </c>
      <c r="F2953">
        <v>-0.01</v>
      </c>
    </row>
    <row r="2954" spans="1:6" x14ac:dyDescent="0.3">
      <c r="A2954" t="str">
        <f>HYPERLINK("https://us2.cloudbeds.com/connect/10074733072513#/reservations/30670921781458?display=YQYT4YQHC&amp;reservation_id=30670921781458", "YQYT4YQHC")</f>
        <v>YQYT4YQHC</v>
      </c>
      <c r="B2954" t="s">
        <v>695</v>
      </c>
      <c r="C2954">
        <v>112.24</v>
      </c>
      <c r="D2954">
        <v>121.99</v>
      </c>
      <c r="E2954">
        <v>122</v>
      </c>
      <c r="F2954">
        <v>-0.01</v>
      </c>
    </row>
    <row r="2955" spans="1:6" x14ac:dyDescent="0.3">
      <c r="A2955" t="str">
        <f>HYPERLINK("https://us2.cloudbeds.com/connect/10074733072513#/reservations/30671246237828?display=YQM4E898J&amp;reservation_id=30671246237828", "YQM4E898J")</f>
        <v>YQM4E898J</v>
      </c>
      <c r="B2955" t="s">
        <v>696</v>
      </c>
      <c r="C2955">
        <v>128</v>
      </c>
      <c r="D2955">
        <v>139.13</v>
      </c>
      <c r="E2955">
        <v>139.13999999999999</v>
      </c>
      <c r="F2955">
        <v>-0.01</v>
      </c>
    </row>
    <row r="2956" spans="1:6" x14ac:dyDescent="0.3">
      <c r="A2956" t="str">
        <f>HYPERLINK("https://us2.cloudbeds.com/connect/10074733072513#/reservations/30670846853317?display=YQYR7FQWY&amp;reservation_id=30670846853317", "YQYR7FQWY")</f>
        <v>YQYR7FQWY</v>
      </c>
      <c r="B2956" t="s">
        <v>697</v>
      </c>
      <c r="C2956">
        <v>87.2</v>
      </c>
      <c r="D2956">
        <v>94.78</v>
      </c>
      <c r="E2956">
        <v>94.79</v>
      </c>
      <c r="F2956">
        <v>-0.01</v>
      </c>
    </row>
    <row r="2957" spans="1:6" x14ac:dyDescent="0.3">
      <c r="A2957" t="str">
        <f>HYPERLINK("https://us2.cloudbeds.com/connect/10074733072513#/reservations/30672402661561?display=YQN0WCFN0&amp;reservation_id=30672402661561", "YQN0WCFN0")</f>
        <v>YQN0WCFN0</v>
      </c>
      <c r="B2957" t="s">
        <v>698</v>
      </c>
      <c r="C2957">
        <v>93.19</v>
      </c>
      <c r="D2957">
        <v>101.29</v>
      </c>
      <c r="E2957">
        <v>101.3</v>
      </c>
      <c r="F2957">
        <v>-0.01</v>
      </c>
    </row>
    <row r="2958" spans="1:6" x14ac:dyDescent="0.3">
      <c r="A2958" t="str">
        <f>HYPERLINK("https://us2.cloudbeds.com/connect/10074733072513#/reservations/30671561846914?display=YQMCGCXP9&amp;reservation_id=30671561846914", "YQMCGCXP9")</f>
        <v>YQMCGCXP9</v>
      </c>
      <c r="B2958" t="s">
        <v>699</v>
      </c>
      <c r="C2958">
        <v>93.19</v>
      </c>
      <c r="D2958">
        <v>101.29</v>
      </c>
      <c r="E2958">
        <v>101.3</v>
      </c>
      <c r="F2958">
        <v>-0.01</v>
      </c>
    </row>
    <row r="2959" spans="1:6" x14ac:dyDescent="0.3">
      <c r="A2959" t="str">
        <f>HYPERLINK("https://us2.cloudbeds.com/connect/10074733072513#/reservations/30672961740997?display=YQNF8QMK3&amp;reservation_id=30672961740997", "YQNF8QMK3")</f>
        <v>YQNF8QMK3</v>
      </c>
      <c r="B2959" t="s">
        <v>667</v>
      </c>
      <c r="C2959">
        <v>185.4</v>
      </c>
      <c r="D2959">
        <v>201.52</v>
      </c>
      <c r="E2959">
        <v>201.53</v>
      </c>
      <c r="F2959">
        <v>-0.01</v>
      </c>
    </row>
    <row r="2960" spans="1:6" x14ac:dyDescent="0.3">
      <c r="A2960" t="str">
        <f>HYPERLINK("https://us2.cloudbeds.com/connect/10074733072513#/reservations/30671305683137?display=YQM5HM5Y3&amp;reservation_id=30671305683137", "YQM5HM5Y3")</f>
        <v>YQM5HM5Y3</v>
      </c>
      <c r="B2960" t="s">
        <v>662</v>
      </c>
      <c r="C2960">
        <v>165.88</v>
      </c>
      <c r="D2960">
        <v>180.3</v>
      </c>
      <c r="E2960">
        <v>180.31</v>
      </c>
      <c r="F2960">
        <v>-0.01</v>
      </c>
    </row>
    <row r="2961" spans="1:6" x14ac:dyDescent="0.3">
      <c r="A2961" t="str">
        <f>HYPERLINK("https://us2.cloudbeds.com/connect/10074733072513#/reservations/30671289426056?display=YQM5HM1SP&amp;reservation_id=30671289426056", "YQM5HM1SP")</f>
        <v>YQM5HM1SP</v>
      </c>
      <c r="B2961" t="s">
        <v>662</v>
      </c>
      <c r="C2961">
        <v>165.88</v>
      </c>
      <c r="D2961">
        <v>180.3</v>
      </c>
      <c r="E2961">
        <v>180.31</v>
      </c>
      <c r="F2961">
        <v>-0.01</v>
      </c>
    </row>
    <row r="2962" spans="1:6" x14ac:dyDescent="0.3">
      <c r="A2962" t="str">
        <f>HYPERLINK("https://us2.cloudbeds.com/connect/10074733072513#/reservations/30671310176501?display=YQM625FF4&amp;reservation_id=30671310176501", "YQM625FF4")</f>
        <v>YQM625FF4</v>
      </c>
      <c r="B2962" t="s">
        <v>662</v>
      </c>
      <c r="C2962">
        <v>165.88</v>
      </c>
      <c r="D2962">
        <v>180.3</v>
      </c>
      <c r="E2962">
        <v>180.31</v>
      </c>
      <c r="F2962">
        <v>-0.01</v>
      </c>
    </row>
    <row r="2963" spans="1:6" x14ac:dyDescent="0.3">
      <c r="A2963" t="str">
        <f>HYPERLINK("https://us2.cloudbeds.com/connect/10074733072513#/reservations/30670815830165?display=YQYQEAX84&amp;reservation_id=30670815830165", "YQYQEAX84")</f>
        <v>YQYQEAX84</v>
      </c>
      <c r="B2963" t="s">
        <v>701</v>
      </c>
      <c r="C2963">
        <v>196.2</v>
      </c>
      <c r="D2963">
        <v>213.26</v>
      </c>
      <c r="E2963">
        <v>213.27</v>
      </c>
      <c r="F2963">
        <v>-0.01</v>
      </c>
    </row>
    <row r="2964" spans="1:6" x14ac:dyDescent="0.3">
      <c r="A2964" t="str">
        <f>HYPERLINK("https://us2.cloudbeds.com/connect/10074733072513#/reservations/30669381812376?display=YQKMQ3TGK&amp;reservation_id=30669381812376", "YQKMQ3TGK")</f>
        <v>YQKMQ3TGK</v>
      </c>
      <c r="B2964" t="s">
        <v>662</v>
      </c>
      <c r="C2964">
        <v>82.94</v>
      </c>
      <c r="D2964">
        <v>90.15</v>
      </c>
      <c r="E2964">
        <v>90.16</v>
      </c>
      <c r="F2964">
        <v>-0.01</v>
      </c>
    </row>
    <row r="2965" spans="1:6" x14ac:dyDescent="0.3">
      <c r="A2965" t="str">
        <f>HYPERLINK("https://us2.cloudbeds.com/connect/10074733072513#/reservations/30672794419392?display=YQNAJDM9K&amp;reservation_id=30672794419392", "YQNAJDM9K")</f>
        <v>YQNAJDM9K</v>
      </c>
      <c r="B2965" t="s">
        <v>700</v>
      </c>
      <c r="C2965">
        <v>112.24</v>
      </c>
      <c r="D2965">
        <v>121.99</v>
      </c>
      <c r="E2965">
        <v>122</v>
      </c>
      <c r="F2965">
        <v>-0.01</v>
      </c>
    </row>
    <row r="2966" spans="1:6" x14ac:dyDescent="0.3">
      <c r="A2966" t="str">
        <f>HYPERLINK("https://us2.cloudbeds.com/connect/10074733072513#/reservations/30671403049200?display=YQM8EFQ0B&amp;reservation_id=30671403049200", "YQM8EFQ0B")</f>
        <v>YQM8EFQ0B</v>
      </c>
      <c r="B2966" t="s">
        <v>700</v>
      </c>
      <c r="C2966">
        <v>120.32</v>
      </c>
      <c r="D2966">
        <v>130.78</v>
      </c>
      <c r="E2966">
        <v>130.79</v>
      </c>
      <c r="F2966">
        <v>-0.01</v>
      </c>
    </row>
    <row r="2967" spans="1:6" x14ac:dyDescent="0.3">
      <c r="A2967" t="str">
        <f>HYPERLINK("https://us2.cloudbeds.com/connect/10074733072513#/reservations/30671818379498?display=YQMJ1MVSV&amp;reservation_id=30671818379498", "YQMJ1MVSV")</f>
        <v>YQMJ1MVSV</v>
      </c>
      <c r="B2967" t="s">
        <v>704</v>
      </c>
      <c r="C2967">
        <v>267.3</v>
      </c>
      <c r="D2967">
        <v>290.55</v>
      </c>
      <c r="E2967">
        <v>290.56</v>
      </c>
      <c r="F2967">
        <v>-0.01</v>
      </c>
    </row>
    <row r="2968" spans="1:6" x14ac:dyDescent="0.3">
      <c r="A2968" t="str">
        <f>HYPERLINK("https://us2.cloudbeds.com/connect/10074733072513#/reservations/30671387791501?display=YQM81K78R&amp;reservation_id=30671387791501", "YQM81K78R")</f>
        <v>YQM81K78R</v>
      </c>
      <c r="B2968" t="s">
        <v>705</v>
      </c>
      <c r="C2968">
        <v>187.2</v>
      </c>
      <c r="D2968">
        <v>203.48</v>
      </c>
      <c r="E2968">
        <v>203.49</v>
      </c>
      <c r="F2968">
        <v>-0.01</v>
      </c>
    </row>
    <row r="2969" spans="1:6" x14ac:dyDescent="0.3">
      <c r="A2969" t="str">
        <f>HYPERLINK("https://us2.cloudbeds.com/connect/10074733072513#/reservations/30672011911329?display=YQMNWT91T&amp;reservation_id=30672011911329", "YQMNWT91T")</f>
        <v>YQMNWT91T</v>
      </c>
      <c r="B2969" t="s">
        <v>591</v>
      </c>
      <c r="C2969">
        <v>82.94</v>
      </c>
      <c r="D2969">
        <v>90.15</v>
      </c>
      <c r="E2969">
        <v>90.16</v>
      </c>
      <c r="F2969">
        <v>-0.01</v>
      </c>
    </row>
    <row r="2970" spans="1:6" x14ac:dyDescent="0.3">
      <c r="A2970" t="str">
        <f>HYPERLINK("https://us2.cloudbeds.com/connect/10074733072513#/reservations/30672019566839?display=YQMZ6B9U1&amp;reservation_id=30672019566839", "YQMZ6B9U1")</f>
        <v>YQMZ6B9U1</v>
      </c>
      <c r="B2970" t="s">
        <v>591</v>
      </c>
      <c r="C2970">
        <v>93.19</v>
      </c>
      <c r="D2970">
        <v>101.29</v>
      </c>
      <c r="E2970">
        <v>101.3</v>
      </c>
      <c r="F2970">
        <v>-0.01</v>
      </c>
    </row>
    <row r="2971" spans="1:6" x14ac:dyDescent="0.3">
      <c r="A2971" t="str">
        <f>HYPERLINK("https://us2.cloudbeds.com/connect/10074733072513#/reservations/30679202021569?display=YQS9NPMQC&amp;reservation_id=30679202021569", "YQS9NPMQC")</f>
        <v>YQS9NPMQC</v>
      </c>
      <c r="B2971" t="s">
        <v>707</v>
      </c>
      <c r="C2971">
        <v>208.34</v>
      </c>
      <c r="D2971">
        <v>226.46</v>
      </c>
      <c r="E2971">
        <v>226.47</v>
      </c>
      <c r="F2971">
        <v>-0.01</v>
      </c>
    </row>
    <row r="2972" spans="1:6" x14ac:dyDescent="0.3">
      <c r="A2972" t="str">
        <f>HYPERLINK("https://us2.cloudbeds.com/connect/10074733072513#/reservations/30672838586579?display=YQNC3VZ51&amp;reservation_id=30672838586579", "YQNC3VZ51")</f>
        <v>YQNC3VZ51</v>
      </c>
      <c r="B2972" t="s">
        <v>708</v>
      </c>
      <c r="C2972">
        <v>84.15</v>
      </c>
      <c r="D2972">
        <v>91.46</v>
      </c>
      <c r="E2972">
        <v>91.47</v>
      </c>
      <c r="F2972">
        <v>-0.01</v>
      </c>
    </row>
    <row r="2973" spans="1:6" x14ac:dyDescent="0.3">
      <c r="A2973" t="str">
        <f>HYPERLINK("https://us2.cloudbeds.com/connect/10074733072513#/reservations/30671397449936?display=YQM89ZWBM&amp;reservation_id=30671397449936", "YQM89ZWBM")</f>
        <v>YQM89ZWBM</v>
      </c>
      <c r="B2973" t="s">
        <v>706</v>
      </c>
      <c r="C2973">
        <v>103.2</v>
      </c>
      <c r="D2973">
        <v>112.17</v>
      </c>
      <c r="E2973">
        <v>112.18</v>
      </c>
      <c r="F2973">
        <v>-0.01</v>
      </c>
    </row>
    <row r="2974" spans="1:6" x14ac:dyDescent="0.3">
      <c r="A2974" t="str">
        <f>HYPERLINK("https://us2.cloudbeds.com/connect/10074733072513#/reservations/30671545839746?display=YQMC2T4QJ&amp;reservation_id=30671545839746", "YQMC2T4QJ")</f>
        <v>YQMC2T4QJ</v>
      </c>
      <c r="B2974" t="s">
        <v>709</v>
      </c>
      <c r="C2974">
        <v>134.1</v>
      </c>
      <c r="D2974">
        <v>145.76</v>
      </c>
      <c r="E2974">
        <v>145.77000000000001</v>
      </c>
      <c r="F2974">
        <v>-0.01</v>
      </c>
    </row>
    <row r="2975" spans="1:6" x14ac:dyDescent="0.3">
      <c r="A2975" t="str">
        <f>HYPERLINK("https://us2.cloudbeds.com/connect/10074733072513#/reservations/30672574963913?display=YQN5CM1DD&amp;reservation_id=30672574963913", "YQN5CM1DD")</f>
        <v>YQN5CM1DD</v>
      </c>
      <c r="B2975" t="s">
        <v>667</v>
      </c>
      <c r="C2975">
        <v>312.3</v>
      </c>
      <c r="D2975">
        <v>339.46</v>
      </c>
      <c r="E2975">
        <v>339.47</v>
      </c>
      <c r="F2975">
        <v>-0.01</v>
      </c>
    </row>
    <row r="2976" spans="1:6" x14ac:dyDescent="0.3">
      <c r="A2976" t="str">
        <f>HYPERLINK("https://us2.cloudbeds.com/connect/10074733072513#/reservations/30671430680785?display=YQM94PMC3&amp;reservation_id=30671430680785", "YQM94PMC3")</f>
        <v>YQM94PMC3</v>
      </c>
      <c r="B2976" t="s">
        <v>712</v>
      </c>
      <c r="C2976">
        <v>82.94</v>
      </c>
      <c r="D2976">
        <v>90.15</v>
      </c>
      <c r="E2976">
        <v>90.16</v>
      </c>
      <c r="F2976">
        <v>-0.01</v>
      </c>
    </row>
    <row r="2977" spans="1:6" x14ac:dyDescent="0.3">
      <c r="A2977" t="str">
        <f>HYPERLINK("https://us2.cloudbeds.com/connect/10074733072513#/reservations/30669474468043?display=YQKP585P3&amp;reservation_id=30669474468043", "YQKP585P3")</f>
        <v>YQKP585P3</v>
      </c>
      <c r="B2977" t="s">
        <v>716</v>
      </c>
      <c r="C2977">
        <v>112.24</v>
      </c>
      <c r="D2977">
        <v>121.99</v>
      </c>
      <c r="E2977">
        <v>122</v>
      </c>
      <c r="F2977">
        <v>-0.01</v>
      </c>
    </row>
    <row r="2978" spans="1:6" x14ac:dyDescent="0.3">
      <c r="A2978" t="str">
        <f>HYPERLINK("https://us2.cloudbeds.com/connect/10074733072513#/reservations/30671878729911?display=YQMKJJA2B&amp;reservation_id=30671878729911", "YQMKJJA2B")</f>
        <v>YQMKJJA2B</v>
      </c>
      <c r="B2978" t="s">
        <v>718</v>
      </c>
      <c r="C2978">
        <v>118.15</v>
      </c>
      <c r="D2978">
        <v>128.41999999999999</v>
      </c>
      <c r="E2978">
        <v>128.43</v>
      </c>
      <c r="F2978">
        <v>-0.01</v>
      </c>
    </row>
    <row r="2979" spans="1:6" x14ac:dyDescent="0.3">
      <c r="A2979" t="str">
        <f>HYPERLINK("https://us2.cloudbeds.com/connect/10074733072513#/reservations/30673286299807?display=YQNNXG0DX&amp;reservation_id=30673286299807", "YQNNXG0DX")</f>
        <v>YQNNXG0DX</v>
      </c>
      <c r="B2979" t="s">
        <v>719</v>
      </c>
      <c r="C2979">
        <v>84.15</v>
      </c>
      <c r="D2979">
        <v>91.46</v>
      </c>
      <c r="E2979">
        <v>91.47</v>
      </c>
      <c r="F2979">
        <v>-0.01</v>
      </c>
    </row>
    <row r="2980" spans="1:6" x14ac:dyDescent="0.3">
      <c r="A2980" t="str">
        <f>HYPERLINK("https://us2.cloudbeds.com/connect/10074733072513#/reservations/30673533047039?display=YQNTSX3TD&amp;reservation_id=30673533047039", "YQNTSX3TD")</f>
        <v>YQNTSX3TD</v>
      </c>
      <c r="B2980" t="s">
        <v>720</v>
      </c>
      <c r="C2980">
        <v>84.15</v>
      </c>
      <c r="D2980">
        <v>91.46</v>
      </c>
      <c r="E2980">
        <v>91.47</v>
      </c>
      <c r="F2980">
        <v>-0.01</v>
      </c>
    </row>
    <row r="2981" spans="1:6" x14ac:dyDescent="0.3">
      <c r="A2981" t="str">
        <f>HYPERLINK("https://us2.cloudbeds.com/connect/10074733072513#/reservations/30672031518887?display=YQMZGDT5A&amp;reservation_id=30672031518887", "YQMZGDT5A")</f>
        <v>YQMZGDT5A</v>
      </c>
      <c r="B2981" t="s">
        <v>721</v>
      </c>
      <c r="C2981">
        <v>276.3</v>
      </c>
      <c r="D2981">
        <v>300.33</v>
      </c>
      <c r="E2981">
        <v>300.33999999999997</v>
      </c>
      <c r="F2981">
        <v>-0.01</v>
      </c>
    </row>
    <row r="2982" spans="1:6" x14ac:dyDescent="0.3">
      <c r="A2982" t="str">
        <f>HYPERLINK("https://us2.cloudbeds.com/connect/10074733072513#/reservations/30671699656859?display=YQMG0JB07&amp;reservation_id=30671699656859", "YQMG0JB07")</f>
        <v>YQMG0JB07</v>
      </c>
      <c r="B2982" t="s">
        <v>724</v>
      </c>
      <c r="C2982">
        <v>250.2</v>
      </c>
      <c r="D2982">
        <v>271.95999999999998</v>
      </c>
      <c r="E2982">
        <v>271.97000000000003</v>
      </c>
      <c r="F2982">
        <v>-0.01</v>
      </c>
    </row>
    <row r="2983" spans="1:6" x14ac:dyDescent="0.3">
      <c r="A2983" t="str">
        <f>HYPERLINK("https://us2.cloudbeds.com/connect/10074733072513#/reservations/30685215641784?display=YQWVCKHZW&amp;reservation_id=30685215641784", "YQWVCKHZW")</f>
        <v>YQWVCKHZW</v>
      </c>
      <c r="B2983" t="s">
        <v>726</v>
      </c>
      <c r="C2983">
        <v>270.2</v>
      </c>
      <c r="D2983">
        <v>293.7</v>
      </c>
      <c r="E2983">
        <v>293.70999999999998</v>
      </c>
      <c r="F2983">
        <v>-0.01</v>
      </c>
    </row>
    <row r="2984" spans="1:6" x14ac:dyDescent="0.3">
      <c r="A2984" t="str">
        <f>HYPERLINK("https://us2.cloudbeds.com/connect/10074733072513#/reservations/30672225587371?display=YQMTF244F&amp;reservation_id=30672225587371", "YQMTF244F")</f>
        <v>YQMTF244F</v>
      </c>
      <c r="B2984" t="s">
        <v>716</v>
      </c>
      <c r="C2984">
        <v>384.3</v>
      </c>
      <c r="D2984">
        <v>417.72</v>
      </c>
      <c r="E2984">
        <v>417.73</v>
      </c>
      <c r="F2984">
        <v>-0.01</v>
      </c>
    </row>
    <row r="2985" spans="1:6" x14ac:dyDescent="0.3">
      <c r="A2985" t="str">
        <f>HYPERLINK("https://us2.cloudbeds.com/connect/10074733072513#/reservations/30670981562555?display=YQYUM29UP&amp;reservation_id=30670981562555", "YQYUM29UP")</f>
        <v>YQYUM29UP</v>
      </c>
      <c r="B2985" t="s">
        <v>727</v>
      </c>
      <c r="C2985">
        <v>712.8</v>
      </c>
      <c r="D2985">
        <v>774.8</v>
      </c>
      <c r="E2985">
        <v>774.81</v>
      </c>
      <c r="F2985">
        <v>-0.01</v>
      </c>
    </row>
    <row r="2986" spans="1:6" x14ac:dyDescent="0.3">
      <c r="A2986" t="str">
        <f>HYPERLINK("https://us2.cloudbeds.com/connect/10074733072513#/reservations/30672276041929?display=YQMUZK37F&amp;reservation_id=30672276041929", "YQMUZK37F")</f>
        <v>YQMUZK37F</v>
      </c>
      <c r="B2986" t="s">
        <v>728</v>
      </c>
      <c r="C2986">
        <v>82.94</v>
      </c>
      <c r="D2986">
        <v>90.15</v>
      </c>
      <c r="E2986">
        <v>90.16</v>
      </c>
      <c r="F2986">
        <v>-0.01</v>
      </c>
    </row>
    <row r="2987" spans="1:6" x14ac:dyDescent="0.3">
      <c r="A2987" t="str">
        <f>HYPERLINK("https://us2.cloudbeds.com/connect/10074733072513#/reservations/30672382763195?display=YQN0FJPX7&amp;reservation_id=30672382763195", "YQN0FJPX7")</f>
        <v>YQN0FJPX7</v>
      </c>
      <c r="B2987" t="s">
        <v>729</v>
      </c>
      <c r="C2987">
        <v>250.2</v>
      </c>
      <c r="D2987">
        <v>271.95999999999998</v>
      </c>
      <c r="E2987">
        <v>271.97000000000003</v>
      </c>
      <c r="F2987">
        <v>-0.01</v>
      </c>
    </row>
    <row r="2988" spans="1:6" x14ac:dyDescent="0.3">
      <c r="A2988" t="str">
        <f>HYPERLINK("https://us2.cloudbeds.com/connect/10074733072513#/reservations/30672262324377?display=YQMUD1CP2&amp;reservation_id=30672262324377", "YQMUD1CP2")</f>
        <v>YQMUD1CP2</v>
      </c>
      <c r="B2988" t="s">
        <v>728</v>
      </c>
      <c r="C2988">
        <v>82.94</v>
      </c>
      <c r="D2988">
        <v>90.15</v>
      </c>
      <c r="E2988">
        <v>90.16</v>
      </c>
      <c r="F2988">
        <v>-0.01</v>
      </c>
    </row>
    <row r="2989" spans="1:6" x14ac:dyDescent="0.3">
      <c r="A2989" t="str">
        <f>HYPERLINK("https://us2.cloudbeds.com/connect/10074733072513#/reservations/30674308206720?display=YQZGM5VTH&amp;reservation_id=30674308206720", "YQZGM5VTH")</f>
        <v>YQZGM5VTH</v>
      </c>
      <c r="B2989" t="s">
        <v>730</v>
      </c>
      <c r="C2989">
        <v>268.2</v>
      </c>
      <c r="D2989">
        <v>291.52</v>
      </c>
      <c r="E2989">
        <v>291.52999999999997</v>
      </c>
      <c r="F2989">
        <v>-0.01</v>
      </c>
    </row>
    <row r="2990" spans="1:6" x14ac:dyDescent="0.3">
      <c r="A2990" t="str">
        <f>HYPERLINK("https://us2.cloudbeds.com/connect/10074733072513#/reservations/30672196276465?display=YQMSNBGN6&amp;reservation_id=30672196276465", "YQMSNBGN6")</f>
        <v>YQMSNBGN6</v>
      </c>
      <c r="B2990" t="s">
        <v>716</v>
      </c>
      <c r="C2990">
        <v>120.32</v>
      </c>
      <c r="D2990">
        <v>130.78</v>
      </c>
      <c r="E2990">
        <v>130.79</v>
      </c>
      <c r="F2990">
        <v>-0.01</v>
      </c>
    </row>
    <row r="2991" spans="1:6" x14ac:dyDescent="0.3">
      <c r="A2991" t="str">
        <f>HYPERLINK("https://us2.cloudbeds.com/connect/10074733072513#/reservations/30672262344910?display=YQMUD1VK9&amp;reservation_id=30672262344910", "YQMUD1VK9")</f>
        <v>YQMUD1VK9</v>
      </c>
      <c r="B2991" t="s">
        <v>732</v>
      </c>
      <c r="C2991">
        <v>339.45</v>
      </c>
      <c r="D2991">
        <v>368.97</v>
      </c>
      <c r="E2991">
        <v>368.98</v>
      </c>
      <c r="F2991">
        <v>-0.01</v>
      </c>
    </row>
    <row r="2992" spans="1:6" x14ac:dyDescent="0.3">
      <c r="A2992" t="str">
        <f>HYPERLINK("https://us2.cloudbeds.com/connect/10074733072513#/reservations/30671895511243?display=YQMY0Z8UX&amp;reservation_id=30671895511243", "YQMY0Z8UX")</f>
        <v>YQMY0Z8UX</v>
      </c>
      <c r="B2992" t="s">
        <v>733</v>
      </c>
      <c r="C2992">
        <v>84.15</v>
      </c>
      <c r="D2992">
        <v>91.46</v>
      </c>
      <c r="E2992">
        <v>91.47</v>
      </c>
      <c r="F2992">
        <v>-0.01</v>
      </c>
    </row>
    <row r="2993" spans="1:6" x14ac:dyDescent="0.3">
      <c r="A2993" t="str">
        <f>HYPERLINK("https://us2.cloudbeds.com/connect/10074733072513#/reservations/30674722562251?display=YQZR8J4BU&amp;reservation_id=30674722562251", "YQZR8J4BU")</f>
        <v>YQZR8J4BU</v>
      </c>
      <c r="B2993" t="s">
        <v>734</v>
      </c>
      <c r="C2993">
        <v>196.2</v>
      </c>
      <c r="D2993">
        <v>213.26</v>
      </c>
      <c r="E2993">
        <v>213.27</v>
      </c>
      <c r="F2993">
        <v>-0.01</v>
      </c>
    </row>
    <row r="2994" spans="1:6" x14ac:dyDescent="0.3">
      <c r="A2994" t="str">
        <f>HYPERLINK("https://us2.cloudbeds.com/connect/10074733072513#/reservations/30669434200211?display=YQKZ49YSP&amp;reservation_id=30669434200211", "YQKZ49YSP")</f>
        <v>YQKZ49YSP</v>
      </c>
      <c r="B2994" t="s">
        <v>735</v>
      </c>
      <c r="C2994">
        <v>356.4</v>
      </c>
      <c r="D2994">
        <v>387.4</v>
      </c>
      <c r="E2994">
        <v>387.41</v>
      </c>
      <c r="F2994">
        <v>-0.01</v>
      </c>
    </row>
    <row r="2995" spans="1:6" x14ac:dyDescent="0.3">
      <c r="A2995" t="str">
        <f>HYPERLINK("https://us2.cloudbeds.com/connect/10074733072513#/reservations/30671083778199?display=YQM098JSH&amp;reservation_id=30671083778199", "YQM098JSH")</f>
        <v>YQM098JSH</v>
      </c>
      <c r="B2995" t="s">
        <v>736</v>
      </c>
      <c r="C2995">
        <v>666</v>
      </c>
      <c r="D2995">
        <v>723.93</v>
      </c>
      <c r="E2995">
        <v>723.94</v>
      </c>
      <c r="F2995">
        <v>-0.01</v>
      </c>
    </row>
    <row r="2996" spans="1:6" x14ac:dyDescent="0.3">
      <c r="A2996" t="str">
        <f>HYPERLINK("https://us2.cloudbeds.com/connect/10074733072513#/reservations/30671104348357?display=YQM0QJWTY&amp;reservation_id=30671104348357", "YQM0QJWTY")</f>
        <v>YQM0QJWTY</v>
      </c>
      <c r="B2996" t="s">
        <v>737</v>
      </c>
      <c r="C2996">
        <v>212.55</v>
      </c>
      <c r="D2996">
        <v>231.03</v>
      </c>
      <c r="E2996">
        <v>231.04</v>
      </c>
      <c r="F2996">
        <v>-0.01</v>
      </c>
    </row>
    <row r="2997" spans="1:6" x14ac:dyDescent="0.3">
      <c r="A2997" t="str">
        <f>HYPERLINK("https://us2.cloudbeds.com/connect/10074733072513#/reservations/30681601482993?display=YQU5127WK&amp;reservation_id=30681601482993", "YQU5127WK")</f>
        <v>YQU5127WK</v>
      </c>
      <c r="B2997" t="s">
        <v>738</v>
      </c>
      <c r="C2997">
        <v>134.1</v>
      </c>
      <c r="D2997">
        <v>145.76</v>
      </c>
      <c r="E2997">
        <v>145.77000000000001</v>
      </c>
      <c r="F2997">
        <v>-0.01</v>
      </c>
    </row>
    <row r="2998" spans="1:6" x14ac:dyDescent="0.3">
      <c r="A2998" t="str">
        <f>HYPERLINK("https://us2.cloudbeds.com/connect/10074733072513#/reservations/30670065463426?display=YQY78JG83&amp;reservation_id=30670065463426", "YQY78JG83")</f>
        <v>YQY78JG83</v>
      </c>
      <c r="B2998" t="s">
        <v>739</v>
      </c>
      <c r="C2998">
        <v>250.2</v>
      </c>
      <c r="D2998">
        <v>271.95999999999998</v>
      </c>
      <c r="E2998">
        <v>271.97000000000003</v>
      </c>
      <c r="F2998">
        <v>-0.01</v>
      </c>
    </row>
    <row r="2999" spans="1:6" x14ac:dyDescent="0.3">
      <c r="A2999" t="str">
        <f>HYPERLINK("https://us2.cloudbeds.com/connect/10074733072513#/reservations/30677290160274?display=YQQQSYAVK&amp;reservation_id=30677290160274", "YQQQSYAVK")</f>
        <v>YQQQSYAVK</v>
      </c>
      <c r="B2999" t="s">
        <v>740</v>
      </c>
      <c r="C2999">
        <v>270.2</v>
      </c>
      <c r="D2999">
        <v>293.7</v>
      </c>
      <c r="E2999">
        <v>293.70999999999998</v>
      </c>
      <c r="F2999">
        <v>-0.01</v>
      </c>
    </row>
    <row r="3000" spans="1:6" x14ac:dyDescent="0.3">
      <c r="A3000" t="str">
        <f>HYPERLINK("https://us2.cloudbeds.com/connect/10074733072513#/reservations/30671110541471?display=YQM0VRASP&amp;reservation_id=30671110541471", "YQM0VRASP")</f>
        <v>YQM0VRASP</v>
      </c>
      <c r="B3000" t="s">
        <v>737</v>
      </c>
      <c r="C3000">
        <v>82.94</v>
      </c>
      <c r="D3000">
        <v>90.15</v>
      </c>
      <c r="E3000">
        <v>90.16</v>
      </c>
      <c r="F3000">
        <v>-0.01</v>
      </c>
    </row>
    <row r="3001" spans="1:6" x14ac:dyDescent="0.3">
      <c r="A3001" t="str">
        <f>HYPERLINK("https://us2.cloudbeds.com/connect/10074733072513#/reservations/30673161130143?display=YQNKBUWDE&amp;reservation_id=30673161130143", "YQNKBUWDE")</f>
        <v>YQNKBUWDE</v>
      </c>
      <c r="B3001" t="s">
        <v>741</v>
      </c>
      <c r="C3001">
        <v>74.12</v>
      </c>
      <c r="D3001">
        <v>80.56</v>
      </c>
      <c r="E3001">
        <v>80.569999999999993</v>
      </c>
      <c r="F3001">
        <v>-0.01</v>
      </c>
    </row>
    <row r="3002" spans="1:6" x14ac:dyDescent="0.3">
      <c r="A3002" t="str">
        <f>HYPERLINK("https://us2.cloudbeds.com/connect/10074733072513#/reservations/30672613990638?display=YQN6CJ0KE&amp;reservation_id=30672613990638", "YQN6CJ0KE")</f>
        <v>YQN6CJ0KE</v>
      </c>
      <c r="B3002" t="s">
        <v>742</v>
      </c>
      <c r="C3002">
        <v>74.12</v>
      </c>
      <c r="D3002">
        <v>80.56</v>
      </c>
      <c r="E3002">
        <v>80.569999999999993</v>
      </c>
      <c r="F3002">
        <v>-0.01</v>
      </c>
    </row>
    <row r="3003" spans="1:6" x14ac:dyDescent="0.3">
      <c r="A3003" t="str">
        <f>HYPERLINK("https://us2.cloudbeds.com/connect/10074733072513#/reservations/30674026061962?display=YQZ9F8WGX&amp;reservation_id=30674026061962", "YQZ9F8WGX")</f>
        <v>YQZ9F8WGX</v>
      </c>
      <c r="B3003" t="s">
        <v>715</v>
      </c>
      <c r="C3003">
        <v>118.15</v>
      </c>
      <c r="D3003">
        <v>128.41999999999999</v>
      </c>
      <c r="E3003">
        <v>128.43</v>
      </c>
      <c r="F3003">
        <v>-0.01</v>
      </c>
    </row>
    <row r="3004" spans="1:6" x14ac:dyDescent="0.3">
      <c r="A3004" t="str">
        <f>HYPERLINK("https://us2.cloudbeds.com/connect/10074733072513#/reservations/30674202935450?display=YQZDWDZP7&amp;reservation_id=30674202935450", "YQZDWDZP7")</f>
        <v>YQZDWDZP7</v>
      </c>
      <c r="B3004" t="s">
        <v>744</v>
      </c>
      <c r="C3004">
        <v>84.15</v>
      </c>
      <c r="D3004">
        <v>91.46</v>
      </c>
      <c r="E3004">
        <v>91.47</v>
      </c>
      <c r="F3004">
        <v>-0.01</v>
      </c>
    </row>
    <row r="3005" spans="1:6" x14ac:dyDescent="0.3">
      <c r="A3005" t="str">
        <f>HYPERLINK("https://us2.cloudbeds.com/connect/10074733072513#/reservations/30672951890102?display=YQNF0GXQ4&amp;reservation_id=30672951890102", "YQNF0GXQ4")</f>
        <v>YQNF0GXQ4</v>
      </c>
      <c r="B3005" t="s">
        <v>734</v>
      </c>
      <c r="C3005">
        <v>76.16</v>
      </c>
      <c r="D3005">
        <v>82.78</v>
      </c>
      <c r="E3005">
        <v>82.79</v>
      </c>
      <c r="F3005">
        <v>-0.01</v>
      </c>
    </row>
    <row r="3006" spans="1:6" x14ac:dyDescent="0.3">
      <c r="A3006" t="str">
        <f>HYPERLINK("https://us2.cloudbeds.com/connect/10074733072513#/reservations/30672217948364?display=YQMT8KXED&amp;reservation_id=30672217948364", "YQMT8KXED")</f>
        <v>YQMT8KXED</v>
      </c>
      <c r="B3006" t="s">
        <v>747</v>
      </c>
      <c r="C3006">
        <v>268.2</v>
      </c>
      <c r="D3006">
        <v>291.52</v>
      </c>
      <c r="E3006">
        <v>291.52999999999997</v>
      </c>
      <c r="F3006">
        <v>-0.01</v>
      </c>
    </row>
    <row r="3007" spans="1:6" x14ac:dyDescent="0.3">
      <c r="A3007" t="str">
        <f>HYPERLINK("https://us2.cloudbeds.com/connect/10074733072513#/reservations/30674636824790?display=YQZP29BU1&amp;reservation_id=30674636824790", "YQZP29BU1")</f>
        <v>YQZP29BU1</v>
      </c>
      <c r="B3007" t="s">
        <v>748</v>
      </c>
      <c r="C3007">
        <v>268.2</v>
      </c>
      <c r="D3007">
        <v>291.52</v>
      </c>
      <c r="E3007">
        <v>291.52999999999997</v>
      </c>
      <c r="F3007">
        <v>-0.01</v>
      </c>
    </row>
    <row r="3008" spans="1:6" x14ac:dyDescent="0.3">
      <c r="A3008" t="str">
        <f>HYPERLINK("https://us2.cloudbeds.com/connect/10074733072513#/reservations/30677301072083?display=YQQR4RVWG&amp;reservation_id=30677301072083", "YQQR4RVWG")</f>
        <v>YQQR4RVWG</v>
      </c>
      <c r="B3008" t="s">
        <v>740</v>
      </c>
      <c r="C3008">
        <v>270.2</v>
      </c>
      <c r="D3008">
        <v>293.7</v>
      </c>
      <c r="E3008">
        <v>293.70999999999998</v>
      </c>
      <c r="F3008">
        <v>-0.01</v>
      </c>
    </row>
    <row r="3009" spans="1:6" x14ac:dyDescent="0.3">
      <c r="A3009" t="str">
        <f>HYPERLINK("https://us2.cloudbeds.com/connect/10074733072513#/reservations/30681976275138?display=YQUEK3CZB&amp;reservation_id=30681976275138", "YQUEK3CZB")</f>
        <v>YQUEK3CZB</v>
      </c>
      <c r="B3009" t="s">
        <v>749</v>
      </c>
      <c r="C3009">
        <v>196.2</v>
      </c>
      <c r="D3009">
        <v>213.26</v>
      </c>
      <c r="E3009">
        <v>213.27</v>
      </c>
      <c r="F3009">
        <v>-0.01</v>
      </c>
    </row>
    <row r="3010" spans="1:6" x14ac:dyDescent="0.3">
      <c r="A3010" t="str">
        <f>HYPERLINK("https://us2.cloudbeds.com/connect/10074733072513#/reservations/30685473398989?display=YR04VW0DC&amp;reservation_id=30685473398989", "YR04VW0DC")</f>
        <v>YR04VW0DC</v>
      </c>
      <c r="B3010" t="s">
        <v>750</v>
      </c>
      <c r="C3010">
        <v>318</v>
      </c>
      <c r="D3010">
        <v>345.66</v>
      </c>
      <c r="E3010">
        <v>345.67</v>
      </c>
      <c r="F3010">
        <v>-0.01</v>
      </c>
    </row>
    <row r="3011" spans="1:6" x14ac:dyDescent="0.3">
      <c r="A3011" t="str">
        <f>HYPERLINK("https://us2.cloudbeds.com/connect/10074733072513#/reservations/30685984600272?display=YR0X10V2B&amp;reservation_id=30685984600272", "YR0X10V2B")</f>
        <v>YR0X10V2B</v>
      </c>
      <c r="B3011" t="s">
        <v>752</v>
      </c>
      <c r="C3011">
        <v>366.3</v>
      </c>
      <c r="D3011">
        <v>398.16</v>
      </c>
      <c r="E3011">
        <v>398.17</v>
      </c>
      <c r="F3011">
        <v>-0.01</v>
      </c>
    </row>
    <row r="3012" spans="1:6" x14ac:dyDescent="0.3">
      <c r="A3012" t="str">
        <f>HYPERLINK("https://us2.cloudbeds.com/connect/10074733072513#/reservations/30672502980860?display=YQN3HW08P&amp;reservation_id=30672502980860", "YQN3HW08P")</f>
        <v>YQN3HW08P</v>
      </c>
      <c r="B3012" t="s">
        <v>753</v>
      </c>
      <c r="C3012">
        <v>296.69</v>
      </c>
      <c r="D3012">
        <v>322.49</v>
      </c>
      <c r="E3012">
        <v>322.5</v>
      </c>
      <c r="F3012">
        <v>-0.01</v>
      </c>
    </row>
    <row r="3013" spans="1:6" x14ac:dyDescent="0.3">
      <c r="A3013" t="str">
        <f>HYPERLINK("https://us2.cloudbeds.com/connect/10074733072513#/reservations/30668299362503?display=YQJS4C4AA&amp;reservation_id=30668299362503", "YQJS4C4AA")</f>
        <v>YQJS4C4AA</v>
      </c>
      <c r="B3013" t="s">
        <v>745</v>
      </c>
      <c r="C3013">
        <v>93.2</v>
      </c>
      <c r="D3013">
        <v>101.3</v>
      </c>
      <c r="E3013">
        <v>101.31</v>
      </c>
      <c r="F3013">
        <v>-0.01</v>
      </c>
    </row>
    <row r="3014" spans="1:6" x14ac:dyDescent="0.3">
      <c r="A3014" t="str">
        <f>HYPERLINK("https://us2.cloudbeds.com/connect/10074733072513#/reservations/30672686203115?display=YQN87FEEA&amp;reservation_id=30672686203115", "YQN87FEEA")</f>
        <v>YQN87FEEA</v>
      </c>
      <c r="B3014" t="s">
        <v>739</v>
      </c>
      <c r="C3014">
        <v>250.2</v>
      </c>
      <c r="D3014">
        <v>271.95999999999998</v>
      </c>
      <c r="E3014">
        <v>271.97000000000003</v>
      </c>
      <c r="F3014">
        <v>-0.01</v>
      </c>
    </row>
    <row r="3015" spans="1:6" x14ac:dyDescent="0.3">
      <c r="A3015" t="str">
        <f>HYPERLINK("https://us2.cloudbeds.com/connect/10074733072513#/reservations/30673692610809?display=YQZ0V3735&amp;reservation_id=30673692610809", "YQZ0V3735")</f>
        <v>YQZ0V3735</v>
      </c>
      <c r="B3015" t="s">
        <v>754</v>
      </c>
      <c r="C3015">
        <v>84.15</v>
      </c>
      <c r="D3015">
        <v>91.46</v>
      </c>
      <c r="E3015">
        <v>91.47</v>
      </c>
      <c r="F3015">
        <v>-0.01</v>
      </c>
    </row>
    <row r="3016" spans="1:6" x14ac:dyDescent="0.3">
      <c r="A3016" t="str">
        <f>HYPERLINK("https://us2.cloudbeds.com/connect/10074733072513#/reservations/30672057397470?display=YQMP57WPQ&amp;reservation_id=30672057397470", "YQMP57WPQ")</f>
        <v>YQMP57WPQ</v>
      </c>
      <c r="B3016" t="s">
        <v>755</v>
      </c>
      <c r="C3016">
        <v>267.3</v>
      </c>
      <c r="D3016">
        <v>290.55</v>
      </c>
      <c r="E3016">
        <v>290.56</v>
      </c>
      <c r="F3016">
        <v>-0.01</v>
      </c>
    </row>
    <row r="3017" spans="1:6" x14ac:dyDescent="0.3">
      <c r="A3017" t="str">
        <f>HYPERLINK("https://us2.cloudbeds.com/connect/10074733072513#/reservations/30682579587264?display=YQUTQQCEB&amp;reservation_id=30682579587264", "YQUTQQCEB")</f>
        <v>YQUTQQCEB</v>
      </c>
      <c r="B3017" t="s">
        <v>749</v>
      </c>
      <c r="C3017">
        <v>196.2</v>
      </c>
      <c r="D3017">
        <v>213.26</v>
      </c>
      <c r="E3017">
        <v>213.27</v>
      </c>
      <c r="F3017">
        <v>-0.01</v>
      </c>
    </row>
    <row r="3018" spans="1:6" x14ac:dyDescent="0.3">
      <c r="A3018" t="str">
        <f>HYPERLINK("https://us2.cloudbeds.com/connect/10074733072513#/reservations/30672910950554?display=YQNDVWC2P&amp;reservation_id=30672910950554", "YQNDVWC2P")</f>
        <v>YQNDVWC2P</v>
      </c>
      <c r="B3018" t="s">
        <v>756</v>
      </c>
      <c r="C3018">
        <v>118.15</v>
      </c>
      <c r="D3018">
        <v>128.41999999999999</v>
      </c>
      <c r="E3018">
        <v>128.43</v>
      </c>
      <c r="F3018">
        <v>-0.01</v>
      </c>
    </row>
    <row r="3019" spans="1:6" x14ac:dyDescent="0.3">
      <c r="A3019" t="str">
        <f>HYPERLINK("https://us2.cloudbeds.com/connect/10074733072513#/reservations/30672437285088?display=YQN1SXUXQ&amp;reservation_id=30672437285088", "YQN1SXUXQ")</f>
        <v>YQN1SXUXQ</v>
      </c>
      <c r="B3019" t="s">
        <v>745</v>
      </c>
      <c r="C3019">
        <v>112.24</v>
      </c>
      <c r="D3019">
        <v>121.99</v>
      </c>
      <c r="E3019">
        <v>122</v>
      </c>
      <c r="F3019">
        <v>-0.01</v>
      </c>
    </row>
    <row r="3020" spans="1:6" x14ac:dyDescent="0.3">
      <c r="A3020" t="str">
        <f>HYPERLINK("https://us2.cloudbeds.com/connect/10074733072513#/reservations/30676985704606?display=YQQJ2UDB9&amp;reservation_id=30676985704606", "YQQJ2UDB9")</f>
        <v>YQQJ2UDB9</v>
      </c>
      <c r="B3020" t="s">
        <v>759</v>
      </c>
      <c r="C3020">
        <v>149.97999999999999</v>
      </c>
      <c r="D3020">
        <v>163.02000000000001</v>
      </c>
      <c r="E3020">
        <v>163.03</v>
      </c>
      <c r="F3020">
        <v>-0.01</v>
      </c>
    </row>
    <row r="3021" spans="1:6" x14ac:dyDescent="0.3">
      <c r="A3021" t="str">
        <f>HYPERLINK("https://us2.cloudbeds.com/connect/10074733072513#/reservations/30668305453203?display=YQJS9GK7W&amp;reservation_id=30668305453203", "YQJS9GK7W")</f>
        <v>YQJS9GK7W</v>
      </c>
      <c r="B3021" t="s">
        <v>745</v>
      </c>
      <c r="C3021">
        <v>110.3</v>
      </c>
      <c r="D3021">
        <v>119.89</v>
      </c>
      <c r="E3021">
        <v>119.9</v>
      </c>
      <c r="F3021">
        <v>-0.01</v>
      </c>
    </row>
    <row r="3022" spans="1:6" x14ac:dyDescent="0.3">
      <c r="A3022" t="str">
        <f>HYPERLINK("https://us2.cloudbeds.com/connect/10074733072513#/reservations/30682972557471?display=YQV726DX2&amp;reservation_id=30682972557471", "YQV726DX2")</f>
        <v>YQV726DX2</v>
      </c>
      <c r="B3022" t="s">
        <v>760</v>
      </c>
      <c r="C3022">
        <v>196.2</v>
      </c>
      <c r="D3022">
        <v>213.26</v>
      </c>
      <c r="E3022">
        <v>213.27</v>
      </c>
      <c r="F3022">
        <v>-0.01</v>
      </c>
    </row>
    <row r="3023" spans="1:6" x14ac:dyDescent="0.3">
      <c r="A3023" t="str">
        <f>HYPERLINK("https://us2.cloudbeds.com/connect/10074733072513#/reservations/30674383868128?display=YQZXJWFFY&amp;reservation_id=30674383868128", "YQZXJWFFY")</f>
        <v>YQZXJWFFY</v>
      </c>
      <c r="B3023" t="s">
        <v>761</v>
      </c>
      <c r="C3023">
        <v>350.88</v>
      </c>
      <c r="D3023">
        <v>381.4</v>
      </c>
      <c r="E3023">
        <v>381.41</v>
      </c>
      <c r="F3023">
        <v>-0.01</v>
      </c>
    </row>
    <row r="3024" spans="1:6" x14ac:dyDescent="0.3">
      <c r="A3024" t="str">
        <f>HYPERLINK("https://us2.cloudbeds.com/connect/10074733072513#/reservations/30674397884627?display=YQZXVQGF1&amp;reservation_id=30674397884627", "YQZXVQGF1")</f>
        <v>YQZXVQGF1</v>
      </c>
      <c r="B3024" t="s">
        <v>762</v>
      </c>
      <c r="C3024">
        <v>196.2</v>
      </c>
      <c r="D3024">
        <v>213.26</v>
      </c>
      <c r="E3024">
        <v>213.27</v>
      </c>
      <c r="F3024">
        <v>-0.01</v>
      </c>
    </row>
    <row r="3025" spans="1:6" x14ac:dyDescent="0.3">
      <c r="A3025" t="str">
        <f>HYPERLINK("https://us2.cloudbeds.com/connect/10074733072513#/reservations/30674341658819?display=YQZHHCUPM&amp;reservation_id=30674341658819", "YQZHHCUPM")</f>
        <v>YQZHHCUPM</v>
      </c>
      <c r="B3025" t="s">
        <v>763</v>
      </c>
      <c r="C3025">
        <v>75.239999999999995</v>
      </c>
      <c r="D3025">
        <v>81.78</v>
      </c>
      <c r="E3025">
        <v>81.790000000000006</v>
      </c>
      <c r="F3025">
        <v>-0.01</v>
      </c>
    </row>
    <row r="3026" spans="1:6" x14ac:dyDescent="0.3">
      <c r="A3026" t="str">
        <f>HYPERLINK("https://us2.cloudbeds.com/connect/10074733072513#/reservations/30673394352336?display=YQNQAJZ6K&amp;reservation_id=30673394352336", "YQNQAJZ6K")</f>
        <v>YQNQAJZ6K</v>
      </c>
      <c r="B3026" t="s">
        <v>765</v>
      </c>
      <c r="C3026">
        <v>350.88</v>
      </c>
      <c r="D3026">
        <v>381.4</v>
      </c>
      <c r="E3026">
        <v>381.41</v>
      </c>
      <c r="F3026">
        <v>-0.01</v>
      </c>
    </row>
    <row r="3027" spans="1:6" x14ac:dyDescent="0.3">
      <c r="A3027" t="str">
        <f>HYPERLINK("https://us2.cloudbeds.com/connect/10074733072513#/reservations/30672316018834?display=YQMVPAGVR&amp;reservation_id=30672316018834", "YQMVPAGVR")</f>
        <v>YQMVPAGVR</v>
      </c>
      <c r="B3027" t="s">
        <v>734</v>
      </c>
      <c r="C3027">
        <v>196.2</v>
      </c>
      <c r="D3027">
        <v>213.26</v>
      </c>
      <c r="E3027">
        <v>213.27</v>
      </c>
      <c r="F3027">
        <v>-0.01</v>
      </c>
    </row>
    <row r="3028" spans="1:6" x14ac:dyDescent="0.3">
      <c r="A3028" t="str">
        <f>HYPERLINK("https://us2.cloudbeds.com/connect/10074733072513#/reservations/30674675769479?display=YQZQ241Q4&amp;reservation_id=30674675769479", "YQZQ241Q4")</f>
        <v>YQZQ241Q4</v>
      </c>
      <c r="B3028" t="s">
        <v>766</v>
      </c>
      <c r="C3028">
        <v>76.16</v>
      </c>
      <c r="D3028">
        <v>82.78</v>
      </c>
      <c r="E3028">
        <v>82.79</v>
      </c>
      <c r="F3028">
        <v>-0.01</v>
      </c>
    </row>
    <row r="3029" spans="1:6" x14ac:dyDescent="0.3">
      <c r="A3029" t="str">
        <f>HYPERLINK("https://us2.cloudbeds.com/connect/10074733072513#/reservations/30672145064119?display=YQMRD5EZU&amp;reservation_id=30672145064119", "YQMRD5EZU")</f>
        <v>YQMRD5EZU</v>
      </c>
      <c r="B3029" t="s">
        <v>767</v>
      </c>
      <c r="C3029">
        <v>196.2</v>
      </c>
      <c r="D3029">
        <v>213.26</v>
      </c>
      <c r="E3029">
        <v>213.27</v>
      </c>
      <c r="F3029">
        <v>-0.01</v>
      </c>
    </row>
    <row r="3030" spans="1:6" x14ac:dyDescent="0.3">
      <c r="A3030" t="str">
        <f>HYPERLINK("https://us2.cloudbeds.com/connect/10074733072513#/reservations/30673426698482?display=YQNR4SQQS&amp;reservation_id=30673426698482", "YQNR4SQQS")</f>
        <v>YQNR4SQQS</v>
      </c>
      <c r="B3030" t="s">
        <v>765</v>
      </c>
      <c r="C3030">
        <v>75.239999999999995</v>
      </c>
      <c r="D3030">
        <v>81.78</v>
      </c>
      <c r="E3030">
        <v>81.790000000000006</v>
      </c>
      <c r="F3030">
        <v>-0.01</v>
      </c>
    </row>
    <row r="3031" spans="1:6" x14ac:dyDescent="0.3">
      <c r="A3031" t="str">
        <f>HYPERLINK("https://us2.cloudbeds.com/connect/10074733072513#/reservations/30674282160331?display=YQZG079T6&amp;reservation_id=30674282160331", "YQZG079T6")</f>
        <v>YQZG079T6</v>
      </c>
      <c r="B3031" t="s">
        <v>769</v>
      </c>
      <c r="C3031">
        <v>196.2</v>
      </c>
      <c r="D3031">
        <v>213.26</v>
      </c>
      <c r="E3031">
        <v>213.27</v>
      </c>
      <c r="F3031">
        <v>-0.01</v>
      </c>
    </row>
    <row r="3032" spans="1:6" x14ac:dyDescent="0.3">
      <c r="A3032" t="str">
        <f>HYPERLINK("https://us2.cloudbeds.com/connect/10074733072513#/reservations/30672738218128?display=YQN9XARER&amp;reservation_id=30672738218128", "YQN9XARER")</f>
        <v>YQN9XARER</v>
      </c>
      <c r="B3032" t="s">
        <v>739</v>
      </c>
      <c r="C3032">
        <v>112.24</v>
      </c>
      <c r="D3032">
        <v>121.99</v>
      </c>
      <c r="E3032">
        <v>122</v>
      </c>
      <c r="F3032">
        <v>-0.01</v>
      </c>
    </row>
    <row r="3033" spans="1:6" x14ac:dyDescent="0.3">
      <c r="A3033" t="str">
        <f>HYPERLINK("https://us2.cloudbeds.com/connect/10074733072513#/reservations/30674465206427?display=YQZKMXR9X&amp;reservation_id=30674465206427", "YQZKMXR9X")</f>
        <v>YQZKMXR9X</v>
      </c>
      <c r="B3033" t="s">
        <v>757</v>
      </c>
      <c r="C3033">
        <v>74.12</v>
      </c>
      <c r="D3033">
        <v>80.56</v>
      </c>
      <c r="E3033">
        <v>80.569999999999993</v>
      </c>
      <c r="F3033">
        <v>-0.01</v>
      </c>
    </row>
    <row r="3034" spans="1:6" x14ac:dyDescent="0.3">
      <c r="A3034" t="str">
        <f>HYPERLINK("https://us2.cloudbeds.com/connect/10074733072513#/reservations/30671911104764?display=YQMYDT61G&amp;reservation_id=30671911104764", "YQMYDT61G")</f>
        <v>YQMYDT61G</v>
      </c>
      <c r="B3034" t="s">
        <v>772</v>
      </c>
      <c r="C3034">
        <v>350.88</v>
      </c>
      <c r="D3034">
        <v>381.4</v>
      </c>
      <c r="E3034">
        <v>381.41</v>
      </c>
      <c r="F3034">
        <v>-0.01</v>
      </c>
    </row>
    <row r="3035" spans="1:6" x14ac:dyDescent="0.3">
      <c r="A3035" t="str">
        <f>HYPERLINK("https://us2.cloudbeds.com/connect/10074733072513#/reservations/30672943595738?display=YQNEQGP9Z&amp;reservation_id=30672943595738", "YQNEQGP9Z")</f>
        <v>YQNEQGP9Z</v>
      </c>
      <c r="B3035" t="s">
        <v>773</v>
      </c>
      <c r="C3035">
        <v>74.12</v>
      </c>
      <c r="D3035">
        <v>80.56</v>
      </c>
      <c r="E3035">
        <v>80.569999999999993</v>
      </c>
      <c r="F3035">
        <v>-0.01</v>
      </c>
    </row>
    <row r="3036" spans="1:6" x14ac:dyDescent="0.3">
      <c r="A3036" t="str">
        <f>HYPERLINK("https://us2.cloudbeds.com/connect/10074733072513#/reservations/30672910954631?display=YQNDVWFR9&amp;reservation_id=30672910954631", "YQNDVWFR9")</f>
        <v>YQNDVWFR9</v>
      </c>
      <c r="B3036" t="s">
        <v>773</v>
      </c>
      <c r="C3036">
        <v>87.2</v>
      </c>
      <c r="D3036">
        <v>94.78</v>
      </c>
      <c r="E3036">
        <v>94.79</v>
      </c>
      <c r="F3036">
        <v>-0.01</v>
      </c>
    </row>
    <row r="3037" spans="1:6" x14ac:dyDescent="0.3">
      <c r="A3037" t="str">
        <f>HYPERLINK("https://us2.cloudbeds.com/connect/10074733072513#/reservations/30674598658211?display=YQZZ33AX1&amp;reservation_id=30674598658211", "YQZZ33AX1")</f>
        <v>YQZZ33AX1</v>
      </c>
      <c r="B3037" t="s">
        <v>748</v>
      </c>
      <c r="C3037">
        <v>93.19</v>
      </c>
      <c r="D3037">
        <v>101.29</v>
      </c>
      <c r="E3037">
        <v>101.3</v>
      </c>
      <c r="F3037">
        <v>-0.01</v>
      </c>
    </row>
    <row r="3038" spans="1:6" x14ac:dyDescent="0.3">
      <c r="A3038" t="str">
        <f>HYPERLINK("https://us2.cloudbeds.com/connect/10074733072513#/reservations/30673654522009?display=YQNWVWB53&amp;reservation_id=30673654522009", "YQNWVWB53")</f>
        <v>YQNWVWB53</v>
      </c>
      <c r="B3038" t="s">
        <v>775</v>
      </c>
      <c r="C3038">
        <v>74.12</v>
      </c>
      <c r="D3038">
        <v>80.56</v>
      </c>
      <c r="E3038">
        <v>80.569999999999993</v>
      </c>
      <c r="F3038">
        <v>-0.01</v>
      </c>
    </row>
    <row r="3039" spans="1:6" x14ac:dyDescent="0.3">
      <c r="A3039" t="str">
        <f>HYPERLINK("https://us2.cloudbeds.com/connect/10074733072513#/reservations/30673613906066?display=YQNVUZ4JV&amp;reservation_id=30673613906066", "YQNVUZ4JV")</f>
        <v>YQNVUZ4JV</v>
      </c>
      <c r="B3039" t="s">
        <v>775</v>
      </c>
      <c r="C3039">
        <v>196.2</v>
      </c>
      <c r="D3039">
        <v>213.26</v>
      </c>
      <c r="E3039">
        <v>213.27</v>
      </c>
      <c r="F3039">
        <v>-0.01</v>
      </c>
    </row>
    <row r="3040" spans="1:6" x14ac:dyDescent="0.3">
      <c r="A3040" t="str">
        <f>HYPERLINK("https://us2.cloudbeds.com/connect/10074733072513#/reservations/30671965544687?display=YQMMQQ1Q4&amp;reservation_id=30671965544687", "YQMMQQ1Q4")</f>
        <v>YQMMQQ1Q4</v>
      </c>
      <c r="B3040" t="s">
        <v>775</v>
      </c>
      <c r="C3040">
        <v>196.2</v>
      </c>
      <c r="D3040">
        <v>213.26</v>
      </c>
      <c r="E3040">
        <v>213.27</v>
      </c>
      <c r="F3040">
        <v>-0.01</v>
      </c>
    </row>
    <row r="3041" spans="1:6" x14ac:dyDescent="0.3">
      <c r="A3041" t="str">
        <f>HYPERLINK("https://us2.cloudbeds.com/connect/10074733072513#/reservations/30673439809764?display=YQNRFUYXE&amp;reservation_id=30673439809764", "YQNRFUYXE")</f>
        <v>YQNRFUYXE</v>
      </c>
      <c r="B3041" t="s">
        <v>770</v>
      </c>
      <c r="C3041">
        <v>196.2</v>
      </c>
      <c r="D3041">
        <v>213.26</v>
      </c>
      <c r="E3041">
        <v>213.27</v>
      </c>
      <c r="F3041">
        <v>-0.01</v>
      </c>
    </row>
    <row r="3042" spans="1:6" x14ac:dyDescent="0.3">
      <c r="A3042" t="str">
        <f>HYPERLINK("https://us2.cloudbeds.com/connect/10074733072513#/reservations/30673451020484?display=YQNRPCK27&amp;reservation_id=30673451020484", "YQNRPCK27")</f>
        <v>YQNRPCK27</v>
      </c>
      <c r="B3042" t="s">
        <v>770</v>
      </c>
      <c r="C3042">
        <v>74.12</v>
      </c>
      <c r="D3042">
        <v>80.56</v>
      </c>
      <c r="E3042">
        <v>80.569999999999993</v>
      </c>
      <c r="F3042">
        <v>-0.01</v>
      </c>
    </row>
    <row r="3043" spans="1:6" x14ac:dyDescent="0.3">
      <c r="A3043" t="str">
        <f>HYPERLINK("https://us2.cloudbeds.com/connect/10074733072513#/reservations/30673457598620?display=YQNRUUYJM&amp;reservation_id=30673457598620", "YQNRUUYJM")</f>
        <v>YQNRUUYJM</v>
      </c>
      <c r="B3043" t="s">
        <v>770</v>
      </c>
      <c r="C3043">
        <v>74.12</v>
      </c>
      <c r="D3043">
        <v>80.56</v>
      </c>
      <c r="E3043">
        <v>80.569999999999993</v>
      </c>
      <c r="F3043">
        <v>-0.01</v>
      </c>
    </row>
    <row r="3044" spans="1:6" x14ac:dyDescent="0.3">
      <c r="A3044" t="str">
        <f>HYPERLINK("https://us2.cloudbeds.com/connect/10074733072513#/reservations/30673504809125?display=YQNT4ZBP1&amp;reservation_id=30673504809125", "YQNT4ZBP1")</f>
        <v>YQNT4ZBP1</v>
      </c>
      <c r="B3044" t="s">
        <v>770</v>
      </c>
      <c r="C3044">
        <v>74.12</v>
      </c>
      <c r="D3044">
        <v>80.56</v>
      </c>
      <c r="E3044">
        <v>80.569999999999993</v>
      </c>
      <c r="F3044">
        <v>-0.01</v>
      </c>
    </row>
    <row r="3045" spans="1:6" x14ac:dyDescent="0.3">
      <c r="A3045" t="str">
        <f>HYPERLINK("https://us2.cloudbeds.com/connect/10074733072513#/reservations/30674410750166?display=YQZJ9YGHS&amp;reservation_id=30674410750166", "YQZJ9YGHS")</f>
        <v>YQZJ9YGHS</v>
      </c>
      <c r="B3045" t="s">
        <v>777</v>
      </c>
      <c r="C3045">
        <v>174.4</v>
      </c>
      <c r="D3045">
        <v>189.56</v>
      </c>
      <c r="E3045">
        <v>189.57</v>
      </c>
      <c r="F3045">
        <v>-0.01</v>
      </c>
    </row>
    <row r="3046" spans="1:6" x14ac:dyDescent="0.3">
      <c r="A3046" t="str">
        <f>HYPERLINK("https://us2.cloudbeds.com/connect/10074733072513#/reservations/30672756355201?display=YQNA0KH83&amp;reservation_id=30672756355201", "YQNA0KH83")</f>
        <v>YQNA0KH83</v>
      </c>
      <c r="B3046" t="s">
        <v>774</v>
      </c>
      <c r="C3046">
        <v>350.88</v>
      </c>
      <c r="D3046">
        <v>381.4</v>
      </c>
      <c r="E3046">
        <v>381.41</v>
      </c>
      <c r="F3046">
        <v>-0.01</v>
      </c>
    </row>
    <row r="3047" spans="1:6" x14ac:dyDescent="0.3">
      <c r="A3047" t="str">
        <f>HYPERLINK("https://us2.cloudbeds.com/connect/10074733072513#/reservations/30672692392189?display=YQN8CMYN0&amp;reservation_id=30672692392189", "YQN8CMYN0")</f>
        <v>YQN8CMYN0</v>
      </c>
      <c r="B3047" t="s">
        <v>778</v>
      </c>
      <c r="C3047">
        <v>187.2</v>
      </c>
      <c r="D3047">
        <v>203.48</v>
      </c>
      <c r="E3047">
        <v>203.49</v>
      </c>
      <c r="F3047">
        <v>-0.01</v>
      </c>
    </row>
    <row r="3048" spans="1:6" x14ac:dyDescent="0.3">
      <c r="A3048" t="str">
        <f>HYPERLINK("https://us2.cloudbeds.com/connect/10074733072513#/reservations/30674523508905?display=YQZM5Z5UB&amp;reservation_id=30674523508905", "YQZM5Z5UB")</f>
        <v>YQZM5Z5UB</v>
      </c>
      <c r="B3048" t="s">
        <v>768</v>
      </c>
      <c r="C3048">
        <v>299.55</v>
      </c>
      <c r="D3048">
        <v>325.60000000000002</v>
      </c>
      <c r="E3048">
        <v>325.61</v>
      </c>
      <c r="F3048">
        <v>-0.01</v>
      </c>
    </row>
    <row r="3049" spans="1:6" x14ac:dyDescent="0.3">
      <c r="A3049" t="str">
        <f>HYPERLINK("https://us2.cloudbeds.com/connect/10074733072513#/reservations/30679185461385?display=YQS99QT0K&amp;reservation_id=30679185461385", "YQS99QT0K")</f>
        <v>YQS99QT0K</v>
      </c>
      <c r="B3049" t="s">
        <v>707</v>
      </c>
      <c r="C3049">
        <v>196.2</v>
      </c>
      <c r="D3049">
        <v>213.26</v>
      </c>
      <c r="E3049">
        <v>213.27</v>
      </c>
      <c r="F3049">
        <v>-0.01</v>
      </c>
    </row>
    <row r="3050" spans="1:6" x14ac:dyDescent="0.3">
      <c r="A3050" t="str">
        <f>HYPERLINK("https://us2.cloudbeds.com/connect/10074733072513#/reservations/30674087346342?display=YQZB0VAAV&amp;reservation_id=30674087346342", "YQZB0VAAV")</f>
        <v>YQZB0VAAV</v>
      </c>
      <c r="B3050" t="s">
        <v>768</v>
      </c>
      <c r="C3050">
        <v>370.5</v>
      </c>
      <c r="D3050">
        <v>402.72</v>
      </c>
      <c r="E3050">
        <v>402.73</v>
      </c>
      <c r="F3050">
        <v>-0.01</v>
      </c>
    </row>
    <row r="3051" spans="1:6" x14ac:dyDescent="0.3">
      <c r="A3051" t="str">
        <f>HYPERLINK("https://us2.cloudbeds.com/connect/10074733072513#/reservations/30674478522605?display=YQZY0QC64&amp;reservation_id=30674478522605", "YQZY0QC64")</f>
        <v>YQZY0QC64</v>
      </c>
      <c r="B3051" t="s">
        <v>780</v>
      </c>
      <c r="C3051">
        <v>74.12</v>
      </c>
      <c r="D3051">
        <v>80.56</v>
      </c>
      <c r="E3051">
        <v>80.569999999999993</v>
      </c>
      <c r="F3051">
        <v>-0.01</v>
      </c>
    </row>
    <row r="3052" spans="1:6" x14ac:dyDescent="0.3">
      <c r="A3052" t="str">
        <f>HYPERLINK("https://us2.cloudbeds.com/connect/10074733072513#/reservations/30674560458952?display=YQZN3TC5Z&amp;reservation_id=30674560458952", "YQZN3TC5Z")</f>
        <v>YQZN3TC5Z</v>
      </c>
      <c r="B3052" t="s">
        <v>781</v>
      </c>
      <c r="C3052">
        <v>208.34</v>
      </c>
      <c r="D3052">
        <v>226.46</v>
      </c>
      <c r="E3052">
        <v>226.47</v>
      </c>
      <c r="F3052">
        <v>-0.01</v>
      </c>
    </row>
    <row r="3053" spans="1:6" x14ac:dyDescent="0.3">
      <c r="A3053" t="str">
        <f>HYPERLINK("https://us2.cloudbeds.com/connect/10074733072513#/reservations/30672679297156?display=YQN81Y8SR&amp;reservation_id=30672679297156", "YQN81Y8SR")</f>
        <v>YQN81Y8SR</v>
      </c>
      <c r="B3053" t="s">
        <v>778</v>
      </c>
      <c r="C3053">
        <v>108.12</v>
      </c>
      <c r="D3053">
        <v>117.52</v>
      </c>
      <c r="E3053">
        <v>117.53</v>
      </c>
      <c r="F3053">
        <v>-0.01</v>
      </c>
    </row>
    <row r="3054" spans="1:6" x14ac:dyDescent="0.3">
      <c r="A3054" t="str">
        <f>HYPERLINK("https://us2.cloudbeds.com/connect/10074733072513#/reservations/30676872155296?display=YQQG65Z03&amp;reservation_id=30676872155296", "YQQG65Z03")</f>
        <v>YQQG65Z03</v>
      </c>
      <c r="B3054" t="s">
        <v>783</v>
      </c>
      <c r="C3054">
        <v>134.1</v>
      </c>
      <c r="D3054">
        <v>145.76</v>
      </c>
      <c r="E3054">
        <v>145.77000000000001</v>
      </c>
      <c r="F3054">
        <v>-0.01</v>
      </c>
    </row>
    <row r="3055" spans="1:6" x14ac:dyDescent="0.3">
      <c r="A3055" t="str">
        <f>HYPERLINK("https://us2.cloudbeds.com/connect/10074733072513#/reservations/30674033168564?display=YQZ9Y8ZA4&amp;reservation_id=30674033168564", "YQZ9Y8ZA4")</f>
        <v>YQZ9Y8ZA4</v>
      </c>
      <c r="B3055" t="s">
        <v>768</v>
      </c>
      <c r="C3055">
        <v>118.15</v>
      </c>
      <c r="D3055">
        <v>128.41999999999999</v>
      </c>
      <c r="E3055">
        <v>128.43</v>
      </c>
      <c r="F3055">
        <v>-0.01</v>
      </c>
    </row>
    <row r="3056" spans="1:6" x14ac:dyDescent="0.3">
      <c r="A3056" t="str">
        <f>HYPERLINK("https://us2.cloudbeds.com/connect/10074733072513#/reservations/30674552135870?display=YQZMTSPA4&amp;reservation_id=30674552135870", "YQZMTSPA4")</f>
        <v>YQZMTSPA4</v>
      </c>
      <c r="B3056" t="s">
        <v>785</v>
      </c>
      <c r="C3056">
        <v>268.2</v>
      </c>
      <c r="D3056">
        <v>291.52</v>
      </c>
      <c r="E3056">
        <v>291.52999999999997</v>
      </c>
      <c r="F3056">
        <v>-0.01</v>
      </c>
    </row>
    <row r="3057" spans="1:6" x14ac:dyDescent="0.3">
      <c r="A3057" t="str">
        <f>HYPERLINK("https://us2.cloudbeds.com/connect/10074733072513#/reservations/30673325023450?display=YQNZX4XA9&amp;reservation_id=30673325023450", "YQNZX4XA9")</f>
        <v>YQNZX4XA9</v>
      </c>
      <c r="B3057" t="s">
        <v>787</v>
      </c>
      <c r="C3057">
        <v>438.6</v>
      </c>
      <c r="D3057">
        <v>476.75</v>
      </c>
      <c r="E3057">
        <v>476.76</v>
      </c>
      <c r="F3057">
        <v>-0.01</v>
      </c>
    </row>
    <row r="3058" spans="1:6" x14ac:dyDescent="0.3">
      <c r="A3058" t="str">
        <f>HYPERLINK("https://us2.cloudbeds.com/connect/10074733072513#/reservations/30673346805901?display=YQNP3GMXX&amp;reservation_id=30673346805901", "YQNP3GMXX")</f>
        <v>YQNP3GMXX</v>
      </c>
      <c r="B3058" t="s">
        <v>787</v>
      </c>
      <c r="C3058">
        <v>282.88</v>
      </c>
      <c r="D3058">
        <v>307.48</v>
      </c>
      <c r="E3058">
        <v>307.49</v>
      </c>
      <c r="F3058">
        <v>-0.01</v>
      </c>
    </row>
    <row r="3059" spans="1:6" x14ac:dyDescent="0.3">
      <c r="A3059" t="str">
        <f>HYPERLINK("https://us2.cloudbeds.com/connect/10074733072513#/reservations/30674398138543?display=YQZXW0XKF&amp;reservation_id=30674398138543", "YQZXW0XKF")</f>
        <v>YQZXW0XKF</v>
      </c>
      <c r="B3059" t="s">
        <v>787</v>
      </c>
      <c r="C3059">
        <v>350.88</v>
      </c>
      <c r="D3059">
        <v>381.4</v>
      </c>
      <c r="E3059">
        <v>381.41</v>
      </c>
      <c r="F3059">
        <v>-0.01</v>
      </c>
    </row>
    <row r="3060" spans="1:6" x14ac:dyDescent="0.3">
      <c r="A3060" t="str">
        <f>HYPERLINK("https://us2.cloudbeds.com/connect/10074733072513#/reservations/30673313308818?display=YQNZ88J2E&amp;reservation_id=30673313308818", "YQNZ88J2E")</f>
        <v>YQNZ88J2E</v>
      </c>
      <c r="B3060" t="s">
        <v>787</v>
      </c>
      <c r="C3060">
        <v>282.88</v>
      </c>
      <c r="D3060">
        <v>307.48</v>
      </c>
      <c r="E3060">
        <v>307.49</v>
      </c>
      <c r="F3060">
        <v>-0.01</v>
      </c>
    </row>
    <row r="3061" spans="1:6" x14ac:dyDescent="0.3">
      <c r="A3061" t="str">
        <f>HYPERLINK("https://us2.cloudbeds.com/connect/10074733072513#/reservations/30673342722274?display=YQNP021M9&amp;reservation_id=30673342722274", "YQNP021M9")</f>
        <v>YQNP021M9</v>
      </c>
      <c r="B3061" t="s">
        <v>787</v>
      </c>
      <c r="C3061">
        <v>282.88</v>
      </c>
      <c r="D3061">
        <v>307.48</v>
      </c>
      <c r="E3061">
        <v>307.49</v>
      </c>
      <c r="F3061">
        <v>-0.01</v>
      </c>
    </row>
    <row r="3062" spans="1:6" x14ac:dyDescent="0.3">
      <c r="A3062" t="str">
        <f>HYPERLINK("https://us2.cloudbeds.com/connect/10074733072513#/reservations/30673291100342?display=YQNNMHJKA&amp;reservation_id=30673291100342", "YQNNMHJKA")</f>
        <v>YQNNMHJKA</v>
      </c>
      <c r="B3062" t="s">
        <v>788</v>
      </c>
      <c r="C3062">
        <v>74.12</v>
      </c>
      <c r="D3062">
        <v>80.56</v>
      </c>
      <c r="E3062">
        <v>80.569999999999993</v>
      </c>
      <c r="F3062">
        <v>-0.01</v>
      </c>
    </row>
    <row r="3063" spans="1:6" x14ac:dyDescent="0.3">
      <c r="A3063" t="str">
        <f>HYPERLINK("https://us2.cloudbeds.com/connect/10074733072513#/reservations/30674416435340?display=YQZJEEN2S&amp;reservation_id=30674416435340", "YQZJEEN2S")</f>
        <v>YQZJEEN2S</v>
      </c>
      <c r="B3063" t="s">
        <v>787</v>
      </c>
      <c r="C3063">
        <v>74.12</v>
      </c>
      <c r="D3063">
        <v>80.56</v>
      </c>
      <c r="E3063">
        <v>80.569999999999993</v>
      </c>
      <c r="F3063">
        <v>-0.01</v>
      </c>
    </row>
    <row r="3064" spans="1:6" x14ac:dyDescent="0.3">
      <c r="A3064" t="str">
        <f>HYPERLINK("https://us2.cloudbeds.com/connect/10074733072513#/reservations/30674429317355?display=YQZJPA59V&amp;reservation_id=30674429317355", "YQZJPA59V")</f>
        <v>YQZJPA59V</v>
      </c>
      <c r="B3064" t="s">
        <v>787</v>
      </c>
      <c r="C3064">
        <v>74.12</v>
      </c>
      <c r="D3064">
        <v>80.56</v>
      </c>
      <c r="E3064">
        <v>80.569999999999993</v>
      </c>
      <c r="F3064">
        <v>-0.01</v>
      </c>
    </row>
    <row r="3065" spans="1:6" x14ac:dyDescent="0.3">
      <c r="A3065" t="str">
        <f>HYPERLINK("https://us2.cloudbeds.com/connect/10074733072513#/reservations/30672353980662?display=YQMWZASA8&amp;reservation_id=30672353980662", "YQMWZASA8")</f>
        <v>YQMWZASA8</v>
      </c>
      <c r="B3065" t="s">
        <v>781</v>
      </c>
      <c r="C3065">
        <v>220.6</v>
      </c>
      <c r="D3065">
        <v>239.78</v>
      </c>
      <c r="E3065">
        <v>239.79</v>
      </c>
      <c r="F3065">
        <v>-0.01</v>
      </c>
    </row>
    <row r="3066" spans="1:6" x14ac:dyDescent="0.3">
      <c r="A3066" t="str">
        <f>HYPERLINK("https://us2.cloudbeds.com/connect/10074733072513#/reservations/30678306771171?display=YQRJRT0VD&amp;reservation_id=30678306771171", "YQRJRT0VD")</f>
        <v>YQRJRT0VD</v>
      </c>
      <c r="B3066" t="s">
        <v>790</v>
      </c>
      <c r="C3066">
        <v>256.36</v>
      </c>
      <c r="D3066">
        <v>278.64999999999998</v>
      </c>
      <c r="E3066">
        <v>278.66000000000003</v>
      </c>
      <c r="F3066">
        <v>-0.01</v>
      </c>
    </row>
    <row r="3067" spans="1:6" x14ac:dyDescent="0.3">
      <c r="A3067" t="str">
        <f>HYPERLINK("https://us2.cloudbeds.com/connect/10074733072513#/reservations/30674487165174?display=YQZY82SE5&amp;reservation_id=30674487165174", "YQZY82SE5")</f>
        <v>YQZY82SE5</v>
      </c>
      <c r="B3067" t="s">
        <v>791</v>
      </c>
      <c r="C3067">
        <v>118.15</v>
      </c>
      <c r="D3067">
        <v>128.41999999999999</v>
      </c>
      <c r="E3067">
        <v>128.43</v>
      </c>
      <c r="F3067">
        <v>-0.01</v>
      </c>
    </row>
    <row r="3068" spans="1:6" x14ac:dyDescent="0.3">
      <c r="A3068" t="str">
        <f>HYPERLINK("https://us2.cloudbeds.com/connect/10074733072513#/reservations/30688457425111?display=YR2F75UVC&amp;reservation_id=30688457425111", "YR2F75UVC")</f>
        <v>YR2F75UVC</v>
      </c>
      <c r="B3068" t="s">
        <v>792</v>
      </c>
      <c r="C3068">
        <v>103.2</v>
      </c>
      <c r="D3068">
        <v>112.17</v>
      </c>
      <c r="E3068">
        <v>112.18</v>
      </c>
      <c r="F3068">
        <v>-0.01</v>
      </c>
    </row>
    <row r="3069" spans="1:6" x14ac:dyDescent="0.3">
      <c r="A3069" t="str">
        <f>HYPERLINK("https://us2.cloudbeds.com/connect/10074733072513#/reservations/30677964230818?display=YQRB31B5Z&amp;reservation_id=30677964230818", "YQRB31B5Z")</f>
        <v>YQRB31B5Z</v>
      </c>
      <c r="B3069" t="s">
        <v>793</v>
      </c>
      <c r="C3069">
        <v>168.64</v>
      </c>
      <c r="D3069">
        <v>183.3</v>
      </c>
      <c r="E3069">
        <v>183.31</v>
      </c>
      <c r="F3069">
        <v>-0.01</v>
      </c>
    </row>
    <row r="3070" spans="1:6" x14ac:dyDescent="0.3">
      <c r="A3070" t="str">
        <f>HYPERLINK("https://us2.cloudbeds.com/connect/10074733072513#/reservations/30672966983899?display=YQNFD7J0T&amp;reservation_id=30672966983899", "YQNFD7J0T")</f>
        <v>YQNFD7J0T</v>
      </c>
      <c r="B3070" t="s">
        <v>734</v>
      </c>
      <c r="C3070">
        <v>112.24</v>
      </c>
      <c r="D3070">
        <v>121.99</v>
      </c>
      <c r="E3070">
        <v>122</v>
      </c>
      <c r="F3070">
        <v>-0.01</v>
      </c>
    </row>
    <row r="3071" spans="1:6" x14ac:dyDescent="0.3">
      <c r="A3071" t="str">
        <f>HYPERLINK("https://us2.cloudbeds.com/connect/10074733072513#/reservations/30672990654611?display=YQNG06877&amp;reservation_id=30672990654611", "YQNG06877")</f>
        <v>YQNG06877</v>
      </c>
      <c r="B3071" t="s">
        <v>794</v>
      </c>
      <c r="C3071">
        <v>350.88</v>
      </c>
      <c r="D3071">
        <v>381.4</v>
      </c>
      <c r="E3071">
        <v>381.41</v>
      </c>
      <c r="F3071">
        <v>-0.01</v>
      </c>
    </row>
    <row r="3072" spans="1:6" x14ac:dyDescent="0.3">
      <c r="A3072" t="str">
        <f>HYPERLINK("https://us2.cloudbeds.com/connect/10074733072513#/reservations/30677310824635?display=YQQRD2BGC&amp;reservation_id=30677310824635", "YQQRD2BGC")</f>
        <v>YQQRD2BGC</v>
      </c>
      <c r="B3072" t="s">
        <v>740</v>
      </c>
      <c r="C3072">
        <v>270.2</v>
      </c>
      <c r="D3072">
        <v>293.7</v>
      </c>
      <c r="E3072">
        <v>293.70999999999998</v>
      </c>
      <c r="F3072">
        <v>-0.01</v>
      </c>
    </row>
    <row r="3073" spans="1:6" x14ac:dyDescent="0.3">
      <c r="A3073" t="str">
        <f>HYPERLINK("https://us2.cloudbeds.com/connect/10074733072513#/reservations/30678066966733?display=YQRDNM3S9&amp;reservation_id=30678066966733", "YQRDNM3S9")</f>
        <v>YQRDNM3S9</v>
      </c>
      <c r="B3073" t="s">
        <v>797</v>
      </c>
      <c r="C3073">
        <v>216.24</v>
      </c>
      <c r="D3073">
        <v>235.04</v>
      </c>
      <c r="E3073">
        <v>235.05</v>
      </c>
      <c r="F3073">
        <v>-0.01</v>
      </c>
    </row>
    <row r="3074" spans="1:6" x14ac:dyDescent="0.3">
      <c r="A3074" t="str">
        <f>HYPERLINK("https://us2.cloudbeds.com/connect/10074733072513#/reservations/30672961749192?display=YQNF8QU4E&amp;reservation_id=30672961749192", "YQNF8QU4E")</f>
        <v>YQNF8QU4E</v>
      </c>
      <c r="B3074" t="s">
        <v>794</v>
      </c>
      <c r="C3074">
        <v>196.2</v>
      </c>
      <c r="D3074">
        <v>213.26</v>
      </c>
      <c r="E3074">
        <v>213.27</v>
      </c>
      <c r="F3074">
        <v>-0.01</v>
      </c>
    </row>
    <row r="3075" spans="1:6" x14ac:dyDescent="0.3">
      <c r="A3075" t="str">
        <f>HYPERLINK("https://us2.cloudbeds.com/connect/10074733072513#/reservations/30673123438741?display=YQNJD55CZ&amp;reservation_id=30673123438741", "YQNJD55CZ")</f>
        <v>YQNJD55CZ</v>
      </c>
      <c r="B3075" t="s">
        <v>798</v>
      </c>
      <c r="C3075">
        <v>87.2</v>
      </c>
      <c r="D3075">
        <v>94.78</v>
      </c>
      <c r="E3075">
        <v>94.79</v>
      </c>
      <c r="F3075">
        <v>-0.01</v>
      </c>
    </row>
    <row r="3076" spans="1:6" x14ac:dyDescent="0.3">
      <c r="A3076" t="str">
        <f>HYPERLINK("https://us2.cloudbeds.com/connect/10074733072513#/reservations/30673141977298?display=YQNJSQ0S6&amp;reservation_id=30673141977298", "YQNJSQ0S6")</f>
        <v>YQNJSQ0S6</v>
      </c>
      <c r="B3076" t="s">
        <v>798</v>
      </c>
      <c r="C3076">
        <v>250.2</v>
      </c>
      <c r="D3076">
        <v>271.95999999999998</v>
      </c>
      <c r="E3076">
        <v>271.97000000000003</v>
      </c>
      <c r="F3076">
        <v>-0.01</v>
      </c>
    </row>
    <row r="3077" spans="1:6" x14ac:dyDescent="0.3">
      <c r="A3077" t="str">
        <f>HYPERLINK("https://us2.cloudbeds.com/connect/10074733072513#/reservations/30679991636215?display=YQSTTJT3U&amp;reservation_id=30679991636215", "YQSTTJT3U")</f>
        <v>YQSTTJT3U</v>
      </c>
      <c r="B3077" t="s">
        <v>758</v>
      </c>
      <c r="C3077">
        <v>134.1</v>
      </c>
      <c r="D3077">
        <v>145.76</v>
      </c>
      <c r="E3077">
        <v>145.77000000000001</v>
      </c>
      <c r="F3077">
        <v>-0.01</v>
      </c>
    </row>
    <row r="3078" spans="1:6" x14ac:dyDescent="0.3">
      <c r="A3078" t="str">
        <f>HYPERLINK("https://us2.cloudbeds.com/connect/10074733072513#/reservations/30688187928718?display=YR28AUQH0&amp;reservation_id=30688187928718", "YR28AUQH0")</f>
        <v>YR28AUQH0</v>
      </c>
      <c r="B3078" t="s">
        <v>799</v>
      </c>
      <c r="C3078">
        <v>250.2</v>
      </c>
      <c r="D3078">
        <v>271.95999999999998</v>
      </c>
      <c r="E3078">
        <v>271.97000000000003</v>
      </c>
      <c r="F3078">
        <v>-0.01</v>
      </c>
    </row>
    <row r="3079" spans="1:6" x14ac:dyDescent="0.3">
      <c r="A3079" t="str">
        <f>HYPERLINK("https://us2.cloudbeds.com/connect/10074733072513#/reservations/30673557967054?display=YQNUGXX9C&amp;reservation_id=30673557967054", "YQNUGXX9C")</f>
        <v>YQNUGXX9C</v>
      </c>
      <c r="B3079" t="s">
        <v>800</v>
      </c>
      <c r="C3079">
        <v>169.28</v>
      </c>
      <c r="D3079">
        <v>184</v>
      </c>
      <c r="E3079">
        <v>184.01</v>
      </c>
      <c r="F3079">
        <v>-0.01</v>
      </c>
    </row>
    <row r="3080" spans="1:6" x14ac:dyDescent="0.3">
      <c r="A3080" t="str">
        <f>HYPERLINK("https://us2.cloudbeds.com/connect/10074733072513#/reservations/30674109849808?display=YQZBJUGM6&amp;reservation_id=30674109849808", "YQZBJUGM6")</f>
        <v>YQZBJUGM6</v>
      </c>
      <c r="B3080" t="s">
        <v>785</v>
      </c>
      <c r="C3080">
        <v>267.3</v>
      </c>
      <c r="D3080">
        <v>290.55</v>
      </c>
      <c r="E3080">
        <v>290.56</v>
      </c>
      <c r="F3080">
        <v>-0.01</v>
      </c>
    </row>
    <row r="3081" spans="1:6" x14ac:dyDescent="0.3">
      <c r="A3081" t="str">
        <f>HYPERLINK("https://us2.cloudbeds.com/connect/10074733072513#/reservations/30673557971152?display=YQNUGXM1X&amp;reservation_id=30673557971152", "YQNUGXM1X")</f>
        <v>YQNUGXM1X</v>
      </c>
      <c r="B3081" t="s">
        <v>800</v>
      </c>
      <c r="C3081">
        <v>169.28</v>
      </c>
      <c r="D3081">
        <v>184</v>
      </c>
      <c r="E3081">
        <v>184.01</v>
      </c>
      <c r="F3081">
        <v>-0.01</v>
      </c>
    </row>
    <row r="3082" spans="1:6" x14ac:dyDescent="0.3">
      <c r="A3082" t="str">
        <f>HYPERLINK("https://us2.cloudbeds.com/connect/10074733072513#/reservations/30674107789440?display=YQZBC84EB&amp;reservation_id=30674107789440", "YQZBC84EB")</f>
        <v>YQZBC84EB</v>
      </c>
      <c r="B3082" t="s">
        <v>785</v>
      </c>
      <c r="C3082">
        <v>267.3</v>
      </c>
      <c r="D3082">
        <v>290.55</v>
      </c>
      <c r="E3082">
        <v>290.56</v>
      </c>
      <c r="F3082">
        <v>-0.01</v>
      </c>
    </row>
    <row r="3083" spans="1:6" x14ac:dyDescent="0.3">
      <c r="A3083" t="str">
        <f>HYPERLINK("https://us2.cloudbeds.com/connect/10074733072513#/reservations/30688509636817?display=YR2GX6QJ9&amp;reservation_id=30688509636817", "YR2GX6QJ9")</f>
        <v>YR2GX6QJ9</v>
      </c>
      <c r="B3083" t="s">
        <v>801</v>
      </c>
      <c r="C3083">
        <v>250.2</v>
      </c>
      <c r="D3083">
        <v>271.95999999999998</v>
      </c>
      <c r="E3083">
        <v>271.97000000000003</v>
      </c>
      <c r="F3083">
        <v>-0.01</v>
      </c>
    </row>
    <row r="3084" spans="1:6" x14ac:dyDescent="0.3">
      <c r="A3084" t="str">
        <f>HYPERLINK("https://us2.cloudbeds.com/connect/10074733072513#/reservations/30673581203650?display=YQNV354RY&amp;reservation_id=30673581203650", "YQNV354RY")</f>
        <v>YQNV354RY</v>
      </c>
      <c r="B3084" t="s">
        <v>800</v>
      </c>
      <c r="C3084">
        <v>74.12</v>
      </c>
      <c r="D3084">
        <v>80.56</v>
      </c>
      <c r="E3084">
        <v>80.569999999999993</v>
      </c>
      <c r="F3084">
        <v>-0.01</v>
      </c>
    </row>
    <row r="3085" spans="1:6" x14ac:dyDescent="0.3">
      <c r="A3085" t="str">
        <f>HYPERLINK("https://us2.cloudbeds.com/connect/10074733072513#/reservations/30672995655842?display=YQNG4DDNM&amp;reservation_id=30672995655842", "YQNG4DDNM")</f>
        <v>YQNG4DDNM</v>
      </c>
      <c r="B3085" t="s">
        <v>734</v>
      </c>
      <c r="C3085">
        <v>218</v>
      </c>
      <c r="D3085">
        <v>236.96</v>
      </c>
      <c r="E3085">
        <v>236.97</v>
      </c>
      <c r="F3085">
        <v>-0.01</v>
      </c>
    </row>
    <row r="3086" spans="1:6" x14ac:dyDescent="0.3">
      <c r="A3086" t="str">
        <f>HYPERLINK("https://us2.cloudbeds.com/connect/10074733072513#/reservations/30678811619488?display=YQRWZJ5S9&amp;reservation_id=30678811619488", "YQRWZJ5S9")</f>
        <v>YQRWZJ5S9</v>
      </c>
      <c r="B3086" t="s">
        <v>803</v>
      </c>
      <c r="C3086">
        <v>134.1</v>
      </c>
      <c r="D3086">
        <v>145.76</v>
      </c>
      <c r="E3086">
        <v>145.77000000000001</v>
      </c>
      <c r="F3086">
        <v>-0.01</v>
      </c>
    </row>
    <row r="3087" spans="1:6" x14ac:dyDescent="0.3">
      <c r="A3087" t="str">
        <f>HYPERLINK("https://us2.cloudbeds.com/connect/10074733072513#/reservations/30679643259041?display=YQSKWRPHS&amp;reservation_id=30679643259041", "YQSKWRPHS")</f>
        <v>YQSKWRPHS</v>
      </c>
      <c r="B3087" t="s">
        <v>804</v>
      </c>
      <c r="C3087">
        <v>267.3</v>
      </c>
      <c r="D3087">
        <v>290.55</v>
      </c>
      <c r="E3087">
        <v>290.56</v>
      </c>
      <c r="F3087">
        <v>-0.01</v>
      </c>
    </row>
    <row r="3088" spans="1:6" x14ac:dyDescent="0.3">
      <c r="A3088" t="str">
        <f>HYPERLINK("https://us2.cloudbeds.com/connect/10074733072513#/reservations/30674293067981?display=YQZG9DR31&amp;reservation_id=30674293067981", "YQZG9DR31")</f>
        <v>YQZG9DR31</v>
      </c>
      <c r="B3088" t="s">
        <v>805</v>
      </c>
      <c r="C3088">
        <v>74.12</v>
      </c>
      <c r="D3088">
        <v>80.56</v>
      </c>
      <c r="E3088">
        <v>80.569999999999993</v>
      </c>
      <c r="F3088">
        <v>-0.01</v>
      </c>
    </row>
    <row r="3089" spans="1:6" x14ac:dyDescent="0.3">
      <c r="A3089" t="str">
        <f>HYPERLINK("https://us2.cloudbeds.com/connect/10074733072513#/reservations/30680150196389?display=YQT0VA1ZM&amp;reservation_id=30680150196389", "YQT0VA1ZM")</f>
        <v>YQT0VA1ZM</v>
      </c>
      <c r="B3089" t="s">
        <v>803</v>
      </c>
      <c r="C3089">
        <v>208.34</v>
      </c>
      <c r="D3089">
        <v>226.46</v>
      </c>
      <c r="E3089">
        <v>226.47</v>
      </c>
      <c r="F3089">
        <v>-0.01</v>
      </c>
    </row>
    <row r="3090" spans="1:6" x14ac:dyDescent="0.3">
      <c r="A3090" t="str">
        <f>HYPERLINK("https://us2.cloudbeds.com/connect/10074733072513#/reservations/30679891677410?display=YQSRBACJ7&amp;reservation_id=30679891677410", "YQSRBACJ7")</f>
        <v>YQSRBACJ7</v>
      </c>
      <c r="B3090" t="s">
        <v>806</v>
      </c>
      <c r="C3090">
        <v>103.2</v>
      </c>
      <c r="D3090">
        <v>112.17</v>
      </c>
      <c r="E3090">
        <v>112.18</v>
      </c>
      <c r="F3090">
        <v>-0.01</v>
      </c>
    </row>
    <row r="3091" spans="1:6" x14ac:dyDescent="0.3">
      <c r="A3091" t="str">
        <f>HYPERLINK("https://us2.cloudbeds.com/connect/10074733072513#/reservations/30679959363769?display=YQST2CS60&amp;reservation_id=30679959363769", "YQST2CS60")</f>
        <v>YQST2CS60</v>
      </c>
      <c r="B3091" t="s">
        <v>807</v>
      </c>
      <c r="C3091">
        <v>134.1</v>
      </c>
      <c r="D3091">
        <v>145.76</v>
      </c>
      <c r="E3091">
        <v>145.77000000000001</v>
      </c>
      <c r="F3091">
        <v>-0.01</v>
      </c>
    </row>
    <row r="3092" spans="1:6" x14ac:dyDescent="0.3">
      <c r="A3092" t="str">
        <f>HYPERLINK("https://us2.cloudbeds.com/connect/10074733072513#/reservations/30686538088640?display=YR0W5ZF4V&amp;reservation_id=30686538088640", "YR0W5ZF4V")</f>
        <v>YR0W5ZF4V</v>
      </c>
      <c r="B3092" t="s">
        <v>808</v>
      </c>
      <c r="C3092">
        <v>304.2</v>
      </c>
      <c r="D3092">
        <v>330.66</v>
      </c>
      <c r="E3092">
        <v>330.67</v>
      </c>
      <c r="F3092">
        <v>-0.01</v>
      </c>
    </row>
    <row r="3093" spans="1:6" x14ac:dyDescent="0.3">
      <c r="A3093" t="str">
        <f>HYPERLINK("https://us2.cloudbeds.com/connect/10074733072513#/reservations/30683276579066?display=YQVERX8XM&amp;reservation_id=30683276579066", "YQVERX8XM")</f>
        <v>YQVERX8XM</v>
      </c>
      <c r="B3093" t="s">
        <v>809</v>
      </c>
      <c r="C3093">
        <v>222.4</v>
      </c>
      <c r="D3093">
        <v>241.74</v>
      </c>
      <c r="E3093">
        <v>241.75</v>
      </c>
      <c r="F3093">
        <v>-0.01</v>
      </c>
    </row>
    <row r="3094" spans="1:6" x14ac:dyDescent="0.3">
      <c r="A3094" t="str">
        <f>HYPERLINK("https://us2.cloudbeds.com/connect/10074733072513#/reservations/30687132238015?display=YR1EBZYXY&amp;reservation_id=30687132238015", "YR1EBZYXY")</f>
        <v>YR1EBZYXY</v>
      </c>
      <c r="B3094" t="s">
        <v>786</v>
      </c>
      <c r="C3094">
        <v>270.2</v>
      </c>
      <c r="D3094">
        <v>293.7</v>
      </c>
      <c r="E3094">
        <v>293.70999999999998</v>
      </c>
      <c r="F3094">
        <v>-0.01</v>
      </c>
    </row>
    <row r="3095" spans="1:6" x14ac:dyDescent="0.3">
      <c r="A3095" t="str">
        <f>HYPERLINK("https://us2.cloudbeds.com/connect/10074733072513#/reservations/30678242209959?display=YQRX6EH32&amp;reservation_id=30678242209959", "YQRX6EH32")</f>
        <v>YQRX6EH32</v>
      </c>
      <c r="B3095" t="s">
        <v>811</v>
      </c>
      <c r="C3095">
        <v>250.2</v>
      </c>
      <c r="D3095">
        <v>271.95999999999998</v>
      </c>
      <c r="E3095">
        <v>271.97000000000003</v>
      </c>
      <c r="F3095">
        <v>-0.01</v>
      </c>
    </row>
    <row r="3096" spans="1:6" x14ac:dyDescent="0.3">
      <c r="A3096" t="str">
        <f>HYPERLINK("https://us2.cloudbeds.com/connect/10074733072513#/reservations/30687164494023?display=YR1F5V7DE&amp;reservation_id=30687164494023", "YR1F5V7DE")</f>
        <v>YR1F5V7DE</v>
      </c>
      <c r="B3096" t="s">
        <v>786</v>
      </c>
      <c r="C3096">
        <v>270.2</v>
      </c>
      <c r="D3096">
        <v>293.7</v>
      </c>
      <c r="E3096">
        <v>293.70999999999998</v>
      </c>
      <c r="F3096">
        <v>-0.01</v>
      </c>
    </row>
    <row r="3097" spans="1:6" x14ac:dyDescent="0.3">
      <c r="A3097" t="str">
        <f>HYPERLINK("https://us2.cloudbeds.com/connect/10074733072513#/reservations/30679872225435?display=YQSQRU3BD&amp;reservation_id=30679872225435", "YQSQRU3BD")</f>
        <v>YQSQRU3BD</v>
      </c>
      <c r="B3097" t="s">
        <v>707</v>
      </c>
      <c r="C3097">
        <v>270.2</v>
      </c>
      <c r="D3097">
        <v>293.7</v>
      </c>
      <c r="E3097">
        <v>293.70999999999998</v>
      </c>
      <c r="F3097">
        <v>-0.01</v>
      </c>
    </row>
    <row r="3098" spans="1:6" x14ac:dyDescent="0.3">
      <c r="A3098" t="str">
        <f>HYPERLINK("https://us2.cloudbeds.com/connect/10074733072513#/reservations/30680071954666?display=YQSVVASEC&amp;reservation_id=30680071954666", "YQSVVASEC")</f>
        <v>YQSVVASEC</v>
      </c>
      <c r="B3098" t="s">
        <v>813</v>
      </c>
      <c r="C3098">
        <v>75.239999999999995</v>
      </c>
      <c r="D3098">
        <v>81.78</v>
      </c>
      <c r="E3098">
        <v>81.790000000000006</v>
      </c>
      <c r="F3098">
        <v>-0.01</v>
      </c>
    </row>
    <row r="3099" spans="1:6" x14ac:dyDescent="0.3">
      <c r="A3099" t="str">
        <f>HYPERLINK("https://us2.cloudbeds.com/connect/10074733072513#/reservations/30680024514778?display=YQSUZAPY0&amp;reservation_id=30680024514778", "YQSUZAPY0")</f>
        <v>YQSUZAPY0</v>
      </c>
      <c r="B3099" t="s">
        <v>814</v>
      </c>
      <c r="C3099">
        <v>419.84</v>
      </c>
      <c r="D3099">
        <v>456.36</v>
      </c>
      <c r="E3099">
        <v>456.37</v>
      </c>
      <c r="F3099">
        <v>-0.01</v>
      </c>
    </row>
    <row r="3100" spans="1:6" x14ac:dyDescent="0.3">
      <c r="A3100" t="str">
        <f>HYPERLINK("https://us2.cloudbeds.com/connect/10074733072513#/reservations/30679469179132?display=YQSGX1ZX3&amp;reservation_id=30679469179132", "YQSGX1ZX3")</f>
        <v>YQSGX1ZX3</v>
      </c>
      <c r="B3100" t="s">
        <v>817</v>
      </c>
      <c r="C3100">
        <v>74.12</v>
      </c>
      <c r="D3100">
        <v>80.56</v>
      </c>
      <c r="E3100">
        <v>80.569999999999993</v>
      </c>
      <c r="F3100">
        <v>-0.01</v>
      </c>
    </row>
    <row r="3101" spans="1:6" x14ac:dyDescent="0.3">
      <c r="A3101" t="str">
        <f>HYPERLINK("https://us2.cloudbeds.com/connect/10074733072513#/reservations/30687172587682?display=YR1FCPEJR&amp;reservation_id=30687172587682", "YR1FCPEJR")</f>
        <v>YR1FCPEJR</v>
      </c>
      <c r="B3101" t="s">
        <v>786</v>
      </c>
      <c r="C3101">
        <v>270.2</v>
      </c>
      <c r="D3101">
        <v>293.7</v>
      </c>
      <c r="E3101">
        <v>293.70999999999998</v>
      </c>
      <c r="F3101">
        <v>-0.01</v>
      </c>
    </row>
    <row r="3102" spans="1:6" x14ac:dyDescent="0.3">
      <c r="A3102" t="str">
        <f>HYPERLINK("https://us2.cloudbeds.com/connect/10074733072513#/reservations/30676856697040?display=YQQFQ4J33&amp;reservation_id=30676856697040", "YQQFQ4J33")</f>
        <v>YQQFQ4J33</v>
      </c>
      <c r="B3102" t="s">
        <v>818</v>
      </c>
      <c r="C3102">
        <v>134.1</v>
      </c>
      <c r="D3102">
        <v>145.76</v>
      </c>
      <c r="E3102">
        <v>145.77000000000001</v>
      </c>
      <c r="F3102">
        <v>-0.01</v>
      </c>
    </row>
    <row r="3103" spans="1:6" x14ac:dyDescent="0.3">
      <c r="A3103" t="str">
        <f>HYPERLINK("https://us2.cloudbeds.com/connect/10074733072513#/reservations/30680004329626?display=YQSU7A34Z&amp;reservation_id=30680004329626", "YQSU7A34Z")</f>
        <v>YQSU7A34Z</v>
      </c>
      <c r="B3103" t="s">
        <v>758</v>
      </c>
      <c r="C3103">
        <v>277.2</v>
      </c>
      <c r="D3103">
        <v>301.31</v>
      </c>
      <c r="E3103">
        <v>301.32</v>
      </c>
      <c r="F3103">
        <v>-0.01</v>
      </c>
    </row>
    <row r="3104" spans="1:6" x14ac:dyDescent="0.3">
      <c r="A3104" t="str">
        <f>HYPERLINK("https://us2.cloudbeds.com/connect/10074733072513#/reservations/30679301030102?display=YQSC88ZNV&amp;reservation_id=30679301030102", "YQSC88ZNV")</f>
        <v>YQSC88ZNV</v>
      </c>
      <c r="B3104" t="s">
        <v>820</v>
      </c>
      <c r="C3104">
        <v>84.15</v>
      </c>
      <c r="D3104">
        <v>91.46</v>
      </c>
      <c r="E3104">
        <v>91.47</v>
      </c>
      <c r="F3104">
        <v>-0.01</v>
      </c>
    </row>
    <row r="3105" spans="1:6" x14ac:dyDescent="0.3">
      <c r="A3105" t="str">
        <f>HYPERLINK("https://us2.cloudbeds.com/connect/10074733072513#/reservations/30678102655191?display=YQREKP6KN&amp;reservation_id=30678102655191", "YQREKP6KN")</f>
        <v>YQREKP6KN</v>
      </c>
      <c r="B3105" t="s">
        <v>797</v>
      </c>
      <c r="C3105">
        <v>74.12</v>
      </c>
      <c r="D3105">
        <v>80.56</v>
      </c>
      <c r="E3105">
        <v>80.569999999999993</v>
      </c>
      <c r="F3105">
        <v>-0.01</v>
      </c>
    </row>
    <row r="3106" spans="1:6" x14ac:dyDescent="0.3">
      <c r="A3106" t="str">
        <f>HYPERLINK("https://us2.cloudbeds.com/connect/10074733072513#/reservations/30677516706026?display=YQQWYM9VD&amp;reservation_id=30677516706026", "YQQWYM9VD")</f>
        <v>YQQWYM9VD</v>
      </c>
      <c r="B3106" t="s">
        <v>797</v>
      </c>
      <c r="C3106">
        <v>324.3</v>
      </c>
      <c r="D3106">
        <v>352.5</v>
      </c>
      <c r="E3106">
        <v>352.51</v>
      </c>
      <c r="F3106">
        <v>-0.01</v>
      </c>
    </row>
    <row r="3107" spans="1:6" x14ac:dyDescent="0.3">
      <c r="A3107" t="str">
        <f>HYPERLINK("https://us2.cloudbeds.com/connect/10074733072513#/reservations/30680026185873?display=YQSUPZ958&amp;reservation_id=30680026185873", "YQSUPZ958")</f>
        <v>YQSUPZ958</v>
      </c>
      <c r="B3107" t="s">
        <v>758</v>
      </c>
      <c r="C3107">
        <v>134.1</v>
      </c>
      <c r="D3107">
        <v>145.76</v>
      </c>
      <c r="E3107">
        <v>145.77000000000001</v>
      </c>
      <c r="F3107">
        <v>-0.01</v>
      </c>
    </row>
    <row r="3108" spans="1:6" x14ac:dyDescent="0.3">
      <c r="A3108" t="str">
        <f>HYPERLINK("https://us2.cloudbeds.com/connect/10074733072513#/reservations/30679475003604?display=YQSGMVR08&amp;reservation_id=30679475003604", "YQSGMVR08")</f>
        <v>YQSGMVR08</v>
      </c>
      <c r="B3108" t="s">
        <v>758</v>
      </c>
      <c r="C3108">
        <v>216.24</v>
      </c>
      <c r="D3108">
        <v>235.04</v>
      </c>
      <c r="E3108">
        <v>235.05</v>
      </c>
      <c r="F3108">
        <v>-0.01</v>
      </c>
    </row>
    <row r="3109" spans="1:6" x14ac:dyDescent="0.3">
      <c r="A3109" t="str">
        <f>HYPERLINK("https://us2.cloudbeds.com/connect/10074733072513#/reservations/30679315411152?display=YQSCKCUFB&amp;reservation_id=30679315411152", "YQSCKCUFB")</f>
        <v>YQSCKCUFB</v>
      </c>
      <c r="B3109" t="s">
        <v>820</v>
      </c>
      <c r="C3109">
        <v>93.19</v>
      </c>
      <c r="D3109">
        <v>101.29</v>
      </c>
      <c r="E3109">
        <v>101.3</v>
      </c>
      <c r="F3109">
        <v>-0.01</v>
      </c>
    </row>
    <row r="3110" spans="1:6" x14ac:dyDescent="0.3">
      <c r="A3110" t="str">
        <f>HYPERLINK("https://us2.cloudbeds.com/connect/10074733072513#/reservations/30678599913622?display=YQRRB24V0&amp;reservation_id=30678599913622", "YQRRB24V0")</f>
        <v>YQRRB24V0</v>
      </c>
      <c r="B3110" t="s">
        <v>797</v>
      </c>
      <c r="C3110">
        <v>216.2</v>
      </c>
      <c r="D3110">
        <v>235</v>
      </c>
      <c r="E3110">
        <v>235.01</v>
      </c>
      <c r="F3110">
        <v>-0.01</v>
      </c>
    </row>
    <row r="3111" spans="1:6" x14ac:dyDescent="0.3">
      <c r="A3111" t="str">
        <f>HYPERLINK("https://us2.cloudbeds.com/connect/10074733072513#/reservations/30678154113245?display=YQRFV536Y&amp;reservation_id=30678154113245", "YQRFV536Y")</f>
        <v>YQRFV536Y</v>
      </c>
      <c r="B3111" t="s">
        <v>723</v>
      </c>
      <c r="C3111">
        <v>174.4</v>
      </c>
      <c r="D3111">
        <v>189.56</v>
      </c>
      <c r="E3111">
        <v>189.57</v>
      </c>
      <c r="F3111">
        <v>-0.01</v>
      </c>
    </row>
    <row r="3112" spans="1:6" x14ac:dyDescent="0.3">
      <c r="A3112" t="str">
        <f>HYPERLINK("https://us2.cloudbeds.com/connect/10074733072513#/reservations/30679574990985?display=YQSJ893PT&amp;reservation_id=30679574990985", "YQSJ893PT")</f>
        <v>YQSJ893PT</v>
      </c>
      <c r="B3112" t="s">
        <v>823</v>
      </c>
      <c r="C3112">
        <v>75.239999999999995</v>
      </c>
      <c r="D3112">
        <v>81.78</v>
      </c>
      <c r="E3112">
        <v>81.790000000000006</v>
      </c>
      <c r="F3112">
        <v>-0.01</v>
      </c>
    </row>
    <row r="3113" spans="1:6" x14ac:dyDescent="0.3">
      <c r="A3113" t="str">
        <f>HYPERLINK("https://us2.cloudbeds.com/connect/10074733072513#/reservations/30678050316416?display=YQRD9KMK1&amp;reservation_id=30678050316416", "YQRD9KMK1")</f>
        <v>YQRD9KMK1</v>
      </c>
      <c r="B3113" t="s">
        <v>797</v>
      </c>
      <c r="C3113">
        <v>268.2</v>
      </c>
      <c r="D3113">
        <v>291.52</v>
      </c>
      <c r="E3113">
        <v>291.52999999999997</v>
      </c>
      <c r="F3113">
        <v>-0.01</v>
      </c>
    </row>
    <row r="3114" spans="1:6" x14ac:dyDescent="0.3">
      <c r="A3114" t="str">
        <f>HYPERLINK("https://us2.cloudbeds.com/connect/10074733072513#/reservations/30687498780804?display=YR1NNR84T&amp;reservation_id=30687498780804", "YR1NNR84T")</f>
        <v>YR1NNR84T</v>
      </c>
      <c r="B3114" t="s">
        <v>826</v>
      </c>
      <c r="C3114">
        <v>250.2</v>
      </c>
      <c r="D3114">
        <v>271.95999999999998</v>
      </c>
      <c r="E3114">
        <v>271.97000000000003</v>
      </c>
      <c r="F3114">
        <v>-0.01</v>
      </c>
    </row>
    <row r="3115" spans="1:6" x14ac:dyDescent="0.3">
      <c r="A3115" t="str">
        <f>HYPERLINK("https://us2.cloudbeds.com/connect/10074733072513#/reservations/30678682738934?display=YQRTETT7V&amp;reservation_id=30678682738934", "YQRTETT7V")</f>
        <v>YQRTETT7V</v>
      </c>
      <c r="B3115" t="s">
        <v>779</v>
      </c>
      <c r="C3115">
        <v>120.32</v>
      </c>
      <c r="D3115">
        <v>130.78</v>
      </c>
      <c r="E3115">
        <v>130.79</v>
      </c>
      <c r="F3115">
        <v>-0.01</v>
      </c>
    </row>
    <row r="3116" spans="1:6" x14ac:dyDescent="0.3">
      <c r="A3116" t="str">
        <f>HYPERLINK("https://us2.cloudbeds.com/connect/10074733072513#/reservations/30678304202972?display=YQRJPNXY7&amp;reservation_id=30678304202972", "YQRJPNXY7")</f>
        <v>YQRJPNXY7</v>
      </c>
      <c r="B3116" t="s">
        <v>827</v>
      </c>
      <c r="C3116">
        <v>200.16</v>
      </c>
      <c r="D3116">
        <v>217.56</v>
      </c>
      <c r="E3116">
        <v>217.57</v>
      </c>
      <c r="F3116">
        <v>-0.01</v>
      </c>
    </row>
    <row r="3117" spans="1:6" x14ac:dyDescent="0.3">
      <c r="A3117" t="str">
        <f>HYPERLINK("https://us2.cloudbeds.com/connect/10074733072513#/reservations/30679869042858?display=YQSQP7HSN&amp;reservation_id=30679869042858", "YQSQP7HSN")</f>
        <v>YQSQP7HSN</v>
      </c>
      <c r="B3117" t="s">
        <v>828</v>
      </c>
      <c r="C3117">
        <v>350.88</v>
      </c>
      <c r="D3117">
        <v>381.4</v>
      </c>
      <c r="E3117">
        <v>381.41</v>
      </c>
      <c r="F3117">
        <v>-0.01</v>
      </c>
    </row>
    <row r="3118" spans="1:6" x14ac:dyDescent="0.3">
      <c r="A3118" t="str">
        <f>HYPERLINK("https://us2.cloudbeds.com/connect/10074733072513#/reservations/30677635481737?display=YQR2MRDXC&amp;reservation_id=30677635481737", "YQR2MRDXC")</f>
        <v>YQR2MRDXC</v>
      </c>
      <c r="B3118" t="s">
        <v>829</v>
      </c>
      <c r="C3118">
        <v>250.2</v>
      </c>
      <c r="D3118">
        <v>271.95999999999998</v>
      </c>
      <c r="E3118">
        <v>271.97000000000003</v>
      </c>
      <c r="F3118">
        <v>-0.01</v>
      </c>
    </row>
    <row r="3119" spans="1:6" x14ac:dyDescent="0.3">
      <c r="A3119" t="str">
        <f>HYPERLINK("https://us2.cloudbeds.com/connect/10074733072513#/reservations/30688517304497?display=YR2GZM5K7&amp;reservation_id=30688517304497", "YR2GZM5K7")</f>
        <v>YR2GZM5K7</v>
      </c>
      <c r="B3119" t="s">
        <v>801</v>
      </c>
      <c r="C3119">
        <v>366.3</v>
      </c>
      <c r="D3119">
        <v>398.16</v>
      </c>
      <c r="E3119">
        <v>398.17</v>
      </c>
      <c r="F3119">
        <v>-0.01</v>
      </c>
    </row>
    <row r="3120" spans="1:6" x14ac:dyDescent="0.3">
      <c r="A3120" t="str">
        <f>HYPERLINK("https://us2.cloudbeds.com/connect/10074733072513#/reservations/30676878037244?display=YQQGB4D7V&amp;reservation_id=30676878037244", "YQQGB4D7V")</f>
        <v>YQQGB4D7V</v>
      </c>
      <c r="B3120" t="s">
        <v>830</v>
      </c>
      <c r="C3120">
        <v>100.08</v>
      </c>
      <c r="D3120">
        <v>108.78</v>
      </c>
      <c r="E3120">
        <v>108.79</v>
      </c>
      <c r="F3120">
        <v>-0.01</v>
      </c>
    </row>
    <row r="3121" spans="1:6" x14ac:dyDescent="0.3">
      <c r="A3121" t="str">
        <f>HYPERLINK("https://us2.cloudbeds.com/connect/10074733072513#/reservations/30687537844373?display=YR1ZNP86D&amp;reservation_id=30687537844373", "YR1ZNP86D")</f>
        <v>YR1ZNP86D</v>
      </c>
      <c r="B3121" t="s">
        <v>826</v>
      </c>
      <c r="C3121">
        <v>100.08</v>
      </c>
      <c r="D3121">
        <v>108.78</v>
      </c>
      <c r="E3121">
        <v>108.79</v>
      </c>
      <c r="F3121">
        <v>-0.01</v>
      </c>
    </row>
    <row r="3122" spans="1:6" x14ac:dyDescent="0.3">
      <c r="A3122" t="str">
        <f>HYPERLINK("https://us2.cloudbeds.com/connect/10074733072513#/reservations/30678391726243?display=YQRM0H0VX&amp;reservation_id=30678391726243", "YQRM0H0VX")</f>
        <v>YQRM0H0VX</v>
      </c>
      <c r="B3122" t="s">
        <v>831</v>
      </c>
      <c r="C3122">
        <v>375.3</v>
      </c>
      <c r="D3122">
        <v>407.94</v>
      </c>
      <c r="E3122">
        <v>407.95</v>
      </c>
      <c r="F3122">
        <v>-0.01</v>
      </c>
    </row>
    <row r="3123" spans="1:6" x14ac:dyDescent="0.3">
      <c r="A3123" t="str">
        <f>HYPERLINK("https://us2.cloudbeds.com/connect/10074733072513#/reservations/30686710354076?display=YR13J03YS&amp;reservation_id=30686710354076", "YR13J03YS")</f>
        <v>YR13J03YS</v>
      </c>
      <c r="B3123" t="s">
        <v>826</v>
      </c>
      <c r="C3123">
        <v>259.2</v>
      </c>
      <c r="D3123">
        <v>281.74</v>
      </c>
      <c r="E3123">
        <v>281.75</v>
      </c>
      <c r="F3123">
        <v>-0.01</v>
      </c>
    </row>
    <row r="3124" spans="1:6" x14ac:dyDescent="0.3">
      <c r="A3124" t="str">
        <f>HYPERLINK("https://us2.cloudbeds.com/connect/10074733072513#/reservations/30685640442076?display=YR097R7M3&amp;reservation_id=30685640442076", "YR097R7M3")</f>
        <v>YR097R7M3</v>
      </c>
      <c r="B3124" t="s">
        <v>833</v>
      </c>
      <c r="C3124">
        <v>118.15</v>
      </c>
      <c r="D3124">
        <v>128.41999999999999</v>
      </c>
      <c r="E3124">
        <v>128.43</v>
      </c>
      <c r="F3124">
        <v>-0.01</v>
      </c>
    </row>
    <row r="3125" spans="1:6" x14ac:dyDescent="0.3">
      <c r="A3125" t="str">
        <f>HYPERLINK("https://us2.cloudbeds.com/connect/10074733072513#/reservations/30679219011725?display=YQSA53FDJ&amp;reservation_id=30679219011725", "YQSA53FDJ")</f>
        <v>YQSA53FDJ</v>
      </c>
      <c r="B3125" t="s">
        <v>834</v>
      </c>
      <c r="C3125">
        <v>250.2</v>
      </c>
      <c r="D3125">
        <v>271.95999999999998</v>
      </c>
      <c r="E3125">
        <v>271.97000000000003</v>
      </c>
      <c r="F3125">
        <v>-0.01</v>
      </c>
    </row>
    <row r="3126" spans="1:6" x14ac:dyDescent="0.3">
      <c r="A3126" t="str">
        <f>HYPERLINK("https://us2.cloudbeds.com/connect/10074733072513#/reservations/30678411010241?display=YQRMGPKV4&amp;reservation_id=30678411010241", "YQRMGPKV4")</f>
        <v>YQRMGPKV4</v>
      </c>
      <c r="B3126" t="s">
        <v>835</v>
      </c>
      <c r="C3126">
        <v>134.1</v>
      </c>
      <c r="D3126">
        <v>145.76</v>
      </c>
      <c r="E3126">
        <v>145.77000000000001</v>
      </c>
      <c r="F3126">
        <v>-0.01</v>
      </c>
    </row>
    <row r="3127" spans="1:6" x14ac:dyDescent="0.3">
      <c r="A3127" t="str">
        <f>HYPERLINK("https://us2.cloudbeds.com/connect/10074733072513#/reservations/30678433972394?display=YQRN34JFV&amp;reservation_id=30678433972394", "YQRN34JFV")</f>
        <v>YQRN34JFV</v>
      </c>
      <c r="B3127" t="s">
        <v>811</v>
      </c>
      <c r="C3127">
        <v>118.15</v>
      </c>
      <c r="D3127">
        <v>128.41999999999999</v>
      </c>
      <c r="E3127">
        <v>128.43</v>
      </c>
      <c r="F3127">
        <v>-0.01</v>
      </c>
    </row>
    <row r="3128" spans="1:6" x14ac:dyDescent="0.3">
      <c r="A3128" t="str">
        <f>HYPERLINK("https://us2.cloudbeds.com/connect/10074733072513#/reservations/30688444702882?display=YR2ETEUF9&amp;reservation_id=30688444702882", "YR2ETEUF9")</f>
        <v>YR2ETEUF9</v>
      </c>
      <c r="B3128" t="s">
        <v>836</v>
      </c>
      <c r="C3128">
        <v>118.15</v>
      </c>
      <c r="D3128">
        <v>128.41999999999999</v>
      </c>
      <c r="E3128">
        <v>128.43</v>
      </c>
      <c r="F3128">
        <v>-0.01</v>
      </c>
    </row>
    <row r="3129" spans="1:6" x14ac:dyDescent="0.3">
      <c r="A3129" t="str">
        <f>HYPERLINK("https://us2.cloudbeds.com/connect/10074733072513#/reservations/30679997546692?display=YQSU1JBX9&amp;reservation_id=30679997546692", "YQSU1JBX9")</f>
        <v>YQSU1JBX9</v>
      </c>
      <c r="B3129" t="s">
        <v>837</v>
      </c>
      <c r="C3129">
        <v>112.24</v>
      </c>
      <c r="D3129">
        <v>121.99</v>
      </c>
      <c r="E3129">
        <v>122</v>
      </c>
      <c r="F3129">
        <v>-0.01</v>
      </c>
    </row>
    <row r="3130" spans="1:6" x14ac:dyDescent="0.3">
      <c r="A3130" t="str">
        <f>HYPERLINK("https://us2.cloudbeds.com/connect/10074733072513#/reservations/30686967873728?display=YR1A54SFG&amp;reservation_id=30686967873728", "YR1A54SFG")</f>
        <v>YR1A54SFG</v>
      </c>
      <c r="B3130" t="s">
        <v>838</v>
      </c>
      <c r="C3130">
        <v>366.3</v>
      </c>
      <c r="D3130">
        <v>398.16</v>
      </c>
      <c r="E3130">
        <v>398.17</v>
      </c>
      <c r="F3130">
        <v>-0.01</v>
      </c>
    </row>
    <row r="3131" spans="1:6" x14ac:dyDescent="0.3">
      <c r="A3131" t="str">
        <f>HYPERLINK("https://us2.cloudbeds.com/connect/10074733072513#/reservations/30679637283067?display=YQSKRQFVZ&amp;reservation_id=30679637283067", "YQSKRQFVZ")</f>
        <v>YQSKRQFVZ</v>
      </c>
      <c r="B3131" t="s">
        <v>831</v>
      </c>
      <c r="C3131">
        <v>302.14999999999998</v>
      </c>
      <c r="D3131">
        <v>328.43</v>
      </c>
      <c r="E3131">
        <v>328.44</v>
      </c>
      <c r="F3131">
        <v>-0.01</v>
      </c>
    </row>
    <row r="3132" spans="1:6" x14ac:dyDescent="0.3">
      <c r="A3132" t="str">
        <f>HYPERLINK("https://us2.cloudbeds.com/connect/10074733072513#/reservations/30679946363110?display=YQSSZE30Y&amp;reservation_id=30679946363110", "YQSSZE30Y")</f>
        <v>YQSSZE30Y</v>
      </c>
      <c r="B3132" t="s">
        <v>839</v>
      </c>
      <c r="C3132">
        <v>74.12</v>
      </c>
      <c r="D3132">
        <v>80.56</v>
      </c>
      <c r="E3132">
        <v>80.569999999999993</v>
      </c>
      <c r="F3132">
        <v>-0.01</v>
      </c>
    </row>
    <row r="3133" spans="1:6" x14ac:dyDescent="0.3">
      <c r="A3133" t="str">
        <f>HYPERLINK("https://us2.cloudbeds.com/connect/10074733072513#/reservations/30679715811530?display=YQSMS0YJ4&amp;reservation_id=30679715811530", "YQSMS0YJ4")</f>
        <v>YQSMS0YJ4</v>
      </c>
      <c r="B3133" t="s">
        <v>841</v>
      </c>
      <c r="C3133">
        <v>268.2</v>
      </c>
      <c r="D3133">
        <v>291.52</v>
      </c>
      <c r="E3133">
        <v>291.52999999999997</v>
      </c>
      <c r="F3133">
        <v>-0.01</v>
      </c>
    </row>
    <row r="3134" spans="1:6" x14ac:dyDescent="0.3">
      <c r="A3134" t="str">
        <f>HYPERLINK("https://us2.cloudbeds.com/connect/10074733072513#/reservations/30678945263787?display=YQS3590TH&amp;reservation_id=30678945263787", "YQS3590TH")</f>
        <v>YQS3590TH</v>
      </c>
      <c r="B3134" t="s">
        <v>840</v>
      </c>
      <c r="C3134">
        <v>456</v>
      </c>
      <c r="D3134">
        <v>495.66</v>
      </c>
      <c r="E3134">
        <v>495.67</v>
      </c>
      <c r="F3134">
        <v>-0.01</v>
      </c>
    </row>
    <row r="3135" spans="1:6" x14ac:dyDescent="0.3">
      <c r="A3135" t="str">
        <f>HYPERLINK("https://us2.cloudbeds.com/connect/10074733072513#/reservations/30678314422410?display=YQRK1AUT5&amp;reservation_id=30678314422410", "YQRK1AUT5")</f>
        <v>YQRK1AUT5</v>
      </c>
      <c r="B3135" t="s">
        <v>840</v>
      </c>
      <c r="C3135">
        <v>69.760000000000005</v>
      </c>
      <c r="D3135">
        <v>75.819999999999993</v>
      </c>
      <c r="E3135">
        <v>75.83</v>
      </c>
      <c r="F3135">
        <v>-0.01</v>
      </c>
    </row>
    <row r="3136" spans="1:6" x14ac:dyDescent="0.3">
      <c r="A3136" t="str">
        <f>HYPERLINK("https://us2.cloudbeds.com/connect/10074733072513#/reservations/30679143985351?display=YQS87RZM3&amp;reservation_id=30679143985351", "YQS87RZM3")</f>
        <v>YQS87RZM3</v>
      </c>
      <c r="B3136" t="s">
        <v>802</v>
      </c>
      <c r="C3136">
        <v>118.15</v>
      </c>
      <c r="D3136">
        <v>128.41999999999999</v>
      </c>
      <c r="E3136">
        <v>128.43</v>
      </c>
      <c r="F3136">
        <v>-0.01</v>
      </c>
    </row>
    <row r="3137" spans="1:6" x14ac:dyDescent="0.3">
      <c r="A3137" t="str">
        <f>HYPERLINK("https://us2.cloudbeds.com/connect/10074733072513#/reservations/30679708918000?display=YQSMM6RE9&amp;reservation_id=30679708918000", "YQSMM6RE9")</f>
        <v>YQSMM6RE9</v>
      </c>
      <c r="B3137" t="s">
        <v>841</v>
      </c>
      <c r="C3137">
        <v>74.12</v>
      </c>
      <c r="D3137">
        <v>80.56</v>
      </c>
      <c r="E3137">
        <v>80.569999999999993</v>
      </c>
      <c r="F3137">
        <v>-0.01</v>
      </c>
    </row>
    <row r="3138" spans="1:6" x14ac:dyDescent="0.3">
      <c r="A3138" t="str">
        <f>HYPERLINK("https://us2.cloudbeds.com/connect/10074733072513#/reservations/30678318571736?display=YQRK4RD3A&amp;reservation_id=30678318571736", "YQRK4RD3A")</f>
        <v>YQRK4RD3A</v>
      </c>
      <c r="B3138" t="s">
        <v>827</v>
      </c>
      <c r="C3138">
        <v>268.2</v>
      </c>
      <c r="D3138">
        <v>291.52</v>
      </c>
      <c r="E3138">
        <v>291.52999999999997</v>
      </c>
      <c r="F3138">
        <v>-0.01</v>
      </c>
    </row>
    <row r="3139" spans="1:6" x14ac:dyDescent="0.3">
      <c r="A3139" t="str">
        <f>HYPERLINK("https://us2.cloudbeds.com/connect/10074733072513#/reservations/30678281093346?display=YQRJ67GMH&amp;reservation_id=30678281093346", "YQRJ67GMH")</f>
        <v>YQRJ67GMH</v>
      </c>
      <c r="B3139" t="s">
        <v>840</v>
      </c>
      <c r="C3139">
        <v>134.1</v>
      </c>
      <c r="D3139">
        <v>145.76</v>
      </c>
      <c r="E3139">
        <v>145.77000000000001</v>
      </c>
      <c r="F3139">
        <v>-0.01</v>
      </c>
    </row>
    <row r="3140" spans="1:6" x14ac:dyDescent="0.3">
      <c r="A3140" t="str">
        <f>HYPERLINK("https://us2.cloudbeds.com/connect/10074733072513#/reservations/30678070509715?display=YQRDQYN9C&amp;reservation_id=30678070509715", "YQRDQYN9C")</f>
        <v>YQRDQYN9C</v>
      </c>
      <c r="B3140" t="s">
        <v>844</v>
      </c>
      <c r="C3140">
        <v>345.95</v>
      </c>
      <c r="D3140">
        <v>376.04</v>
      </c>
      <c r="E3140">
        <v>376.05</v>
      </c>
      <c r="F3140">
        <v>-0.01</v>
      </c>
    </row>
    <row r="3141" spans="1:6" x14ac:dyDescent="0.3">
      <c r="A3141" t="str">
        <f>HYPERLINK("https://us2.cloudbeds.com/connect/10074733072513#/reservations/30687099228372?display=YR1DGU3ME&amp;reservation_id=30687099228372", "YR1DGU3ME")</f>
        <v>YR1DGU3ME</v>
      </c>
      <c r="B3141" t="s">
        <v>786</v>
      </c>
      <c r="C3141">
        <v>270.2</v>
      </c>
      <c r="D3141">
        <v>293.7</v>
      </c>
      <c r="E3141">
        <v>293.70999999999998</v>
      </c>
      <c r="F3141">
        <v>-0.01</v>
      </c>
    </row>
    <row r="3142" spans="1:6" x14ac:dyDescent="0.3">
      <c r="A3142" t="str">
        <f>HYPERLINK("https://us2.cloudbeds.com/connect/10074733072513#/reservations/30688396480668?display=YR2DYQ292&amp;reservation_id=30688396480668", "YR2DYQ292")</f>
        <v>YR2DYQ292</v>
      </c>
      <c r="B3142" t="s">
        <v>845</v>
      </c>
      <c r="C3142">
        <v>268.2</v>
      </c>
      <c r="D3142">
        <v>291.52</v>
      </c>
      <c r="E3142">
        <v>291.52999999999997</v>
      </c>
      <c r="F3142">
        <v>-0.01</v>
      </c>
    </row>
    <row r="3143" spans="1:6" x14ac:dyDescent="0.3">
      <c r="A3143" t="str">
        <f>HYPERLINK("https://us2.cloudbeds.com/connect/10074733072513#/reservations/30678522622122?display=YQRPBTD6B&amp;reservation_id=30678522622122", "YQRPBTD6B")</f>
        <v>YQRPBTD6B</v>
      </c>
      <c r="B3143" t="s">
        <v>846</v>
      </c>
      <c r="C3143">
        <v>134.1</v>
      </c>
      <c r="D3143">
        <v>145.76</v>
      </c>
      <c r="E3143">
        <v>145.77000000000001</v>
      </c>
      <c r="F3143">
        <v>-0.01</v>
      </c>
    </row>
    <row r="3144" spans="1:6" x14ac:dyDescent="0.3">
      <c r="A3144" t="str">
        <f>HYPERLINK("https://us2.cloudbeds.com/connect/10074733072513#/reservations/30676875161792?display=YQQG317Q5&amp;reservation_id=30676875161792", "YQQG317Q5")</f>
        <v>YQQG317Q5</v>
      </c>
      <c r="B3144" t="s">
        <v>818</v>
      </c>
      <c r="C3144">
        <v>118.15</v>
      </c>
      <c r="D3144">
        <v>128.41999999999999</v>
      </c>
      <c r="E3144">
        <v>128.43</v>
      </c>
      <c r="F3144">
        <v>-0.01</v>
      </c>
    </row>
    <row r="3145" spans="1:6" x14ac:dyDescent="0.3">
      <c r="A3145" t="str">
        <f>HYPERLINK("https://us2.cloudbeds.com/connect/10074733072513#/reservations/30686361968814?display=YR0RM7PYN&amp;reservation_id=30686361968814", "YR0RM7PYN")</f>
        <v>YR0RM7PYN</v>
      </c>
      <c r="B3145" t="s">
        <v>786</v>
      </c>
      <c r="C3145">
        <v>268.2</v>
      </c>
      <c r="D3145">
        <v>291.52</v>
      </c>
      <c r="E3145">
        <v>291.52999999999997</v>
      </c>
      <c r="F3145">
        <v>-0.01</v>
      </c>
    </row>
    <row r="3146" spans="1:6" x14ac:dyDescent="0.3">
      <c r="A3146" t="str">
        <f>HYPERLINK("https://us2.cloudbeds.com/connect/10074733072513#/reservations/30679160582392?display=YQS8YRJ9Z&amp;reservation_id=30679160582392", "YQS8YRJ9Z")</f>
        <v>YQS8YRJ9Z</v>
      </c>
      <c r="B3146" t="s">
        <v>802</v>
      </c>
      <c r="C3146">
        <v>134.1</v>
      </c>
      <c r="D3146">
        <v>145.76</v>
      </c>
      <c r="E3146">
        <v>145.77000000000001</v>
      </c>
      <c r="F3146">
        <v>-0.01</v>
      </c>
    </row>
    <row r="3147" spans="1:6" x14ac:dyDescent="0.3">
      <c r="A3147" t="str">
        <f>HYPERLINK("https://us2.cloudbeds.com/connect/10074733072513#/reservations/30679134908670?display=YQS8065Q5&amp;reservation_id=30679134908670", "YQS8065Q5")</f>
        <v>YQS8065Q5</v>
      </c>
      <c r="B3147" t="s">
        <v>847</v>
      </c>
      <c r="C3147">
        <v>134.1</v>
      </c>
      <c r="D3147">
        <v>145.76</v>
      </c>
      <c r="E3147">
        <v>145.77000000000001</v>
      </c>
      <c r="F3147">
        <v>-0.01</v>
      </c>
    </row>
    <row r="3148" spans="1:6" x14ac:dyDescent="0.3">
      <c r="A3148" t="str">
        <f>HYPERLINK("https://us2.cloudbeds.com/connect/10074733072513#/reservations/30688409165972?display=YR2DWG1S7&amp;reservation_id=30688409165972", "YR2DWG1S7")</f>
        <v>YR2DWG1S7</v>
      </c>
      <c r="B3148" t="s">
        <v>836</v>
      </c>
      <c r="C3148">
        <v>134.1</v>
      </c>
      <c r="D3148">
        <v>145.76</v>
      </c>
      <c r="E3148">
        <v>145.77000000000001</v>
      </c>
      <c r="F3148">
        <v>-0.01</v>
      </c>
    </row>
    <row r="3149" spans="1:6" x14ac:dyDescent="0.3">
      <c r="A3149" t="str">
        <f>HYPERLINK("https://us2.cloudbeds.com/connect/10074733072513#/reservations/30678343082138?display=YQRKPGEBP&amp;reservation_id=30678343082138", "YQRKPGEBP")</f>
        <v>YQRKPGEBP</v>
      </c>
      <c r="B3149" t="s">
        <v>790</v>
      </c>
      <c r="C3149">
        <v>74.12</v>
      </c>
      <c r="D3149">
        <v>80.56</v>
      </c>
      <c r="E3149">
        <v>80.569999999999993</v>
      </c>
      <c r="F3149">
        <v>-0.01</v>
      </c>
    </row>
    <row r="3150" spans="1:6" x14ac:dyDescent="0.3">
      <c r="A3150" t="str">
        <f>HYPERLINK("https://us2.cloudbeds.com/connect/10074733072513#/reservations/30679024365789?display=YQS55W55T&amp;reservation_id=30679024365789", "YQS55W55T")</f>
        <v>YQS55W55T</v>
      </c>
      <c r="B3150" t="s">
        <v>848</v>
      </c>
      <c r="C3150">
        <v>189.04</v>
      </c>
      <c r="D3150">
        <v>205.48</v>
      </c>
      <c r="E3150">
        <v>205.49</v>
      </c>
      <c r="F3150">
        <v>-0.01</v>
      </c>
    </row>
    <row r="3151" spans="1:6" x14ac:dyDescent="0.3">
      <c r="A3151" t="str">
        <f>HYPERLINK("https://us2.cloudbeds.com/connect/10074733072513#/reservations/30676537442434?display=YQQ7KUS03&amp;reservation_id=30676537442434", "YQQ7KUS03")</f>
        <v>YQQ7KUS03</v>
      </c>
      <c r="B3151" t="s">
        <v>849</v>
      </c>
      <c r="C3151">
        <v>134.1</v>
      </c>
      <c r="D3151">
        <v>145.76</v>
      </c>
      <c r="E3151">
        <v>145.77000000000001</v>
      </c>
      <c r="F3151">
        <v>-0.01</v>
      </c>
    </row>
    <row r="3152" spans="1:6" x14ac:dyDescent="0.3">
      <c r="A3152" t="str">
        <f>HYPERLINK("https://us2.cloudbeds.com/connect/10074733072513#/reservations/30679185457288?display=YQS99QP8F&amp;reservation_id=30679185457288", "YQS99QP8F")</f>
        <v>YQS99QP8F</v>
      </c>
      <c r="B3152" t="s">
        <v>802</v>
      </c>
      <c r="C3152">
        <v>124</v>
      </c>
      <c r="D3152">
        <v>134.78</v>
      </c>
      <c r="E3152">
        <v>134.79</v>
      </c>
      <c r="F3152">
        <v>-0.01</v>
      </c>
    </row>
    <row r="3153" spans="1:6" x14ac:dyDescent="0.3">
      <c r="A3153" t="str">
        <f>HYPERLINK("https://us2.cloudbeds.com/connect/10074733072513#/reservations/30677280264325?display=YQQQK9VPC&amp;reservation_id=30677280264325", "YQQQK9VPC")</f>
        <v>YQQQK9VPC</v>
      </c>
      <c r="B3153" t="s">
        <v>851</v>
      </c>
      <c r="C3153">
        <v>493.2</v>
      </c>
      <c r="D3153">
        <v>536.1</v>
      </c>
      <c r="E3153">
        <v>536.11</v>
      </c>
      <c r="F3153">
        <v>-0.01</v>
      </c>
    </row>
    <row r="3154" spans="1:6" x14ac:dyDescent="0.3">
      <c r="A3154" t="str">
        <f>HYPERLINK("https://us2.cloudbeds.com/connect/10074733072513#/reservations/30679685185754?display=YQSM26EZA&amp;reservation_id=30679685185754", "YQSM26EZA")</f>
        <v>YQSM26EZA</v>
      </c>
      <c r="B3154" t="s">
        <v>802</v>
      </c>
      <c r="C3154">
        <v>134.1</v>
      </c>
      <c r="D3154">
        <v>145.76</v>
      </c>
      <c r="E3154">
        <v>145.77000000000001</v>
      </c>
      <c r="F3154">
        <v>-0.01</v>
      </c>
    </row>
    <row r="3155" spans="1:6" x14ac:dyDescent="0.3">
      <c r="A3155" t="str">
        <f>HYPERLINK("https://us2.cloudbeds.com/connect/10074733072513#/reservations/30687127920785?display=YR1E83H5G&amp;reservation_id=30687127920785", "YR1E83H5G")</f>
        <v>YR1E83H5G</v>
      </c>
      <c r="B3155" t="s">
        <v>786</v>
      </c>
      <c r="C3155">
        <v>270.2</v>
      </c>
      <c r="D3155">
        <v>293.7</v>
      </c>
      <c r="E3155">
        <v>293.70999999999998</v>
      </c>
      <c r="F3155">
        <v>-0.01</v>
      </c>
    </row>
    <row r="3156" spans="1:6" x14ac:dyDescent="0.3">
      <c r="A3156" t="str">
        <f>HYPERLINK("https://us2.cloudbeds.com/connect/10074733072513#/reservations/30679176835210?display=YQS92HRRC&amp;reservation_id=30679176835210", "YQS92HRRC")</f>
        <v>YQS92HRRC</v>
      </c>
      <c r="B3156" t="s">
        <v>802</v>
      </c>
      <c r="C3156">
        <v>134.1</v>
      </c>
      <c r="D3156">
        <v>145.76</v>
      </c>
      <c r="E3156">
        <v>145.77000000000001</v>
      </c>
      <c r="F3156">
        <v>-0.01</v>
      </c>
    </row>
    <row r="3157" spans="1:6" x14ac:dyDescent="0.3">
      <c r="A3157" t="str">
        <f>HYPERLINK("https://us2.cloudbeds.com/connect/10074733072513#/reservations/30677192044743?display=YQQZBU41N&amp;reservation_id=30677192044743", "YQQZBU41N")</f>
        <v>YQQZBU41N</v>
      </c>
      <c r="B3157" t="s">
        <v>827</v>
      </c>
      <c r="C3157">
        <v>108.16</v>
      </c>
      <c r="D3157">
        <v>117.56</v>
      </c>
      <c r="E3157">
        <v>117.57</v>
      </c>
      <c r="F3157">
        <v>-0.01</v>
      </c>
    </row>
    <row r="3158" spans="1:6" x14ac:dyDescent="0.3">
      <c r="A3158" t="str">
        <f>HYPERLINK("https://us2.cloudbeds.com/connect/10074733072513#/reservations/30678371422440?display=YQRYGD1GQ&amp;reservation_id=30678371422440", "YQRYGD1GQ")</f>
        <v>YQRYGD1GQ</v>
      </c>
      <c r="B3158" t="s">
        <v>827</v>
      </c>
      <c r="C3158">
        <v>134.1</v>
      </c>
      <c r="D3158">
        <v>145.76</v>
      </c>
      <c r="E3158">
        <v>145.77000000000001</v>
      </c>
      <c r="F3158">
        <v>-0.01</v>
      </c>
    </row>
    <row r="3159" spans="1:6" x14ac:dyDescent="0.3">
      <c r="A3159" t="str">
        <f>HYPERLINK("https://us2.cloudbeds.com/connect/10074733072513#/reservations/30678703354005?display=YQRTW9HH2&amp;reservation_id=30678703354005", "YQRTW9HH2")</f>
        <v>YQRTW9HH2</v>
      </c>
      <c r="B3159" t="s">
        <v>852</v>
      </c>
      <c r="C3159">
        <v>118.15</v>
      </c>
      <c r="D3159">
        <v>128.41999999999999</v>
      </c>
      <c r="E3159">
        <v>128.43</v>
      </c>
      <c r="F3159">
        <v>-0.01</v>
      </c>
    </row>
    <row r="3160" spans="1:6" x14ac:dyDescent="0.3">
      <c r="A3160" t="str">
        <f>HYPERLINK("https://us2.cloudbeds.com/connect/10074733072513#/reservations/30678484455555?display=YQRZCNBRN&amp;reservation_id=30678484455555", "YQRZCNBRN")</f>
        <v>YQRZCNBRN</v>
      </c>
      <c r="B3160" t="s">
        <v>853</v>
      </c>
      <c r="C3160">
        <v>118.15</v>
      </c>
      <c r="D3160">
        <v>128.41999999999999</v>
      </c>
      <c r="E3160">
        <v>128.43</v>
      </c>
      <c r="F3160">
        <v>-0.01</v>
      </c>
    </row>
    <row r="3161" spans="1:6" x14ac:dyDescent="0.3">
      <c r="A3161" t="str">
        <f>HYPERLINK("https://us2.cloudbeds.com/connect/10074733072513#/reservations/30678930743437?display=YQS2Q0W7U&amp;reservation_id=30678930743437", "YQS2Q0W7U")</f>
        <v>YQS2Q0W7U</v>
      </c>
      <c r="B3161" t="s">
        <v>851</v>
      </c>
      <c r="C3161">
        <v>74.12</v>
      </c>
      <c r="D3161">
        <v>80.56</v>
      </c>
      <c r="E3161">
        <v>80.569999999999993</v>
      </c>
      <c r="F3161">
        <v>-0.01</v>
      </c>
    </row>
    <row r="3162" spans="1:6" x14ac:dyDescent="0.3">
      <c r="A3162" t="str">
        <f>HYPERLINK("https://us2.cloudbeds.com/connect/10074733072513#/reservations/30678870339785?display=YQS183557&amp;reservation_id=30678870339785", "YQS183557")</f>
        <v>YQS183557</v>
      </c>
      <c r="B3162" t="s">
        <v>822</v>
      </c>
      <c r="C3162">
        <v>250.2</v>
      </c>
      <c r="D3162">
        <v>271.95999999999998</v>
      </c>
      <c r="E3162">
        <v>271.97000000000003</v>
      </c>
      <c r="F3162">
        <v>-0.01</v>
      </c>
    </row>
    <row r="3163" spans="1:6" x14ac:dyDescent="0.3">
      <c r="A3163" t="str">
        <f>HYPERLINK("https://us2.cloudbeds.com/connect/10074733072513#/reservations/30677800779999?display=YQR6U72JK&amp;reservation_id=30677800779999", "YQR6U72JK")</f>
        <v>YQR6U72JK</v>
      </c>
      <c r="B3163" t="s">
        <v>829</v>
      </c>
      <c r="C3163">
        <v>134.1</v>
      </c>
      <c r="D3163">
        <v>145.76</v>
      </c>
      <c r="E3163">
        <v>145.77000000000001</v>
      </c>
      <c r="F3163">
        <v>-0.01</v>
      </c>
    </row>
    <row r="3164" spans="1:6" x14ac:dyDescent="0.3">
      <c r="A3164" t="str">
        <f>HYPERLINK("https://us2.cloudbeds.com/connect/10074733072513#/reservations/30687138259114?display=YR1EGR6J6&amp;reservation_id=30687138259114", "YR1EGR6J6")</f>
        <v>YR1EGR6J6</v>
      </c>
      <c r="B3164" t="s">
        <v>786</v>
      </c>
      <c r="C3164">
        <v>270.2</v>
      </c>
      <c r="D3164">
        <v>293.7</v>
      </c>
      <c r="E3164">
        <v>293.70999999999998</v>
      </c>
      <c r="F3164">
        <v>-0.01</v>
      </c>
    </row>
    <row r="3165" spans="1:6" x14ac:dyDescent="0.3">
      <c r="A3165" t="str">
        <f>HYPERLINK("https://us2.cloudbeds.com/connect/10074733072513#/reservations/30685950165198?display=YR0H4WZ88&amp;reservation_id=30685950165198", "YR0H4WZ88")</f>
        <v>YR0H4WZ88</v>
      </c>
      <c r="B3165" t="s">
        <v>855</v>
      </c>
      <c r="C3165">
        <v>118.15</v>
      </c>
      <c r="D3165">
        <v>128.41999999999999</v>
      </c>
      <c r="E3165">
        <v>128.43</v>
      </c>
      <c r="F3165">
        <v>-0.01</v>
      </c>
    </row>
    <row r="3166" spans="1:6" x14ac:dyDescent="0.3">
      <c r="A3166" t="str">
        <f>HYPERLINK("https://us2.cloudbeds.com/connect/10074733072513#/reservations/30678252789985?display=YQRXFBUEU&amp;reservation_id=30678252789985", "YQRXFBUEU")</f>
        <v>YQRXFBUEU</v>
      </c>
      <c r="B3166" t="s">
        <v>827</v>
      </c>
      <c r="C3166">
        <v>270.2</v>
      </c>
      <c r="D3166">
        <v>293.7</v>
      </c>
      <c r="E3166">
        <v>293.70999999999998</v>
      </c>
      <c r="F3166">
        <v>-0.01</v>
      </c>
    </row>
    <row r="3167" spans="1:6" x14ac:dyDescent="0.3">
      <c r="A3167" t="str">
        <f>HYPERLINK("https://us2.cloudbeds.com/connect/10074733072513#/reservations/30686616703137?display=YR11614FK&amp;reservation_id=30686616703137", "YR11614FK")</f>
        <v>YR11614FK</v>
      </c>
      <c r="B3167" t="s">
        <v>688</v>
      </c>
      <c r="C3167">
        <v>134.1</v>
      </c>
      <c r="D3167">
        <v>145.76</v>
      </c>
      <c r="E3167">
        <v>145.77000000000001</v>
      </c>
      <c r="F3167">
        <v>-0.01</v>
      </c>
    </row>
    <row r="3168" spans="1:6" x14ac:dyDescent="0.3">
      <c r="A3168" t="str">
        <f>HYPERLINK("https://us2.cloudbeds.com/connect/10074733072513#/reservations/30686616699044?display=YR11610NJ&amp;reservation_id=30686616699044", "YR11610NJ")</f>
        <v>YR11610NJ</v>
      </c>
      <c r="B3168" t="s">
        <v>688</v>
      </c>
      <c r="C3168">
        <v>134.1</v>
      </c>
      <c r="D3168">
        <v>145.76</v>
      </c>
      <c r="E3168">
        <v>145.77000000000001</v>
      </c>
      <c r="F3168">
        <v>-0.01</v>
      </c>
    </row>
    <row r="3169" spans="1:6" x14ac:dyDescent="0.3">
      <c r="A3169" t="str">
        <f>HYPERLINK("https://us2.cloudbeds.com/connect/10074733072513#/reservations/30678051012787?display=YQRDA75PC&amp;reservation_id=30678051012787", "YQRDA75PC")</f>
        <v>YQRDA75PC</v>
      </c>
      <c r="B3169" t="s">
        <v>844</v>
      </c>
      <c r="C3169">
        <v>134.1</v>
      </c>
      <c r="D3169">
        <v>145.76</v>
      </c>
      <c r="E3169">
        <v>145.77000000000001</v>
      </c>
      <c r="F3169">
        <v>-0.01</v>
      </c>
    </row>
    <row r="3170" spans="1:6" x14ac:dyDescent="0.3">
      <c r="A3170" t="str">
        <f>HYPERLINK("https://us2.cloudbeds.com/connect/10074733072513#/reservations/30678693515427?display=YQRTNWP0B&amp;reservation_id=30678693515427", "YQRTNWP0B")</f>
        <v>YQRTNWP0B</v>
      </c>
      <c r="B3170" t="s">
        <v>852</v>
      </c>
      <c r="C3170">
        <v>118.15</v>
      </c>
      <c r="D3170">
        <v>128.41999999999999</v>
      </c>
      <c r="E3170">
        <v>128.43</v>
      </c>
      <c r="F3170">
        <v>-0.01</v>
      </c>
    </row>
    <row r="3171" spans="1:6" x14ac:dyDescent="0.3">
      <c r="A3171" t="str">
        <f>HYPERLINK("https://us2.cloudbeds.com/connect/10074733072513#/reservations/30679324860569?display=YQSCSBSK9&amp;reservation_id=30679324860569", "YQSCSBSK9")</f>
        <v>YQSCSBSK9</v>
      </c>
      <c r="B3171" t="s">
        <v>850</v>
      </c>
      <c r="C3171">
        <v>74.12</v>
      </c>
      <c r="D3171">
        <v>80.56</v>
      </c>
      <c r="E3171">
        <v>80.569999999999993</v>
      </c>
      <c r="F3171">
        <v>-0.01</v>
      </c>
    </row>
    <row r="3172" spans="1:6" x14ac:dyDescent="0.3">
      <c r="A3172" t="str">
        <f>HYPERLINK("https://us2.cloudbeds.com/connect/10074733072513#/reservations/30678039036033?display=YQRD03TRE&amp;reservation_id=30678039036033", "YQRD03TRE")</f>
        <v>YQRD03TRE</v>
      </c>
      <c r="B3172" t="s">
        <v>857</v>
      </c>
      <c r="C3172">
        <v>270.2</v>
      </c>
      <c r="D3172">
        <v>293.7</v>
      </c>
      <c r="E3172">
        <v>293.70999999999998</v>
      </c>
      <c r="F3172">
        <v>-0.01</v>
      </c>
    </row>
    <row r="3173" spans="1:6" x14ac:dyDescent="0.3">
      <c r="A3173" t="str">
        <f>HYPERLINK("https://us2.cloudbeds.com/connect/10074733072513#/reservations/30677422026892?display=YQQU7RNJZ&amp;reservation_id=30677422026892", "YQQU7RNJZ")</f>
        <v>YQQU7RNJZ</v>
      </c>
      <c r="B3173" t="s">
        <v>827</v>
      </c>
      <c r="C3173">
        <v>134.1</v>
      </c>
      <c r="D3173">
        <v>145.76</v>
      </c>
      <c r="E3173">
        <v>145.77000000000001</v>
      </c>
      <c r="F3173">
        <v>-0.01</v>
      </c>
    </row>
    <row r="3174" spans="1:6" x14ac:dyDescent="0.3">
      <c r="A3174" t="str">
        <f>HYPERLINK("https://us2.cloudbeds.com/connect/10074733072513#/reservations/30676648022227?display=YQQAF5TGU&amp;reservation_id=30676648022227", "YQQAF5TGU")</f>
        <v>YQQAF5TGU</v>
      </c>
      <c r="B3174" t="s">
        <v>830</v>
      </c>
      <c r="C3174">
        <v>134.1</v>
      </c>
      <c r="D3174">
        <v>145.76</v>
      </c>
      <c r="E3174">
        <v>145.77000000000001</v>
      </c>
      <c r="F3174">
        <v>-0.01</v>
      </c>
    </row>
    <row r="3175" spans="1:6" x14ac:dyDescent="0.3">
      <c r="A3175" t="str">
        <f>HYPERLINK("https://us2.cloudbeds.com/connect/10074733072513#/reservations/30677777342613?display=YQR6AETYQ&amp;reservation_id=30677777342613", "YQR6AETYQ")</f>
        <v>YQR6AETYQ</v>
      </c>
      <c r="B3175" t="s">
        <v>793</v>
      </c>
      <c r="C3175">
        <v>268.2</v>
      </c>
      <c r="D3175">
        <v>291.52</v>
      </c>
      <c r="E3175">
        <v>291.52999999999997</v>
      </c>
      <c r="F3175">
        <v>-0.01</v>
      </c>
    </row>
    <row r="3176" spans="1:6" x14ac:dyDescent="0.3">
      <c r="A3176" t="str">
        <f>HYPERLINK("https://us2.cloudbeds.com/connect/10074733072513#/reservations/30677808402615?display=YQR73Y67W&amp;reservation_id=30677808402615", "YQR73Y67W")</f>
        <v>YQR73Y67W</v>
      </c>
      <c r="B3176" t="s">
        <v>829</v>
      </c>
      <c r="C3176">
        <v>134.1</v>
      </c>
      <c r="D3176">
        <v>145.76</v>
      </c>
      <c r="E3176">
        <v>145.77000000000001</v>
      </c>
      <c r="F3176">
        <v>-0.01</v>
      </c>
    </row>
    <row r="3177" spans="1:6" x14ac:dyDescent="0.3">
      <c r="A3177" t="str">
        <f>HYPERLINK("https://us2.cloudbeds.com/connect/10074733072513#/reservations/30686318452949?display=YR0QXHT64&amp;reservation_id=30686318452949", "YR0QXHT64")</f>
        <v>YR0QXHT64</v>
      </c>
      <c r="B3177" t="s">
        <v>786</v>
      </c>
      <c r="C3177">
        <v>134.1</v>
      </c>
      <c r="D3177">
        <v>145.76</v>
      </c>
      <c r="E3177">
        <v>145.77000000000001</v>
      </c>
      <c r="F3177">
        <v>-0.01</v>
      </c>
    </row>
    <row r="3178" spans="1:6" x14ac:dyDescent="0.3">
      <c r="A3178" t="str">
        <f>HYPERLINK("https://us2.cloudbeds.com/connect/10074733072513#/reservations/30688010793196?display=YR23QXZKU&amp;reservation_id=30688010793196", "YR23QXZKU")</f>
        <v>YR23QXZKU</v>
      </c>
      <c r="B3178" t="s">
        <v>858</v>
      </c>
      <c r="C3178">
        <v>118.15</v>
      </c>
      <c r="D3178">
        <v>128.41999999999999</v>
      </c>
      <c r="E3178">
        <v>128.43</v>
      </c>
      <c r="F3178">
        <v>-0.01</v>
      </c>
    </row>
    <row r="3179" spans="1:6" x14ac:dyDescent="0.3">
      <c r="A3179" t="str">
        <f>HYPERLINK("https://us2.cloudbeds.com/connect/10074733072513#/reservations/30679038505175?display=YQS5HTK04&amp;reservation_id=30679038505175", "YQS5HTK04")</f>
        <v>YQS5HTK04</v>
      </c>
      <c r="B3179" t="s">
        <v>848</v>
      </c>
      <c r="C3179">
        <v>74.12</v>
      </c>
      <c r="D3179">
        <v>80.56</v>
      </c>
      <c r="E3179">
        <v>80.569999999999993</v>
      </c>
      <c r="F3179">
        <v>-0.01</v>
      </c>
    </row>
    <row r="3180" spans="1:6" x14ac:dyDescent="0.3">
      <c r="A3180" t="str">
        <f>HYPERLINK("https://us2.cloudbeds.com/connect/10074733072513#/reservations/30678380556438?display=YQRYZ370K&amp;reservation_id=30678380556438", "YQRYZ370K")</f>
        <v>YQRYZ370K</v>
      </c>
      <c r="B3180" t="s">
        <v>856</v>
      </c>
      <c r="C3180">
        <v>294.3</v>
      </c>
      <c r="D3180">
        <v>319.89</v>
      </c>
      <c r="E3180">
        <v>319.89999999999998</v>
      </c>
      <c r="F3180">
        <v>-0.01</v>
      </c>
    </row>
    <row r="3181" spans="1:6" x14ac:dyDescent="0.3">
      <c r="A3181" t="str">
        <f>HYPERLINK("https://us2.cloudbeds.com/connect/10074733072513#/reservations/30678072615094?display=YQRDSE9JZ&amp;reservation_id=30678072615094", "YQRDSE9JZ")</f>
        <v>YQRDSE9JZ</v>
      </c>
      <c r="B3181" t="s">
        <v>844</v>
      </c>
      <c r="C3181">
        <v>287.27999999999997</v>
      </c>
      <c r="D3181">
        <v>312.26</v>
      </c>
      <c r="E3181">
        <v>312.27</v>
      </c>
      <c r="F3181">
        <v>-0.01</v>
      </c>
    </row>
    <row r="3182" spans="1:6" x14ac:dyDescent="0.3">
      <c r="A3182" t="str">
        <f>HYPERLINK("https://us2.cloudbeds.com/connect/10074733072513#/reservations/30679053463757?display=YQS5UGS2G&amp;reservation_id=30679053463757", "YQS5UGS2G")</f>
        <v>YQS5UGS2G</v>
      </c>
      <c r="B3182" t="s">
        <v>848</v>
      </c>
      <c r="C3182">
        <v>74.12</v>
      </c>
      <c r="D3182">
        <v>80.56</v>
      </c>
      <c r="E3182">
        <v>80.569999999999993</v>
      </c>
      <c r="F3182">
        <v>-0.01</v>
      </c>
    </row>
    <row r="3183" spans="1:6" x14ac:dyDescent="0.3">
      <c r="A3183" t="str">
        <f>HYPERLINK("https://us2.cloudbeds.com/connect/10074733072513#/reservations/30678026694817?display=YQRCMNG76&amp;reservation_id=30678026694817", "YQRCMNG76")</f>
        <v>YQRCMNG76</v>
      </c>
      <c r="B3183" t="s">
        <v>797</v>
      </c>
      <c r="C3183">
        <v>366.3</v>
      </c>
      <c r="D3183">
        <v>398.16</v>
      </c>
      <c r="E3183">
        <v>398.17</v>
      </c>
      <c r="F3183">
        <v>-0.01</v>
      </c>
    </row>
    <row r="3184" spans="1:6" x14ac:dyDescent="0.3">
      <c r="A3184" t="str">
        <f>HYPERLINK("https://us2.cloudbeds.com/connect/10074733072513#/reservations/30688483213487?display=YR2FSUHZA&amp;reservation_id=30688483213487", "YR2FSUHZA")</f>
        <v>YR2FSUHZA</v>
      </c>
      <c r="B3184" t="s">
        <v>801</v>
      </c>
      <c r="C3184">
        <v>268.2</v>
      </c>
      <c r="D3184">
        <v>291.52</v>
      </c>
      <c r="E3184">
        <v>291.52999999999997</v>
      </c>
      <c r="F3184">
        <v>-0.01</v>
      </c>
    </row>
    <row r="3185" spans="1:6" x14ac:dyDescent="0.3">
      <c r="A3185" t="str">
        <f>HYPERLINK("https://us2.cloudbeds.com/connect/10074733072513#/reservations/30677557940378?display=YQR0NENC7&amp;reservation_id=30677557940378", "YQR0NENC7")</f>
        <v>YQR0NENC7</v>
      </c>
      <c r="B3185" t="s">
        <v>822</v>
      </c>
      <c r="C3185">
        <v>134.1</v>
      </c>
      <c r="D3185">
        <v>145.76</v>
      </c>
      <c r="E3185">
        <v>145.77000000000001</v>
      </c>
      <c r="F3185">
        <v>-0.01</v>
      </c>
    </row>
    <row r="3186" spans="1:6" x14ac:dyDescent="0.3">
      <c r="A3186" t="str">
        <f>HYPERLINK("https://us2.cloudbeds.com/connect/10074733072513#/reservations/30688486588553?display=YR2FVPEW0&amp;reservation_id=30688486588553", "YR2FVPEW0")</f>
        <v>YR2FVPEW0</v>
      </c>
      <c r="B3186" t="s">
        <v>801</v>
      </c>
      <c r="C3186">
        <v>134.1</v>
      </c>
      <c r="D3186">
        <v>145.76</v>
      </c>
      <c r="E3186">
        <v>145.77000000000001</v>
      </c>
      <c r="F3186">
        <v>-0.01</v>
      </c>
    </row>
    <row r="3187" spans="1:6" x14ac:dyDescent="0.3">
      <c r="A3187" t="str">
        <f>HYPERLINK("https://us2.cloudbeds.com/connect/10074733072513#/reservations/30678010093718?display=YQRC8NHSJ&amp;reservation_id=30678010093718", "YQRC8NHSJ")</f>
        <v>YQRC8NHSJ</v>
      </c>
      <c r="B3187" t="s">
        <v>835</v>
      </c>
      <c r="C3187">
        <v>74.12</v>
      </c>
      <c r="D3187">
        <v>80.56</v>
      </c>
      <c r="E3187">
        <v>80.569999999999993</v>
      </c>
      <c r="F3187">
        <v>-0.01</v>
      </c>
    </row>
    <row r="3188" spans="1:6" x14ac:dyDescent="0.3">
      <c r="A3188" t="str">
        <f>HYPERLINK("https://us2.cloudbeds.com/connect/10074733072513#/reservations/30678003249400?display=YQRC2V2U0&amp;reservation_id=30678003249400", "YQRC2V2U0")</f>
        <v>YQRC2V2U0</v>
      </c>
      <c r="B3188" t="s">
        <v>835</v>
      </c>
      <c r="C3188">
        <v>74.12</v>
      </c>
      <c r="D3188">
        <v>80.56</v>
      </c>
      <c r="E3188">
        <v>80.569999999999993</v>
      </c>
      <c r="F3188">
        <v>-0.01</v>
      </c>
    </row>
    <row r="3189" spans="1:6" x14ac:dyDescent="0.3">
      <c r="A3189" t="str">
        <f>HYPERLINK("https://us2.cloudbeds.com/connect/10074733072513#/reservations/30677990473928?display=YQRBP5JHG&amp;reservation_id=30677990473928", "YQRBP5JHG")</f>
        <v>YQRBP5JHG</v>
      </c>
      <c r="B3189" t="s">
        <v>835</v>
      </c>
      <c r="C3189">
        <v>74.12</v>
      </c>
      <c r="D3189">
        <v>80.56</v>
      </c>
      <c r="E3189">
        <v>80.569999999999993</v>
      </c>
      <c r="F3189">
        <v>-0.01</v>
      </c>
    </row>
    <row r="3190" spans="1:6" x14ac:dyDescent="0.3">
      <c r="A3190" t="str">
        <f>HYPERLINK("https://us2.cloudbeds.com/connect/10074733072513#/reservations/30677982466194?display=YQRBXDP7T&amp;reservation_id=30677982466194", "YQRBXDP7T")</f>
        <v>YQRBXDP7T</v>
      </c>
      <c r="B3190" t="s">
        <v>844</v>
      </c>
      <c r="C3190">
        <v>268.2</v>
      </c>
      <c r="D3190">
        <v>291.52</v>
      </c>
      <c r="E3190">
        <v>291.52999999999997</v>
      </c>
      <c r="F3190">
        <v>-0.01</v>
      </c>
    </row>
    <row r="3191" spans="1:6" x14ac:dyDescent="0.3">
      <c r="A3191" t="str">
        <f>HYPERLINK("https://us2.cloudbeds.com/connect/10074733072513#/reservations/30678022463616?display=YQRCDV77J&amp;reservation_id=30678022463616", "YQRCDV77J")</f>
        <v>YQRCDV77J</v>
      </c>
      <c r="B3191" t="s">
        <v>835</v>
      </c>
      <c r="C3191">
        <v>74.12</v>
      </c>
      <c r="D3191">
        <v>80.56</v>
      </c>
      <c r="E3191">
        <v>80.569999999999993</v>
      </c>
      <c r="F3191">
        <v>-0.01</v>
      </c>
    </row>
    <row r="3192" spans="1:6" x14ac:dyDescent="0.3">
      <c r="A3192" t="str">
        <f>HYPERLINK("https://us2.cloudbeds.com/connect/10074733072513#/reservations/30678349930726?display=YQRKV907Z&amp;reservation_id=30678349930726", "YQRKV907Z")</f>
        <v>YQRKV907Z</v>
      </c>
      <c r="B3192" t="s">
        <v>856</v>
      </c>
      <c r="C3192">
        <v>74.12</v>
      </c>
      <c r="D3192">
        <v>80.56</v>
      </c>
      <c r="E3192">
        <v>80.569999999999993</v>
      </c>
      <c r="F3192">
        <v>-0.01</v>
      </c>
    </row>
    <row r="3193" spans="1:6" x14ac:dyDescent="0.3">
      <c r="A3193" t="str">
        <f>HYPERLINK("https://us2.cloudbeds.com/connect/10074733072513#/reservations/30678444081281?display=YQRNBYT6S&amp;reservation_id=30678444081281", "YQRNBYT6S")</f>
        <v>YQRNBYT6S</v>
      </c>
      <c r="B3193" t="s">
        <v>856</v>
      </c>
      <c r="C3193">
        <v>74.12</v>
      </c>
      <c r="D3193">
        <v>80.56</v>
      </c>
      <c r="E3193">
        <v>80.569999999999993</v>
      </c>
      <c r="F3193">
        <v>-0.01</v>
      </c>
    </row>
    <row r="3194" spans="1:6" x14ac:dyDescent="0.3">
      <c r="A3194" t="str">
        <f>HYPERLINK("https://us2.cloudbeds.com/connect/10074733072513#/reservations/30678022467720?display=YQRCJ4SJB&amp;reservation_id=30678022467720", "YQRCJ4SJB")</f>
        <v>YQRCJ4SJB</v>
      </c>
      <c r="B3194" t="s">
        <v>835</v>
      </c>
      <c r="C3194">
        <v>74.12</v>
      </c>
      <c r="D3194">
        <v>80.56</v>
      </c>
      <c r="E3194">
        <v>80.569999999999993</v>
      </c>
      <c r="F3194">
        <v>-0.01</v>
      </c>
    </row>
    <row r="3195" spans="1:6" x14ac:dyDescent="0.3">
      <c r="A3195" t="str">
        <f>HYPERLINK("https://us2.cloudbeds.com/connect/10074733072513#/reservations/30677543239899?display=YQR0B1YA5&amp;reservation_id=30677543239899", "YQR0B1YA5")</f>
        <v>YQR0B1YA5</v>
      </c>
      <c r="B3195" t="s">
        <v>822</v>
      </c>
      <c r="C3195">
        <v>134.1</v>
      </c>
      <c r="D3195">
        <v>145.76</v>
      </c>
      <c r="E3195">
        <v>145.77000000000001</v>
      </c>
      <c r="F3195">
        <v>-0.01</v>
      </c>
    </row>
    <row r="3196" spans="1:6" x14ac:dyDescent="0.3">
      <c r="A3196" t="str">
        <f>HYPERLINK("https://us2.cloudbeds.com/connect/10074733072513#/reservations/30677995606173?display=YQRBTGDB2&amp;reservation_id=30677995606173", "YQRBTGDB2")</f>
        <v>YQRBTGDB2</v>
      </c>
      <c r="B3196" t="s">
        <v>862</v>
      </c>
      <c r="C3196">
        <v>196.2</v>
      </c>
      <c r="D3196">
        <v>213.26</v>
      </c>
      <c r="E3196">
        <v>213.27</v>
      </c>
      <c r="F3196">
        <v>-0.01</v>
      </c>
    </row>
    <row r="3197" spans="1:6" x14ac:dyDescent="0.3">
      <c r="A3197" t="str">
        <f>HYPERLINK("https://us2.cloudbeds.com/connect/10074733072513#/reservations/30677577662696?display=YQR172GS7&amp;reservation_id=30677577662696", "YQR172GS7")</f>
        <v>YQR172GS7</v>
      </c>
      <c r="B3197" t="s">
        <v>822</v>
      </c>
      <c r="C3197">
        <v>124.1</v>
      </c>
      <c r="D3197">
        <v>134.88999999999999</v>
      </c>
      <c r="E3197">
        <v>134.9</v>
      </c>
      <c r="F3197">
        <v>-0.01</v>
      </c>
    </row>
    <row r="3198" spans="1:6" x14ac:dyDescent="0.3">
      <c r="A3198" t="str">
        <f>HYPERLINK("https://us2.cloudbeds.com/connect/10074733072513#/reservations/30678246453446?display=YQRXA0JPJ&amp;reservation_id=30678246453446", "YQRXA0JPJ")</f>
        <v>YQRXA0JPJ</v>
      </c>
      <c r="B3198" t="s">
        <v>822</v>
      </c>
      <c r="C3198">
        <v>74.12</v>
      </c>
      <c r="D3198">
        <v>80.56</v>
      </c>
      <c r="E3198">
        <v>80.569999999999993</v>
      </c>
      <c r="F3198">
        <v>-0.01</v>
      </c>
    </row>
    <row r="3199" spans="1:6" x14ac:dyDescent="0.3">
      <c r="A3199" t="str">
        <f>HYPERLINK("https://us2.cloudbeds.com/connect/10074733072513#/reservations/30677955731673?display=YQRASSRKT&amp;reservation_id=30677955731673", "YQRASSRKT")</f>
        <v>YQRASSRKT</v>
      </c>
      <c r="B3199" t="s">
        <v>844</v>
      </c>
      <c r="C3199">
        <v>134.1</v>
      </c>
      <c r="D3199">
        <v>145.76</v>
      </c>
      <c r="E3199">
        <v>145.77000000000001</v>
      </c>
      <c r="F3199">
        <v>-0.01</v>
      </c>
    </row>
    <row r="3200" spans="1:6" x14ac:dyDescent="0.3">
      <c r="A3200" t="str">
        <f>HYPERLINK("https://us2.cloudbeds.com/connect/10074733072513#/reservations/30678036123790?display=YQRCUYSJY&amp;reservation_id=30678036123790", "YQRCUYSJY")</f>
        <v>YQRCUYSJY</v>
      </c>
      <c r="B3200" t="s">
        <v>844</v>
      </c>
      <c r="C3200">
        <v>268.2</v>
      </c>
      <c r="D3200">
        <v>291.52</v>
      </c>
      <c r="E3200">
        <v>291.52999999999997</v>
      </c>
      <c r="F3200">
        <v>-0.01</v>
      </c>
    </row>
    <row r="3201" spans="1:6" x14ac:dyDescent="0.3">
      <c r="A3201" t="str">
        <f>HYPERLINK("https://us2.cloudbeds.com/connect/10074733072513#/reservations/30678327824591?display=YQRKCKSZS&amp;reservation_id=30678327824591", "YQRKCKSZS")</f>
        <v>YQRKCKSZS</v>
      </c>
      <c r="B3201" t="s">
        <v>789</v>
      </c>
      <c r="C3201">
        <v>74.12</v>
      </c>
      <c r="D3201">
        <v>80.56</v>
      </c>
      <c r="E3201">
        <v>80.569999999999993</v>
      </c>
      <c r="F3201">
        <v>-0.01</v>
      </c>
    </row>
    <row r="3202" spans="1:6" x14ac:dyDescent="0.3">
      <c r="A3202" t="str">
        <f>HYPERLINK("https://us2.cloudbeds.com/connect/10074733072513#/reservations/30676469563601?display=YQQ5TN0YP&amp;reservation_id=30676469563601", "YQQ5TN0YP")</f>
        <v>YQQ5TN0YP</v>
      </c>
      <c r="B3202" t="s">
        <v>849</v>
      </c>
      <c r="C3202">
        <v>540.4</v>
      </c>
      <c r="D3202">
        <v>587.4</v>
      </c>
      <c r="E3202">
        <v>587.41</v>
      </c>
      <c r="F3202">
        <v>-0.01</v>
      </c>
    </row>
    <row r="3203" spans="1:6" x14ac:dyDescent="0.3">
      <c r="A3203" t="str">
        <f>HYPERLINK("https://us2.cloudbeds.com/connect/10074733072513#/reservations/30678290604255?display=YQRJE859T&amp;reservation_id=30678290604255", "YQRJE859T")</f>
        <v>YQRJE859T</v>
      </c>
      <c r="B3203" t="s">
        <v>789</v>
      </c>
      <c r="C3203">
        <v>109</v>
      </c>
      <c r="D3203">
        <v>118.47</v>
      </c>
      <c r="E3203">
        <v>118.48</v>
      </c>
      <c r="F3203">
        <v>-0.01</v>
      </c>
    </row>
    <row r="3204" spans="1:6" x14ac:dyDescent="0.3">
      <c r="A3204" t="str">
        <f>HYPERLINK("https://us2.cloudbeds.com/connect/10074733072513#/reservations/30676949426332?display=YQQX5ATVY&amp;reservation_id=30676949426332", "YQQX5ATVY")</f>
        <v>YQQX5ATVY</v>
      </c>
      <c r="B3204" t="s">
        <v>863</v>
      </c>
      <c r="C3204">
        <v>74.12</v>
      </c>
      <c r="D3204">
        <v>80.56</v>
      </c>
      <c r="E3204">
        <v>80.569999999999993</v>
      </c>
      <c r="F3204">
        <v>-0.01</v>
      </c>
    </row>
    <row r="3205" spans="1:6" x14ac:dyDescent="0.3">
      <c r="A3205" t="str">
        <f>HYPERLINK("https://us2.cloudbeds.com/connect/10074733072513#/reservations/30677882491012?display=YQR903QYU&amp;reservation_id=30677882491012", "YQR903QYU")</f>
        <v>YQR903QYU</v>
      </c>
      <c r="B3205" t="s">
        <v>864</v>
      </c>
      <c r="C3205">
        <v>98.69</v>
      </c>
      <c r="D3205">
        <v>107.27</v>
      </c>
      <c r="E3205">
        <v>107.28</v>
      </c>
      <c r="F3205">
        <v>-0.01</v>
      </c>
    </row>
    <row r="3206" spans="1:6" x14ac:dyDescent="0.3">
      <c r="A3206" t="str">
        <f>HYPERLINK("https://us2.cloudbeds.com/connect/10074733072513#/reservations/30677673644235?display=YQR3M0B5N&amp;reservation_id=30677673644235", "YQR3M0B5N")</f>
        <v>YQR3M0B5N</v>
      </c>
      <c r="B3206" t="s">
        <v>865</v>
      </c>
      <c r="C3206">
        <v>118.15</v>
      </c>
      <c r="D3206">
        <v>128.41999999999999</v>
      </c>
      <c r="E3206">
        <v>128.43</v>
      </c>
      <c r="F3206">
        <v>-0.01</v>
      </c>
    </row>
    <row r="3207" spans="1:6" x14ac:dyDescent="0.3">
      <c r="A3207" t="str">
        <f>HYPERLINK("https://us2.cloudbeds.com/connect/10074733072513#/reservations/30677192048833?display=YQQZBU7QY&amp;reservation_id=30677192048833", "YQQZBU7QY")</f>
        <v>YQQZBU7QY</v>
      </c>
      <c r="B3207" t="s">
        <v>740</v>
      </c>
      <c r="C3207">
        <v>134.1</v>
      </c>
      <c r="D3207">
        <v>145.76</v>
      </c>
      <c r="E3207">
        <v>145.77000000000001</v>
      </c>
      <c r="F3207">
        <v>-0.01</v>
      </c>
    </row>
    <row r="3208" spans="1:6" x14ac:dyDescent="0.3">
      <c r="A3208" t="str">
        <f>HYPERLINK("https://us2.cloudbeds.com/connect/10074733072513#/reservations/30678539018395?display=YQRPPNYF3&amp;reservation_id=30678539018395", "YQRPPNYF3")</f>
        <v>YQRPPNYF3</v>
      </c>
      <c r="B3208" t="s">
        <v>864</v>
      </c>
      <c r="C3208">
        <v>74.12</v>
      </c>
      <c r="D3208">
        <v>80.56</v>
      </c>
      <c r="E3208">
        <v>80.569999999999993</v>
      </c>
      <c r="F3208">
        <v>-0.01</v>
      </c>
    </row>
    <row r="3209" spans="1:6" x14ac:dyDescent="0.3">
      <c r="A3209" t="str">
        <f>HYPERLINK("https://us2.cloudbeds.com/connect/10074733072513#/reservations/30677683253397?display=YQR3U3Z0E&amp;reservation_id=30677683253397", "YQR3U3Z0E")</f>
        <v>YQR3U3Z0E</v>
      </c>
      <c r="B3209" t="s">
        <v>866</v>
      </c>
      <c r="C3209">
        <v>196.2</v>
      </c>
      <c r="D3209">
        <v>213.26</v>
      </c>
      <c r="E3209">
        <v>213.27</v>
      </c>
      <c r="F3209">
        <v>-0.01</v>
      </c>
    </row>
    <row r="3210" spans="1:6" x14ac:dyDescent="0.3">
      <c r="A3210" t="str">
        <f>HYPERLINK("https://us2.cloudbeds.com/connect/10074733072513#/reservations/30688110522614?display=YR26BYSHG&amp;reservation_id=30688110522614", "YR26BYSHG")</f>
        <v>YR26BYSHG</v>
      </c>
      <c r="B3210" t="s">
        <v>832</v>
      </c>
      <c r="C3210">
        <v>456.3</v>
      </c>
      <c r="D3210">
        <v>495.99</v>
      </c>
      <c r="E3210">
        <v>496</v>
      </c>
      <c r="F3210">
        <v>-0.01</v>
      </c>
    </row>
    <row r="3211" spans="1:6" x14ac:dyDescent="0.3">
      <c r="A3211" t="str">
        <f>HYPERLINK("https://us2.cloudbeds.com/connect/10074733072513#/reservations/30677607162088?display=YQR1VVCC6&amp;reservation_id=30677607162088", "YQR1VVCC6")</f>
        <v>YQR1VVCC6</v>
      </c>
      <c r="B3211" t="s">
        <v>793</v>
      </c>
      <c r="C3211">
        <v>118.15</v>
      </c>
      <c r="D3211">
        <v>128.41999999999999</v>
      </c>
      <c r="E3211">
        <v>128.43</v>
      </c>
      <c r="F3211">
        <v>-0.01</v>
      </c>
    </row>
    <row r="3212" spans="1:6" x14ac:dyDescent="0.3">
      <c r="A3212" t="str">
        <f>HYPERLINK("https://us2.cloudbeds.com/connect/10074733072513#/reservations/30678177144972?display=YQRGHXWKQ&amp;reservation_id=30678177144972", "YQRGHXWKQ")</f>
        <v>YQRGHXWKQ</v>
      </c>
      <c r="B3212" t="s">
        <v>723</v>
      </c>
      <c r="C3212">
        <v>74.12</v>
      </c>
      <c r="D3212">
        <v>80.56</v>
      </c>
      <c r="E3212">
        <v>80.569999999999993</v>
      </c>
      <c r="F3212">
        <v>-0.01</v>
      </c>
    </row>
    <row r="3213" spans="1:6" x14ac:dyDescent="0.3">
      <c r="A3213" t="str">
        <f>HYPERLINK("https://us2.cloudbeds.com/connect/10074733072513#/reservations/30677888467105?display=YQR9553BY&amp;reservation_id=30677888467105", "YQR9553BY")</f>
        <v>YQR9553BY</v>
      </c>
      <c r="B3213" t="s">
        <v>825</v>
      </c>
      <c r="C3213">
        <v>76.16</v>
      </c>
      <c r="D3213">
        <v>82.78</v>
      </c>
      <c r="E3213">
        <v>82.79</v>
      </c>
      <c r="F3213">
        <v>-0.01</v>
      </c>
    </row>
    <row r="3214" spans="1:6" x14ac:dyDescent="0.3">
      <c r="A3214" t="str">
        <f>HYPERLINK("https://us2.cloudbeds.com/connect/10074733072513#/reservations/30677607182529?display=YQR1VVV4K&amp;reservation_id=30677607182529", "YQR1VVV4K")</f>
        <v>YQR1VVV4K</v>
      </c>
      <c r="B3214" t="s">
        <v>829</v>
      </c>
      <c r="C3214">
        <v>134.1</v>
      </c>
      <c r="D3214">
        <v>145.76</v>
      </c>
      <c r="E3214">
        <v>145.77000000000001</v>
      </c>
      <c r="F3214">
        <v>-0.01</v>
      </c>
    </row>
    <row r="3215" spans="1:6" x14ac:dyDescent="0.3">
      <c r="A3215" t="str">
        <f>HYPERLINK("https://us2.cloudbeds.com/connect/10074733072513#/reservations/30686638629000?display=YR11ZH8DN&amp;reservation_id=30686638629000", "YR11ZH8DN")</f>
        <v>YR11ZH8DN</v>
      </c>
      <c r="B3215" t="s">
        <v>688</v>
      </c>
      <c r="C3215">
        <v>170.1</v>
      </c>
      <c r="D3215">
        <v>184.89</v>
      </c>
      <c r="E3215">
        <v>184.9</v>
      </c>
      <c r="F3215">
        <v>-0.01</v>
      </c>
    </row>
    <row r="3216" spans="1:6" x14ac:dyDescent="0.3">
      <c r="A3216" t="str">
        <f>HYPERLINK("https://us2.cloudbeds.com/connect/10074733072513#/reservations/30677823717514?display=YQR7GXBGR&amp;reservation_id=30677823717514", "YQR7GXBGR")</f>
        <v>YQR7GXBGR</v>
      </c>
      <c r="B3216" t="s">
        <v>829</v>
      </c>
      <c r="C3216">
        <v>134.1</v>
      </c>
      <c r="D3216">
        <v>145.76</v>
      </c>
      <c r="E3216">
        <v>145.77000000000001</v>
      </c>
      <c r="F3216">
        <v>-0.01</v>
      </c>
    </row>
    <row r="3217" spans="1:6" x14ac:dyDescent="0.3">
      <c r="A3217" t="str">
        <f>HYPERLINK("https://us2.cloudbeds.com/connect/10074733072513#/reservations/30688086974673?display=YR25ZQK2H&amp;reservation_id=30688086974673", "YR25ZQK2H")</f>
        <v>YR25ZQK2H</v>
      </c>
      <c r="B3217" t="s">
        <v>867</v>
      </c>
      <c r="C3217">
        <v>118.15</v>
      </c>
      <c r="D3217">
        <v>128.41999999999999</v>
      </c>
      <c r="E3217">
        <v>128.43</v>
      </c>
      <c r="F3217">
        <v>-0.01</v>
      </c>
    </row>
    <row r="3218" spans="1:6" x14ac:dyDescent="0.3">
      <c r="A3218" t="str">
        <f>HYPERLINK("https://us2.cloudbeds.com/connect/10074733072513#/reservations/30687756054690?display=YR1U9P8W8&amp;reservation_id=30687756054690", "YR1U9P8W8")</f>
        <v>YR1U9P8W8</v>
      </c>
      <c r="B3218" t="s">
        <v>868</v>
      </c>
      <c r="C3218">
        <v>259.2</v>
      </c>
      <c r="D3218">
        <v>281.74</v>
      </c>
      <c r="E3218">
        <v>281.75</v>
      </c>
      <c r="F3218">
        <v>-0.01</v>
      </c>
    </row>
    <row r="3219" spans="1:6" x14ac:dyDescent="0.3">
      <c r="A3219" t="str">
        <f>HYPERLINK("https://us2.cloudbeds.com/connect/10074733072513#/reservations/30678219387095?display=YQRHK6EF4&amp;reservation_id=30678219387095", "YQRHK6EF4")</f>
        <v>YQRHK6EF4</v>
      </c>
      <c r="B3219" t="s">
        <v>759</v>
      </c>
      <c r="C3219">
        <v>134.1</v>
      </c>
      <c r="D3219">
        <v>145.76</v>
      </c>
      <c r="E3219">
        <v>145.77000000000001</v>
      </c>
      <c r="F3219">
        <v>-0.01</v>
      </c>
    </row>
    <row r="3220" spans="1:6" x14ac:dyDescent="0.3">
      <c r="A3220" t="str">
        <f>HYPERLINK("https://us2.cloudbeds.com/connect/10074733072513#/reservations/30677916774538?display=YQR9T0QAY&amp;reservation_id=30677916774538", "YQR9T0QAY")</f>
        <v>YQR9T0QAY</v>
      </c>
      <c r="B3220" t="s">
        <v>793</v>
      </c>
      <c r="C3220">
        <v>134.1</v>
      </c>
      <c r="D3220">
        <v>145.76</v>
      </c>
      <c r="E3220">
        <v>145.77000000000001</v>
      </c>
      <c r="F3220">
        <v>-0.01</v>
      </c>
    </row>
    <row r="3221" spans="1:6" x14ac:dyDescent="0.3">
      <c r="A3221" t="str">
        <f>HYPERLINK("https://us2.cloudbeds.com/connect/10074733072513#/reservations/30676907061439?display=YQQH2K1D0&amp;reservation_id=30676907061439", "YQQH2K1D0")</f>
        <v>YQQH2K1D0</v>
      </c>
      <c r="B3221" t="s">
        <v>829</v>
      </c>
      <c r="C3221">
        <v>134.1</v>
      </c>
      <c r="D3221">
        <v>145.76</v>
      </c>
      <c r="E3221">
        <v>145.77000000000001</v>
      </c>
      <c r="F3221">
        <v>-0.01</v>
      </c>
    </row>
    <row r="3222" spans="1:6" x14ac:dyDescent="0.3">
      <c r="A3222" t="str">
        <f>HYPERLINK("https://us2.cloudbeds.com/connect/10074733072513#/reservations/30677897449682?display=YQR9CZ1QV&amp;reservation_id=30677897449682", "YQR9CZ1QV")</f>
        <v>YQR9CZ1QV</v>
      </c>
      <c r="B3222" t="s">
        <v>825</v>
      </c>
      <c r="C3222">
        <v>74.12</v>
      </c>
      <c r="D3222">
        <v>80.56</v>
      </c>
      <c r="E3222">
        <v>80.569999999999993</v>
      </c>
      <c r="F3222">
        <v>-0.01</v>
      </c>
    </row>
    <row r="3223" spans="1:6" x14ac:dyDescent="0.3">
      <c r="A3223" t="str">
        <f>HYPERLINK("https://us2.cloudbeds.com/connect/10074733072513#/reservations/30688123609311?display=YR26MN0N2&amp;reservation_id=30688123609311", "YR26MN0N2")</f>
        <v>YR26MN0N2</v>
      </c>
      <c r="B3223" t="s">
        <v>832</v>
      </c>
      <c r="C3223">
        <v>405.6</v>
      </c>
      <c r="D3223">
        <v>440.88</v>
      </c>
      <c r="E3223">
        <v>440.89</v>
      </c>
      <c r="F3223">
        <v>-0.01</v>
      </c>
    </row>
    <row r="3224" spans="1:6" x14ac:dyDescent="0.3">
      <c r="A3224" t="str">
        <f>HYPERLINK("https://us2.cloudbeds.com/connect/10074733072513#/reservations/30676502229153?display=YQQ6Z7WXW&amp;reservation_id=30676502229153", "YQQ6Z7WXW")</f>
        <v>YQQ6Z7WXW</v>
      </c>
      <c r="B3224" t="s">
        <v>869</v>
      </c>
      <c r="C3224">
        <v>94.16</v>
      </c>
      <c r="D3224">
        <v>102.34</v>
      </c>
      <c r="E3224">
        <v>102.35</v>
      </c>
      <c r="F3224">
        <v>-0.01</v>
      </c>
    </row>
    <row r="3225" spans="1:6" x14ac:dyDescent="0.3">
      <c r="A3225" t="str">
        <f>HYPERLINK("https://us2.cloudbeds.com/connect/10074733072513#/reservations/30684849483917?display=YQWM0SYY1&amp;reservation_id=30684849483917", "YQWM0SYY1")</f>
        <v>YQWM0SYY1</v>
      </c>
      <c r="B3225" t="s">
        <v>870</v>
      </c>
      <c r="C3225">
        <v>250.2</v>
      </c>
      <c r="D3225">
        <v>271.95999999999998</v>
      </c>
      <c r="E3225">
        <v>271.97000000000003</v>
      </c>
      <c r="F3225">
        <v>-0.01</v>
      </c>
    </row>
    <row r="3226" spans="1:6" x14ac:dyDescent="0.3">
      <c r="A3226" t="str">
        <f>HYPERLINK("https://us2.cloudbeds.com/connect/10074733072513#/reservations/30676789465283?display=YQQE2EZV4&amp;reservation_id=30676789465283", "YQQE2EZV4")</f>
        <v>YQQE2EZV4</v>
      </c>
      <c r="B3226" t="s">
        <v>830</v>
      </c>
      <c r="C3226">
        <v>94.16</v>
      </c>
      <c r="D3226">
        <v>102.34</v>
      </c>
      <c r="E3226">
        <v>102.35</v>
      </c>
      <c r="F3226">
        <v>-0.01</v>
      </c>
    </row>
    <row r="3227" spans="1:6" x14ac:dyDescent="0.3">
      <c r="A3227" t="str">
        <f>HYPERLINK("https://us2.cloudbeds.com/connect/10074733072513#/reservations/30678252785906?display=YQRXFBQNA&amp;reservation_id=30678252785906", "YQRXFBQNA")</f>
        <v>YQRXFBQNA</v>
      </c>
      <c r="B3227" t="s">
        <v>759</v>
      </c>
      <c r="C3227">
        <v>134.1</v>
      </c>
      <c r="D3227">
        <v>145.76</v>
      </c>
      <c r="E3227">
        <v>145.77000000000001</v>
      </c>
      <c r="F3227">
        <v>-0.01</v>
      </c>
    </row>
    <row r="3228" spans="1:6" x14ac:dyDescent="0.3">
      <c r="A3228" t="str">
        <f>HYPERLINK("https://us2.cloudbeds.com/connect/10074733072513#/reservations/30678246428875?display=YQRX9WU70&amp;reservation_id=30678246428875", "YQRX9WU70")</f>
        <v>YQRX9WU70</v>
      </c>
      <c r="B3228" t="s">
        <v>759</v>
      </c>
      <c r="C3228">
        <v>134.1</v>
      </c>
      <c r="D3228">
        <v>145.76</v>
      </c>
      <c r="E3228">
        <v>145.77000000000001</v>
      </c>
      <c r="F3228">
        <v>-0.01</v>
      </c>
    </row>
    <row r="3229" spans="1:6" x14ac:dyDescent="0.3">
      <c r="A3229" t="str">
        <f>HYPERLINK("https://us2.cloudbeds.com/connect/10074733072513#/reservations/30678448333013?display=YQRNF86F7&amp;reservation_id=30678448333013", "YQRNF86F7")</f>
        <v>YQRNF86F7</v>
      </c>
      <c r="B3229" t="s">
        <v>871</v>
      </c>
      <c r="C3229">
        <v>73.19</v>
      </c>
      <c r="D3229">
        <v>79.55</v>
      </c>
      <c r="E3229">
        <v>79.56</v>
      </c>
      <c r="F3229">
        <v>-0.01</v>
      </c>
    </row>
    <row r="3230" spans="1:6" x14ac:dyDescent="0.3">
      <c r="A3230" t="str">
        <f>HYPERLINK("https://us2.cloudbeds.com/connect/10074733072513#/reservations/30678455034033?display=YQRNKTYRE&amp;reservation_id=30678455034033", "YQRNKTYRE")</f>
        <v>YQRNKTYRE</v>
      </c>
      <c r="B3230" t="s">
        <v>871</v>
      </c>
      <c r="C3230">
        <v>93.19</v>
      </c>
      <c r="D3230">
        <v>101.29</v>
      </c>
      <c r="E3230">
        <v>101.3</v>
      </c>
      <c r="F3230">
        <v>-0.01</v>
      </c>
    </row>
    <row r="3231" spans="1:6" x14ac:dyDescent="0.3">
      <c r="A3231" t="str">
        <f>HYPERLINK("https://us2.cloudbeds.com/connect/10074733072513#/reservations/30678536958175?display=YQRPNWAK6&amp;reservation_id=30678536958175", "YQRPNWAK6")</f>
        <v>YQRPNWAK6</v>
      </c>
      <c r="B3231" t="s">
        <v>853</v>
      </c>
      <c r="C3231">
        <v>73.19</v>
      </c>
      <c r="D3231">
        <v>79.55</v>
      </c>
      <c r="E3231">
        <v>79.56</v>
      </c>
      <c r="F3231">
        <v>-0.01</v>
      </c>
    </row>
    <row r="3232" spans="1:6" x14ac:dyDescent="0.3">
      <c r="A3232" t="str">
        <f>HYPERLINK("https://us2.cloudbeds.com/connect/10074733072513#/reservations/30676424077523?display=YQQ4ZB9WP&amp;reservation_id=30676424077523", "YQQ4ZB9WP")</f>
        <v>YQQ4ZB9WP</v>
      </c>
      <c r="B3232" t="s">
        <v>873</v>
      </c>
      <c r="C3232">
        <v>456.3</v>
      </c>
      <c r="D3232">
        <v>495.99</v>
      </c>
      <c r="E3232">
        <v>496</v>
      </c>
      <c r="F3232">
        <v>-0.01</v>
      </c>
    </row>
    <row r="3233" spans="1:6" x14ac:dyDescent="0.3">
      <c r="A3233" t="str">
        <f>HYPERLINK("https://us2.cloudbeds.com/connect/10074733072513#/reservations/30677261901965?display=YQQQ4R037&amp;reservation_id=30677261901965", "YQQQ4R037")</f>
        <v>YQQQ4R037</v>
      </c>
      <c r="B3233" t="s">
        <v>740</v>
      </c>
      <c r="C3233">
        <v>497.25</v>
      </c>
      <c r="D3233">
        <v>540.5</v>
      </c>
      <c r="E3233">
        <v>540.51</v>
      </c>
      <c r="F3233">
        <v>-0.01</v>
      </c>
    </row>
    <row r="3234" spans="1:6" x14ac:dyDescent="0.3">
      <c r="A3234" t="str">
        <f>HYPERLINK("https://us2.cloudbeds.com/connect/10074733072513#/reservations/30677547958488?display=YQR0F0V8N&amp;reservation_id=30677547958488", "YQR0F0V8N")</f>
        <v>YQR0F0V8N</v>
      </c>
      <c r="B3234" t="s">
        <v>874</v>
      </c>
      <c r="C3234">
        <v>73.19</v>
      </c>
      <c r="D3234">
        <v>79.55</v>
      </c>
      <c r="E3234">
        <v>79.56</v>
      </c>
      <c r="F3234">
        <v>-0.01</v>
      </c>
    </row>
    <row r="3235" spans="1:6" x14ac:dyDescent="0.3">
      <c r="A3235" t="str">
        <f>HYPERLINK("https://us2.cloudbeds.com/connect/10074733072513#/reservations/30676586242294?display=YQQ8T2PKZ&amp;reservation_id=30676586242294", "YQQ8T2PKZ")</f>
        <v>YQQ8T2PKZ</v>
      </c>
      <c r="B3235" t="s">
        <v>849</v>
      </c>
      <c r="C3235">
        <v>275.24</v>
      </c>
      <c r="D3235">
        <v>299.18</v>
      </c>
      <c r="E3235">
        <v>299.19</v>
      </c>
      <c r="F3235">
        <v>-0.01</v>
      </c>
    </row>
    <row r="3236" spans="1:6" x14ac:dyDescent="0.3">
      <c r="A3236" t="str">
        <f>HYPERLINK("https://us2.cloudbeds.com/connect/10074733072513#/reservations/30677547954383?display=YQR0F0RG9&amp;reservation_id=30677547954383", "YQR0F0RG9")</f>
        <v>YQR0F0RG9</v>
      </c>
      <c r="B3236" t="s">
        <v>853</v>
      </c>
      <c r="C3236">
        <v>73.19</v>
      </c>
      <c r="D3236">
        <v>79.55</v>
      </c>
      <c r="E3236">
        <v>79.56</v>
      </c>
      <c r="F3236">
        <v>-0.01</v>
      </c>
    </row>
    <row r="3237" spans="1:6" x14ac:dyDescent="0.3">
      <c r="A3237" t="str">
        <f>HYPERLINK("https://us2.cloudbeds.com/connect/10074733072513#/reservations/30676856692943?display=YQQFQ4FAV&amp;reservation_id=30676856692943", "YQQFQ4FAV")</f>
        <v>YQQFQ4FAV</v>
      </c>
      <c r="B3237" t="s">
        <v>818</v>
      </c>
      <c r="C3237">
        <v>93.19</v>
      </c>
      <c r="D3237">
        <v>101.29</v>
      </c>
      <c r="E3237">
        <v>101.3</v>
      </c>
      <c r="F3237">
        <v>-0.01</v>
      </c>
    </row>
    <row r="3238" spans="1:6" x14ac:dyDescent="0.3">
      <c r="A3238" t="str">
        <f>HYPERLINK("https://us2.cloudbeds.com/connect/10074733072513#/reservations/30678231105675?display=YQRHU2HAK&amp;reservation_id=30678231105675", "YQRHU2HAK")</f>
        <v>YQRHU2HAK</v>
      </c>
      <c r="B3238" t="s">
        <v>759</v>
      </c>
      <c r="C3238">
        <v>134.1</v>
      </c>
      <c r="D3238">
        <v>145.76</v>
      </c>
      <c r="E3238">
        <v>145.77000000000001</v>
      </c>
      <c r="F3238">
        <v>-0.01</v>
      </c>
    </row>
    <row r="3239" spans="1:6" x14ac:dyDescent="0.3">
      <c r="A3239" t="str">
        <f>HYPERLINK("https://us2.cloudbeds.com/connect/10074733072513#/reservations/30677540024451?display=YQR08B5YB&amp;reservation_id=30677540024451", "YQR08B5YB")</f>
        <v>YQR08B5YB</v>
      </c>
      <c r="B3239" t="s">
        <v>853</v>
      </c>
      <c r="C3239">
        <v>73.19</v>
      </c>
      <c r="D3239">
        <v>79.55</v>
      </c>
      <c r="E3239">
        <v>79.56</v>
      </c>
      <c r="F3239">
        <v>-0.01</v>
      </c>
    </row>
    <row r="3240" spans="1:6" x14ac:dyDescent="0.3">
      <c r="A3240" t="str">
        <f>HYPERLINK("https://us2.cloudbeds.com/connect/10074733072513#/reservations/30677612118166?display=YQR2349DC&amp;reservation_id=30677612118166", "YQR2349DC")</f>
        <v>YQR2349DC</v>
      </c>
      <c r="B3240" t="s">
        <v>829</v>
      </c>
      <c r="C3240">
        <v>366.3</v>
      </c>
      <c r="D3240">
        <v>398.16</v>
      </c>
      <c r="E3240">
        <v>398.17</v>
      </c>
      <c r="F3240">
        <v>-0.01</v>
      </c>
    </row>
    <row r="3241" spans="1:6" x14ac:dyDescent="0.3">
      <c r="A3241" t="str">
        <f>HYPERLINK("https://us2.cloudbeds.com/connect/10074733072513#/reservations/30677621924033?display=YQR2BD4SS&amp;reservation_id=30677621924033", "YQR2BD4SS")</f>
        <v>YQR2BD4SS</v>
      </c>
      <c r="B3241" t="s">
        <v>829</v>
      </c>
      <c r="C3241">
        <v>289.38</v>
      </c>
      <c r="D3241">
        <v>314.55</v>
      </c>
      <c r="E3241">
        <v>314.56</v>
      </c>
      <c r="F3241">
        <v>-0.01</v>
      </c>
    </row>
    <row r="3242" spans="1:6" x14ac:dyDescent="0.3">
      <c r="A3242" t="str">
        <f>HYPERLINK("https://us2.cloudbeds.com/connect/10074733072513#/reservations/30676508688632?display=YQQ6TMZ4P&amp;reservation_id=30676508688632", "YQQ6TMZ4P")</f>
        <v>YQQ6TMZ4P</v>
      </c>
      <c r="B3242" t="s">
        <v>869</v>
      </c>
      <c r="C3242">
        <v>134.1</v>
      </c>
      <c r="D3242">
        <v>145.76</v>
      </c>
      <c r="E3242">
        <v>145.77000000000001</v>
      </c>
      <c r="F3242">
        <v>-0.01</v>
      </c>
    </row>
    <row r="3243" spans="1:6" x14ac:dyDescent="0.3">
      <c r="A3243" t="str">
        <f>HYPERLINK("https://us2.cloudbeds.com/connect/10074733072513#/reservations/30685537079443?display=YR06JM0G3&amp;reservation_id=30685537079443", "YR06JM0G3")</f>
        <v>YR06JM0G3</v>
      </c>
      <c r="B3243" t="s">
        <v>875</v>
      </c>
      <c r="C3243">
        <v>268.2</v>
      </c>
      <c r="D3243">
        <v>291.52</v>
      </c>
      <c r="E3243">
        <v>291.52999999999997</v>
      </c>
      <c r="F3243">
        <v>-0.01</v>
      </c>
    </row>
    <row r="3244" spans="1:6" x14ac:dyDescent="0.3">
      <c r="A3244" t="str">
        <f>HYPERLINK("https://us2.cloudbeds.com/connect/10074733072513#/reservations/30676513005778?display=YQQ70ASFC&amp;reservation_id=30676513005778", "YQQ70ASFC")</f>
        <v>YQQ70ASFC</v>
      </c>
      <c r="B3244" t="s">
        <v>869</v>
      </c>
      <c r="C3244">
        <v>143.65</v>
      </c>
      <c r="D3244">
        <v>156.13999999999999</v>
      </c>
      <c r="E3244">
        <v>156.15</v>
      </c>
      <c r="F3244">
        <v>-0.01</v>
      </c>
    </row>
    <row r="3245" spans="1:6" x14ac:dyDescent="0.3">
      <c r="A3245" t="str">
        <f>HYPERLINK("https://us2.cloudbeds.com/connect/10074733072513#/reservations/30678196625539?display=YQRH10240&amp;reservation_id=30678196625539", "YQRH10240")</f>
        <v>YQRH10240</v>
      </c>
      <c r="B3245" t="s">
        <v>759</v>
      </c>
      <c r="C3245">
        <v>143.65</v>
      </c>
      <c r="D3245">
        <v>156.13999999999999</v>
      </c>
      <c r="E3245">
        <v>156.15</v>
      </c>
      <c r="F3245">
        <v>-0.01</v>
      </c>
    </row>
    <row r="3246" spans="1:6" x14ac:dyDescent="0.3">
      <c r="A3246" t="str">
        <f>HYPERLINK("https://us2.cloudbeds.com/connect/10074733072513#/reservations/30687143977155?display=YR1EYYAA5&amp;reservation_id=30687143977155", "YR1EYYAA5")</f>
        <v>YR1EYYAA5</v>
      </c>
      <c r="B3246" t="s">
        <v>786</v>
      </c>
      <c r="C3246">
        <v>270.2</v>
      </c>
      <c r="D3246">
        <v>293.7</v>
      </c>
      <c r="E3246">
        <v>293.70999999999998</v>
      </c>
      <c r="F3246">
        <v>-0.01</v>
      </c>
    </row>
    <row r="3247" spans="1:6" x14ac:dyDescent="0.3">
      <c r="A3247" t="str">
        <f>HYPERLINK("https://us2.cloudbeds.com/connect/10074733072513#/reservations/30677025317019?display=YQQK3AMCE&amp;reservation_id=30677025317019", "YQQK3AMCE")</f>
        <v>YQQK3AMCE</v>
      </c>
      <c r="B3247" t="s">
        <v>876</v>
      </c>
      <c r="C3247">
        <v>93.19</v>
      </c>
      <c r="D3247">
        <v>101.29</v>
      </c>
      <c r="E3247">
        <v>101.3</v>
      </c>
      <c r="F3247">
        <v>-0.01</v>
      </c>
    </row>
    <row r="3248" spans="1:6" x14ac:dyDescent="0.3">
      <c r="A3248" t="str">
        <f>HYPERLINK("https://us2.cloudbeds.com/connect/10074733072513#/reservations/30688089981071?display=YR25RB8PG&amp;reservation_id=30688089981071", "YR25RB8PG")</f>
        <v>YR25RB8PG</v>
      </c>
      <c r="B3248" t="s">
        <v>832</v>
      </c>
      <c r="C3248">
        <v>268.2</v>
      </c>
      <c r="D3248">
        <v>291.52</v>
      </c>
      <c r="E3248">
        <v>291.52999999999997</v>
      </c>
      <c r="F3248">
        <v>-0.01</v>
      </c>
    </row>
    <row r="3249" spans="1:6" x14ac:dyDescent="0.3">
      <c r="A3249" t="str">
        <f>HYPERLINK("https://us2.cloudbeds.com/connect/10074733072513#/reservations/30685313482911?display=YR00T43MK&amp;reservation_id=30685313482911", "YR00T43MK")</f>
        <v>YR00T43MK</v>
      </c>
      <c r="B3249" t="s">
        <v>726</v>
      </c>
      <c r="C3249">
        <v>134.1</v>
      </c>
      <c r="D3249">
        <v>145.76</v>
      </c>
      <c r="E3249">
        <v>145.77000000000001</v>
      </c>
      <c r="F3249">
        <v>-0.01</v>
      </c>
    </row>
    <row r="3250" spans="1:6" x14ac:dyDescent="0.3">
      <c r="A3250" t="str">
        <f>HYPERLINK("https://us2.cloudbeds.com/connect/10074733072513#/reservations/30676601159840?display=YQQ98YT0J&amp;reservation_id=30676601159840", "YQQ98YT0J")</f>
        <v>YQQ98YT0J</v>
      </c>
      <c r="B3250" t="s">
        <v>849</v>
      </c>
      <c r="C3250">
        <v>304.2</v>
      </c>
      <c r="D3250">
        <v>330.66</v>
      </c>
      <c r="E3250">
        <v>330.67</v>
      </c>
      <c r="F3250">
        <v>-0.01</v>
      </c>
    </row>
    <row r="3251" spans="1:6" x14ac:dyDescent="0.3">
      <c r="A3251" t="str">
        <f>HYPERLINK("https://us2.cloudbeds.com/connect/10074733072513#/reservations/30677868613787?display=YQR8YDYXV&amp;reservation_id=30677868613787", "YQR8YDYXV")</f>
        <v>YQR8YDYXV</v>
      </c>
      <c r="B3251" t="s">
        <v>872</v>
      </c>
      <c r="C3251">
        <v>112.24</v>
      </c>
      <c r="D3251">
        <v>121.99</v>
      </c>
      <c r="E3251">
        <v>122</v>
      </c>
      <c r="F3251">
        <v>-0.01</v>
      </c>
    </row>
    <row r="3252" spans="1:6" x14ac:dyDescent="0.3">
      <c r="A3252" t="str">
        <f>HYPERLINK("https://us2.cloudbeds.com/connect/10074733072513#/reservations/30677097504920?display=YQQYV6DKJ&amp;reservation_id=30677097504920", "YQQYV6DKJ")</f>
        <v>YQQYV6DKJ</v>
      </c>
      <c r="B3252" t="s">
        <v>829</v>
      </c>
      <c r="C3252">
        <v>465.3</v>
      </c>
      <c r="D3252">
        <v>505.77</v>
      </c>
      <c r="E3252">
        <v>505.78</v>
      </c>
      <c r="F3252">
        <v>-0.01</v>
      </c>
    </row>
    <row r="3253" spans="1:6" x14ac:dyDescent="0.3">
      <c r="A3253" t="str">
        <f>HYPERLINK("https://us2.cloudbeds.com/connect/10074733072513#/reservations/30677508481154?display=YQQWEZE8S&amp;reservation_id=30677508481154", "YQQWEZE8S")</f>
        <v>YQQWEZE8S</v>
      </c>
      <c r="B3253" t="s">
        <v>874</v>
      </c>
      <c r="C3253">
        <v>134.1</v>
      </c>
      <c r="D3253">
        <v>145.76</v>
      </c>
      <c r="E3253">
        <v>145.77000000000001</v>
      </c>
      <c r="F3253">
        <v>-0.01</v>
      </c>
    </row>
    <row r="3254" spans="1:6" x14ac:dyDescent="0.3">
      <c r="A3254" t="str">
        <f>HYPERLINK("https://us2.cloudbeds.com/connect/10074733072513#/reservations/30677853466839?display=YQR88Y5HH&amp;reservation_id=30677853466839", "YQR88Y5HH")</f>
        <v>YQR88Y5HH</v>
      </c>
      <c r="B3254" t="s">
        <v>872</v>
      </c>
      <c r="C3254">
        <v>134.1</v>
      </c>
      <c r="D3254">
        <v>145.76</v>
      </c>
      <c r="E3254">
        <v>145.77000000000001</v>
      </c>
      <c r="F3254">
        <v>-0.01</v>
      </c>
    </row>
    <row r="3255" spans="1:6" x14ac:dyDescent="0.3">
      <c r="A3255" t="str">
        <f>HYPERLINK("https://us2.cloudbeds.com/connect/10074733072513#/reservations/30677812969657?display=YQR77G915&amp;reservation_id=30677812969657", "YQR77G915")</f>
        <v>YQR77G915</v>
      </c>
      <c r="B3255" t="s">
        <v>880</v>
      </c>
      <c r="C3255">
        <v>104.32</v>
      </c>
      <c r="D3255">
        <v>113.39</v>
      </c>
      <c r="E3255">
        <v>113.4</v>
      </c>
      <c r="F3255">
        <v>-0.01</v>
      </c>
    </row>
    <row r="3256" spans="1:6" x14ac:dyDescent="0.3">
      <c r="A3256" t="str">
        <f>HYPERLINK("https://us2.cloudbeds.com/connect/10074733072513#/reservations/30677818323169?display=YQR7C080R&amp;reservation_id=30677818323169", "YQR7C080R")</f>
        <v>YQR7C080R</v>
      </c>
      <c r="B3256" t="s">
        <v>880</v>
      </c>
      <c r="C3256">
        <v>104.32</v>
      </c>
      <c r="D3256">
        <v>113.39</v>
      </c>
      <c r="E3256">
        <v>113.4</v>
      </c>
      <c r="F3256">
        <v>-0.01</v>
      </c>
    </row>
    <row r="3257" spans="1:6" x14ac:dyDescent="0.3">
      <c r="A3257" t="str">
        <f>HYPERLINK("https://us2.cloudbeds.com/connect/10074733072513#/reservations/30685479518386?display=YR05449MY&amp;reservation_id=30685479518386", "YR05449MY")</f>
        <v>YR05449MY</v>
      </c>
      <c r="B3257" t="s">
        <v>875</v>
      </c>
      <c r="C3257">
        <v>250.2</v>
      </c>
      <c r="D3257">
        <v>271.95999999999998</v>
      </c>
      <c r="E3257">
        <v>271.97000000000003</v>
      </c>
      <c r="F3257">
        <v>-0.01</v>
      </c>
    </row>
    <row r="3258" spans="1:6" x14ac:dyDescent="0.3">
      <c r="A3258" t="str">
        <f>HYPERLINK("https://us2.cloudbeds.com/connect/10074733072513#/reservations/30676894306437?display=YQQGZS3QQ&amp;reservation_id=30676894306437", "YQQGZS3QQ")</f>
        <v>YQQGZS3QQ</v>
      </c>
      <c r="B3258" t="s">
        <v>783</v>
      </c>
      <c r="C3258">
        <v>268.2</v>
      </c>
      <c r="D3258">
        <v>291.52</v>
      </c>
      <c r="E3258">
        <v>291.52999999999997</v>
      </c>
      <c r="F3258">
        <v>-0.01</v>
      </c>
    </row>
    <row r="3259" spans="1:6" x14ac:dyDescent="0.3">
      <c r="A3259" t="str">
        <f>HYPERLINK("https://us2.cloudbeds.com/connect/10074733072513#/reservations/30677642252459?display=YQR2SHQUP&amp;reservation_id=30677642252459", "YQR2SHQUP")</f>
        <v>YQR2SHQUP</v>
      </c>
      <c r="B3259" t="s">
        <v>865</v>
      </c>
      <c r="C3259">
        <v>118.15</v>
      </c>
      <c r="D3259">
        <v>128.41999999999999</v>
      </c>
      <c r="E3259">
        <v>128.43</v>
      </c>
      <c r="F3259">
        <v>-0.01</v>
      </c>
    </row>
    <row r="3260" spans="1:6" x14ac:dyDescent="0.3">
      <c r="A3260" t="str">
        <f>HYPERLINK("https://us2.cloudbeds.com/connect/10074733072513#/reservations/30676476575873?display=YQQ62K4RS&amp;reservation_id=30676476575873", "YQQ62K4RS")</f>
        <v>YQQ62K4RS</v>
      </c>
      <c r="B3260" t="s">
        <v>869</v>
      </c>
      <c r="C3260">
        <v>170.1</v>
      </c>
      <c r="D3260">
        <v>184.89</v>
      </c>
      <c r="E3260">
        <v>184.9</v>
      </c>
      <c r="F3260">
        <v>-0.01</v>
      </c>
    </row>
    <row r="3261" spans="1:6" x14ac:dyDescent="0.3">
      <c r="A3261" t="str">
        <f>HYPERLINK("https://us2.cloudbeds.com/connect/10074733072513#/reservations/30688123605188?display=YR26MMTU4&amp;reservation_id=30688123605188", "YR26MMTU4")</f>
        <v>YR26MMTU4</v>
      </c>
      <c r="B3261" t="s">
        <v>801</v>
      </c>
      <c r="C3261">
        <v>304.2</v>
      </c>
      <c r="D3261">
        <v>330.66</v>
      </c>
      <c r="E3261">
        <v>330.67</v>
      </c>
      <c r="F3261">
        <v>-0.01</v>
      </c>
    </row>
    <row r="3262" spans="1:6" x14ac:dyDescent="0.3">
      <c r="A3262" t="str">
        <f>HYPERLINK("https://us2.cloudbeds.com/connect/10074733072513#/reservations/30676797067400?display=YQQE8S9PA&amp;reservation_id=30676797067400", "YQQE8S9PA")</f>
        <v>YQQE8S9PA</v>
      </c>
      <c r="B3262" t="s">
        <v>830</v>
      </c>
      <c r="C3262">
        <v>170.1</v>
      </c>
      <c r="D3262">
        <v>184.89</v>
      </c>
      <c r="E3262">
        <v>184.9</v>
      </c>
      <c r="F3262">
        <v>-0.01</v>
      </c>
    </row>
    <row r="3263" spans="1:6" x14ac:dyDescent="0.3">
      <c r="A3263" t="str">
        <f>HYPERLINK("https://us2.cloudbeds.com/connect/10074733072513#/reservations/30685956944004?display=YR0HANC1K&amp;reservation_id=30685956944004", "YR0HANC1K")</f>
        <v>YR0HANC1K</v>
      </c>
      <c r="B3263" t="s">
        <v>882</v>
      </c>
      <c r="C3263">
        <v>118.15</v>
      </c>
      <c r="D3263">
        <v>128.41999999999999</v>
      </c>
      <c r="E3263">
        <v>128.43</v>
      </c>
      <c r="F3263">
        <v>-0.01</v>
      </c>
    </row>
    <row r="3264" spans="1:6" x14ac:dyDescent="0.3">
      <c r="A3264" t="str">
        <f>HYPERLINK("https://us2.cloudbeds.com/connect/10074733072513#/reservations/30685525397659?display=YR069QVDY&amp;reservation_id=30685525397659", "YR069QVDY")</f>
        <v>YR069QVDY</v>
      </c>
      <c r="B3264" t="s">
        <v>875</v>
      </c>
      <c r="C3264">
        <v>304.2</v>
      </c>
      <c r="D3264">
        <v>330.66</v>
      </c>
      <c r="E3264">
        <v>330.67</v>
      </c>
      <c r="F3264">
        <v>-0.01</v>
      </c>
    </row>
    <row r="3265" spans="1:6" x14ac:dyDescent="0.3">
      <c r="A3265" t="str">
        <f>HYPERLINK("https://us2.cloudbeds.com/connect/10074733072513#/reservations/30677321945340?display=YQQRMEQBE&amp;reservation_id=30677321945340", "YQQRMEQBE")</f>
        <v>YQQRMEQBE</v>
      </c>
      <c r="B3265" t="s">
        <v>740</v>
      </c>
      <c r="C3265">
        <v>177.65</v>
      </c>
      <c r="D3265">
        <v>193.1</v>
      </c>
      <c r="E3265">
        <v>193.11</v>
      </c>
      <c r="F3265">
        <v>-0.01</v>
      </c>
    </row>
    <row r="3266" spans="1:6" x14ac:dyDescent="0.3">
      <c r="A3266" t="str">
        <f>HYPERLINK("https://us2.cloudbeds.com/connect/10074733072513#/reservations/30677164540110?display=YQQNYNP8W&amp;reservation_id=30677164540110", "YQQNYNP8W")</f>
        <v>YQQNYNP8W</v>
      </c>
      <c r="B3266" t="s">
        <v>876</v>
      </c>
      <c r="C3266">
        <v>112.24</v>
      </c>
      <c r="D3266">
        <v>121.99</v>
      </c>
      <c r="E3266">
        <v>122</v>
      </c>
      <c r="F3266">
        <v>-0.01</v>
      </c>
    </row>
    <row r="3267" spans="1:6" x14ac:dyDescent="0.3">
      <c r="A3267" t="str">
        <f>HYPERLINK("https://us2.cloudbeds.com/connect/10074733072513#/reservations/30676879671448?display=YQQGCGST9&amp;reservation_id=30676879671448", "YQQGCGST9")</f>
        <v>YQQGCGST9</v>
      </c>
      <c r="B3267" t="s">
        <v>818</v>
      </c>
      <c r="C3267">
        <v>118.15</v>
      </c>
      <c r="D3267">
        <v>128.41999999999999</v>
      </c>
      <c r="E3267">
        <v>128.43</v>
      </c>
      <c r="F3267">
        <v>-0.01</v>
      </c>
    </row>
    <row r="3268" spans="1:6" x14ac:dyDescent="0.3">
      <c r="A3268" t="str">
        <f>HYPERLINK("https://us2.cloudbeds.com/connect/10074733072513#/reservations/30676797071493?display=YQQE8SDHB&amp;reservation_id=30676797071493", "YQQE8SDHB")</f>
        <v>YQQE8SDHB</v>
      </c>
      <c r="B3268" t="s">
        <v>830</v>
      </c>
      <c r="C3268">
        <v>141.49</v>
      </c>
      <c r="D3268">
        <v>153.79</v>
      </c>
      <c r="E3268">
        <v>153.80000000000001</v>
      </c>
      <c r="F3268">
        <v>-0.01</v>
      </c>
    </row>
    <row r="3269" spans="1:6" x14ac:dyDescent="0.3">
      <c r="A3269" t="str">
        <f>HYPERLINK("https://us2.cloudbeds.com/connect/10074733072513#/reservations/30677181571292?display=YQQZ32MXD&amp;reservation_id=30677181571292", "YQQZ32MXD")</f>
        <v>YQQZ32MXD</v>
      </c>
      <c r="B3269" t="s">
        <v>859</v>
      </c>
      <c r="C3269">
        <v>208.34</v>
      </c>
      <c r="D3269">
        <v>226.46</v>
      </c>
      <c r="E3269">
        <v>226.47</v>
      </c>
      <c r="F3269">
        <v>-0.01</v>
      </c>
    </row>
    <row r="3270" spans="1:6" x14ac:dyDescent="0.3">
      <c r="A3270" t="str">
        <f>HYPERLINK("https://us2.cloudbeds.com/connect/10074733072513#/reservations/30676612178107?display=YQQ9HVFQF&amp;reservation_id=30676612178107", "YQQ9HVFQF")</f>
        <v>YQQ9HVFQF</v>
      </c>
      <c r="B3270" t="s">
        <v>886</v>
      </c>
      <c r="C3270">
        <v>118.15</v>
      </c>
      <c r="D3270">
        <v>128.41999999999999</v>
      </c>
      <c r="E3270">
        <v>128.43</v>
      </c>
      <c r="F3270">
        <v>-0.01</v>
      </c>
    </row>
    <row r="3271" spans="1:6" x14ac:dyDescent="0.3">
      <c r="A3271" t="str">
        <f>HYPERLINK("https://us2.cloudbeds.com/connect/10074733072513#/reservations/30676626432225?display=YQQ9TW3WE&amp;reservation_id=30676626432225", "YQQ9TW3WE")</f>
        <v>YQQ9TW3WE</v>
      </c>
      <c r="B3271" t="s">
        <v>829</v>
      </c>
      <c r="C3271">
        <v>170.1</v>
      </c>
      <c r="D3271">
        <v>184.89</v>
      </c>
      <c r="E3271">
        <v>184.9</v>
      </c>
      <c r="F3271">
        <v>-0.01</v>
      </c>
    </row>
    <row r="3272" spans="1:6" x14ac:dyDescent="0.3">
      <c r="A3272" t="str">
        <f>HYPERLINK("https://us2.cloudbeds.com/connect/10074733072513#/reservations/30677943148722?display=YQRAX8N1B&amp;reservation_id=30677943148722", "YQRAX8N1B")</f>
        <v>YQRAX8N1B</v>
      </c>
      <c r="B3272" t="s">
        <v>887</v>
      </c>
      <c r="C3272">
        <v>112.24</v>
      </c>
      <c r="D3272">
        <v>121.99</v>
      </c>
      <c r="E3272">
        <v>122</v>
      </c>
      <c r="F3272">
        <v>-0.01</v>
      </c>
    </row>
    <row r="3273" spans="1:6" x14ac:dyDescent="0.3">
      <c r="A3273" t="str">
        <f>HYPERLINK("https://us2.cloudbeds.com/connect/10074733072513#/reservations/30676900200612?display=YQQGTR495&amp;reservation_id=30676900200612", "YQQGTR495")</f>
        <v>YQQGTR495</v>
      </c>
      <c r="B3273" t="s">
        <v>888</v>
      </c>
      <c r="C3273">
        <v>208.34</v>
      </c>
      <c r="D3273">
        <v>226.46</v>
      </c>
      <c r="E3273">
        <v>226.47</v>
      </c>
      <c r="F3273">
        <v>-0.01</v>
      </c>
    </row>
    <row r="3274" spans="1:6" x14ac:dyDescent="0.3">
      <c r="A3274" t="str">
        <f>HYPERLINK("https://us2.cloudbeds.com/connect/10074733072513#/reservations/30677435998390?display=YQQUJKG8F&amp;reservation_id=30677435998390", "YQQUJKG8F")</f>
        <v>YQQUJKG8F</v>
      </c>
      <c r="B3274" t="s">
        <v>888</v>
      </c>
      <c r="C3274">
        <v>268.2</v>
      </c>
      <c r="D3274">
        <v>291.52</v>
      </c>
      <c r="E3274">
        <v>291.52999999999997</v>
      </c>
      <c r="F3274">
        <v>-0.01</v>
      </c>
    </row>
    <row r="3275" spans="1:6" x14ac:dyDescent="0.3">
      <c r="A3275" t="str">
        <f>HYPERLINK("https://us2.cloudbeds.com/connect/10074733072513#/reservations/30677123375279?display=YQQMK09MS&amp;reservation_id=30677123375279", "YQQMK09MS")</f>
        <v>YQQMK09MS</v>
      </c>
      <c r="B3275" t="s">
        <v>887</v>
      </c>
      <c r="C3275">
        <v>104.32</v>
      </c>
      <c r="D3275">
        <v>113.39</v>
      </c>
      <c r="E3275">
        <v>113.4</v>
      </c>
      <c r="F3275">
        <v>-0.01</v>
      </c>
    </row>
    <row r="3276" spans="1:6" x14ac:dyDescent="0.3">
      <c r="A3276" t="str">
        <f>HYPERLINK("https://us2.cloudbeds.com/connect/10074733072513#/reservations/30685508640983?display=YR05SMM6J&amp;reservation_id=30685508640983", "YR05SMM6J")</f>
        <v>YR05SMM6J</v>
      </c>
      <c r="B3276" t="s">
        <v>875</v>
      </c>
      <c r="C3276">
        <v>170.1</v>
      </c>
      <c r="D3276">
        <v>184.89</v>
      </c>
      <c r="E3276">
        <v>184.9</v>
      </c>
      <c r="F3276">
        <v>-0.01</v>
      </c>
    </row>
    <row r="3277" spans="1:6" x14ac:dyDescent="0.3">
      <c r="A3277" t="str">
        <f>HYPERLINK("https://us2.cloudbeds.com/connect/10074733072513#/reservations/30677363675346?display=YQQSZKWU2&amp;reservation_id=30677363675346", "YQQSZKWU2")</f>
        <v>YQQSZKWU2</v>
      </c>
      <c r="B3277" t="s">
        <v>876</v>
      </c>
      <c r="C3277">
        <v>112.24</v>
      </c>
      <c r="D3277">
        <v>121.99</v>
      </c>
      <c r="E3277">
        <v>122</v>
      </c>
      <c r="F3277">
        <v>-0.01</v>
      </c>
    </row>
    <row r="3278" spans="1:6" x14ac:dyDescent="0.3">
      <c r="A3278" t="str">
        <f>HYPERLINK("https://us2.cloudbeds.com/connect/10074733072513#/reservations/30676916797658?display=YQQHAQVTV&amp;reservation_id=30676916797658", "YQQHAQVTV")</f>
        <v>YQQHAQVTV</v>
      </c>
      <c r="B3278" t="s">
        <v>818</v>
      </c>
      <c r="C3278">
        <v>254.8</v>
      </c>
      <c r="D3278">
        <v>276.95999999999998</v>
      </c>
      <c r="E3278">
        <v>276.97000000000003</v>
      </c>
      <c r="F3278">
        <v>-0.01</v>
      </c>
    </row>
    <row r="3279" spans="1:6" x14ac:dyDescent="0.3">
      <c r="A3279" t="str">
        <f>HYPERLINK("https://us2.cloudbeds.com/connect/10074733072513#/reservations/30677084168347?display=YQQYJVA00&amp;reservation_id=30677084168347", "YQQYJVA00")</f>
        <v>YQQYJVA00</v>
      </c>
      <c r="B3279" t="s">
        <v>889</v>
      </c>
      <c r="C3279">
        <v>94.16</v>
      </c>
      <c r="D3279">
        <v>102.34</v>
      </c>
      <c r="E3279">
        <v>102.35</v>
      </c>
      <c r="F3279">
        <v>-0.01</v>
      </c>
    </row>
    <row r="3280" spans="1:6" x14ac:dyDescent="0.3">
      <c r="A3280" t="str">
        <f>HYPERLINK("https://us2.cloudbeds.com/connect/10074733072513#/reservations/30688471249025?display=YR2FXRK2S&amp;reservation_id=30688471249025", "YR2FXRK2S")</f>
        <v>YR2FXRK2S</v>
      </c>
      <c r="B3280" t="s">
        <v>792</v>
      </c>
      <c r="C3280">
        <v>104.32</v>
      </c>
      <c r="D3280">
        <v>113.39</v>
      </c>
      <c r="E3280">
        <v>113.4</v>
      </c>
      <c r="F3280">
        <v>-0.01</v>
      </c>
    </row>
    <row r="3281" spans="1:6" x14ac:dyDescent="0.3">
      <c r="A3281" t="str">
        <f>HYPERLINK("https://us2.cloudbeds.com/connect/10074733072513#/reservations/30687547293824?display=YR1ZVZ2M7&amp;reservation_id=30687547293824", "YR1ZVZ2M7")</f>
        <v>YR1ZVZ2M7</v>
      </c>
      <c r="B3281" t="s">
        <v>826</v>
      </c>
      <c r="C3281">
        <v>736</v>
      </c>
      <c r="D3281">
        <v>800.02</v>
      </c>
      <c r="E3281">
        <v>800.03</v>
      </c>
      <c r="F3281">
        <v>-0.01</v>
      </c>
    </row>
    <row r="3282" spans="1:6" x14ac:dyDescent="0.3">
      <c r="A3282" t="str">
        <f>HYPERLINK("https://us2.cloudbeds.com/connect/10074733072513#/reservations/30688437018752?display=YR2EG06WD&amp;reservation_id=30688437018752", "YR2EG06WD")</f>
        <v>YR2EG06WD</v>
      </c>
      <c r="B3282" t="s">
        <v>792</v>
      </c>
      <c r="C3282">
        <v>134.1</v>
      </c>
      <c r="D3282">
        <v>145.76</v>
      </c>
      <c r="E3282">
        <v>145.77000000000001</v>
      </c>
      <c r="F3282">
        <v>-0.01</v>
      </c>
    </row>
    <row r="3283" spans="1:6" x14ac:dyDescent="0.3">
      <c r="A3283" t="str">
        <f>HYPERLINK("https://us2.cloudbeds.com/connect/10074733072513#/reservations/30676929814682?display=YQQHYQ637&amp;reservation_id=30676929814682", "YQQHYQ637")</f>
        <v>YQQHYQ637</v>
      </c>
      <c r="B3283" t="s">
        <v>818</v>
      </c>
      <c r="C3283">
        <v>94.16</v>
      </c>
      <c r="D3283">
        <v>102.34</v>
      </c>
      <c r="E3283">
        <v>102.35</v>
      </c>
      <c r="F3283">
        <v>-0.01</v>
      </c>
    </row>
    <row r="3284" spans="1:6" x14ac:dyDescent="0.3">
      <c r="A3284" t="str">
        <f>HYPERLINK("https://us2.cloudbeds.com/connect/10074733072513#/reservations/30685234651276?display=YQWVSYGM6&amp;reservation_id=30685234651276", "YQWVSYGM6")</f>
        <v>YQWVSYGM6</v>
      </c>
      <c r="B3284" t="s">
        <v>726</v>
      </c>
      <c r="C3284">
        <v>270.2</v>
      </c>
      <c r="D3284">
        <v>293.7</v>
      </c>
      <c r="E3284">
        <v>293.70999999999998</v>
      </c>
      <c r="F3284">
        <v>-0.01</v>
      </c>
    </row>
    <row r="3285" spans="1:6" x14ac:dyDescent="0.3">
      <c r="A3285" t="str">
        <f>HYPERLINK("https://us2.cloudbeds.com/connect/10074733072513#/reservations/30676647006387?display=YQQAEAKMS&amp;reservation_id=30676647006387", "YQQAEAKMS")</f>
        <v>YQQAEAKMS</v>
      </c>
      <c r="B3285" t="s">
        <v>890</v>
      </c>
      <c r="C3285">
        <v>120.32</v>
      </c>
      <c r="D3285">
        <v>130.78</v>
      </c>
      <c r="E3285">
        <v>130.79</v>
      </c>
      <c r="F3285">
        <v>-0.01</v>
      </c>
    </row>
    <row r="3286" spans="1:6" x14ac:dyDescent="0.3">
      <c r="A3286" t="str">
        <f>HYPERLINK("https://us2.cloudbeds.com/connect/10074733072513#/reservations/30676808732830?display=YQQEXMTR6&amp;reservation_id=30676808732830", "YQQEXMTR6")</f>
        <v>YQQEXMTR6</v>
      </c>
      <c r="B3286" t="s">
        <v>830</v>
      </c>
      <c r="C3286">
        <v>134.1</v>
      </c>
      <c r="D3286">
        <v>145.76</v>
      </c>
      <c r="E3286">
        <v>145.77000000000001</v>
      </c>
      <c r="F3286">
        <v>-0.01</v>
      </c>
    </row>
    <row r="3287" spans="1:6" x14ac:dyDescent="0.3">
      <c r="A3287" t="str">
        <f>HYPERLINK("https://us2.cloudbeds.com/connect/10074733072513#/reservations/30688135585936?display=YR26WQ9H1&amp;reservation_id=30688135585936", "YR26WQ9H1")</f>
        <v>YR26WQ9H1</v>
      </c>
      <c r="B3287" t="s">
        <v>832</v>
      </c>
      <c r="C3287">
        <v>555.29999999999995</v>
      </c>
      <c r="D3287">
        <v>603.6</v>
      </c>
      <c r="E3287">
        <v>603.61</v>
      </c>
      <c r="F3287">
        <v>-0.01</v>
      </c>
    </row>
    <row r="3288" spans="1:6" x14ac:dyDescent="0.3">
      <c r="A3288" t="str">
        <f>HYPERLINK("https://us2.cloudbeds.com/connect/10074733072513#/reservations/30676883402956?display=YQQGFYNE8&amp;reservation_id=30676883402956", "YQQGFYNE8")</f>
        <v>YQQGFYNE8</v>
      </c>
      <c r="B3288" t="s">
        <v>783</v>
      </c>
      <c r="C3288">
        <v>120.32</v>
      </c>
      <c r="D3288">
        <v>130.78</v>
      </c>
      <c r="E3288">
        <v>130.79</v>
      </c>
      <c r="F3288">
        <v>-0.01</v>
      </c>
    </row>
    <row r="3289" spans="1:6" x14ac:dyDescent="0.3">
      <c r="A3289" t="str">
        <f>HYPERLINK("https://us2.cloudbeds.com/connect/10074733072513#/reservations/30677266223234?display=YQQQ8F86P&amp;reservation_id=30677266223234", "YQQQ8F86P")</f>
        <v>YQQQ8F86P</v>
      </c>
      <c r="B3289" t="s">
        <v>854</v>
      </c>
      <c r="C3289">
        <v>250.2</v>
      </c>
      <c r="D3289">
        <v>271.95999999999998</v>
      </c>
      <c r="E3289">
        <v>271.97000000000003</v>
      </c>
      <c r="F3289">
        <v>-0.01</v>
      </c>
    </row>
    <row r="3290" spans="1:6" x14ac:dyDescent="0.3">
      <c r="A3290" t="str">
        <f>HYPERLINK("https://us2.cloudbeds.com/connect/10074733072513#/reservations/30687595909306?display=YR1Q6NWMR&amp;reservation_id=30687595909306", "YR1Q6NWMR")</f>
        <v>YR1Q6NWMR</v>
      </c>
      <c r="B3290" t="s">
        <v>845</v>
      </c>
      <c r="C3290">
        <v>170.1</v>
      </c>
      <c r="D3290">
        <v>184.89</v>
      </c>
      <c r="E3290">
        <v>184.9</v>
      </c>
      <c r="F3290">
        <v>-0.01</v>
      </c>
    </row>
    <row r="3291" spans="1:6" x14ac:dyDescent="0.3">
      <c r="A3291" t="str">
        <f>HYPERLINK("https://us2.cloudbeds.com/connect/10074733072513#/reservations/30677293768834?display=YQQQVMZJT&amp;reservation_id=30677293768834", "YQQQVMZJT")</f>
        <v>YQQQVMZJT</v>
      </c>
      <c r="B3291" t="s">
        <v>854</v>
      </c>
      <c r="C3291">
        <v>112.24</v>
      </c>
      <c r="D3291">
        <v>121.99</v>
      </c>
      <c r="E3291">
        <v>122</v>
      </c>
      <c r="F3291">
        <v>-0.01</v>
      </c>
    </row>
    <row r="3292" spans="1:6" x14ac:dyDescent="0.3">
      <c r="A3292" t="str">
        <f>HYPERLINK("https://us2.cloudbeds.com/connect/10074733072513#/reservations/30676629143753?display=YQQ9W8XTV&amp;reservation_id=30676629143753", "YQQ9W8XTV")</f>
        <v>YQQ9W8XTV</v>
      </c>
      <c r="B3292" t="s">
        <v>892</v>
      </c>
      <c r="C3292">
        <v>375.3</v>
      </c>
      <c r="D3292">
        <v>407.94</v>
      </c>
      <c r="E3292">
        <v>407.95</v>
      </c>
      <c r="F3292">
        <v>-0.01</v>
      </c>
    </row>
    <row r="3293" spans="1:6" x14ac:dyDescent="0.3">
      <c r="A3293" t="str">
        <f>HYPERLINK("https://us2.cloudbeds.com/connect/10074733072513#/reservations/30676575449309?display=YQQ8JWENJ&amp;reservation_id=30676575449309", "YQQ8JWENJ")</f>
        <v>YQQ8JWENJ</v>
      </c>
      <c r="B3293" t="s">
        <v>892</v>
      </c>
      <c r="C3293">
        <v>112.24</v>
      </c>
      <c r="D3293">
        <v>121.99</v>
      </c>
      <c r="E3293">
        <v>122</v>
      </c>
      <c r="F3293">
        <v>-0.01</v>
      </c>
    </row>
    <row r="3294" spans="1:6" x14ac:dyDescent="0.3">
      <c r="A3294" t="str">
        <f>HYPERLINK("https://us2.cloudbeds.com/connect/10074733072513#/reservations/30688409161880?display=YR2DWFV37&amp;reservation_id=30688409161880", "YR2DWFV37")</f>
        <v>YR2DWFV37</v>
      </c>
      <c r="B3294" t="s">
        <v>893</v>
      </c>
      <c r="C3294">
        <v>152.15</v>
      </c>
      <c r="D3294">
        <v>165.38</v>
      </c>
      <c r="E3294">
        <v>165.39</v>
      </c>
      <c r="F3294">
        <v>-0.01</v>
      </c>
    </row>
    <row r="3295" spans="1:6" x14ac:dyDescent="0.3">
      <c r="A3295" t="str">
        <f>HYPERLINK("https://us2.cloudbeds.com/connect/10074733072513#/reservations/30676745421015?display=YQQCVA58B&amp;reservation_id=30676745421015", "YQQCVA58B")</f>
        <v>YQQCVA58B</v>
      </c>
      <c r="B3295" t="s">
        <v>889</v>
      </c>
      <c r="C3295">
        <v>112.24</v>
      </c>
      <c r="D3295">
        <v>121.99</v>
      </c>
      <c r="E3295">
        <v>122</v>
      </c>
      <c r="F3295">
        <v>-0.01</v>
      </c>
    </row>
    <row r="3296" spans="1:6" x14ac:dyDescent="0.3">
      <c r="A3296" t="str">
        <f>HYPERLINK("https://us2.cloudbeds.com/connect/10074733072513#/reservations/30676625051813?display=YQQ9SQNCP&amp;reservation_id=30676625051813", "YQQ9SQNCP")</f>
        <v>YQQ9SQNCP</v>
      </c>
      <c r="B3296" t="s">
        <v>892</v>
      </c>
      <c r="C3296">
        <v>375.3</v>
      </c>
      <c r="D3296">
        <v>407.94</v>
      </c>
      <c r="E3296">
        <v>407.95</v>
      </c>
      <c r="F3296">
        <v>-0.01</v>
      </c>
    </row>
    <row r="3297" spans="1:6" x14ac:dyDescent="0.3">
      <c r="A3297" t="str">
        <f>HYPERLINK("https://us2.cloudbeds.com/connect/10074733072513#/reservations/30688539492535?display=YR2HACJA0&amp;reservation_id=30688539492535", "YR2HACJA0")</f>
        <v>YR2HACJA0</v>
      </c>
      <c r="B3297" t="s">
        <v>894</v>
      </c>
      <c r="C3297">
        <v>120.32</v>
      </c>
      <c r="D3297">
        <v>130.78</v>
      </c>
      <c r="E3297">
        <v>130.79</v>
      </c>
      <c r="F3297">
        <v>-0.01</v>
      </c>
    </row>
    <row r="3298" spans="1:6" x14ac:dyDescent="0.3">
      <c r="A3298" t="str">
        <f>HYPERLINK("https://us2.cloudbeds.com/connect/10074733072513#/reservations/30676661821569?display=YQQAQQT2Q&amp;reservation_id=30676661821569", "YQQAQQT2Q")</f>
        <v>YQQAQQT2Q</v>
      </c>
      <c r="B3298" t="s">
        <v>890</v>
      </c>
      <c r="C3298">
        <v>120.2</v>
      </c>
      <c r="D3298">
        <v>130.65</v>
      </c>
      <c r="E3298">
        <v>130.66</v>
      </c>
      <c r="F3298">
        <v>-0.01</v>
      </c>
    </row>
    <row r="3299" spans="1:6" x14ac:dyDescent="0.3">
      <c r="A3299" t="str">
        <f>HYPERLINK("https://us2.cloudbeds.com/connect/10074733072513#/reservations/30676707025058?display=YQQBVUZ8F&amp;reservation_id=30676707025058", "YQQBVUZ8F")</f>
        <v>YQQBVUZ8F</v>
      </c>
      <c r="B3299" t="s">
        <v>890</v>
      </c>
      <c r="C3299">
        <v>104.32</v>
      </c>
      <c r="D3299">
        <v>113.39</v>
      </c>
      <c r="E3299">
        <v>113.4</v>
      </c>
      <c r="F3299">
        <v>-0.01</v>
      </c>
    </row>
    <row r="3300" spans="1:6" x14ac:dyDescent="0.3">
      <c r="A3300" t="str">
        <f>HYPERLINK("https://us2.cloudbeds.com/connect/10074733072513#/reservations/30676978983113?display=YQQXU8C5M&amp;reservation_id=30676978983113", "YQQXU8C5M")</f>
        <v>YQQXU8C5M</v>
      </c>
      <c r="B3300" t="s">
        <v>783</v>
      </c>
      <c r="C3300">
        <v>118.15</v>
      </c>
      <c r="D3300">
        <v>128.41999999999999</v>
      </c>
      <c r="E3300">
        <v>128.43</v>
      </c>
      <c r="F3300">
        <v>-0.01</v>
      </c>
    </row>
    <row r="3301" spans="1:6" x14ac:dyDescent="0.3">
      <c r="A3301" t="str">
        <f>HYPERLINK("https://us2.cloudbeds.com/connect/10074733072513#/reservations/30687886119085?display=YR20KEGMX&amp;reservation_id=30687886119085", "YR20KEGMX")</f>
        <v>YR20KEGMX</v>
      </c>
      <c r="B3301" t="s">
        <v>826</v>
      </c>
      <c r="C3301">
        <v>608.4</v>
      </c>
      <c r="D3301">
        <v>661.32</v>
      </c>
      <c r="E3301">
        <v>661.33</v>
      </c>
      <c r="F3301">
        <v>-0.01</v>
      </c>
    </row>
    <row r="3302" spans="1:6" x14ac:dyDescent="0.3">
      <c r="A3302" t="str">
        <f>HYPERLINK("https://us2.cloudbeds.com/connect/10074733072513#/reservations/30676792234131?display=YQQE4PQGK&amp;reservation_id=30676792234131", "YQQE4PQGK")</f>
        <v>YQQE4PQGK</v>
      </c>
      <c r="B3302" t="s">
        <v>783</v>
      </c>
      <c r="C3302">
        <v>104.32</v>
      </c>
      <c r="D3302">
        <v>113.39</v>
      </c>
      <c r="E3302">
        <v>113.4</v>
      </c>
      <c r="F3302">
        <v>-0.01</v>
      </c>
    </row>
    <row r="3303" spans="1:6" x14ac:dyDescent="0.3">
      <c r="A3303" t="str">
        <f>HYPERLINK("https://us2.cloudbeds.com/connect/10074733072513#/reservations/30676773601410?display=YQQDM2AXN&amp;reservation_id=30676773601410", "YQQDM2AXN")</f>
        <v>YQQDM2AXN</v>
      </c>
      <c r="B3303" t="s">
        <v>783</v>
      </c>
      <c r="C3303">
        <v>120.2</v>
      </c>
      <c r="D3303">
        <v>130.65</v>
      </c>
      <c r="E3303">
        <v>130.66</v>
      </c>
      <c r="F3303">
        <v>-0.01</v>
      </c>
    </row>
    <row r="3304" spans="1:6" x14ac:dyDescent="0.3">
      <c r="A3304" t="str">
        <f>HYPERLINK("https://us2.cloudbeds.com/connect/10074733072513#/reservations/30676460617861?display=YQQ5M530Z&amp;reservation_id=30676460617861", "YQQ5M530Z")</f>
        <v>YQQ5M530Z</v>
      </c>
      <c r="B3304" t="s">
        <v>873</v>
      </c>
      <c r="C3304">
        <v>120.32</v>
      </c>
      <c r="D3304">
        <v>130.78</v>
      </c>
      <c r="E3304">
        <v>130.79</v>
      </c>
      <c r="F3304">
        <v>-0.01</v>
      </c>
    </row>
    <row r="3305" spans="1:6" x14ac:dyDescent="0.3">
      <c r="A3305" t="str">
        <f>HYPERLINK("https://us2.cloudbeds.com/connect/10074733072513#/reservations/30674747035779?display=YQZRT74ZW&amp;reservation_id=30674747035779", "YQZRT74ZW")</f>
        <v>YQZRT74ZW</v>
      </c>
      <c r="B3305" t="s">
        <v>873</v>
      </c>
      <c r="C3305">
        <v>112.24</v>
      </c>
      <c r="D3305">
        <v>121.99</v>
      </c>
      <c r="E3305">
        <v>122</v>
      </c>
      <c r="F3305">
        <v>-0.01</v>
      </c>
    </row>
    <row r="3306" spans="1:6" x14ac:dyDescent="0.3">
      <c r="A3306" t="str">
        <f>HYPERLINK("https://us2.cloudbeds.com/connect/10074733072513#/reservations/30676757926101?display=YQQD8S4BB&amp;reservation_id=30676757926101", "YQQD8S4BB")</f>
        <v>YQQD8S4BB</v>
      </c>
      <c r="B3306" t="s">
        <v>896</v>
      </c>
      <c r="C3306">
        <v>106.77</v>
      </c>
      <c r="D3306">
        <v>116.05</v>
      </c>
      <c r="E3306">
        <v>116.06</v>
      </c>
      <c r="F3306">
        <v>-0.01</v>
      </c>
    </row>
    <row r="3307" spans="1:6" x14ac:dyDescent="0.3">
      <c r="A3307" t="str">
        <f>HYPERLINK("https://us2.cloudbeds.com/connect/10074733072513#/reservations/30676455649449?display=YQQ5HVRYQ&amp;reservation_id=30676455649449", "YQQ5HVRYQ")</f>
        <v>YQQ5HVRYQ</v>
      </c>
      <c r="B3307" t="s">
        <v>873</v>
      </c>
      <c r="C3307">
        <v>134.1</v>
      </c>
      <c r="D3307">
        <v>145.76</v>
      </c>
      <c r="E3307">
        <v>145.77000000000001</v>
      </c>
      <c r="F3307">
        <v>-0.01</v>
      </c>
    </row>
    <row r="3308" spans="1:6" x14ac:dyDescent="0.3">
      <c r="A3308" t="str">
        <f>HYPERLINK("https://us2.cloudbeds.com/connect/10074733072513#/reservations/30676734656687?display=YQQCM7KYJ&amp;reservation_id=30676734656687", "YQQCM7KYJ")</f>
        <v>YQQCM7KYJ</v>
      </c>
      <c r="B3308" t="s">
        <v>896</v>
      </c>
      <c r="C3308">
        <v>112.24</v>
      </c>
      <c r="D3308">
        <v>121.99</v>
      </c>
      <c r="E3308">
        <v>122</v>
      </c>
      <c r="F3308">
        <v>-0.01</v>
      </c>
    </row>
    <row r="3309" spans="1:6" x14ac:dyDescent="0.3">
      <c r="A3309" t="str">
        <f>HYPERLINK("https://us2.cloudbeds.com/connect/10074733072513#/reservations/30676409381109?display=YQQ4BVBYS&amp;reservation_id=30676409381109", "YQQ4BVBYS")</f>
        <v>YQQ4BVBYS</v>
      </c>
      <c r="B3309" t="s">
        <v>896</v>
      </c>
      <c r="C3309">
        <v>110.3</v>
      </c>
      <c r="D3309">
        <v>119.89</v>
      </c>
      <c r="E3309">
        <v>119.9</v>
      </c>
      <c r="F3309">
        <v>-0.01</v>
      </c>
    </row>
    <row r="3310" spans="1:6" x14ac:dyDescent="0.3">
      <c r="A3310" t="str">
        <f>HYPERLINK("https://us2.cloudbeds.com/connect/10074733072513#/reservations/30688519090394?display=YR2GQ5SX9&amp;reservation_id=30688519090394", "YR2GQ5SX9")</f>
        <v>YR2GQ5SX9</v>
      </c>
      <c r="B3310" t="s">
        <v>894</v>
      </c>
      <c r="C3310">
        <v>268.2</v>
      </c>
      <c r="D3310">
        <v>291.52</v>
      </c>
      <c r="E3310">
        <v>291.52999999999997</v>
      </c>
      <c r="F3310">
        <v>-0.01</v>
      </c>
    </row>
    <row r="3311" spans="1:6" x14ac:dyDescent="0.3">
      <c r="A3311" t="str">
        <f>HYPERLINK("https://us2.cloudbeds.com/connect/10074733072513#/reservations/30688369955010?display=YR2CWDVF7&amp;reservation_id=30688369955010", "YR2CWDVF7")</f>
        <v>YR2CWDVF7</v>
      </c>
      <c r="B3311" t="s">
        <v>897</v>
      </c>
      <c r="C3311">
        <v>169.15</v>
      </c>
      <c r="D3311">
        <v>183.86</v>
      </c>
      <c r="E3311">
        <v>183.87</v>
      </c>
      <c r="F3311">
        <v>-0.01</v>
      </c>
    </row>
    <row r="3312" spans="1:6" x14ac:dyDescent="0.3">
      <c r="A3312" t="str">
        <f>HYPERLINK("https://us2.cloudbeds.com/connect/10074733072513#/reservations/30676713378006?display=YQQC49H02&amp;reservation_id=30676713378006", "YQQC49H02")</f>
        <v>YQQC49H02</v>
      </c>
      <c r="B3312" t="s">
        <v>896</v>
      </c>
      <c r="C3312">
        <v>134.1</v>
      </c>
      <c r="D3312">
        <v>145.76</v>
      </c>
      <c r="E3312">
        <v>145.77000000000001</v>
      </c>
      <c r="F3312">
        <v>-0.01</v>
      </c>
    </row>
    <row r="3313" spans="1:6" x14ac:dyDescent="0.3">
      <c r="A3313" t="str">
        <f>HYPERLINK("https://us2.cloudbeds.com/connect/10074733072513#/reservations/30676572692677?display=YQQ8HYZC9&amp;reservation_id=30676572692677", "YQQ8HYZC9")</f>
        <v>YQQ8HYZC9</v>
      </c>
      <c r="B3313" t="s">
        <v>886</v>
      </c>
      <c r="C3313">
        <v>134.1</v>
      </c>
      <c r="D3313">
        <v>145.76</v>
      </c>
      <c r="E3313">
        <v>145.77000000000001</v>
      </c>
      <c r="F3313">
        <v>-0.01</v>
      </c>
    </row>
    <row r="3314" spans="1:6" x14ac:dyDescent="0.3">
      <c r="A3314" t="str">
        <f>HYPERLINK("https://us2.cloudbeds.com/connect/10074733072513#/reservations/30688443990163?display=YR2ESS2WZ&amp;reservation_id=30688443990163", "YR2ESS2WZ")</f>
        <v>YR2ESS2WZ</v>
      </c>
      <c r="B3314" t="s">
        <v>792</v>
      </c>
      <c r="C3314">
        <v>375.3</v>
      </c>
      <c r="D3314">
        <v>407.94</v>
      </c>
      <c r="E3314">
        <v>407.95</v>
      </c>
      <c r="F3314">
        <v>-0.01</v>
      </c>
    </row>
    <row r="3315" spans="1:6" x14ac:dyDescent="0.3">
      <c r="A3315" t="str">
        <f>HYPERLINK("https://us2.cloudbeds.com/connect/10074733072513#/reservations/30685590864081?display=YR07W0YGK&amp;reservation_id=30685590864081", "YR07W0YGK")</f>
        <v>YR07W0YGK</v>
      </c>
      <c r="B3315" t="s">
        <v>898</v>
      </c>
      <c r="C3315">
        <v>288.2</v>
      </c>
      <c r="D3315">
        <v>313.26</v>
      </c>
      <c r="E3315">
        <v>313.27</v>
      </c>
      <c r="F3315">
        <v>-0.01</v>
      </c>
    </row>
    <row r="3316" spans="1:6" x14ac:dyDescent="0.3">
      <c r="A3316" t="str">
        <f>HYPERLINK("https://us2.cloudbeds.com/connect/10074733072513#/reservations/30687398113473?display=YR1Y4V0WN&amp;reservation_id=30687398113473", "YR1Y4V0WN")</f>
        <v>YR1Y4V0WN</v>
      </c>
      <c r="B3316" t="s">
        <v>899</v>
      </c>
      <c r="C3316">
        <v>268.2</v>
      </c>
      <c r="D3316">
        <v>291.52</v>
      </c>
      <c r="E3316">
        <v>291.52999999999997</v>
      </c>
      <c r="F3316">
        <v>-0.01</v>
      </c>
    </row>
    <row r="3317" spans="1:6" x14ac:dyDescent="0.3">
      <c r="A3317" t="str">
        <f>HYPERLINK("https://us2.cloudbeds.com/connect/10074733072513#/reservations/30687386488981?display=YR1KS4XHC&amp;reservation_id=30687386488981", "YR1KS4XHC")</f>
        <v>YR1KS4XHC</v>
      </c>
      <c r="B3317" t="s">
        <v>899</v>
      </c>
      <c r="C3317">
        <v>268.2</v>
      </c>
      <c r="D3317">
        <v>291.52</v>
      </c>
      <c r="E3317">
        <v>291.52999999999997</v>
      </c>
      <c r="F3317">
        <v>-0.01</v>
      </c>
    </row>
    <row r="3318" spans="1:6" x14ac:dyDescent="0.3">
      <c r="A3318" t="str">
        <f>HYPERLINK("https://us2.cloudbeds.com/connect/10074733072513#/reservations/30676666462407?display=YQQAUZ0Y8&amp;reservation_id=30676666462407", "YQQAUZ0Y8")</f>
        <v>YQQAUZ0Y8</v>
      </c>
      <c r="B3318" t="s">
        <v>886</v>
      </c>
      <c r="C3318">
        <v>94.16</v>
      </c>
      <c r="D3318">
        <v>102.34</v>
      </c>
      <c r="E3318">
        <v>102.35</v>
      </c>
      <c r="F3318">
        <v>-0.01</v>
      </c>
    </row>
    <row r="3319" spans="1:6" x14ac:dyDescent="0.3">
      <c r="A3319" t="str">
        <f>HYPERLINK("https://us2.cloudbeds.com/connect/10074733072513#/reservations/30688477225175?display=YR2FNSTRA&amp;reservation_id=30688477225175", "YR2FNSTRA")</f>
        <v>YR2FNSTRA</v>
      </c>
      <c r="B3319" t="s">
        <v>900</v>
      </c>
      <c r="C3319">
        <v>112.24</v>
      </c>
      <c r="D3319">
        <v>121.99</v>
      </c>
      <c r="E3319">
        <v>122</v>
      </c>
      <c r="F3319">
        <v>-0.01</v>
      </c>
    </row>
    <row r="3320" spans="1:6" x14ac:dyDescent="0.3">
      <c r="A3320" t="str">
        <f>HYPERLINK("https://us2.cloudbeds.com/connect/10074733072513#/reservations/30685936644315?display=YR0GQJGCH&amp;reservation_id=30685936644315", "YR0GQJGCH")</f>
        <v>YR0GQJGCH</v>
      </c>
      <c r="B3320" t="s">
        <v>845</v>
      </c>
      <c r="C3320">
        <v>170.1</v>
      </c>
      <c r="D3320">
        <v>184.89</v>
      </c>
      <c r="E3320">
        <v>184.9</v>
      </c>
      <c r="F3320">
        <v>-0.01</v>
      </c>
    </row>
    <row r="3321" spans="1:6" x14ac:dyDescent="0.3">
      <c r="A3321" t="str">
        <f>HYPERLINK("https://us2.cloudbeds.com/connect/10074733072513#/reservations/30687355977865?display=YR1K2DHW3&amp;reservation_id=30687355977865", "YR1K2DHW3")</f>
        <v>YR1K2DHW3</v>
      </c>
      <c r="B3321" t="s">
        <v>901</v>
      </c>
      <c r="C3321">
        <v>120.32</v>
      </c>
      <c r="D3321">
        <v>130.78</v>
      </c>
      <c r="E3321">
        <v>130.79</v>
      </c>
      <c r="F3321">
        <v>-0.01</v>
      </c>
    </row>
    <row r="3322" spans="1:6" x14ac:dyDescent="0.3">
      <c r="A3322" t="str">
        <f>HYPERLINK("https://us2.cloudbeds.com/connect/10074733072513#/reservations/30688579784912?display=YR2XBBPZ4&amp;reservation_id=30688579784912", "YR2XBBPZ4")</f>
        <v>YR2XBBPZ4</v>
      </c>
      <c r="B3322" t="s">
        <v>792</v>
      </c>
      <c r="C3322">
        <v>112.24</v>
      </c>
      <c r="D3322">
        <v>121.99</v>
      </c>
      <c r="E3322">
        <v>122</v>
      </c>
      <c r="F3322">
        <v>-0.01</v>
      </c>
    </row>
    <row r="3323" spans="1:6" x14ac:dyDescent="0.3">
      <c r="A3323" t="str">
        <f>HYPERLINK("https://us2.cloudbeds.com/connect/10074733072513#/reservations/30682643239099?display=YQUVYGY5F&amp;reservation_id=30682643239099", "YQUVYGY5F")</f>
        <v>YQUVYGY5F</v>
      </c>
      <c r="B3323" t="s">
        <v>902</v>
      </c>
      <c r="C3323">
        <v>324.22000000000003</v>
      </c>
      <c r="D3323">
        <v>352.42</v>
      </c>
      <c r="E3323">
        <v>352.43</v>
      </c>
      <c r="F3323">
        <v>-0.01</v>
      </c>
    </row>
    <row r="3324" spans="1:6" x14ac:dyDescent="0.3">
      <c r="A3324" t="str">
        <f>HYPERLINK("https://us2.cloudbeds.com/connect/10074733072513#/reservations/30688382013635?display=YR2D9JGJ4&amp;reservation_id=30688382013635", "YR2D9JGJ4")</f>
        <v>YR2D9JGJ4</v>
      </c>
      <c r="B3324" t="s">
        <v>897</v>
      </c>
      <c r="C3324">
        <v>170.1</v>
      </c>
      <c r="D3324">
        <v>184.89</v>
      </c>
      <c r="E3324">
        <v>184.9</v>
      </c>
      <c r="F3324">
        <v>-0.01</v>
      </c>
    </row>
    <row r="3325" spans="1:6" x14ac:dyDescent="0.3">
      <c r="A3325" t="str">
        <f>HYPERLINK("https://us2.cloudbeds.com/connect/10074733072513#/reservations/30687628108012?display=YR1R0SVU6&amp;reservation_id=30687628108012", "YR1R0SVU6")</f>
        <v>YR1R0SVU6</v>
      </c>
      <c r="B3325" t="s">
        <v>845</v>
      </c>
      <c r="C3325">
        <v>170.1</v>
      </c>
      <c r="D3325">
        <v>184.89</v>
      </c>
      <c r="E3325">
        <v>184.9</v>
      </c>
      <c r="F3325">
        <v>-0.01</v>
      </c>
    </row>
    <row r="3326" spans="1:6" x14ac:dyDescent="0.3">
      <c r="A3326" t="str">
        <f>HYPERLINK("https://us2.cloudbeds.com/connect/10074733072513#/reservations/30688316289156?display=YR2BK5KH8&amp;reservation_id=30688316289156", "YR2BK5KH8")</f>
        <v>YR2BK5KH8</v>
      </c>
      <c r="B3326" t="s">
        <v>845</v>
      </c>
      <c r="C3326">
        <v>170.1</v>
      </c>
      <c r="D3326">
        <v>184.89</v>
      </c>
      <c r="E3326">
        <v>184.9</v>
      </c>
      <c r="F3326">
        <v>-0.01</v>
      </c>
    </row>
    <row r="3327" spans="1:6" x14ac:dyDescent="0.3">
      <c r="A3327" t="str">
        <f>HYPERLINK("https://us2.cloudbeds.com/connect/10074733072513#/reservations/30688546656467?display=YR2HGDUZS&amp;reservation_id=30688546656467", "YR2HGDUZS")</f>
        <v>YR2HGDUZS</v>
      </c>
      <c r="B3327" t="s">
        <v>894</v>
      </c>
      <c r="C3327">
        <v>143.65</v>
      </c>
      <c r="D3327">
        <v>156.13999999999999</v>
      </c>
      <c r="E3327">
        <v>156.15</v>
      </c>
      <c r="F3327">
        <v>-0.01</v>
      </c>
    </row>
    <row r="3328" spans="1:6" x14ac:dyDescent="0.3">
      <c r="A3328" t="str">
        <f>HYPERLINK("https://us2.cloudbeds.com/connect/10074733072513#/reservations/30688327311522?display=YR2BTFB2B&amp;reservation_id=30688327311522", "YR2BTFB2B")</f>
        <v>YR2BTFB2B</v>
      </c>
      <c r="B3328" t="s">
        <v>845</v>
      </c>
      <c r="C3328">
        <v>170.1</v>
      </c>
      <c r="D3328">
        <v>184.89</v>
      </c>
      <c r="E3328">
        <v>184.9</v>
      </c>
      <c r="F3328">
        <v>-0.01</v>
      </c>
    </row>
    <row r="3329" spans="1:6" x14ac:dyDescent="0.3">
      <c r="A3329" t="str">
        <f>HYPERLINK("https://us2.cloudbeds.com/connect/10074733072513#/reservations/30688320639129?display=YR2BNRYWK&amp;reservation_id=30688320639129", "YR2BNRYWK")</f>
        <v>YR2BNRYWK</v>
      </c>
      <c r="B3329" t="s">
        <v>845</v>
      </c>
      <c r="C3329">
        <v>170.1</v>
      </c>
      <c r="D3329">
        <v>184.89</v>
      </c>
      <c r="E3329">
        <v>184.9</v>
      </c>
      <c r="F3329">
        <v>-0.01</v>
      </c>
    </row>
    <row r="3330" spans="1:6" x14ac:dyDescent="0.3">
      <c r="A3330" t="str">
        <f>HYPERLINK("https://us2.cloudbeds.com/connect/10074733072513#/reservations/30684732059805?display=YQWJ0S55K&amp;reservation_id=30684732059805", "YQWJ0S55K")</f>
        <v>YQWJ0S55K</v>
      </c>
      <c r="B3330" t="s">
        <v>907</v>
      </c>
      <c r="C3330">
        <v>268.2</v>
      </c>
      <c r="D3330">
        <v>291.52</v>
      </c>
      <c r="E3330">
        <v>291.52999999999997</v>
      </c>
      <c r="F3330">
        <v>-0.01</v>
      </c>
    </row>
    <row r="3331" spans="1:6" x14ac:dyDescent="0.3">
      <c r="A3331" t="str">
        <f>HYPERLINK("https://us2.cloudbeds.com/connect/10074733072513#/reservations/30687723118762?display=YR1TEWPPQ&amp;reservation_id=30687723118762", "YR1TEWPPQ")</f>
        <v>YR1TEWPPQ</v>
      </c>
      <c r="B3331" t="s">
        <v>908</v>
      </c>
      <c r="C3331">
        <v>184</v>
      </c>
      <c r="D3331">
        <v>200</v>
      </c>
      <c r="E3331">
        <v>200.01</v>
      </c>
      <c r="F3331">
        <v>-0.01</v>
      </c>
    </row>
    <row r="3332" spans="1:6" x14ac:dyDescent="0.3">
      <c r="A3332" t="str">
        <f>HYPERLINK("https://us2.cloudbeds.com/connect/10074733072513#/reservations/30688350159062?display=YR2CFZ3C1&amp;reservation_id=30688350159062", "YR2CFZ3C1")</f>
        <v>YR2CFZ3C1</v>
      </c>
      <c r="B3332" t="s">
        <v>910</v>
      </c>
      <c r="C3332">
        <v>226.96</v>
      </c>
      <c r="D3332">
        <v>246.7</v>
      </c>
      <c r="E3332">
        <v>246.71</v>
      </c>
      <c r="F3332">
        <v>-0.01</v>
      </c>
    </row>
    <row r="3333" spans="1:6" x14ac:dyDescent="0.3">
      <c r="A3333" t="str">
        <f>HYPERLINK("https://us2.cloudbeds.com/connect/10074733072513#/reservations/30688233423057?display=YR29G9ZPB&amp;reservation_id=30688233423057", "YR29G9ZPB")</f>
        <v>YR29G9ZPB</v>
      </c>
      <c r="B3333" t="s">
        <v>911</v>
      </c>
      <c r="C3333">
        <v>143.65</v>
      </c>
      <c r="D3333">
        <v>156.13999999999999</v>
      </c>
      <c r="E3333">
        <v>156.15</v>
      </c>
      <c r="F3333">
        <v>-0.01</v>
      </c>
    </row>
    <row r="3334" spans="1:6" x14ac:dyDescent="0.3">
      <c r="A3334" t="str">
        <f>HYPERLINK("https://us2.cloudbeds.com/connect/10074733072513#/reservations/30688254832857?display=YR2A1BGR5&amp;reservation_id=30688254832857", "YR2A1BGR5")</f>
        <v>YR2A1BGR5</v>
      </c>
      <c r="B3334" t="s">
        <v>911</v>
      </c>
      <c r="C3334">
        <v>112.24</v>
      </c>
      <c r="D3334">
        <v>121.99</v>
      </c>
      <c r="E3334">
        <v>122</v>
      </c>
      <c r="F3334">
        <v>-0.01</v>
      </c>
    </row>
    <row r="3335" spans="1:6" x14ac:dyDescent="0.3">
      <c r="A3335" t="str">
        <f>HYPERLINK("https://us2.cloudbeds.com/connect/10074733072513#/reservations/30688553091249?display=YR2HYRWY8&amp;reservation_id=30688553091249", "YR2HYRWY8")</f>
        <v>YR2HYRWY8</v>
      </c>
      <c r="B3335" t="s">
        <v>894</v>
      </c>
      <c r="C3335">
        <v>112.24</v>
      </c>
      <c r="D3335">
        <v>121.99</v>
      </c>
      <c r="E3335">
        <v>122</v>
      </c>
      <c r="F3335">
        <v>-0.01</v>
      </c>
    </row>
    <row r="3336" spans="1:6" x14ac:dyDescent="0.3">
      <c r="A3336" t="str">
        <f>HYPERLINK("https://us2.cloudbeds.com/connect/10074733072513#/reservations/30688249766019?display=YR29U2H2K&amp;reservation_id=30688249766019", "YR29U2H2K")</f>
        <v>YR29U2H2K</v>
      </c>
      <c r="B3336" t="s">
        <v>911</v>
      </c>
      <c r="C3336">
        <v>104.32</v>
      </c>
      <c r="D3336">
        <v>113.39</v>
      </c>
      <c r="E3336">
        <v>113.4</v>
      </c>
      <c r="F3336">
        <v>-0.01</v>
      </c>
    </row>
    <row r="3337" spans="1:6" x14ac:dyDescent="0.3">
      <c r="A3337" t="str">
        <f>HYPERLINK("https://us2.cloudbeds.com/connect/10074733072513#/reservations/30687373537443?display=YR1KH75FH&amp;reservation_id=30687373537443", "YR1KH75FH")</f>
        <v>YR1KH75FH</v>
      </c>
      <c r="B3337" t="s">
        <v>901</v>
      </c>
      <c r="C3337">
        <v>112.24</v>
      </c>
      <c r="D3337">
        <v>121.99</v>
      </c>
      <c r="E3337">
        <v>122</v>
      </c>
      <c r="F3337">
        <v>-0.01</v>
      </c>
    </row>
    <row r="3338" spans="1:6" x14ac:dyDescent="0.3">
      <c r="A3338" t="str">
        <f>HYPERLINK("https://us2.cloudbeds.com/connect/10074733072513#/reservations/30687533146272?display=YR1ZJQH1M&amp;reservation_id=30687533146272", "YR1ZJQH1M")</f>
        <v>YR1ZJQH1M</v>
      </c>
      <c r="B3338" t="s">
        <v>911</v>
      </c>
      <c r="C3338">
        <v>112.24</v>
      </c>
      <c r="D3338">
        <v>121.99</v>
      </c>
      <c r="E3338">
        <v>122</v>
      </c>
      <c r="F3338">
        <v>-0.01</v>
      </c>
    </row>
    <row r="3339" spans="1:6" x14ac:dyDescent="0.3">
      <c r="A3339" t="str">
        <f>HYPERLINK("https://us2.cloudbeds.com/connect/10074733072513#/reservations/30687367061710?display=YR1KBZVW6&amp;reservation_id=30687367061710", "YR1KBZVW6")</f>
        <v>YR1KBZVW6</v>
      </c>
      <c r="B3339" t="s">
        <v>901</v>
      </c>
      <c r="C3339">
        <v>118.15</v>
      </c>
      <c r="D3339">
        <v>128.41999999999999</v>
      </c>
      <c r="E3339">
        <v>128.43</v>
      </c>
      <c r="F3339">
        <v>-0.01</v>
      </c>
    </row>
    <row r="3340" spans="1:6" x14ac:dyDescent="0.3">
      <c r="A3340" t="str">
        <f>HYPERLINK("https://us2.cloudbeds.com/connect/10074733072513#/reservations/30687395012778?display=YR1Y2AZN8&amp;reservation_id=30687395012778", "YR1Y2AZN8")</f>
        <v>YR1Y2AZN8</v>
      </c>
      <c r="B3340" t="s">
        <v>901</v>
      </c>
      <c r="C3340">
        <v>118.15</v>
      </c>
      <c r="D3340">
        <v>128.41999999999999</v>
      </c>
      <c r="E3340">
        <v>128.43</v>
      </c>
      <c r="F3340">
        <v>-0.01</v>
      </c>
    </row>
    <row r="3341" spans="1:6" x14ac:dyDescent="0.3">
      <c r="A3341" t="str">
        <f>HYPERLINK("https://us2.cloudbeds.com/connect/10074733072513#/reservations/30688232026287?display=YR29F3T4W&amp;reservation_id=30688232026287", "YR29F3T4W")</f>
        <v>YR29F3T4W</v>
      </c>
      <c r="B3341" t="s">
        <v>799</v>
      </c>
      <c r="C3341">
        <v>141.49</v>
      </c>
      <c r="D3341">
        <v>153.79</v>
      </c>
      <c r="E3341">
        <v>153.80000000000001</v>
      </c>
      <c r="F3341">
        <v>-0.01</v>
      </c>
    </row>
    <row r="3342" spans="1:6" x14ac:dyDescent="0.3">
      <c r="A3342" t="str">
        <f>HYPERLINK("https://us2.cloudbeds.com/connect/10074733072513#/reservations/30688248647837?display=YR29T4D9A&amp;reservation_id=30688248647837", "YR29T4D9A")</f>
        <v>YR29T4D9A</v>
      </c>
      <c r="B3342" t="s">
        <v>799</v>
      </c>
      <c r="C3342">
        <v>205.48</v>
      </c>
      <c r="D3342">
        <v>223.35</v>
      </c>
      <c r="E3342">
        <v>223.36</v>
      </c>
      <c r="F3342">
        <v>-0.01</v>
      </c>
    </row>
    <row r="3343" spans="1:6" x14ac:dyDescent="0.3">
      <c r="A3343" t="str">
        <f>HYPERLINK("https://us2.cloudbeds.com/connect/10074733072513#/reservations/30687906865350?display=YR214UQE8&amp;reservation_id=30687906865350", "YR214UQE8")</f>
        <v>YR214UQE8</v>
      </c>
      <c r="B3343" t="s">
        <v>836</v>
      </c>
      <c r="C3343">
        <v>170.1</v>
      </c>
      <c r="D3343">
        <v>184.89</v>
      </c>
      <c r="E3343">
        <v>184.9</v>
      </c>
      <c r="F3343">
        <v>-0.01</v>
      </c>
    </row>
    <row r="3344" spans="1:6" x14ac:dyDescent="0.3">
      <c r="A3344" t="str">
        <f>HYPERLINK("https://us2.cloudbeds.com/connect/10074733072513#/reservations/30687922032772?display=YR21HNS93&amp;reservation_id=30687922032772", "YR21HNS93")</f>
        <v>YR21HNS93</v>
      </c>
      <c r="B3344" t="s">
        <v>815</v>
      </c>
      <c r="C3344">
        <v>112.24</v>
      </c>
      <c r="D3344">
        <v>121.99</v>
      </c>
      <c r="E3344">
        <v>122</v>
      </c>
      <c r="F3344">
        <v>-0.01</v>
      </c>
    </row>
    <row r="3345" spans="1:6" x14ac:dyDescent="0.3">
      <c r="A3345" t="str">
        <f>HYPERLINK("https://us2.cloudbeds.com/connect/10074733072513#/reservations/30687930921119?display=YR21P766V&amp;reservation_id=30687930921119", "YR21P766V")</f>
        <v>YR21P766V</v>
      </c>
      <c r="B3345" t="s">
        <v>815</v>
      </c>
      <c r="C3345">
        <v>120.32</v>
      </c>
      <c r="D3345">
        <v>130.78</v>
      </c>
      <c r="E3345">
        <v>130.79</v>
      </c>
      <c r="F3345">
        <v>-0.01</v>
      </c>
    </row>
    <row r="3346" spans="1:6" x14ac:dyDescent="0.3">
      <c r="A3346" t="str">
        <f>HYPERLINK("https://us2.cloudbeds.com/connect/10074733072513#/reservations/30687916519614?display=YR21D2EMN&amp;reservation_id=30687916519614", "YR21D2EMN")</f>
        <v>YR21D2EMN</v>
      </c>
      <c r="B3346" t="s">
        <v>836</v>
      </c>
      <c r="C3346">
        <v>170.1</v>
      </c>
      <c r="D3346">
        <v>184.89</v>
      </c>
      <c r="E3346">
        <v>184.9</v>
      </c>
      <c r="F3346">
        <v>-0.01</v>
      </c>
    </row>
    <row r="3347" spans="1:6" x14ac:dyDescent="0.3">
      <c r="A3347" t="str">
        <f>HYPERLINK("https://us2.cloudbeds.com/connect/10074733072513#/reservations/30687103590602?display=YR1DKJGD7&amp;reservation_id=30687103590602", "YR1DKJGD7")</f>
        <v>YR1DKJGD7</v>
      </c>
      <c r="B3347" t="s">
        <v>910</v>
      </c>
      <c r="C3347">
        <v>120.2</v>
      </c>
      <c r="D3347">
        <v>130.65</v>
      </c>
      <c r="E3347">
        <v>130.66</v>
      </c>
      <c r="F3347">
        <v>-0.01</v>
      </c>
    </row>
    <row r="3348" spans="1:6" x14ac:dyDescent="0.3">
      <c r="A3348" t="str">
        <f>HYPERLINK("https://us2.cloudbeds.com/connect/10074733072513#/reservations/30686410481889?display=YR0SU4NUT&amp;reservation_id=30686410481889", "YR0SU4NUT")</f>
        <v>YR0SU4NUT</v>
      </c>
      <c r="B3348" t="s">
        <v>913</v>
      </c>
      <c r="C3348">
        <v>143.65</v>
      </c>
      <c r="D3348">
        <v>156.13999999999999</v>
      </c>
      <c r="E3348">
        <v>156.15</v>
      </c>
      <c r="F3348">
        <v>-0.01</v>
      </c>
    </row>
    <row r="3349" spans="1:6" x14ac:dyDescent="0.3">
      <c r="A3349" t="str">
        <f>HYPERLINK("https://us2.cloudbeds.com/connect/10074733072513#/reservations/30687006335139?display=YR1B4J78W&amp;reservation_id=30687006335139", "YR1B4J78W")</f>
        <v>YR1B4J78W</v>
      </c>
      <c r="B3349" t="s">
        <v>838</v>
      </c>
      <c r="C3349">
        <v>152.15</v>
      </c>
      <c r="D3349">
        <v>165.38</v>
      </c>
      <c r="E3349">
        <v>165.39</v>
      </c>
      <c r="F3349">
        <v>-0.01</v>
      </c>
    </row>
    <row r="3350" spans="1:6" x14ac:dyDescent="0.3">
      <c r="A3350" t="str">
        <f>HYPERLINK("https://us2.cloudbeds.com/connect/10074733072513#/reservations/30688493289700?display=YR2G4DUF3&amp;reservation_id=30688493289700", "YR2G4DUF3")</f>
        <v>YR2G4DUF3</v>
      </c>
      <c r="B3350" t="s">
        <v>836</v>
      </c>
      <c r="C3350">
        <v>170.1</v>
      </c>
      <c r="D3350">
        <v>184.89</v>
      </c>
      <c r="E3350">
        <v>184.9</v>
      </c>
      <c r="F3350">
        <v>-0.01</v>
      </c>
    </row>
    <row r="3351" spans="1:6" x14ac:dyDescent="0.3">
      <c r="A3351" t="str">
        <f>HYPERLINK("https://us2.cloudbeds.com/connect/10074733072513#/reservations/30688207630478?display=YR28RX141&amp;reservation_id=30688207630478", "YR28RX141")</f>
        <v>YR28RX141</v>
      </c>
      <c r="B3351" t="s">
        <v>836</v>
      </c>
      <c r="C3351">
        <v>170.1</v>
      </c>
      <c r="D3351">
        <v>184.89</v>
      </c>
      <c r="E3351">
        <v>184.9</v>
      </c>
      <c r="F3351">
        <v>-0.01</v>
      </c>
    </row>
    <row r="3352" spans="1:6" x14ac:dyDescent="0.3">
      <c r="A3352" t="str">
        <f>HYPERLINK("https://us2.cloudbeds.com/connect/10074733072513#/reservations/30686726303973?display=YR13WEV12&amp;reservation_id=30686726303973", "YR13WEV12")</f>
        <v>YR13WEV12</v>
      </c>
      <c r="B3352" t="s">
        <v>858</v>
      </c>
      <c r="C3352">
        <v>120.2</v>
      </c>
      <c r="D3352">
        <v>130.65</v>
      </c>
      <c r="E3352">
        <v>130.66</v>
      </c>
      <c r="F3352">
        <v>-0.01</v>
      </c>
    </row>
    <row r="3353" spans="1:6" x14ac:dyDescent="0.3">
      <c r="A3353" t="str">
        <f>HYPERLINK("https://us2.cloudbeds.com/connect/10074733072513#/reservations/30687693742295?display=YR1SN7B4S&amp;reservation_id=30687693742295", "YR1SN7B4S")</f>
        <v>YR1SN7B4S</v>
      </c>
      <c r="B3353" t="s">
        <v>858</v>
      </c>
      <c r="C3353">
        <v>133.63</v>
      </c>
      <c r="D3353">
        <v>145.25</v>
      </c>
      <c r="E3353">
        <v>145.26</v>
      </c>
      <c r="F3353">
        <v>-0.01</v>
      </c>
    </row>
    <row r="3354" spans="1:6" x14ac:dyDescent="0.3">
      <c r="A3354" t="str">
        <f>HYPERLINK("https://us2.cloudbeds.com/connect/10074733072513#/reservations/30688392532164?display=YR2DXF6FE&amp;reservation_id=30688392532164", "YR2DXF6FE")</f>
        <v>YR2DXF6FE</v>
      </c>
      <c r="B3354" t="s">
        <v>893</v>
      </c>
      <c r="C3354">
        <v>268.2</v>
      </c>
      <c r="D3354">
        <v>291.52</v>
      </c>
      <c r="E3354">
        <v>291.52999999999997</v>
      </c>
      <c r="F3354">
        <v>-0.01</v>
      </c>
    </row>
    <row r="3355" spans="1:6" x14ac:dyDescent="0.3">
      <c r="A3355" t="str">
        <f>HYPERLINK("https://us2.cloudbeds.com/connect/10074733072513#/reservations/30687087984800?display=YR1D7E804&amp;reservation_id=30687087984800", "YR1D7E804")</f>
        <v>YR1D7E804</v>
      </c>
      <c r="B3355" t="s">
        <v>905</v>
      </c>
      <c r="C3355">
        <v>304.2</v>
      </c>
      <c r="D3355">
        <v>330.66</v>
      </c>
      <c r="E3355">
        <v>330.67</v>
      </c>
      <c r="F3355">
        <v>-0.01</v>
      </c>
    </row>
    <row r="3356" spans="1:6" x14ac:dyDescent="0.3">
      <c r="A3356" t="str">
        <f>HYPERLINK("https://us2.cloudbeds.com/connect/10074733072513#/reservations/30687082180793?display=YR1D2HZB4&amp;reservation_id=30687082180793", "YR1D2HZB4")</f>
        <v>YR1D2HZB4</v>
      </c>
      <c r="B3356" t="s">
        <v>905</v>
      </c>
      <c r="C3356">
        <v>304.2</v>
      </c>
      <c r="D3356">
        <v>330.66</v>
      </c>
      <c r="E3356">
        <v>330.67</v>
      </c>
      <c r="F3356">
        <v>-0.01</v>
      </c>
    </row>
    <row r="3357" spans="1:6" x14ac:dyDescent="0.3">
      <c r="A3357" t="str">
        <f>HYPERLINK("https://us2.cloudbeds.com/connect/10074733072513#/reservations/30686933672077?display=YR199A8N0&amp;reservation_id=30686933672077", "YR199A8N0")</f>
        <v>YR199A8N0</v>
      </c>
      <c r="B3357" t="s">
        <v>838</v>
      </c>
      <c r="C3357">
        <v>134.1</v>
      </c>
      <c r="D3357">
        <v>145.76</v>
      </c>
      <c r="E3357">
        <v>145.77000000000001</v>
      </c>
      <c r="F3357">
        <v>-0.01</v>
      </c>
    </row>
    <row r="3358" spans="1:6" x14ac:dyDescent="0.3">
      <c r="A3358" t="str">
        <f>HYPERLINK("https://us2.cloudbeds.com/connect/10074733072513#/reservations/30687306059937?display=YR1XQAGYK&amp;reservation_id=30687306059937", "YR1XQAGYK")</f>
        <v>YR1XQAGYK</v>
      </c>
      <c r="B3358" t="s">
        <v>899</v>
      </c>
      <c r="C3358">
        <v>143.19999999999999</v>
      </c>
      <c r="D3358">
        <v>155.65</v>
      </c>
      <c r="E3358">
        <v>155.66</v>
      </c>
      <c r="F3358">
        <v>-0.01</v>
      </c>
    </row>
    <row r="3359" spans="1:6" x14ac:dyDescent="0.3">
      <c r="A3359" t="str">
        <f>HYPERLINK("https://us2.cloudbeds.com/connect/10074733072513#/reservations/30686887653527?display=YR183GZ2G&amp;reservation_id=30686887653527", "YR183GZ2G")</f>
        <v>YR183GZ2G</v>
      </c>
      <c r="B3359" t="s">
        <v>906</v>
      </c>
      <c r="C3359">
        <v>120.32</v>
      </c>
      <c r="D3359">
        <v>130.78</v>
      </c>
      <c r="E3359">
        <v>130.79</v>
      </c>
      <c r="F3359">
        <v>-0.01</v>
      </c>
    </row>
    <row r="3360" spans="1:6" x14ac:dyDescent="0.3">
      <c r="A3360" t="str">
        <f>HYPERLINK("https://us2.cloudbeds.com/connect/10074733072513#/reservations/31676883804316?display=MH8QQFWHZ&amp;reservation_id=31676883804316", "MH8QQFWHZ")</f>
        <v>MH8QQFWHZ</v>
      </c>
      <c r="B3360" t="s">
        <v>925</v>
      </c>
      <c r="C3360">
        <v>134.1</v>
      </c>
      <c r="D3360">
        <v>145.76</v>
      </c>
      <c r="E3360">
        <v>145.77000000000001</v>
      </c>
      <c r="F3360">
        <v>-0.01</v>
      </c>
    </row>
    <row r="3361" spans="1:6" x14ac:dyDescent="0.3">
      <c r="A3361" t="str">
        <f>HYPERLINK("https://us2.cloudbeds.com/connect/10074733072513#/reservations/30686434783448?display=YR0THKVDP&amp;reservation_id=30686434783448", "YR0THKVDP")</f>
        <v>YR0THKVDP</v>
      </c>
      <c r="B3361" t="s">
        <v>913</v>
      </c>
      <c r="C3361">
        <v>120.2</v>
      </c>
      <c r="D3361">
        <v>130.65</v>
      </c>
      <c r="E3361">
        <v>130.66</v>
      </c>
      <c r="F3361">
        <v>-0.01</v>
      </c>
    </row>
    <row r="3362" spans="1:6" x14ac:dyDescent="0.3">
      <c r="A3362" t="str">
        <f>HYPERLINK("https://us2.cloudbeds.com/connect/10074733072513#/reservations/30688436707480?display=YR2EMNEGC&amp;reservation_id=30688436707480", "YR2EMNEGC")</f>
        <v>YR2EMNEGC</v>
      </c>
      <c r="B3362" t="s">
        <v>893</v>
      </c>
      <c r="C3362">
        <v>94.16</v>
      </c>
      <c r="D3362">
        <v>102.34</v>
      </c>
      <c r="E3362">
        <v>102.35</v>
      </c>
      <c r="F3362">
        <v>-0.01</v>
      </c>
    </row>
    <row r="3363" spans="1:6" x14ac:dyDescent="0.3">
      <c r="A3363" t="str">
        <f>HYPERLINK("https://us2.cloudbeds.com/connect/10074733072513#/reservations/30688073580755?display=YR25DGTQ7&amp;reservation_id=30688073580755", "YR25DGTQ7")</f>
        <v>YR25DGTQ7</v>
      </c>
      <c r="B3363" t="s">
        <v>923</v>
      </c>
      <c r="C3363">
        <v>232.55</v>
      </c>
      <c r="D3363">
        <v>252.77</v>
      </c>
      <c r="E3363">
        <v>252.78</v>
      </c>
      <c r="F3363">
        <v>-0.01</v>
      </c>
    </row>
    <row r="3364" spans="1:6" x14ac:dyDescent="0.3">
      <c r="A3364" t="str">
        <f>HYPERLINK("https://us2.cloudbeds.com/connect/10074733072513#/reservations/30688381522089?display=YR2D95R6Q&amp;reservation_id=30688381522089", "YR2D95R6Q")</f>
        <v>YR2D95R6Q</v>
      </c>
      <c r="B3364" t="s">
        <v>893</v>
      </c>
      <c r="C3364">
        <v>124.1</v>
      </c>
      <c r="D3364">
        <v>134.88999999999999</v>
      </c>
      <c r="E3364">
        <v>134.9</v>
      </c>
      <c r="F3364">
        <v>-0.01</v>
      </c>
    </row>
    <row r="3365" spans="1:6" x14ac:dyDescent="0.3">
      <c r="A3365" t="str">
        <f>HYPERLINK("https://us2.cloudbeds.com/connect/10074733072513#/reservations/30688086970570?display=YR25ZQGA6&amp;reservation_id=30688086970570", "YR25ZQGA6")</f>
        <v>YR25ZQGA6</v>
      </c>
      <c r="B3365" t="s">
        <v>923</v>
      </c>
      <c r="C3365">
        <v>453.6</v>
      </c>
      <c r="D3365">
        <v>493.05</v>
      </c>
      <c r="E3365">
        <v>493.06</v>
      </c>
      <c r="F3365">
        <v>-0.01</v>
      </c>
    </row>
    <row r="3366" spans="1:6" x14ac:dyDescent="0.3">
      <c r="A3366" t="str">
        <f>HYPERLINK("https://us2.cloudbeds.com/connect/10074733072513#/reservations/30687776805019?display=YR1UR8MF3&amp;reservation_id=30687776805019", "YR1UR8MF3")</f>
        <v>YR1UR8MF3</v>
      </c>
      <c r="B3366" t="s">
        <v>899</v>
      </c>
      <c r="C3366">
        <v>200.1</v>
      </c>
      <c r="D3366">
        <v>217.5</v>
      </c>
      <c r="E3366">
        <v>217.51</v>
      </c>
      <c r="F3366">
        <v>-0.01</v>
      </c>
    </row>
    <row r="3367" spans="1:6" x14ac:dyDescent="0.3">
      <c r="A3367" t="str">
        <f>HYPERLINK("https://us2.cloudbeds.com/connect/10074733072513#/reservations/30681993519254?display=YQUF1Y7XA&amp;reservation_id=30681993519254", "YQUF1Y7XA")</f>
        <v>YQUF1Y7XA</v>
      </c>
      <c r="B3367" t="s">
        <v>749</v>
      </c>
      <c r="C3367">
        <v>376.2</v>
      </c>
      <c r="D3367">
        <v>408.92</v>
      </c>
      <c r="E3367">
        <v>408.93</v>
      </c>
      <c r="F3367">
        <v>-0.01</v>
      </c>
    </row>
    <row r="3368" spans="1:6" x14ac:dyDescent="0.3">
      <c r="A3368" t="str">
        <f>HYPERLINK("https://us2.cloudbeds.com/connect/10074733072513#/reservations/30687236092113?display=YR1H0AX1H&amp;reservation_id=30687236092113", "YR1H0AX1H")</f>
        <v>YR1H0AX1H</v>
      </c>
      <c r="B3368" t="s">
        <v>895</v>
      </c>
      <c r="C3368">
        <v>120.2</v>
      </c>
      <c r="D3368">
        <v>130.65</v>
      </c>
      <c r="E3368">
        <v>130.66</v>
      </c>
      <c r="F3368">
        <v>-0.01</v>
      </c>
    </row>
    <row r="3369" spans="1:6" x14ac:dyDescent="0.3">
      <c r="A3369" t="str">
        <f>HYPERLINK("https://us2.cloudbeds.com/connect/10074733072513#/reservations/30687607013530?display=YR1QG2WDF&amp;reservation_id=30687607013530", "YR1QG2WDF")</f>
        <v>YR1QG2WDF</v>
      </c>
      <c r="B3369" t="s">
        <v>879</v>
      </c>
      <c r="C3369">
        <v>170.1</v>
      </c>
      <c r="D3369">
        <v>184.89</v>
      </c>
      <c r="E3369">
        <v>184.9</v>
      </c>
      <c r="F3369">
        <v>-0.01</v>
      </c>
    </row>
    <row r="3370" spans="1:6" x14ac:dyDescent="0.3">
      <c r="A3370" t="str">
        <f>HYPERLINK("https://us2.cloudbeds.com/connect/10074733072513#/reservations/30685151359216?display=YQWTZDPPC&amp;reservation_id=30685151359216", "YQWTZDPPC")</f>
        <v>YQWTZDPPC</v>
      </c>
      <c r="B3370" t="s">
        <v>929</v>
      </c>
      <c r="C3370">
        <v>112.24</v>
      </c>
      <c r="D3370">
        <v>121.99</v>
      </c>
      <c r="E3370">
        <v>122</v>
      </c>
      <c r="F3370">
        <v>-0.01</v>
      </c>
    </row>
    <row r="3371" spans="1:6" x14ac:dyDescent="0.3">
      <c r="A3371" t="str">
        <f>HYPERLINK("https://us2.cloudbeds.com/connect/10074733072513#/reservations/30686813970594?display=YR167CCWB&amp;reservation_id=30686813970594", "YR167CCWB")</f>
        <v>YR167CCWB</v>
      </c>
      <c r="B3371" t="s">
        <v>906</v>
      </c>
      <c r="C3371">
        <v>254.4</v>
      </c>
      <c r="D3371">
        <v>276.52</v>
      </c>
      <c r="E3371">
        <v>276.52999999999997</v>
      </c>
      <c r="F3371">
        <v>-0.01</v>
      </c>
    </row>
    <row r="3372" spans="1:6" x14ac:dyDescent="0.3">
      <c r="A3372" t="str">
        <f>HYPERLINK("https://us2.cloudbeds.com/connect/10074733072513#/reservations/30684212093060?display=YQW5ZDADJ&amp;reservation_id=30684212093060", "YQW5ZDADJ")</f>
        <v>YQW5ZDADJ</v>
      </c>
      <c r="B3372" t="s">
        <v>914</v>
      </c>
      <c r="C3372">
        <v>537.29999999999995</v>
      </c>
      <c r="D3372">
        <v>584.04</v>
      </c>
      <c r="E3372">
        <v>584.04999999999995</v>
      </c>
      <c r="F3372">
        <v>-0.01</v>
      </c>
    </row>
    <row r="3373" spans="1:6" x14ac:dyDescent="0.3">
      <c r="A3373" t="str">
        <f>HYPERLINK("https://us2.cloudbeds.com/connect/10074733072513#/reservations/30686852292829?display=YR176MP96&amp;reservation_id=30686852292829", "YR176MP96")</f>
        <v>YR176MP96</v>
      </c>
      <c r="B3373" t="s">
        <v>906</v>
      </c>
      <c r="C3373">
        <v>152.15</v>
      </c>
      <c r="D3373">
        <v>165.38</v>
      </c>
      <c r="E3373">
        <v>165.39</v>
      </c>
      <c r="F3373">
        <v>-0.01</v>
      </c>
    </row>
    <row r="3374" spans="1:6" x14ac:dyDescent="0.3">
      <c r="A3374" t="str">
        <f>HYPERLINK("https://us2.cloudbeds.com/connect/10074733072513#/reservations/30686608740549?display=YR10WAXY2&amp;reservation_id=30686608740549", "YR10WAXY2")</f>
        <v>YR10WAXY2</v>
      </c>
      <c r="B3374" t="s">
        <v>688</v>
      </c>
      <c r="C3374">
        <v>537.29999999999995</v>
      </c>
      <c r="D3374">
        <v>584.04</v>
      </c>
      <c r="E3374">
        <v>584.04999999999995</v>
      </c>
      <c r="F3374">
        <v>-0.01</v>
      </c>
    </row>
    <row r="3375" spans="1:6" x14ac:dyDescent="0.3">
      <c r="A3375" t="str">
        <f>HYPERLINK("https://us2.cloudbeds.com/connect/10074733072513#/reservations/30684284215453?display=YQW7J77GY&amp;reservation_id=30684284215453", "YQW7J77GY")</f>
        <v>YQW7J77GY</v>
      </c>
      <c r="B3375" t="s">
        <v>906</v>
      </c>
      <c r="C3375">
        <v>184</v>
      </c>
      <c r="D3375">
        <v>200</v>
      </c>
      <c r="E3375">
        <v>200.01</v>
      </c>
      <c r="F3375">
        <v>-0.01</v>
      </c>
    </row>
    <row r="3376" spans="1:6" x14ac:dyDescent="0.3">
      <c r="A3376" t="str">
        <f>HYPERLINK("https://us2.cloudbeds.com/connect/10074733072513#/reservations/30686450942098?display=YR0TV8JFR&amp;reservation_id=30686450942098", "YR0TV8JFR")</f>
        <v>YR0TV8JFR</v>
      </c>
      <c r="B3376" t="s">
        <v>913</v>
      </c>
      <c r="C3376">
        <v>169.15</v>
      </c>
      <c r="D3376">
        <v>183.86</v>
      </c>
      <c r="E3376">
        <v>183.87</v>
      </c>
      <c r="F3376">
        <v>-0.01</v>
      </c>
    </row>
    <row r="3377" spans="1:6" x14ac:dyDescent="0.3">
      <c r="A3377" t="str">
        <f>HYPERLINK("https://us2.cloudbeds.com/connect/10074733072513#/reservations/30686434787541?display=YR0THY25Q&amp;reservation_id=30686434787541", "YR0THY25Q")</f>
        <v>YR0THY25Q</v>
      </c>
      <c r="B3377" t="s">
        <v>932</v>
      </c>
      <c r="C3377">
        <v>272.94</v>
      </c>
      <c r="D3377">
        <v>296.68</v>
      </c>
      <c r="E3377">
        <v>296.69</v>
      </c>
      <c r="F3377">
        <v>-0.01</v>
      </c>
    </row>
    <row r="3378" spans="1:6" x14ac:dyDescent="0.3">
      <c r="A3378" t="str">
        <f>HYPERLINK("https://us2.cloudbeds.com/connect/10074733072513#/reservations/30684231082138?display=YQW67DNJ6&amp;reservation_id=30684231082138", "YQW67DNJ6")</f>
        <v>YQW67DNJ6</v>
      </c>
      <c r="B3378" t="s">
        <v>923</v>
      </c>
      <c r="C3378">
        <v>141.49</v>
      </c>
      <c r="D3378">
        <v>153.79</v>
      </c>
      <c r="E3378">
        <v>153.80000000000001</v>
      </c>
      <c r="F3378">
        <v>-0.01</v>
      </c>
    </row>
    <row r="3379" spans="1:6" x14ac:dyDescent="0.3">
      <c r="A3379" t="str">
        <f>HYPERLINK("https://us2.cloudbeds.com/connect/10074733072513#/reservations/30688121929961?display=YR26Y99JM&amp;reservation_id=30688121929961", "YR26Y99JM")</f>
        <v>YR26Y99JM</v>
      </c>
      <c r="B3379" t="s">
        <v>923</v>
      </c>
      <c r="C3379">
        <v>148.6</v>
      </c>
      <c r="D3379">
        <v>161.52000000000001</v>
      </c>
      <c r="E3379">
        <v>161.53</v>
      </c>
      <c r="F3379">
        <v>-0.01</v>
      </c>
    </row>
    <row r="3380" spans="1:6" x14ac:dyDescent="0.3">
      <c r="A3380" t="str">
        <f>HYPERLINK("https://us2.cloudbeds.com/connect/10074733072513#/reservations/30687069671581?display=YR1CZWYF3&amp;reservation_id=30687069671581", "YR1CZWYF3")</f>
        <v>YR1CZWYF3</v>
      </c>
      <c r="B3380" t="s">
        <v>923</v>
      </c>
      <c r="C3380">
        <v>184</v>
      </c>
      <c r="D3380">
        <v>200</v>
      </c>
      <c r="E3380">
        <v>200.01</v>
      </c>
      <c r="F3380">
        <v>-0.01</v>
      </c>
    </row>
    <row r="3381" spans="1:6" x14ac:dyDescent="0.3">
      <c r="A3381" t="str">
        <f>HYPERLINK("https://us2.cloudbeds.com/connect/10074733072513#/reservations/30686656155902?display=YR1269VTV&amp;reservation_id=30686656155902", "YR1269VTV")</f>
        <v>YR1269VTV</v>
      </c>
      <c r="B3381" t="s">
        <v>931</v>
      </c>
      <c r="C3381">
        <v>114.15</v>
      </c>
      <c r="D3381">
        <v>124.07</v>
      </c>
      <c r="E3381">
        <v>124.08</v>
      </c>
      <c r="F3381">
        <v>-0.01</v>
      </c>
    </row>
    <row r="3382" spans="1:6" x14ac:dyDescent="0.3">
      <c r="A3382" t="str">
        <f>HYPERLINK("https://us2.cloudbeds.com/connect/10074733072513#/reservations/30687830634638?display=YR1W6YXPY&amp;reservation_id=30687830634638", "YR1W6YXPY")</f>
        <v>YR1W6YXPY</v>
      </c>
      <c r="B3382" t="s">
        <v>921</v>
      </c>
      <c r="C3382">
        <v>186.15</v>
      </c>
      <c r="D3382">
        <v>202.34</v>
      </c>
      <c r="E3382">
        <v>202.35</v>
      </c>
      <c r="F3382">
        <v>-0.01</v>
      </c>
    </row>
    <row r="3383" spans="1:6" x14ac:dyDescent="0.3">
      <c r="A3383" t="str">
        <f>HYPERLINK("https://us2.cloudbeds.com/connect/10074733072513#/reservations/30687037444349?display=YR1BUQT1A&amp;reservation_id=30687037444349", "YR1BUQT1A")</f>
        <v>YR1BUQT1A</v>
      </c>
      <c r="B3383" t="s">
        <v>934</v>
      </c>
      <c r="C3383">
        <v>240.32</v>
      </c>
      <c r="D3383">
        <v>261.22000000000003</v>
      </c>
      <c r="E3383">
        <v>261.23</v>
      </c>
      <c r="F3383">
        <v>-0.01</v>
      </c>
    </row>
    <row r="3384" spans="1:6" x14ac:dyDescent="0.3">
      <c r="A3384" t="str">
        <f>HYPERLINK("https://us2.cloudbeds.com/connect/10074733072513#/reservations/30686555897999?display=YR0WKP4NY&amp;reservation_id=30686555897999", "YR0WKP4NY")</f>
        <v>YR0WKP4NY</v>
      </c>
      <c r="B3384" t="s">
        <v>931</v>
      </c>
      <c r="C3384">
        <v>114.15</v>
      </c>
      <c r="D3384">
        <v>124.07</v>
      </c>
      <c r="E3384">
        <v>124.08</v>
      </c>
      <c r="F3384">
        <v>-0.01</v>
      </c>
    </row>
    <row r="3385" spans="1:6" x14ac:dyDescent="0.3">
      <c r="A3385" t="str">
        <f>HYPERLINK("https://us2.cloudbeds.com/connect/10074733072513#/reservations/30687706931358?display=YR1T1BBAE&amp;reservation_id=30687706931358", "YR1T1BBAE")</f>
        <v>YR1T1BBAE</v>
      </c>
      <c r="B3385" t="s">
        <v>931</v>
      </c>
      <c r="C3385">
        <v>143.65</v>
      </c>
      <c r="D3385">
        <v>156.13999999999999</v>
      </c>
      <c r="E3385">
        <v>156.15</v>
      </c>
      <c r="F3385">
        <v>-0.01</v>
      </c>
    </row>
    <row r="3386" spans="1:6" x14ac:dyDescent="0.3">
      <c r="A3386" t="str">
        <f>HYPERLINK("https://us2.cloudbeds.com/connect/10074733072513#/reservations/30686030078164?display=YR0J6CE79&amp;reservation_id=30686030078164", "YR0J6CE79")</f>
        <v>YR0J6CE79</v>
      </c>
      <c r="B3386" t="s">
        <v>726</v>
      </c>
      <c r="C3386">
        <v>270.2</v>
      </c>
      <c r="D3386">
        <v>293.7</v>
      </c>
      <c r="E3386">
        <v>293.70999999999998</v>
      </c>
      <c r="F3386">
        <v>-0.01</v>
      </c>
    </row>
    <row r="3387" spans="1:6" x14ac:dyDescent="0.3">
      <c r="A3387" t="str">
        <f>HYPERLINK("https://us2.cloudbeds.com/connect/10074733072513#/reservations/30685159727338?display=YQWTVFKWQ&amp;reservation_id=30685159727338", "YQWTVFKWQ")</f>
        <v>YQWTVFKWQ</v>
      </c>
      <c r="B3387" t="s">
        <v>935</v>
      </c>
      <c r="C3387">
        <v>143.19999999999999</v>
      </c>
      <c r="D3387">
        <v>155.65</v>
      </c>
      <c r="E3387">
        <v>155.66</v>
      </c>
      <c r="F3387">
        <v>-0.01</v>
      </c>
    </row>
    <row r="3388" spans="1:6" x14ac:dyDescent="0.3">
      <c r="A3388" t="str">
        <f>HYPERLINK("https://us2.cloudbeds.com/connect/10074733072513#/reservations/30684803993730?display=YQWKSGR6H&amp;reservation_id=30684803993730", "YQWKSGR6H")</f>
        <v>YQWKSGR6H</v>
      </c>
      <c r="B3388" t="s">
        <v>870</v>
      </c>
      <c r="C3388">
        <v>167.2</v>
      </c>
      <c r="D3388">
        <v>181.74</v>
      </c>
      <c r="E3388">
        <v>181.75</v>
      </c>
      <c r="F3388">
        <v>-0.01</v>
      </c>
    </row>
    <row r="3389" spans="1:6" x14ac:dyDescent="0.3">
      <c r="A3389" t="str">
        <f>HYPERLINK("https://us2.cloudbeds.com/connect/10074733072513#/reservations/30686590058663?display=YR10GXNXA&amp;reservation_id=30686590058663", "YR10GXNXA")</f>
        <v>YR10GXNXA</v>
      </c>
      <c r="B3389" t="s">
        <v>688</v>
      </c>
      <c r="C3389">
        <v>372.3</v>
      </c>
      <c r="D3389">
        <v>404.68</v>
      </c>
      <c r="E3389">
        <v>404.69</v>
      </c>
      <c r="F3389">
        <v>-0.01</v>
      </c>
    </row>
    <row r="3390" spans="1:6" x14ac:dyDescent="0.3">
      <c r="A3390" t="str">
        <f>HYPERLINK("https://us2.cloudbeds.com/connect/10074733072513#/reservations/30686885613729?display=YR181PVWD&amp;reservation_id=30686885613729", "YR181PVWD")</f>
        <v>YR181PVWD</v>
      </c>
      <c r="B3390" t="s">
        <v>921</v>
      </c>
      <c r="C3390">
        <v>224.1</v>
      </c>
      <c r="D3390">
        <v>243.59</v>
      </c>
      <c r="E3390">
        <v>243.6</v>
      </c>
      <c r="F3390">
        <v>-0.01</v>
      </c>
    </row>
    <row r="3391" spans="1:6" x14ac:dyDescent="0.3">
      <c r="A3391" t="str">
        <f>HYPERLINK("https://us2.cloudbeds.com/connect/10074733072513#/reservations/30687440220319?display=YR1M7ENJZ&amp;reservation_id=30687440220319", "YR1M7ENJZ")</f>
        <v>YR1M7ENJZ</v>
      </c>
      <c r="B3391" t="s">
        <v>936</v>
      </c>
      <c r="C3391">
        <v>456.3</v>
      </c>
      <c r="D3391">
        <v>495.99</v>
      </c>
      <c r="E3391">
        <v>496</v>
      </c>
      <c r="F3391">
        <v>-0.01</v>
      </c>
    </row>
    <row r="3392" spans="1:6" x14ac:dyDescent="0.3">
      <c r="A3392" t="str">
        <f>HYPERLINK("https://us2.cloudbeds.com/connect/10074733072513#/reservations/30685785874564?display=YR0CVF3G6&amp;reservation_id=30685785874564", "YR0CVF3G6")</f>
        <v>YR0CVF3G6</v>
      </c>
      <c r="B3392" t="s">
        <v>938</v>
      </c>
      <c r="C3392">
        <v>254.8</v>
      </c>
      <c r="D3392">
        <v>276.95999999999998</v>
      </c>
      <c r="E3392">
        <v>276.97000000000003</v>
      </c>
      <c r="F3392">
        <v>-0.01</v>
      </c>
    </row>
    <row r="3393" spans="1:6" x14ac:dyDescent="0.3">
      <c r="A3393" t="str">
        <f>HYPERLINK("https://us2.cloudbeds.com/connect/10074733072513#/reservations/30686837641452?display=YR16RB2A2&amp;reservation_id=30686837641452", "YR16RB2A2")</f>
        <v>YR16RB2A2</v>
      </c>
      <c r="B3393" t="s">
        <v>936</v>
      </c>
      <c r="C3393">
        <v>186.15</v>
      </c>
      <c r="D3393">
        <v>202.34</v>
      </c>
      <c r="E3393">
        <v>202.35</v>
      </c>
      <c r="F3393">
        <v>-0.01</v>
      </c>
    </row>
    <row r="3394" spans="1:6" x14ac:dyDescent="0.3">
      <c r="A3394" t="str">
        <f>HYPERLINK("https://us2.cloudbeds.com/connect/10074733072513#/reservations/30686299377821?display=YR0Q2F2WV&amp;reservation_id=30686299377821", "YR0Q2F2WV")</f>
        <v>YR0Q2F2WV</v>
      </c>
      <c r="B3394" t="s">
        <v>913</v>
      </c>
      <c r="C3394">
        <v>268.2</v>
      </c>
      <c r="D3394">
        <v>291.52</v>
      </c>
      <c r="E3394">
        <v>291.52999999999997</v>
      </c>
      <c r="F3394">
        <v>-0.01</v>
      </c>
    </row>
    <row r="3395" spans="1:6" x14ac:dyDescent="0.3">
      <c r="A3395" t="str">
        <f>HYPERLINK("https://us2.cloudbeds.com/connect/10074733072513#/reservations/30686503485594?display=YR0V9XMPW&amp;reservation_id=30686503485594", "YR0V9XMPW")</f>
        <v>YR0V9XMPW</v>
      </c>
      <c r="B3395" t="s">
        <v>939</v>
      </c>
      <c r="C3395">
        <v>134.1</v>
      </c>
      <c r="D3395">
        <v>145.76</v>
      </c>
      <c r="E3395">
        <v>145.77000000000001</v>
      </c>
      <c r="F3395">
        <v>-0.01</v>
      </c>
    </row>
    <row r="3396" spans="1:6" x14ac:dyDescent="0.3">
      <c r="A3396" t="str">
        <f>HYPERLINK("https://us2.cloudbeds.com/connect/10074733072513#/reservations/30686525743337?display=YR0VSB1G1&amp;reservation_id=30686525743337", "YR0VSB1G1")</f>
        <v>YR0VSB1G1</v>
      </c>
      <c r="B3396" t="s">
        <v>939</v>
      </c>
      <c r="C3396">
        <v>134.1</v>
      </c>
      <c r="D3396">
        <v>145.76</v>
      </c>
      <c r="E3396">
        <v>145.77000000000001</v>
      </c>
      <c r="F3396">
        <v>-0.01</v>
      </c>
    </row>
    <row r="3397" spans="1:6" x14ac:dyDescent="0.3">
      <c r="A3397" t="str">
        <f>HYPERLINK("https://us2.cloudbeds.com/connect/10074733072513#/reservations/30686583726280?display=YR10B7GMU&amp;reservation_id=30686583726280", "YR10B7GMU")</f>
        <v>YR10B7GMU</v>
      </c>
      <c r="B3397" t="s">
        <v>939</v>
      </c>
      <c r="C3397">
        <v>120.32</v>
      </c>
      <c r="D3397">
        <v>130.78</v>
      </c>
      <c r="E3397">
        <v>130.79</v>
      </c>
      <c r="F3397">
        <v>-0.01</v>
      </c>
    </row>
    <row r="3398" spans="1:6" x14ac:dyDescent="0.3">
      <c r="A3398" t="str">
        <f>HYPERLINK("https://us2.cloudbeds.com/connect/10074733072513#/reservations/30686543786138?display=YR0WAX3NJ&amp;reservation_id=30686543786138", "YR0WAX3NJ")</f>
        <v>YR0WAX3NJ</v>
      </c>
      <c r="B3398" t="s">
        <v>808</v>
      </c>
      <c r="C3398">
        <v>228.62</v>
      </c>
      <c r="D3398">
        <v>248.5</v>
      </c>
      <c r="E3398">
        <v>248.51</v>
      </c>
      <c r="F3398">
        <v>-0.01</v>
      </c>
    </row>
    <row r="3399" spans="1:6" x14ac:dyDescent="0.3">
      <c r="A3399" t="str">
        <f>HYPERLINK("https://us2.cloudbeds.com/connect/10074733072513#/reservations/30681922330845?display=YQUD7KA3Q&amp;reservation_id=30681922330845", "YQUD7KA3Q")</f>
        <v>YQUD7KA3Q</v>
      </c>
      <c r="B3399" t="s">
        <v>926</v>
      </c>
      <c r="C3399">
        <v>210.2</v>
      </c>
      <c r="D3399">
        <v>228.48</v>
      </c>
      <c r="E3399">
        <v>228.49</v>
      </c>
      <c r="F3399">
        <v>-0.01</v>
      </c>
    </row>
    <row r="3400" spans="1:6" x14ac:dyDescent="0.3">
      <c r="A3400" t="str">
        <f>HYPERLINK("https://us2.cloudbeds.com/connect/10074733072513#/reservations/30684248526999?display=YQW6M44ZB&amp;reservation_id=30684248526999", "YQW6M44ZB")</f>
        <v>YQW6M44ZB</v>
      </c>
      <c r="B3400" t="s">
        <v>726</v>
      </c>
      <c r="C3400">
        <v>270.2</v>
      </c>
      <c r="D3400">
        <v>293.7</v>
      </c>
      <c r="E3400">
        <v>293.70999999999998</v>
      </c>
      <c r="F3400">
        <v>-0.01</v>
      </c>
    </row>
    <row r="3401" spans="1:6" x14ac:dyDescent="0.3">
      <c r="A3401" t="str">
        <f>HYPERLINK("https://us2.cloudbeds.com/connect/10074733072513#/reservations/30686034407641?display=YR0JA0TSX&amp;reservation_id=30686034407641", "YR0JA0TSX")</f>
        <v>YR0JA0TSX</v>
      </c>
      <c r="B3401" t="s">
        <v>942</v>
      </c>
      <c r="C3401">
        <v>382.17</v>
      </c>
      <c r="D3401">
        <v>415.41</v>
      </c>
      <c r="E3401">
        <v>415.42</v>
      </c>
      <c r="F3401">
        <v>-0.01</v>
      </c>
    </row>
    <row r="3402" spans="1:6" x14ac:dyDescent="0.3">
      <c r="A3402" t="str">
        <f>HYPERLINK("https://us2.cloudbeds.com/connect/10074733072513#/reservations/30686271729806?display=YR0PC4ZXA&amp;reservation_id=30686271729806", "YR0PC4ZXA")</f>
        <v>YR0PC4ZXA</v>
      </c>
      <c r="B3402" t="s">
        <v>913</v>
      </c>
      <c r="C3402">
        <v>304.2</v>
      </c>
      <c r="D3402">
        <v>330.66</v>
      </c>
      <c r="E3402">
        <v>330.67</v>
      </c>
      <c r="F3402">
        <v>-0.01</v>
      </c>
    </row>
    <row r="3403" spans="1:6" x14ac:dyDescent="0.3">
      <c r="A3403" t="str">
        <f>HYPERLINK("https://us2.cloudbeds.com/connect/10074733072513#/reservations/30686441959571?display=YR0TNMY21&amp;reservation_id=30686441959571", "YR0TNMY21")</f>
        <v>YR0TNMY21</v>
      </c>
      <c r="B3403" t="s">
        <v>937</v>
      </c>
      <c r="C3403">
        <v>134.1</v>
      </c>
      <c r="D3403">
        <v>145.76</v>
      </c>
      <c r="E3403">
        <v>145.77000000000001</v>
      </c>
      <c r="F3403">
        <v>-0.01</v>
      </c>
    </row>
    <row r="3404" spans="1:6" x14ac:dyDescent="0.3">
      <c r="A3404" t="str">
        <f>HYPERLINK("https://us2.cloudbeds.com/connect/10074733072513#/reservations/30686246613172?display=YR0ZNVRK6&amp;reservation_id=30686246613172", "YR0ZNVRK6")</f>
        <v>YR0ZNVRK6</v>
      </c>
      <c r="B3404" t="s">
        <v>913</v>
      </c>
      <c r="C3404">
        <v>170.1</v>
      </c>
      <c r="D3404">
        <v>184.89</v>
      </c>
      <c r="E3404">
        <v>184.9</v>
      </c>
      <c r="F3404">
        <v>-0.01</v>
      </c>
    </row>
    <row r="3405" spans="1:6" x14ac:dyDescent="0.3">
      <c r="A3405" t="str">
        <f>HYPERLINK("https://us2.cloudbeds.com/connect/10074733072513#/reservations/30686569365660?display=YR0WW3TNK&amp;reservation_id=30686569365660", "YR0WW3TNK")</f>
        <v>YR0WW3TNK</v>
      </c>
      <c r="B3405" t="s">
        <v>808</v>
      </c>
      <c r="C3405">
        <v>114.15</v>
      </c>
      <c r="D3405">
        <v>124.07</v>
      </c>
      <c r="E3405">
        <v>124.08</v>
      </c>
      <c r="F3405">
        <v>-0.01</v>
      </c>
    </row>
    <row r="3406" spans="1:6" x14ac:dyDescent="0.3">
      <c r="A3406" t="str">
        <f>HYPERLINK("https://us2.cloudbeds.com/connect/10074733072513#/reservations/30686188445938?display=YR0N7U85Z&amp;reservation_id=30686188445938", "YR0N7U85Z")</f>
        <v>YR0N7U85Z</v>
      </c>
      <c r="B3406" t="s">
        <v>808</v>
      </c>
      <c r="C3406">
        <v>127.66</v>
      </c>
      <c r="D3406">
        <v>138.76</v>
      </c>
      <c r="E3406">
        <v>138.77000000000001</v>
      </c>
      <c r="F3406">
        <v>-0.01</v>
      </c>
    </row>
    <row r="3407" spans="1:6" x14ac:dyDescent="0.3">
      <c r="A3407" t="str">
        <f>HYPERLINK("https://us2.cloudbeds.com/connect/10074733072513#/reservations/30687415824519?display=YR1YJSSJ2&amp;reservation_id=30687415824519", "YR1YJSSJ2")</f>
        <v>YR1YJSSJ2</v>
      </c>
      <c r="B3407" t="s">
        <v>936</v>
      </c>
      <c r="C3407">
        <v>169.15</v>
      </c>
      <c r="D3407">
        <v>183.86</v>
      </c>
      <c r="E3407">
        <v>183.87</v>
      </c>
      <c r="F3407">
        <v>-0.01</v>
      </c>
    </row>
    <row r="3408" spans="1:6" x14ac:dyDescent="0.3">
      <c r="A3408" t="str">
        <f>HYPERLINK("https://us2.cloudbeds.com/connect/10074733072513#/reservations/30686576877745?display=YR105EUSX&amp;reservation_id=30686576877745", "YR105EUSX")</f>
        <v>YR105EUSX</v>
      </c>
      <c r="B3408" t="s">
        <v>808</v>
      </c>
      <c r="C3408">
        <v>107.47</v>
      </c>
      <c r="D3408">
        <v>116.81</v>
      </c>
      <c r="E3408">
        <v>116.82</v>
      </c>
      <c r="F3408">
        <v>-0.01</v>
      </c>
    </row>
    <row r="3409" spans="1:6" x14ac:dyDescent="0.3">
      <c r="A3409" t="str">
        <f>HYPERLINK("https://us2.cloudbeds.com/connect/10074733072513#/reservations/31682294857964?display=MHD027HGD&amp;reservation_id=31682294857964", "MHD027HGD")</f>
        <v>MHD027HGD</v>
      </c>
      <c r="B3409" t="s">
        <v>946</v>
      </c>
      <c r="C3409">
        <v>134.1</v>
      </c>
      <c r="D3409">
        <v>145.76</v>
      </c>
      <c r="E3409">
        <v>145.77000000000001</v>
      </c>
      <c r="F3409">
        <v>-0.01</v>
      </c>
    </row>
    <row r="3410" spans="1:6" x14ac:dyDescent="0.3">
      <c r="A3410" t="str">
        <f>HYPERLINK("https://us2.cloudbeds.com/connect/10074733072513#/reservations/30687556477057?display=YR1P6FZ36&amp;reservation_id=30687556477057", "YR1P6FZ36")</f>
        <v>YR1P6FZ36</v>
      </c>
      <c r="B3410" t="s">
        <v>824</v>
      </c>
      <c r="C3410">
        <v>254.78</v>
      </c>
      <c r="D3410">
        <v>276.94</v>
      </c>
      <c r="E3410">
        <v>276.95</v>
      </c>
      <c r="F3410">
        <v>-0.01</v>
      </c>
    </row>
    <row r="3411" spans="1:6" x14ac:dyDescent="0.3">
      <c r="A3411" t="str">
        <f>HYPERLINK("https://us2.cloudbeds.com/connect/10074733072513#/reservations/30686146326672?display=YR0M5D75B&amp;reservation_id=30686146326672", "YR0M5D75B")</f>
        <v>YR0M5D75B</v>
      </c>
      <c r="B3411" t="s">
        <v>932</v>
      </c>
      <c r="C3411">
        <v>177.65</v>
      </c>
      <c r="D3411">
        <v>193.1</v>
      </c>
      <c r="E3411">
        <v>193.11</v>
      </c>
      <c r="F3411">
        <v>-0.01</v>
      </c>
    </row>
    <row r="3412" spans="1:6" x14ac:dyDescent="0.3">
      <c r="A3412" t="str">
        <f>HYPERLINK("https://us2.cloudbeds.com/connect/10074733072513#/reservations/30684457808084?display=YQWC0JN1D&amp;reservation_id=30684457808084", "YQWC0JN1D")</f>
        <v>YQWC0JN1D</v>
      </c>
      <c r="B3412" t="s">
        <v>904</v>
      </c>
      <c r="C3412">
        <v>340.55</v>
      </c>
      <c r="D3412">
        <v>370.17</v>
      </c>
      <c r="E3412">
        <v>370.18</v>
      </c>
      <c r="F3412">
        <v>-0.01</v>
      </c>
    </row>
    <row r="3413" spans="1:6" x14ac:dyDescent="0.3">
      <c r="A3413" t="str">
        <f>HYPERLINK("https://us2.cloudbeds.com/connect/10074733072513#/reservations/30686125764810?display=YR0YY21ZK&amp;reservation_id=30686125764810", "YR0YY21ZK")</f>
        <v>YR0YY21ZK</v>
      </c>
      <c r="B3413" t="s">
        <v>932</v>
      </c>
      <c r="C3413">
        <v>134.1</v>
      </c>
      <c r="D3413">
        <v>145.76</v>
      </c>
      <c r="E3413">
        <v>145.77000000000001</v>
      </c>
      <c r="F3413">
        <v>-0.01</v>
      </c>
    </row>
    <row r="3414" spans="1:6" x14ac:dyDescent="0.3">
      <c r="A3414" t="str">
        <f>HYPERLINK("https://us2.cloudbeds.com/connect/10074733072513#/reservations/30686470533265?display=YR0UEPZHX&amp;reservation_id=30686470533265", "YR0UEPZHX")</f>
        <v>YR0UEPZHX</v>
      </c>
      <c r="B3414" t="s">
        <v>932</v>
      </c>
      <c r="C3414">
        <v>94.16</v>
      </c>
      <c r="D3414">
        <v>102.34</v>
      </c>
      <c r="E3414">
        <v>102.35</v>
      </c>
      <c r="F3414">
        <v>-0.01</v>
      </c>
    </row>
    <row r="3415" spans="1:6" x14ac:dyDescent="0.3">
      <c r="A3415" t="str">
        <f>HYPERLINK("https://us2.cloudbeds.com/connect/10074733072513#/reservations/31671746949313?display=MH4RHVDVU&amp;reservation_id=31671746949313", "MH4RHVDVU")</f>
        <v>MH4RHVDVU</v>
      </c>
      <c r="B3415" t="s">
        <v>947</v>
      </c>
      <c r="C3415">
        <v>250.2</v>
      </c>
      <c r="D3415">
        <v>271.95999999999998</v>
      </c>
      <c r="E3415">
        <v>271.97000000000003</v>
      </c>
      <c r="F3415">
        <v>-0.01</v>
      </c>
    </row>
    <row r="3416" spans="1:6" x14ac:dyDescent="0.3">
      <c r="A3416" t="str">
        <f>HYPERLINK("https://us2.cloudbeds.com/connect/10074733072513#/reservations/30686127984784?display=YR0YMUR9X&amp;reservation_id=30686127984784", "YR0YMUR9X")</f>
        <v>YR0YMUR9X</v>
      </c>
      <c r="B3416" t="s">
        <v>944</v>
      </c>
      <c r="C3416">
        <v>120.32</v>
      </c>
      <c r="D3416">
        <v>130.78</v>
      </c>
      <c r="E3416">
        <v>130.79</v>
      </c>
      <c r="F3416">
        <v>-0.01</v>
      </c>
    </row>
    <row r="3417" spans="1:6" x14ac:dyDescent="0.3">
      <c r="A3417" t="str">
        <f>HYPERLINK("https://us2.cloudbeds.com/connect/10074733072513#/reservations/30686262108291?display=YR0P410C8&amp;reservation_id=30686262108291", "YR0P410C8")</f>
        <v>YR0P410C8</v>
      </c>
      <c r="B3417" t="s">
        <v>903</v>
      </c>
      <c r="C3417">
        <v>304.2</v>
      </c>
      <c r="D3417">
        <v>330.66</v>
      </c>
      <c r="E3417">
        <v>330.67</v>
      </c>
      <c r="F3417">
        <v>-0.01</v>
      </c>
    </row>
    <row r="3418" spans="1:6" x14ac:dyDescent="0.3">
      <c r="A3418" t="str">
        <f>HYPERLINK("https://us2.cloudbeds.com/connect/10074733072513#/reservations/30686168068320?display=YR0MNZ6V5&amp;reservation_id=30686168068320", "YR0MNZ6V5")</f>
        <v>YR0MNZ6V5</v>
      </c>
      <c r="B3418" t="s">
        <v>932</v>
      </c>
      <c r="C3418">
        <v>134.1</v>
      </c>
      <c r="D3418">
        <v>145.76</v>
      </c>
      <c r="E3418">
        <v>145.77000000000001</v>
      </c>
      <c r="F3418">
        <v>-0.01</v>
      </c>
    </row>
    <row r="3419" spans="1:6" x14ac:dyDescent="0.3">
      <c r="A3419" t="str">
        <f>HYPERLINK("https://us2.cloudbeds.com/connect/10074733072513#/reservations/30683598393490?display=YQVN1U78U&amp;reservation_id=30683598393490", "YQVN1U78U")</f>
        <v>YQVN1U78U</v>
      </c>
      <c r="B3419" t="s">
        <v>948</v>
      </c>
      <c r="C3419">
        <v>110.3</v>
      </c>
      <c r="D3419">
        <v>119.89</v>
      </c>
      <c r="E3419">
        <v>119.9</v>
      </c>
      <c r="F3419">
        <v>-0.01</v>
      </c>
    </row>
    <row r="3420" spans="1:6" x14ac:dyDescent="0.3">
      <c r="A3420" t="str">
        <f>HYPERLINK("https://us2.cloudbeds.com/connect/10074733072513#/reservations/30686050443419?display=YR0JNX437&amp;reservation_id=30686050443419", "YR0JNX437")</f>
        <v>YR0JNX437</v>
      </c>
      <c r="B3420" t="s">
        <v>944</v>
      </c>
      <c r="C3420">
        <v>304.2</v>
      </c>
      <c r="D3420">
        <v>330.66</v>
      </c>
      <c r="E3420">
        <v>330.67</v>
      </c>
      <c r="F3420">
        <v>-0.01</v>
      </c>
    </row>
    <row r="3421" spans="1:6" x14ac:dyDescent="0.3">
      <c r="A3421" t="str">
        <f>HYPERLINK("https://us2.cloudbeds.com/connect/10074733072513#/reservations/30686760906905?display=YR14SKQWP&amp;reservation_id=30686760906905", "YR14SKQWP")</f>
        <v>YR14SKQWP</v>
      </c>
      <c r="B3421" t="s">
        <v>752</v>
      </c>
      <c r="C3421">
        <v>224.1</v>
      </c>
      <c r="D3421">
        <v>243.59</v>
      </c>
      <c r="E3421">
        <v>243.6</v>
      </c>
      <c r="F3421">
        <v>-0.01</v>
      </c>
    </row>
    <row r="3422" spans="1:6" x14ac:dyDescent="0.3">
      <c r="A3422" t="str">
        <f>HYPERLINK("https://us2.cloudbeds.com/connect/10074733072513#/reservations/30682712195237?display=YQV0DYEPD&amp;reservation_id=30682712195237", "YQV0DYEPD")</f>
        <v>YQV0DYEPD</v>
      </c>
      <c r="B3422" t="s">
        <v>950</v>
      </c>
      <c r="C3422">
        <v>500.4</v>
      </c>
      <c r="D3422">
        <v>543.91999999999996</v>
      </c>
      <c r="E3422">
        <v>543.92999999999995</v>
      </c>
      <c r="F3422">
        <v>-0.01</v>
      </c>
    </row>
    <row r="3423" spans="1:6" x14ac:dyDescent="0.3">
      <c r="A3423" t="str">
        <f>HYPERLINK("https://us2.cloudbeds.com/connect/10074733072513#/reservations/30684473159828?display=YQWCDHT4P&amp;reservation_id=30684473159828", "YQWCDHT4P")</f>
        <v>YQWCDHT4P</v>
      </c>
      <c r="B3423" t="s">
        <v>904</v>
      </c>
      <c r="C3423">
        <v>157.21</v>
      </c>
      <c r="D3423">
        <v>170.88</v>
      </c>
      <c r="E3423">
        <v>170.89</v>
      </c>
      <c r="F3423">
        <v>-0.01</v>
      </c>
    </row>
    <row r="3424" spans="1:6" x14ac:dyDescent="0.3">
      <c r="A3424" t="str">
        <f>HYPERLINK("https://us2.cloudbeds.com/connect/10074733072513#/reservations/30687387250826?display=YR1KSPP3X&amp;reservation_id=30687387250826", "YR1KSPP3X")</f>
        <v>YR1KSPP3X</v>
      </c>
      <c r="B3424" t="s">
        <v>943</v>
      </c>
      <c r="C3424">
        <v>120.32</v>
      </c>
      <c r="D3424">
        <v>130.78</v>
      </c>
      <c r="E3424">
        <v>130.79</v>
      </c>
      <c r="F3424">
        <v>-0.01</v>
      </c>
    </row>
    <row r="3425" spans="1:6" x14ac:dyDescent="0.3">
      <c r="A3425" t="str">
        <f>HYPERLINK("https://us2.cloudbeds.com/connect/10074733072513#/reservations/30686194212992?display=YR0NCPK6P&amp;reservation_id=30686194212992", "YR0NCPK6P")</f>
        <v>YR0NCPK6P</v>
      </c>
      <c r="B3425" t="s">
        <v>951</v>
      </c>
      <c r="C3425">
        <v>352.5</v>
      </c>
      <c r="D3425">
        <v>383.16</v>
      </c>
      <c r="E3425">
        <v>383.17</v>
      </c>
      <c r="F3425">
        <v>-0.01</v>
      </c>
    </row>
    <row r="3426" spans="1:6" x14ac:dyDescent="0.3">
      <c r="A3426" t="str">
        <f>HYPERLINK("https://us2.cloudbeds.com/connect/10074733072513#/reservations/30685956948135?display=YR0HANFRQ&amp;reservation_id=30685956948135", "YR0HANFRQ")</f>
        <v>YR0HANFRQ</v>
      </c>
      <c r="B3426" t="s">
        <v>752</v>
      </c>
      <c r="C3426">
        <v>376.2</v>
      </c>
      <c r="D3426">
        <v>408.92</v>
      </c>
      <c r="E3426">
        <v>408.93</v>
      </c>
      <c r="F3426">
        <v>-0.01</v>
      </c>
    </row>
    <row r="3427" spans="1:6" x14ac:dyDescent="0.3">
      <c r="A3427" t="str">
        <f>HYPERLINK("https://us2.cloudbeds.com/connect/10074733072513#/reservations/30684741107892?display=YQWJ8FUQ2&amp;reservation_id=30684741107892", "YQWJ8FUQ2")</f>
        <v>YQWJ8FUQ2</v>
      </c>
      <c r="B3427" t="s">
        <v>952</v>
      </c>
      <c r="C3427">
        <v>110.29</v>
      </c>
      <c r="D3427">
        <v>119.88</v>
      </c>
      <c r="E3427">
        <v>119.89</v>
      </c>
      <c r="F3427">
        <v>-0.01</v>
      </c>
    </row>
    <row r="3428" spans="1:6" x14ac:dyDescent="0.3">
      <c r="A3428" t="str">
        <f>HYPERLINK("https://us2.cloudbeds.com/connect/10074733072513#/reservations/30686784131271?display=YR15F72AE&amp;reservation_id=30686784131271", "YR15F72AE")</f>
        <v>YR15F72AE</v>
      </c>
      <c r="B3428" t="s">
        <v>752</v>
      </c>
      <c r="C3428">
        <v>169.15</v>
      </c>
      <c r="D3428">
        <v>183.86</v>
      </c>
      <c r="E3428">
        <v>183.87</v>
      </c>
      <c r="F3428">
        <v>-0.01</v>
      </c>
    </row>
    <row r="3429" spans="1:6" x14ac:dyDescent="0.3">
      <c r="A3429" t="str">
        <f>HYPERLINK("https://us2.cloudbeds.com/connect/10074733072513#/reservations/30685911826638?display=YR0G5YTVN&amp;reservation_id=30685911826638", "YR0G5YTVN")</f>
        <v>YR0G5YTVN</v>
      </c>
      <c r="B3429" t="s">
        <v>752</v>
      </c>
      <c r="C3429">
        <v>170.1</v>
      </c>
      <c r="D3429">
        <v>184.89</v>
      </c>
      <c r="E3429">
        <v>184.9</v>
      </c>
      <c r="F3429">
        <v>-0.01</v>
      </c>
    </row>
    <row r="3430" spans="1:6" x14ac:dyDescent="0.3">
      <c r="A3430" t="str">
        <f>HYPERLINK("https://us2.cloudbeds.com/connect/10074733072513#/reservations/30685887922336?display=YR0FXGZ8U&amp;reservation_id=30685887922336", "YR0FXGZ8U")</f>
        <v>YR0FXGZ8U</v>
      </c>
      <c r="B3430" t="s">
        <v>752</v>
      </c>
      <c r="C3430">
        <v>169.15</v>
      </c>
      <c r="D3430">
        <v>183.86</v>
      </c>
      <c r="E3430">
        <v>183.87</v>
      </c>
      <c r="F3430">
        <v>-0.01</v>
      </c>
    </row>
    <row r="3431" spans="1:6" x14ac:dyDescent="0.3">
      <c r="A3431" t="str">
        <f>HYPERLINK("https://us2.cloudbeds.com/connect/10074733072513#/reservations/30686793375904?display=YR15N0ADR&amp;reservation_id=30686793375904", "YR15N0ADR")</f>
        <v>YR15N0ADR</v>
      </c>
      <c r="B3431" t="s">
        <v>752</v>
      </c>
      <c r="C3431">
        <v>170.1</v>
      </c>
      <c r="D3431">
        <v>184.89</v>
      </c>
      <c r="E3431">
        <v>184.9</v>
      </c>
      <c r="F3431">
        <v>-0.01</v>
      </c>
    </row>
    <row r="3432" spans="1:6" x14ac:dyDescent="0.3">
      <c r="A3432" t="str">
        <f>HYPERLINK("https://us2.cloudbeds.com/connect/10074733072513#/reservations/30686997450960?display=YR1AU305E&amp;reservation_id=30686997450960", "YR1AU305E")</f>
        <v>YR1AU305E</v>
      </c>
      <c r="B3432" t="s">
        <v>922</v>
      </c>
      <c r="C3432">
        <v>134.1</v>
      </c>
      <c r="D3432">
        <v>145.76</v>
      </c>
      <c r="E3432">
        <v>145.77000000000001</v>
      </c>
      <c r="F3432">
        <v>-0.01</v>
      </c>
    </row>
    <row r="3433" spans="1:6" x14ac:dyDescent="0.3">
      <c r="A3433" t="str">
        <f>HYPERLINK("https://us2.cloudbeds.com/connect/10074733072513#/reservations/30686865674391?display=YR17HW472&amp;reservation_id=30686865674391", "YR17HW472")</f>
        <v>YR17HW472</v>
      </c>
      <c r="B3433" t="s">
        <v>884</v>
      </c>
      <c r="C3433">
        <v>304.2</v>
      </c>
      <c r="D3433">
        <v>330.66</v>
      </c>
      <c r="E3433">
        <v>330.67</v>
      </c>
      <c r="F3433">
        <v>-0.01</v>
      </c>
    </row>
    <row r="3434" spans="1:6" x14ac:dyDescent="0.3">
      <c r="A3434" t="str">
        <f>HYPERLINK("https://us2.cloudbeds.com/connect/10074733072513#/reservations/30686972190883?display=YR1A8Q3GX&amp;reservation_id=30686972190883", "YR1A8Q3GX")</f>
        <v>YR1A8Q3GX</v>
      </c>
      <c r="B3434" t="s">
        <v>928</v>
      </c>
      <c r="C3434">
        <v>268.2</v>
      </c>
      <c r="D3434">
        <v>291.52</v>
      </c>
      <c r="E3434">
        <v>291.52999999999997</v>
      </c>
      <c r="F3434">
        <v>-0.01</v>
      </c>
    </row>
    <row r="3435" spans="1:6" x14ac:dyDescent="0.3">
      <c r="A3435" t="str">
        <f>HYPERLINK("https://us2.cloudbeds.com/connect/10074733072513#/reservations/30684675383503?display=YQWHJ21QU&amp;reservation_id=30684675383503", "YQWHJ21QU")</f>
        <v>YQWHJ21QU</v>
      </c>
      <c r="B3435" t="s">
        <v>953</v>
      </c>
      <c r="C3435">
        <v>304.2</v>
      </c>
      <c r="D3435">
        <v>330.66</v>
      </c>
      <c r="E3435">
        <v>330.67</v>
      </c>
      <c r="F3435">
        <v>-0.01</v>
      </c>
    </row>
    <row r="3436" spans="1:6" x14ac:dyDescent="0.3">
      <c r="A3436" t="str">
        <f>HYPERLINK("https://us2.cloudbeds.com/connect/10074733072513#/reservations/30683625889964?display=YQVNP3BXD&amp;reservation_id=30683625889964", "YQVNP3BXD")</f>
        <v>YQVNP3BXD</v>
      </c>
      <c r="B3436" t="s">
        <v>809</v>
      </c>
      <c r="C3436">
        <v>304.2</v>
      </c>
      <c r="D3436">
        <v>330.66</v>
      </c>
      <c r="E3436">
        <v>330.67</v>
      </c>
      <c r="F3436">
        <v>-0.01</v>
      </c>
    </row>
    <row r="3437" spans="1:6" x14ac:dyDescent="0.3">
      <c r="A3437" t="str">
        <f>HYPERLINK("https://us2.cloudbeds.com/connect/10074733072513#/reservations/30685827883187?display=YR0E0T1TP&amp;reservation_id=30685827883187", "YR0E0T1TP")</f>
        <v>YR0E0T1TP</v>
      </c>
      <c r="B3437" t="s">
        <v>928</v>
      </c>
      <c r="C3437">
        <v>134.1</v>
      </c>
      <c r="D3437">
        <v>145.76</v>
      </c>
      <c r="E3437">
        <v>145.77000000000001</v>
      </c>
      <c r="F3437">
        <v>-0.01</v>
      </c>
    </row>
    <row r="3438" spans="1:6" x14ac:dyDescent="0.3">
      <c r="A3438" t="str">
        <f>HYPERLINK("https://us2.cloudbeds.com/connect/10074733072513#/reservations/30685090730209?display=YQWS69MZN&amp;reservation_id=30685090730209", "YQWS69MZN")</f>
        <v>YQWS69MZN</v>
      </c>
      <c r="B3438" t="s">
        <v>870</v>
      </c>
      <c r="C3438">
        <v>240.32</v>
      </c>
      <c r="D3438">
        <v>261.22000000000003</v>
      </c>
      <c r="E3438">
        <v>261.23</v>
      </c>
      <c r="F3438">
        <v>-0.01</v>
      </c>
    </row>
    <row r="3439" spans="1:6" x14ac:dyDescent="0.3">
      <c r="A3439" t="str">
        <f>HYPERLINK("https://us2.cloudbeds.com/connect/10074733072513#/reservations/30685961933017?display=YR0HEU6AR&amp;reservation_id=30685961933017", "YR0HEU6AR")</f>
        <v>YR0HEU6AR</v>
      </c>
      <c r="B3439" t="s">
        <v>954</v>
      </c>
      <c r="C3439">
        <v>134.1</v>
      </c>
      <c r="D3439">
        <v>145.76</v>
      </c>
      <c r="E3439">
        <v>145.77000000000001</v>
      </c>
      <c r="F3439">
        <v>-0.01</v>
      </c>
    </row>
    <row r="3440" spans="1:6" x14ac:dyDescent="0.3">
      <c r="A3440" t="str">
        <f>HYPERLINK("https://us2.cloudbeds.com/connect/10074733072513#/reservations/30686198587579?display=YR0NGFEW6&amp;reservation_id=30686198587579", "YR0NGFEW6")</f>
        <v>YR0NGFEW6</v>
      </c>
      <c r="B3440" t="s">
        <v>938</v>
      </c>
      <c r="C3440">
        <v>134.1</v>
      </c>
      <c r="D3440">
        <v>145.76</v>
      </c>
      <c r="E3440">
        <v>145.77000000000001</v>
      </c>
      <c r="F3440">
        <v>-0.01</v>
      </c>
    </row>
    <row r="3441" spans="1:6" x14ac:dyDescent="0.3">
      <c r="A3441" t="str">
        <f>HYPERLINK("https://us2.cloudbeds.com/connect/10074733072513#/reservations/30686178541704?display=YR0MWXYCE&amp;reservation_id=30686178541704", "YR0MWXYCE")</f>
        <v>YR0MWXYCE</v>
      </c>
      <c r="B3441" t="s">
        <v>951</v>
      </c>
      <c r="C3441">
        <v>338</v>
      </c>
      <c r="D3441">
        <v>367.4</v>
      </c>
      <c r="E3441">
        <v>367.41</v>
      </c>
      <c r="F3441">
        <v>-0.01</v>
      </c>
    </row>
    <row r="3442" spans="1:6" x14ac:dyDescent="0.3">
      <c r="A3442" t="str">
        <f>HYPERLINK("https://us2.cloudbeds.com/connect/10074733072513#/reservations/30685651288246?display=YR09GW1DT&amp;reservation_id=30685651288246", "YR09GW1DT")</f>
        <v>YR09GW1DT</v>
      </c>
      <c r="B3442" t="s">
        <v>833</v>
      </c>
      <c r="C3442">
        <v>152.15</v>
      </c>
      <c r="D3442">
        <v>165.38</v>
      </c>
      <c r="E3442">
        <v>165.39</v>
      </c>
      <c r="F3442">
        <v>-0.01</v>
      </c>
    </row>
    <row r="3443" spans="1:6" x14ac:dyDescent="0.3">
      <c r="A3443" t="str">
        <f>HYPERLINK("https://us2.cloudbeds.com/connect/10074733072513#/reservations/30687229239484?display=YR1GRHSF3&amp;reservation_id=30687229239484", "YR1GRHSF3")</f>
        <v>YR1GRHSF3</v>
      </c>
      <c r="B3443" t="s">
        <v>904</v>
      </c>
      <c r="C3443">
        <v>152.15</v>
      </c>
      <c r="D3443">
        <v>165.38</v>
      </c>
      <c r="E3443">
        <v>165.39</v>
      </c>
      <c r="F3443">
        <v>-0.01</v>
      </c>
    </row>
    <row r="3444" spans="1:6" x14ac:dyDescent="0.3">
      <c r="A3444" t="str">
        <f>HYPERLINK("https://us2.cloudbeds.com/connect/10074733072513#/reservations/30681686532272?display=YQU76PSGG&amp;reservation_id=30681686532272", "YQU76PSGG")</f>
        <v>YQU76PSGG</v>
      </c>
      <c r="B3444" t="s">
        <v>885</v>
      </c>
      <c r="C3444">
        <v>114.15</v>
      </c>
      <c r="D3444">
        <v>124.07</v>
      </c>
      <c r="E3444">
        <v>124.08</v>
      </c>
      <c r="F3444">
        <v>-0.01</v>
      </c>
    </row>
    <row r="3445" spans="1:6" x14ac:dyDescent="0.3">
      <c r="A3445" t="str">
        <f>HYPERLINK("https://us2.cloudbeds.com/connect/10074733072513#/reservations/30687236096208?display=YR1H0AYQK&amp;reservation_id=30687236096208", "YR1H0AYQK")</f>
        <v>YR1H0AYQK</v>
      </c>
      <c r="B3445" t="s">
        <v>904</v>
      </c>
      <c r="C3445">
        <v>170.1</v>
      </c>
      <c r="D3445">
        <v>184.89</v>
      </c>
      <c r="E3445">
        <v>184.9</v>
      </c>
      <c r="F3445">
        <v>-0.01</v>
      </c>
    </row>
    <row r="3446" spans="1:6" x14ac:dyDescent="0.3">
      <c r="A3446" t="str">
        <f>HYPERLINK("https://us2.cloudbeds.com/connect/10074733072513#/reservations/30685862727855?display=YR0EU8YRQ&amp;reservation_id=30685862727855", "YR0EU8YRQ")</f>
        <v>YR0EU8YRQ</v>
      </c>
      <c r="B3446" t="s">
        <v>916</v>
      </c>
      <c r="C3446">
        <v>250.2</v>
      </c>
      <c r="D3446">
        <v>271.95999999999998</v>
      </c>
      <c r="E3446">
        <v>271.97000000000003</v>
      </c>
      <c r="F3446">
        <v>-0.01</v>
      </c>
    </row>
    <row r="3447" spans="1:6" x14ac:dyDescent="0.3">
      <c r="A3447" t="str">
        <f>HYPERLINK("https://us2.cloudbeds.com/connect/10074733072513#/reservations/30686125768897?display=YR0YY25GF&amp;reservation_id=30686125768897", "YR0YY25GF")</f>
        <v>YR0YY25GF</v>
      </c>
      <c r="B3447" t="s">
        <v>916</v>
      </c>
      <c r="C3447">
        <v>112.24</v>
      </c>
      <c r="D3447">
        <v>121.99</v>
      </c>
      <c r="E3447">
        <v>122</v>
      </c>
      <c r="F3447">
        <v>-0.01</v>
      </c>
    </row>
    <row r="3448" spans="1:6" x14ac:dyDescent="0.3">
      <c r="A3448" t="str">
        <f>HYPERLINK("https://us2.cloudbeds.com/connect/10074733072513#/reservations/30684562747592?display=YQWEN2Q7G&amp;reservation_id=30684562747592", "YQWEN2Q7G")</f>
        <v>YQWEN2Q7G</v>
      </c>
      <c r="B3448" t="s">
        <v>955</v>
      </c>
      <c r="C3448">
        <v>375.3</v>
      </c>
      <c r="D3448">
        <v>407.94</v>
      </c>
      <c r="E3448">
        <v>407.95</v>
      </c>
      <c r="F3448">
        <v>-0.01</v>
      </c>
    </row>
    <row r="3449" spans="1:6" x14ac:dyDescent="0.3">
      <c r="A3449" t="str">
        <f>HYPERLINK("https://us2.cloudbeds.com/connect/10074733072513#/reservations/30685786325148?display=YR0CVRY88&amp;reservation_id=30685786325148", "YR0CVRY88")</f>
        <v>YR0CVRY88</v>
      </c>
      <c r="B3449" t="s">
        <v>941</v>
      </c>
      <c r="C3449">
        <v>112.24</v>
      </c>
      <c r="D3449">
        <v>121.99</v>
      </c>
      <c r="E3449">
        <v>122</v>
      </c>
      <c r="F3449">
        <v>-0.01</v>
      </c>
    </row>
    <row r="3450" spans="1:6" x14ac:dyDescent="0.3">
      <c r="A3450" t="str">
        <f>HYPERLINK("https://us2.cloudbeds.com/connect/10074733072513#/reservations/30684520513748?display=YQWDKFJ01&amp;reservation_id=30684520513748", "YQWDKFJ01")</f>
        <v>YQWDKFJ01</v>
      </c>
      <c r="B3450" t="s">
        <v>955</v>
      </c>
      <c r="C3450">
        <v>118.15</v>
      </c>
      <c r="D3450">
        <v>128.41999999999999</v>
      </c>
      <c r="E3450">
        <v>128.43</v>
      </c>
      <c r="F3450">
        <v>-0.01</v>
      </c>
    </row>
    <row r="3451" spans="1:6" x14ac:dyDescent="0.3">
      <c r="A3451" t="str">
        <f>HYPERLINK("https://us2.cloudbeds.com/connect/10074733072513#/reservations/30682443018475?display=YQUQHM6RR&amp;reservation_id=30682443018475", "YQUQHM6RR")</f>
        <v>YQUQHM6RR</v>
      </c>
      <c r="B3451" t="s">
        <v>960</v>
      </c>
      <c r="C3451">
        <v>500.4</v>
      </c>
      <c r="D3451">
        <v>543.91999999999996</v>
      </c>
      <c r="E3451">
        <v>543.92999999999995</v>
      </c>
      <c r="F3451">
        <v>-0.01</v>
      </c>
    </row>
    <row r="3452" spans="1:6" x14ac:dyDescent="0.3">
      <c r="A3452" t="str">
        <f>HYPERLINK("https://us2.cloudbeds.com/connect/10074733072513#/reservations/30685894201599?display=YR0FNQFBK&amp;reservation_id=30685894201599", "YR0FNQFBK")</f>
        <v>YR0FNQFBK</v>
      </c>
      <c r="B3452" t="s">
        <v>884</v>
      </c>
      <c r="C3452">
        <v>112.24</v>
      </c>
      <c r="D3452">
        <v>121.99</v>
      </c>
      <c r="E3452">
        <v>122</v>
      </c>
      <c r="F3452">
        <v>-0.01</v>
      </c>
    </row>
    <row r="3453" spans="1:6" x14ac:dyDescent="0.3">
      <c r="A3453" t="str">
        <f>HYPERLINK("https://us2.cloudbeds.com/connect/10074733072513#/reservations/30685109248202?display=YQWSYTWB1&amp;reservation_id=30685109248202", "YQWSYTWB1")</f>
        <v>YQWSYTWB1</v>
      </c>
      <c r="B3453" t="s">
        <v>918</v>
      </c>
      <c r="C3453">
        <v>62.24</v>
      </c>
      <c r="D3453">
        <v>67.64</v>
      </c>
      <c r="E3453">
        <v>67.650000000000006</v>
      </c>
      <c r="F3453">
        <v>-0.01</v>
      </c>
    </row>
    <row r="3454" spans="1:6" x14ac:dyDescent="0.3">
      <c r="A3454" t="str">
        <f>HYPERLINK("https://us2.cloudbeds.com/connect/10074733072513#/reservations/30685118132381?display=YQWSTD6EH&amp;reservation_id=30685118132381", "YQWSTD6EH")</f>
        <v>YQWSTD6EH</v>
      </c>
      <c r="B3454" t="s">
        <v>918</v>
      </c>
      <c r="C3454">
        <v>112.24</v>
      </c>
      <c r="D3454">
        <v>121.99</v>
      </c>
      <c r="E3454">
        <v>122</v>
      </c>
      <c r="F3454">
        <v>-0.01</v>
      </c>
    </row>
    <row r="3455" spans="1:6" x14ac:dyDescent="0.3">
      <c r="A3455" t="str">
        <f>HYPERLINK("https://us2.cloudbeds.com/connect/10074733072513#/reservations/30683278512259?display=YQVET61P7&amp;reservation_id=30683278512259", "YQVET61P7")</f>
        <v>YQVET61P7</v>
      </c>
      <c r="B3455" t="s">
        <v>963</v>
      </c>
      <c r="C3455">
        <v>87.45</v>
      </c>
      <c r="D3455">
        <v>95.05</v>
      </c>
      <c r="E3455">
        <v>95.06</v>
      </c>
      <c r="F3455">
        <v>-0.01</v>
      </c>
    </row>
    <row r="3456" spans="1:6" x14ac:dyDescent="0.3">
      <c r="A3456" t="str">
        <f>HYPERLINK("https://us2.cloudbeds.com/connect/10074733072513#/reservations/30686646878363?display=YR11VFQJD&amp;reservation_id=30686646878363", "YR11VFQJD")</f>
        <v>YR11VFQJD</v>
      </c>
      <c r="B3456" t="s">
        <v>855</v>
      </c>
      <c r="C3456">
        <v>277.2</v>
      </c>
      <c r="D3456">
        <v>301.31</v>
      </c>
      <c r="E3456">
        <v>301.32</v>
      </c>
      <c r="F3456">
        <v>-0.01</v>
      </c>
    </row>
    <row r="3457" spans="1:6" x14ac:dyDescent="0.3">
      <c r="A3457" t="str">
        <f>HYPERLINK("https://us2.cloudbeds.com/connect/10074733072513#/reservations/30684646891747?display=YQWGS17JC&amp;reservation_id=30684646891747", "YQWGS17JC")</f>
        <v>YQWGS17JC</v>
      </c>
      <c r="B3457" t="s">
        <v>920</v>
      </c>
      <c r="C3457">
        <v>110.29</v>
      </c>
      <c r="D3457">
        <v>119.88</v>
      </c>
      <c r="E3457">
        <v>119.89</v>
      </c>
      <c r="F3457">
        <v>-0.01</v>
      </c>
    </row>
    <row r="3458" spans="1:6" x14ac:dyDescent="0.3">
      <c r="A3458" t="str">
        <f>HYPERLINK("https://us2.cloudbeds.com/connect/10074733072513#/reservations/30686463942854?display=YR0U97BZ4&amp;reservation_id=30686463942854", "YR0U97BZ4")</f>
        <v>YR0U97BZ4</v>
      </c>
      <c r="B3458" t="s">
        <v>965</v>
      </c>
      <c r="C3458">
        <v>120.32</v>
      </c>
      <c r="D3458">
        <v>130.78</v>
      </c>
      <c r="E3458">
        <v>130.79</v>
      </c>
      <c r="F3458">
        <v>-0.01</v>
      </c>
    </row>
    <row r="3459" spans="1:6" x14ac:dyDescent="0.3">
      <c r="A3459" t="str">
        <f>HYPERLINK("https://us2.cloudbeds.com/connect/10074733072513#/reservations/30685284884682?display=YR0050AMJ&amp;reservation_id=30685284884682", "YR0050AMJ")</f>
        <v>YR0050AMJ</v>
      </c>
      <c r="B3459" t="s">
        <v>966</v>
      </c>
      <c r="C3459">
        <v>112.24</v>
      </c>
      <c r="D3459">
        <v>121.99</v>
      </c>
      <c r="E3459">
        <v>122</v>
      </c>
      <c r="F3459">
        <v>-0.01</v>
      </c>
    </row>
    <row r="3460" spans="1:6" x14ac:dyDescent="0.3">
      <c r="A3460" t="str">
        <f>HYPERLINK("https://us2.cloudbeds.com/connect/10074733072513#/reservations/30685468455155?display=YR04RQEK7&amp;reservation_id=30685468455155", "YR04RQEK7")</f>
        <v>YR04RQEK7</v>
      </c>
      <c r="B3460" t="s">
        <v>750</v>
      </c>
      <c r="C3460">
        <v>83.45</v>
      </c>
      <c r="D3460">
        <v>90.7</v>
      </c>
      <c r="E3460">
        <v>90.71</v>
      </c>
      <c r="F3460">
        <v>-0.01</v>
      </c>
    </row>
    <row r="3461" spans="1:6" x14ac:dyDescent="0.3">
      <c r="A3461" t="str">
        <f>HYPERLINK("https://us2.cloudbeds.com/connect/10074733072513#/reservations/30684987855002?display=YQWPXX157&amp;reservation_id=30684987855002", "YQWPXX157")</f>
        <v>YQWPXX157</v>
      </c>
      <c r="B3461" t="s">
        <v>971</v>
      </c>
      <c r="C3461">
        <v>208.34</v>
      </c>
      <c r="D3461">
        <v>226.46</v>
      </c>
      <c r="E3461">
        <v>226.47</v>
      </c>
      <c r="F3461">
        <v>-0.01</v>
      </c>
    </row>
    <row r="3462" spans="1:6" x14ac:dyDescent="0.3">
      <c r="A3462" t="str">
        <f>HYPERLINK("https://us2.cloudbeds.com/connect/10074733072513#/reservations/30683229782156?display=YQVDY326G&amp;reservation_id=30683229782156", "YQVDY326G")</f>
        <v>YQVDY326G</v>
      </c>
      <c r="B3462" t="s">
        <v>809</v>
      </c>
      <c r="C3462">
        <v>268.2</v>
      </c>
      <c r="D3462">
        <v>291.52</v>
      </c>
      <c r="E3462">
        <v>291.52999999999997</v>
      </c>
      <c r="F3462">
        <v>-0.01</v>
      </c>
    </row>
    <row r="3463" spans="1:6" x14ac:dyDescent="0.3">
      <c r="A3463" t="str">
        <f>HYPERLINK("https://us2.cloudbeds.com/connect/10074733072513#/reservations/30685346943114?display=YR01ZB6A5&amp;reservation_id=30685346943114", "YR01ZB6A5")</f>
        <v>YR01ZB6A5</v>
      </c>
      <c r="B3463" t="s">
        <v>958</v>
      </c>
      <c r="C3463">
        <v>300.10000000000002</v>
      </c>
      <c r="D3463">
        <v>326.2</v>
      </c>
      <c r="E3463">
        <v>326.20999999999998</v>
      </c>
      <c r="F3463">
        <v>-0.01</v>
      </c>
    </row>
    <row r="3464" spans="1:6" x14ac:dyDescent="0.3">
      <c r="A3464" t="str">
        <f>HYPERLINK("https://us2.cloudbeds.com/connect/10074733072513#/reservations/30685419974911?display=YR03JUDFU&amp;reservation_id=30685419974911", "YR03JUDFU")</f>
        <v>YR03JUDFU</v>
      </c>
      <c r="B3464" t="s">
        <v>965</v>
      </c>
      <c r="C3464">
        <v>77.45</v>
      </c>
      <c r="D3464">
        <v>84.18</v>
      </c>
      <c r="E3464">
        <v>84.19</v>
      </c>
      <c r="F3464">
        <v>-0.01</v>
      </c>
    </row>
    <row r="3465" spans="1:6" x14ac:dyDescent="0.3">
      <c r="A3465" t="str">
        <f>HYPERLINK("https://us2.cloudbeds.com/connect/10074733072513#/reservations/30684875981007?display=YQWMN6W75&amp;reservation_id=30684875981007", "YQWMN6W75")</f>
        <v>YQWMN6W75</v>
      </c>
      <c r="B3465" t="s">
        <v>726</v>
      </c>
      <c r="C3465">
        <v>143.65</v>
      </c>
      <c r="D3465">
        <v>156.13999999999999</v>
      </c>
      <c r="E3465">
        <v>156.15</v>
      </c>
      <c r="F3465">
        <v>-0.01</v>
      </c>
    </row>
    <row r="3466" spans="1:6" x14ac:dyDescent="0.3">
      <c r="A3466" t="str">
        <f>HYPERLINK("https://us2.cloudbeds.com/connect/10074733072513#/reservations/30684659355893?display=YQWH5X22P&amp;reservation_id=30684659355893", "YQWH5X22P")</f>
        <v>YQWH5X22P</v>
      </c>
      <c r="B3466" t="s">
        <v>940</v>
      </c>
      <c r="C3466">
        <v>94.16</v>
      </c>
      <c r="D3466">
        <v>102.34</v>
      </c>
      <c r="E3466">
        <v>102.35</v>
      </c>
      <c r="F3466">
        <v>-0.01</v>
      </c>
    </row>
    <row r="3467" spans="1:6" x14ac:dyDescent="0.3">
      <c r="A3467" t="str">
        <f>HYPERLINK("https://us2.cloudbeds.com/connect/10074733072513#/reservations/30685524918526?display=YR069DKEF&amp;reservation_id=30685524918526", "YR069DKEF")</f>
        <v>YR069DKEF</v>
      </c>
      <c r="B3467" t="s">
        <v>971</v>
      </c>
      <c r="C3467">
        <v>94.1</v>
      </c>
      <c r="D3467">
        <v>102.28</v>
      </c>
      <c r="E3467">
        <v>102.29</v>
      </c>
      <c r="F3467">
        <v>-0.01</v>
      </c>
    </row>
    <row r="3468" spans="1:6" x14ac:dyDescent="0.3">
      <c r="A3468" t="str">
        <f>HYPERLINK("https://us2.cloudbeds.com/connect/10074733072513#/reservations/30685434704046?display=YR03WB8SB&amp;reservation_id=30685434704046", "YR03WB8SB")</f>
        <v>YR03WB8SB</v>
      </c>
      <c r="B3468" t="s">
        <v>907</v>
      </c>
      <c r="C3468">
        <v>170.1</v>
      </c>
      <c r="D3468">
        <v>184.89</v>
      </c>
      <c r="E3468">
        <v>184.9</v>
      </c>
      <c r="F3468">
        <v>-0.01</v>
      </c>
    </row>
    <row r="3469" spans="1:6" x14ac:dyDescent="0.3">
      <c r="A3469" t="str">
        <f>HYPERLINK("https://us2.cloudbeds.com/connect/10074733072513#/reservations/30685254062250?display=YQWWC0Y8H&amp;reservation_id=30685254062250", "YQWWC0Y8H")</f>
        <v>YQWWC0Y8H</v>
      </c>
      <c r="B3469" t="s">
        <v>975</v>
      </c>
      <c r="C3469">
        <v>250.2</v>
      </c>
      <c r="D3469">
        <v>271.95999999999998</v>
      </c>
      <c r="E3469">
        <v>271.97000000000003</v>
      </c>
      <c r="F3469">
        <v>-0.01</v>
      </c>
    </row>
    <row r="3470" spans="1:6" x14ac:dyDescent="0.3">
      <c r="A3470" t="str">
        <f>HYPERLINK("https://us2.cloudbeds.com/connect/10074733072513#/reservations/30685277720706?display=YQWWVVW6E&amp;reservation_id=30685277720706", "YQWWVVW6E")</f>
        <v>YQWWVVW6E</v>
      </c>
      <c r="B3470" t="s">
        <v>975</v>
      </c>
      <c r="C3470">
        <v>112.24</v>
      </c>
      <c r="D3470">
        <v>121.99</v>
      </c>
      <c r="E3470">
        <v>122</v>
      </c>
      <c r="F3470">
        <v>-0.01</v>
      </c>
    </row>
    <row r="3471" spans="1:6" x14ac:dyDescent="0.3">
      <c r="A3471" t="str">
        <f>HYPERLINK("https://us2.cloudbeds.com/connect/10074733072513#/reservations/30685261697202?display=YQWWXF37N&amp;reservation_id=30685261697202", "YQWWXF37N")</f>
        <v>YQWWXF37N</v>
      </c>
      <c r="B3471" t="s">
        <v>933</v>
      </c>
      <c r="C3471">
        <v>268.2</v>
      </c>
      <c r="D3471">
        <v>291.52</v>
      </c>
      <c r="E3471">
        <v>291.52999999999997</v>
      </c>
      <c r="F3471">
        <v>-0.01</v>
      </c>
    </row>
    <row r="3472" spans="1:6" x14ac:dyDescent="0.3">
      <c r="A3472" t="str">
        <f>HYPERLINK("https://us2.cloudbeds.com/connect/10074733072513#/reservations/30684992848126?display=YQWPMZW70&amp;reservation_id=30684992848126", "YQWPMZW70")</f>
        <v>YQWPMZW70</v>
      </c>
      <c r="B3472" t="s">
        <v>976</v>
      </c>
      <c r="C3472">
        <v>112.24</v>
      </c>
      <c r="D3472">
        <v>121.99</v>
      </c>
      <c r="E3472">
        <v>122</v>
      </c>
      <c r="F3472">
        <v>-0.01</v>
      </c>
    </row>
    <row r="3473" spans="1:6" x14ac:dyDescent="0.3">
      <c r="A3473" t="str">
        <f>HYPERLINK("https://us2.cloudbeds.com/connect/10074733072513#/reservations/30684552413428?display=YQWEEC7Y0&amp;reservation_id=30684552413428", "YQWEEC7Y0")</f>
        <v>YQWEEC7Y0</v>
      </c>
      <c r="B3473" t="s">
        <v>919</v>
      </c>
      <c r="C3473">
        <v>357.34</v>
      </c>
      <c r="D3473">
        <v>388.42</v>
      </c>
      <c r="E3473">
        <v>388.43</v>
      </c>
      <c r="F3473">
        <v>-0.01</v>
      </c>
    </row>
    <row r="3474" spans="1:6" x14ac:dyDescent="0.3">
      <c r="A3474" t="str">
        <f>HYPERLINK("https://us2.cloudbeds.com/connect/10074733072513#/reservations/30684939292921?display=YQWZAJNT0&amp;reservation_id=30684939292921", "YQWZAJNT0")</f>
        <v>YQWZAJNT0</v>
      </c>
      <c r="B3474" t="s">
        <v>980</v>
      </c>
      <c r="C3474">
        <v>250.2</v>
      </c>
      <c r="D3474">
        <v>271.95999999999998</v>
      </c>
      <c r="E3474">
        <v>271.97000000000003</v>
      </c>
      <c r="F3474">
        <v>-0.01</v>
      </c>
    </row>
    <row r="3475" spans="1:6" x14ac:dyDescent="0.3">
      <c r="A3475" t="str">
        <f>HYPERLINK("https://us2.cloudbeds.com/connect/10074733072513#/reservations/30684303933577?display=YQW82RU4X&amp;reservation_id=30684303933577", "YQW82RU4X")</f>
        <v>YQW82RU4X</v>
      </c>
      <c r="B3475" t="s">
        <v>977</v>
      </c>
      <c r="C3475">
        <v>103.2</v>
      </c>
      <c r="D3475">
        <v>112.17</v>
      </c>
      <c r="E3475">
        <v>112.18</v>
      </c>
      <c r="F3475">
        <v>-0.01</v>
      </c>
    </row>
    <row r="3476" spans="1:6" x14ac:dyDescent="0.3">
      <c r="A3476" t="str">
        <f>HYPERLINK("https://us2.cloudbeds.com/connect/10074733072513#/reservations/30685134295264?display=YQWTA0VCU&amp;reservation_id=30685134295264", "YQWTA0VCU")</f>
        <v>YQWTA0VCU</v>
      </c>
      <c r="B3476" t="s">
        <v>929</v>
      </c>
      <c r="C3476">
        <v>112.24</v>
      </c>
      <c r="D3476">
        <v>121.99</v>
      </c>
      <c r="E3476">
        <v>122</v>
      </c>
      <c r="F3476">
        <v>-0.01</v>
      </c>
    </row>
    <row r="3477" spans="1:6" x14ac:dyDescent="0.3">
      <c r="A3477" t="str">
        <f>HYPERLINK("https://us2.cloudbeds.com/connect/10074733072513#/reservations/30685820403906?display=YR0DRXUST&amp;reservation_id=30685820403906", "YR0DRXUST")</f>
        <v>YR0DRXUST</v>
      </c>
      <c r="B3477" t="s">
        <v>929</v>
      </c>
      <c r="C3477">
        <v>268.2</v>
      </c>
      <c r="D3477">
        <v>291.52</v>
      </c>
      <c r="E3477">
        <v>291.52999999999997</v>
      </c>
      <c r="F3477">
        <v>-0.01</v>
      </c>
    </row>
    <row r="3478" spans="1:6" x14ac:dyDescent="0.3">
      <c r="A3478" t="str">
        <f>HYPERLINK("https://us2.cloudbeds.com/connect/10074733072513#/reservations/30686122172609?display=YR0YX1341&amp;reservation_id=30686122172609", "YR0YX1341")</f>
        <v>YR0YX1341</v>
      </c>
      <c r="B3478" t="s">
        <v>977</v>
      </c>
      <c r="C3478">
        <v>110.3</v>
      </c>
      <c r="D3478">
        <v>119.89</v>
      </c>
      <c r="E3478">
        <v>119.9</v>
      </c>
      <c r="F3478">
        <v>-0.01</v>
      </c>
    </row>
    <row r="3479" spans="1:6" x14ac:dyDescent="0.3">
      <c r="A3479" t="str">
        <f>HYPERLINK("https://us2.cloudbeds.com/connect/10074733072513#/reservations/30684022894819?display=YQW0TSJYX&amp;reservation_id=30684022894819", "YQW0TSJYX")</f>
        <v>YQW0TSJYX</v>
      </c>
      <c r="B3479" t="s">
        <v>891</v>
      </c>
      <c r="C3479">
        <v>376.2</v>
      </c>
      <c r="D3479">
        <v>408.92</v>
      </c>
      <c r="E3479">
        <v>408.93</v>
      </c>
      <c r="F3479">
        <v>-0.01</v>
      </c>
    </row>
    <row r="3480" spans="1:6" x14ac:dyDescent="0.3">
      <c r="A3480" t="str">
        <f>HYPERLINK("https://us2.cloudbeds.com/connect/10074733072513#/reservations/30684036280523?display=YQW1852CV&amp;reservation_id=30684036280523", "YQW1852CV")</f>
        <v>YQW1852CV</v>
      </c>
      <c r="B3480" t="s">
        <v>891</v>
      </c>
      <c r="C3480">
        <v>304</v>
      </c>
      <c r="D3480">
        <v>330.44</v>
      </c>
      <c r="E3480">
        <v>330.45</v>
      </c>
      <c r="F3480">
        <v>-0.01</v>
      </c>
    </row>
    <row r="3481" spans="1:6" x14ac:dyDescent="0.3">
      <c r="A3481" t="str">
        <f>HYPERLINK("https://us2.cloudbeds.com/connect/10074733072513#/reservations/30685092262021?display=YQWS7JAC9&amp;reservation_id=30685092262021", "YQWS7JAC9")</f>
        <v>YQWS7JAC9</v>
      </c>
      <c r="B3481" t="s">
        <v>870</v>
      </c>
      <c r="C3481">
        <v>304.2</v>
      </c>
      <c r="D3481">
        <v>330.66</v>
      </c>
      <c r="E3481">
        <v>330.67</v>
      </c>
      <c r="F3481">
        <v>-0.01</v>
      </c>
    </row>
    <row r="3482" spans="1:6" x14ac:dyDescent="0.3">
      <c r="A3482" t="str">
        <f>HYPERLINK("https://us2.cloudbeds.com/connect/10074733072513#/reservations/30684601688214?display=YQWFMUCCB&amp;reservation_id=30684601688214", "YQWFMUCCB")</f>
        <v>YQWFMUCCB</v>
      </c>
      <c r="B3482" t="s">
        <v>983</v>
      </c>
      <c r="C3482">
        <v>83.45</v>
      </c>
      <c r="D3482">
        <v>90.7</v>
      </c>
      <c r="E3482">
        <v>90.71</v>
      </c>
      <c r="F3482">
        <v>-0.01</v>
      </c>
    </row>
    <row r="3483" spans="1:6" x14ac:dyDescent="0.3">
      <c r="A3483" t="str">
        <f>HYPERLINK("https://us2.cloudbeds.com/connect/10074733072513#/reservations/30684005068947?display=YQW0ERXKK&amp;reservation_id=30684005068947", "YQW0ERXKK")</f>
        <v>YQW0ERXKK</v>
      </c>
      <c r="B3483" t="s">
        <v>891</v>
      </c>
      <c r="C3483">
        <v>304.2</v>
      </c>
      <c r="D3483">
        <v>330.66</v>
      </c>
      <c r="E3483">
        <v>330.67</v>
      </c>
      <c r="F3483">
        <v>-0.01</v>
      </c>
    </row>
    <row r="3484" spans="1:6" x14ac:dyDescent="0.3">
      <c r="A3484" t="str">
        <f>HYPERLINK("https://us2.cloudbeds.com/connect/10074733072513#/reservations/30685099319520?display=YQWSDHN2S&amp;reservation_id=30685099319520", "YQWSDHN2S")</f>
        <v>YQWSDHN2S</v>
      </c>
      <c r="B3484" t="s">
        <v>870</v>
      </c>
      <c r="C3484">
        <v>304.2</v>
      </c>
      <c r="D3484">
        <v>330.66</v>
      </c>
      <c r="E3484">
        <v>330.67</v>
      </c>
      <c r="F3484">
        <v>-0.01</v>
      </c>
    </row>
    <row r="3485" spans="1:6" x14ac:dyDescent="0.3">
      <c r="A3485" t="str">
        <f>HYPERLINK("https://us2.cloudbeds.com/connect/10074733072513#/reservations/30683340734660?display=YQVGFYFVJ&amp;reservation_id=30683340734660", "YQVGFYFVJ")</f>
        <v>YQVGFYFVJ</v>
      </c>
      <c r="B3485" t="s">
        <v>949</v>
      </c>
      <c r="C3485">
        <v>220.58</v>
      </c>
      <c r="D3485">
        <v>239.76</v>
      </c>
      <c r="E3485">
        <v>239.77</v>
      </c>
      <c r="F3485">
        <v>-0.01</v>
      </c>
    </row>
    <row r="3486" spans="1:6" x14ac:dyDescent="0.3">
      <c r="A3486" t="str">
        <f>HYPERLINK("https://us2.cloudbeds.com/connect/10074733072513#/reservations/30683664683234?display=YQVZZQRD1&amp;reservation_id=30683664683234", "YQVZZQRD1")</f>
        <v>YQVZZQRD1</v>
      </c>
      <c r="B3486" t="s">
        <v>940</v>
      </c>
      <c r="C3486">
        <v>134.1</v>
      </c>
      <c r="D3486">
        <v>145.76</v>
      </c>
      <c r="E3486">
        <v>145.77000000000001</v>
      </c>
      <c r="F3486">
        <v>-0.01</v>
      </c>
    </row>
    <row r="3487" spans="1:6" x14ac:dyDescent="0.3">
      <c r="A3487" t="str">
        <f>HYPERLINK("https://us2.cloudbeds.com/connect/10074733072513#/reservations/30684570132702?display=YQWETA9PN&amp;reservation_id=30684570132702", "YQWETA9PN")</f>
        <v>YQWETA9PN</v>
      </c>
      <c r="B3487" t="s">
        <v>984</v>
      </c>
      <c r="C3487">
        <v>244.56</v>
      </c>
      <c r="D3487">
        <v>265.83</v>
      </c>
      <c r="E3487">
        <v>265.83999999999997</v>
      </c>
      <c r="F3487">
        <v>-0.01</v>
      </c>
    </row>
    <row r="3488" spans="1:6" x14ac:dyDescent="0.3">
      <c r="A3488" t="str">
        <f>HYPERLINK("https://us2.cloudbeds.com/connect/10074733072513#/reservations/30684661162201?display=YQWH72APB&amp;reservation_id=30684661162201", "YQWH72APB")</f>
        <v>YQWH72APB</v>
      </c>
      <c r="B3488" t="s">
        <v>953</v>
      </c>
      <c r="C3488">
        <v>375.3</v>
      </c>
      <c r="D3488">
        <v>407.94</v>
      </c>
      <c r="E3488">
        <v>407.95</v>
      </c>
      <c r="F3488">
        <v>-0.01</v>
      </c>
    </row>
    <row r="3489" spans="1:6" x14ac:dyDescent="0.3">
      <c r="A3489" t="str">
        <f>HYPERLINK("https://us2.cloudbeds.com/connect/10074733072513#/reservations/30685162360970?display=YQWU0MUCS&amp;reservation_id=30685162360970", "YQWU0MUCS")</f>
        <v>YQWU0MUCS</v>
      </c>
      <c r="B3489" t="s">
        <v>935</v>
      </c>
      <c r="C3489">
        <v>83.45</v>
      </c>
      <c r="D3489">
        <v>90.7</v>
      </c>
      <c r="E3489">
        <v>90.71</v>
      </c>
      <c r="F3489">
        <v>-0.01</v>
      </c>
    </row>
    <row r="3490" spans="1:6" x14ac:dyDescent="0.3">
      <c r="A3490" t="str">
        <f>HYPERLINK("https://us2.cloudbeds.com/connect/10074733072513#/reservations/30685704728769?display=YR0AT13EN&amp;reservation_id=30685704728769", "YR0AT13EN")</f>
        <v>YR0AT13EN</v>
      </c>
      <c r="B3490" t="s">
        <v>985</v>
      </c>
      <c r="C3490">
        <v>94.16</v>
      </c>
      <c r="D3490">
        <v>102.34</v>
      </c>
      <c r="E3490">
        <v>102.35</v>
      </c>
      <c r="F3490">
        <v>-0.01</v>
      </c>
    </row>
    <row r="3491" spans="1:6" x14ac:dyDescent="0.3">
      <c r="A3491" t="str">
        <f>HYPERLINK("https://us2.cloudbeds.com/connect/10074733072513#/reservations/30683352150244?display=YQVGP94JC&amp;reservation_id=30683352150244", "YQVGP94JC")</f>
        <v>YQVGP94JC</v>
      </c>
      <c r="B3491" t="s">
        <v>870</v>
      </c>
      <c r="C3491">
        <v>157.21</v>
      </c>
      <c r="D3491">
        <v>170.88</v>
      </c>
      <c r="E3491">
        <v>170.89</v>
      </c>
      <c r="F3491">
        <v>-0.01</v>
      </c>
    </row>
    <row r="3492" spans="1:6" x14ac:dyDescent="0.3">
      <c r="A3492" t="str">
        <f>HYPERLINK("https://us2.cloudbeds.com/connect/10074733072513#/reservations/30682571243667?display=YQUTQQ8YN&amp;reservation_id=30682571243667", "YQUTQQ8YN")</f>
        <v>YQUTQQ8YN</v>
      </c>
      <c r="B3492" t="s">
        <v>749</v>
      </c>
      <c r="C3492">
        <v>268.2</v>
      </c>
      <c r="D3492">
        <v>291.52</v>
      </c>
      <c r="E3492">
        <v>291.52999999999997</v>
      </c>
      <c r="F3492">
        <v>-0.01</v>
      </c>
    </row>
    <row r="3493" spans="1:6" x14ac:dyDescent="0.3">
      <c r="A3493" t="str">
        <f>HYPERLINK("https://us2.cloudbeds.com/connect/10074733072513#/reservations/30685385896116?display=YR02Z63R5&amp;reservation_id=30685385896116", "YR02Z63R5")</f>
        <v>YR02Z63R5</v>
      </c>
      <c r="B3493" t="s">
        <v>985</v>
      </c>
      <c r="C3493">
        <v>118.15</v>
      </c>
      <c r="D3493">
        <v>128.41999999999999</v>
      </c>
      <c r="E3493">
        <v>128.43</v>
      </c>
      <c r="F3493">
        <v>-0.01</v>
      </c>
    </row>
    <row r="3494" spans="1:6" x14ac:dyDescent="0.3">
      <c r="A3494" t="str">
        <f>HYPERLINK("https://us2.cloudbeds.com/connect/10074733072513#/reservations/30684855996554?display=YQWM6BT0M&amp;reservation_id=30684855996554", "YQWM6BT0M")</f>
        <v>YQWM6BT0M</v>
      </c>
      <c r="B3494" t="s">
        <v>953</v>
      </c>
      <c r="C3494">
        <v>170.1</v>
      </c>
      <c r="D3494">
        <v>184.89</v>
      </c>
      <c r="E3494">
        <v>184.9</v>
      </c>
      <c r="F3494">
        <v>-0.01</v>
      </c>
    </row>
    <row r="3495" spans="1:6" x14ac:dyDescent="0.3">
      <c r="A3495" t="str">
        <f>HYPERLINK("https://us2.cloudbeds.com/connect/10074733072513#/reservations/30684871360698?display=YQWMJADGQ&amp;reservation_id=30684871360698", "YQWMJADGQ")</f>
        <v>YQWMJADGQ</v>
      </c>
      <c r="B3495" t="s">
        <v>980</v>
      </c>
      <c r="C3495">
        <v>134.1</v>
      </c>
      <c r="D3495">
        <v>145.76</v>
      </c>
      <c r="E3495">
        <v>145.77000000000001</v>
      </c>
      <c r="F3495">
        <v>-0.01</v>
      </c>
    </row>
    <row r="3496" spans="1:6" x14ac:dyDescent="0.3">
      <c r="A3496" t="str">
        <f>HYPERLINK("https://us2.cloudbeds.com/connect/10074733072513#/reservations/30683998822593?display=YQW09XZP5&amp;reservation_id=30683998822593", "YQW09XZP5")</f>
        <v>YQW09XZP5</v>
      </c>
      <c r="B3496" t="s">
        <v>891</v>
      </c>
      <c r="C3496">
        <v>170.1</v>
      </c>
      <c r="D3496">
        <v>184.89</v>
      </c>
      <c r="E3496">
        <v>184.9</v>
      </c>
      <c r="F3496">
        <v>-0.01</v>
      </c>
    </row>
    <row r="3497" spans="1:6" x14ac:dyDescent="0.3">
      <c r="A3497" t="str">
        <f>HYPERLINK("https://us2.cloudbeds.com/connect/10074733072513#/reservations/30683930222785?display=YQVVHNSC3&amp;reservation_id=30683930222785", "YQVVHNSC3")</f>
        <v>YQVVHNSC3</v>
      </c>
      <c r="B3497" t="s">
        <v>988</v>
      </c>
      <c r="C3497">
        <v>259.2</v>
      </c>
      <c r="D3497">
        <v>281.74</v>
      </c>
      <c r="E3497">
        <v>281.75</v>
      </c>
      <c r="F3497">
        <v>-0.01</v>
      </c>
    </row>
    <row r="3498" spans="1:6" x14ac:dyDescent="0.3">
      <c r="A3498" t="str">
        <f>HYPERLINK("https://us2.cloudbeds.com/connect/10074733072513#/reservations/30684946342101?display=YQWZGHSVH&amp;reservation_id=30684946342101", "YQWZGHSVH")</f>
        <v>YQWZGHSVH</v>
      </c>
      <c r="B3498" t="s">
        <v>976</v>
      </c>
      <c r="C3498">
        <v>1078</v>
      </c>
      <c r="D3498">
        <v>1171.78</v>
      </c>
      <c r="E3498">
        <v>1171.79</v>
      </c>
      <c r="F3498">
        <v>-0.01</v>
      </c>
    </row>
    <row r="3499" spans="1:6" x14ac:dyDescent="0.3">
      <c r="A3499" t="str">
        <f>HYPERLINK("https://us2.cloudbeds.com/connect/10074733072513#/reservations/30684598513818?display=YQWFK81DH&amp;reservation_id=30684598513818", "YQWFK81DH")</f>
        <v>YQWFK81DH</v>
      </c>
      <c r="B3499" t="s">
        <v>984</v>
      </c>
      <c r="C3499">
        <v>183.32</v>
      </c>
      <c r="D3499">
        <v>199.26</v>
      </c>
      <c r="E3499">
        <v>199.27</v>
      </c>
      <c r="F3499">
        <v>-0.01</v>
      </c>
    </row>
    <row r="3500" spans="1:6" x14ac:dyDescent="0.3">
      <c r="A3500" t="str">
        <f>HYPERLINK("https://us2.cloudbeds.com/connect/10074733072513#/reservations/30685463531715?display=YR04NYEX2&amp;reservation_id=30685463531715", "YR04NYEX2")</f>
        <v>YR04NYEX2</v>
      </c>
      <c r="B3500" t="s">
        <v>984</v>
      </c>
      <c r="C3500">
        <v>134.1</v>
      </c>
      <c r="D3500">
        <v>145.76</v>
      </c>
      <c r="E3500">
        <v>145.77000000000001</v>
      </c>
      <c r="F3500">
        <v>-0.01</v>
      </c>
    </row>
    <row r="3501" spans="1:6" x14ac:dyDescent="0.3">
      <c r="A3501" t="str">
        <f>HYPERLINK("https://us2.cloudbeds.com/connect/10074733072513#/reservations/30683283300514?display=YQVF079MU&amp;reservation_id=30683283300514", "YQVF079MU")</f>
        <v>YQVF079MU</v>
      </c>
      <c r="B3501" t="s">
        <v>809</v>
      </c>
      <c r="C3501">
        <v>134.1</v>
      </c>
      <c r="D3501">
        <v>145.76</v>
      </c>
      <c r="E3501">
        <v>145.77000000000001</v>
      </c>
      <c r="F3501">
        <v>-0.01</v>
      </c>
    </row>
    <row r="3502" spans="1:6" x14ac:dyDescent="0.3">
      <c r="A3502" t="str">
        <f>HYPERLINK("https://us2.cloudbeds.com/connect/10074733072513#/reservations/30683946746071?display=YQVVVYY8Z&amp;reservation_id=30683946746071", "YQVVVYY8Z")</f>
        <v>YQVVVYY8Z</v>
      </c>
      <c r="B3502" t="s">
        <v>917</v>
      </c>
      <c r="C3502">
        <v>200.1</v>
      </c>
      <c r="D3502">
        <v>217.5</v>
      </c>
      <c r="E3502">
        <v>217.51</v>
      </c>
      <c r="F3502">
        <v>-0.01</v>
      </c>
    </row>
    <row r="3503" spans="1:6" x14ac:dyDescent="0.3">
      <c r="A3503" t="str">
        <f>HYPERLINK("https://us2.cloudbeds.com/connect/10074733072513#/reservations/30683852165287?display=YQVTHTQ7C&amp;reservation_id=30683852165287", "YQVTHTQ7C")</f>
        <v>YQVTHTQ7C</v>
      </c>
      <c r="B3503" t="s">
        <v>989</v>
      </c>
      <c r="C3503">
        <v>157.21</v>
      </c>
      <c r="D3503">
        <v>170.88</v>
      </c>
      <c r="E3503">
        <v>170.89</v>
      </c>
      <c r="F3503">
        <v>-0.01</v>
      </c>
    </row>
    <row r="3504" spans="1:6" x14ac:dyDescent="0.3">
      <c r="A3504" t="str">
        <f>HYPERLINK("https://us2.cloudbeds.com/connect/10074733072513#/reservations/30683059900598?display=YQV99RSEG&amp;reservation_id=30683059900598", "YQV99RSEG")</f>
        <v>YQV99RSEG</v>
      </c>
      <c r="B3504" t="s">
        <v>891</v>
      </c>
      <c r="C3504">
        <v>170.1</v>
      </c>
      <c r="D3504">
        <v>184.89</v>
      </c>
      <c r="E3504">
        <v>184.9</v>
      </c>
      <c r="F3504">
        <v>-0.01</v>
      </c>
    </row>
    <row r="3505" spans="1:6" x14ac:dyDescent="0.3">
      <c r="A3505" t="str">
        <f>HYPERLINK("https://us2.cloudbeds.com/connect/10074733072513#/reservations/30681791946975?display=YQU9TM61E&amp;reservation_id=30681791946975", "YQU9TM61E")</f>
        <v>YQU9TM61E</v>
      </c>
      <c r="B3505" t="s">
        <v>940</v>
      </c>
      <c r="C3505">
        <v>268.2</v>
      </c>
      <c r="D3505">
        <v>291.52</v>
      </c>
      <c r="E3505">
        <v>291.52999999999997</v>
      </c>
      <c r="F3505">
        <v>-0.01</v>
      </c>
    </row>
    <row r="3506" spans="1:6" x14ac:dyDescent="0.3">
      <c r="A3506" t="str">
        <f>HYPERLINK("https://us2.cloudbeds.com/connect/10074733072513#/reservations/30683064074444?display=YQV9DC05M&amp;reservation_id=30683064074444", "YQV9DC05M")</f>
        <v>YQV9DC05M</v>
      </c>
      <c r="B3506" t="s">
        <v>891</v>
      </c>
      <c r="C3506">
        <v>170.1</v>
      </c>
      <c r="D3506">
        <v>184.89</v>
      </c>
      <c r="E3506">
        <v>184.9</v>
      </c>
      <c r="F3506">
        <v>-0.01</v>
      </c>
    </row>
    <row r="3507" spans="1:6" x14ac:dyDescent="0.3">
      <c r="A3507" t="str">
        <f>HYPERLINK("https://us2.cloudbeds.com/connect/10074733072513#/reservations/30684573470890?display=YQWEW464U&amp;reservation_id=30684573470890", "YQWEW464U")</f>
        <v>YQWEW464U</v>
      </c>
      <c r="B3507" t="s">
        <v>940</v>
      </c>
      <c r="C3507">
        <v>268.2</v>
      </c>
      <c r="D3507">
        <v>291.52</v>
      </c>
      <c r="E3507">
        <v>291.52999999999997</v>
      </c>
      <c r="F3507">
        <v>-0.01</v>
      </c>
    </row>
    <row r="3508" spans="1:6" x14ac:dyDescent="0.3">
      <c r="A3508" t="str">
        <f>HYPERLINK("https://us2.cloudbeds.com/connect/10074733072513#/reservations/30684859416807?display=YQWM981ZN&amp;reservation_id=30684859416807", "YQWM981ZN")</f>
        <v>YQWM981ZN</v>
      </c>
      <c r="B3508" t="s">
        <v>990</v>
      </c>
      <c r="C3508">
        <v>134.1</v>
      </c>
      <c r="D3508">
        <v>145.76</v>
      </c>
      <c r="E3508">
        <v>145.77000000000001</v>
      </c>
      <c r="F3508">
        <v>-0.01</v>
      </c>
    </row>
    <row r="3509" spans="1:6" x14ac:dyDescent="0.3">
      <c r="A3509" t="str">
        <f>HYPERLINK("https://us2.cloudbeds.com/connect/10074733072513#/reservations/30684637122719?display=YQWGJQCV7&amp;reservation_id=30684637122719", "YQWGJQCV7")</f>
        <v>YQWGJQCV7</v>
      </c>
      <c r="B3509" t="s">
        <v>940</v>
      </c>
      <c r="C3509">
        <v>557.6</v>
      </c>
      <c r="D3509">
        <v>606.1</v>
      </c>
      <c r="E3509">
        <v>606.11</v>
      </c>
      <c r="F3509">
        <v>-0.01</v>
      </c>
    </row>
    <row r="3510" spans="1:6" x14ac:dyDescent="0.3">
      <c r="A3510" t="str">
        <f>HYPERLINK("https://us2.cloudbeds.com/connect/10074733072513#/reservations/30684622839954?display=YQWG7ZVF5&amp;reservation_id=30684622839954", "YQWG7ZVF5")</f>
        <v>YQWG7ZVF5</v>
      </c>
      <c r="B3510" t="s">
        <v>940</v>
      </c>
      <c r="C3510">
        <v>557.6</v>
      </c>
      <c r="D3510">
        <v>606.1</v>
      </c>
      <c r="E3510">
        <v>606.11</v>
      </c>
      <c r="F3510">
        <v>-0.01</v>
      </c>
    </row>
    <row r="3511" spans="1:6" x14ac:dyDescent="0.3">
      <c r="A3511" t="str">
        <f>HYPERLINK("https://us2.cloudbeds.com/connect/10074733072513#/reservations/30683892719769?display=YQVUJ39B2&amp;reservation_id=30683892719769", "YQVUJ39B2")</f>
        <v>YQVUJ39B2</v>
      </c>
      <c r="B3511" t="s">
        <v>989</v>
      </c>
      <c r="C3511">
        <v>374.12</v>
      </c>
      <c r="D3511">
        <v>406.66</v>
      </c>
      <c r="E3511">
        <v>406.67</v>
      </c>
      <c r="F3511">
        <v>-0.01</v>
      </c>
    </row>
    <row r="3512" spans="1:6" x14ac:dyDescent="0.3">
      <c r="A3512" t="str">
        <f>HYPERLINK("https://us2.cloudbeds.com/connect/10074733072513#/reservations/30681634136254?display=YQU5SJSKC&amp;reservation_id=30681634136254", "YQU5SJSKC")</f>
        <v>YQU5SJSKC</v>
      </c>
      <c r="B3512" t="s">
        <v>972</v>
      </c>
      <c r="C3512">
        <v>433.11</v>
      </c>
      <c r="D3512">
        <v>470.78</v>
      </c>
      <c r="E3512">
        <v>470.79</v>
      </c>
      <c r="F3512">
        <v>-0.01</v>
      </c>
    </row>
    <row r="3513" spans="1:6" x14ac:dyDescent="0.3">
      <c r="A3513" t="str">
        <f>HYPERLINK("https://us2.cloudbeds.com/connect/10074733072513#/reservations/30683292881024?display=YQVF2CDPX&amp;reservation_id=30683292881024", "YQVF2CDPX")</f>
        <v>YQVF2CDPX</v>
      </c>
      <c r="B3513" t="s">
        <v>994</v>
      </c>
      <c r="C3513">
        <v>348</v>
      </c>
      <c r="D3513">
        <v>378.27</v>
      </c>
      <c r="E3513">
        <v>378.28</v>
      </c>
      <c r="F3513">
        <v>-0.01</v>
      </c>
    </row>
    <row r="3514" spans="1:6" x14ac:dyDescent="0.3">
      <c r="A3514" t="str">
        <f>HYPERLINK("https://us2.cloudbeds.com/connect/10074733072513#/reservations/30684629921946?display=YQWGDZ0YW&amp;reservation_id=30684629921946", "YQWGDZ0YW")</f>
        <v>YQWGDZ0YW</v>
      </c>
      <c r="B3514" t="s">
        <v>920</v>
      </c>
      <c r="C3514">
        <v>254.78</v>
      </c>
      <c r="D3514">
        <v>276.94</v>
      </c>
      <c r="E3514">
        <v>276.95</v>
      </c>
      <c r="F3514">
        <v>-0.01</v>
      </c>
    </row>
    <row r="3515" spans="1:6" x14ac:dyDescent="0.3">
      <c r="A3515" t="str">
        <f>HYPERLINK("https://us2.cloudbeds.com/connect/10074733072513#/reservations/30683861389461?display=YQVTPMFHQ&amp;reservation_id=30683861389461", "YQVTPMFHQ")</f>
        <v>YQVTPMFHQ</v>
      </c>
      <c r="B3515" t="s">
        <v>988</v>
      </c>
      <c r="C3515">
        <v>326.08</v>
      </c>
      <c r="D3515">
        <v>354.44</v>
      </c>
      <c r="E3515">
        <v>354.45</v>
      </c>
      <c r="F3515">
        <v>-0.01</v>
      </c>
    </row>
    <row r="3516" spans="1:6" x14ac:dyDescent="0.3">
      <c r="A3516" t="str">
        <f>HYPERLINK("https://us2.cloudbeds.com/connect/10074733072513#/reservations/30684629917850?display=YQWGDNTTS&amp;reservation_id=30684629917850", "YQWGDNTTS")</f>
        <v>YQWGDNTTS</v>
      </c>
      <c r="B3516" t="s">
        <v>920</v>
      </c>
      <c r="C3516">
        <v>110.3</v>
      </c>
      <c r="D3516">
        <v>119.89</v>
      </c>
      <c r="E3516">
        <v>119.9</v>
      </c>
      <c r="F3516">
        <v>-0.01</v>
      </c>
    </row>
    <row r="3517" spans="1:6" x14ac:dyDescent="0.3">
      <c r="A3517" t="str">
        <f>HYPERLINK("https://us2.cloudbeds.com/connect/10074733072513#/reservations/30683845079196?display=YQVTBUK8B&amp;reservation_id=30683845079196", "YQVTBUK8B")</f>
        <v>YQVTBUK8B</v>
      </c>
      <c r="B3517" t="s">
        <v>988</v>
      </c>
      <c r="C3517">
        <v>326.08</v>
      </c>
      <c r="D3517">
        <v>354.44</v>
      </c>
      <c r="E3517">
        <v>354.45</v>
      </c>
      <c r="F3517">
        <v>-0.01</v>
      </c>
    </row>
    <row r="3518" spans="1:6" x14ac:dyDescent="0.3">
      <c r="A3518" t="str">
        <f>HYPERLINK("https://us2.cloudbeds.com/connect/10074733072513#/reservations/30684667867321?display=YQWHCNTTR&amp;reservation_id=30684667867321", "YQWHCNTTR")</f>
        <v>YQWHCNTTR</v>
      </c>
      <c r="B3518" t="s">
        <v>920</v>
      </c>
      <c r="C3518">
        <v>120.32</v>
      </c>
      <c r="D3518">
        <v>130.78</v>
      </c>
      <c r="E3518">
        <v>130.79</v>
      </c>
      <c r="F3518">
        <v>-0.01</v>
      </c>
    </row>
    <row r="3519" spans="1:6" x14ac:dyDescent="0.3">
      <c r="A3519" t="str">
        <f>HYPERLINK("https://us2.cloudbeds.com/connect/10074733072513#/reservations/30683452481777?display=YQVJAT0CS&amp;reservation_id=30683452481777", "YQVJAT0CS")</f>
        <v>YQVJAT0CS</v>
      </c>
      <c r="B3519" t="s">
        <v>995</v>
      </c>
      <c r="C3519">
        <v>304.2</v>
      </c>
      <c r="D3519">
        <v>330.66</v>
      </c>
      <c r="E3519">
        <v>330.67</v>
      </c>
      <c r="F3519">
        <v>-0.01</v>
      </c>
    </row>
    <row r="3520" spans="1:6" x14ac:dyDescent="0.3">
      <c r="A3520" t="str">
        <f>HYPERLINK("https://us2.cloudbeds.com/connect/10074733072513#/reservations/30684015010037?display=YQW0N768P&amp;reservation_id=30684015010037", "YQW0N768P")</f>
        <v>YQW0N768P</v>
      </c>
      <c r="B3520" t="s">
        <v>996</v>
      </c>
      <c r="C3520">
        <v>134.1</v>
      </c>
      <c r="D3520">
        <v>145.76</v>
      </c>
      <c r="E3520">
        <v>145.77000000000001</v>
      </c>
      <c r="F3520">
        <v>-0.01</v>
      </c>
    </row>
    <row r="3521" spans="1:6" x14ac:dyDescent="0.3">
      <c r="A3521" t="str">
        <f>HYPERLINK("https://us2.cloudbeds.com/connect/10074733072513#/reservations/30684820730054?display=YQWY9KHNS&amp;reservation_id=30684820730054", "YQWY9KHNS")</f>
        <v>YQWY9KHNS</v>
      </c>
      <c r="B3521" t="s">
        <v>959</v>
      </c>
      <c r="C3521">
        <v>94.16</v>
      </c>
      <c r="D3521">
        <v>102.34</v>
      </c>
      <c r="E3521">
        <v>102.35</v>
      </c>
      <c r="F3521">
        <v>-0.01</v>
      </c>
    </row>
    <row r="3522" spans="1:6" x14ac:dyDescent="0.3">
      <c r="A3522" t="str">
        <f>HYPERLINK("https://us2.cloudbeds.com/connect/10074733072513#/reservations/30683917406433?display=YQVV6U7EQ&amp;reservation_id=30683917406433", "YQVV6U7EQ")</f>
        <v>YQVV6U7EQ</v>
      </c>
      <c r="B3522" t="s">
        <v>988</v>
      </c>
      <c r="C3522">
        <v>382.17</v>
      </c>
      <c r="D3522">
        <v>415.41</v>
      </c>
      <c r="E3522">
        <v>415.42</v>
      </c>
      <c r="F3522">
        <v>-0.01</v>
      </c>
    </row>
    <row r="3523" spans="1:6" x14ac:dyDescent="0.3">
      <c r="A3523" t="str">
        <f>HYPERLINK("https://us2.cloudbeds.com/connect/10074733072513#/reservations/30681832386737?display=YQUAUPFQP&amp;reservation_id=30681832386737", "YQUAUPFQP")</f>
        <v>YQUAUPFQP</v>
      </c>
      <c r="B3523" t="s">
        <v>940</v>
      </c>
      <c r="C3523">
        <v>304.2</v>
      </c>
      <c r="D3523">
        <v>330.66</v>
      </c>
      <c r="E3523">
        <v>330.67</v>
      </c>
      <c r="F3523">
        <v>-0.01</v>
      </c>
    </row>
    <row r="3524" spans="1:6" x14ac:dyDescent="0.3">
      <c r="A3524" t="str">
        <f>HYPERLINK("https://us2.cloudbeds.com/connect/10074733072513#/reservations/30684762378428?display=YQWJQDQVP&amp;reservation_id=30684762378428", "YQWJQDQVP")</f>
        <v>YQWJQDQVP</v>
      </c>
      <c r="B3524" t="s">
        <v>959</v>
      </c>
      <c r="C3524">
        <v>134.1</v>
      </c>
      <c r="D3524">
        <v>145.76</v>
      </c>
      <c r="E3524">
        <v>145.77000000000001</v>
      </c>
      <c r="F3524">
        <v>-0.01</v>
      </c>
    </row>
    <row r="3525" spans="1:6" x14ac:dyDescent="0.3">
      <c r="A3525" t="str">
        <f>HYPERLINK("https://us2.cloudbeds.com/connect/10074733072513#/reservations/30681837121743?display=YQUB1P7RQ&amp;reservation_id=30681837121743", "YQUB1P7RQ")</f>
        <v>YQUB1P7RQ</v>
      </c>
      <c r="B3525" t="s">
        <v>940</v>
      </c>
      <c r="C3525">
        <v>134.1</v>
      </c>
      <c r="D3525">
        <v>145.76</v>
      </c>
      <c r="E3525">
        <v>145.77000000000001</v>
      </c>
      <c r="F3525">
        <v>-0.01</v>
      </c>
    </row>
    <row r="3526" spans="1:6" x14ac:dyDescent="0.3">
      <c r="A3526" t="str">
        <f>HYPERLINK("https://us2.cloudbeds.com/connect/10074733072513#/reservations/30683547189469?display=YQVYZZCVU&amp;reservation_id=30683547189469", "YQVYZZCVU")</f>
        <v>YQVYZZCVU</v>
      </c>
      <c r="B3526" t="s">
        <v>959</v>
      </c>
      <c r="C3526">
        <v>134.1</v>
      </c>
      <c r="D3526">
        <v>145.76</v>
      </c>
      <c r="E3526">
        <v>145.77000000000001</v>
      </c>
      <c r="F3526">
        <v>-0.01</v>
      </c>
    </row>
    <row r="3527" spans="1:6" x14ac:dyDescent="0.3">
      <c r="A3527" t="str">
        <f>HYPERLINK("https://us2.cloudbeds.com/connect/10074733072513#/reservations/30683671318716?display=YQVZUDFJ8&amp;reservation_id=30683671318716", "YQVZUDFJ8")</f>
        <v>YQVZUDFJ8</v>
      </c>
      <c r="B3527" t="s">
        <v>940</v>
      </c>
      <c r="C3527">
        <v>268.2</v>
      </c>
      <c r="D3527">
        <v>291.52</v>
      </c>
      <c r="E3527">
        <v>291.52999999999997</v>
      </c>
      <c r="F3527">
        <v>-0.01</v>
      </c>
    </row>
    <row r="3528" spans="1:6" x14ac:dyDescent="0.3">
      <c r="A3528" t="str">
        <f>HYPERLINK("https://us2.cloudbeds.com/connect/10074733072513#/reservations/30683511918810?display=YQVKRWUS2&amp;reservation_id=30683511918810", "YQVKRWUS2")</f>
        <v>YQVKRWUS2</v>
      </c>
      <c r="B3528" t="s">
        <v>959</v>
      </c>
      <c r="C3528">
        <v>158</v>
      </c>
      <c r="D3528">
        <v>171.74</v>
      </c>
      <c r="E3528">
        <v>171.75</v>
      </c>
      <c r="F3528">
        <v>-0.01</v>
      </c>
    </row>
    <row r="3529" spans="1:6" x14ac:dyDescent="0.3">
      <c r="A3529" t="str">
        <f>HYPERLINK("https://us2.cloudbeds.com/connect/10074733072513#/reservations/30683240046812?display=YQVDTZMVM&amp;reservation_id=30683240046812", "YQVDTZMVM")</f>
        <v>YQVDTZMVM</v>
      </c>
      <c r="B3529" t="s">
        <v>963</v>
      </c>
      <c r="C3529">
        <v>134.1</v>
      </c>
      <c r="D3529">
        <v>145.76</v>
      </c>
      <c r="E3529">
        <v>145.77000000000001</v>
      </c>
      <c r="F3529">
        <v>-0.01</v>
      </c>
    </row>
    <row r="3530" spans="1:6" x14ac:dyDescent="0.3">
      <c r="A3530" t="str">
        <f>HYPERLINK("https://us2.cloudbeds.com/connect/10074733072513#/reservations/30684725141703?display=YQWXS0YF5&amp;reservation_id=30684725141703", "YQWXS0YF5")</f>
        <v>YQWXS0YF5</v>
      </c>
      <c r="B3530" t="s">
        <v>930</v>
      </c>
      <c r="C3530">
        <v>71.45</v>
      </c>
      <c r="D3530">
        <v>77.66</v>
      </c>
      <c r="E3530">
        <v>77.67</v>
      </c>
      <c r="F3530">
        <v>-0.01</v>
      </c>
    </row>
    <row r="3531" spans="1:6" x14ac:dyDescent="0.3">
      <c r="A3531" t="str">
        <f>HYPERLINK("https://us2.cloudbeds.com/connect/10074733072513#/reservations/30684836630720?display=YQWYN0T61&amp;reservation_id=30684836630720", "YQWYN0T61")</f>
        <v>YQWYN0T61</v>
      </c>
      <c r="B3531" t="s">
        <v>959</v>
      </c>
      <c r="C3531">
        <v>143.65</v>
      </c>
      <c r="D3531">
        <v>156.13999999999999</v>
      </c>
      <c r="E3531">
        <v>156.15</v>
      </c>
      <c r="F3531">
        <v>-0.01</v>
      </c>
    </row>
    <row r="3532" spans="1:6" x14ac:dyDescent="0.3">
      <c r="A3532" t="str">
        <f>HYPERLINK("https://us2.cloudbeds.com/connect/10074733072513#/reservations/30683533365466?display=YQVYD2NZZ&amp;reservation_id=30683533365466", "YQVYD2NZZ")</f>
        <v>YQVYD2NZZ</v>
      </c>
      <c r="B3532" t="s">
        <v>959</v>
      </c>
      <c r="C3532">
        <v>134.1</v>
      </c>
      <c r="D3532">
        <v>145.76</v>
      </c>
      <c r="E3532">
        <v>145.77000000000001</v>
      </c>
      <c r="F3532">
        <v>-0.01</v>
      </c>
    </row>
    <row r="3533" spans="1:6" x14ac:dyDescent="0.3">
      <c r="A3533" t="str">
        <f>HYPERLINK("https://us2.cloudbeds.com/connect/10074733072513#/reservations/30683540107399?display=YQVYXPAMZ&amp;reservation_id=30683540107399", "YQVYXPAMZ")</f>
        <v>YQVYXPAMZ</v>
      </c>
      <c r="B3533" t="s">
        <v>959</v>
      </c>
      <c r="C3533">
        <v>143.65</v>
      </c>
      <c r="D3533">
        <v>156.13999999999999</v>
      </c>
      <c r="E3533">
        <v>156.15</v>
      </c>
      <c r="F3533">
        <v>-0.01</v>
      </c>
    </row>
    <row r="3534" spans="1:6" x14ac:dyDescent="0.3">
      <c r="A3534" t="str">
        <f>HYPERLINK("https://us2.cloudbeds.com/connect/10074733072513#/reservations/30684803285135?display=YQWKRU3GV&amp;reservation_id=30684803285135", "YQWKRU3GV")</f>
        <v>YQWKRU3GV</v>
      </c>
      <c r="B3534" t="s">
        <v>959</v>
      </c>
      <c r="C3534">
        <v>259.2</v>
      </c>
      <c r="D3534">
        <v>281.74</v>
      </c>
      <c r="E3534">
        <v>281.75</v>
      </c>
      <c r="F3534">
        <v>-0.01</v>
      </c>
    </row>
    <row r="3535" spans="1:6" x14ac:dyDescent="0.3">
      <c r="A3535" t="str">
        <f>HYPERLINK("https://us2.cloudbeds.com/connect/10074733072513#/reservations/30683443212438?display=YQVJ322JQ&amp;reservation_id=30683443212438", "YQVJ322JQ")</f>
        <v>YQVJ322JQ</v>
      </c>
      <c r="B3535" t="s">
        <v>1000</v>
      </c>
      <c r="C3535">
        <v>134.1</v>
      </c>
      <c r="D3535">
        <v>145.76</v>
      </c>
      <c r="E3535">
        <v>145.77000000000001</v>
      </c>
      <c r="F3535">
        <v>-0.01</v>
      </c>
    </row>
    <row r="3536" spans="1:6" x14ac:dyDescent="0.3">
      <c r="A3536" t="str">
        <f>HYPERLINK("https://us2.cloudbeds.com/connect/10074733072513#/reservations/30682080141470?display=YQUH8MKEV&amp;reservation_id=30682080141470", "YQUH8MKEV")</f>
        <v>YQUH8MKEV</v>
      </c>
      <c r="B3536" t="s">
        <v>997</v>
      </c>
      <c r="C3536">
        <v>77.45</v>
      </c>
      <c r="D3536">
        <v>84.18</v>
      </c>
      <c r="E3536">
        <v>84.19</v>
      </c>
      <c r="F3536">
        <v>-0.01</v>
      </c>
    </row>
    <row r="3537" spans="1:6" x14ac:dyDescent="0.3">
      <c r="A3537" t="str">
        <f>HYPERLINK("https://us2.cloudbeds.com/connect/10074733072513#/reservations/30683236319390?display=YQVDQJW5G&amp;reservation_id=30683236319390", "YQVDQJW5G")</f>
        <v>YQVDQJW5G</v>
      </c>
      <c r="B3537" t="s">
        <v>809</v>
      </c>
      <c r="C3537">
        <v>304.2</v>
      </c>
      <c r="D3537">
        <v>330.66</v>
      </c>
      <c r="E3537">
        <v>330.67</v>
      </c>
      <c r="F3537">
        <v>-0.01</v>
      </c>
    </row>
    <row r="3538" spans="1:6" x14ac:dyDescent="0.3">
      <c r="A3538" t="str">
        <f>HYPERLINK("https://us2.cloudbeds.com/connect/10074733072513#/reservations/30684100067471?display=YQW2SV18P&amp;reservation_id=30684100067471", "YQW2SV18P")</f>
        <v>YQW2SV18P</v>
      </c>
      <c r="B3538" t="s">
        <v>964</v>
      </c>
      <c r="C3538">
        <v>143.65</v>
      </c>
      <c r="D3538">
        <v>156.13999999999999</v>
      </c>
      <c r="E3538">
        <v>156.15</v>
      </c>
      <c r="F3538">
        <v>-0.01</v>
      </c>
    </row>
    <row r="3539" spans="1:6" x14ac:dyDescent="0.3">
      <c r="A3539" t="str">
        <f>HYPERLINK("https://us2.cloudbeds.com/connect/10074733072513#/reservations/30684333371590?display=YQW8RM29X&amp;reservation_id=30684333371590", "YQW8RM29X")</f>
        <v>YQW8RM29X</v>
      </c>
      <c r="B3539" t="s">
        <v>883</v>
      </c>
      <c r="C3539">
        <v>134.1</v>
      </c>
      <c r="D3539">
        <v>145.76</v>
      </c>
      <c r="E3539">
        <v>145.77000000000001</v>
      </c>
      <c r="F3539">
        <v>-0.01</v>
      </c>
    </row>
    <row r="3540" spans="1:6" x14ac:dyDescent="0.3">
      <c r="A3540" t="str">
        <f>HYPERLINK("https://us2.cloudbeds.com/connect/10074733072513#/reservations/30684314394875?display=YQW8BM0FJ&amp;reservation_id=30684314394875", "YQW8BM0FJ")</f>
        <v>YQW8BM0FJ</v>
      </c>
      <c r="B3540" t="s">
        <v>883</v>
      </c>
      <c r="C3540">
        <v>238.74</v>
      </c>
      <c r="D3540">
        <v>259.5</v>
      </c>
      <c r="E3540">
        <v>259.51</v>
      </c>
      <c r="F3540">
        <v>-0.01</v>
      </c>
    </row>
    <row r="3541" spans="1:6" x14ac:dyDescent="0.3">
      <c r="A3541" t="str">
        <f>HYPERLINK("https://us2.cloudbeds.com/connect/10074733072513#/reservations/30683793055941?display=YQVS11WM2&amp;reservation_id=30683793055941", "YQVS11WM2")</f>
        <v>YQVS11WM2</v>
      </c>
      <c r="B3541" t="s">
        <v>1001</v>
      </c>
      <c r="C3541">
        <v>110.3</v>
      </c>
      <c r="D3541">
        <v>119.89</v>
      </c>
      <c r="E3541">
        <v>119.9</v>
      </c>
      <c r="F3541">
        <v>-0.01</v>
      </c>
    </row>
    <row r="3542" spans="1:6" x14ac:dyDescent="0.3">
      <c r="A3542" t="str">
        <f>HYPERLINK("https://us2.cloudbeds.com/connect/10074733072513#/reservations/30683475075222?display=YQVJTUNBN&amp;reservation_id=30683475075222", "YQVJTUNBN")</f>
        <v>YQVJTUNBN</v>
      </c>
      <c r="B3542" t="s">
        <v>995</v>
      </c>
      <c r="C3542">
        <v>258</v>
      </c>
      <c r="D3542">
        <v>280.44</v>
      </c>
      <c r="E3542">
        <v>280.45</v>
      </c>
      <c r="F3542">
        <v>-0.01</v>
      </c>
    </row>
    <row r="3543" spans="1:6" x14ac:dyDescent="0.3">
      <c r="A3543" t="str">
        <f>HYPERLINK("https://us2.cloudbeds.com/connect/10074733072513#/reservations/30683749965993?display=YQVQUNVA2&amp;reservation_id=30683749965993", "YQVQUNVA2")</f>
        <v>YQVQUNVA2</v>
      </c>
      <c r="B3543" t="s">
        <v>1002</v>
      </c>
      <c r="C3543">
        <v>112.24</v>
      </c>
      <c r="D3543">
        <v>121.99</v>
      </c>
      <c r="E3543">
        <v>122</v>
      </c>
      <c r="F3543">
        <v>-0.01</v>
      </c>
    </row>
    <row r="3544" spans="1:6" x14ac:dyDescent="0.3">
      <c r="A3544" t="str">
        <f>HYPERLINK("https://us2.cloudbeds.com/connect/10074733072513#/reservations/30682547937478?display=YQUT74Z6X&amp;reservation_id=30682547937478", "YQUT74Z6X")</f>
        <v>YQUT74Z6X</v>
      </c>
      <c r="B3544" t="s">
        <v>749</v>
      </c>
      <c r="C3544">
        <v>268.2</v>
      </c>
      <c r="D3544">
        <v>291.52</v>
      </c>
      <c r="E3544">
        <v>291.52999999999997</v>
      </c>
      <c r="F3544">
        <v>-0.01</v>
      </c>
    </row>
    <row r="3545" spans="1:6" x14ac:dyDescent="0.3">
      <c r="A3545" t="str">
        <f>HYPERLINK("https://us2.cloudbeds.com/connect/10074733072513#/reservations/30684447703253?display=YQWBP2H1D&amp;reservation_id=30684447703253", "YQWBP2H1D")</f>
        <v>YQWBP2H1D</v>
      </c>
      <c r="B3545" t="s">
        <v>1000</v>
      </c>
      <c r="C3545">
        <v>120.32</v>
      </c>
      <c r="D3545">
        <v>130.78</v>
      </c>
      <c r="E3545">
        <v>130.79</v>
      </c>
      <c r="F3545">
        <v>-0.01</v>
      </c>
    </row>
    <row r="3546" spans="1:6" x14ac:dyDescent="0.3">
      <c r="A3546" t="str">
        <f>HYPERLINK("https://us2.cloudbeds.com/connect/10074733072513#/reservations/30682919817369?display=YQV5NNRN5&amp;reservation_id=30682919817369", "YQV5NNRN5")</f>
        <v>YQV5NNRN5</v>
      </c>
      <c r="B3546" t="s">
        <v>924</v>
      </c>
      <c r="C3546">
        <v>94.16</v>
      </c>
      <c r="D3546">
        <v>102.34</v>
      </c>
      <c r="E3546">
        <v>102.35</v>
      </c>
      <c r="F3546">
        <v>-0.01</v>
      </c>
    </row>
    <row r="3547" spans="1:6" x14ac:dyDescent="0.3">
      <c r="A3547" t="str">
        <f>HYPERLINK("https://us2.cloudbeds.com/connect/10074733072513#/reservations/30682924183690?display=YQV5RDB5U&amp;reservation_id=30682924183690", "YQV5RDB5U")</f>
        <v>YQV5RDB5U</v>
      </c>
      <c r="B3547" t="s">
        <v>1003</v>
      </c>
      <c r="C3547">
        <v>120.32</v>
      </c>
      <c r="D3547">
        <v>130.78</v>
      </c>
      <c r="E3547">
        <v>130.79</v>
      </c>
      <c r="F3547">
        <v>-0.01</v>
      </c>
    </row>
    <row r="3548" spans="1:6" x14ac:dyDescent="0.3">
      <c r="A3548" t="str">
        <f>HYPERLINK("https://us2.cloudbeds.com/connect/10074733072513#/reservations/30682932428963?display=YQV61BPJY&amp;reservation_id=30682932428963", "YQV61BPJY")</f>
        <v>YQV61BPJY</v>
      </c>
      <c r="B3548" t="s">
        <v>924</v>
      </c>
      <c r="C3548">
        <v>134.1</v>
      </c>
      <c r="D3548">
        <v>145.76</v>
      </c>
      <c r="E3548">
        <v>145.77000000000001</v>
      </c>
      <c r="F3548">
        <v>-0.01</v>
      </c>
    </row>
    <row r="3549" spans="1:6" x14ac:dyDescent="0.3">
      <c r="A3549" t="str">
        <f>HYPERLINK("https://us2.cloudbeds.com/connect/10074733072513#/reservations/30683023405282?display=YQV8C2AZR&amp;reservation_id=30683023405282", "YQV8C2AZR")</f>
        <v>YQV8C2AZR</v>
      </c>
      <c r="B3549" t="s">
        <v>924</v>
      </c>
      <c r="C3549">
        <v>268.2</v>
      </c>
      <c r="D3549">
        <v>291.52</v>
      </c>
      <c r="E3549">
        <v>291.52999999999997</v>
      </c>
      <c r="F3549">
        <v>-0.01</v>
      </c>
    </row>
    <row r="3550" spans="1:6" x14ac:dyDescent="0.3">
      <c r="A3550" t="str">
        <f>HYPERLINK("https://us2.cloudbeds.com/connect/10074733072513#/reservations/30683082772681?display=YQV9T4A8U&amp;reservation_id=30683082772681", "YQV9T4A8U")</f>
        <v>YQV9T4A8U</v>
      </c>
      <c r="B3550" t="s">
        <v>924</v>
      </c>
      <c r="C3550">
        <v>268.2</v>
      </c>
      <c r="D3550">
        <v>291.52</v>
      </c>
      <c r="E3550">
        <v>291.52999999999997</v>
      </c>
      <c r="F3550">
        <v>-0.01</v>
      </c>
    </row>
    <row r="3551" spans="1:6" x14ac:dyDescent="0.3">
      <c r="A3551" t="str">
        <f>HYPERLINK("https://us2.cloudbeds.com/connect/10074733072513#/reservations/30682555170979?display=YQUTD80HX&amp;reservation_id=30682555170979", "YQUTD80HX")</f>
        <v>YQUTD80HX</v>
      </c>
      <c r="B3551" t="s">
        <v>749</v>
      </c>
      <c r="C3551">
        <v>268.2</v>
      </c>
      <c r="D3551">
        <v>291.52</v>
      </c>
      <c r="E3551">
        <v>291.52999999999997</v>
      </c>
      <c r="F3551">
        <v>-0.01</v>
      </c>
    </row>
    <row r="3552" spans="1:6" x14ac:dyDescent="0.3">
      <c r="A3552" t="str">
        <f>HYPERLINK("https://us2.cloudbeds.com/connect/10074733072513#/reservations/30681954922716?display=YQUE237C8&amp;reservation_id=30681954922716", "YQUE237C8")</f>
        <v>YQUE237C8</v>
      </c>
      <c r="B3552" t="s">
        <v>749</v>
      </c>
      <c r="C3552">
        <v>268.2</v>
      </c>
      <c r="D3552">
        <v>291.52</v>
      </c>
      <c r="E3552">
        <v>291.52999999999997</v>
      </c>
      <c r="F3552">
        <v>-0.01</v>
      </c>
    </row>
    <row r="3553" spans="1:6" x14ac:dyDescent="0.3">
      <c r="A3553" t="str">
        <f>HYPERLINK("https://us2.cloudbeds.com/connect/10074733072513#/reservations/30684043866333?display=YQW1EX57W&amp;reservation_id=30684043866333", "YQW1EX57W")</f>
        <v>YQW1EX57W</v>
      </c>
      <c r="B3553" t="s">
        <v>996</v>
      </c>
      <c r="C3553">
        <v>134.1</v>
      </c>
      <c r="D3553">
        <v>145.76</v>
      </c>
      <c r="E3553">
        <v>145.77000000000001</v>
      </c>
      <c r="F3553">
        <v>-0.01</v>
      </c>
    </row>
    <row r="3554" spans="1:6" x14ac:dyDescent="0.3">
      <c r="A3554" t="str">
        <f>HYPERLINK("https://us2.cloudbeds.com/connect/10074733072513#/reservations/30684053463192?display=YQW1MY6PT&amp;reservation_id=30684053463192", "YQW1MY6PT")</f>
        <v>YQW1MY6PT</v>
      </c>
      <c r="B3554" t="s">
        <v>996</v>
      </c>
      <c r="C3554">
        <v>134.1</v>
      </c>
      <c r="D3554">
        <v>145.76</v>
      </c>
      <c r="E3554">
        <v>145.77000000000001</v>
      </c>
      <c r="F3554">
        <v>-0.01</v>
      </c>
    </row>
    <row r="3555" spans="1:6" x14ac:dyDescent="0.3">
      <c r="A3555" t="str">
        <f>HYPERLINK("https://us2.cloudbeds.com/connect/10074733072513#/reservations/30684209049817?display=YQW5YRKT3&amp;reservation_id=30684209049817", "YQW5YRKT3")</f>
        <v>YQW5YRKT3</v>
      </c>
      <c r="B3555" t="s">
        <v>1003</v>
      </c>
      <c r="C3555">
        <v>71.45</v>
      </c>
      <c r="D3555">
        <v>77.66</v>
      </c>
      <c r="E3555">
        <v>77.67</v>
      </c>
      <c r="F3555">
        <v>-0.01</v>
      </c>
    </row>
    <row r="3556" spans="1:6" x14ac:dyDescent="0.3">
      <c r="A3556" t="str">
        <f>HYPERLINK("https://us2.cloudbeds.com/connect/10074733072513#/reservations/30683903070366?display=YQVURRA0H&amp;reservation_id=30683903070366", "YQVURRA0H")</f>
        <v>YQVURRA0H</v>
      </c>
      <c r="B3556" t="s">
        <v>749</v>
      </c>
      <c r="C3556">
        <v>94.16</v>
      </c>
      <c r="D3556">
        <v>102.34</v>
      </c>
      <c r="E3556">
        <v>102.35</v>
      </c>
      <c r="F3556">
        <v>-0.01</v>
      </c>
    </row>
    <row r="3557" spans="1:6" x14ac:dyDescent="0.3">
      <c r="A3557" t="str">
        <f>HYPERLINK("https://us2.cloudbeds.com/connect/10074733072513#/reservations/30683725369473?display=YQVQ49XZH&amp;reservation_id=30683725369473", "YQVQ49XZH")</f>
        <v>YQVQ49XZH</v>
      </c>
      <c r="B3557" t="s">
        <v>1002</v>
      </c>
      <c r="C3557">
        <v>71.45</v>
      </c>
      <c r="D3557">
        <v>77.66</v>
      </c>
      <c r="E3557">
        <v>77.67</v>
      </c>
      <c r="F3557">
        <v>-0.01</v>
      </c>
    </row>
    <row r="3558" spans="1:6" x14ac:dyDescent="0.3">
      <c r="A3558" t="str">
        <f>HYPERLINK("https://us2.cloudbeds.com/connect/10074733072513#/reservations/30684238549238?display=YQW6DNGDV&amp;reservation_id=30684238549238", "YQW6DNGDV")</f>
        <v>YQW6DNGDV</v>
      </c>
      <c r="B3558" t="s">
        <v>1003</v>
      </c>
      <c r="C3558">
        <v>71.45</v>
      </c>
      <c r="D3558">
        <v>77.66</v>
      </c>
      <c r="E3558">
        <v>77.67</v>
      </c>
      <c r="F3558">
        <v>-0.01</v>
      </c>
    </row>
    <row r="3559" spans="1:6" x14ac:dyDescent="0.3">
      <c r="A3559" t="str">
        <f>HYPERLINK("https://us2.cloudbeds.com/connect/10074733072513#/reservations/30684471271620?display=YQWCBVB8B&amp;reservation_id=30684471271620", "YQWCBVB8B")</f>
        <v>YQWCBVB8B</v>
      </c>
      <c r="B3559" t="s">
        <v>1000</v>
      </c>
      <c r="C3559">
        <v>71.45</v>
      </c>
      <c r="D3559">
        <v>77.66</v>
      </c>
      <c r="E3559">
        <v>77.67</v>
      </c>
      <c r="F3559">
        <v>-0.01</v>
      </c>
    </row>
    <row r="3560" spans="1:6" x14ac:dyDescent="0.3">
      <c r="A3560" t="str">
        <f>HYPERLINK("https://us2.cloudbeds.com/connect/10074733072513#/reservations/30681949929605?display=YQUDUT9AS&amp;reservation_id=30681949929605", "YQUDUT9AS")</f>
        <v>YQUDUT9AS</v>
      </c>
      <c r="B3560" t="s">
        <v>749</v>
      </c>
      <c r="C3560">
        <v>143.65</v>
      </c>
      <c r="D3560">
        <v>156.13999999999999</v>
      </c>
      <c r="E3560">
        <v>156.15</v>
      </c>
      <c r="F3560">
        <v>-0.01</v>
      </c>
    </row>
    <row r="3561" spans="1:6" x14ac:dyDescent="0.3">
      <c r="A3561" t="str">
        <f>HYPERLINK("https://us2.cloudbeds.com/connect/10074733072513#/reservations/30683681444017?display=YQVP5V7CX&amp;reservation_id=30683681444017", "YQVP5V7CX")</f>
        <v>YQVP5V7CX</v>
      </c>
      <c r="B3561" t="s">
        <v>1000</v>
      </c>
      <c r="C3561">
        <v>71.45</v>
      </c>
      <c r="D3561">
        <v>77.66</v>
      </c>
      <c r="E3561">
        <v>77.67</v>
      </c>
      <c r="F3561">
        <v>-0.01</v>
      </c>
    </row>
    <row r="3562" spans="1:6" x14ac:dyDescent="0.3">
      <c r="A3562" t="str">
        <f>HYPERLINK("https://us2.cloudbeds.com/connect/10074733072513#/reservations/30683946750179?display=YQVVVYP17&amp;reservation_id=30683946750179", "YQVVVYP17")</f>
        <v>YQVVVYP17</v>
      </c>
      <c r="B3562" t="s">
        <v>749</v>
      </c>
      <c r="C3562">
        <v>169.15</v>
      </c>
      <c r="D3562">
        <v>183.86</v>
      </c>
      <c r="E3562">
        <v>183.87</v>
      </c>
      <c r="F3562">
        <v>-0.01</v>
      </c>
    </row>
    <row r="3563" spans="1:6" x14ac:dyDescent="0.3">
      <c r="A3563" t="str">
        <f>HYPERLINK("https://us2.cloudbeds.com/connect/10074733072513#/reservations/30682436440217?display=YQUQC456M&amp;reservation_id=30682436440217", "YQUQC456M")</f>
        <v>YQUQC456M</v>
      </c>
      <c r="B3563" t="s">
        <v>960</v>
      </c>
      <c r="C3563">
        <v>170.1</v>
      </c>
      <c r="D3563">
        <v>184.89</v>
      </c>
      <c r="E3563">
        <v>184.9</v>
      </c>
      <c r="F3563">
        <v>-0.01</v>
      </c>
    </row>
    <row r="3564" spans="1:6" x14ac:dyDescent="0.3">
      <c r="A3564" t="str">
        <f>HYPERLINK("https://us2.cloudbeds.com/connect/10074733072513#/reservations/31674160803987?display=MH6N7CG38&amp;reservation_id=31674160803987", "MH6N7CG38")</f>
        <v>MH6N7CG38</v>
      </c>
      <c r="B3564" t="s">
        <v>1006</v>
      </c>
      <c r="C3564">
        <v>134.1</v>
      </c>
      <c r="D3564">
        <v>145.76</v>
      </c>
      <c r="E3564">
        <v>145.77000000000001</v>
      </c>
      <c r="F3564">
        <v>-0.01</v>
      </c>
    </row>
    <row r="3565" spans="1:6" x14ac:dyDescent="0.3">
      <c r="A3565" t="str">
        <f>HYPERLINK("https://us2.cloudbeds.com/connect/10074733072513#/reservations/30683187896496?display=YQVCXPHN2&amp;reservation_id=30683187896496", "YQVCXPHN2")</f>
        <v>YQVCXPHN2</v>
      </c>
      <c r="B3565" t="s">
        <v>962</v>
      </c>
      <c r="C3565">
        <v>134.1</v>
      </c>
      <c r="D3565">
        <v>145.76</v>
      </c>
      <c r="E3565">
        <v>145.77000000000001</v>
      </c>
      <c r="F3565">
        <v>-0.01</v>
      </c>
    </row>
    <row r="3566" spans="1:6" x14ac:dyDescent="0.3">
      <c r="A3566" t="str">
        <f>HYPERLINK("https://us2.cloudbeds.com/connect/10074733072513#/reservations/30681904595078?display=YQUCPYPRA&amp;reservation_id=30681904595078", "YQUCPYPRA")</f>
        <v>YQUCPYPRA</v>
      </c>
      <c r="B3566" t="s">
        <v>970</v>
      </c>
      <c r="C3566">
        <v>240.32</v>
      </c>
      <c r="D3566">
        <v>261.22000000000003</v>
      </c>
      <c r="E3566">
        <v>261.23</v>
      </c>
      <c r="F3566">
        <v>-0.01</v>
      </c>
    </row>
    <row r="3567" spans="1:6" x14ac:dyDescent="0.3">
      <c r="A3567" t="str">
        <f>HYPERLINK("https://us2.cloudbeds.com/connect/10074733072513#/reservations/30683506962560?display=YQVKNQTVG&amp;reservation_id=30683506962560", "YQVKNQTVG")</f>
        <v>YQVKNQTVG</v>
      </c>
      <c r="B3567" t="s">
        <v>995</v>
      </c>
      <c r="C3567">
        <v>250.2</v>
      </c>
      <c r="D3567">
        <v>271.95999999999998</v>
      </c>
      <c r="E3567">
        <v>271.97000000000003</v>
      </c>
      <c r="F3567">
        <v>-0.01</v>
      </c>
    </row>
    <row r="3568" spans="1:6" x14ac:dyDescent="0.3">
      <c r="A3568" t="str">
        <f>HYPERLINK("https://us2.cloudbeds.com/connect/10074733072513#/reservations/30681512001702?display=YQU2ZK9MB&amp;reservation_id=30681512001702", "YQU2ZK9MB")</f>
        <v>YQU2ZK9MB</v>
      </c>
      <c r="B3568" t="s">
        <v>998</v>
      </c>
      <c r="C3568">
        <v>134.1</v>
      </c>
      <c r="D3568">
        <v>145.76</v>
      </c>
      <c r="E3568">
        <v>145.77000000000001</v>
      </c>
      <c r="F3568">
        <v>-0.01</v>
      </c>
    </row>
    <row r="3569" spans="1:6" x14ac:dyDescent="0.3">
      <c r="A3569" t="str">
        <f>HYPERLINK("https://us2.cloudbeds.com/connect/10074733072513#/reservations/30681566994655?display=YQU44WX8F&amp;reservation_id=30681566994655", "YQU44WX8F")</f>
        <v>YQU44WX8F</v>
      </c>
      <c r="B3569" t="s">
        <v>998</v>
      </c>
      <c r="C3569">
        <v>134.1</v>
      </c>
      <c r="D3569">
        <v>145.76</v>
      </c>
      <c r="E3569">
        <v>145.77000000000001</v>
      </c>
      <c r="F3569">
        <v>-0.01</v>
      </c>
    </row>
    <row r="3570" spans="1:6" x14ac:dyDescent="0.3">
      <c r="A3570" t="str">
        <f>HYPERLINK("https://us2.cloudbeds.com/connect/10074733072513#/reservations/30681543848078?display=YQU3XFFC1&amp;reservation_id=30681543848078", "YQU3XFFC1")</f>
        <v>YQU3XFFC1</v>
      </c>
      <c r="B3570" t="s">
        <v>1004</v>
      </c>
      <c r="C3570">
        <v>94.16</v>
      </c>
      <c r="D3570">
        <v>102.34</v>
      </c>
      <c r="E3570">
        <v>102.35</v>
      </c>
      <c r="F3570">
        <v>-0.01</v>
      </c>
    </row>
    <row r="3571" spans="1:6" x14ac:dyDescent="0.3">
      <c r="A3571" t="str">
        <f>HYPERLINK("https://us2.cloudbeds.com/connect/10074733072513#/reservations/30682426175646?display=YQUQ3FHH2&amp;reservation_id=30682426175646", "YQUQ3FHH2")</f>
        <v>YQUQ3FHH2</v>
      </c>
      <c r="B3571" t="s">
        <v>1007</v>
      </c>
      <c r="C3571">
        <v>110.29</v>
      </c>
      <c r="D3571">
        <v>119.88</v>
      </c>
      <c r="E3571">
        <v>119.89</v>
      </c>
      <c r="F3571">
        <v>-0.01</v>
      </c>
    </row>
    <row r="3572" spans="1:6" x14ac:dyDescent="0.3">
      <c r="A3572" t="str">
        <f>HYPERLINK("https://us2.cloudbeds.com/connect/10074733072513#/reservations/30681252319471?display=YQTT3Y8AR&amp;reservation_id=30681252319471", "YQTT3Y8AR")</f>
        <v>YQTT3Y8AR</v>
      </c>
      <c r="B3572" t="s">
        <v>1015</v>
      </c>
      <c r="C3572">
        <v>500.4</v>
      </c>
      <c r="D3572">
        <v>543.91999999999996</v>
      </c>
      <c r="E3572">
        <v>543.92999999999995</v>
      </c>
      <c r="F3572">
        <v>-0.01</v>
      </c>
    </row>
    <row r="3573" spans="1:6" x14ac:dyDescent="0.3">
      <c r="A3573" t="str">
        <f>HYPERLINK("https://us2.cloudbeds.com/connect/10074733072513#/reservations/30682852462753?display=YQV3WUJZ5&amp;reservation_id=30682852462753", "YQV3WUJZ5")</f>
        <v>YQV3WUJZ5</v>
      </c>
      <c r="B3573" t="s">
        <v>987</v>
      </c>
      <c r="C3573">
        <v>396.3</v>
      </c>
      <c r="D3573">
        <v>430.77</v>
      </c>
      <c r="E3573">
        <v>430.78</v>
      </c>
      <c r="F3573">
        <v>-0.01</v>
      </c>
    </row>
    <row r="3574" spans="1:6" x14ac:dyDescent="0.3">
      <c r="A3574" t="str">
        <f>HYPERLINK("https://us2.cloudbeds.com/connect/10074733072513#/reservations/30682254409862?display=YQUYNKTHA&amp;reservation_id=30682254409862", "YQUYNKTHA")</f>
        <v>YQUYNKTHA</v>
      </c>
      <c r="B3574" t="s">
        <v>926</v>
      </c>
      <c r="C3574">
        <v>292.14999999999998</v>
      </c>
      <c r="D3574">
        <v>317.56</v>
      </c>
      <c r="E3574">
        <v>317.57</v>
      </c>
      <c r="F3574">
        <v>-0.01</v>
      </c>
    </row>
    <row r="3575" spans="1:6" x14ac:dyDescent="0.3">
      <c r="A3575" t="str">
        <f>HYPERLINK("https://us2.cloudbeds.com/connect/10074733072513#/reservations/30681558425728?display=YQU3ZJYTM&amp;reservation_id=30681558425728", "YQU3ZJYTM")</f>
        <v>YQU3ZJYTM</v>
      </c>
      <c r="B3575" t="s">
        <v>998</v>
      </c>
      <c r="C3575">
        <v>144.1</v>
      </c>
      <c r="D3575">
        <v>156.63</v>
      </c>
      <c r="E3575">
        <v>156.63999999999999</v>
      </c>
      <c r="F3575">
        <v>-0.01</v>
      </c>
    </row>
    <row r="3576" spans="1:6" x14ac:dyDescent="0.3">
      <c r="A3576" t="str">
        <f>HYPERLINK("https://us2.cloudbeds.com/connect/10074733072513#/reservations/30683231133894?display=YQVDM7MF8&amp;reservation_id=30683231133894", "YQVDM7MF8")</f>
        <v>YQVDM7MF8</v>
      </c>
      <c r="B3576" t="s">
        <v>1012</v>
      </c>
      <c r="C3576">
        <v>112.24</v>
      </c>
      <c r="D3576">
        <v>121.99</v>
      </c>
      <c r="E3576">
        <v>122</v>
      </c>
      <c r="F3576">
        <v>-0.01</v>
      </c>
    </row>
    <row r="3577" spans="1:6" x14ac:dyDescent="0.3">
      <c r="A3577" t="str">
        <f>HYPERLINK("https://us2.cloudbeds.com/connect/10074733072513#/reservations/30683136545011?display=YQVB8FJWF&amp;reservation_id=30683136545011", "YQVB8FJWF")</f>
        <v>YQVB8FJWF</v>
      </c>
      <c r="B3577" t="s">
        <v>991</v>
      </c>
      <c r="C3577">
        <v>134.1</v>
      </c>
      <c r="D3577">
        <v>145.76</v>
      </c>
      <c r="E3577">
        <v>145.77000000000001</v>
      </c>
      <c r="F3577">
        <v>-0.01</v>
      </c>
    </row>
    <row r="3578" spans="1:6" x14ac:dyDescent="0.3">
      <c r="A3578" t="str">
        <f>HYPERLINK("https://us2.cloudbeds.com/connect/10074733072513#/reservations/30682769719505?display=YQV1T54Q1&amp;reservation_id=30682769719505", "YQV1T54Q1")</f>
        <v>YQV1T54Q1</v>
      </c>
      <c r="B3578" t="s">
        <v>1021</v>
      </c>
      <c r="C3578">
        <v>114.15</v>
      </c>
      <c r="D3578">
        <v>124.07</v>
      </c>
      <c r="E3578">
        <v>124.08</v>
      </c>
      <c r="F3578">
        <v>-0.01</v>
      </c>
    </row>
    <row r="3579" spans="1:6" x14ac:dyDescent="0.3">
      <c r="A3579" t="str">
        <f>HYPERLINK("https://us2.cloudbeds.com/connect/10074733072513#/reservations/30683292885123?display=YQVF89WWK&amp;reservation_id=30683292885123", "YQVF89WWK")</f>
        <v>YQVF89WWK</v>
      </c>
      <c r="B3579" t="s">
        <v>1020</v>
      </c>
      <c r="C3579">
        <v>220.58</v>
      </c>
      <c r="D3579">
        <v>239.76</v>
      </c>
      <c r="E3579">
        <v>239.77</v>
      </c>
      <c r="F3579">
        <v>-0.01</v>
      </c>
    </row>
    <row r="3580" spans="1:6" x14ac:dyDescent="0.3">
      <c r="A3580" t="str">
        <f>HYPERLINK("https://us2.cloudbeds.com/connect/10074733072513#/reservations/30683416899836?display=YQVXDSTE7&amp;reservation_id=30683416899836", "YQVXDSTE7")</f>
        <v>YQVXDSTE7</v>
      </c>
      <c r="B3580" t="s">
        <v>979</v>
      </c>
      <c r="C3580">
        <v>71.45</v>
      </c>
      <c r="D3580">
        <v>77.66</v>
      </c>
      <c r="E3580">
        <v>77.67</v>
      </c>
      <c r="F3580">
        <v>-0.01</v>
      </c>
    </row>
    <row r="3581" spans="1:6" x14ac:dyDescent="0.3">
      <c r="A3581" t="str">
        <f>HYPERLINK("https://us2.cloudbeds.com/connect/10074733072513#/reservations/30682618941638?display=YQUV10HEP&amp;reservation_id=30682618941638", "YQUV10HEP")</f>
        <v>YQUV10HEP</v>
      </c>
      <c r="B3581" t="s">
        <v>902</v>
      </c>
      <c r="C3581">
        <v>134.1</v>
      </c>
      <c r="D3581">
        <v>145.76</v>
      </c>
      <c r="E3581">
        <v>145.77000000000001</v>
      </c>
      <c r="F3581">
        <v>-0.01</v>
      </c>
    </row>
    <row r="3582" spans="1:6" x14ac:dyDescent="0.3">
      <c r="A3582" t="str">
        <f>HYPERLINK("https://us2.cloudbeds.com/connect/10074733072513#/reservations/30683405070482?display=YQVX3TNRV&amp;reservation_id=30683405070482", "YQVX3TNRV")</f>
        <v>YQVX3TNRV</v>
      </c>
      <c r="B3582" t="s">
        <v>979</v>
      </c>
      <c r="C3582">
        <v>71.45</v>
      </c>
      <c r="D3582">
        <v>77.66</v>
      </c>
      <c r="E3582">
        <v>77.67</v>
      </c>
      <c r="F3582">
        <v>-0.01</v>
      </c>
    </row>
    <row r="3583" spans="1:6" x14ac:dyDescent="0.3">
      <c r="A3583" t="str">
        <f>HYPERLINK("https://us2.cloudbeds.com/connect/10074733072513#/reservations/30682828746912?display=YQV3CUM3B&amp;reservation_id=30682828746912", "YQV3CUM3B")</f>
        <v>YQV3CUM3B</v>
      </c>
      <c r="B3583" t="s">
        <v>987</v>
      </c>
      <c r="C3583">
        <v>268.2</v>
      </c>
      <c r="D3583">
        <v>291.52</v>
      </c>
      <c r="E3583">
        <v>291.52999999999997</v>
      </c>
      <c r="F3583">
        <v>-0.01</v>
      </c>
    </row>
    <row r="3584" spans="1:6" x14ac:dyDescent="0.3">
      <c r="A3584" t="str">
        <f>HYPERLINK("https://us2.cloudbeds.com/connect/10074733072513#/reservations/30683207647391?display=YQVD2E4E1&amp;reservation_id=30683207647391", "YQVD2E4E1")</f>
        <v>YQVD2E4E1</v>
      </c>
      <c r="B3584" t="s">
        <v>991</v>
      </c>
      <c r="C3584">
        <v>94.16</v>
      </c>
      <c r="D3584">
        <v>102.34</v>
      </c>
      <c r="E3584">
        <v>102.35</v>
      </c>
      <c r="F3584">
        <v>-0.01</v>
      </c>
    </row>
    <row r="3585" spans="1:6" x14ac:dyDescent="0.3">
      <c r="A3585" t="str">
        <f>HYPERLINK("https://us2.cloudbeds.com/connect/10074733072513#/reservations/30683201761481?display=YQVCUFBX4&amp;reservation_id=30683201761481", "YQVCUFBX4")</f>
        <v>YQVCUFBX4</v>
      </c>
      <c r="B3585" t="s">
        <v>991</v>
      </c>
      <c r="C3585">
        <v>94.16</v>
      </c>
      <c r="D3585">
        <v>102.34</v>
      </c>
      <c r="E3585">
        <v>102.35</v>
      </c>
      <c r="F3585">
        <v>-0.01</v>
      </c>
    </row>
    <row r="3586" spans="1:6" x14ac:dyDescent="0.3">
      <c r="A3586" t="str">
        <f>HYPERLINK("https://us2.cloudbeds.com/connect/10074733072513#/reservations/30683420418200?display=YQVXGRQ8A&amp;reservation_id=30683420418200", "YQVXGRQ8A")</f>
        <v>YQVXGRQ8A</v>
      </c>
      <c r="B3586" t="s">
        <v>979</v>
      </c>
      <c r="C3586">
        <v>71.45</v>
      </c>
      <c r="D3586">
        <v>77.66</v>
      </c>
      <c r="E3586">
        <v>77.67</v>
      </c>
      <c r="F3586">
        <v>-0.01</v>
      </c>
    </row>
    <row r="3587" spans="1:6" x14ac:dyDescent="0.3">
      <c r="A3587" t="str">
        <f>HYPERLINK("https://us2.cloudbeds.com/connect/10074733072513#/reservations/30682617004179?display=YQUUWCKAT&amp;reservation_id=30682617004179", "YQUUWCKAT")</f>
        <v>YQUUWCKAT</v>
      </c>
      <c r="B3587" t="s">
        <v>991</v>
      </c>
      <c r="C3587">
        <v>134.1</v>
      </c>
      <c r="D3587">
        <v>145.76</v>
      </c>
      <c r="E3587">
        <v>145.77000000000001</v>
      </c>
      <c r="F3587">
        <v>-0.01</v>
      </c>
    </row>
    <row r="3588" spans="1:6" x14ac:dyDescent="0.3">
      <c r="A3588" t="str">
        <f>HYPERLINK("https://us2.cloudbeds.com/connect/10074733072513#/reservations/30681464254594?display=YQU1HBYP9&amp;reservation_id=30681464254594", "YQU1HBYP9")</f>
        <v>YQU1HBYP9</v>
      </c>
      <c r="B3588" t="s">
        <v>970</v>
      </c>
      <c r="C3588">
        <v>118.15</v>
      </c>
      <c r="D3588">
        <v>128.41999999999999</v>
      </c>
      <c r="E3588">
        <v>128.43</v>
      </c>
      <c r="F3588">
        <v>-0.01</v>
      </c>
    </row>
    <row r="3589" spans="1:6" x14ac:dyDescent="0.3">
      <c r="A3589" t="str">
        <f>HYPERLINK("https://us2.cloudbeds.com/connect/10074733072513#/reservations/30682426179741?display=YQUQ3FY95&amp;reservation_id=30682426179741", "YQUQ3FY95")</f>
        <v>YQUQ3FY95</v>
      </c>
      <c r="B3589" t="s">
        <v>1007</v>
      </c>
      <c r="C3589">
        <v>110.29</v>
      </c>
      <c r="D3589">
        <v>119.88</v>
      </c>
      <c r="E3589">
        <v>119.89</v>
      </c>
      <c r="F3589">
        <v>-0.01</v>
      </c>
    </row>
    <row r="3590" spans="1:6" x14ac:dyDescent="0.3">
      <c r="A3590" t="str">
        <f>HYPERLINK("https://us2.cloudbeds.com/connect/10074733072513#/reservations/30681458532585?display=YQU1CHED2&amp;reservation_id=30681458532585", "YQU1CHED2")</f>
        <v>YQU1CHED2</v>
      </c>
      <c r="B3590" t="s">
        <v>970</v>
      </c>
      <c r="C3590">
        <v>134.1</v>
      </c>
      <c r="D3590">
        <v>145.76</v>
      </c>
      <c r="E3590">
        <v>145.77000000000001</v>
      </c>
      <c r="F3590">
        <v>-0.01</v>
      </c>
    </row>
    <row r="3591" spans="1:6" x14ac:dyDescent="0.3">
      <c r="A3591" t="str">
        <f>HYPERLINK("https://us2.cloudbeds.com/connect/10074733072513#/reservations/31675133698255?display=MH7F2ZN8Z&amp;reservation_id=31675133698255", "MH7F2ZN8Z")</f>
        <v>MH7F2ZN8Z</v>
      </c>
      <c r="B3591" t="s">
        <v>1029</v>
      </c>
      <c r="C3591">
        <v>112.24</v>
      </c>
      <c r="D3591">
        <v>121.99</v>
      </c>
      <c r="E3591">
        <v>122</v>
      </c>
      <c r="F3591">
        <v>-0.01</v>
      </c>
    </row>
    <row r="3592" spans="1:6" x14ac:dyDescent="0.3">
      <c r="A3592" t="str">
        <f>HYPERLINK("https://us2.cloudbeds.com/connect/10074733072513#/reservations/30682259116166?display=YQUYRJS6J&amp;reservation_id=30682259116166", "YQUYRJS6J")</f>
        <v>YQUYRJS6J</v>
      </c>
      <c r="B3592" t="s">
        <v>950</v>
      </c>
      <c r="C3592">
        <v>220.58</v>
      </c>
      <c r="D3592">
        <v>239.76</v>
      </c>
      <c r="E3592">
        <v>239.77</v>
      </c>
      <c r="F3592">
        <v>-0.01</v>
      </c>
    </row>
    <row r="3593" spans="1:6" x14ac:dyDescent="0.3">
      <c r="A3593" t="str">
        <f>HYPERLINK("https://us2.cloudbeds.com/connect/10074733072513#/reservations/30682453700780?display=YQUQQMF41&amp;reservation_id=30682453700780", "YQUQQMF41")</f>
        <v>YQUQQMF41</v>
      </c>
      <c r="B3593" t="s">
        <v>1007</v>
      </c>
      <c r="C3593">
        <v>71.45</v>
      </c>
      <c r="D3593">
        <v>77.66</v>
      </c>
      <c r="E3593">
        <v>77.67</v>
      </c>
      <c r="F3593">
        <v>-0.01</v>
      </c>
    </row>
    <row r="3594" spans="1:6" x14ac:dyDescent="0.3">
      <c r="A3594" t="str">
        <f>HYPERLINK("https://us2.cloudbeds.com/connect/10074733072513#/reservations/30681867665659?display=YQUBRH5H0&amp;reservation_id=30681867665659", "YQUBRH5H0")</f>
        <v>YQUBRH5H0</v>
      </c>
      <c r="B3594" t="s">
        <v>987</v>
      </c>
      <c r="C3594">
        <v>103.2</v>
      </c>
      <c r="D3594">
        <v>112.17</v>
      </c>
      <c r="E3594">
        <v>112.18</v>
      </c>
      <c r="F3594">
        <v>-0.01</v>
      </c>
    </row>
    <row r="3595" spans="1:6" x14ac:dyDescent="0.3">
      <c r="A3595" t="str">
        <f>HYPERLINK("https://us2.cloudbeds.com/connect/10074733072513#/reservations/30682250481832?display=YQUYKAJH3&amp;reservation_id=30682250481832", "YQUYKAJH3")</f>
        <v>YQUYKAJH3</v>
      </c>
      <c r="B3595" t="s">
        <v>950</v>
      </c>
      <c r="C3595">
        <v>244.56</v>
      </c>
      <c r="D3595">
        <v>265.83</v>
      </c>
      <c r="E3595">
        <v>265.83999999999997</v>
      </c>
      <c r="F3595">
        <v>-0.01</v>
      </c>
    </row>
    <row r="3596" spans="1:6" x14ac:dyDescent="0.3">
      <c r="A3596" t="str">
        <f>HYPERLINK("https://us2.cloudbeds.com/connect/10074733072513#/reservations/30682678059141?display=YQUWHSXG8&amp;reservation_id=30682678059141", "YQUWHSXG8")</f>
        <v>YQUWHSXG8</v>
      </c>
      <c r="B3596" t="s">
        <v>902</v>
      </c>
      <c r="C3596">
        <v>103.2</v>
      </c>
      <c r="D3596">
        <v>112.17</v>
      </c>
      <c r="E3596">
        <v>112.18</v>
      </c>
      <c r="F3596">
        <v>-0.01</v>
      </c>
    </row>
    <row r="3597" spans="1:6" x14ac:dyDescent="0.3">
      <c r="A3597" t="str">
        <f>HYPERLINK("https://us2.cloudbeds.com/connect/10074733072513#/reservations/30682717208777?display=YQV0HSVXS&amp;reservation_id=30682717208777", "YQV0HSVXS")</f>
        <v>YQV0HSVXS</v>
      </c>
      <c r="B3597" t="s">
        <v>1026</v>
      </c>
      <c r="C3597">
        <v>118.15</v>
      </c>
      <c r="D3597">
        <v>128.41999999999999</v>
      </c>
      <c r="E3597">
        <v>128.43</v>
      </c>
      <c r="F3597">
        <v>-0.01</v>
      </c>
    </row>
    <row r="3598" spans="1:6" x14ac:dyDescent="0.3">
      <c r="A3598" t="str">
        <f>HYPERLINK("https://us2.cloudbeds.com/connect/10074733072513#/reservations/30682462462144?display=YQUR124ZZ&amp;reservation_id=30682462462144", "YQUR124ZZ")</f>
        <v>YQUR124ZZ</v>
      </c>
      <c r="B3598" t="s">
        <v>1007</v>
      </c>
      <c r="C3598">
        <v>71.45</v>
      </c>
      <c r="D3598">
        <v>77.66</v>
      </c>
      <c r="E3598">
        <v>77.67</v>
      </c>
      <c r="F3598">
        <v>-0.01</v>
      </c>
    </row>
    <row r="3599" spans="1:6" x14ac:dyDescent="0.3">
      <c r="A3599" t="str">
        <f>HYPERLINK("https://us2.cloudbeds.com/connect/10074733072513#/reservations/30682471542989?display=YQUR8NV51&amp;reservation_id=30682471542989", "YQUR8NV51")</f>
        <v>YQUR8NV51</v>
      </c>
      <c r="B3599" t="s">
        <v>1007</v>
      </c>
      <c r="C3599">
        <v>71.45</v>
      </c>
      <c r="D3599">
        <v>77.66</v>
      </c>
      <c r="E3599">
        <v>77.67</v>
      </c>
      <c r="F3599">
        <v>-0.01</v>
      </c>
    </row>
    <row r="3600" spans="1:6" x14ac:dyDescent="0.3">
      <c r="A3600" t="str">
        <f>HYPERLINK("https://us2.cloudbeds.com/connect/10074733072513#/reservations/31671937024189?display=MH4WD7HNY&amp;reservation_id=31671937024189", "MH4WD7HNY")</f>
        <v>MH4WD7HNY</v>
      </c>
      <c r="B3600" t="s">
        <v>1032</v>
      </c>
      <c r="C3600">
        <v>103.2</v>
      </c>
      <c r="D3600">
        <v>112.17</v>
      </c>
      <c r="E3600">
        <v>112.18</v>
      </c>
      <c r="F3600">
        <v>-0.01</v>
      </c>
    </row>
    <row r="3601" spans="1:6" x14ac:dyDescent="0.3">
      <c r="A3601" t="str">
        <f>HYPERLINK("https://us2.cloudbeds.com/connect/10074733072513#/reservations/31673870983399?display=MH6FQWQG6&amp;reservation_id=31673870983399", "MH6FQWQG6")</f>
        <v>MH6FQWQG6</v>
      </c>
      <c r="B3601" t="s">
        <v>1006</v>
      </c>
      <c r="C3601">
        <v>250.2</v>
      </c>
      <c r="D3601">
        <v>271.95999999999998</v>
      </c>
      <c r="E3601">
        <v>271.97000000000003</v>
      </c>
      <c r="F3601">
        <v>-0.01</v>
      </c>
    </row>
    <row r="3602" spans="1:6" x14ac:dyDescent="0.3">
      <c r="A3602" t="str">
        <f>HYPERLINK("https://us2.cloudbeds.com/connect/10074733072513#/reservations/31671947235538?display=MH4WYRMHF&amp;reservation_id=31671947235538", "MH4WYRMHF")</f>
        <v>MH4WYRMHF</v>
      </c>
      <c r="B3602" t="s">
        <v>1032</v>
      </c>
      <c r="C3602">
        <v>103.2</v>
      </c>
      <c r="D3602">
        <v>112.17</v>
      </c>
      <c r="E3602">
        <v>112.18</v>
      </c>
      <c r="F3602">
        <v>-0.01</v>
      </c>
    </row>
    <row r="3603" spans="1:6" x14ac:dyDescent="0.3">
      <c r="A3603" t="str">
        <f>HYPERLINK("https://us2.cloudbeds.com/connect/10074733072513#/reservations/31670096924829?display=MH3XCK1VW&amp;reservation_id=31670096924829", "MH3XCK1VW")</f>
        <v>MH3XCK1VW</v>
      </c>
      <c r="B3603" t="s">
        <v>1040</v>
      </c>
      <c r="C3603">
        <v>134.1</v>
      </c>
      <c r="D3603">
        <v>145.76</v>
      </c>
      <c r="E3603">
        <v>145.77000000000001</v>
      </c>
      <c r="F3603">
        <v>-0.01</v>
      </c>
    </row>
    <row r="3604" spans="1:6" x14ac:dyDescent="0.3">
      <c r="A3604" t="str">
        <f>HYPERLINK("https://us2.cloudbeds.com/connect/10074733072513#/reservations/30681551110366?display=YQU3ZJX4C&amp;reservation_id=30681551110366", "YQU3ZJX4C")</f>
        <v>YQU3ZJX4C</v>
      </c>
      <c r="B3604" t="s">
        <v>1004</v>
      </c>
      <c r="C3604">
        <v>127.2</v>
      </c>
      <c r="D3604">
        <v>138.26</v>
      </c>
      <c r="E3604">
        <v>138.27000000000001</v>
      </c>
      <c r="F3604">
        <v>-0.01</v>
      </c>
    </row>
    <row r="3605" spans="1:6" x14ac:dyDescent="0.3">
      <c r="A3605" t="str">
        <f>HYPERLINK("https://us2.cloudbeds.com/connect/10074733072513#/reservations/30681499918498?display=YQU2EE1WY&amp;reservation_id=30681499918498", "YQU2EE1WY")</f>
        <v>YQU2EE1WY</v>
      </c>
      <c r="B3605" t="s">
        <v>1041</v>
      </c>
      <c r="C3605">
        <v>87.2</v>
      </c>
      <c r="D3605">
        <v>94.78</v>
      </c>
      <c r="E3605">
        <v>94.79</v>
      </c>
      <c r="F3605">
        <v>-0.01</v>
      </c>
    </row>
    <row r="3606" spans="1:6" x14ac:dyDescent="0.3">
      <c r="A3606" t="str">
        <f>HYPERLINK("https://us2.cloudbeds.com/connect/10074733072513#/reservations/30682364620948?display=YQUZHXMF6&amp;reservation_id=30682364620948", "YQUZHXMF6")</f>
        <v>YQUZHXMF6</v>
      </c>
      <c r="B3606" t="s">
        <v>1023</v>
      </c>
      <c r="C3606">
        <v>137.76</v>
      </c>
      <c r="D3606">
        <v>149.74</v>
      </c>
      <c r="E3606">
        <v>149.75</v>
      </c>
      <c r="F3606">
        <v>-0.01</v>
      </c>
    </row>
    <row r="3607" spans="1:6" x14ac:dyDescent="0.3">
      <c r="A3607" t="str">
        <f>HYPERLINK("https://us2.cloudbeds.com/connect/10074733072513#/reservations/30682356584692?display=YQUZAQ1W9&amp;reservation_id=30682356584692", "YQUZAQ1W9")</f>
        <v>YQUZAQ1W9</v>
      </c>
      <c r="B3607" t="s">
        <v>1023</v>
      </c>
      <c r="C3607">
        <v>137.76</v>
      </c>
      <c r="D3607">
        <v>149.74</v>
      </c>
      <c r="E3607">
        <v>149.75</v>
      </c>
      <c r="F3607">
        <v>-0.01</v>
      </c>
    </row>
    <row r="3608" spans="1:6" x14ac:dyDescent="0.3">
      <c r="A3608" t="str">
        <f>HYPERLINK("https://us2.cloudbeds.com/connect/10074733072513#/reservations/30682574504150?display=YQUTTHWM7&amp;reservation_id=30682574504150", "YQUTTHWM7")</f>
        <v>YQUTTHWM7</v>
      </c>
      <c r="B3608" t="s">
        <v>1042</v>
      </c>
      <c r="C3608">
        <v>112.24</v>
      </c>
      <c r="D3608">
        <v>121.99</v>
      </c>
      <c r="E3608">
        <v>122</v>
      </c>
      <c r="F3608">
        <v>-0.01</v>
      </c>
    </row>
    <row r="3609" spans="1:6" x14ac:dyDescent="0.3">
      <c r="A3609" t="str">
        <f>HYPERLINK("https://us2.cloudbeds.com/connect/10074733072513#/reservations/30681664454801?display=YQU6Y5HB7&amp;reservation_id=30681664454801", "YQU6Y5HB7")</f>
        <v>YQU6Y5HB7</v>
      </c>
      <c r="B3609" t="s">
        <v>972</v>
      </c>
      <c r="C3609">
        <v>127.2</v>
      </c>
      <c r="D3609">
        <v>138.26</v>
      </c>
      <c r="E3609">
        <v>138.27000000000001</v>
      </c>
      <c r="F3609">
        <v>-0.01</v>
      </c>
    </row>
    <row r="3610" spans="1:6" x14ac:dyDescent="0.3">
      <c r="A3610" t="str">
        <f>HYPERLINK("https://us2.cloudbeds.com/connect/10074733072513#/reservations/30681292071044?display=YQTU45D4V&amp;reservation_id=30681292071044", "YQTU45D4V")</f>
        <v>YQTU45D4V</v>
      </c>
      <c r="B3610" t="s">
        <v>1004</v>
      </c>
      <c r="C3610">
        <v>250.2</v>
      </c>
      <c r="D3610">
        <v>271.95999999999998</v>
      </c>
      <c r="E3610">
        <v>271.97000000000003</v>
      </c>
      <c r="F3610">
        <v>-0.01</v>
      </c>
    </row>
    <row r="3611" spans="1:6" x14ac:dyDescent="0.3">
      <c r="A3611" t="str">
        <f>HYPERLINK("https://us2.cloudbeds.com/connect/10074733072513#/reservations/30681492418755?display=YQU283C5N&amp;reservation_id=30681492418755", "YQU283C5N")</f>
        <v>YQU283C5N</v>
      </c>
      <c r="B3611" t="s">
        <v>1041</v>
      </c>
      <c r="C3611">
        <v>222.4</v>
      </c>
      <c r="D3611">
        <v>241.74</v>
      </c>
      <c r="E3611">
        <v>241.75</v>
      </c>
      <c r="F3611">
        <v>-0.01</v>
      </c>
    </row>
    <row r="3612" spans="1:6" x14ac:dyDescent="0.3">
      <c r="A3612" t="str">
        <f>HYPERLINK("https://us2.cloudbeds.com/connect/10074733072513#/reservations/30682386702537?display=YQUP364D8&amp;reservation_id=30682386702537", "YQUP364D8")</f>
        <v>YQUP364D8</v>
      </c>
      <c r="B3612" t="s">
        <v>998</v>
      </c>
      <c r="C3612">
        <v>134.1</v>
      </c>
      <c r="D3612">
        <v>145.76</v>
      </c>
      <c r="E3612">
        <v>145.77000000000001</v>
      </c>
      <c r="F3612">
        <v>-0.01</v>
      </c>
    </row>
    <row r="3613" spans="1:6" x14ac:dyDescent="0.3">
      <c r="A3613" t="str">
        <f>HYPERLINK("https://us2.cloudbeds.com/connect/10074733072513#/reservations/30681351696567?display=YQTVYEXMW&amp;reservation_id=30681351696567", "YQTVYEXMW")</f>
        <v>YQTVYEXMW</v>
      </c>
      <c r="B3613" t="s">
        <v>1004</v>
      </c>
      <c r="C3613">
        <v>250.2</v>
      </c>
      <c r="D3613">
        <v>271.95999999999998</v>
      </c>
      <c r="E3613">
        <v>271.97000000000003</v>
      </c>
      <c r="F3613">
        <v>-0.01</v>
      </c>
    </row>
    <row r="3614" spans="1:6" x14ac:dyDescent="0.3">
      <c r="A3614" t="str">
        <f>HYPERLINK("https://us2.cloudbeds.com/connect/10074733072513#/reservations/30682417893586?display=YQUPTG2AX&amp;reservation_id=30682417893586", "YQUPTG2AX")</f>
        <v>YQUPTG2AX</v>
      </c>
      <c r="B3614" t="s">
        <v>1045</v>
      </c>
      <c r="C3614">
        <v>93.2</v>
      </c>
      <c r="D3614">
        <v>101.3</v>
      </c>
      <c r="E3614">
        <v>101.31</v>
      </c>
      <c r="F3614">
        <v>-0.01</v>
      </c>
    </row>
    <row r="3615" spans="1:6" x14ac:dyDescent="0.3">
      <c r="A3615" t="str">
        <f>HYPERLINK("https://us2.cloudbeds.com/connect/10074733072513#/reservations/31671675711623?display=MH4PNT491&amp;reservation_id=31671675711623", "MH4PNT491")</f>
        <v>MH4PNT491</v>
      </c>
      <c r="B3615" t="s">
        <v>1032</v>
      </c>
      <c r="C3615">
        <v>452.8</v>
      </c>
      <c r="D3615">
        <v>492.18</v>
      </c>
      <c r="E3615">
        <v>492.19</v>
      </c>
      <c r="F3615">
        <v>-0.01</v>
      </c>
    </row>
    <row r="3616" spans="1:6" x14ac:dyDescent="0.3">
      <c r="A3616" t="str">
        <f>HYPERLINK("https://us2.cloudbeds.com/connect/10074733072513#/reservations/30682316742810?display=YQUNA6D7F&amp;reservation_id=30682316742810", "YQUNA6D7F")</f>
        <v>YQUNA6D7F</v>
      </c>
      <c r="B3616" t="s">
        <v>1048</v>
      </c>
      <c r="C3616">
        <v>87.2</v>
      </c>
      <c r="D3616">
        <v>94.78</v>
      </c>
      <c r="E3616">
        <v>94.79</v>
      </c>
      <c r="F3616">
        <v>-0.01</v>
      </c>
    </row>
    <row r="3617" spans="1:6" x14ac:dyDescent="0.3">
      <c r="A3617" t="str">
        <f>HYPERLINK("https://us2.cloudbeds.com/connect/10074733072513#/reservations/30681404096651?display=YQTWWKMAA&amp;reservation_id=30681404096651", "YQTWWKMAA")</f>
        <v>YQTWWKMAA</v>
      </c>
      <c r="B3617" t="s">
        <v>1049</v>
      </c>
      <c r="C3617">
        <v>182.4</v>
      </c>
      <c r="D3617">
        <v>198.26</v>
      </c>
      <c r="E3617">
        <v>198.27</v>
      </c>
      <c r="F3617">
        <v>-0.01</v>
      </c>
    </row>
    <row r="3618" spans="1:6" x14ac:dyDescent="0.3">
      <c r="A3618" t="str">
        <f>HYPERLINK("https://us2.cloudbeds.com/connect/10074733072513#/reservations/31671747416291?display=MH4RXBDPP&amp;reservation_id=31671747416291", "MH4RXBDPP")</f>
        <v>MH4RXBDPP</v>
      </c>
      <c r="B3618" t="s">
        <v>947</v>
      </c>
      <c r="C3618">
        <v>507.3</v>
      </c>
      <c r="D3618">
        <v>551.42999999999995</v>
      </c>
      <c r="E3618">
        <v>551.44000000000005</v>
      </c>
      <c r="F3618">
        <v>-0.01</v>
      </c>
    </row>
    <row r="3619" spans="1:6" x14ac:dyDescent="0.3">
      <c r="A3619" t="str">
        <f>HYPERLINK("https://us2.cloudbeds.com/connect/10074733072513#/reservations/30682045751533?display=YQUGCMM2Y&amp;reservation_id=30682045751533", "YQUGCMM2Y")</f>
        <v>YQUGCMM2Y</v>
      </c>
      <c r="B3619" t="s">
        <v>1051</v>
      </c>
      <c r="C3619">
        <v>137.76</v>
      </c>
      <c r="D3619">
        <v>149.74</v>
      </c>
      <c r="E3619">
        <v>149.75</v>
      </c>
      <c r="F3619">
        <v>-0.01</v>
      </c>
    </row>
    <row r="3620" spans="1:6" x14ac:dyDescent="0.3">
      <c r="A3620" t="str">
        <f>HYPERLINK("https://us2.cloudbeds.com/connect/10074733072513#/reservations/30681412714733?display=YQU06TG2A&amp;reservation_id=30681412714733", "YQU06TG2A")</f>
        <v>YQU06TG2A</v>
      </c>
      <c r="B3620" t="s">
        <v>1052</v>
      </c>
      <c r="C3620">
        <v>244.56</v>
      </c>
      <c r="D3620">
        <v>265.83</v>
      </c>
      <c r="E3620">
        <v>265.83999999999997</v>
      </c>
      <c r="F3620">
        <v>-0.01</v>
      </c>
    </row>
    <row r="3621" spans="1:6" x14ac:dyDescent="0.3">
      <c r="A3621" t="str">
        <f>HYPERLINK("https://us2.cloudbeds.com/connect/10074733072513#/reservations/30681356734648?display=YQTVPMP13&amp;reservation_id=30681356734648", "YQTVPMP13")</f>
        <v>YQTVPMP13</v>
      </c>
      <c r="B3621" t="s">
        <v>1049</v>
      </c>
      <c r="C3621">
        <v>196.2</v>
      </c>
      <c r="D3621">
        <v>213.26</v>
      </c>
      <c r="E3621">
        <v>213.27</v>
      </c>
      <c r="F3621">
        <v>-0.01</v>
      </c>
    </row>
    <row r="3622" spans="1:6" x14ac:dyDescent="0.3">
      <c r="A3622" t="str">
        <f>HYPERLINK("https://us2.cloudbeds.com/connect/10074733072513#/reservations/30681373692106?display=YQTW6WKKF&amp;reservation_id=30681373692106", "YQTW6WKKF")</f>
        <v>YQTW6WKKF</v>
      </c>
      <c r="B3622" t="s">
        <v>1049</v>
      </c>
      <c r="C3622">
        <v>187.2</v>
      </c>
      <c r="D3622">
        <v>203.48</v>
      </c>
      <c r="E3622">
        <v>203.49</v>
      </c>
      <c r="F3622">
        <v>-0.01</v>
      </c>
    </row>
    <row r="3623" spans="1:6" x14ac:dyDescent="0.3">
      <c r="A3623" t="str">
        <f>HYPERLINK("https://us2.cloudbeds.com/connect/10074733072513#/reservations/30681404100753?display=YQTWWKQ2K&amp;reservation_id=30681404100753", "YQTWWKQ2K")</f>
        <v>YQTWWKQ2K</v>
      </c>
      <c r="B3623" t="s">
        <v>1049</v>
      </c>
      <c r="C3623">
        <v>203.05</v>
      </c>
      <c r="D3623">
        <v>220.71</v>
      </c>
      <c r="E3623">
        <v>220.72</v>
      </c>
      <c r="F3623">
        <v>-0.01</v>
      </c>
    </row>
    <row r="3624" spans="1:6" x14ac:dyDescent="0.3">
      <c r="A3624" t="str">
        <f>HYPERLINK("https://us2.cloudbeds.com/connect/10074733072513#/reservations/30681940979957?display=YQUDNB83D&amp;reservation_id=30681940979957", "YQUDNB83D")</f>
        <v>YQUDNB83D</v>
      </c>
      <c r="B3624" t="s">
        <v>970</v>
      </c>
      <c r="C3624">
        <v>222.4</v>
      </c>
      <c r="D3624">
        <v>241.74</v>
      </c>
      <c r="E3624">
        <v>241.75</v>
      </c>
      <c r="F3624">
        <v>-0.01</v>
      </c>
    </row>
    <row r="3625" spans="1:6" x14ac:dyDescent="0.3">
      <c r="A3625" t="str">
        <f>HYPERLINK("https://us2.cloudbeds.com/connect/10074733072513#/reservations/30681610322050?display=YQU58H6YR&amp;reservation_id=30681610322050", "YQU58H6YR")</f>
        <v>YQU58H6YR</v>
      </c>
      <c r="B3625" t="s">
        <v>972</v>
      </c>
      <c r="C3625">
        <v>137.76</v>
      </c>
      <c r="D3625">
        <v>149.74</v>
      </c>
      <c r="E3625">
        <v>149.75</v>
      </c>
      <c r="F3625">
        <v>-0.01</v>
      </c>
    </row>
    <row r="3626" spans="1:6" x14ac:dyDescent="0.3">
      <c r="A3626" t="str">
        <f>HYPERLINK("https://us2.cloudbeds.com/connect/10074733072513#/reservations/30682155430016?display=YQUJ0K861&amp;reservation_id=30682155430016", "YQUJ0K861")</f>
        <v>YQUJ0K861</v>
      </c>
      <c r="B3626" t="s">
        <v>972</v>
      </c>
      <c r="C3626">
        <v>134.1</v>
      </c>
      <c r="D3626">
        <v>145.76</v>
      </c>
      <c r="E3626">
        <v>145.77000000000001</v>
      </c>
      <c r="F3626">
        <v>-0.01</v>
      </c>
    </row>
    <row r="3627" spans="1:6" x14ac:dyDescent="0.3">
      <c r="A3627" t="str">
        <f>HYPERLINK("https://us2.cloudbeds.com/connect/10074733072513#/reservations/31670113599733?display=MH3XQM233&amp;reservation_id=31670113599733", "MH3XQM233")</f>
        <v>MH3XQM233</v>
      </c>
      <c r="B3627" t="s">
        <v>1040</v>
      </c>
      <c r="C3627">
        <v>127.2</v>
      </c>
      <c r="D3627">
        <v>138.26</v>
      </c>
      <c r="E3627">
        <v>138.27000000000001</v>
      </c>
      <c r="F3627">
        <v>-0.01</v>
      </c>
    </row>
    <row r="3628" spans="1:6" x14ac:dyDescent="0.3">
      <c r="A3628" t="str">
        <f>HYPERLINK("https://us2.cloudbeds.com/connect/10074733072513#/reservations/30681788227762?display=YQU9QHMQ0&amp;reservation_id=30681788227762", "YQU9QHMQ0")</f>
        <v>YQU9QHMQ0</v>
      </c>
      <c r="B3628" t="s">
        <v>969</v>
      </c>
      <c r="C3628">
        <v>357.3</v>
      </c>
      <c r="D3628">
        <v>388.38</v>
      </c>
      <c r="E3628">
        <v>388.39</v>
      </c>
      <c r="F3628">
        <v>-0.01</v>
      </c>
    </row>
    <row r="3629" spans="1:6" x14ac:dyDescent="0.3">
      <c r="A3629" t="str">
        <f>HYPERLINK("https://us2.cloudbeds.com/connect/10074733072513#/reservations/30682100408516?display=YQUHPPJ4S&amp;reservation_id=30682100408516", "YQUHPPJ4S")</f>
        <v>YQUHPPJ4S</v>
      </c>
      <c r="B3629" t="s">
        <v>1058</v>
      </c>
      <c r="C3629">
        <v>87.2</v>
      </c>
      <c r="D3629">
        <v>94.78</v>
      </c>
      <c r="E3629">
        <v>94.79</v>
      </c>
      <c r="F3629">
        <v>-0.01</v>
      </c>
    </row>
    <row r="3630" spans="1:6" x14ac:dyDescent="0.3">
      <c r="A3630" t="str">
        <f>HYPERLINK("https://us2.cloudbeds.com/connect/10074733072513#/reservations/31672026489051?display=MH51MM0V2&amp;reservation_id=31672026489051", "MH51MM0V2")</f>
        <v>MH51MM0V2</v>
      </c>
      <c r="B3630" t="s">
        <v>1054</v>
      </c>
      <c r="C3630">
        <v>250.2</v>
      </c>
      <c r="D3630">
        <v>271.95999999999998</v>
      </c>
      <c r="E3630">
        <v>271.97000000000003</v>
      </c>
      <c r="F3630">
        <v>-0.01</v>
      </c>
    </row>
    <row r="3631" spans="1:6" x14ac:dyDescent="0.3">
      <c r="A3631" t="str">
        <f>HYPERLINK("https://us2.cloudbeds.com/connect/10074733072513#/reservations/30681830723787?display=YQUATC6PA&amp;reservation_id=30681830723787", "YQUATC6PA")</f>
        <v>YQUATC6PA</v>
      </c>
      <c r="B3631" t="s">
        <v>969</v>
      </c>
      <c r="C3631">
        <v>134.1</v>
      </c>
      <c r="D3631">
        <v>145.76</v>
      </c>
      <c r="E3631">
        <v>145.77000000000001</v>
      </c>
      <c r="F3631">
        <v>-0.01</v>
      </c>
    </row>
    <row r="3632" spans="1:6" x14ac:dyDescent="0.3">
      <c r="A3632" t="str">
        <f>HYPERLINK("https://us2.cloudbeds.com/connect/10074733072513#/reservations/30682038956184?display=YQUG6VJ2W&amp;reservation_id=30682038956184", "YQUG6VJ2W")</f>
        <v>YQUG6VJ2W</v>
      </c>
      <c r="B3632" t="s">
        <v>1051</v>
      </c>
      <c r="C3632">
        <v>103.2</v>
      </c>
      <c r="D3632">
        <v>112.17</v>
      </c>
      <c r="E3632">
        <v>112.18</v>
      </c>
      <c r="F3632">
        <v>-0.01</v>
      </c>
    </row>
    <row r="3633" spans="1:6" x14ac:dyDescent="0.3">
      <c r="A3633" t="str">
        <f>HYPERLINK("https://us2.cloudbeds.com/connect/10074733072513#/reservations/30681290285212?display=YQTU2YN8R&amp;reservation_id=30681290285212", "YQTU2YN8R")</f>
        <v>YQTU2YN8R</v>
      </c>
      <c r="B3633" t="s">
        <v>1030</v>
      </c>
      <c r="C3633">
        <v>94.16</v>
      </c>
      <c r="D3633">
        <v>102.34</v>
      </c>
      <c r="E3633">
        <v>102.35</v>
      </c>
      <c r="F3633">
        <v>-0.01</v>
      </c>
    </row>
    <row r="3634" spans="1:6" x14ac:dyDescent="0.3">
      <c r="A3634" t="str">
        <f>HYPERLINK("https://us2.cloudbeds.com/connect/10074733072513#/reservations/30681743728868?display=YQU8M0EKM&amp;reservation_id=30681743728868", "YQU8M0EKM")</f>
        <v>YQU8M0EKM</v>
      </c>
      <c r="B3634" t="s">
        <v>1052</v>
      </c>
      <c r="C3634">
        <v>294.3</v>
      </c>
      <c r="D3634">
        <v>319.89</v>
      </c>
      <c r="E3634">
        <v>319.89999999999998</v>
      </c>
      <c r="F3634">
        <v>-0.01</v>
      </c>
    </row>
    <row r="3635" spans="1:6" x14ac:dyDescent="0.3">
      <c r="A3635" t="str">
        <f>HYPERLINK("https://us2.cloudbeds.com/connect/10074733072513#/reservations/30681839198368?display=YQUB3H0ZR&amp;reservation_id=30681839198368", "YQUB3H0ZR")</f>
        <v>YQUB3H0ZR</v>
      </c>
      <c r="B3635" t="s">
        <v>969</v>
      </c>
      <c r="C3635">
        <v>134.1</v>
      </c>
      <c r="D3635">
        <v>145.76</v>
      </c>
      <c r="E3635">
        <v>145.77000000000001</v>
      </c>
      <c r="F3635">
        <v>-0.01</v>
      </c>
    </row>
    <row r="3636" spans="1:6" x14ac:dyDescent="0.3">
      <c r="A3636" t="str">
        <f>HYPERLINK("https://us2.cloudbeds.com/connect/10074733072513#/reservations/30681993523353?display=YQUF1YBAH&amp;reservation_id=30681993523353", "YQUF1YBAH")</f>
        <v>YQUF1YBAH</v>
      </c>
      <c r="B3636" t="s">
        <v>969</v>
      </c>
      <c r="C3636">
        <v>94.16</v>
      </c>
      <c r="D3636">
        <v>102.34</v>
      </c>
      <c r="E3636">
        <v>102.35</v>
      </c>
      <c r="F3636">
        <v>-0.01</v>
      </c>
    </row>
    <row r="3637" spans="1:6" x14ac:dyDescent="0.3">
      <c r="A3637" t="str">
        <f>HYPERLINK("https://us2.cloudbeds.com/connect/10074733072513#/reservations/31671802302633?display=MH4SVKNF8&amp;reservation_id=31671802302633", "MH4SVKNF8")</f>
        <v>MH4SVKNF8</v>
      </c>
      <c r="B3637" t="s">
        <v>1064</v>
      </c>
      <c r="C3637">
        <v>127.2</v>
      </c>
      <c r="D3637">
        <v>138.26</v>
      </c>
      <c r="E3637">
        <v>138.27000000000001</v>
      </c>
      <c r="F3637">
        <v>-0.01</v>
      </c>
    </row>
    <row r="3638" spans="1:6" x14ac:dyDescent="0.3">
      <c r="A3638" t="str">
        <f>HYPERLINK("https://us2.cloudbeds.com/connect/10074733072513#/reservations/30681966678216?display=YQUEC0B4H&amp;reservation_id=30681966678216", "YQUEC0B4H")</f>
        <v>YQUEC0B4H</v>
      </c>
      <c r="B3638" t="s">
        <v>970</v>
      </c>
      <c r="C3638">
        <v>94.16</v>
      </c>
      <c r="D3638">
        <v>102.34</v>
      </c>
      <c r="E3638">
        <v>102.35</v>
      </c>
      <c r="F3638">
        <v>-0.01</v>
      </c>
    </row>
    <row r="3639" spans="1:6" x14ac:dyDescent="0.3">
      <c r="A3639" t="str">
        <f>HYPERLINK("https://us2.cloudbeds.com/connect/10074733072513#/reservations/30681954926812?display=YQUE23B4C&amp;reservation_id=30681954926812", "YQUE23B4C")</f>
        <v>YQUE23B4C</v>
      </c>
      <c r="B3639" t="s">
        <v>970</v>
      </c>
      <c r="C3639">
        <v>94.16</v>
      </c>
      <c r="D3639">
        <v>102.34</v>
      </c>
      <c r="E3639">
        <v>102.35</v>
      </c>
      <c r="F3639">
        <v>-0.01</v>
      </c>
    </row>
    <row r="3640" spans="1:6" x14ac:dyDescent="0.3">
      <c r="A3640" t="str">
        <f>HYPERLINK("https://us2.cloudbeds.com/connect/10074733072513#/reservations/30681949933699?display=YQUDUTD2U&amp;reservation_id=30681949933699", "YQUDUTD2U")</f>
        <v>YQUDUTD2U</v>
      </c>
      <c r="B3640" t="s">
        <v>970</v>
      </c>
      <c r="C3640">
        <v>94.16</v>
      </c>
      <c r="D3640">
        <v>102.34</v>
      </c>
      <c r="E3640">
        <v>102.35</v>
      </c>
      <c r="F3640">
        <v>-0.01</v>
      </c>
    </row>
    <row r="3641" spans="1:6" x14ac:dyDescent="0.3">
      <c r="A3641" t="str">
        <f>HYPERLINK("https://us2.cloudbeds.com/connect/10074733072513#/reservations/30681469227249?display=YQU1YX10Q&amp;reservation_id=30681469227249", "YQU1YX10Q")</f>
        <v>YQU1YX10Q</v>
      </c>
      <c r="B3641" t="s">
        <v>1063</v>
      </c>
      <c r="C3641">
        <v>134.1</v>
      </c>
      <c r="D3641">
        <v>145.76</v>
      </c>
      <c r="E3641">
        <v>145.77000000000001</v>
      </c>
      <c r="F3641">
        <v>-0.01</v>
      </c>
    </row>
    <row r="3642" spans="1:6" x14ac:dyDescent="0.3">
      <c r="A3642" t="str">
        <f>HYPERLINK("https://us2.cloudbeds.com/connect/10074733072513#/reservations/30681628565697?display=YQU5NTSAK&amp;reservation_id=30681628565697", "YQU5NTSAK")</f>
        <v>YQU5NTSAK</v>
      </c>
      <c r="B3642" t="s">
        <v>1062</v>
      </c>
      <c r="C3642">
        <v>196.2</v>
      </c>
      <c r="D3642">
        <v>213.26</v>
      </c>
      <c r="E3642">
        <v>213.27</v>
      </c>
      <c r="F3642">
        <v>-0.01</v>
      </c>
    </row>
    <row r="3643" spans="1:6" x14ac:dyDescent="0.3">
      <c r="A3643" t="str">
        <f>HYPERLINK("https://us2.cloudbeds.com/connect/10074733072513#/reservations/30681752244479?display=YQU8T6D9G&amp;reservation_id=30681752244479", "YQU8T6D9G")</f>
        <v>YQU8T6D9G</v>
      </c>
      <c r="B3643" t="s">
        <v>1052</v>
      </c>
      <c r="C3643">
        <v>93.2</v>
      </c>
      <c r="D3643">
        <v>101.3</v>
      </c>
      <c r="E3643">
        <v>101.31</v>
      </c>
      <c r="F3643">
        <v>-0.01</v>
      </c>
    </row>
    <row r="3644" spans="1:6" x14ac:dyDescent="0.3">
      <c r="A3644" t="str">
        <f>HYPERLINK("https://us2.cloudbeds.com/connect/10074733072513#/reservations/30681298682098?display=YQTU9ZBTU&amp;reservation_id=30681298682098", "YQTU9ZBTU")</f>
        <v>YQTU9ZBTU</v>
      </c>
      <c r="B3644" t="s">
        <v>1030</v>
      </c>
      <c r="C3644">
        <v>87.2</v>
      </c>
      <c r="D3644">
        <v>94.78</v>
      </c>
      <c r="E3644">
        <v>94.79</v>
      </c>
      <c r="F3644">
        <v>-0.01</v>
      </c>
    </row>
    <row r="3645" spans="1:6" x14ac:dyDescent="0.3">
      <c r="A3645" t="str">
        <f>HYPERLINK("https://us2.cloudbeds.com/connect/10074733072513#/reservations/30681497596138?display=YQU2CFEE3&amp;reservation_id=30681497596138", "YQU2CFEE3")</f>
        <v>YQU2CFEE3</v>
      </c>
      <c r="B3645" t="s">
        <v>1062</v>
      </c>
      <c r="C3645">
        <v>196.2</v>
      </c>
      <c r="D3645">
        <v>213.26</v>
      </c>
      <c r="E3645">
        <v>213.27</v>
      </c>
      <c r="F3645">
        <v>-0.01</v>
      </c>
    </row>
    <row r="3646" spans="1:6" x14ac:dyDescent="0.3">
      <c r="A3646" t="str">
        <f>HYPERLINK("https://us2.cloudbeds.com/connect/10074733072513#/reservations/31672351789305?display=MH59WVWJH&amp;reservation_id=31672351789305", "MH59WVWJH")</f>
        <v>MH59WVWJH</v>
      </c>
      <c r="B3646" t="s">
        <v>1067</v>
      </c>
      <c r="C3646">
        <v>103.2</v>
      </c>
      <c r="D3646">
        <v>112.17</v>
      </c>
      <c r="E3646">
        <v>112.18</v>
      </c>
      <c r="F3646">
        <v>-0.01</v>
      </c>
    </row>
    <row r="3647" spans="1:6" x14ac:dyDescent="0.3">
      <c r="A3647" t="str">
        <f>HYPERLINK("https://us2.cloudbeds.com/connect/10074733072513#/reservations/31674662228100?display=MH7316BYB&amp;reservation_id=31674662228100", "MH7316BYB")</f>
        <v>MH7316BYB</v>
      </c>
      <c r="B3647" t="s">
        <v>982</v>
      </c>
      <c r="C3647">
        <v>118.15</v>
      </c>
      <c r="D3647">
        <v>128.41999999999999</v>
      </c>
      <c r="E3647">
        <v>128.43</v>
      </c>
      <c r="F3647">
        <v>-0.01</v>
      </c>
    </row>
    <row r="3648" spans="1:6" x14ac:dyDescent="0.3">
      <c r="A3648" t="str">
        <f>HYPERLINK("https://us2.cloudbeds.com/connect/10074733072513#/reservations/31671819669713?display=MH4TD8W6D&amp;reservation_id=31671819669713", "MH4TD8W6D")</f>
        <v>MH4TD8W6D</v>
      </c>
      <c r="B3648" t="s">
        <v>947</v>
      </c>
      <c r="C3648">
        <v>219.3</v>
      </c>
      <c r="D3648">
        <v>238.37</v>
      </c>
      <c r="E3648">
        <v>238.38</v>
      </c>
      <c r="F3648">
        <v>-0.01</v>
      </c>
    </row>
    <row r="3649" spans="1:6" x14ac:dyDescent="0.3">
      <c r="A3649" t="str">
        <f>HYPERLINK("https://us2.cloudbeds.com/connect/10074733072513#/reservations/30681290289302?display=YQTU2YR0P&amp;reservation_id=30681290289302", "YQTU2YR0P")</f>
        <v>YQTU2YR0P</v>
      </c>
      <c r="B3649" t="s">
        <v>1015</v>
      </c>
      <c r="C3649">
        <v>87.2</v>
      </c>
      <c r="D3649">
        <v>94.78</v>
      </c>
      <c r="E3649">
        <v>94.79</v>
      </c>
      <c r="F3649">
        <v>-0.01</v>
      </c>
    </row>
    <row r="3650" spans="1:6" x14ac:dyDescent="0.3">
      <c r="A3650" t="str">
        <f>HYPERLINK("https://us2.cloudbeds.com/connect/10074733072513#/reservations/30681710362851?display=YQU7QSWG8&amp;reservation_id=30681710362851", "YQU7QSWG8")</f>
        <v>YQU7QSWG8</v>
      </c>
      <c r="B3650" t="s">
        <v>1066</v>
      </c>
      <c r="C3650">
        <v>93.2</v>
      </c>
      <c r="D3650">
        <v>101.3</v>
      </c>
      <c r="E3650">
        <v>101.31</v>
      </c>
      <c r="F3650">
        <v>-0.01</v>
      </c>
    </row>
    <row r="3651" spans="1:6" x14ac:dyDescent="0.3">
      <c r="A3651" t="str">
        <f>HYPERLINK("https://us2.cloudbeds.com/connect/10074733072513#/reservations/31671607472260?display=MH4NWB8SX&amp;reservation_id=31671607472260", "MH4NWB8SX")</f>
        <v>MH4NWB8SX</v>
      </c>
      <c r="B3651" t="s">
        <v>1040</v>
      </c>
      <c r="C3651">
        <v>94.16</v>
      </c>
      <c r="D3651">
        <v>102.34</v>
      </c>
      <c r="E3651">
        <v>102.35</v>
      </c>
      <c r="F3651">
        <v>-0.01</v>
      </c>
    </row>
    <row r="3652" spans="1:6" x14ac:dyDescent="0.3">
      <c r="A3652" t="str">
        <f>HYPERLINK("https://us2.cloudbeds.com/connect/10074733072513#/reservations/30681635360935?display=YQU5TKV6U&amp;reservation_id=30681635360935", "YQU5TKV6U")</f>
        <v>YQU5TKV6U</v>
      </c>
      <c r="B3652" t="s">
        <v>1062</v>
      </c>
      <c r="C3652">
        <v>174.4</v>
      </c>
      <c r="D3652">
        <v>189.56</v>
      </c>
      <c r="E3652">
        <v>189.57</v>
      </c>
      <c r="F3652">
        <v>-0.01</v>
      </c>
    </row>
    <row r="3653" spans="1:6" x14ac:dyDescent="0.3">
      <c r="A3653" t="str">
        <f>HYPERLINK("https://us2.cloudbeds.com/connect/10074733072513#/reservations/30681296384222?display=YQTU7QDRA&amp;reservation_id=30681296384222", "YQTU7QDRA")</f>
        <v>YQTU7QDRA</v>
      </c>
      <c r="B3653" t="s">
        <v>1004</v>
      </c>
      <c r="C3653">
        <v>250.2</v>
      </c>
      <c r="D3653">
        <v>271.95999999999998</v>
      </c>
      <c r="E3653">
        <v>271.97000000000003</v>
      </c>
      <c r="F3653">
        <v>-0.01</v>
      </c>
    </row>
    <row r="3654" spans="1:6" x14ac:dyDescent="0.3">
      <c r="A3654" t="str">
        <f>HYPERLINK("https://us2.cloudbeds.com/connect/10074733072513#/reservations/31676773757060?display=MH8NWMP1D&amp;reservation_id=31676773757060", "MH8NWMP1D")</f>
        <v>MH8NWMP1D</v>
      </c>
      <c r="B3654" t="s">
        <v>1070</v>
      </c>
      <c r="C3654">
        <v>500.4</v>
      </c>
      <c r="D3654">
        <v>543.91999999999996</v>
      </c>
      <c r="E3654">
        <v>543.92999999999995</v>
      </c>
      <c r="F3654">
        <v>-0.01</v>
      </c>
    </row>
    <row r="3655" spans="1:6" x14ac:dyDescent="0.3">
      <c r="A3655" t="str">
        <f>HYPERLINK("https://us2.cloudbeds.com/connect/10074733072513#/reservations/30681277571232?display=YQTTZUUBN&amp;reservation_id=30681277571232", "YQTTZUUBN")</f>
        <v>YQTTZUUBN</v>
      </c>
      <c r="B3655" t="s">
        <v>1030</v>
      </c>
      <c r="C3655">
        <v>93.2</v>
      </c>
      <c r="D3655">
        <v>101.3</v>
      </c>
      <c r="E3655">
        <v>101.31</v>
      </c>
      <c r="F3655">
        <v>-0.01</v>
      </c>
    </row>
    <row r="3656" spans="1:6" x14ac:dyDescent="0.3">
      <c r="A3656" t="str">
        <f>HYPERLINK("https://us2.cloudbeds.com/connect/10074733072513#/reservations/31672493551804?display=MH5DKGZBR&amp;reservation_id=31672493551804", "MH5DKGZBR")</f>
        <v>MH5DKGZBR</v>
      </c>
      <c r="B3656" t="s">
        <v>1069</v>
      </c>
      <c r="C3656">
        <v>103.2</v>
      </c>
      <c r="D3656">
        <v>112.17</v>
      </c>
      <c r="E3656">
        <v>112.18</v>
      </c>
      <c r="F3656">
        <v>-0.01</v>
      </c>
    </row>
    <row r="3657" spans="1:6" x14ac:dyDescent="0.3">
      <c r="A3657" t="str">
        <f>HYPERLINK("https://us2.cloudbeds.com/connect/10074733072513#/reservations/30681309368542?display=YQTUXZNWX&amp;reservation_id=30681309368542", "YQTUXZNWX")</f>
        <v>YQTUXZNWX</v>
      </c>
      <c r="B3657" t="s">
        <v>1030</v>
      </c>
      <c r="C3657">
        <v>93.2</v>
      </c>
      <c r="D3657">
        <v>101.3</v>
      </c>
      <c r="E3657">
        <v>101.31</v>
      </c>
      <c r="F3657">
        <v>-0.01</v>
      </c>
    </row>
    <row r="3658" spans="1:6" x14ac:dyDescent="0.3">
      <c r="A3658" t="str">
        <f>HYPERLINK("https://us2.cloudbeds.com/connect/10074733072513#/reservations/30681645351129?display=YQU651UV2&amp;reservation_id=30681645351129", "YQU651UV2")</f>
        <v>YQU651UV2</v>
      </c>
      <c r="B3658" t="s">
        <v>1062</v>
      </c>
      <c r="C3658">
        <v>93.2</v>
      </c>
      <c r="D3658">
        <v>101.3</v>
      </c>
      <c r="E3658">
        <v>101.31</v>
      </c>
      <c r="F3658">
        <v>-0.01</v>
      </c>
    </row>
    <row r="3659" spans="1:6" x14ac:dyDescent="0.3">
      <c r="A3659" t="str">
        <f>HYPERLINK("https://us2.cloudbeds.com/connect/10074733072513#/reservations/30681379307669?display=YQTWBNT81&amp;reservation_id=30681379307669", "YQTWBNT81")</f>
        <v>YQTWBNT81</v>
      </c>
      <c r="B3659" t="s">
        <v>1059</v>
      </c>
      <c r="C3659">
        <v>137.76</v>
      </c>
      <c r="D3659">
        <v>149.74</v>
      </c>
      <c r="E3659">
        <v>149.75</v>
      </c>
      <c r="F3659">
        <v>-0.01</v>
      </c>
    </row>
    <row r="3660" spans="1:6" x14ac:dyDescent="0.3">
      <c r="A3660" t="str">
        <f>HYPERLINK("https://us2.cloudbeds.com/connect/10074733072513#/reservations/30681456500934?display=YQU1AQTPT&amp;reservation_id=30681456500934", "YQU1AQTPT")</f>
        <v>YQU1AQTPT</v>
      </c>
      <c r="B3660" t="s">
        <v>1031</v>
      </c>
      <c r="C3660">
        <v>93.2</v>
      </c>
      <c r="D3660">
        <v>101.3</v>
      </c>
      <c r="E3660">
        <v>101.31</v>
      </c>
      <c r="F3660">
        <v>-0.01</v>
      </c>
    </row>
    <row r="3661" spans="1:6" x14ac:dyDescent="0.3">
      <c r="A3661" t="str">
        <f>HYPERLINK("https://us2.cloudbeds.com/connect/10074733072513#/reservations/30681389789329?display=YQTWKXX93&amp;reservation_id=30681389789329", "YQTWKXX93")</f>
        <v>YQTWKXX93</v>
      </c>
      <c r="B3661" t="s">
        <v>1059</v>
      </c>
      <c r="C3661">
        <v>87.2</v>
      </c>
      <c r="D3661">
        <v>94.78</v>
      </c>
      <c r="E3661">
        <v>94.79</v>
      </c>
      <c r="F3661">
        <v>-0.01</v>
      </c>
    </row>
    <row r="3662" spans="1:6" x14ac:dyDescent="0.3">
      <c r="A3662" t="str">
        <f>HYPERLINK("https://us2.cloudbeds.com/connect/10074733072513#/reservations/31671610495203?display=MH4Z1TCZT&amp;reservation_id=31671610495203", "MH4Z1TCZT")</f>
        <v>MH4Z1TCZT</v>
      </c>
      <c r="B3662" t="s">
        <v>947</v>
      </c>
      <c r="C3662">
        <v>103.2</v>
      </c>
      <c r="D3662">
        <v>112.17</v>
      </c>
      <c r="E3662">
        <v>112.18</v>
      </c>
      <c r="F3662">
        <v>-0.01</v>
      </c>
    </row>
    <row r="3663" spans="1:6" x14ac:dyDescent="0.3">
      <c r="A3663" t="str">
        <f>HYPERLINK("https://us2.cloudbeds.com/connect/10074733072513#/reservations/31671566413977?display=MH4MUNP45&amp;reservation_id=31671566413977", "MH4MUNP45")</f>
        <v>MH4MUNP45</v>
      </c>
      <c r="B3663" t="s">
        <v>1040</v>
      </c>
      <c r="C3663">
        <v>134.1</v>
      </c>
      <c r="D3663">
        <v>145.76</v>
      </c>
      <c r="E3663">
        <v>145.77000000000001</v>
      </c>
      <c r="F3663">
        <v>-0.01</v>
      </c>
    </row>
    <row r="3664" spans="1:6" x14ac:dyDescent="0.3">
      <c r="A3664" t="str">
        <f>HYPERLINK("https://us2.cloudbeds.com/connect/10074733072513#/reservations/30681342976130?display=YQTVE2TVA&amp;reservation_id=30681342976130", "YQTVE2TVA")</f>
        <v>YQTVE2TVA</v>
      </c>
      <c r="B3664" t="s">
        <v>1059</v>
      </c>
      <c r="C3664">
        <v>94.16</v>
      </c>
      <c r="D3664">
        <v>102.34</v>
      </c>
      <c r="E3664">
        <v>102.35</v>
      </c>
      <c r="F3664">
        <v>-0.01</v>
      </c>
    </row>
    <row r="3665" spans="1:6" x14ac:dyDescent="0.3">
      <c r="A3665" t="str">
        <f>HYPERLINK("https://us2.cloudbeds.com/connect/10074733072513#/reservations/30681386529014?display=YQTWHQRDM&amp;reservation_id=30681386529014", "YQTWHQRDM")</f>
        <v>YQTWHQRDM</v>
      </c>
      <c r="B3665" t="s">
        <v>1059</v>
      </c>
      <c r="C3665">
        <v>154.88</v>
      </c>
      <c r="D3665">
        <v>168.34</v>
      </c>
      <c r="E3665">
        <v>168.35</v>
      </c>
      <c r="F3665">
        <v>-0.01</v>
      </c>
    </row>
    <row r="3666" spans="1:6" x14ac:dyDescent="0.3">
      <c r="A3666" t="str">
        <f>HYPERLINK("https://us2.cloudbeds.com/connect/10074733072513#/reservations/31671631868119?display=MH4ZJU3V0&amp;reservation_id=31671631868119", "MH4ZJU3V0")</f>
        <v>MH4ZJU3V0</v>
      </c>
      <c r="B3666" t="s">
        <v>947</v>
      </c>
      <c r="C3666">
        <v>94.16</v>
      </c>
      <c r="D3666">
        <v>102.34</v>
      </c>
      <c r="E3666">
        <v>102.35</v>
      </c>
      <c r="F3666">
        <v>-0.01</v>
      </c>
    </row>
    <row r="3667" spans="1:6" x14ac:dyDescent="0.3">
      <c r="A3667" t="str">
        <f>HYPERLINK("https://us2.cloudbeds.com/connect/10074733072513#/reservations/31676546871480?display=MH8X6CAWQ&amp;reservation_id=31676546871480", "MH8X6CAWQ")</f>
        <v>MH8X6CAWQ</v>
      </c>
      <c r="B3667" t="s">
        <v>1065</v>
      </c>
      <c r="C3667">
        <v>143.65</v>
      </c>
      <c r="D3667">
        <v>156.13999999999999</v>
      </c>
      <c r="E3667">
        <v>156.15</v>
      </c>
      <c r="F3667">
        <v>-0.01</v>
      </c>
    </row>
    <row r="3668" spans="1:6" x14ac:dyDescent="0.3">
      <c r="A3668" t="str">
        <f>HYPERLINK("https://us2.cloudbeds.com/connect/10074733072513#/reservations/31672676954251?display=MH5XA55WM&amp;reservation_id=31672676954251", "MH5XA55WM")</f>
        <v>MH5XA55WM</v>
      </c>
      <c r="B3668" t="s">
        <v>1074</v>
      </c>
      <c r="C3668">
        <v>127.2</v>
      </c>
      <c r="D3668">
        <v>138.26</v>
      </c>
      <c r="E3668">
        <v>138.27000000000001</v>
      </c>
      <c r="F3668">
        <v>-0.01</v>
      </c>
    </row>
    <row r="3669" spans="1:6" x14ac:dyDescent="0.3">
      <c r="A3669" t="str">
        <f>HYPERLINK("https://us2.cloudbeds.com/connect/10074733072513#/reservations/31671910711449?display=MH4VZ1BDT&amp;reservation_id=31671910711449", "MH4VZ1BDT")</f>
        <v>MH4VZ1BDT</v>
      </c>
      <c r="B3669" t="s">
        <v>1008</v>
      </c>
      <c r="C3669">
        <v>106.07</v>
      </c>
      <c r="D3669">
        <v>115.29</v>
      </c>
      <c r="E3669">
        <v>115.3</v>
      </c>
      <c r="F3669">
        <v>-0.01</v>
      </c>
    </row>
    <row r="3670" spans="1:6" x14ac:dyDescent="0.3">
      <c r="A3670" t="str">
        <f>HYPERLINK("https://us2.cloudbeds.com/connect/10074733072513#/reservations/31671945318591?display=MH4WK7B85&amp;reservation_id=31671945318591", "MH4WK7B85")</f>
        <v>MH4WK7B85</v>
      </c>
      <c r="B3670" t="s">
        <v>1075</v>
      </c>
      <c r="C3670">
        <v>142.9</v>
      </c>
      <c r="D3670">
        <v>155.32</v>
      </c>
      <c r="E3670">
        <v>155.33000000000001</v>
      </c>
      <c r="F3670">
        <v>-0.01</v>
      </c>
    </row>
    <row r="3671" spans="1:6" x14ac:dyDescent="0.3">
      <c r="A3671" t="str">
        <f>HYPERLINK("https://us2.cloudbeds.com/connect/10074733072513#/reservations/31679000420558?display=MHAET8VES&amp;reservation_id=31679000420558", "MHAET8VES")</f>
        <v>MHAET8VES</v>
      </c>
      <c r="B3671" t="s">
        <v>1079</v>
      </c>
      <c r="C3671">
        <v>546.29999999999995</v>
      </c>
      <c r="D3671">
        <v>593.82000000000005</v>
      </c>
      <c r="E3671">
        <v>593.83000000000004</v>
      </c>
      <c r="F3671">
        <v>-0.01</v>
      </c>
    </row>
    <row r="3672" spans="1:6" x14ac:dyDescent="0.3">
      <c r="A3672" t="str">
        <f>HYPERLINK("https://us2.cloudbeds.com/connect/10074733072513#/reservations/31671824375961?display=MH4TH7UQW&amp;reservation_id=31671824375961", "MH4TH7UQW")</f>
        <v>MH4TH7UQW</v>
      </c>
      <c r="B3672" t="s">
        <v>1080</v>
      </c>
      <c r="C3672">
        <v>196.2</v>
      </c>
      <c r="D3672">
        <v>213.26</v>
      </c>
      <c r="E3672">
        <v>213.27</v>
      </c>
      <c r="F3672">
        <v>-0.01</v>
      </c>
    </row>
    <row r="3673" spans="1:6" x14ac:dyDescent="0.3">
      <c r="A3673" t="str">
        <f>HYPERLINK("https://us2.cloudbeds.com/connect/10074733072513#/reservations/31671915901090?display=MH4VSDZUE&amp;reservation_id=31671915901090", "MH4VSDZUE")</f>
        <v>MH4VSDZUE</v>
      </c>
      <c r="B3673" t="s">
        <v>1032</v>
      </c>
      <c r="C3673">
        <v>268.2</v>
      </c>
      <c r="D3673">
        <v>291.52</v>
      </c>
      <c r="E3673">
        <v>291.52999999999997</v>
      </c>
      <c r="F3673">
        <v>-0.01</v>
      </c>
    </row>
    <row r="3674" spans="1:6" x14ac:dyDescent="0.3">
      <c r="A3674" t="str">
        <f>HYPERLINK("https://us2.cloudbeds.com/connect/10074733072513#/reservations/31671607468160?display=MH4NQBDE1&amp;reservation_id=31671607468160", "MH4NQBDE1")</f>
        <v>MH4NQBDE1</v>
      </c>
      <c r="B3674" t="s">
        <v>1081</v>
      </c>
      <c r="C3674">
        <v>206.64</v>
      </c>
      <c r="D3674">
        <v>224.61</v>
      </c>
      <c r="E3674">
        <v>224.62</v>
      </c>
      <c r="F3674">
        <v>-0.01</v>
      </c>
    </row>
    <row r="3675" spans="1:6" x14ac:dyDescent="0.3">
      <c r="A3675" t="str">
        <f>HYPERLINK("https://us2.cloudbeds.com/connect/10074733072513#/reservations/31671583699171?display=MH4NC9ZYU&amp;reservation_id=31671583699171", "MH4NC9ZYU")</f>
        <v>MH4NC9ZYU</v>
      </c>
      <c r="B3675" t="s">
        <v>1082</v>
      </c>
      <c r="C3675">
        <v>93.2</v>
      </c>
      <c r="D3675">
        <v>101.3</v>
      </c>
      <c r="E3675">
        <v>101.31</v>
      </c>
      <c r="F3675">
        <v>-0.01</v>
      </c>
    </row>
    <row r="3676" spans="1:6" x14ac:dyDescent="0.3">
      <c r="A3676" t="str">
        <f>HYPERLINK("https://us2.cloudbeds.com/connect/10074733072513#/reservations/31672140112048?display=MH54JFZV6&amp;reservation_id=31672140112048", "MH54JFZV6")</f>
        <v>MH54JFZV6</v>
      </c>
      <c r="B3676" t="s">
        <v>1032</v>
      </c>
      <c r="C3676">
        <v>134.1</v>
      </c>
      <c r="D3676">
        <v>145.76</v>
      </c>
      <c r="E3676">
        <v>145.77000000000001</v>
      </c>
      <c r="F3676">
        <v>-0.01</v>
      </c>
    </row>
    <row r="3677" spans="1:6" x14ac:dyDescent="0.3">
      <c r="A3677" t="str">
        <f>HYPERLINK("https://us2.cloudbeds.com/connect/10074733072513#/reservations/31672062578894?display=MH52K399M&amp;reservation_id=31672062578894", "MH52K399M")</f>
        <v>MH52K399M</v>
      </c>
      <c r="B3677" t="s">
        <v>1032</v>
      </c>
      <c r="C3677">
        <v>143.65</v>
      </c>
      <c r="D3677">
        <v>156.13999999999999</v>
      </c>
      <c r="E3677">
        <v>156.15</v>
      </c>
      <c r="F3677">
        <v>-0.01</v>
      </c>
    </row>
    <row r="3678" spans="1:6" x14ac:dyDescent="0.3">
      <c r="A3678" t="str">
        <f>HYPERLINK("https://us2.cloudbeds.com/connect/10074733072513#/reservations/31671922667713?display=MH4W141HU&amp;reservation_id=31671922667713", "MH4W141HU")</f>
        <v>MH4W141HU</v>
      </c>
      <c r="B3678" t="s">
        <v>1032</v>
      </c>
      <c r="C3678">
        <v>268.2</v>
      </c>
      <c r="D3678">
        <v>291.52</v>
      </c>
      <c r="E3678">
        <v>291.52999999999997</v>
      </c>
      <c r="F3678">
        <v>-0.01</v>
      </c>
    </row>
    <row r="3679" spans="1:6" x14ac:dyDescent="0.3">
      <c r="A3679" t="str">
        <f>HYPERLINK("https://us2.cloudbeds.com/connect/10074733072513#/reservations/31671723806867?display=MH4QVEESM&amp;reservation_id=31671723806867", "MH4QVEESM")</f>
        <v>MH4QVEESM</v>
      </c>
      <c r="B3679" t="s">
        <v>1032</v>
      </c>
      <c r="C3679">
        <v>103.2</v>
      </c>
      <c r="D3679">
        <v>112.17</v>
      </c>
      <c r="E3679">
        <v>112.18</v>
      </c>
      <c r="F3679">
        <v>-0.01</v>
      </c>
    </row>
    <row r="3680" spans="1:6" x14ac:dyDescent="0.3">
      <c r="A3680" t="str">
        <f>HYPERLINK("https://us2.cloudbeds.com/connect/10074733072513#/reservations/31672041607393?display=MH522DNNY&amp;reservation_id=31672041607393", "MH522DNNY")</f>
        <v>MH522DNNY</v>
      </c>
      <c r="B3680" t="s">
        <v>1054</v>
      </c>
      <c r="C3680">
        <v>259.2</v>
      </c>
      <c r="D3680">
        <v>281.74</v>
      </c>
      <c r="E3680">
        <v>281.75</v>
      </c>
      <c r="F3680">
        <v>-0.01</v>
      </c>
    </row>
    <row r="3681" spans="1:6" x14ac:dyDescent="0.3">
      <c r="A3681" t="str">
        <f>HYPERLINK("https://us2.cloudbeds.com/connect/10074733072513#/reservations/31672156786905?display=MH550HP0T&amp;reservation_id=31672156786905", "MH550HP0T")</f>
        <v>MH550HP0T</v>
      </c>
      <c r="B3681" t="s">
        <v>1032</v>
      </c>
      <c r="C3681">
        <v>141.49</v>
      </c>
      <c r="D3681">
        <v>153.79</v>
      </c>
      <c r="E3681">
        <v>153.80000000000001</v>
      </c>
      <c r="F3681">
        <v>-0.01</v>
      </c>
    </row>
    <row r="3682" spans="1:6" x14ac:dyDescent="0.3">
      <c r="A3682" t="str">
        <f>HYPERLINK("https://us2.cloudbeds.com/connect/10074733072513#/reservations/31672149586116?display=MH54RFCZ5&amp;reservation_id=31672149586116", "MH54RFCZ5")</f>
        <v>MH54RFCZ5</v>
      </c>
      <c r="B3682" t="s">
        <v>1032</v>
      </c>
      <c r="C3682">
        <v>94.16</v>
      </c>
      <c r="D3682">
        <v>102.34</v>
      </c>
      <c r="E3682">
        <v>102.35</v>
      </c>
      <c r="F3682">
        <v>-0.01</v>
      </c>
    </row>
    <row r="3683" spans="1:6" x14ac:dyDescent="0.3">
      <c r="A3683" t="str">
        <f>HYPERLINK("https://us2.cloudbeds.com/connect/10074733072513#/reservations/31674439479499?display=MH6UBC1FZ&amp;reservation_id=31674439479499", "MH6UBC1FZ")</f>
        <v>MH6UBC1FZ</v>
      </c>
      <c r="B3683" t="s">
        <v>1085</v>
      </c>
      <c r="C3683">
        <v>118.15</v>
      </c>
      <c r="D3683">
        <v>128.41999999999999</v>
      </c>
      <c r="E3683">
        <v>128.43</v>
      </c>
      <c r="F3683">
        <v>-0.01</v>
      </c>
    </row>
    <row r="3684" spans="1:6" x14ac:dyDescent="0.3">
      <c r="A3684" t="str">
        <f>HYPERLINK("https://us2.cloudbeds.com/connect/10074733072513#/reservations/31672020721799?display=MH51HQX0S&amp;reservation_id=31672020721799", "MH51HQX0S")</f>
        <v>MH51HQX0S</v>
      </c>
      <c r="B3684" t="s">
        <v>1054</v>
      </c>
      <c r="C3684">
        <v>118.15</v>
      </c>
      <c r="D3684">
        <v>128.41999999999999</v>
      </c>
      <c r="E3684">
        <v>128.43</v>
      </c>
      <c r="F3684">
        <v>-0.01</v>
      </c>
    </row>
    <row r="3685" spans="1:6" x14ac:dyDescent="0.3">
      <c r="A3685" t="str">
        <f>HYPERLINK("https://us2.cloudbeds.com/connect/10074733072513#/reservations/31671848591545?display=MH4U4YPBX&amp;reservation_id=31671848591545", "MH4U4YPBX")</f>
        <v>MH4U4YPBX</v>
      </c>
      <c r="B3685" t="s">
        <v>1080</v>
      </c>
      <c r="C3685">
        <v>196.2</v>
      </c>
      <c r="D3685">
        <v>213.26</v>
      </c>
      <c r="E3685">
        <v>213.27</v>
      </c>
      <c r="F3685">
        <v>-0.01</v>
      </c>
    </row>
    <row r="3686" spans="1:6" x14ac:dyDescent="0.3">
      <c r="A3686" t="str">
        <f>HYPERLINK("https://us2.cloudbeds.com/connect/10074733072513#/reservations/31672169668746?display=MH55BD72N&amp;reservation_id=31672169668746", "MH55BD72N")</f>
        <v>MH55BD72N</v>
      </c>
      <c r="B3686" t="s">
        <v>1032</v>
      </c>
      <c r="C3686">
        <v>134.1</v>
      </c>
      <c r="D3686">
        <v>145.76</v>
      </c>
      <c r="E3686">
        <v>145.77000000000001</v>
      </c>
      <c r="F3686">
        <v>-0.01</v>
      </c>
    </row>
    <row r="3687" spans="1:6" x14ac:dyDescent="0.3">
      <c r="A3687" t="str">
        <f>HYPERLINK("https://us2.cloudbeds.com/connect/10074733072513#/reservations/31672286294216?display=MH58AZG5S&amp;reservation_id=31672286294216", "MH58AZG5S")</f>
        <v>MH58AZG5S</v>
      </c>
      <c r="B3687" t="s">
        <v>1053</v>
      </c>
      <c r="C3687">
        <v>103.2</v>
      </c>
      <c r="D3687">
        <v>112.17</v>
      </c>
      <c r="E3687">
        <v>112.18</v>
      </c>
      <c r="F3687">
        <v>-0.01</v>
      </c>
    </row>
    <row r="3688" spans="1:6" x14ac:dyDescent="0.3">
      <c r="A3688" t="str">
        <f>HYPERLINK("https://us2.cloudbeds.com/connect/10074733072513#/reservations/31672484311201?display=MH5DCNJVX&amp;reservation_id=31672484311201", "MH5DCNJVX")</f>
        <v>MH5DCNJVX</v>
      </c>
      <c r="B3688" t="s">
        <v>1089</v>
      </c>
      <c r="C3688">
        <v>87.2</v>
      </c>
      <c r="D3688">
        <v>94.78</v>
      </c>
      <c r="E3688">
        <v>94.79</v>
      </c>
      <c r="F3688">
        <v>-0.01</v>
      </c>
    </row>
    <row r="3689" spans="1:6" x14ac:dyDescent="0.3">
      <c r="A3689" t="str">
        <f>HYPERLINK("https://us2.cloudbeds.com/connect/10074733072513#/reservations/31671962050812?display=MH501AV05&amp;reservation_id=31671962050812", "MH501AV05")</f>
        <v>MH501AV05</v>
      </c>
      <c r="B3689" t="s">
        <v>1091</v>
      </c>
      <c r="C3689">
        <v>174.4</v>
      </c>
      <c r="D3689">
        <v>189.56</v>
      </c>
      <c r="E3689">
        <v>189.57</v>
      </c>
      <c r="F3689">
        <v>-0.01</v>
      </c>
    </row>
    <row r="3690" spans="1:6" x14ac:dyDescent="0.3">
      <c r="A3690" t="str">
        <f>HYPERLINK("https://us2.cloudbeds.com/connect/10074733072513#/reservations/31671955902635?display=MH4WT4S9P&amp;reservation_id=31671955902635", "MH4WT4S9P")</f>
        <v>MH4WT4S9P</v>
      </c>
      <c r="B3690" t="s">
        <v>1091</v>
      </c>
      <c r="C3690">
        <v>196.2</v>
      </c>
      <c r="D3690">
        <v>213.26</v>
      </c>
      <c r="E3690">
        <v>213.27</v>
      </c>
      <c r="F3690">
        <v>-0.01</v>
      </c>
    </row>
    <row r="3691" spans="1:6" x14ac:dyDescent="0.3">
      <c r="A3691" t="str">
        <f>HYPERLINK("https://us2.cloudbeds.com/connect/10074733072513#/reservations/31672685727992?display=MH5XHXAMM&amp;reservation_id=31672685727992", "MH5XHXAMM")</f>
        <v>MH5XHXAMM</v>
      </c>
      <c r="B3691" t="s">
        <v>1074</v>
      </c>
      <c r="C3691">
        <v>143.65</v>
      </c>
      <c r="D3691">
        <v>156.13999999999999</v>
      </c>
      <c r="E3691">
        <v>156.15</v>
      </c>
      <c r="F3691">
        <v>-0.01</v>
      </c>
    </row>
    <row r="3692" spans="1:6" x14ac:dyDescent="0.3">
      <c r="A3692" t="str">
        <f>HYPERLINK("https://us2.cloudbeds.com/connect/10074733072513#/reservations/31678917738646?display=MHACPX6RC&amp;reservation_id=31678917738646", "MHACPX6RC")</f>
        <v>MHACPX6RC</v>
      </c>
      <c r="B3692" t="s">
        <v>1079</v>
      </c>
      <c r="C3692">
        <v>304.2</v>
      </c>
      <c r="D3692">
        <v>330.66</v>
      </c>
      <c r="E3692">
        <v>330.67</v>
      </c>
      <c r="F3692">
        <v>-0.01</v>
      </c>
    </row>
    <row r="3693" spans="1:6" x14ac:dyDescent="0.3">
      <c r="A3693" t="str">
        <f>HYPERLINK("https://us2.cloudbeds.com/connect/10074733072513#/reservations/31673353838774?display=MH62JUG6V&amp;reservation_id=31673353838774", "MH62JUG6V")</f>
        <v>MH62JUG6V</v>
      </c>
      <c r="B3693" t="s">
        <v>1028</v>
      </c>
      <c r="C3693">
        <v>103.2</v>
      </c>
      <c r="D3693">
        <v>112.17</v>
      </c>
      <c r="E3693">
        <v>112.18</v>
      </c>
      <c r="F3693">
        <v>-0.01</v>
      </c>
    </row>
    <row r="3694" spans="1:6" x14ac:dyDescent="0.3">
      <c r="A3694" t="str">
        <f>HYPERLINK("https://us2.cloudbeds.com/connect/10074733072513#/reservations/31672328900763?display=MH59DM2YB&amp;reservation_id=31672328900763", "MH59DM2YB")</f>
        <v>MH59DM2YB</v>
      </c>
      <c r="B3694" t="s">
        <v>1067</v>
      </c>
      <c r="C3694">
        <v>250.2</v>
      </c>
      <c r="D3694">
        <v>271.95999999999998</v>
      </c>
      <c r="E3694">
        <v>271.97000000000003</v>
      </c>
      <c r="F3694">
        <v>-0.01</v>
      </c>
    </row>
    <row r="3695" spans="1:6" x14ac:dyDescent="0.3">
      <c r="A3695" t="str">
        <f>HYPERLINK("https://us2.cloudbeds.com/connect/10074733072513#/reservations/31673519259874?display=MH66RDJ1X&amp;reservation_id=31673519259874", "MH66RDJ1X")</f>
        <v>MH66RDJ1X</v>
      </c>
      <c r="B3695" t="s">
        <v>1093</v>
      </c>
      <c r="C3695">
        <v>134.1</v>
      </c>
      <c r="D3695">
        <v>145.76</v>
      </c>
      <c r="E3695">
        <v>145.77000000000001</v>
      </c>
      <c r="F3695">
        <v>-0.01</v>
      </c>
    </row>
    <row r="3696" spans="1:6" x14ac:dyDescent="0.3">
      <c r="A3696" t="str">
        <f>HYPERLINK("https://us2.cloudbeds.com/connect/10074733072513#/reservations/31672339808470?display=MH59MSJTU&amp;reservation_id=31672339808470", "MH59MSJTU")</f>
        <v>MH59MSJTU</v>
      </c>
      <c r="B3696" t="s">
        <v>1067</v>
      </c>
      <c r="C3696">
        <v>137.76</v>
      </c>
      <c r="D3696">
        <v>149.74</v>
      </c>
      <c r="E3696">
        <v>149.75</v>
      </c>
      <c r="F3696">
        <v>-0.01</v>
      </c>
    </row>
    <row r="3697" spans="1:6" x14ac:dyDescent="0.3">
      <c r="A3697" t="str">
        <f>HYPERLINK("https://us2.cloudbeds.com/connect/10074733072513#/reservations/31672384368852?display=MH5AREXHH&amp;reservation_id=31672384368852", "MH5AREXHH")</f>
        <v>MH5AREXHH</v>
      </c>
      <c r="B3697" t="s">
        <v>1067</v>
      </c>
      <c r="C3697">
        <v>134.1</v>
      </c>
      <c r="D3697">
        <v>145.76</v>
      </c>
      <c r="E3697">
        <v>145.77000000000001</v>
      </c>
      <c r="F3697">
        <v>-0.01</v>
      </c>
    </row>
    <row r="3698" spans="1:6" x14ac:dyDescent="0.3">
      <c r="A3698" t="str">
        <f>HYPERLINK("https://us2.cloudbeds.com/connect/10074733072513#/reservations/31673311060121?display=MH61GS3N4&amp;reservation_id=31673311060121", "MH61GS3N4")</f>
        <v>MH61GS3N4</v>
      </c>
      <c r="B3698" t="s">
        <v>981</v>
      </c>
      <c r="C3698">
        <v>103.2</v>
      </c>
      <c r="D3698">
        <v>112.17</v>
      </c>
      <c r="E3698">
        <v>112.18</v>
      </c>
      <c r="F3698">
        <v>-0.01</v>
      </c>
    </row>
    <row r="3699" spans="1:6" x14ac:dyDescent="0.3">
      <c r="A3699" t="str">
        <f>HYPERLINK("https://us2.cloudbeds.com/connect/10074733072513#/reservations/31671824371862?display=MH4TH7R1P&amp;reservation_id=31671824371862", "MH4TH7R1P")</f>
        <v>MH4TH7R1P</v>
      </c>
      <c r="B3699" t="s">
        <v>1028</v>
      </c>
      <c r="C3699">
        <v>268.2</v>
      </c>
      <c r="D3699">
        <v>291.52</v>
      </c>
      <c r="E3699">
        <v>291.52999999999997</v>
      </c>
      <c r="F3699">
        <v>-0.01</v>
      </c>
    </row>
    <row r="3700" spans="1:6" x14ac:dyDescent="0.3">
      <c r="A3700" t="str">
        <f>HYPERLINK("https://us2.cloudbeds.com/connect/10074733072513#/reservations/31672299315357?display=MH58YNR4T&amp;reservation_id=31672299315357", "MH58YNR4T")</f>
        <v>MH58YNR4T</v>
      </c>
      <c r="B3700" t="s">
        <v>1053</v>
      </c>
      <c r="C3700">
        <v>66.040000000000006</v>
      </c>
      <c r="D3700">
        <v>71.78</v>
      </c>
      <c r="E3700">
        <v>71.790000000000006</v>
      </c>
      <c r="F3700">
        <v>-0.01</v>
      </c>
    </row>
    <row r="3701" spans="1:6" x14ac:dyDescent="0.3">
      <c r="A3701" t="str">
        <f>HYPERLINK("https://us2.cloudbeds.com/connect/10074733072513#/reservations/31672120455367?display=MH542TPZ6&amp;reservation_id=31672120455367", "MH542TPZ6")</f>
        <v>MH542TPZ6</v>
      </c>
      <c r="B3701" t="s">
        <v>1077</v>
      </c>
      <c r="C3701">
        <v>225.6</v>
      </c>
      <c r="D3701">
        <v>245.22</v>
      </c>
      <c r="E3701">
        <v>245.23</v>
      </c>
      <c r="F3701">
        <v>-0.01</v>
      </c>
    </row>
    <row r="3702" spans="1:6" x14ac:dyDescent="0.3">
      <c r="A3702" t="str">
        <f>HYPERLINK("https://us2.cloudbeds.com/connect/10074733072513#/reservations/31672342061296?display=MH59ZP9KC&amp;reservation_id=31672342061296", "MH59ZP9KC")</f>
        <v>MH59ZP9KC</v>
      </c>
      <c r="B3702" t="s">
        <v>1077</v>
      </c>
      <c r="C3702">
        <v>94.16</v>
      </c>
      <c r="D3702">
        <v>102.34</v>
      </c>
      <c r="E3702">
        <v>102.35</v>
      </c>
      <c r="F3702">
        <v>-0.01</v>
      </c>
    </row>
    <row r="3703" spans="1:6" x14ac:dyDescent="0.3">
      <c r="A3703" t="str">
        <f>HYPERLINK("https://us2.cloudbeds.com/connect/10074733072513#/reservations/31671808565394?display=MH4T3TWCR&amp;reservation_id=31671808565394", "MH4T3TWCR")</f>
        <v>MH4T3TWCR</v>
      </c>
      <c r="B3703" t="s">
        <v>1077</v>
      </c>
      <c r="C3703">
        <v>419.4</v>
      </c>
      <c r="D3703">
        <v>455.88</v>
      </c>
      <c r="E3703">
        <v>455.89</v>
      </c>
      <c r="F3703">
        <v>-0.01</v>
      </c>
    </row>
    <row r="3704" spans="1:6" x14ac:dyDescent="0.3">
      <c r="A3704" t="str">
        <f>HYPERLINK("https://us2.cloudbeds.com/connect/10074733072513#/reservations/31672831340780?display=MH5M8B72D&amp;reservation_id=31672831340780", "MH5M8B72D")</f>
        <v>MH5M8B72D</v>
      </c>
      <c r="B3704" t="s">
        <v>1096</v>
      </c>
      <c r="C3704">
        <v>196.2</v>
      </c>
      <c r="D3704">
        <v>213.26</v>
      </c>
      <c r="E3704">
        <v>213.27</v>
      </c>
      <c r="F3704">
        <v>-0.01</v>
      </c>
    </row>
    <row r="3705" spans="1:6" x14ac:dyDescent="0.3">
      <c r="A3705" t="str">
        <f>HYPERLINK("https://us2.cloudbeds.com/connect/10074733072513#/reservations/31672422379656?display=MH5BQG8S2&amp;reservation_id=31672422379656", "MH5BQG8S2")</f>
        <v>MH5BQG8S2</v>
      </c>
      <c r="B3705" t="s">
        <v>1095</v>
      </c>
      <c r="C3705">
        <v>87.2</v>
      </c>
      <c r="D3705">
        <v>94.78</v>
      </c>
      <c r="E3705">
        <v>94.79</v>
      </c>
      <c r="F3705">
        <v>-0.01</v>
      </c>
    </row>
    <row r="3706" spans="1:6" x14ac:dyDescent="0.3">
      <c r="A3706" t="str">
        <f>HYPERLINK("https://us2.cloudbeds.com/connect/10074733072513#/reservations/31672176283861?display=MH55GW9XZ&amp;reservation_id=31672176283861", "MH55GW9XZ")</f>
        <v>MH55GW9XZ</v>
      </c>
      <c r="B3706" t="s">
        <v>1068</v>
      </c>
      <c r="C3706">
        <v>87.2</v>
      </c>
      <c r="D3706">
        <v>94.78</v>
      </c>
      <c r="E3706">
        <v>94.79</v>
      </c>
      <c r="F3706">
        <v>-0.01</v>
      </c>
    </row>
    <row r="3707" spans="1:6" x14ac:dyDescent="0.3">
      <c r="A3707" t="str">
        <f>HYPERLINK("https://us2.cloudbeds.com/connect/10074733072513#/reservations/31672169672836?display=MH55BDARY&amp;reservation_id=31672169672836", "MH55BDARY")</f>
        <v>MH55BDARY</v>
      </c>
      <c r="B3707" t="s">
        <v>1068</v>
      </c>
      <c r="C3707">
        <v>87.2</v>
      </c>
      <c r="D3707">
        <v>94.78</v>
      </c>
      <c r="E3707">
        <v>94.79</v>
      </c>
      <c r="F3707">
        <v>-0.01</v>
      </c>
    </row>
    <row r="3708" spans="1:6" x14ac:dyDescent="0.3">
      <c r="A3708" t="str">
        <f>HYPERLINK("https://us2.cloudbeds.com/connect/10074733072513#/reservations/31673322475723?display=MH61QFPBF&amp;reservation_id=31673322475723", "MH61QFPBF")</f>
        <v>MH61QFPBF</v>
      </c>
      <c r="B3708" t="s">
        <v>981</v>
      </c>
      <c r="C3708">
        <v>127.2</v>
      </c>
      <c r="D3708">
        <v>138.26</v>
      </c>
      <c r="E3708">
        <v>138.27000000000001</v>
      </c>
      <c r="F3708">
        <v>-0.01</v>
      </c>
    </row>
    <row r="3709" spans="1:6" x14ac:dyDescent="0.3">
      <c r="A3709" t="str">
        <f>HYPERLINK("https://us2.cloudbeds.com/connect/10074733072513#/reservations/31672201429148?display=MH5655WR4&amp;reservation_id=31672201429148", "MH5655WR4")</f>
        <v>MH5655WR4</v>
      </c>
      <c r="B3709" t="s">
        <v>1077</v>
      </c>
      <c r="C3709">
        <v>259.2</v>
      </c>
      <c r="D3709">
        <v>281.74</v>
      </c>
      <c r="E3709">
        <v>281.75</v>
      </c>
      <c r="F3709">
        <v>-0.01</v>
      </c>
    </row>
    <row r="3710" spans="1:6" x14ac:dyDescent="0.3">
      <c r="A3710" t="str">
        <f>HYPERLINK("https://us2.cloudbeds.com/connect/10074733072513#/reservations/31672620945604?display=MH5GSUYNW&amp;reservation_id=31672620945604", "MH5GSUYNW")</f>
        <v>MH5GSUYNW</v>
      </c>
      <c r="B3710" t="s">
        <v>1098</v>
      </c>
      <c r="C3710">
        <v>174.4</v>
      </c>
      <c r="D3710">
        <v>189.56</v>
      </c>
      <c r="E3710">
        <v>189.57</v>
      </c>
      <c r="F3710">
        <v>-0.01</v>
      </c>
    </row>
    <row r="3711" spans="1:6" x14ac:dyDescent="0.3">
      <c r="A3711" t="str">
        <f>HYPERLINK("https://us2.cloudbeds.com/connect/10074733072513#/reservations/31673510928537?display=MH66KCZJQ&amp;reservation_id=31673510928537", "MH66KCZJQ")</f>
        <v>MH66KCZJQ</v>
      </c>
      <c r="B3711" t="s">
        <v>1071</v>
      </c>
      <c r="C3711">
        <v>134.1</v>
      </c>
      <c r="D3711">
        <v>145.76</v>
      </c>
      <c r="E3711">
        <v>145.77000000000001</v>
      </c>
      <c r="F3711">
        <v>-0.01</v>
      </c>
    </row>
    <row r="3712" spans="1:6" x14ac:dyDescent="0.3">
      <c r="A3712" t="str">
        <f>HYPERLINK("https://us2.cloudbeds.com/connect/10074733072513#/reservations/31671770316947?display=MH4S4YYS1&amp;reservation_id=31671770316947", "MH4S4YYS1")</f>
        <v>MH4S4YYS1</v>
      </c>
      <c r="B3712" t="s">
        <v>1064</v>
      </c>
      <c r="C3712">
        <v>118.15</v>
      </c>
      <c r="D3712">
        <v>128.41999999999999</v>
      </c>
      <c r="E3712">
        <v>128.43</v>
      </c>
      <c r="F3712">
        <v>-0.01</v>
      </c>
    </row>
    <row r="3713" spans="1:6" x14ac:dyDescent="0.3">
      <c r="A3713" t="str">
        <f>HYPERLINK("https://us2.cloudbeds.com/connect/10074733072513#/reservations/31672886083806?display=MH5NYGH4W&amp;reservation_id=31672886083806", "MH5NYGH4W")</f>
        <v>MH5NYGH4W</v>
      </c>
      <c r="B3713" t="s">
        <v>1088</v>
      </c>
      <c r="C3713">
        <v>275.52</v>
      </c>
      <c r="D3713">
        <v>299.48</v>
      </c>
      <c r="E3713">
        <v>299.49</v>
      </c>
      <c r="F3713">
        <v>-0.01</v>
      </c>
    </row>
    <row r="3714" spans="1:6" x14ac:dyDescent="0.3">
      <c r="A3714" t="str">
        <f>HYPERLINK("https://us2.cloudbeds.com/connect/10074733072513#/reservations/31672130973912?display=MH54BPFKW&amp;reservation_id=31672130973912", "MH54BPFKW")</f>
        <v>MH54BPFKW</v>
      </c>
      <c r="B3714" t="s">
        <v>1077</v>
      </c>
      <c r="C3714">
        <v>451.2</v>
      </c>
      <c r="D3714">
        <v>490.44</v>
      </c>
      <c r="E3714">
        <v>490.45</v>
      </c>
      <c r="F3714">
        <v>-0.01</v>
      </c>
    </row>
    <row r="3715" spans="1:6" x14ac:dyDescent="0.3">
      <c r="A3715" t="str">
        <f>HYPERLINK("https://us2.cloudbeds.com/connect/10074733072513#/reservations/31672463683799?display=MH5CSAKBP&amp;reservation_id=31672463683799", "MH5CSAKBP")</f>
        <v>MH5CSAKBP</v>
      </c>
      <c r="B3715" t="s">
        <v>1089</v>
      </c>
      <c r="C3715">
        <v>93.2</v>
      </c>
      <c r="D3715">
        <v>101.3</v>
      </c>
      <c r="E3715">
        <v>101.31</v>
      </c>
      <c r="F3715">
        <v>-0.01</v>
      </c>
    </row>
    <row r="3716" spans="1:6" x14ac:dyDescent="0.3">
      <c r="A3716" t="str">
        <f>HYPERLINK("https://us2.cloudbeds.com/connect/10074733072513#/reservations/31672385462471?display=MH5ASBWPG&amp;reservation_id=31672385462471", "MH5ASBWPG")</f>
        <v>MH5ASBWPG</v>
      </c>
      <c r="B3716" t="s">
        <v>1077</v>
      </c>
      <c r="C3716">
        <v>94.16</v>
      </c>
      <c r="D3716">
        <v>102.34</v>
      </c>
      <c r="E3716">
        <v>102.35</v>
      </c>
      <c r="F3716">
        <v>-0.01</v>
      </c>
    </row>
    <row r="3717" spans="1:6" x14ac:dyDescent="0.3">
      <c r="A3717" t="str">
        <f>HYPERLINK("https://us2.cloudbeds.com/connect/10074733072513#/reservations/31671879544992?display=MH4UUP32Q&amp;reservation_id=31671879544992", "MH4UUP32Q")</f>
        <v>MH4UUP32Q</v>
      </c>
      <c r="B3717" t="s">
        <v>1028</v>
      </c>
      <c r="C3717">
        <v>250.2</v>
      </c>
      <c r="D3717">
        <v>271.95999999999998</v>
      </c>
      <c r="E3717">
        <v>271.97000000000003</v>
      </c>
      <c r="F3717">
        <v>-0.01</v>
      </c>
    </row>
    <row r="3718" spans="1:6" x14ac:dyDescent="0.3">
      <c r="A3718" t="str">
        <f>HYPERLINK("https://us2.cloudbeds.com/connect/10074733072513#/reservations/31672535457929?display=MH5EMRRYD&amp;reservation_id=31672535457929", "MH5EMRRYD")</f>
        <v>MH5EMRRYD</v>
      </c>
      <c r="B3718" t="s">
        <v>1069</v>
      </c>
      <c r="C3718">
        <v>179.25</v>
      </c>
      <c r="D3718">
        <v>194.83</v>
      </c>
      <c r="E3718">
        <v>194.84</v>
      </c>
      <c r="F3718">
        <v>-0.01</v>
      </c>
    </row>
    <row r="3719" spans="1:6" x14ac:dyDescent="0.3">
      <c r="A3719" t="str">
        <f>HYPERLINK("https://us2.cloudbeds.com/connect/10074733072513#/reservations/31672576979089?display=MH5FZS7EC&amp;reservation_id=31672576979089", "MH5FZS7EC")</f>
        <v>MH5FZS7EC</v>
      </c>
      <c r="B3719" t="s">
        <v>1069</v>
      </c>
      <c r="C3719">
        <v>72.72</v>
      </c>
      <c r="D3719">
        <v>79.040000000000006</v>
      </c>
      <c r="E3719">
        <v>79.05</v>
      </c>
      <c r="F3719">
        <v>-0.01</v>
      </c>
    </row>
    <row r="3720" spans="1:6" x14ac:dyDescent="0.3">
      <c r="A3720" t="str">
        <f>HYPERLINK("https://us2.cloudbeds.com/connect/10074733072513#/reservations/31689491353822?display=MHXXVGKWF&amp;reservation_id=31689491353822", "MHXXVGKWF")</f>
        <v>MHXXVGKWF</v>
      </c>
      <c r="B3720" t="s">
        <v>974</v>
      </c>
      <c r="C3720">
        <v>250.2</v>
      </c>
      <c r="D3720">
        <v>271.95999999999998</v>
      </c>
      <c r="E3720">
        <v>271.97000000000003</v>
      </c>
      <c r="F3720">
        <v>-0.01</v>
      </c>
    </row>
    <row r="3721" spans="1:6" x14ac:dyDescent="0.3">
      <c r="A3721" t="str">
        <f>HYPERLINK("https://us2.cloudbeds.com/connect/10074733072513#/reservations/31672694321287?display=MH5XZQEMX&amp;reservation_id=31672694321287", "MH5XZQEMX")</f>
        <v>MH5XZQEMX</v>
      </c>
      <c r="B3721" t="s">
        <v>1103</v>
      </c>
      <c r="C3721">
        <v>294.3</v>
      </c>
      <c r="D3721">
        <v>319.89</v>
      </c>
      <c r="E3721">
        <v>319.89999999999998</v>
      </c>
      <c r="F3721">
        <v>-0.01</v>
      </c>
    </row>
    <row r="3722" spans="1:6" x14ac:dyDescent="0.3">
      <c r="A3722" t="str">
        <f>HYPERLINK("https://us2.cloudbeds.com/connect/10074733072513#/reservations/31676695638232?display=MH8YWQWJ6&amp;reservation_id=31676695638232", "MH8YWQWJ6")</f>
        <v>MH8YWQWJ6</v>
      </c>
      <c r="B3722" t="s">
        <v>1070</v>
      </c>
      <c r="C3722">
        <v>375.3</v>
      </c>
      <c r="D3722">
        <v>407.94</v>
      </c>
      <c r="E3722">
        <v>407.95</v>
      </c>
      <c r="F3722">
        <v>-0.01</v>
      </c>
    </row>
    <row r="3723" spans="1:6" x14ac:dyDescent="0.3">
      <c r="A3723" t="str">
        <f>HYPERLINK("https://us2.cloudbeds.com/connect/10074733072513#/reservations/31673406136539?display=MH63V0ZSN&amp;reservation_id=31673406136539", "MH63V0ZSN")</f>
        <v>MH63V0ZSN</v>
      </c>
      <c r="B3723" t="s">
        <v>1106</v>
      </c>
      <c r="C3723">
        <v>222.4</v>
      </c>
      <c r="D3723">
        <v>241.74</v>
      </c>
      <c r="E3723">
        <v>241.75</v>
      </c>
      <c r="F3723">
        <v>-0.01</v>
      </c>
    </row>
    <row r="3724" spans="1:6" x14ac:dyDescent="0.3">
      <c r="A3724" t="str">
        <f>HYPERLINK("https://us2.cloudbeds.com/connect/10074733072513#/reservations/31689063706843?display=MHX80TZ13&amp;reservation_id=31689063706843", "MHX80TZ13")</f>
        <v>MHX80TZ13</v>
      </c>
      <c r="B3724" t="s">
        <v>974</v>
      </c>
      <c r="C3724">
        <v>250.2</v>
      </c>
      <c r="D3724">
        <v>271.95999999999998</v>
      </c>
      <c r="E3724">
        <v>271.97000000000003</v>
      </c>
      <c r="F3724">
        <v>-0.01</v>
      </c>
    </row>
    <row r="3725" spans="1:6" x14ac:dyDescent="0.3">
      <c r="A3725" t="str">
        <f>HYPERLINK("https://us2.cloudbeds.com/connect/10074733072513#/reservations/31689137234053?display=MHX9TTZ4C&amp;reservation_id=31689137234053", "MHX9TTZ4C")</f>
        <v>MHX9TTZ4C</v>
      </c>
      <c r="B3725" t="s">
        <v>974</v>
      </c>
      <c r="C3725">
        <v>250.2</v>
      </c>
      <c r="D3725">
        <v>271.95999999999998</v>
      </c>
      <c r="E3725">
        <v>271.97000000000003</v>
      </c>
      <c r="F3725">
        <v>-0.01</v>
      </c>
    </row>
    <row r="3726" spans="1:6" x14ac:dyDescent="0.3">
      <c r="A3726" t="str">
        <f>HYPERLINK("https://us2.cloudbeds.com/connect/10074733072513#/reservations/31675341045957?display=MH7KCJF6E&amp;reservation_id=31675341045957", "MH7KCJF6E")</f>
        <v>MH7KCJF6E</v>
      </c>
      <c r="B3726" t="s">
        <v>1108</v>
      </c>
      <c r="C3726">
        <v>277.2</v>
      </c>
      <c r="D3726">
        <v>301.31</v>
      </c>
      <c r="E3726">
        <v>301.32</v>
      </c>
      <c r="F3726">
        <v>-0.01</v>
      </c>
    </row>
    <row r="3727" spans="1:6" x14ac:dyDescent="0.3">
      <c r="A3727" t="str">
        <f>HYPERLINK("https://us2.cloudbeds.com/connect/10074733072513#/reservations/31675332698293?display=MH7K5X5ZU&amp;reservation_id=31675332698293", "MH7K5X5ZU")</f>
        <v>MH7K5X5ZU</v>
      </c>
      <c r="B3727" t="s">
        <v>1109</v>
      </c>
      <c r="C3727">
        <v>304.2</v>
      </c>
      <c r="D3727">
        <v>330.66</v>
      </c>
      <c r="E3727">
        <v>330.67</v>
      </c>
      <c r="F3727">
        <v>-0.01</v>
      </c>
    </row>
    <row r="3728" spans="1:6" x14ac:dyDescent="0.3">
      <c r="A3728" t="str">
        <f>HYPERLINK("https://us2.cloudbeds.com/connect/10074733072513#/reservations/31672541868259?display=MH5ES872R&amp;reservation_id=31672541868259", "MH5ES872R")</f>
        <v>MH5ES872R</v>
      </c>
      <c r="B3728" t="s">
        <v>1069</v>
      </c>
      <c r="C3728">
        <v>254.4</v>
      </c>
      <c r="D3728">
        <v>276.52</v>
      </c>
      <c r="E3728">
        <v>276.52999999999997</v>
      </c>
      <c r="F3728">
        <v>-0.01</v>
      </c>
    </row>
    <row r="3729" spans="1:6" x14ac:dyDescent="0.3">
      <c r="A3729" t="str">
        <f>HYPERLINK("https://us2.cloudbeds.com/connect/10074733072513#/reservations/31673384378521?display=MH63CMA1N&amp;reservation_id=31673384378521", "MH63CMA1N")</f>
        <v>MH63CMA1N</v>
      </c>
      <c r="B3729" t="s">
        <v>1028</v>
      </c>
      <c r="C3729">
        <v>268.2</v>
      </c>
      <c r="D3729">
        <v>291.52</v>
      </c>
      <c r="E3729">
        <v>291.52999999999997</v>
      </c>
      <c r="F3729">
        <v>-0.01</v>
      </c>
    </row>
    <row r="3730" spans="1:6" x14ac:dyDescent="0.3">
      <c r="A3730" t="str">
        <f>HYPERLINK("https://us2.cloudbeds.com/connect/10074733072513#/reservations/31672930930939?display=MH5ZQAF30&amp;reservation_id=31672930930939", "MH5ZQAF30")</f>
        <v>MH5ZQAF30</v>
      </c>
      <c r="B3730" t="s">
        <v>1088</v>
      </c>
      <c r="C3730">
        <v>94.16</v>
      </c>
      <c r="D3730">
        <v>102.34</v>
      </c>
      <c r="E3730">
        <v>102.35</v>
      </c>
      <c r="F3730">
        <v>-0.01</v>
      </c>
    </row>
    <row r="3731" spans="1:6" x14ac:dyDescent="0.3">
      <c r="A3731" t="str">
        <f>HYPERLINK("https://us2.cloudbeds.com/connect/10074733072513#/reservations/31672671703236?display=MH5X5Z242&amp;reservation_id=31672671703236", "MH5X5Z242")</f>
        <v>MH5X5Z242</v>
      </c>
      <c r="B3731" t="s">
        <v>1074</v>
      </c>
      <c r="C3731">
        <v>304.2</v>
      </c>
      <c r="D3731">
        <v>330.66</v>
      </c>
      <c r="E3731">
        <v>330.67</v>
      </c>
      <c r="F3731">
        <v>-0.01</v>
      </c>
    </row>
    <row r="3732" spans="1:6" x14ac:dyDescent="0.3">
      <c r="A3732" t="str">
        <f>HYPERLINK("https://us2.cloudbeds.com/connect/10074733072513#/reservations/31671922663619?display=MH4W13UPS&amp;reservation_id=31671922663619", "MH4W13UPS")</f>
        <v>MH4W13UPS</v>
      </c>
      <c r="B3732" t="s">
        <v>1028</v>
      </c>
      <c r="C3732">
        <v>268.2</v>
      </c>
      <c r="D3732">
        <v>291.52</v>
      </c>
      <c r="E3732">
        <v>291.52999999999997</v>
      </c>
      <c r="F3732">
        <v>-0.01</v>
      </c>
    </row>
    <row r="3733" spans="1:6" x14ac:dyDescent="0.3">
      <c r="A3733" t="str">
        <f>HYPERLINK("https://us2.cloudbeds.com/connect/10074733072513#/reservations/31673470202007?display=MH65J1FGH&amp;reservation_id=31673470202007", "MH65J1FGH")</f>
        <v>MH65J1FGH</v>
      </c>
      <c r="B3733" t="s">
        <v>1028</v>
      </c>
      <c r="C3733">
        <v>94.16</v>
      </c>
      <c r="D3733">
        <v>102.34</v>
      </c>
      <c r="E3733">
        <v>102.35</v>
      </c>
      <c r="F3733">
        <v>-0.01</v>
      </c>
    </row>
    <row r="3734" spans="1:6" x14ac:dyDescent="0.3">
      <c r="A3734" t="str">
        <f>HYPERLINK("https://us2.cloudbeds.com/connect/10074733072513#/reservations/31673464414459?display=MH65E5DV9&amp;reservation_id=31673464414459", "MH65E5DV9")</f>
        <v>MH65E5DV9</v>
      </c>
      <c r="B3734" t="s">
        <v>1028</v>
      </c>
      <c r="C3734">
        <v>94.16</v>
      </c>
      <c r="D3734">
        <v>102.34</v>
      </c>
      <c r="E3734">
        <v>102.35</v>
      </c>
      <c r="F3734">
        <v>-0.01</v>
      </c>
    </row>
    <row r="3735" spans="1:6" x14ac:dyDescent="0.3">
      <c r="A3735" t="str">
        <f>HYPERLINK("https://us2.cloudbeds.com/connect/10074733072513#/reservations/31673454723278?display=MH655WZQ4&amp;reservation_id=31673454723278", "MH655WZQ4")</f>
        <v>MH655WZQ4</v>
      </c>
      <c r="B3735" t="s">
        <v>1028</v>
      </c>
      <c r="C3735">
        <v>94.16</v>
      </c>
      <c r="D3735">
        <v>102.34</v>
      </c>
      <c r="E3735">
        <v>102.35</v>
      </c>
      <c r="F3735">
        <v>-0.01</v>
      </c>
    </row>
    <row r="3736" spans="1:6" x14ac:dyDescent="0.3">
      <c r="A3736" t="str">
        <f>HYPERLINK("https://us2.cloudbeds.com/connect/10074733072513#/reservations/31673411473645?display=MH642H8Q6&amp;reservation_id=31673411473645", "MH642H8Q6")</f>
        <v>MH642H8Q6</v>
      </c>
      <c r="B3736" t="s">
        <v>1028</v>
      </c>
      <c r="C3736">
        <v>94.16</v>
      </c>
      <c r="D3736">
        <v>102.34</v>
      </c>
      <c r="E3736">
        <v>102.35</v>
      </c>
      <c r="F3736">
        <v>-0.01</v>
      </c>
    </row>
    <row r="3737" spans="1:6" x14ac:dyDescent="0.3">
      <c r="A3737" t="str">
        <f>HYPERLINK("https://us2.cloudbeds.com/connect/10074733072513#/reservations/31672056164531?display=MH52EMQ51&amp;reservation_id=31672056164531", "MH52EMQ51")</f>
        <v>MH52EMQ51</v>
      </c>
      <c r="B3737" t="s">
        <v>1117</v>
      </c>
      <c r="C3737">
        <v>196.2</v>
      </c>
      <c r="D3737">
        <v>213.26</v>
      </c>
      <c r="E3737">
        <v>213.27</v>
      </c>
      <c r="F3737">
        <v>-0.01</v>
      </c>
    </row>
    <row r="3738" spans="1:6" x14ac:dyDescent="0.3">
      <c r="A3738" t="str">
        <f>HYPERLINK("https://us2.cloudbeds.com/connect/10074733072513#/reservations/31689378660546?display=MHXG2FPNN&amp;reservation_id=31689378660546", "MHXG2FPNN")</f>
        <v>MHXG2FPNN</v>
      </c>
      <c r="B3738" t="s">
        <v>1118</v>
      </c>
      <c r="C3738">
        <v>232.5</v>
      </c>
      <c r="D3738">
        <v>252.72</v>
      </c>
      <c r="E3738">
        <v>252.73</v>
      </c>
      <c r="F3738">
        <v>-0.01</v>
      </c>
    </row>
    <row r="3739" spans="1:6" x14ac:dyDescent="0.3">
      <c r="A3739" t="str">
        <f>HYPERLINK("https://us2.cloudbeds.com/connect/10074733072513#/reservations/31672139415767?display=MH54XTCXP&amp;reservation_id=31672139415767", "MH54XTCXP")</f>
        <v>MH54XTCXP</v>
      </c>
      <c r="B3739" t="s">
        <v>1119</v>
      </c>
      <c r="C3739">
        <v>225.6</v>
      </c>
      <c r="D3739">
        <v>245.22</v>
      </c>
      <c r="E3739">
        <v>245.23</v>
      </c>
      <c r="F3739">
        <v>-0.01</v>
      </c>
    </row>
    <row r="3740" spans="1:6" x14ac:dyDescent="0.3">
      <c r="A3740" t="str">
        <f>HYPERLINK("https://us2.cloudbeds.com/connect/10074733072513#/reservations/31689387970806?display=MHXGAAS2Q&amp;reservation_id=31689387970806", "MHXGAAS2Q")</f>
        <v>MHXGAAS2Q</v>
      </c>
      <c r="B3740" t="s">
        <v>1118</v>
      </c>
      <c r="C3740">
        <v>232.5</v>
      </c>
      <c r="D3740">
        <v>252.72</v>
      </c>
      <c r="E3740">
        <v>252.73</v>
      </c>
      <c r="F3740">
        <v>-0.01</v>
      </c>
    </row>
    <row r="3741" spans="1:6" x14ac:dyDescent="0.3">
      <c r="A3741" t="str">
        <f>HYPERLINK("https://us2.cloudbeds.com/connect/10074733072513#/reservations/31689374859443?display=MHXFW908P&amp;reservation_id=31689374859443", "MHXFW908P")</f>
        <v>MHXFW908P</v>
      </c>
      <c r="B3741" t="s">
        <v>1118</v>
      </c>
      <c r="C3741">
        <v>232.5</v>
      </c>
      <c r="D3741">
        <v>252.72</v>
      </c>
      <c r="E3741">
        <v>252.73</v>
      </c>
      <c r="F3741">
        <v>-0.01</v>
      </c>
    </row>
    <row r="3742" spans="1:6" x14ac:dyDescent="0.3">
      <c r="A3742" t="str">
        <f>HYPERLINK("https://us2.cloudbeds.com/connect/10074733072513#/reservations/31672607260868?display=MH5GHCSD1&amp;reservation_id=31672607260868", "MH5GHCSD1")</f>
        <v>MH5GHCSD1</v>
      </c>
      <c r="B3742" t="s">
        <v>1120</v>
      </c>
      <c r="C3742">
        <v>174.4</v>
      </c>
      <c r="D3742">
        <v>189.56</v>
      </c>
      <c r="E3742">
        <v>189.57</v>
      </c>
      <c r="F3742">
        <v>-0.01</v>
      </c>
    </row>
    <row r="3743" spans="1:6" x14ac:dyDescent="0.3">
      <c r="A3743" t="str">
        <f>HYPERLINK("https://us2.cloudbeds.com/connect/10074733072513#/reservations/31671881474198?display=MH4UWCPKJ&amp;reservation_id=31671881474198", "MH4UWCPKJ")</f>
        <v>MH4UWCPKJ</v>
      </c>
      <c r="B3743" t="s">
        <v>1028</v>
      </c>
      <c r="C3743">
        <v>134.1</v>
      </c>
      <c r="D3743">
        <v>145.76</v>
      </c>
      <c r="E3743">
        <v>145.77000000000001</v>
      </c>
      <c r="F3743">
        <v>-0.01</v>
      </c>
    </row>
    <row r="3744" spans="1:6" x14ac:dyDescent="0.3">
      <c r="A3744" t="str">
        <f>HYPERLINK("https://us2.cloudbeds.com/connect/10074733072513#/reservations/31689397080217?display=MHXGX0B0H&amp;reservation_id=31689397080217", "MHXGX0B0H")</f>
        <v>MHXGX0B0H</v>
      </c>
      <c r="B3744" t="s">
        <v>1118</v>
      </c>
      <c r="C3744">
        <v>232.5</v>
      </c>
      <c r="D3744">
        <v>252.72</v>
      </c>
      <c r="E3744">
        <v>252.73</v>
      </c>
      <c r="F3744">
        <v>-0.01</v>
      </c>
    </row>
    <row r="3745" spans="1:6" x14ac:dyDescent="0.3">
      <c r="A3745" t="str">
        <f>HYPERLINK("https://us2.cloudbeds.com/connect/10074733072513#/reservations/31674319610061?display=MH6R99GHH&amp;reservation_id=31674319610061", "MH6R99GHH")</f>
        <v>MH6R99GHH</v>
      </c>
      <c r="B3745" t="s">
        <v>1122</v>
      </c>
      <c r="C3745">
        <v>196.2</v>
      </c>
      <c r="D3745">
        <v>213.26</v>
      </c>
      <c r="E3745">
        <v>213.27</v>
      </c>
      <c r="F3745">
        <v>-0.01</v>
      </c>
    </row>
    <row r="3746" spans="1:6" x14ac:dyDescent="0.3">
      <c r="A3746" t="str">
        <f>HYPERLINK("https://us2.cloudbeds.com/connect/10074733072513#/reservations/31673721577609?display=MH6C00C30&amp;reservation_id=31673721577609", "MH6C00C30")</f>
        <v>MH6C00C30</v>
      </c>
      <c r="B3746" t="s">
        <v>1122</v>
      </c>
      <c r="C3746">
        <v>196.2</v>
      </c>
      <c r="D3746">
        <v>213.26</v>
      </c>
      <c r="E3746">
        <v>213.27</v>
      </c>
      <c r="F3746">
        <v>-0.01</v>
      </c>
    </row>
    <row r="3747" spans="1:6" x14ac:dyDescent="0.3">
      <c r="A3747" t="str">
        <f>HYPERLINK("https://us2.cloudbeds.com/connect/10074733072513#/reservations/31688248737940?display=MHHK6N0XZ&amp;reservation_id=31688248737940", "MHHK6N0XZ")</f>
        <v>MHHK6N0XZ</v>
      </c>
      <c r="B3747" t="s">
        <v>1118</v>
      </c>
      <c r="C3747">
        <v>232.5</v>
      </c>
      <c r="D3747">
        <v>252.72</v>
      </c>
      <c r="E3747">
        <v>252.73</v>
      </c>
      <c r="F3747">
        <v>-0.01</v>
      </c>
    </row>
    <row r="3748" spans="1:6" x14ac:dyDescent="0.3">
      <c r="A3748" t="str">
        <f>HYPERLINK("https://us2.cloudbeds.com/connect/10074733072513#/reservations/31673335996655?display=MH624T08M&amp;reservation_id=31673335996655", "MH624T08M")</f>
        <v>MH624T08M</v>
      </c>
      <c r="B3748" t="s">
        <v>981</v>
      </c>
      <c r="C3748">
        <v>304.2</v>
      </c>
      <c r="D3748">
        <v>330.66</v>
      </c>
      <c r="E3748">
        <v>330.67</v>
      </c>
      <c r="F3748">
        <v>-0.01</v>
      </c>
    </row>
    <row r="3749" spans="1:6" x14ac:dyDescent="0.3">
      <c r="A3749" t="str">
        <f>HYPERLINK("https://us2.cloudbeds.com/connect/10074733072513#/reservations/31673067004126?display=MH5S91TGU&amp;reservation_id=31673067004126", "MH5S91TGU")</f>
        <v>MH5S91TGU</v>
      </c>
      <c r="B3749" t="s">
        <v>1123</v>
      </c>
      <c r="C3749">
        <v>187.2</v>
      </c>
      <c r="D3749">
        <v>203.48</v>
      </c>
      <c r="E3749">
        <v>203.49</v>
      </c>
      <c r="F3749">
        <v>-0.01</v>
      </c>
    </row>
    <row r="3750" spans="1:6" x14ac:dyDescent="0.3">
      <c r="A3750" t="str">
        <f>HYPERLINK("https://us2.cloudbeds.com/connect/10074733072513#/reservations/31688248742038?display=MHHK6N4AU&amp;reservation_id=31688248742038", "MHHK6N4AU")</f>
        <v>MHHK6N4AU</v>
      </c>
      <c r="B3750" t="s">
        <v>1118</v>
      </c>
      <c r="C3750">
        <v>232.5</v>
      </c>
      <c r="D3750">
        <v>252.72</v>
      </c>
      <c r="E3750">
        <v>252.73</v>
      </c>
      <c r="F3750">
        <v>-0.01</v>
      </c>
    </row>
    <row r="3751" spans="1:6" x14ac:dyDescent="0.3">
      <c r="A3751" t="str">
        <f>HYPERLINK("https://us2.cloudbeds.com/connect/10074733072513#/reservations/31675619274948?display=MH7RG6JHW&amp;reservation_id=31675619274948", "MH7RG6JHW")</f>
        <v>MH7RG6JHW</v>
      </c>
      <c r="B3751" t="s">
        <v>1101</v>
      </c>
      <c r="C3751">
        <v>250.2</v>
      </c>
      <c r="D3751">
        <v>271.95999999999998</v>
      </c>
      <c r="E3751">
        <v>271.97000000000003</v>
      </c>
      <c r="F3751">
        <v>-0.01</v>
      </c>
    </row>
    <row r="3752" spans="1:6" x14ac:dyDescent="0.3">
      <c r="A3752" t="str">
        <f>HYPERLINK("https://us2.cloudbeds.com/connect/10074733072513#/reservations/31674078646480?display=MH6Y43B0R&amp;reservation_id=31674078646480", "MH6Y43B0R")</f>
        <v>MH6Y43B0R</v>
      </c>
      <c r="B3752" t="s">
        <v>1129</v>
      </c>
      <c r="C3752">
        <v>134.1</v>
      </c>
      <c r="D3752">
        <v>145.76</v>
      </c>
      <c r="E3752">
        <v>145.77000000000001</v>
      </c>
      <c r="F3752">
        <v>-0.01</v>
      </c>
    </row>
    <row r="3753" spans="1:6" x14ac:dyDescent="0.3">
      <c r="A3753" t="str">
        <f>HYPERLINK("https://us2.cloudbeds.com/connect/10074733072513#/reservations/31673727545574?display=MH6C51EAE&amp;reservation_id=31673727545574", "MH6C51EAE")</f>
        <v>MH6C51EAE</v>
      </c>
      <c r="B3753" t="s">
        <v>1101</v>
      </c>
      <c r="C3753">
        <v>304.2</v>
      </c>
      <c r="D3753">
        <v>330.66</v>
      </c>
      <c r="E3753">
        <v>330.67</v>
      </c>
      <c r="F3753">
        <v>-0.01</v>
      </c>
    </row>
    <row r="3754" spans="1:6" x14ac:dyDescent="0.3">
      <c r="A3754" t="str">
        <f>HYPERLINK("https://us2.cloudbeds.com/connect/10074733072513#/reservations/31673412649145?display=MH643GW7D&amp;reservation_id=31673412649145", "MH643GW7D")</f>
        <v>MH643GW7D</v>
      </c>
      <c r="B3754" t="s">
        <v>1106</v>
      </c>
      <c r="C3754">
        <v>222.4</v>
      </c>
      <c r="D3754">
        <v>241.74</v>
      </c>
      <c r="E3754">
        <v>241.75</v>
      </c>
      <c r="F3754">
        <v>-0.01</v>
      </c>
    </row>
    <row r="3755" spans="1:6" x14ac:dyDescent="0.3">
      <c r="A3755" t="str">
        <f>HYPERLINK("https://us2.cloudbeds.com/connect/10074733072513#/reservations/31672837181581?display=MH5MD8ZHC&amp;reservation_id=31672837181581", "MH5MD8ZHC")</f>
        <v>MH5MD8ZHC</v>
      </c>
      <c r="B3755" t="s">
        <v>1094</v>
      </c>
      <c r="C3755">
        <v>244.56</v>
      </c>
      <c r="D3755">
        <v>265.83</v>
      </c>
      <c r="E3755">
        <v>265.83999999999997</v>
      </c>
      <c r="F3755">
        <v>-0.01</v>
      </c>
    </row>
    <row r="3756" spans="1:6" x14ac:dyDescent="0.3">
      <c r="A3756" t="str">
        <f>HYPERLINK("https://us2.cloudbeds.com/connect/10074733072513#/reservations/31673818775693?display=MH6EFW1HG&amp;reservation_id=31673818775693", "MH6EFW1HG")</f>
        <v>MH6EFW1HG</v>
      </c>
      <c r="B3756" t="s">
        <v>1124</v>
      </c>
      <c r="C3756">
        <v>401.92</v>
      </c>
      <c r="D3756">
        <v>436.88</v>
      </c>
      <c r="E3756">
        <v>436.89</v>
      </c>
      <c r="F3756">
        <v>-0.01</v>
      </c>
    </row>
    <row r="3757" spans="1:6" x14ac:dyDescent="0.3">
      <c r="A3757" t="str">
        <f>HYPERLINK("https://us2.cloudbeds.com/connect/10074733072513#/reservations/31672680362139?display=MH5XD10C2&amp;reservation_id=31672680362139", "MH5XD10C2")</f>
        <v>MH5XD10C2</v>
      </c>
      <c r="B3757" t="s">
        <v>1132</v>
      </c>
      <c r="C3757">
        <v>196.2</v>
      </c>
      <c r="D3757">
        <v>213.26</v>
      </c>
      <c r="E3757">
        <v>213.27</v>
      </c>
      <c r="F3757">
        <v>-0.01</v>
      </c>
    </row>
    <row r="3758" spans="1:6" x14ac:dyDescent="0.3">
      <c r="A3758" t="str">
        <f>HYPERLINK("https://us2.cloudbeds.com/connect/10074733072513#/reservations/31673814253770?display=MH6EC575H&amp;reservation_id=31673814253770", "MH6EC575H")</f>
        <v>MH6EC575H</v>
      </c>
      <c r="B3758" t="s">
        <v>1131</v>
      </c>
      <c r="C3758">
        <v>94.16</v>
      </c>
      <c r="D3758">
        <v>102.34</v>
      </c>
      <c r="E3758">
        <v>102.35</v>
      </c>
      <c r="F3758">
        <v>-0.01</v>
      </c>
    </row>
    <row r="3759" spans="1:6" x14ac:dyDescent="0.3">
      <c r="A3759" t="str">
        <f>HYPERLINK("https://us2.cloudbeds.com/connect/10074733072513#/reservations/31673314537666?display=MH61JPT19&amp;reservation_id=31673314537666", "MH61JPT19")</f>
        <v>MH61JPT19</v>
      </c>
      <c r="B3759" t="s">
        <v>981</v>
      </c>
      <c r="C3759">
        <v>222.4</v>
      </c>
      <c r="D3759">
        <v>241.74</v>
      </c>
      <c r="E3759">
        <v>241.75</v>
      </c>
      <c r="F3759">
        <v>-0.01</v>
      </c>
    </row>
    <row r="3760" spans="1:6" x14ac:dyDescent="0.3">
      <c r="A3760" t="str">
        <f>HYPERLINK("https://us2.cloudbeds.com/connect/10074733072513#/reservations/31673531998367?display=MH67551FG&amp;reservation_id=31673531998367", "MH67551FG")</f>
        <v>MH67551FG</v>
      </c>
      <c r="B3760" t="s">
        <v>1107</v>
      </c>
      <c r="C3760">
        <v>137.76</v>
      </c>
      <c r="D3760">
        <v>149.74</v>
      </c>
      <c r="E3760">
        <v>149.75</v>
      </c>
      <c r="F3760">
        <v>-0.01</v>
      </c>
    </row>
    <row r="3761" spans="1:6" x14ac:dyDescent="0.3">
      <c r="A3761" t="str">
        <f>HYPERLINK("https://us2.cloudbeds.com/connect/10074733072513#/reservations/31672727666832?display=MH5JJUB0K&amp;reservation_id=31672727666832", "MH5JJUB0K")</f>
        <v>MH5JJUB0K</v>
      </c>
      <c r="B3761" t="s">
        <v>1132</v>
      </c>
      <c r="C3761">
        <v>93.2</v>
      </c>
      <c r="D3761">
        <v>101.3</v>
      </c>
      <c r="E3761">
        <v>101.31</v>
      </c>
      <c r="F3761">
        <v>-0.01</v>
      </c>
    </row>
    <row r="3762" spans="1:6" x14ac:dyDescent="0.3">
      <c r="A3762" t="str">
        <f>HYPERLINK("https://us2.cloudbeds.com/connect/10074733072513#/reservations/31673521602780?display=MH66TCPFM&amp;reservation_id=31673521602780", "MH66TCPFM")</f>
        <v>MH66TCPFM</v>
      </c>
      <c r="B3762" t="s">
        <v>1128</v>
      </c>
      <c r="C3762">
        <v>118.15</v>
      </c>
      <c r="D3762">
        <v>128.41999999999999</v>
      </c>
      <c r="E3762">
        <v>128.43</v>
      </c>
      <c r="F3762">
        <v>-0.01</v>
      </c>
    </row>
    <row r="3763" spans="1:6" x14ac:dyDescent="0.3">
      <c r="A3763" t="str">
        <f>HYPERLINK("https://us2.cloudbeds.com/connect/10074733072513#/reservations/31673275236502?display=MH60JY8QU&amp;reservation_id=31673275236502", "MH60JY8QU")</f>
        <v>MH60JY8QU</v>
      </c>
      <c r="B3763" t="s">
        <v>981</v>
      </c>
      <c r="C3763">
        <v>250.2</v>
      </c>
      <c r="D3763">
        <v>271.95999999999998</v>
      </c>
      <c r="E3763">
        <v>271.97000000000003</v>
      </c>
      <c r="F3763">
        <v>-0.01</v>
      </c>
    </row>
    <row r="3764" spans="1:6" x14ac:dyDescent="0.3">
      <c r="A3764" t="str">
        <f>HYPERLINK("https://us2.cloudbeds.com/connect/10074733072513#/reservations/31677959778520?display=MH9Y9PX9Y&amp;reservation_id=31677959778520", "MH9Y9PX9Y")</f>
        <v>MH9Y9PX9Y</v>
      </c>
      <c r="B3764" t="s">
        <v>1137</v>
      </c>
      <c r="C3764">
        <v>152.15</v>
      </c>
      <c r="D3764">
        <v>165.38</v>
      </c>
      <c r="E3764">
        <v>165.39</v>
      </c>
      <c r="F3764">
        <v>-0.01</v>
      </c>
    </row>
    <row r="3765" spans="1:6" x14ac:dyDescent="0.3">
      <c r="A3765" t="str">
        <f>HYPERLINK("https://us2.cloudbeds.com/connect/10074733072513#/reservations/31673362313452?display=MH62R2A9C&amp;reservation_id=31673362313452", "MH62R2A9C")</f>
        <v>MH62R2A9C</v>
      </c>
      <c r="B3765" t="s">
        <v>1106</v>
      </c>
      <c r="C3765">
        <v>333.6</v>
      </c>
      <c r="D3765">
        <v>362.61</v>
      </c>
      <c r="E3765">
        <v>362.62</v>
      </c>
      <c r="F3765">
        <v>-0.01</v>
      </c>
    </row>
    <row r="3766" spans="1:6" x14ac:dyDescent="0.3">
      <c r="A3766" t="str">
        <f>HYPERLINK("https://us2.cloudbeds.com/connect/10074733072513#/reservations/31674357620943?display=MH6S8B6UE&amp;reservation_id=31674357620943", "MH6S8B6UE")</f>
        <v>MH6S8B6UE</v>
      </c>
      <c r="B3766" t="s">
        <v>1085</v>
      </c>
      <c r="C3766">
        <v>333.6</v>
      </c>
      <c r="D3766">
        <v>362.61</v>
      </c>
      <c r="E3766">
        <v>362.62</v>
      </c>
      <c r="F3766">
        <v>-0.01</v>
      </c>
    </row>
    <row r="3767" spans="1:6" x14ac:dyDescent="0.3">
      <c r="A3767" t="str">
        <f>HYPERLINK("https://us2.cloudbeds.com/connect/10074733072513#/reservations/31675626963170?display=MH7RMMHED&amp;reservation_id=31675626963170", "MH7RMMHED")</f>
        <v>MH7RMMHED</v>
      </c>
      <c r="B3767" t="s">
        <v>1101</v>
      </c>
      <c r="C3767">
        <v>250.2</v>
      </c>
      <c r="D3767">
        <v>271.95999999999998</v>
      </c>
      <c r="E3767">
        <v>271.97000000000003</v>
      </c>
      <c r="F3767">
        <v>-0.01</v>
      </c>
    </row>
    <row r="3768" spans="1:6" x14ac:dyDescent="0.3">
      <c r="A3768" t="str">
        <f>HYPERLINK("https://us2.cloudbeds.com/connect/10074733072513#/reservations/31673833197718?display=MH6ES4BTX&amp;reservation_id=31673833197718", "MH6ES4BTX")</f>
        <v>MH6ES4BTX</v>
      </c>
      <c r="B3768" t="s">
        <v>1114</v>
      </c>
      <c r="C3768">
        <v>402.3</v>
      </c>
      <c r="D3768">
        <v>437.29</v>
      </c>
      <c r="E3768">
        <v>437.3</v>
      </c>
      <c r="F3768">
        <v>-0.01</v>
      </c>
    </row>
    <row r="3769" spans="1:6" x14ac:dyDescent="0.3">
      <c r="A3769" t="str">
        <f>HYPERLINK("https://us2.cloudbeds.com/connect/10074733072513#/reservations/31672760852690?display=MH5KETPNM&amp;reservation_id=31672760852690", "MH5KETPNM")</f>
        <v>MH5KETPNM</v>
      </c>
      <c r="B3769" t="s">
        <v>1107</v>
      </c>
      <c r="C3769">
        <v>87.2</v>
      </c>
      <c r="D3769">
        <v>94.78</v>
      </c>
      <c r="E3769">
        <v>94.79</v>
      </c>
      <c r="F3769">
        <v>-0.01</v>
      </c>
    </row>
    <row r="3770" spans="1:6" x14ac:dyDescent="0.3">
      <c r="A3770" t="str">
        <f>HYPERLINK("https://us2.cloudbeds.com/connect/10074733072513#/reservations/31672868618455?display=MH5N6PH5U&amp;reservation_id=31672868618455", "MH5N6PH5U")</f>
        <v>MH5N6PH5U</v>
      </c>
      <c r="B3770" t="s">
        <v>981</v>
      </c>
      <c r="C3770">
        <v>134.1</v>
      </c>
      <c r="D3770">
        <v>145.76</v>
      </c>
      <c r="E3770">
        <v>145.77000000000001</v>
      </c>
      <c r="F3770">
        <v>-0.01</v>
      </c>
    </row>
    <row r="3771" spans="1:6" x14ac:dyDescent="0.3">
      <c r="A3771" t="str">
        <f>HYPERLINK("https://us2.cloudbeds.com/connect/10074733072513#/reservations/31673794277577?display=MH6DSABXB&amp;reservation_id=31673794277577", "MH6DSABXB")</f>
        <v>MH6DSABXB</v>
      </c>
      <c r="B3771" t="s">
        <v>1131</v>
      </c>
      <c r="C3771">
        <v>94.16</v>
      </c>
      <c r="D3771">
        <v>102.34</v>
      </c>
      <c r="E3771">
        <v>102.35</v>
      </c>
      <c r="F3771">
        <v>-0.01</v>
      </c>
    </row>
    <row r="3772" spans="1:6" x14ac:dyDescent="0.3">
      <c r="A3772" t="str">
        <f>HYPERLINK("https://us2.cloudbeds.com/connect/10074733072513#/reservations/31672886018211?display=MH5NYEMU8&amp;reservation_id=31672886018211", "MH5NYEMU8")</f>
        <v>MH5NYEMU8</v>
      </c>
      <c r="B3772" t="s">
        <v>981</v>
      </c>
      <c r="C3772">
        <v>94.16</v>
      </c>
      <c r="D3772">
        <v>102.34</v>
      </c>
      <c r="E3772">
        <v>102.35</v>
      </c>
      <c r="F3772">
        <v>-0.01</v>
      </c>
    </row>
    <row r="3773" spans="1:6" x14ac:dyDescent="0.3">
      <c r="A3773" t="str">
        <f>HYPERLINK("https://us2.cloudbeds.com/connect/10074733072513#/reservations/31673416564948?display=MH646QV03&amp;reservation_id=31673416564948", "MH646QV03")</f>
        <v>MH646QV03</v>
      </c>
      <c r="B3773" t="s">
        <v>1106</v>
      </c>
      <c r="C3773">
        <v>250.2</v>
      </c>
      <c r="D3773">
        <v>271.95999999999998</v>
      </c>
      <c r="E3773">
        <v>271.97000000000003</v>
      </c>
      <c r="F3773">
        <v>-0.01</v>
      </c>
    </row>
    <row r="3774" spans="1:6" x14ac:dyDescent="0.3">
      <c r="A3774" t="str">
        <f>HYPERLINK("https://us2.cloudbeds.com/connect/10074733072513#/reservations/31673054724318?display=MH5RVN69H&amp;reservation_id=31673054724318", "MH5RVN69H")</f>
        <v>MH5RVN69H</v>
      </c>
      <c r="B3774" t="s">
        <v>1060</v>
      </c>
      <c r="C3774">
        <v>196.2</v>
      </c>
      <c r="D3774">
        <v>213.26</v>
      </c>
      <c r="E3774">
        <v>213.27</v>
      </c>
      <c r="F3774">
        <v>-0.01</v>
      </c>
    </row>
    <row r="3775" spans="1:6" x14ac:dyDescent="0.3">
      <c r="A3775" t="str">
        <f>HYPERLINK("https://us2.cloudbeds.com/connect/10074733072513#/reservations/31673428070602?display=MH64GH3B9&amp;reservation_id=31673428070602", "MH64GH3B9")</f>
        <v>MH64GH3B9</v>
      </c>
      <c r="B3775" t="s">
        <v>1106</v>
      </c>
      <c r="C3775">
        <v>268.2</v>
      </c>
      <c r="D3775">
        <v>291.52</v>
      </c>
      <c r="E3775">
        <v>291.52999999999997</v>
      </c>
      <c r="F3775">
        <v>-0.01</v>
      </c>
    </row>
    <row r="3776" spans="1:6" x14ac:dyDescent="0.3">
      <c r="A3776" t="str">
        <f>HYPERLINK("https://us2.cloudbeds.com/connect/10074733072513#/reservations/31673134198997?display=MH5TWNMQ4&amp;reservation_id=31673134198997", "MH5TWNMQ4")</f>
        <v>MH5TWNMQ4</v>
      </c>
      <c r="B3776" t="s">
        <v>1112</v>
      </c>
      <c r="C3776">
        <v>196.2</v>
      </c>
      <c r="D3776">
        <v>213.26</v>
      </c>
      <c r="E3776">
        <v>213.27</v>
      </c>
      <c r="F3776">
        <v>-0.01</v>
      </c>
    </row>
    <row r="3777" spans="1:6" x14ac:dyDescent="0.3">
      <c r="A3777" t="str">
        <f>HYPERLINK("https://us2.cloudbeds.com/connect/10074733072513#/reservations/31674798211296?display=MH76GS9E8&amp;reservation_id=31674798211296", "MH76GS9E8")</f>
        <v>MH76GS9E8</v>
      </c>
      <c r="B3777" t="s">
        <v>982</v>
      </c>
      <c r="C3777">
        <v>268.2</v>
      </c>
      <c r="D3777">
        <v>291.52</v>
      </c>
      <c r="E3777">
        <v>291.52999999999997</v>
      </c>
      <c r="F3777">
        <v>-0.01</v>
      </c>
    </row>
    <row r="3778" spans="1:6" x14ac:dyDescent="0.3">
      <c r="A3778" t="str">
        <f>HYPERLINK("https://us2.cloudbeds.com/connect/10074733072513#/reservations/31674788520099?display=MH768MK8K&amp;reservation_id=31674788520099", "MH768MK8K")</f>
        <v>MH768MK8K</v>
      </c>
      <c r="B3778" t="s">
        <v>982</v>
      </c>
      <c r="C3778">
        <v>268.2</v>
      </c>
      <c r="D3778">
        <v>291.52</v>
      </c>
      <c r="E3778">
        <v>291.52999999999997</v>
      </c>
      <c r="F3778">
        <v>-0.01</v>
      </c>
    </row>
    <row r="3779" spans="1:6" x14ac:dyDescent="0.3">
      <c r="A3779" t="str">
        <f>HYPERLINK("https://us2.cloudbeds.com/connect/10074733072513#/reservations/31675538219142?display=MH7PDS34E&amp;reservation_id=31675538219142", "MH7PDS34E")</f>
        <v>MH7PDS34E</v>
      </c>
      <c r="B3779" t="s">
        <v>982</v>
      </c>
      <c r="C3779">
        <v>268.2</v>
      </c>
      <c r="D3779">
        <v>291.52</v>
      </c>
      <c r="E3779">
        <v>291.52999999999997</v>
      </c>
      <c r="F3779">
        <v>-0.01</v>
      </c>
    </row>
    <row r="3780" spans="1:6" x14ac:dyDescent="0.3">
      <c r="A3780" t="str">
        <f>HYPERLINK("https://us2.cloudbeds.com/connect/10074733072513#/reservations/31674798215394?display=MH76GSD6E&amp;reservation_id=31674798215394", "MH76GSD6E")</f>
        <v>MH76GSD6E</v>
      </c>
      <c r="B3780" t="s">
        <v>982</v>
      </c>
      <c r="C3780">
        <v>268.2</v>
      </c>
      <c r="D3780">
        <v>291.52</v>
      </c>
      <c r="E3780">
        <v>291.52999999999997</v>
      </c>
      <c r="F3780">
        <v>-0.01</v>
      </c>
    </row>
    <row r="3781" spans="1:6" x14ac:dyDescent="0.3">
      <c r="A3781" t="str">
        <f>HYPERLINK("https://us2.cloudbeds.com/connect/10074733072513#/reservations/31674650435728?display=MH72Z870Z&amp;reservation_id=31674650435728", "MH72Z870Z")</f>
        <v>MH72Z870Z</v>
      </c>
      <c r="B3781" t="s">
        <v>1140</v>
      </c>
      <c r="C3781">
        <v>134.1</v>
      </c>
      <c r="D3781">
        <v>145.76</v>
      </c>
      <c r="E3781">
        <v>145.77000000000001</v>
      </c>
      <c r="F3781">
        <v>-0.01</v>
      </c>
    </row>
    <row r="3782" spans="1:6" x14ac:dyDescent="0.3">
      <c r="A3782" t="str">
        <f>HYPERLINK("https://us2.cloudbeds.com/connect/10074733072513#/reservations/31688183472296?display=MHHXHYTRV&amp;reservation_id=31688183472296", "MHHXHYTRV")</f>
        <v>MHHXHYTRV</v>
      </c>
      <c r="B3782" t="s">
        <v>1118</v>
      </c>
      <c r="C3782">
        <v>232.5</v>
      </c>
      <c r="D3782">
        <v>252.72</v>
      </c>
      <c r="E3782">
        <v>252.73</v>
      </c>
      <c r="F3782">
        <v>-0.01</v>
      </c>
    </row>
    <row r="3783" spans="1:6" x14ac:dyDescent="0.3">
      <c r="A3783" t="str">
        <f>HYPERLINK("https://us2.cloudbeds.com/connect/10074733072513#/reservations/31673449111726?display=MH6518JS3&amp;reservation_id=31673449111726", "MH6518JS3")</f>
        <v>MH6518JS3</v>
      </c>
      <c r="B3783" t="s">
        <v>1128</v>
      </c>
      <c r="C3783">
        <v>240.32</v>
      </c>
      <c r="D3783">
        <v>261.22000000000003</v>
      </c>
      <c r="E3783">
        <v>261.23</v>
      </c>
      <c r="F3783">
        <v>-0.01</v>
      </c>
    </row>
    <row r="3784" spans="1:6" x14ac:dyDescent="0.3">
      <c r="A3784" t="str">
        <f>HYPERLINK("https://us2.cloudbeds.com/connect/10074733072513#/reservations/31679250268392?display=MHAY8VB49&amp;reservation_id=31679250268392", "MHAY8VB49")</f>
        <v>MHAY8VB49</v>
      </c>
      <c r="B3784" t="s">
        <v>1141</v>
      </c>
      <c r="C3784">
        <v>134.1</v>
      </c>
      <c r="D3784">
        <v>145.76</v>
      </c>
      <c r="E3784">
        <v>145.77000000000001</v>
      </c>
      <c r="F3784">
        <v>-0.01</v>
      </c>
    </row>
    <row r="3785" spans="1:6" x14ac:dyDescent="0.3">
      <c r="A3785" t="str">
        <f>HYPERLINK("https://us2.cloudbeds.com/connect/10074733072513#/reservations/31673183129852?display=MH5V7W8NA&amp;reservation_id=31673183129852", "MH5V7W8NA")</f>
        <v>MH5V7W8NA</v>
      </c>
      <c r="B3785" t="s">
        <v>1112</v>
      </c>
      <c r="C3785">
        <v>87.2</v>
      </c>
      <c r="D3785">
        <v>94.78</v>
      </c>
      <c r="E3785">
        <v>94.79</v>
      </c>
      <c r="F3785">
        <v>-0.01</v>
      </c>
    </row>
    <row r="3786" spans="1:6" x14ac:dyDescent="0.3">
      <c r="A3786" t="str">
        <f>HYPERLINK("https://us2.cloudbeds.com/connect/10074733072513#/reservations/31674018406614?display=MH6JJA2BA&amp;reservation_id=31674018406614", "MH6JJA2BA")</f>
        <v>MH6JJA2BA</v>
      </c>
      <c r="B3786" t="s">
        <v>1142</v>
      </c>
      <c r="C3786">
        <v>188</v>
      </c>
      <c r="D3786">
        <v>204.35</v>
      </c>
      <c r="E3786">
        <v>204.36</v>
      </c>
      <c r="F3786">
        <v>-0.01</v>
      </c>
    </row>
    <row r="3787" spans="1:6" x14ac:dyDescent="0.3">
      <c r="A3787" t="str">
        <f>HYPERLINK("https://us2.cloudbeds.com/connect/10074733072513#/reservations/31673978040543?display=MH6XX8R82&amp;reservation_id=31673978040543", "MH6XX8R82")</f>
        <v>MH6XX8R82</v>
      </c>
      <c r="B3787" t="s">
        <v>1138</v>
      </c>
      <c r="C3787">
        <v>118.15</v>
      </c>
      <c r="D3787">
        <v>128.41999999999999</v>
      </c>
      <c r="E3787">
        <v>128.43</v>
      </c>
      <c r="F3787">
        <v>-0.01</v>
      </c>
    </row>
    <row r="3788" spans="1:6" x14ac:dyDescent="0.3">
      <c r="A3788" t="str">
        <f>HYPERLINK("https://us2.cloudbeds.com/connect/10074733072513#/reservations/31673562702003?display=MH67V1DQN&amp;reservation_id=31673562702003", "MH67V1DQN")</f>
        <v>MH67V1DQN</v>
      </c>
      <c r="B3788" t="s">
        <v>1093</v>
      </c>
      <c r="C3788">
        <v>87.2</v>
      </c>
      <c r="D3788">
        <v>94.78</v>
      </c>
      <c r="E3788">
        <v>94.79</v>
      </c>
      <c r="F3788">
        <v>-0.01</v>
      </c>
    </row>
    <row r="3789" spans="1:6" x14ac:dyDescent="0.3">
      <c r="A3789" t="str">
        <f>HYPERLINK("https://us2.cloudbeds.com/connect/10074733072513#/reservations/31673554489561?display=MH67Z3THQ&amp;reservation_id=31673554489561", "MH67Z3THQ")</f>
        <v>MH67Z3THQ</v>
      </c>
      <c r="B3789" t="s">
        <v>1093</v>
      </c>
      <c r="C3789">
        <v>87.2</v>
      </c>
      <c r="D3789">
        <v>94.78</v>
      </c>
      <c r="E3789">
        <v>94.79</v>
      </c>
      <c r="F3789">
        <v>-0.01</v>
      </c>
    </row>
    <row r="3790" spans="1:6" x14ac:dyDescent="0.3">
      <c r="A3790" t="str">
        <f>HYPERLINK("https://us2.cloudbeds.com/connect/10074733072513#/reservations/31674457854103?display=MH6UQSBCU&amp;reservation_id=31674457854103", "MH6UQSBCU")</f>
        <v>MH6UQSBCU</v>
      </c>
      <c r="B3790" t="s">
        <v>1116</v>
      </c>
      <c r="C3790">
        <v>134.1</v>
      </c>
      <c r="D3790">
        <v>145.76</v>
      </c>
      <c r="E3790">
        <v>145.77000000000001</v>
      </c>
      <c r="F3790">
        <v>-0.01</v>
      </c>
    </row>
    <row r="3791" spans="1:6" x14ac:dyDescent="0.3">
      <c r="A3791" t="str">
        <f>HYPERLINK("https://us2.cloudbeds.com/connect/10074733072513#/reservations/31672238538990?display=MH573FKQQ&amp;reservation_id=31672238538990", "MH573FKQQ")</f>
        <v>MH573FKQQ</v>
      </c>
      <c r="B3791" t="s">
        <v>1106</v>
      </c>
      <c r="C3791">
        <v>134.1</v>
      </c>
      <c r="D3791">
        <v>145.76</v>
      </c>
      <c r="E3791">
        <v>145.77000000000001</v>
      </c>
      <c r="F3791">
        <v>-0.01</v>
      </c>
    </row>
    <row r="3792" spans="1:6" x14ac:dyDescent="0.3">
      <c r="A3792" t="str">
        <f>HYPERLINK("https://us2.cloudbeds.com/connect/10074733072513#/reservations/31674365657289?display=MH6SF3RG2&amp;reservation_id=31674365657289", "MH6SF3RG2")</f>
        <v>MH6SF3RG2</v>
      </c>
      <c r="B3792" t="s">
        <v>1133</v>
      </c>
      <c r="C3792">
        <v>87.2</v>
      </c>
      <c r="D3792">
        <v>94.78</v>
      </c>
      <c r="E3792">
        <v>94.79</v>
      </c>
      <c r="F3792">
        <v>-0.01</v>
      </c>
    </row>
    <row r="3793" spans="1:6" x14ac:dyDescent="0.3">
      <c r="A3793" t="str">
        <f>HYPERLINK("https://us2.cloudbeds.com/connect/10074733072513#/reservations/31673626038497?display=MH69XES1D&amp;reservation_id=31673626038497", "MH69XES1D")</f>
        <v>MH69XES1D</v>
      </c>
      <c r="B3793" t="s">
        <v>1134</v>
      </c>
      <c r="C3793">
        <v>137.76</v>
      </c>
      <c r="D3793">
        <v>149.74</v>
      </c>
      <c r="E3793">
        <v>149.75</v>
      </c>
      <c r="F3793">
        <v>-0.01</v>
      </c>
    </row>
    <row r="3794" spans="1:6" x14ac:dyDescent="0.3">
      <c r="A3794" t="str">
        <f>HYPERLINK("https://us2.cloudbeds.com/connect/10074733072513#/reservations/31677643743431?display=MH9D79DJP&amp;reservation_id=31677643743431", "MH9D79DJP")</f>
        <v>MH9D79DJP</v>
      </c>
      <c r="B3794" t="s">
        <v>1144</v>
      </c>
      <c r="C3794">
        <v>143.65</v>
      </c>
      <c r="D3794">
        <v>156.13999999999999</v>
      </c>
      <c r="E3794">
        <v>156.15</v>
      </c>
      <c r="F3794">
        <v>-0.01</v>
      </c>
    </row>
    <row r="3795" spans="1:6" x14ac:dyDescent="0.3">
      <c r="A3795" t="str">
        <f>HYPERLINK("https://us2.cloudbeds.com/connect/10074733072513#/reservations/31673433518231?display=MH64Y3MZV&amp;reservation_id=31673433518231", "MH64Y3MZV")</f>
        <v>MH64Y3MZV</v>
      </c>
      <c r="B3795" t="s">
        <v>1106</v>
      </c>
      <c r="C3795">
        <v>222.4</v>
      </c>
      <c r="D3795">
        <v>241.74</v>
      </c>
      <c r="E3795">
        <v>241.75</v>
      </c>
      <c r="F3795">
        <v>-0.01</v>
      </c>
    </row>
    <row r="3796" spans="1:6" x14ac:dyDescent="0.3">
      <c r="A3796" t="str">
        <f>HYPERLINK("https://us2.cloudbeds.com/connect/10074733072513#/reservations/31672241238217?display=MH575ZZEX&amp;reservation_id=31672241238217", "MH575ZZEX")</f>
        <v>MH575ZZEX</v>
      </c>
      <c r="B3796" t="s">
        <v>1114</v>
      </c>
      <c r="C3796">
        <v>94.16</v>
      </c>
      <c r="D3796">
        <v>102.34</v>
      </c>
      <c r="E3796">
        <v>102.35</v>
      </c>
      <c r="F3796">
        <v>-0.01</v>
      </c>
    </row>
    <row r="3797" spans="1:6" x14ac:dyDescent="0.3">
      <c r="A3797" t="str">
        <f>HYPERLINK("https://us2.cloudbeds.com/connect/10074733072513#/reservations/31672220487865?display=MH56Y8AV0&amp;reservation_id=31672220487865", "MH56Y8AV0")</f>
        <v>MH56Y8AV0</v>
      </c>
      <c r="B3797" t="s">
        <v>1114</v>
      </c>
      <c r="C3797">
        <v>134.1</v>
      </c>
      <c r="D3797">
        <v>145.76</v>
      </c>
      <c r="E3797">
        <v>145.77000000000001</v>
      </c>
      <c r="F3797">
        <v>-0.01</v>
      </c>
    </row>
    <row r="3798" spans="1:6" x14ac:dyDescent="0.3">
      <c r="A3798" t="str">
        <f>HYPERLINK("https://us2.cloudbeds.com/connect/10074733072513#/reservations/31674594410625?display=MH71A07YB&amp;reservation_id=31674594410625", "MH71A07YB")</f>
        <v>MH71A07YB</v>
      </c>
      <c r="B3798" t="s">
        <v>1094</v>
      </c>
      <c r="C3798">
        <v>222.4</v>
      </c>
      <c r="D3798">
        <v>241.74</v>
      </c>
      <c r="E3798">
        <v>241.75</v>
      </c>
      <c r="F3798">
        <v>-0.01</v>
      </c>
    </row>
    <row r="3799" spans="1:6" x14ac:dyDescent="0.3">
      <c r="A3799" t="str">
        <f>HYPERLINK("https://us2.cloudbeds.com/connect/10074733072513#/reservations/31674493227142?display=MH6VNMYH6&amp;reservation_id=31674493227142", "MH6VNMYH6")</f>
        <v>MH6VNMYH6</v>
      </c>
      <c r="B3799" t="s">
        <v>1116</v>
      </c>
      <c r="C3799">
        <v>262.39999999999998</v>
      </c>
      <c r="D3799">
        <v>285.22000000000003</v>
      </c>
      <c r="E3799">
        <v>285.23</v>
      </c>
      <c r="F3799">
        <v>-0.01</v>
      </c>
    </row>
    <row r="3800" spans="1:6" x14ac:dyDescent="0.3">
      <c r="A3800" t="str">
        <f>HYPERLINK("https://us2.cloudbeds.com/connect/10074733072513#/reservations/31672269873363?display=MH57TTXB8&amp;reservation_id=31672269873363", "MH57TTXB8")</f>
        <v>MH57TTXB8</v>
      </c>
      <c r="B3800" t="s">
        <v>1114</v>
      </c>
      <c r="C3800">
        <v>134.1</v>
      </c>
      <c r="D3800">
        <v>145.76</v>
      </c>
      <c r="E3800">
        <v>145.77000000000001</v>
      </c>
      <c r="F3800">
        <v>-0.01</v>
      </c>
    </row>
    <row r="3801" spans="1:6" x14ac:dyDescent="0.3">
      <c r="A3801" t="str">
        <f>HYPERLINK("https://us2.cloudbeds.com/connect/10074733072513#/reservations/31672427348103?display=MH5BUMH82&amp;reservation_id=31672427348103", "MH5BUMH82")</f>
        <v>MH5BUMH82</v>
      </c>
      <c r="B3801" t="s">
        <v>1106</v>
      </c>
      <c r="C3801">
        <v>375.3</v>
      </c>
      <c r="D3801">
        <v>407.94</v>
      </c>
      <c r="E3801">
        <v>407.95</v>
      </c>
      <c r="F3801">
        <v>-0.01</v>
      </c>
    </row>
    <row r="3802" spans="1:6" x14ac:dyDescent="0.3">
      <c r="A3802" t="str">
        <f>HYPERLINK("https://us2.cloudbeds.com/connect/10074733072513#/reservations/31674228826252?display=MH6ZVZA50&amp;reservation_id=31674228826252", "MH6ZVZA50")</f>
        <v>MH6ZVZA50</v>
      </c>
      <c r="B3802" t="s">
        <v>1146</v>
      </c>
      <c r="C3802">
        <v>304.2</v>
      </c>
      <c r="D3802">
        <v>330.66</v>
      </c>
      <c r="E3802">
        <v>330.67</v>
      </c>
      <c r="F3802">
        <v>-0.01</v>
      </c>
    </row>
    <row r="3803" spans="1:6" x14ac:dyDescent="0.3">
      <c r="A3803" t="str">
        <f>HYPERLINK("https://us2.cloudbeds.com/connect/10074733072513#/reservations/31674469728392?display=MH6V3SP7S&amp;reservation_id=31674469728392", "MH6V3SP7S")</f>
        <v>MH6V3SP7S</v>
      </c>
      <c r="B3803" t="s">
        <v>1116</v>
      </c>
      <c r="C3803">
        <v>118.15</v>
      </c>
      <c r="D3803">
        <v>128.41999999999999</v>
      </c>
      <c r="E3803">
        <v>128.43</v>
      </c>
      <c r="F3803">
        <v>-0.01</v>
      </c>
    </row>
    <row r="3804" spans="1:6" x14ac:dyDescent="0.3">
      <c r="A3804" t="str">
        <f>HYPERLINK("https://us2.cloudbeds.com/connect/10074733072513#/reservations/31673611976840?display=MH696JXJJ&amp;reservation_id=31673611976840", "MH696JXJJ")</f>
        <v>MH696JXJJ</v>
      </c>
      <c r="B3804" t="s">
        <v>1134</v>
      </c>
      <c r="C3804">
        <v>103.2</v>
      </c>
      <c r="D3804">
        <v>112.17</v>
      </c>
      <c r="E3804">
        <v>112.18</v>
      </c>
      <c r="F3804">
        <v>-0.01</v>
      </c>
    </row>
    <row r="3805" spans="1:6" x14ac:dyDescent="0.3">
      <c r="A3805" t="str">
        <f>HYPERLINK("https://us2.cloudbeds.com/connect/10074733072513#/reservations/31674574286987?display=MH70Q18Y4&amp;reservation_id=31674574286987", "MH70Q18Y4")</f>
        <v>MH70Q18Y4</v>
      </c>
      <c r="B3805" t="s">
        <v>1094</v>
      </c>
      <c r="C3805">
        <v>94.16</v>
      </c>
      <c r="D3805">
        <v>102.34</v>
      </c>
      <c r="E3805">
        <v>102.35</v>
      </c>
      <c r="F3805">
        <v>-0.01</v>
      </c>
    </row>
    <row r="3806" spans="1:6" x14ac:dyDescent="0.3">
      <c r="A3806" t="str">
        <f>HYPERLINK("https://us2.cloudbeds.com/connect/10074733072513#/reservations/31674343665874?display=MH6RTXTBX&amp;reservation_id=31674343665874", "MH6RTXTBX")</f>
        <v>MH6RTXTBX</v>
      </c>
      <c r="B3806" t="s">
        <v>1133</v>
      </c>
      <c r="C3806">
        <v>174.4</v>
      </c>
      <c r="D3806">
        <v>189.56</v>
      </c>
      <c r="E3806">
        <v>189.57</v>
      </c>
      <c r="F3806">
        <v>-0.01</v>
      </c>
    </row>
    <row r="3807" spans="1:6" x14ac:dyDescent="0.3">
      <c r="A3807" t="str">
        <f>HYPERLINK("https://us2.cloudbeds.com/connect/10074733072513#/reservations/31674016223402?display=MH6JHFAXD&amp;reservation_id=31674016223402", "MH6JHFAXD")</f>
        <v>MH6JHFAXD</v>
      </c>
      <c r="B3807" t="s">
        <v>1129</v>
      </c>
      <c r="C3807">
        <v>366.3</v>
      </c>
      <c r="D3807">
        <v>398.16</v>
      </c>
      <c r="E3807">
        <v>398.17</v>
      </c>
      <c r="F3807">
        <v>-0.01</v>
      </c>
    </row>
    <row r="3808" spans="1:6" x14ac:dyDescent="0.3">
      <c r="A3808" t="str">
        <f>HYPERLINK("https://us2.cloudbeds.com/connect/10074733072513#/reservations/31672502804689?display=MH5DSA714&amp;reservation_id=31672502804689", "MH5DSA714")</f>
        <v>MH5DSA714</v>
      </c>
      <c r="B3808" t="s">
        <v>1148</v>
      </c>
      <c r="C3808">
        <v>93.2</v>
      </c>
      <c r="D3808">
        <v>101.3</v>
      </c>
      <c r="E3808">
        <v>101.31</v>
      </c>
      <c r="F3808">
        <v>-0.01</v>
      </c>
    </row>
    <row r="3809" spans="1:6" x14ac:dyDescent="0.3">
      <c r="A3809" t="str">
        <f>HYPERLINK("https://us2.cloudbeds.com/connect/10074733072513#/reservations/31674614595787?display=MH71R0U4U&amp;reservation_id=31674614595787", "MH71R0U4U")</f>
        <v>MH71R0U4U</v>
      </c>
      <c r="B3809" t="s">
        <v>1094</v>
      </c>
      <c r="C3809">
        <v>268.2</v>
      </c>
      <c r="D3809">
        <v>291.52</v>
      </c>
      <c r="E3809">
        <v>291.52999999999997</v>
      </c>
      <c r="F3809">
        <v>-0.01</v>
      </c>
    </row>
    <row r="3810" spans="1:6" x14ac:dyDescent="0.3">
      <c r="A3810" t="str">
        <f>HYPERLINK("https://us2.cloudbeds.com/connect/10074733072513#/reservations/31674611736743?display=MH71ZKBP7&amp;reservation_id=31674611736743", "MH71ZKBP7")</f>
        <v>MH71ZKBP7</v>
      </c>
      <c r="B3810" t="s">
        <v>1094</v>
      </c>
      <c r="C3810">
        <v>250.2</v>
      </c>
      <c r="D3810">
        <v>271.95999999999998</v>
      </c>
      <c r="E3810">
        <v>271.97000000000003</v>
      </c>
      <c r="F3810">
        <v>-0.01</v>
      </c>
    </row>
    <row r="3811" spans="1:6" x14ac:dyDescent="0.3">
      <c r="A3811" t="str">
        <f>HYPERLINK("https://us2.cloudbeds.com/connect/10074733072513#/reservations/31674389274761?display=MH6T210Q1&amp;reservation_id=31674389274761", "MH6T210Q1")</f>
        <v>MH6T210Q1</v>
      </c>
      <c r="B3811" t="s">
        <v>1133</v>
      </c>
      <c r="C3811">
        <v>87.2</v>
      </c>
      <c r="D3811">
        <v>94.78</v>
      </c>
      <c r="E3811">
        <v>94.79</v>
      </c>
      <c r="F3811">
        <v>-0.01</v>
      </c>
    </row>
    <row r="3812" spans="1:6" x14ac:dyDescent="0.3">
      <c r="A3812" t="str">
        <f>HYPERLINK("https://us2.cloudbeds.com/connect/10074733072513#/reservations/31674825093269?display=MH776HAEG&amp;reservation_id=31674825093269", "MH776HAEG")</f>
        <v>MH776HAEG</v>
      </c>
      <c r="B3812" t="s">
        <v>1128</v>
      </c>
      <c r="C3812">
        <v>304.2</v>
      </c>
      <c r="D3812">
        <v>330.66</v>
      </c>
      <c r="E3812">
        <v>330.67</v>
      </c>
      <c r="F3812">
        <v>-0.01</v>
      </c>
    </row>
    <row r="3813" spans="1:6" x14ac:dyDescent="0.3">
      <c r="A3813" t="str">
        <f>HYPERLINK("https://us2.cloudbeds.com/connect/10074733072513#/reservations/31674425319672?display=MH6TWE0T2&amp;reservation_id=31674425319672", "MH6TWE0T2")</f>
        <v>MH6TWE0T2</v>
      </c>
      <c r="B3813" t="s">
        <v>1133</v>
      </c>
      <c r="C3813">
        <v>87.2</v>
      </c>
      <c r="D3813">
        <v>94.78</v>
      </c>
      <c r="E3813">
        <v>94.79</v>
      </c>
      <c r="F3813">
        <v>-0.01</v>
      </c>
    </row>
    <row r="3814" spans="1:6" x14ac:dyDescent="0.3">
      <c r="A3814" t="str">
        <f>HYPERLINK("https://us2.cloudbeds.com/connect/10074733072513#/reservations/31678245945561?display=MH9SK2XV5&amp;reservation_id=31678245945561", "MH9SK2XV5")</f>
        <v>MH9SK2XV5</v>
      </c>
      <c r="B3814" t="s">
        <v>1050</v>
      </c>
      <c r="C3814">
        <v>500.4</v>
      </c>
      <c r="D3814">
        <v>543.91999999999996</v>
      </c>
      <c r="E3814">
        <v>543.92999999999995</v>
      </c>
      <c r="F3814">
        <v>-0.01</v>
      </c>
    </row>
    <row r="3815" spans="1:6" x14ac:dyDescent="0.3">
      <c r="A3815" t="str">
        <f>HYPERLINK("https://us2.cloudbeds.com/connect/10074733072513#/reservations/31674702954650?display=MH742HKP7&amp;reservation_id=31674702954650", "MH742HKP7")</f>
        <v>MH742HKP7</v>
      </c>
      <c r="B3815" t="s">
        <v>1116</v>
      </c>
      <c r="C3815">
        <v>94.16</v>
      </c>
      <c r="D3815">
        <v>102.34</v>
      </c>
      <c r="E3815">
        <v>102.35</v>
      </c>
      <c r="F3815">
        <v>-0.01</v>
      </c>
    </row>
    <row r="3816" spans="1:6" x14ac:dyDescent="0.3">
      <c r="A3816" t="str">
        <f>HYPERLINK("https://us2.cloudbeds.com/connect/10074733072513#/reservations/31673747935384?display=MH6CM7QZF&amp;reservation_id=31673747935384", "MH6CM7QZF")</f>
        <v>MH6CM7QZF</v>
      </c>
      <c r="B3816" t="s">
        <v>1121</v>
      </c>
      <c r="C3816">
        <v>380.8</v>
      </c>
      <c r="D3816">
        <v>413.92</v>
      </c>
      <c r="E3816">
        <v>413.93</v>
      </c>
      <c r="F3816">
        <v>-0.01</v>
      </c>
    </row>
    <row r="3817" spans="1:6" x14ac:dyDescent="0.3">
      <c r="A3817" t="str">
        <f>HYPERLINK("https://us2.cloudbeds.com/connect/10074733072513#/reservations/31674424864980?display=MH6TW1CBH&amp;reservation_id=31674424864980", "MH6TW1CBH")</f>
        <v>MH6TW1CBH</v>
      </c>
      <c r="B3817" t="s">
        <v>1133</v>
      </c>
      <c r="C3817">
        <v>229.14</v>
      </c>
      <c r="D3817">
        <v>249.07</v>
      </c>
      <c r="E3817">
        <v>249.08</v>
      </c>
      <c r="F3817">
        <v>-0.01</v>
      </c>
    </row>
    <row r="3818" spans="1:6" x14ac:dyDescent="0.3">
      <c r="A3818" t="str">
        <f>HYPERLINK("https://us2.cloudbeds.com/connect/10074733072513#/reservations/31673680011493?display=MH6AUVZ0Z&amp;reservation_id=31673680011493", "MH6AUVZ0Z")</f>
        <v>MH6AUVZ0Z</v>
      </c>
      <c r="B3818" t="s">
        <v>1121</v>
      </c>
      <c r="C3818">
        <v>316.66000000000003</v>
      </c>
      <c r="D3818">
        <v>344.2</v>
      </c>
      <c r="E3818">
        <v>344.21</v>
      </c>
      <c r="F3818">
        <v>-0.01</v>
      </c>
    </row>
    <row r="3819" spans="1:6" x14ac:dyDescent="0.3">
      <c r="A3819" t="str">
        <f>HYPERLINK("https://us2.cloudbeds.com/connect/10074733072513#/reservations/31674650439821?display=MH72Z8APP&amp;reservation_id=31674650439821", "MH72Z8APP")</f>
        <v>MH72Z8APP</v>
      </c>
      <c r="B3819" t="s">
        <v>1140</v>
      </c>
      <c r="C3819">
        <v>134.1</v>
      </c>
      <c r="D3819">
        <v>145.76</v>
      </c>
      <c r="E3819">
        <v>145.77000000000001</v>
      </c>
      <c r="F3819">
        <v>-0.01</v>
      </c>
    </row>
    <row r="3820" spans="1:6" x14ac:dyDescent="0.3">
      <c r="A3820" t="str">
        <f>HYPERLINK("https://us2.cloudbeds.com/connect/10074733072513#/reservations/31675751846086?display=MH7USWJ46&amp;reservation_id=31675751846086", "MH7USWJ46")</f>
        <v>MH7USWJ46</v>
      </c>
      <c r="B3820" t="s">
        <v>982</v>
      </c>
      <c r="C3820">
        <v>250.2</v>
      </c>
      <c r="D3820">
        <v>271.95999999999998</v>
      </c>
      <c r="E3820">
        <v>271.97000000000003</v>
      </c>
      <c r="F3820">
        <v>-0.01</v>
      </c>
    </row>
    <row r="3821" spans="1:6" x14ac:dyDescent="0.3">
      <c r="A3821" t="str">
        <f>HYPERLINK("https://us2.cloudbeds.com/connect/10074733072513#/reservations/31675810582732?display=MH7WCH0EH&amp;reservation_id=31675810582732", "MH7WCH0EH")</f>
        <v>MH7WCH0EH</v>
      </c>
      <c r="B3821" t="s">
        <v>982</v>
      </c>
      <c r="C3821">
        <v>134.1</v>
      </c>
      <c r="D3821">
        <v>145.76</v>
      </c>
      <c r="E3821">
        <v>145.77000000000001</v>
      </c>
      <c r="F3821">
        <v>-0.01</v>
      </c>
    </row>
    <row r="3822" spans="1:6" x14ac:dyDescent="0.3">
      <c r="A3822" t="str">
        <f>HYPERLINK("https://us2.cloudbeds.com/connect/10074733072513#/reservations/31681203486882?display=MHC55VH6E&amp;reservation_id=31681203486882", "MHC55VH6E")</f>
        <v>MHC55VH6E</v>
      </c>
      <c r="B3822" t="s">
        <v>1135</v>
      </c>
      <c r="C3822">
        <v>608.4</v>
      </c>
      <c r="D3822">
        <v>661.32</v>
      </c>
      <c r="E3822">
        <v>661.33</v>
      </c>
      <c r="F3822">
        <v>-0.01</v>
      </c>
    </row>
    <row r="3823" spans="1:6" x14ac:dyDescent="0.3">
      <c r="A3823" t="str">
        <f>HYPERLINK("https://us2.cloudbeds.com/connect/10074733072513#/reservations/31682475896968?display=MHD4MT6RR&amp;reservation_id=31682475896968", "MHD4MT6RR")</f>
        <v>MHD4MT6RR</v>
      </c>
      <c r="B3823" t="s">
        <v>1135</v>
      </c>
      <c r="C3823">
        <v>608.4</v>
      </c>
      <c r="D3823">
        <v>661.32</v>
      </c>
      <c r="E3823">
        <v>661.33</v>
      </c>
      <c r="F3823">
        <v>-0.01</v>
      </c>
    </row>
    <row r="3824" spans="1:6" x14ac:dyDescent="0.3">
      <c r="A3824" t="str">
        <f>HYPERLINK("https://us2.cloudbeds.com/connect/10074733072513#/reservations/31676780179594?display=MH8Z53FMY&amp;reservation_id=31676780179594", "MH8Z53FMY")</f>
        <v>MH8Z53FMY</v>
      </c>
      <c r="B3824" t="s">
        <v>1147</v>
      </c>
      <c r="C3824">
        <v>118.15</v>
      </c>
      <c r="D3824">
        <v>128.41999999999999</v>
      </c>
      <c r="E3824">
        <v>128.43</v>
      </c>
      <c r="F3824">
        <v>-0.01</v>
      </c>
    </row>
    <row r="3825" spans="1:6" x14ac:dyDescent="0.3">
      <c r="A3825" t="str">
        <f>HYPERLINK("https://us2.cloudbeds.com/connect/10074733072513#/reservations/31673671848081?display=MH6AZ2XPK&amp;reservation_id=31673671848081", "MH6AZ2XPK")</f>
        <v>MH6AZ2XPK</v>
      </c>
      <c r="B3825" t="s">
        <v>1121</v>
      </c>
      <c r="C3825">
        <v>134.1</v>
      </c>
      <c r="D3825">
        <v>145.76</v>
      </c>
      <c r="E3825">
        <v>145.77000000000001</v>
      </c>
      <c r="F3825">
        <v>-0.01</v>
      </c>
    </row>
    <row r="3826" spans="1:6" x14ac:dyDescent="0.3">
      <c r="A3826" t="str">
        <f>HYPERLINK("https://us2.cloudbeds.com/connect/10074733072513#/reservations/31673535820015?display=MH678CCQ0&amp;reservation_id=31673535820015", "MH678CCQ0")</f>
        <v>MH678CCQ0</v>
      </c>
      <c r="B3826" t="s">
        <v>1128</v>
      </c>
      <c r="C3826">
        <v>134.1</v>
      </c>
      <c r="D3826">
        <v>145.76</v>
      </c>
      <c r="E3826">
        <v>145.77000000000001</v>
      </c>
      <c r="F3826">
        <v>-0.01</v>
      </c>
    </row>
    <row r="3827" spans="1:6" x14ac:dyDescent="0.3">
      <c r="A3827" t="str">
        <f>HYPERLINK("https://us2.cloudbeds.com/connect/10074733072513#/reservations/31675821363334?display=MH7WYJWWF&amp;reservation_id=31675821363334", "MH7WYJWWF")</f>
        <v>MH7WYJWWF</v>
      </c>
      <c r="B3827" t="s">
        <v>957</v>
      </c>
      <c r="C3827">
        <v>134.1</v>
      </c>
      <c r="D3827">
        <v>145.76</v>
      </c>
      <c r="E3827">
        <v>145.77000000000001</v>
      </c>
      <c r="F3827">
        <v>-0.01</v>
      </c>
    </row>
    <row r="3828" spans="1:6" x14ac:dyDescent="0.3">
      <c r="A3828" t="str">
        <f>HYPERLINK("https://us2.cloudbeds.com/connect/10074733072513#/reservations/31675354472670?display=MH7KNU2JH&amp;reservation_id=31675354472670", "MH7KNU2JH")</f>
        <v>MH7KNU2JH</v>
      </c>
      <c r="B3828" t="s">
        <v>1155</v>
      </c>
      <c r="C3828">
        <v>250.2</v>
      </c>
      <c r="D3828">
        <v>271.95999999999998</v>
      </c>
      <c r="E3828">
        <v>271.97000000000003</v>
      </c>
      <c r="F3828">
        <v>-0.01</v>
      </c>
    </row>
    <row r="3829" spans="1:6" x14ac:dyDescent="0.3">
      <c r="A3829" t="str">
        <f>HYPERLINK("https://us2.cloudbeds.com/connect/10074733072513#/reservations/31673491583120?display=MH6642E71&amp;reservation_id=31673491583120", "MH6642E71")</f>
        <v>MH6642E71</v>
      </c>
      <c r="B3829" t="s">
        <v>1145</v>
      </c>
      <c r="C3829">
        <v>380.8</v>
      </c>
      <c r="D3829">
        <v>413.92</v>
      </c>
      <c r="E3829">
        <v>413.93</v>
      </c>
      <c r="F3829">
        <v>-0.01</v>
      </c>
    </row>
    <row r="3830" spans="1:6" x14ac:dyDescent="0.3">
      <c r="A3830" t="str">
        <f>HYPERLINK("https://us2.cloudbeds.com/connect/10074733072513#/reservations/31674905063574?display=MH797VK22&amp;reservation_id=31674905063574", "MH797VK22")</f>
        <v>MH797VK22</v>
      </c>
      <c r="B3830" t="s">
        <v>1128</v>
      </c>
      <c r="C3830">
        <v>134.1</v>
      </c>
      <c r="D3830">
        <v>145.76</v>
      </c>
      <c r="E3830">
        <v>145.77000000000001</v>
      </c>
      <c r="F3830">
        <v>-0.01</v>
      </c>
    </row>
    <row r="3831" spans="1:6" x14ac:dyDescent="0.3">
      <c r="A3831" t="str">
        <f>HYPERLINK("https://us2.cloudbeds.com/connect/10074733072513#/reservations/31673961934980?display=MH6X4MYUN&amp;reservation_id=31673961934980", "MH6X4MYUN")</f>
        <v>MH6X4MYUN</v>
      </c>
      <c r="B3831" t="s">
        <v>1128</v>
      </c>
      <c r="C3831">
        <v>134.1</v>
      </c>
      <c r="D3831">
        <v>145.76</v>
      </c>
      <c r="E3831">
        <v>145.77000000000001</v>
      </c>
      <c r="F3831">
        <v>-0.01</v>
      </c>
    </row>
    <row r="3832" spans="1:6" x14ac:dyDescent="0.3">
      <c r="A3832" t="str">
        <f>HYPERLINK("https://us2.cloudbeds.com/connect/10074733072513#/reservations/31674839367824?display=MH77XXHCP&amp;reservation_id=31674839367824", "MH77XXHCP")</f>
        <v>MH77XXHCP</v>
      </c>
      <c r="B3832" t="s">
        <v>1128</v>
      </c>
      <c r="C3832">
        <v>94.16</v>
      </c>
      <c r="D3832">
        <v>102.34</v>
      </c>
      <c r="E3832">
        <v>102.35</v>
      </c>
      <c r="F3832">
        <v>-0.01</v>
      </c>
    </row>
    <row r="3833" spans="1:6" x14ac:dyDescent="0.3">
      <c r="A3833" t="str">
        <f>HYPERLINK("https://us2.cloudbeds.com/connect/10074733072513#/reservations/31678139629696?display=MH9PTE262&amp;reservation_id=31678139629696", "MH9PTE262")</f>
        <v>MH9PTE262</v>
      </c>
      <c r="B3833" t="s">
        <v>1070</v>
      </c>
      <c r="C3833">
        <v>250.2</v>
      </c>
      <c r="D3833">
        <v>271.95999999999998</v>
      </c>
      <c r="E3833">
        <v>271.97000000000003</v>
      </c>
      <c r="F3833">
        <v>-0.01</v>
      </c>
    </row>
    <row r="3834" spans="1:6" x14ac:dyDescent="0.3">
      <c r="A3834" t="str">
        <f>HYPERLINK("https://us2.cloudbeds.com/connect/10074733072513#/reservations/31672951636148?display=MH5PAPK4J&amp;reservation_id=31672951636148", "MH5PAPK4J")</f>
        <v>MH5PAPK4J</v>
      </c>
      <c r="B3834" t="s">
        <v>1153</v>
      </c>
      <c r="C3834">
        <v>326.08</v>
      </c>
      <c r="D3834">
        <v>354.44</v>
      </c>
      <c r="E3834">
        <v>354.45</v>
      </c>
      <c r="F3834">
        <v>-0.01</v>
      </c>
    </row>
    <row r="3835" spans="1:6" x14ac:dyDescent="0.3">
      <c r="A3835" t="str">
        <f>HYPERLINK("https://us2.cloudbeds.com/connect/10074733072513#/reservations/31675497562241?display=MH7ZCXZW4&amp;reservation_id=31675497562241", "MH7ZCXZW4")</f>
        <v>MH7ZCXZW4</v>
      </c>
      <c r="B3835" t="s">
        <v>1073</v>
      </c>
      <c r="C3835">
        <v>250.2</v>
      </c>
      <c r="D3835">
        <v>271.95999999999998</v>
      </c>
      <c r="E3835">
        <v>271.97000000000003</v>
      </c>
      <c r="F3835">
        <v>-0.01</v>
      </c>
    </row>
    <row r="3836" spans="1:6" x14ac:dyDescent="0.3">
      <c r="A3836" t="str">
        <f>HYPERLINK("https://us2.cloudbeds.com/connect/10074733072513#/reservations/31678940709077?display=MHADBUCW0&amp;reservation_id=31678940709077", "MHADBUCW0")</f>
        <v>MHADBUCW0</v>
      </c>
      <c r="B3836" t="s">
        <v>1144</v>
      </c>
      <c r="C3836">
        <v>357.32</v>
      </c>
      <c r="D3836">
        <v>388.4</v>
      </c>
      <c r="E3836">
        <v>388.41</v>
      </c>
      <c r="F3836">
        <v>-0.01</v>
      </c>
    </row>
    <row r="3837" spans="1:6" x14ac:dyDescent="0.3">
      <c r="A3837" t="str">
        <f>HYPERLINK("https://us2.cloudbeds.com/connect/10074733072513#/reservations/31678860255378?display=MHABA2YF4&amp;reservation_id=31678860255378", "MHABA2YF4")</f>
        <v>MHABA2YF4</v>
      </c>
      <c r="B3837" t="s">
        <v>946</v>
      </c>
      <c r="C3837">
        <v>143.65</v>
      </c>
      <c r="D3837">
        <v>156.13999999999999</v>
      </c>
      <c r="E3837">
        <v>156.15</v>
      </c>
      <c r="F3837">
        <v>-0.01</v>
      </c>
    </row>
    <row r="3838" spans="1:6" x14ac:dyDescent="0.3">
      <c r="A3838" t="str">
        <f>HYPERLINK("https://us2.cloudbeds.com/connect/10074733072513#/reservations/31673010733216?display=MH5QRK2DR&amp;reservation_id=31673010733216", "MH5QRK2DR")</f>
        <v>MH5QRK2DR</v>
      </c>
      <c r="B3838" t="s">
        <v>1153</v>
      </c>
      <c r="C3838">
        <v>110.3</v>
      </c>
      <c r="D3838">
        <v>119.89</v>
      </c>
      <c r="E3838">
        <v>119.9</v>
      </c>
      <c r="F3838">
        <v>-0.01</v>
      </c>
    </row>
    <row r="3839" spans="1:6" x14ac:dyDescent="0.3">
      <c r="A3839" t="str">
        <f>HYPERLINK("https://us2.cloudbeds.com/connect/10074733072513#/reservations/31674209648830?display=MH6ZFXM10&amp;reservation_id=31674209648830", "MH6ZFXM10")</f>
        <v>MH6ZFXM10</v>
      </c>
      <c r="B3839" t="s">
        <v>1161</v>
      </c>
      <c r="C3839">
        <v>134.1</v>
      </c>
      <c r="D3839">
        <v>145.76</v>
      </c>
      <c r="E3839">
        <v>145.77000000000001</v>
      </c>
      <c r="F3839">
        <v>-0.01</v>
      </c>
    </row>
    <row r="3840" spans="1:6" x14ac:dyDescent="0.3">
      <c r="A3840" t="str">
        <f>HYPERLINK("https://us2.cloudbeds.com/connect/10074733072513#/reservations/31675384651934?display=MH7YGBSDM&amp;reservation_id=31675384651934", "MH7YGBSDM")</f>
        <v>MH7YGBSDM</v>
      </c>
      <c r="B3840" t="s">
        <v>1151</v>
      </c>
      <c r="C3840">
        <v>250.2</v>
      </c>
      <c r="D3840">
        <v>271.95999999999998</v>
      </c>
      <c r="E3840">
        <v>271.97000000000003</v>
      </c>
      <c r="F3840">
        <v>-0.01</v>
      </c>
    </row>
    <row r="3841" spans="1:6" x14ac:dyDescent="0.3">
      <c r="A3841" t="str">
        <f>HYPERLINK("https://us2.cloudbeds.com/connect/10074733072513#/reservations/31675142656165?display=MH7FA9W2X&amp;reservation_id=31675142656165", "MH7FA9W2X")</f>
        <v>MH7FA9W2X</v>
      </c>
      <c r="B3841" t="s">
        <v>1029</v>
      </c>
      <c r="C3841">
        <v>112.24</v>
      </c>
      <c r="D3841">
        <v>121.99</v>
      </c>
      <c r="E3841">
        <v>122</v>
      </c>
      <c r="F3841">
        <v>-0.01</v>
      </c>
    </row>
    <row r="3842" spans="1:6" x14ac:dyDescent="0.3">
      <c r="A3842" t="str">
        <f>HYPERLINK("https://us2.cloudbeds.com/connect/10074733072513#/reservations/31674100576418?display=MH6YMJXND&amp;reservation_id=31674100576418", "MH6YMJXND")</f>
        <v>MH6YMJXND</v>
      </c>
      <c r="B3842" t="s">
        <v>1165</v>
      </c>
      <c r="C3842">
        <v>304.2</v>
      </c>
      <c r="D3842">
        <v>330.66</v>
      </c>
      <c r="E3842">
        <v>330.67</v>
      </c>
      <c r="F3842">
        <v>-0.01</v>
      </c>
    </row>
    <row r="3843" spans="1:6" x14ac:dyDescent="0.3">
      <c r="A3843" t="str">
        <f>HYPERLINK("https://us2.cloudbeds.com/connect/10074733072513#/reservations/31674026815668?display=MH6JQD255&amp;reservation_id=31674026815668", "MH6JQD255")</f>
        <v>MH6JQD255</v>
      </c>
      <c r="B3843" t="s">
        <v>1142</v>
      </c>
      <c r="C3843">
        <v>375.3</v>
      </c>
      <c r="D3843">
        <v>407.94</v>
      </c>
      <c r="E3843">
        <v>407.95</v>
      </c>
      <c r="F3843">
        <v>-0.01</v>
      </c>
    </row>
    <row r="3844" spans="1:6" x14ac:dyDescent="0.3">
      <c r="A3844" t="str">
        <f>HYPERLINK("https://us2.cloudbeds.com/connect/10074733072513#/reservations/31675104075906?display=MH7EAPDRQ&amp;reservation_id=31675104075906", "MH7EAPDRQ")</f>
        <v>MH7EAPDRQ</v>
      </c>
      <c r="B3844" t="s">
        <v>1164</v>
      </c>
      <c r="C3844">
        <v>375.3</v>
      </c>
      <c r="D3844">
        <v>407.94</v>
      </c>
      <c r="E3844">
        <v>407.95</v>
      </c>
      <c r="F3844">
        <v>-0.01</v>
      </c>
    </row>
    <row r="3845" spans="1:6" x14ac:dyDescent="0.3">
      <c r="A3845" t="str">
        <f>HYPERLINK("https://us2.cloudbeds.com/connect/10074733072513#/reservations/31683272065209?display=MHDP17P55&amp;reservation_id=31683272065209", "MHDP17P55")</f>
        <v>MHDP17P55</v>
      </c>
      <c r="B3845" t="s">
        <v>1100</v>
      </c>
      <c r="C3845">
        <v>304.3</v>
      </c>
      <c r="D3845">
        <v>330.76</v>
      </c>
      <c r="E3845">
        <v>330.77</v>
      </c>
      <c r="F3845">
        <v>-0.01</v>
      </c>
    </row>
    <row r="3846" spans="1:6" x14ac:dyDescent="0.3">
      <c r="A3846" t="str">
        <f>HYPERLINK("https://us2.cloudbeds.com/connect/10074733072513#/reservations/31676071215293?display=MH8619GEV&amp;reservation_id=31676071215293", "MH8619GEV")</f>
        <v>MH8619GEV</v>
      </c>
      <c r="B3846" t="s">
        <v>1166</v>
      </c>
      <c r="C3846">
        <v>194.21</v>
      </c>
      <c r="D3846">
        <v>211.1</v>
      </c>
      <c r="E3846">
        <v>211.11</v>
      </c>
      <c r="F3846">
        <v>-0.01</v>
      </c>
    </row>
    <row r="3847" spans="1:6" x14ac:dyDescent="0.3">
      <c r="A3847" t="str">
        <f>HYPERLINK("https://us2.cloudbeds.com/connect/10074733072513#/reservations/31677421740190?display=MH97X2RSR&amp;reservation_id=31677421740190", "MH97X2RSR")</f>
        <v>MH97X2RSR</v>
      </c>
      <c r="B3847" t="s">
        <v>1006</v>
      </c>
      <c r="C3847">
        <v>118.15</v>
      </c>
      <c r="D3847">
        <v>128.41999999999999</v>
      </c>
      <c r="E3847">
        <v>128.43</v>
      </c>
      <c r="F3847">
        <v>-0.01</v>
      </c>
    </row>
    <row r="3848" spans="1:6" x14ac:dyDescent="0.3">
      <c r="A3848" t="str">
        <f>HYPERLINK("https://us2.cloudbeds.com/connect/10074733072513#/reservations/31675719385233?display=MH7U1KA5W&amp;reservation_id=31675719385233", "MH7U1KA5W")</f>
        <v>MH7U1KA5W</v>
      </c>
      <c r="B3848" t="s">
        <v>1034</v>
      </c>
      <c r="C3848">
        <v>170.1</v>
      </c>
      <c r="D3848">
        <v>184.89</v>
      </c>
      <c r="E3848">
        <v>184.9</v>
      </c>
      <c r="F3848">
        <v>-0.01</v>
      </c>
    </row>
    <row r="3849" spans="1:6" x14ac:dyDescent="0.3">
      <c r="A3849" t="str">
        <f>HYPERLINK("https://us2.cloudbeds.com/connect/10074733072513#/reservations/31672950849729?display=MH5PA3NWN&amp;reservation_id=31672950849729", "MH5PA3NWN")</f>
        <v>MH5PA3NWN</v>
      </c>
      <c r="B3849" t="s">
        <v>1163</v>
      </c>
      <c r="C3849">
        <v>500.4</v>
      </c>
      <c r="D3849">
        <v>543.91999999999996</v>
      </c>
      <c r="E3849">
        <v>543.92999999999995</v>
      </c>
      <c r="F3849">
        <v>-0.01</v>
      </c>
    </row>
    <row r="3850" spans="1:6" x14ac:dyDescent="0.3">
      <c r="A3850" t="str">
        <f>HYPERLINK("https://us2.cloudbeds.com/connect/10074733072513#/reservations/31675518046404?display=MH7ZTRP1B&amp;reservation_id=31675518046404", "MH7ZTRP1B")</f>
        <v>MH7ZTRP1B</v>
      </c>
      <c r="B3850" t="s">
        <v>1073</v>
      </c>
      <c r="C3850">
        <v>250.2</v>
      </c>
      <c r="D3850">
        <v>271.95999999999998</v>
      </c>
      <c r="E3850">
        <v>271.97000000000003</v>
      </c>
      <c r="F3850">
        <v>-0.01</v>
      </c>
    </row>
    <row r="3851" spans="1:6" x14ac:dyDescent="0.3">
      <c r="A3851" t="str">
        <f>HYPERLINK("https://us2.cloudbeds.com/connect/10074733072513#/reservations/31675713384691?display=MH7TTXB1C&amp;reservation_id=31675713384691", "MH7TTXB1C")</f>
        <v>MH7TTXB1C</v>
      </c>
      <c r="B3851" t="s">
        <v>1034</v>
      </c>
      <c r="C3851">
        <v>304.2</v>
      </c>
      <c r="D3851">
        <v>330.66</v>
      </c>
      <c r="E3851">
        <v>330.67</v>
      </c>
      <c r="F3851">
        <v>-0.01</v>
      </c>
    </row>
    <row r="3852" spans="1:6" x14ac:dyDescent="0.3">
      <c r="A3852" t="str">
        <f>HYPERLINK("https://us2.cloudbeds.com/connect/10074733072513#/reservations/31684384002246?display=MHEKES1KT&amp;reservation_id=31684384002246", "MHEKES1KT")</f>
        <v>MHEKES1KT</v>
      </c>
      <c r="B3852" t="s">
        <v>1168</v>
      </c>
      <c r="C3852">
        <v>250.2</v>
      </c>
      <c r="D3852">
        <v>271.95999999999998</v>
      </c>
      <c r="E3852">
        <v>271.97000000000003</v>
      </c>
      <c r="F3852">
        <v>-0.01</v>
      </c>
    </row>
    <row r="3853" spans="1:6" x14ac:dyDescent="0.3">
      <c r="A3853" t="str">
        <f>HYPERLINK("https://us2.cloudbeds.com/connect/10074733072513#/reservations/31675280904334?display=MH7XRSUZ0&amp;reservation_id=31675280904334", "MH7XRSUZ0")</f>
        <v>MH7XRSUZ0</v>
      </c>
      <c r="B3853" t="s">
        <v>1109</v>
      </c>
      <c r="C3853">
        <v>112.24</v>
      </c>
      <c r="D3853">
        <v>121.99</v>
      </c>
      <c r="E3853">
        <v>122</v>
      </c>
      <c r="F3853">
        <v>-0.01</v>
      </c>
    </row>
    <row r="3854" spans="1:6" x14ac:dyDescent="0.3">
      <c r="A3854" t="str">
        <f>HYPERLINK("https://us2.cloudbeds.com/connect/10074733072513#/reservations/31674333409508?display=MH6RKUG6J&amp;reservation_id=31674333409508", "MH6RKUG6J")</f>
        <v>MH6RKUG6J</v>
      </c>
      <c r="B3854" t="s">
        <v>1073</v>
      </c>
      <c r="C3854">
        <v>304.2</v>
      </c>
      <c r="D3854">
        <v>330.66</v>
      </c>
      <c r="E3854">
        <v>330.67</v>
      </c>
      <c r="F3854">
        <v>-0.01</v>
      </c>
    </row>
    <row r="3855" spans="1:6" x14ac:dyDescent="0.3">
      <c r="A3855" t="str">
        <f>HYPERLINK("https://us2.cloudbeds.com/connect/10074733072513#/reservations/31674435195062?display=MH6U7ZR6A&amp;reservation_id=31674435195062", "MH6U7ZR6A")</f>
        <v>MH6U7ZR6A</v>
      </c>
      <c r="B3855" t="s">
        <v>1085</v>
      </c>
      <c r="C3855">
        <v>134.1</v>
      </c>
      <c r="D3855">
        <v>145.76</v>
      </c>
      <c r="E3855">
        <v>145.77000000000001</v>
      </c>
      <c r="F3855">
        <v>-0.01</v>
      </c>
    </row>
    <row r="3856" spans="1:6" x14ac:dyDescent="0.3">
      <c r="A3856" t="str">
        <f>HYPERLINK("https://us2.cloudbeds.com/connect/10074733072513#/reservations/31677343236313?display=MH95HTBRF&amp;reservation_id=31677343236313", "MH95HTBRF")</f>
        <v>MH95HTBRF</v>
      </c>
      <c r="B3856" t="s">
        <v>1006</v>
      </c>
      <c r="C3856">
        <v>222.4</v>
      </c>
      <c r="D3856">
        <v>241.74</v>
      </c>
      <c r="E3856">
        <v>241.75</v>
      </c>
      <c r="F3856">
        <v>-0.01</v>
      </c>
    </row>
    <row r="3857" spans="1:6" x14ac:dyDescent="0.3">
      <c r="A3857" t="str">
        <f>HYPERLINK("https://us2.cloudbeds.com/connect/10074733072513#/reservations/31675361759473?display=MH7KU1RSZ&amp;reservation_id=31675361759473", "MH7KU1RSZ")</f>
        <v>MH7KU1RSZ</v>
      </c>
      <c r="B3857" t="s">
        <v>1108</v>
      </c>
      <c r="C3857">
        <v>143.65</v>
      </c>
      <c r="D3857">
        <v>156.13999999999999</v>
      </c>
      <c r="E3857">
        <v>156.15</v>
      </c>
      <c r="F3857">
        <v>-0.01</v>
      </c>
    </row>
    <row r="3858" spans="1:6" x14ac:dyDescent="0.3">
      <c r="A3858" t="str">
        <f>HYPERLINK("https://us2.cloudbeds.com/connect/10074733072513#/reservations/31676936941806?display=MH8S59K9N&amp;reservation_id=31676936941806", "MH8S59K9N")</f>
        <v>MH8S59K9N</v>
      </c>
      <c r="B3858" t="s">
        <v>957</v>
      </c>
      <c r="C3858">
        <v>134.1</v>
      </c>
      <c r="D3858">
        <v>145.76</v>
      </c>
      <c r="E3858">
        <v>145.77000000000001</v>
      </c>
      <c r="F3858">
        <v>-0.01</v>
      </c>
    </row>
    <row r="3859" spans="1:6" x14ac:dyDescent="0.3">
      <c r="A3859" t="str">
        <f>HYPERLINK("https://us2.cloudbeds.com/connect/10074733072513#/reservations/31681031594183?display=MHC0Q0BYZ&amp;reservation_id=31681031594183", "MHC0Q0BYZ")</f>
        <v>MHC0Q0BYZ</v>
      </c>
      <c r="B3859" t="s">
        <v>1173</v>
      </c>
      <c r="C3859">
        <v>170.1</v>
      </c>
      <c r="D3859">
        <v>184.89</v>
      </c>
      <c r="E3859">
        <v>184.9</v>
      </c>
      <c r="F3859">
        <v>-0.01</v>
      </c>
    </row>
    <row r="3860" spans="1:6" x14ac:dyDescent="0.3">
      <c r="A3860" t="str">
        <f>HYPERLINK("https://us2.cloudbeds.com/connect/10074733072513#/reservations/31672924057766?display=MH5ZKH6Y1&amp;reservation_id=31672924057766", "MH5ZKH6Y1")</f>
        <v>MH5ZKH6Y1</v>
      </c>
      <c r="B3860" t="s">
        <v>1109</v>
      </c>
      <c r="C3860">
        <v>93.2</v>
      </c>
      <c r="D3860">
        <v>101.3</v>
      </c>
      <c r="E3860">
        <v>101.31</v>
      </c>
      <c r="F3860">
        <v>-0.01</v>
      </c>
    </row>
    <row r="3861" spans="1:6" x14ac:dyDescent="0.3">
      <c r="A3861" t="str">
        <f>HYPERLINK("https://us2.cloudbeds.com/connect/10074733072513#/reservations/31673108644023?display=MH5TB5JAW&amp;reservation_id=31673108644023", "MH5TB5JAW")</f>
        <v>MH5TB5JAW</v>
      </c>
      <c r="B3861" t="s">
        <v>1176</v>
      </c>
      <c r="C3861">
        <v>244.56</v>
      </c>
      <c r="D3861">
        <v>265.83</v>
      </c>
      <c r="E3861">
        <v>265.83999999999997</v>
      </c>
      <c r="F3861">
        <v>-0.01</v>
      </c>
    </row>
    <row r="3862" spans="1:6" x14ac:dyDescent="0.3">
      <c r="A3862" t="str">
        <f>HYPERLINK("https://us2.cloudbeds.com/connect/10074733072513#/reservations/31676858548463?display=MH8Q566ZS&amp;reservation_id=31676858548463", "MH8Q566ZS")</f>
        <v>MH8Q566ZS</v>
      </c>
      <c r="B3862" t="s">
        <v>1177</v>
      </c>
      <c r="C3862">
        <v>456.3</v>
      </c>
      <c r="D3862">
        <v>495.99</v>
      </c>
      <c r="E3862">
        <v>496</v>
      </c>
      <c r="F3862">
        <v>-0.01</v>
      </c>
    </row>
    <row r="3863" spans="1:6" x14ac:dyDescent="0.3">
      <c r="A3863" t="str">
        <f>HYPERLINK("https://us2.cloudbeds.com/connect/10074733072513#/reservations/31674317938867?display=MH6R7SWU9&amp;reservation_id=31674317938867", "MH6R7SWU9")</f>
        <v>MH6R7SWU9</v>
      </c>
      <c r="B3863" t="s">
        <v>1073</v>
      </c>
      <c r="C3863">
        <v>118.15</v>
      </c>
      <c r="D3863">
        <v>128.41999999999999</v>
      </c>
      <c r="E3863">
        <v>128.43</v>
      </c>
      <c r="F3863">
        <v>-0.01</v>
      </c>
    </row>
    <row r="3864" spans="1:6" x14ac:dyDescent="0.3">
      <c r="A3864" t="str">
        <f>HYPERLINK("https://us2.cloudbeds.com/connect/10074733072513#/reservations/31676770578644?display=MH8NU0ACP&amp;reservation_id=31676770578644", "MH8NU0ACP")</f>
        <v>MH8NU0ACP</v>
      </c>
      <c r="B3864" t="s">
        <v>1147</v>
      </c>
      <c r="C3864">
        <v>134.1</v>
      </c>
      <c r="D3864">
        <v>145.76</v>
      </c>
      <c r="E3864">
        <v>145.77000000000001</v>
      </c>
      <c r="F3864">
        <v>-0.01</v>
      </c>
    </row>
    <row r="3865" spans="1:6" x14ac:dyDescent="0.3">
      <c r="A3865" t="str">
        <f>HYPERLINK("https://us2.cloudbeds.com/connect/10074733072513#/reservations/31675363930287?display=MH7KVT88W&amp;reservation_id=31675363930287", "MH7KVT88W")</f>
        <v>MH7KVT88W</v>
      </c>
      <c r="B3865" t="s">
        <v>1108</v>
      </c>
      <c r="C3865">
        <v>134.1</v>
      </c>
      <c r="D3865">
        <v>145.76</v>
      </c>
      <c r="E3865">
        <v>145.77000000000001</v>
      </c>
      <c r="F3865">
        <v>-0.01</v>
      </c>
    </row>
    <row r="3866" spans="1:6" x14ac:dyDescent="0.3">
      <c r="A3866" t="str">
        <f>HYPERLINK("https://us2.cloudbeds.com/connect/10074733072513#/reservations/31678658760855?display=MHA655PBH&amp;reservation_id=31678658760855", "MHA655PBH")</f>
        <v>MHA655PBH</v>
      </c>
      <c r="B3866" t="s">
        <v>1172</v>
      </c>
      <c r="C3866">
        <v>250.2</v>
      </c>
      <c r="D3866">
        <v>271.95999999999998</v>
      </c>
      <c r="E3866">
        <v>271.97000000000003</v>
      </c>
      <c r="F3866">
        <v>-0.01</v>
      </c>
    </row>
    <row r="3867" spans="1:6" x14ac:dyDescent="0.3">
      <c r="A3867" t="str">
        <f>HYPERLINK("https://us2.cloudbeds.com/connect/10074733072513#/reservations/31676882804942?display=MH8QPY5RM&amp;reservation_id=31676882804942", "MH8QPY5RM")</f>
        <v>MH8QPY5RM</v>
      </c>
      <c r="B3867" t="s">
        <v>1141</v>
      </c>
      <c r="C3867">
        <v>134.1</v>
      </c>
      <c r="D3867">
        <v>145.76</v>
      </c>
      <c r="E3867">
        <v>145.77000000000001</v>
      </c>
      <c r="F3867">
        <v>-0.01</v>
      </c>
    </row>
    <row r="3868" spans="1:6" x14ac:dyDescent="0.3">
      <c r="A3868" t="str">
        <f>HYPERLINK("https://us2.cloudbeds.com/connect/10074733072513#/reservations/31675171172598?display=MH7G1BFVT&amp;reservation_id=31675171172598", "MH7G1BFVT")</f>
        <v>MH7G1BFVT</v>
      </c>
      <c r="B3868" t="s">
        <v>1181</v>
      </c>
      <c r="C3868">
        <v>87.2</v>
      </c>
      <c r="D3868">
        <v>94.78</v>
      </c>
      <c r="E3868">
        <v>94.79</v>
      </c>
      <c r="F3868">
        <v>-0.01</v>
      </c>
    </row>
    <row r="3869" spans="1:6" x14ac:dyDescent="0.3">
      <c r="A3869" t="str">
        <f>HYPERLINK("https://us2.cloudbeds.com/connect/10074733072513#/reservations/31673167859914?display=MH5US3BNU&amp;reservation_id=31673167859914", "MH5US3BNU")</f>
        <v>MH5US3BNU</v>
      </c>
      <c r="B3869" t="s">
        <v>1182</v>
      </c>
      <c r="C3869">
        <v>196.2</v>
      </c>
      <c r="D3869">
        <v>213.26</v>
      </c>
      <c r="E3869">
        <v>213.27</v>
      </c>
      <c r="F3869">
        <v>-0.01</v>
      </c>
    </row>
    <row r="3870" spans="1:6" x14ac:dyDescent="0.3">
      <c r="A3870" t="str">
        <f>HYPERLINK("https://us2.cloudbeds.com/connect/10074733072513#/reservations/31676167037139?display=MH88G2T48&amp;reservation_id=31676167037139", "MH88G2T48")</f>
        <v>MH88G2T48</v>
      </c>
      <c r="B3870" t="s">
        <v>1183</v>
      </c>
      <c r="C3870">
        <v>344.4</v>
      </c>
      <c r="D3870">
        <v>374.35</v>
      </c>
      <c r="E3870">
        <v>374.36</v>
      </c>
      <c r="F3870">
        <v>-0.01</v>
      </c>
    </row>
    <row r="3871" spans="1:6" x14ac:dyDescent="0.3">
      <c r="A3871" t="str">
        <f>HYPERLINK("https://us2.cloudbeds.com/connect/10074733072513#/reservations/31675612168336?display=MH7RA6RZ2&amp;reservation_id=31675612168336", "MH7RA6RZ2")</f>
        <v>MH7RA6RZ2</v>
      </c>
      <c r="B3871" t="s">
        <v>1184</v>
      </c>
      <c r="C3871">
        <v>93.2</v>
      </c>
      <c r="D3871">
        <v>101.3</v>
      </c>
      <c r="E3871">
        <v>101.31</v>
      </c>
      <c r="F3871">
        <v>-0.01</v>
      </c>
    </row>
    <row r="3872" spans="1:6" x14ac:dyDescent="0.3">
      <c r="A3872" t="str">
        <f>HYPERLINK("https://us2.cloudbeds.com/connect/10074733072513#/reservations/31676890378400?display=MH8QW0UBD&amp;reservation_id=31676890378400", "MH8QW0UBD")</f>
        <v>MH8QW0UBD</v>
      </c>
      <c r="B3872" t="s">
        <v>1141</v>
      </c>
      <c r="C3872">
        <v>134.1</v>
      </c>
      <c r="D3872">
        <v>145.76</v>
      </c>
      <c r="E3872">
        <v>145.77000000000001</v>
      </c>
      <c r="F3872">
        <v>-0.01</v>
      </c>
    </row>
    <row r="3873" spans="1:6" x14ac:dyDescent="0.3">
      <c r="A3873" t="str">
        <f>HYPERLINK("https://us2.cloudbeds.com/connect/10074733072513#/reservations/31675430969501?display=MH7MMDNKA&amp;reservation_id=31675430969501", "MH7MMDNKA")</f>
        <v>MH7MMDNKA</v>
      </c>
      <c r="B3873" t="s">
        <v>1073</v>
      </c>
      <c r="C3873">
        <v>134.1</v>
      </c>
      <c r="D3873">
        <v>145.76</v>
      </c>
      <c r="E3873">
        <v>145.77000000000001</v>
      </c>
      <c r="F3873">
        <v>-0.01</v>
      </c>
    </row>
    <row r="3874" spans="1:6" x14ac:dyDescent="0.3">
      <c r="A3874" t="str">
        <f>HYPERLINK("https://us2.cloudbeds.com/connect/10074733072513#/reservations/31673211396233?display=MH5VVQQWA&amp;reservation_id=31673211396233", "MH5VVQQWA")</f>
        <v>MH5VVQQWA</v>
      </c>
      <c r="B3874" t="s">
        <v>1178</v>
      </c>
      <c r="C3874">
        <v>196.2</v>
      </c>
      <c r="D3874">
        <v>213.26</v>
      </c>
      <c r="E3874">
        <v>213.27</v>
      </c>
      <c r="F3874">
        <v>-0.01</v>
      </c>
    </row>
    <row r="3875" spans="1:6" x14ac:dyDescent="0.3">
      <c r="A3875" t="str">
        <f>HYPERLINK("https://us2.cloudbeds.com/connect/10074733072513#/reservations/31673296453830?display=MH614HM48&amp;reservation_id=31673296453830", "MH614HM48")</f>
        <v>MH614HM48</v>
      </c>
      <c r="B3875" t="s">
        <v>1157</v>
      </c>
      <c r="C3875">
        <v>174.4</v>
      </c>
      <c r="D3875">
        <v>189.56</v>
      </c>
      <c r="E3875">
        <v>189.57</v>
      </c>
      <c r="F3875">
        <v>-0.01</v>
      </c>
    </row>
    <row r="3876" spans="1:6" x14ac:dyDescent="0.3">
      <c r="A3876" t="str">
        <f>HYPERLINK("https://us2.cloudbeds.com/connect/10074733072513#/reservations/31673174519953?display=MH5V0NMF9&amp;reservation_id=31673174519953", "MH5V0NMF9")</f>
        <v>MH5V0NMF9</v>
      </c>
      <c r="B3876" t="s">
        <v>1178</v>
      </c>
      <c r="C3876">
        <v>196.2</v>
      </c>
      <c r="D3876">
        <v>213.26</v>
      </c>
      <c r="E3876">
        <v>213.27</v>
      </c>
      <c r="F3876">
        <v>-0.01</v>
      </c>
    </row>
    <row r="3877" spans="1:6" x14ac:dyDescent="0.3">
      <c r="A3877" t="str">
        <f>HYPERLINK("https://us2.cloudbeds.com/connect/10074733072513#/reservations/31678601187484?display=MHA4MKN7U&amp;reservation_id=31678601187484", "MHA4MKN7U")</f>
        <v>MHA4MKN7U</v>
      </c>
      <c r="B3877" t="s">
        <v>1180</v>
      </c>
      <c r="C3877">
        <v>94.16</v>
      </c>
      <c r="D3877">
        <v>102.34</v>
      </c>
      <c r="E3877">
        <v>102.35</v>
      </c>
      <c r="F3877">
        <v>-0.01</v>
      </c>
    </row>
    <row r="3878" spans="1:6" x14ac:dyDescent="0.3">
      <c r="A3878" t="str">
        <f>HYPERLINK("https://us2.cloudbeds.com/connect/10074733072513#/reservations/31676787007715?display=MH8ZASFPD&amp;reservation_id=31676787007715", "MH8ZASFPD")</f>
        <v>MH8ZASFPD</v>
      </c>
      <c r="B3878" t="s">
        <v>1147</v>
      </c>
      <c r="C3878">
        <v>94.16</v>
      </c>
      <c r="D3878">
        <v>102.34</v>
      </c>
      <c r="E3878">
        <v>102.35</v>
      </c>
      <c r="F3878">
        <v>-0.01</v>
      </c>
    </row>
    <row r="3879" spans="1:6" x14ac:dyDescent="0.3">
      <c r="A3879" t="str">
        <f>HYPERLINK("https://us2.cloudbeds.com/connect/10074733072513#/reservations/31677757935867?display=MH9G4XWGK&amp;reservation_id=31677757935867", "MH9G4XWGK")</f>
        <v>MH9G4XWGK</v>
      </c>
      <c r="B3879" t="s">
        <v>1186</v>
      </c>
      <c r="C3879">
        <v>268.2</v>
      </c>
      <c r="D3879">
        <v>291.52</v>
      </c>
      <c r="E3879">
        <v>291.52999999999997</v>
      </c>
      <c r="F3879">
        <v>-0.01</v>
      </c>
    </row>
    <row r="3880" spans="1:6" x14ac:dyDescent="0.3">
      <c r="A3880" t="str">
        <f>HYPERLINK("https://us2.cloudbeds.com/connect/10074733072513#/reservations/31676595257554?display=MH8JE5ZYF&amp;reservation_id=31676595257554", "MH8JE5ZYF")</f>
        <v>MH8JE5ZYF</v>
      </c>
      <c r="B3880" t="s">
        <v>1147</v>
      </c>
      <c r="C3880">
        <v>134.1</v>
      </c>
      <c r="D3880">
        <v>145.76</v>
      </c>
      <c r="E3880">
        <v>145.77000000000001</v>
      </c>
      <c r="F3880">
        <v>-0.01</v>
      </c>
    </row>
    <row r="3881" spans="1:6" x14ac:dyDescent="0.3">
      <c r="A3881" t="str">
        <f>HYPERLINK("https://us2.cloudbeds.com/connect/10074733072513#/reservations/31674408186050?display=MH6THW8HD&amp;reservation_id=31674408186050", "MH6THW8HD")</f>
        <v>MH6THW8HD</v>
      </c>
      <c r="B3881" t="s">
        <v>1178</v>
      </c>
      <c r="C3881">
        <v>72.72</v>
      </c>
      <c r="D3881">
        <v>79.040000000000006</v>
      </c>
      <c r="E3881">
        <v>79.05</v>
      </c>
      <c r="F3881">
        <v>-0.01</v>
      </c>
    </row>
    <row r="3882" spans="1:6" x14ac:dyDescent="0.3">
      <c r="A3882" t="str">
        <f>HYPERLINK("https://us2.cloudbeds.com/connect/10074733072513#/reservations/31674108108950?display=MH6YSV5KV&amp;reservation_id=31674108108950", "MH6YSV5KV")</f>
        <v>MH6YSV5KV</v>
      </c>
      <c r="B3882" t="s">
        <v>1158</v>
      </c>
      <c r="C3882">
        <v>250.2</v>
      </c>
      <c r="D3882">
        <v>271.95999999999998</v>
      </c>
      <c r="E3882">
        <v>271.97000000000003</v>
      </c>
      <c r="F3882">
        <v>-0.01</v>
      </c>
    </row>
    <row r="3883" spans="1:6" x14ac:dyDescent="0.3">
      <c r="A3883" t="str">
        <f>HYPERLINK("https://us2.cloudbeds.com/connect/10074733072513#/reservations/31677463486655?display=MH98K9GX7&amp;reservation_id=31677463486655", "MH98K9GX7")</f>
        <v>MH98K9GX7</v>
      </c>
      <c r="B3883" t="s">
        <v>1009</v>
      </c>
      <c r="C3883">
        <v>143.65</v>
      </c>
      <c r="D3883">
        <v>156.13999999999999</v>
      </c>
      <c r="E3883">
        <v>156.15</v>
      </c>
      <c r="F3883">
        <v>-0.01</v>
      </c>
    </row>
    <row r="3884" spans="1:6" x14ac:dyDescent="0.3">
      <c r="A3884" t="str">
        <f>HYPERLINK("https://us2.cloudbeds.com/connect/10074733072513#/reservations/31674418872503?display=MH6TQWKKA&amp;reservation_id=31674418872503", "MH6TQWKKA")</f>
        <v>MH6TQWKKA</v>
      </c>
      <c r="B3884" t="s">
        <v>1085</v>
      </c>
      <c r="C3884">
        <v>134.1</v>
      </c>
      <c r="D3884">
        <v>145.76</v>
      </c>
      <c r="E3884">
        <v>145.77000000000001</v>
      </c>
      <c r="F3884">
        <v>-0.01</v>
      </c>
    </row>
    <row r="3885" spans="1:6" x14ac:dyDescent="0.3">
      <c r="A3885" t="str">
        <f>HYPERLINK("https://us2.cloudbeds.com/connect/10074733072513#/reservations/31675209756876?display=MH7H0T4TE&amp;reservation_id=31675209756876", "MH7H0T4TE")</f>
        <v>MH7H0T4TE</v>
      </c>
      <c r="B3885" t="s">
        <v>1180</v>
      </c>
      <c r="C3885">
        <v>134.1</v>
      </c>
      <c r="D3885">
        <v>145.76</v>
      </c>
      <c r="E3885">
        <v>145.77000000000001</v>
      </c>
      <c r="F3885">
        <v>-0.01</v>
      </c>
    </row>
    <row r="3886" spans="1:6" x14ac:dyDescent="0.3">
      <c r="A3886" t="str">
        <f>HYPERLINK("https://us2.cloudbeds.com/connect/10074733072513#/reservations/31677750509734?display=MH9FVAB99&amp;reservation_id=31677750509734", "MH9FVAB99")</f>
        <v>MH9FVAB99</v>
      </c>
      <c r="B3886" t="s">
        <v>1186</v>
      </c>
      <c r="C3886">
        <v>134.1</v>
      </c>
      <c r="D3886">
        <v>145.76</v>
      </c>
      <c r="E3886">
        <v>145.77000000000001</v>
      </c>
      <c r="F3886">
        <v>-0.01</v>
      </c>
    </row>
    <row r="3887" spans="1:6" x14ac:dyDescent="0.3">
      <c r="A3887" t="str">
        <f>HYPERLINK("https://us2.cloudbeds.com/connect/10074733072513#/reservations/31675740147926?display=MH7UJ420G&amp;reservation_id=31675740147926", "MH7UJ420G")</f>
        <v>MH7UJ420G</v>
      </c>
      <c r="B3887" t="s">
        <v>1034</v>
      </c>
      <c r="C3887">
        <v>134.1</v>
      </c>
      <c r="D3887">
        <v>145.76</v>
      </c>
      <c r="E3887">
        <v>145.77000000000001</v>
      </c>
      <c r="F3887">
        <v>-0.01</v>
      </c>
    </row>
    <row r="3888" spans="1:6" x14ac:dyDescent="0.3">
      <c r="A3888" t="str">
        <f>HYPERLINK("https://us2.cloudbeds.com/connect/10074733072513#/reservations/31676491645088?display=MH8GPQJ1P&amp;reservation_id=31676491645088", "MH8GPQJ1P")</f>
        <v>MH8GPQJ1P</v>
      </c>
      <c r="B3888" t="s">
        <v>1110</v>
      </c>
      <c r="C3888">
        <v>93.2</v>
      </c>
      <c r="D3888">
        <v>101.3</v>
      </c>
      <c r="E3888">
        <v>101.31</v>
      </c>
      <c r="F3888">
        <v>-0.01</v>
      </c>
    </row>
    <row r="3889" spans="1:6" x14ac:dyDescent="0.3">
      <c r="A3889" t="str">
        <f>HYPERLINK("https://us2.cloudbeds.com/connect/10074733072513#/reservations/31681002279080?display=MHC019KCA&amp;reservation_id=31681002279080", "MHC019KCA")</f>
        <v>MHC019KCA</v>
      </c>
      <c r="B3889" t="s">
        <v>1173</v>
      </c>
      <c r="C3889">
        <v>276.2</v>
      </c>
      <c r="D3889">
        <v>300.22000000000003</v>
      </c>
      <c r="E3889">
        <v>300.23</v>
      </c>
      <c r="F3889">
        <v>-0.01</v>
      </c>
    </row>
    <row r="3890" spans="1:6" x14ac:dyDescent="0.3">
      <c r="A3890" t="str">
        <f>HYPERLINK("https://us2.cloudbeds.com/connect/10074733072513#/reservations/31677031788777?display=MH8UJ8SPA&amp;reservation_id=31677031788777", "MH8UJ8SPA")</f>
        <v>MH8UJ8SPA</v>
      </c>
      <c r="B3890" t="s">
        <v>1162</v>
      </c>
      <c r="C3890">
        <v>141.49</v>
      </c>
      <c r="D3890">
        <v>153.79</v>
      </c>
      <c r="E3890">
        <v>153.80000000000001</v>
      </c>
      <c r="F3890">
        <v>-0.01</v>
      </c>
    </row>
    <row r="3891" spans="1:6" x14ac:dyDescent="0.3">
      <c r="A3891" t="str">
        <f>HYPERLINK("https://us2.cloudbeds.com/connect/10074733072513#/reservations/31675227189443?display=MH7HFJ7P1&amp;reservation_id=31675227189443", "MH7HFJ7P1")</f>
        <v>MH7HFJ7P1</v>
      </c>
      <c r="B3891" t="s">
        <v>1180</v>
      </c>
      <c r="C3891">
        <v>134.1</v>
      </c>
      <c r="D3891">
        <v>145.76</v>
      </c>
      <c r="E3891">
        <v>145.77000000000001</v>
      </c>
      <c r="F3891">
        <v>-0.01</v>
      </c>
    </row>
    <row r="3892" spans="1:6" x14ac:dyDescent="0.3">
      <c r="A3892" t="str">
        <f>HYPERLINK("https://us2.cloudbeds.com/connect/10074733072513#/reservations/31673780834516?display=MH6DGW94S&amp;reservation_id=31673780834516", "MH6DGW94S")</f>
        <v>MH6DGW94S</v>
      </c>
      <c r="B3892" t="s">
        <v>1124</v>
      </c>
      <c r="C3892">
        <v>72.72</v>
      </c>
      <c r="D3892">
        <v>79.040000000000006</v>
      </c>
      <c r="E3892">
        <v>79.05</v>
      </c>
      <c r="F3892">
        <v>-0.01</v>
      </c>
    </row>
    <row r="3893" spans="1:6" x14ac:dyDescent="0.3">
      <c r="A3893" t="str">
        <f>HYPERLINK("https://us2.cloudbeds.com/connect/10074733072513#/reservations/31673845125274?display=MH6F568YH&amp;reservation_id=31673845125274", "MH6F568YH")</f>
        <v>MH6F568YH</v>
      </c>
      <c r="B3893" t="s">
        <v>1124</v>
      </c>
      <c r="C3893">
        <v>93.2</v>
      </c>
      <c r="D3893">
        <v>101.3</v>
      </c>
      <c r="E3893">
        <v>101.31</v>
      </c>
      <c r="F3893">
        <v>-0.01</v>
      </c>
    </row>
    <row r="3894" spans="1:6" x14ac:dyDescent="0.3">
      <c r="A3894" t="str">
        <f>HYPERLINK("https://us2.cloudbeds.com/connect/10074733072513#/reservations/31674129879257?display=MH6ME9VZ7&amp;reservation_id=31674129879257", "MH6ME9VZ7")</f>
        <v>MH6ME9VZ7</v>
      </c>
      <c r="B3894" t="s">
        <v>1158</v>
      </c>
      <c r="C3894">
        <v>134.1</v>
      </c>
      <c r="D3894">
        <v>145.76</v>
      </c>
      <c r="E3894">
        <v>145.77000000000001</v>
      </c>
      <c r="F3894">
        <v>-0.01</v>
      </c>
    </row>
    <row r="3895" spans="1:6" x14ac:dyDescent="0.3">
      <c r="A3895" t="str">
        <f>HYPERLINK("https://us2.cloudbeds.com/connect/10074733072513#/reservations/31682087772300?display=MHCRPK267&amp;reservation_id=31682087772300", "MHCRPK267")</f>
        <v>MHCRPK267</v>
      </c>
      <c r="B3895" t="s">
        <v>1127</v>
      </c>
      <c r="C3895">
        <v>170.1</v>
      </c>
      <c r="D3895">
        <v>184.89</v>
      </c>
      <c r="E3895">
        <v>184.9</v>
      </c>
      <c r="F3895">
        <v>-0.01</v>
      </c>
    </row>
    <row r="3896" spans="1:6" x14ac:dyDescent="0.3">
      <c r="A3896" t="str">
        <f>HYPERLINK("https://us2.cloudbeds.com/connect/10074733072513#/reservations/31673375977666?display=MH635JHPF&amp;reservation_id=31673375977666", "MH635JHPF")</f>
        <v>MH635JHPF</v>
      </c>
      <c r="B3896" t="s">
        <v>1190</v>
      </c>
      <c r="C3896">
        <v>196.2</v>
      </c>
      <c r="D3896">
        <v>213.26</v>
      </c>
      <c r="E3896">
        <v>213.27</v>
      </c>
      <c r="F3896">
        <v>-0.01</v>
      </c>
    </row>
    <row r="3897" spans="1:6" x14ac:dyDescent="0.3">
      <c r="A3897" t="str">
        <f>HYPERLINK("https://us2.cloudbeds.com/connect/10074733072513#/reservations/31674055188611?display=MH6KHAJ9A&amp;reservation_id=31674055188611", "MH6KHAJ9A")</f>
        <v>MH6KHAJ9A</v>
      </c>
      <c r="B3897" t="s">
        <v>1158</v>
      </c>
      <c r="C3897">
        <v>134.1</v>
      </c>
      <c r="D3897">
        <v>145.76</v>
      </c>
      <c r="E3897">
        <v>145.77000000000001</v>
      </c>
      <c r="F3897">
        <v>-0.01</v>
      </c>
    </row>
    <row r="3898" spans="1:6" x14ac:dyDescent="0.3">
      <c r="A3898" t="str">
        <f>HYPERLINK("https://us2.cloudbeds.com/connect/10074733072513#/reservations/31675023917269?display=MH7C95T95&amp;reservation_id=31675023917269", "MH7C95T95")</f>
        <v>MH7C95T95</v>
      </c>
      <c r="B3898" t="s">
        <v>1167</v>
      </c>
      <c r="C3898">
        <v>196.2</v>
      </c>
      <c r="D3898">
        <v>213.26</v>
      </c>
      <c r="E3898">
        <v>213.27</v>
      </c>
      <c r="F3898">
        <v>-0.01</v>
      </c>
    </row>
    <row r="3899" spans="1:6" x14ac:dyDescent="0.3">
      <c r="A3899" t="str">
        <f>HYPERLINK("https://us2.cloudbeds.com/connect/10074733072513#/reservations/31675039539398?display=MH7CMBJM1&amp;reservation_id=31675039539398", "MH7CMBJM1")</f>
        <v>MH7CMBJM1</v>
      </c>
      <c r="B3899" t="s">
        <v>1191</v>
      </c>
      <c r="C3899">
        <v>87.2</v>
      </c>
      <c r="D3899">
        <v>94.78</v>
      </c>
      <c r="E3899">
        <v>94.79</v>
      </c>
      <c r="F3899">
        <v>-0.01</v>
      </c>
    </row>
    <row r="3900" spans="1:6" x14ac:dyDescent="0.3">
      <c r="A3900" t="str">
        <f>HYPERLINK("https://us2.cloudbeds.com/connect/10074733072513#/reservations/31673707466950?display=MH6BY3NY9&amp;reservation_id=31673707466950", "MH6BY3NY9")</f>
        <v>MH6BY3NY9</v>
      </c>
      <c r="B3900" t="s">
        <v>1190</v>
      </c>
      <c r="C3900">
        <v>250.2</v>
      </c>
      <c r="D3900">
        <v>271.95999999999998</v>
      </c>
      <c r="E3900">
        <v>271.97000000000003</v>
      </c>
      <c r="F3900">
        <v>-0.01</v>
      </c>
    </row>
    <row r="3901" spans="1:6" x14ac:dyDescent="0.3">
      <c r="A3901" t="str">
        <f>HYPERLINK("https://us2.cloudbeds.com/connect/10074733072513#/reservations/31673650495695?display=MH6A62DEK&amp;reservation_id=31673650495695", "MH6A62DEK")</f>
        <v>MH6A62DEK</v>
      </c>
      <c r="B3901" t="s">
        <v>1190</v>
      </c>
      <c r="C3901">
        <v>118.15</v>
      </c>
      <c r="D3901">
        <v>128.41999999999999</v>
      </c>
      <c r="E3901">
        <v>128.43</v>
      </c>
      <c r="F3901">
        <v>-0.01</v>
      </c>
    </row>
    <row r="3902" spans="1:6" x14ac:dyDescent="0.3">
      <c r="A3902" t="str">
        <f>HYPERLINK("https://us2.cloudbeds.com/connect/10074733072513#/reservations/31675511582881?display=MH7ZZCTP0&amp;reservation_id=31675511582881", "MH7ZZCTP0")</f>
        <v>MH7ZZCTP0</v>
      </c>
      <c r="B3902" t="s">
        <v>1171</v>
      </c>
      <c r="C3902">
        <v>112.24</v>
      </c>
      <c r="D3902">
        <v>121.99</v>
      </c>
      <c r="E3902">
        <v>122</v>
      </c>
      <c r="F3902">
        <v>-0.01</v>
      </c>
    </row>
    <row r="3903" spans="1:6" x14ac:dyDescent="0.3">
      <c r="A3903" t="str">
        <f>HYPERLINK("https://us2.cloudbeds.com/connect/10074733072513#/reservations/31675852730574?display=MH80F1RMT&amp;reservation_id=31675852730574", "MH80F1RMT")</f>
        <v>MH80F1RMT</v>
      </c>
      <c r="B3903" t="s">
        <v>1159</v>
      </c>
      <c r="C3903">
        <v>94.16</v>
      </c>
      <c r="D3903">
        <v>102.34</v>
      </c>
      <c r="E3903">
        <v>102.35</v>
      </c>
      <c r="F3903">
        <v>-0.01</v>
      </c>
    </row>
    <row r="3904" spans="1:6" x14ac:dyDescent="0.3">
      <c r="A3904" t="str">
        <f>HYPERLINK("https://us2.cloudbeds.com/connect/10074733072513#/reservations/31673337954502?display=MH626HG3C&amp;reservation_id=31673337954502", "MH626HG3C")</f>
        <v>MH626HG3C</v>
      </c>
      <c r="B3904" t="s">
        <v>1190</v>
      </c>
      <c r="C3904">
        <v>112.24</v>
      </c>
      <c r="D3904">
        <v>121.99</v>
      </c>
      <c r="E3904">
        <v>122</v>
      </c>
      <c r="F3904">
        <v>-0.01</v>
      </c>
    </row>
    <row r="3905" spans="1:6" x14ac:dyDescent="0.3">
      <c r="A3905" t="str">
        <f>HYPERLINK("https://us2.cloudbeds.com/connect/10074733072513#/reservations/31674712301808?display=MH74ADZ0E&amp;reservation_id=31674712301808", "MH74ADZ0E")</f>
        <v>MH74ADZ0E</v>
      </c>
      <c r="B3905" t="s">
        <v>1169</v>
      </c>
      <c r="C3905">
        <v>87.2</v>
      </c>
      <c r="D3905">
        <v>94.78</v>
      </c>
      <c r="E3905">
        <v>94.79</v>
      </c>
      <c r="F3905">
        <v>-0.01</v>
      </c>
    </row>
    <row r="3906" spans="1:6" x14ac:dyDescent="0.3">
      <c r="A3906" t="str">
        <f>HYPERLINK("https://us2.cloudbeds.com/connect/10074733072513#/reservations/31673692836047?display=MH6B8PJFJ&amp;reservation_id=31673692836047", "MH6B8PJFJ")</f>
        <v>MH6B8PJFJ</v>
      </c>
      <c r="B3906" t="s">
        <v>1190</v>
      </c>
      <c r="C3906">
        <v>127.2</v>
      </c>
      <c r="D3906">
        <v>138.26</v>
      </c>
      <c r="E3906">
        <v>138.27000000000001</v>
      </c>
      <c r="F3906">
        <v>-0.01</v>
      </c>
    </row>
    <row r="3907" spans="1:6" x14ac:dyDescent="0.3">
      <c r="A3907" t="str">
        <f>HYPERLINK("https://us2.cloudbeds.com/connect/10074733072513#/reservations/31675837890727?display=MH802HTYX&amp;reservation_id=31675837890727", "MH802HTYX")</f>
        <v>MH802HTYX</v>
      </c>
      <c r="B3907" t="s">
        <v>1159</v>
      </c>
      <c r="C3907">
        <v>134.1</v>
      </c>
      <c r="D3907">
        <v>145.76</v>
      </c>
      <c r="E3907">
        <v>145.77000000000001</v>
      </c>
      <c r="F3907">
        <v>-0.01</v>
      </c>
    </row>
    <row r="3908" spans="1:6" x14ac:dyDescent="0.3">
      <c r="A3908" t="str">
        <f>HYPERLINK("https://us2.cloudbeds.com/connect/10074733072513#/reservations/31676130996469?display=MH87XMWUZ&amp;reservation_id=31676130996469", "MH87XMWUZ")</f>
        <v>MH87XMWUZ</v>
      </c>
      <c r="B3908" t="s">
        <v>1192</v>
      </c>
      <c r="C3908">
        <v>196.2</v>
      </c>
      <c r="D3908">
        <v>213.26</v>
      </c>
      <c r="E3908">
        <v>213.27</v>
      </c>
      <c r="F3908">
        <v>-0.01</v>
      </c>
    </row>
    <row r="3909" spans="1:6" x14ac:dyDescent="0.3">
      <c r="A3909" t="str">
        <f>HYPERLINK("https://us2.cloudbeds.com/connect/10074733072513#/reservations/31675082178770?display=MH7DPA397&amp;reservation_id=31675082178770", "MH7DPA397")</f>
        <v>MH7DPA397</v>
      </c>
      <c r="B3909" t="s">
        <v>1181</v>
      </c>
      <c r="C3909">
        <v>87.2</v>
      </c>
      <c r="D3909">
        <v>94.78</v>
      </c>
      <c r="E3909">
        <v>94.79</v>
      </c>
      <c r="F3909">
        <v>-0.01</v>
      </c>
    </row>
    <row r="3910" spans="1:6" x14ac:dyDescent="0.3">
      <c r="A3910" t="str">
        <f>HYPERLINK("https://us2.cloudbeds.com/connect/10074733072513#/reservations/31674287501472?display=MH6QF711W&amp;reservation_id=31674287501472", "MH6QF711W")</f>
        <v>MH6QF711W</v>
      </c>
      <c r="B3910" t="s">
        <v>1090</v>
      </c>
      <c r="C3910">
        <v>250.2</v>
      </c>
      <c r="D3910">
        <v>271.95999999999998</v>
      </c>
      <c r="E3910">
        <v>271.97000000000003</v>
      </c>
      <c r="F3910">
        <v>-0.01</v>
      </c>
    </row>
    <row r="3911" spans="1:6" x14ac:dyDescent="0.3">
      <c r="A3911" t="str">
        <f>HYPERLINK("https://us2.cloudbeds.com/connect/10074733072513#/reservations/31675041853641?display=MH7CZ9WPK&amp;reservation_id=31675041853641", "MH7CZ9WPK")</f>
        <v>MH7CZ9WPK</v>
      </c>
      <c r="B3911" t="s">
        <v>1167</v>
      </c>
      <c r="C3911">
        <v>94.16</v>
      </c>
      <c r="D3911">
        <v>102.34</v>
      </c>
      <c r="E3911">
        <v>102.35</v>
      </c>
      <c r="F3911">
        <v>-0.01</v>
      </c>
    </row>
    <row r="3912" spans="1:6" x14ac:dyDescent="0.3">
      <c r="A3912" t="str">
        <f>HYPERLINK("https://us2.cloudbeds.com/connect/10074733072513#/reservations/31674759602331?display=MH75H9URK&amp;reservation_id=31674759602331", "MH75H9URK")</f>
        <v>MH75H9URK</v>
      </c>
      <c r="B3912" t="s">
        <v>1169</v>
      </c>
      <c r="C3912">
        <v>294.3</v>
      </c>
      <c r="D3912">
        <v>319.89</v>
      </c>
      <c r="E3912">
        <v>319.89999999999998</v>
      </c>
      <c r="F3912">
        <v>-0.01</v>
      </c>
    </row>
    <row r="3913" spans="1:6" x14ac:dyDescent="0.3">
      <c r="A3913" t="str">
        <f>HYPERLINK("https://us2.cloudbeds.com/connect/10074733072513#/reservations/31674265620615?display=MH6PTP5EN&amp;reservation_id=31674265620615", "MH6PTP5EN")</f>
        <v>MH6PTP5EN</v>
      </c>
      <c r="B3913" t="s">
        <v>1090</v>
      </c>
      <c r="C3913">
        <v>134.1</v>
      </c>
      <c r="D3913">
        <v>145.76</v>
      </c>
      <c r="E3913">
        <v>145.77000000000001</v>
      </c>
      <c r="F3913">
        <v>-0.01</v>
      </c>
    </row>
    <row r="3914" spans="1:6" x14ac:dyDescent="0.3">
      <c r="A3914" t="str">
        <f>HYPERLINK("https://us2.cloudbeds.com/connect/10074733072513#/reservations/31679277093034?display=MHAYVXPG9&amp;reservation_id=31679277093034", "MHAYVXPG9")</f>
        <v>MHAYVXPG9</v>
      </c>
      <c r="B3914" t="s">
        <v>1065</v>
      </c>
      <c r="C3914">
        <v>240.32</v>
      </c>
      <c r="D3914">
        <v>261.22000000000003</v>
      </c>
      <c r="E3914">
        <v>261.23</v>
      </c>
      <c r="F3914">
        <v>-0.01</v>
      </c>
    </row>
    <row r="3915" spans="1:6" x14ac:dyDescent="0.3">
      <c r="A3915" t="str">
        <f>HYPERLINK("https://us2.cloudbeds.com/connect/10074733072513#/reservations/31678164676835?display=MH9QHX50G&amp;reservation_id=31678164676835", "MH9QHX50G")</f>
        <v>MH9QHX50G</v>
      </c>
      <c r="B3915" t="s">
        <v>1195</v>
      </c>
      <c r="C3915">
        <v>152.15</v>
      </c>
      <c r="D3915">
        <v>165.38</v>
      </c>
      <c r="E3915">
        <v>165.39</v>
      </c>
      <c r="F3915">
        <v>-0.01</v>
      </c>
    </row>
    <row r="3916" spans="1:6" x14ac:dyDescent="0.3">
      <c r="A3916" t="str">
        <f>HYPERLINK("https://us2.cloudbeds.com/connect/10074733072513#/reservations/31676006150305?display=MH84CDVWY&amp;reservation_id=31676006150305", "MH84CDVWY")</f>
        <v>MH84CDVWY</v>
      </c>
      <c r="B3916" t="s">
        <v>1192</v>
      </c>
      <c r="C3916">
        <v>206.64</v>
      </c>
      <c r="D3916">
        <v>224.61</v>
      </c>
      <c r="E3916">
        <v>224.62</v>
      </c>
      <c r="F3916">
        <v>-0.01</v>
      </c>
    </row>
    <row r="3917" spans="1:6" x14ac:dyDescent="0.3">
      <c r="A3917" t="str">
        <f>HYPERLINK("https://us2.cloudbeds.com/connect/10074733072513#/reservations/31677678096584?display=MH9E38B6D&amp;reservation_id=31677678096584", "MH9E38B6D")</f>
        <v>MH9E38B6D</v>
      </c>
      <c r="B3917" t="s">
        <v>1194</v>
      </c>
      <c r="C3917">
        <v>294.3</v>
      </c>
      <c r="D3917">
        <v>319.89</v>
      </c>
      <c r="E3917">
        <v>319.89999999999998</v>
      </c>
      <c r="F3917">
        <v>-0.01</v>
      </c>
    </row>
    <row r="3918" spans="1:6" x14ac:dyDescent="0.3">
      <c r="A3918" t="str">
        <f>HYPERLINK("https://us2.cloudbeds.com/connect/10074733072513#/reservations/31674354602223?display=MH6S5Q6U2&amp;reservation_id=31674354602223", "MH6S5Q6U2")</f>
        <v>MH6S5Q6U2</v>
      </c>
      <c r="B3918" t="s">
        <v>1085</v>
      </c>
      <c r="C3918">
        <v>250.2</v>
      </c>
      <c r="D3918">
        <v>271.95999999999998</v>
      </c>
      <c r="E3918">
        <v>271.97000000000003</v>
      </c>
      <c r="F3918">
        <v>-0.01</v>
      </c>
    </row>
    <row r="3919" spans="1:6" x14ac:dyDescent="0.3">
      <c r="A3919" t="str">
        <f>HYPERLINK("https://us2.cloudbeds.com/connect/10074733072513#/reservations/31675062698195?display=MH7D8T0PP&amp;reservation_id=31675062698195", "MH7D8T0PP")</f>
        <v>MH7D8T0PP</v>
      </c>
      <c r="B3919" t="s">
        <v>1181</v>
      </c>
      <c r="C3919">
        <v>120.32</v>
      </c>
      <c r="D3919">
        <v>130.78</v>
      </c>
      <c r="E3919">
        <v>130.79</v>
      </c>
      <c r="F3919">
        <v>-0.01</v>
      </c>
    </row>
    <row r="3920" spans="1:6" x14ac:dyDescent="0.3">
      <c r="A3920" t="str">
        <f>HYPERLINK("https://us2.cloudbeds.com/connect/10074733072513#/reservations/31674518401219?display=MH6WBU570&amp;reservation_id=31674518401219", "MH6WBU570")</f>
        <v>MH6WBU570</v>
      </c>
      <c r="B3920" t="s">
        <v>1108</v>
      </c>
      <c r="C3920">
        <v>250.2</v>
      </c>
      <c r="D3920">
        <v>271.95999999999998</v>
      </c>
      <c r="E3920">
        <v>271.97000000000003</v>
      </c>
      <c r="F3920">
        <v>-0.01</v>
      </c>
    </row>
    <row r="3921" spans="1:6" x14ac:dyDescent="0.3">
      <c r="A3921" t="str">
        <f>HYPERLINK("https://us2.cloudbeds.com/connect/10074733072513#/reservations/31676521128174?display=MH8HHYWJK&amp;reservation_id=31676521128174", "MH8HHYWJK")</f>
        <v>MH8HHYWJK</v>
      </c>
      <c r="B3921" t="s">
        <v>1034</v>
      </c>
      <c r="C3921">
        <v>134.1</v>
      </c>
      <c r="D3921">
        <v>145.76</v>
      </c>
      <c r="E3921">
        <v>145.77000000000001</v>
      </c>
      <c r="F3921">
        <v>-0.01</v>
      </c>
    </row>
    <row r="3922" spans="1:6" x14ac:dyDescent="0.3">
      <c r="A3922" t="str">
        <f>HYPERLINK("https://us2.cloudbeds.com/connect/10074733072513#/reservations/31675046342810?display=MH7CS2U21&amp;reservation_id=31675046342810", "MH7CS2U21")</f>
        <v>MH7CS2U21</v>
      </c>
      <c r="B3922" t="s">
        <v>1191</v>
      </c>
      <c r="C3922">
        <v>196.2</v>
      </c>
      <c r="D3922">
        <v>213.26</v>
      </c>
      <c r="E3922">
        <v>213.27</v>
      </c>
      <c r="F3922">
        <v>-0.01</v>
      </c>
    </row>
    <row r="3923" spans="1:6" x14ac:dyDescent="0.3">
      <c r="A3923" t="str">
        <f>HYPERLINK("https://us2.cloudbeds.com/connect/10074733072513#/reservations/31675861786766?display=MH80MMRZV&amp;reservation_id=31675861786766", "MH80MMRZV")</f>
        <v>MH80MMRZV</v>
      </c>
      <c r="B3923" t="s">
        <v>957</v>
      </c>
      <c r="C3923">
        <v>134.1</v>
      </c>
      <c r="D3923">
        <v>145.76</v>
      </c>
      <c r="E3923">
        <v>145.77000000000001</v>
      </c>
      <c r="F3923">
        <v>-0.01</v>
      </c>
    </row>
    <row r="3924" spans="1:6" x14ac:dyDescent="0.3">
      <c r="A3924" t="str">
        <f>HYPERLINK("https://us2.cloudbeds.com/connect/10074733072513#/reservations/31674453893335?display=MH6UNH4AY&amp;reservation_id=31674453893335", "MH6UNH4AY")</f>
        <v>MH6UNH4AY</v>
      </c>
      <c r="B3924" t="s">
        <v>1085</v>
      </c>
      <c r="C3924">
        <v>196.2</v>
      </c>
      <c r="D3924">
        <v>213.26</v>
      </c>
      <c r="E3924">
        <v>213.27</v>
      </c>
      <c r="F3924">
        <v>-0.01</v>
      </c>
    </row>
    <row r="3925" spans="1:6" x14ac:dyDescent="0.3">
      <c r="A3925" t="str">
        <f>HYPERLINK("https://us2.cloudbeds.com/connect/10074733072513#/reservations/31681063235717?display=MHC1JMR84&amp;reservation_id=31681063235717", "MHC1JMR84")</f>
        <v>MHC1JMR84</v>
      </c>
      <c r="B3925" t="s">
        <v>1136</v>
      </c>
      <c r="C3925">
        <v>143.65</v>
      </c>
      <c r="D3925">
        <v>156.13999999999999</v>
      </c>
      <c r="E3925">
        <v>156.15</v>
      </c>
      <c r="F3925">
        <v>-0.01</v>
      </c>
    </row>
    <row r="3926" spans="1:6" x14ac:dyDescent="0.3">
      <c r="A3926" t="str">
        <f>HYPERLINK("https://us2.cloudbeds.com/connect/10074733072513#/reservations/31676359377085?display=MH8DD90RF&amp;reservation_id=31676359377085", "MH8DD90RF")</f>
        <v>MH8DD90RF</v>
      </c>
      <c r="B3926" t="s">
        <v>1189</v>
      </c>
      <c r="C3926">
        <v>500.4</v>
      </c>
      <c r="D3926">
        <v>543.91999999999996</v>
      </c>
      <c r="E3926">
        <v>543.92999999999995</v>
      </c>
      <c r="F3926">
        <v>-0.01</v>
      </c>
    </row>
    <row r="3927" spans="1:6" x14ac:dyDescent="0.3">
      <c r="A3927" t="str">
        <f>HYPERLINK("https://us2.cloudbeds.com/connect/10074733072513#/reservations/31676646191331?display=MH8KZ41Q8&amp;reservation_id=31676646191331", "MH8KZ41Q8")</f>
        <v>MH8KZ41Q8</v>
      </c>
      <c r="B3927" t="s">
        <v>1034</v>
      </c>
      <c r="C3927">
        <v>268.2</v>
      </c>
      <c r="D3927">
        <v>291.52</v>
      </c>
      <c r="E3927">
        <v>291.52999999999997</v>
      </c>
      <c r="F3927">
        <v>-0.01</v>
      </c>
    </row>
    <row r="3928" spans="1:6" x14ac:dyDescent="0.3">
      <c r="A3928" t="str">
        <f>HYPERLINK("https://us2.cloudbeds.com/connect/10074733072513#/reservations/31675399360720?display=MH7YSP53F&amp;reservation_id=31675399360720", "MH7YSP53F")</f>
        <v>MH7YSP53F</v>
      </c>
      <c r="B3928" t="s">
        <v>1152</v>
      </c>
      <c r="C3928">
        <v>134.1</v>
      </c>
      <c r="D3928">
        <v>145.76</v>
      </c>
      <c r="E3928">
        <v>145.77000000000001</v>
      </c>
      <c r="F3928">
        <v>-0.01</v>
      </c>
    </row>
    <row r="3929" spans="1:6" x14ac:dyDescent="0.3">
      <c r="A3929" t="str">
        <f>HYPERLINK("https://us2.cloudbeds.com/connect/10074733072513#/reservations/31677220155605?display=MH92D3F21&amp;reservation_id=31677220155605", "MH92D3F21")</f>
        <v>MH92D3F21</v>
      </c>
      <c r="B3929" t="s">
        <v>1172</v>
      </c>
      <c r="C3929">
        <v>304.2</v>
      </c>
      <c r="D3929">
        <v>330.66</v>
      </c>
      <c r="E3929">
        <v>330.67</v>
      </c>
      <c r="F3929">
        <v>-0.01</v>
      </c>
    </row>
    <row r="3930" spans="1:6" x14ac:dyDescent="0.3">
      <c r="A3930" t="str">
        <f>HYPERLINK("https://us2.cloudbeds.com/connect/10074733072513#/reservations/31679136018617?display=MHAXBK5XV&amp;reservation_id=31679136018617", "MHAXBK5XV")</f>
        <v>MHAXBK5XV</v>
      </c>
      <c r="B3930" t="s">
        <v>1065</v>
      </c>
      <c r="C3930">
        <v>304.2</v>
      </c>
      <c r="D3930">
        <v>330.66</v>
      </c>
      <c r="E3930">
        <v>330.67</v>
      </c>
      <c r="F3930">
        <v>-0.01</v>
      </c>
    </row>
    <row r="3931" spans="1:6" x14ac:dyDescent="0.3">
      <c r="A3931" t="str">
        <f>HYPERLINK("https://us2.cloudbeds.com/connect/10074733072513#/reservations/31679129092312?display=MHAX5PEAU&amp;reservation_id=31679129092312", "MHAX5PEAU")</f>
        <v>MHAX5PEAU</v>
      </c>
      <c r="B3931" t="s">
        <v>1065</v>
      </c>
      <c r="C3931">
        <v>304.2</v>
      </c>
      <c r="D3931">
        <v>330.66</v>
      </c>
      <c r="E3931">
        <v>330.67</v>
      </c>
      <c r="F3931">
        <v>-0.01</v>
      </c>
    </row>
    <row r="3932" spans="1:6" x14ac:dyDescent="0.3">
      <c r="A3932" t="str">
        <f>HYPERLINK("https://us2.cloudbeds.com/connect/10074733072513#/reservations/31677763141847?display=MH9G8VS0J&amp;reservation_id=31677763141847", "MH9G8VS0J")</f>
        <v>MH9G8VS0J</v>
      </c>
      <c r="B3932" t="s">
        <v>1186</v>
      </c>
      <c r="C3932">
        <v>375.3</v>
      </c>
      <c r="D3932">
        <v>407.94</v>
      </c>
      <c r="E3932">
        <v>407.95</v>
      </c>
      <c r="F3932">
        <v>-0.01</v>
      </c>
    </row>
    <row r="3933" spans="1:6" x14ac:dyDescent="0.3">
      <c r="A3933" t="str">
        <f>HYPERLINK("https://us2.cloudbeds.com/connect/10074733072513#/reservations/31674781327557?display=MH762KFHQ&amp;reservation_id=31674781327557", "MH762KFHQ")</f>
        <v>MH762KFHQ</v>
      </c>
      <c r="B3933" t="s">
        <v>1186</v>
      </c>
      <c r="C3933">
        <v>268.2</v>
      </c>
      <c r="D3933">
        <v>291.52</v>
      </c>
      <c r="E3933">
        <v>291.52999999999997</v>
      </c>
      <c r="F3933">
        <v>-0.01</v>
      </c>
    </row>
    <row r="3934" spans="1:6" x14ac:dyDescent="0.3">
      <c r="A3934" t="str">
        <f>HYPERLINK("https://us2.cloudbeds.com/connect/10074733072513#/reservations/31677382439111?display=MH96HV7Z1&amp;reservation_id=31677382439111", "MH96HV7Z1")</f>
        <v>MH96HV7Z1</v>
      </c>
      <c r="B3934" t="s">
        <v>1034</v>
      </c>
      <c r="C3934">
        <v>304.2</v>
      </c>
      <c r="D3934">
        <v>330.66</v>
      </c>
      <c r="E3934">
        <v>330.67</v>
      </c>
      <c r="F3934">
        <v>-0.01</v>
      </c>
    </row>
    <row r="3935" spans="1:6" x14ac:dyDescent="0.3">
      <c r="A3935" t="str">
        <f>HYPERLINK("https://us2.cloudbeds.com/connect/10074733072513#/reservations/31674761588921?display=MH75XW72A&amp;reservation_id=31674761588921", "MH75XW72A")</f>
        <v>MH75XW72A</v>
      </c>
      <c r="B3935" t="s">
        <v>1186</v>
      </c>
      <c r="C3935">
        <v>118.15</v>
      </c>
      <c r="D3935">
        <v>128.41999999999999</v>
      </c>
      <c r="E3935">
        <v>128.43</v>
      </c>
      <c r="F3935">
        <v>-0.01</v>
      </c>
    </row>
    <row r="3936" spans="1:6" x14ac:dyDescent="0.3">
      <c r="A3936" t="str">
        <f>HYPERLINK("https://us2.cloudbeds.com/connect/10074733072513#/reservations/31681928327391?display=MHCNN594B&amp;reservation_id=31681928327391", "MHCNN594B")</f>
        <v>MHCNN594B</v>
      </c>
      <c r="B3936" t="s">
        <v>1235</v>
      </c>
      <c r="C3936">
        <v>608.4</v>
      </c>
      <c r="D3936">
        <v>661.32</v>
      </c>
      <c r="E3936">
        <v>661.33</v>
      </c>
      <c r="F3936">
        <v>-0.01</v>
      </c>
    </row>
    <row r="3937" spans="1:6" x14ac:dyDescent="0.3">
      <c r="A3937" t="str">
        <f>HYPERLINK("https://us2.cloudbeds.com/connect/10074733072513#/reservations/31678048514243?display=MH9NXJZVV&amp;reservation_id=31678048514243", "MH9NXJZVV")</f>
        <v>MH9NXJZVV</v>
      </c>
      <c r="B3937" t="s">
        <v>1229</v>
      </c>
      <c r="C3937">
        <v>87.2</v>
      </c>
      <c r="D3937">
        <v>94.78</v>
      </c>
      <c r="E3937">
        <v>94.79</v>
      </c>
      <c r="F3937">
        <v>-0.01</v>
      </c>
    </row>
    <row r="3938" spans="1:6" x14ac:dyDescent="0.3">
      <c r="A3938" t="str">
        <f>HYPERLINK("https://us2.cloudbeds.com/connect/10074733072513#/reservations/31677047296213?display=MH8UWBCRY&amp;reservation_id=31677047296213", "MH8UWBCRY")</f>
        <v>MH8UWBCRY</v>
      </c>
      <c r="B3938" t="s">
        <v>1236</v>
      </c>
      <c r="C3938">
        <v>375.3</v>
      </c>
      <c r="D3938">
        <v>407.94</v>
      </c>
      <c r="E3938">
        <v>407.95</v>
      </c>
      <c r="F3938">
        <v>-0.01</v>
      </c>
    </row>
    <row r="3939" spans="1:6" x14ac:dyDescent="0.3">
      <c r="A3939" t="str">
        <f>HYPERLINK("https://us2.cloudbeds.com/connect/10074733072513#/reservations/31677792153796?display=MH9H0E4UX&amp;reservation_id=31677792153796", "MH9H0E4UX")</f>
        <v>MH9H0E4UX</v>
      </c>
      <c r="B3939" t="s">
        <v>1197</v>
      </c>
      <c r="C3939">
        <v>72.72</v>
      </c>
      <c r="D3939">
        <v>79.040000000000006</v>
      </c>
      <c r="E3939">
        <v>79.05</v>
      </c>
      <c r="F3939">
        <v>-0.01</v>
      </c>
    </row>
    <row r="3940" spans="1:6" x14ac:dyDescent="0.3">
      <c r="A3940" t="str">
        <f>HYPERLINK("https://us2.cloudbeds.com/connect/10074733072513#/reservations/31674776645850?display=MH75VM6ET&amp;reservation_id=31674776645850", "MH75VM6ET")</f>
        <v>MH75VM6ET</v>
      </c>
      <c r="B3940" t="s">
        <v>1169</v>
      </c>
      <c r="C3940">
        <v>137.76</v>
      </c>
      <c r="D3940">
        <v>149.74</v>
      </c>
      <c r="E3940">
        <v>149.75</v>
      </c>
      <c r="F3940">
        <v>-0.01</v>
      </c>
    </row>
    <row r="3941" spans="1:6" x14ac:dyDescent="0.3">
      <c r="A3941" t="str">
        <f>HYPERLINK("https://us2.cloudbeds.com/connect/10074733072513#/reservations/31678686621840?display=MHA6SM1BQ&amp;reservation_id=31678686621840", "MHA6SM1BQ")</f>
        <v>MHA6SM1BQ</v>
      </c>
      <c r="B3941" t="s">
        <v>1172</v>
      </c>
      <c r="C3941">
        <v>304.2</v>
      </c>
      <c r="D3941">
        <v>330.66</v>
      </c>
      <c r="E3941">
        <v>330.67</v>
      </c>
      <c r="F3941">
        <v>-0.01</v>
      </c>
    </row>
    <row r="3942" spans="1:6" x14ac:dyDescent="0.3">
      <c r="A3942" t="str">
        <f>HYPERLINK("https://us2.cloudbeds.com/connect/10074733072513#/reservations/31674788516004?display=MH768MGGH&amp;reservation_id=31674788516004", "MH768MGGH")</f>
        <v>MH768MGGH</v>
      </c>
      <c r="B3942" t="s">
        <v>1186</v>
      </c>
      <c r="C3942">
        <v>118.15</v>
      </c>
      <c r="D3942">
        <v>128.41999999999999</v>
      </c>
      <c r="E3942">
        <v>128.43</v>
      </c>
      <c r="F3942">
        <v>-0.01</v>
      </c>
    </row>
    <row r="3943" spans="1:6" x14ac:dyDescent="0.3">
      <c r="A3943" t="str">
        <f>HYPERLINK("https://us2.cloudbeds.com/connect/10074733072513#/reservations/31678265811085?display=MH9T3RBUZ&amp;reservation_id=31678265811085", "MH9T3RBUZ")</f>
        <v>MH9T3RBUZ</v>
      </c>
      <c r="B3943" t="s">
        <v>1184</v>
      </c>
      <c r="C3943">
        <v>196.2</v>
      </c>
      <c r="D3943">
        <v>213.26</v>
      </c>
      <c r="E3943">
        <v>213.27</v>
      </c>
      <c r="F3943">
        <v>-0.01</v>
      </c>
    </row>
    <row r="3944" spans="1:6" x14ac:dyDescent="0.3">
      <c r="A3944" t="str">
        <f>HYPERLINK("https://us2.cloudbeds.com/connect/10074733072513#/reservations/31676666839255?display=MH8Y8HK7U&amp;reservation_id=31676666839255", "MH8Y8HK7U")</f>
        <v>MH8Y8HK7U</v>
      </c>
      <c r="B3944" t="s">
        <v>1034</v>
      </c>
      <c r="C3944">
        <v>304.2</v>
      </c>
      <c r="D3944">
        <v>330.66</v>
      </c>
      <c r="E3944">
        <v>330.67</v>
      </c>
      <c r="F3944">
        <v>-0.01</v>
      </c>
    </row>
    <row r="3945" spans="1:6" x14ac:dyDescent="0.3">
      <c r="A3945" t="str">
        <f>HYPERLINK("https://us2.cloudbeds.com/connect/10074733072513#/reservations/31675169976523?display=MH7G0B6Y6&amp;reservation_id=31675169976523", "MH7G0B6Y6")</f>
        <v>MH7G0B6Y6</v>
      </c>
      <c r="B3945" t="s">
        <v>1155</v>
      </c>
      <c r="C3945">
        <v>94.16</v>
      </c>
      <c r="D3945">
        <v>102.34</v>
      </c>
      <c r="E3945">
        <v>102.35</v>
      </c>
      <c r="F3945">
        <v>-0.01</v>
      </c>
    </row>
    <row r="3946" spans="1:6" x14ac:dyDescent="0.3">
      <c r="A3946" t="str">
        <f>HYPERLINK("https://us2.cloudbeds.com/connect/10074733072513#/reservations/31675151044850?display=MH7FHCD64&amp;reservation_id=31675151044850", "MH7FHCD64")</f>
        <v>MH7FHCD64</v>
      </c>
      <c r="B3946" t="s">
        <v>1207</v>
      </c>
      <c r="C3946">
        <v>94.16</v>
      </c>
      <c r="D3946">
        <v>102.34</v>
      </c>
      <c r="E3946">
        <v>102.35</v>
      </c>
      <c r="F3946">
        <v>-0.01</v>
      </c>
    </row>
    <row r="3947" spans="1:6" x14ac:dyDescent="0.3">
      <c r="A3947" t="str">
        <f>HYPERLINK("https://us2.cloudbeds.com/connect/10074733072513#/reservations/31676052017348?display=MH85X39G1&amp;reservation_id=31676052017348", "MH85X39G1")</f>
        <v>MH85X39G1</v>
      </c>
      <c r="B3947" t="s">
        <v>1166</v>
      </c>
      <c r="C3947">
        <v>268.2</v>
      </c>
      <c r="D3947">
        <v>291.52</v>
      </c>
      <c r="E3947">
        <v>291.52999999999997</v>
      </c>
      <c r="F3947">
        <v>-0.01</v>
      </c>
    </row>
    <row r="3948" spans="1:6" x14ac:dyDescent="0.3">
      <c r="A3948" t="str">
        <f>HYPERLINK("https://us2.cloudbeds.com/connect/10074733072513#/reservations/31675419881615?display=MH7MD25TP&amp;reservation_id=31675419881615", "MH7MD25TP")</f>
        <v>MH7MD25TP</v>
      </c>
      <c r="B3948" t="s">
        <v>1171</v>
      </c>
      <c r="C3948">
        <v>169.15</v>
      </c>
      <c r="D3948">
        <v>183.86</v>
      </c>
      <c r="E3948">
        <v>183.87</v>
      </c>
      <c r="F3948">
        <v>-0.01</v>
      </c>
    </row>
    <row r="3949" spans="1:6" x14ac:dyDescent="0.3">
      <c r="A3949" t="str">
        <f>HYPERLINK("https://us2.cloudbeds.com/connect/10074733072513#/reservations/31678259069117?display=MH9SV4ZVM&amp;reservation_id=31678259069117", "MH9SV4ZVM")</f>
        <v>MH9SV4ZVM</v>
      </c>
      <c r="B3949" t="s">
        <v>1050</v>
      </c>
      <c r="C3949">
        <v>72.72</v>
      </c>
      <c r="D3949">
        <v>79.040000000000006</v>
      </c>
      <c r="E3949">
        <v>79.05</v>
      </c>
      <c r="F3949">
        <v>-0.01</v>
      </c>
    </row>
    <row r="3950" spans="1:6" x14ac:dyDescent="0.3">
      <c r="A3950" t="str">
        <f>HYPERLINK("https://us2.cloudbeds.com/connect/10074733072513#/reservations/31676936945885?display=MH8S59Z1A&amp;reservation_id=31676936945885", "MH8S59Z1A")</f>
        <v>MH8S59Z1A</v>
      </c>
      <c r="B3950" t="s">
        <v>1166</v>
      </c>
      <c r="C3950">
        <v>94.16</v>
      </c>
      <c r="D3950">
        <v>102.34</v>
      </c>
      <c r="E3950">
        <v>102.35</v>
      </c>
      <c r="F3950">
        <v>-0.01</v>
      </c>
    </row>
    <row r="3951" spans="1:6" x14ac:dyDescent="0.3">
      <c r="A3951" t="str">
        <f>HYPERLINK("https://us2.cloudbeds.com/connect/10074733072513#/reservations/31675879305399?display=MH814FAYK&amp;reservation_id=31675879305399", "MH814FAYK")</f>
        <v>MH814FAYK</v>
      </c>
      <c r="B3951" t="s">
        <v>1113</v>
      </c>
      <c r="C3951">
        <v>447.3</v>
      </c>
      <c r="D3951">
        <v>486.21</v>
      </c>
      <c r="E3951">
        <v>486.22</v>
      </c>
      <c r="F3951">
        <v>-0.01</v>
      </c>
    </row>
    <row r="3952" spans="1:6" x14ac:dyDescent="0.3">
      <c r="A3952" t="str">
        <f>HYPERLINK("https://us2.cloudbeds.com/connect/10074733072513#/reservations/31674794430672?display=MH76DM2PT&amp;reservation_id=31674794430672", "MH76DM2PT")</f>
        <v>MH76DM2PT</v>
      </c>
      <c r="B3952" t="s">
        <v>1241</v>
      </c>
      <c r="C3952">
        <v>290.83999999999997</v>
      </c>
      <c r="D3952">
        <v>316.13</v>
      </c>
      <c r="E3952">
        <v>316.14</v>
      </c>
      <c r="F3952">
        <v>-0.01</v>
      </c>
    </row>
    <row r="3953" spans="1:6" x14ac:dyDescent="0.3">
      <c r="A3953" t="str">
        <f>HYPERLINK("https://us2.cloudbeds.com/connect/10074733072513#/reservations/31678384091274?display=MH9W4XMGT&amp;reservation_id=31678384091274", "MH9W4XMGT")</f>
        <v>MH9W4XMGT</v>
      </c>
      <c r="B3953" t="s">
        <v>925</v>
      </c>
      <c r="C3953">
        <v>134.1</v>
      </c>
      <c r="D3953">
        <v>145.76</v>
      </c>
      <c r="E3953">
        <v>145.77000000000001</v>
      </c>
      <c r="F3953">
        <v>-0.01</v>
      </c>
    </row>
    <row r="3954" spans="1:6" x14ac:dyDescent="0.3">
      <c r="A3954" t="str">
        <f>HYPERLINK("https://us2.cloudbeds.com/connect/10074733072513#/reservations/31675948052682?display=MH82TEAFK&amp;reservation_id=31675948052682", "MH82TEAFK")</f>
        <v>MH82TEAFK</v>
      </c>
      <c r="B3954" t="s">
        <v>1175</v>
      </c>
      <c r="C3954">
        <v>143.65</v>
      </c>
      <c r="D3954">
        <v>156.13999999999999</v>
      </c>
      <c r="E3954">
        <v>156.15</v>
      </c>
      <c r="F3954">
        <v>-0.01</v>
      </c>
    </row>
    <row r="3955" spans="1:6" x14ac:dyDescent="0.3">
      <c r="A3955" t="str">
        <f>HYPERLINK("https://us2.cloudbeds.com/connect/10074733072513#/reservations/31676018569434?display=MH84MTX4T&amp;reservation_id=31676018569434", "MH84MTX4T")</f>
        <v>MH84MTX4T</v>
      </c>
      <c r="B3955" t="s">
        <v>1166</v>
      </c>
      <c r="C3955">
        <v>94.16</v>
      </c>
      <c r="D3955">
        <v>102.34</v>
      </c>
      <c r="E3955">
        <v>102.35</v>
      </c>
      <c r="F3955">
        <v>-0.01</v>
      </c>
    </row>
    <row r="3956" spans="1:6" x14ac:dyDescent="0.3">
      <c r="A3956" t="str">
        <f>HYPERLINK("https://us2.cloudbeds.com/connect/10074733072513#/reservations/31675011530965?display=MH7BVZ78Y&amp;reservation_id=31675011530965", "MH7BVZ78Y")</f>
        <v>MH7BVZ78Y</v>
      </c>
      <c r="B3956" t="s">
        <v>1191</v>
      </c>
      <c r="C3956">
        <v>120.32</v>
      </c>
      <c r="D3956">
        <v>130.78</v>
      </c>
      <c r="E3956">
        <v>130.79</v>
      </c>
      <c r="F3956">
        <v>-0.01</v>
      </c>
    </row>
    <row r="3957" spans="1:6" x14ac:dyDescent="0.3">
      <c r="A3957" t="str">
        <f>HYPERLINK("https://us2.cloudbeds.com/connect/10074733072513#/reservations/31676112568519?display=MH8735710&amp;reservation_id=31676112568519", "MH8735710")</f>
        <v>MH8735710</v>
      </c>
      <c r="B3957" t="s">
        <v>1166</v>
      </c>
      <c r="C3957">
        <v>94.16</v>
      </c>
      <c r="D3957">
        <v>102.34</v>
      </c>
      <c r="E3957">
        <v>102.35</v>
      </c>
      <c r="F3957">
        <v>-0.01</v>
      </c>
    </row>
    <row r="3958" spans="1:6" x14ac:dyDescent="0.3">
      <c r="A3958" t="str">
        <f>HYPERLINK("https://us2.cloudbeds.com/connect/10074733072513#/reservations/31674905067676?display=MH797VNRC&amp;reservation_id=31674905067676", "MH797VNRC")</f>
        <v>MH797VNRC</v>
      </c>
      <c r="B3958" t="s">
        <v>1193</v>
      </c>
      <c r="C3958">
        <v>120.32</v>
      </c>
      <c r="D3958">
        <v>130.78</v>
      </c>
      <c r="E3958">
        <v>130.79</v>
      </c>
      <c r="F3958">
        <v>-0.01</v>
      </c>
    </row>
    <row r="3959" spans="1:6" x14ac:dyDescent="0.3">
      <c r="A3959" t="str">
        <f>HYPERLINK("https://us2.cloudbeds.com/connect/10074733072513#/reservations/31686939590858?display=MHGJZQ2A1&amp;reservation_id=31686939590858", "MHGJZQ2A1")</f>
        <v>MHGJZQ2A1</v>
      </c>
      <c r="B3959" t="s">
        <v>1242</v>
      </c>
      <c r="C3959">
        <v>676</v>
      </c>
      <c r="D3959">
        <v>734.8</v>
      </c>
      <c r="E3959">
        <v>734.81</v>
      </c>
      <c r="F3959">
        <v>-0.01</v>
      </c>
    </row>
    <row r="3960" spans="1:6" x14ac:dyDescent="0.3">
      <c r="A3960" t="str">
        <f>HYPERLINK("https://us2.cloudbeds.com/connect/10074733072513#/reservations/31674897670342?display=MH791NT1Z&amp;reservation_id=31674897670342", "MH791NT1Z")</f>
        <v>MH791NT1Z</v>
      </c>
      <c r="B3960" t="s">
        <v>1193</v>
      </c>
      <c r="C3960">
        <v>120.32</v>
      </c>
      <c r="D3960">
        <v>130.78</v>
      </c>
      <c r="E3960">
        <v>130.79</v>
      </c>
      <c r="F3960">
        <v>-0.01</v>
      </c>
    </row>
    <row r="3961" spans="1:6" x14ac:dyDescent="0.3">
      <c r="A3961" t="str">
        <f>HYPERLINK("https://us2.cloudbeds.com/connect/10074733072513#/reservations/31678431363305?display=MHA0BE35M&amp;reservation_id=31678431363305", "MHA0BE35M")</f>
        <v>MHA0BE35M</v>
      </c>
      <c r="B3961" t="s">
        <v>925</v>
      </c>
      <c r="C3961">
        <v>134.1</v>
      </c>
      <c r="D3961">
        <v>145.76</v>
      </c>
      <c r="E3961">
        <v>145.77000000000001</v>
      </c>
      <c r="F3961">
        <v>-0.01</v>
      </c>
    </row>
    <row r="3962" spans="1:6" x14ac:dyDescent="0.3">
      <c r="A3962" t="str">
        <f>HYPERLINK("https://us2.cloudbeds.com/connect/10074733072513#/reservations/31674892443815?display=MH78UAEM4&amp;reservation_id=31674892443815", "MH78UAEM4")</f>
        <v>MH78UAEM4</v>
      </c>
      <c r="B3962" t="s">
        <v>1193</v>
      </c>
      <c r="C3962">
        <v>250.2</v>
      </c>
      <c r="D3962">
        <v>271.95999999999998</v>
      </c>
      <c r="E3962">
        <v>271.97000000000003</v>
      </c>
      <c r="F3962">
        <v>-0.01</v>
      </c>
    </row>
    <row r="3963" spans="1:6" x14ac:dyDescent="0.3">
      <c r="A3963" t="str">
        <f>HYPERLINK("https://us2.cloudbeds.com/connect/10074733072513#/reservations/31675600355564?display=MH7R084CA&amp;reservation_id=31675600355564", "MH7R084CA")</f>
        <v>MH7R084CA</v>
      </c>
      <c r="B3963" t="s">
        <v>1184</v>
      </c>
      <c r="C3963">
        <v>94.16</v>
      </c>
      <c r="D3963">
        <v>102.34</v>
      </c>
      <c r="E3963">
        <v>102.35</v>
      </c>
      <c r="F3963">
        <v>-0.01</v>
      </c>
    </row>
    <row r="3964" spans="1:6" x14ac:dyDescent="0.3">
      <c r="A3964" t="str">
        <f>HYPERLINK("https://us2.cloudbeds.com/connect/10074733072513#/reservations/31676995870867?display=MH8TYWD9R&amp;reservation_id=31676995870867", "MH8TYWD9R")</f>
        <v>MH8TYWD9R</v>
      </c>
      <c r="B3964" t="s">
        <v>1166</v>
      </c>
      <c r="C3964">
        <v>134.1</v>
      </c>
      <c r="D3964">
        <v>145.76</v>
      </c>
      <c r="E3964">
        <v>145.77000000000001</v>
      </c>
      <c r="F3964">
        <v>-0.01</v>
      </c>
    </row>
    <row r="3965" spans="1:6" x14ac:dyDescent="0.3">
      <c r="A3965" t="str">
        <f>HYPERLINK("https://us2.cloudbeds.com/connect/10074733072513#/reservations/31678422503631?display=MHA03VXXN&amp;reservation_id=31678422503631", "MHA03VXXN")</f>
        <v>MHA03VXXN</v>
      </c>
      <c r="B3965" t="s">
        <v>925</v>
      </c>
      <c r="C3965">
        <v>177.65</v>
      </c>
      <c r="D3965">
        <v>193.1</v>
      </c>
      <c r="E3965">
        <v>193.11</v>
      </c>
      <c r="F3965">
        <v>-0.01</v>
      </c>
    </row>
    <row r="3966" spans="1:6" x14ac:dyDescent="0.3">
      <c r="A3966" t="str">
        <f>HYPERLINK("https://us2.cloudbeds.com/connect/10074733072513#/reservations/31676925948053?display=MH8RT0N0M&amp;reservation_id=31676925948053", "MH8RT0N0M")</f>
        <v>MH8RT0N0M</v>
      </c>
      <c r="B3966" t="s">
        <v>925</v>
      </c>
      <c r="C3966">
        <v>134.1</v>
      </c>
      <c r="D3966">
        <v>145.76</v>
      </c>
      <c r="E3966">
        <v>145.77000000000001</v>
      </c>
      <c r="F3966">
        <v>-0.01</v>
      </c>
    </row>
    <row r="3967" spans="1:6" x14ac:dyDescent="0.3">
      <c r="A3967" t="str">
        <f>HYPERLINK("https://us2.cloudbeds.com/connect/10074733072513#/reservations/31676734206086?display=MH8MWB6E1&amp;reservation_id=31676734206086", "MH8MWB6E1")</f>
        <v>MH8MWB6E1</v>
      </c>
      <c r="B3967" t="s">
        <v>1035</v>
      </c>
      <c r="C3967">
        <v>143.65</v>
      </c>
      <c r="D3967">
        <v>156.13999999999999</v>
      </c>
      <c r="E3967">
        <v>156.15</v>
      </c>
      <c r="F3967">
        <v>-0.01</v>
      </c>
    </row>
    <row r="3968" spans="1:6" x14ac:dyDescent="0.3">
      <c r="A3968" t="str">
        <f>HYPERLINK("https://us2.cloudbeds.com/connect/10074733072513#/reservations/31676060979426?display=MH85PYM45&amp;reservation_id=31676060979426", "MH85PYM45")</f>
        <v>MH85PYM45</v>
      </c>
      <c r="B3968" t="s">
        <v>1166</v>
      </c>
      <c r="C3968">
        <v>268.2</v>
      </c>
      <c r="D3968">
        <v>291.52</v>
      </c>
      <c r="E3968">
        <v>291.52999999999997</v>
      </c>
      <c r="F3968">
        <v>-0.01</v>
      </c>
    </row>
    <row r="3969" spans="1:6" x14ac:dyDescent="0.3">
      <c r="A3969" t="str">
        <f>HYPERLINK("https://us2.cloudbeds.com/connect/10074733072513#/reservations/31676227821770?display=MH8A1BA1P&amp;reservation_id=31676227821770", "MH8A1BA1P")</f>
        <v>MH8A1BA1P</v>
      </c>
      <c r="B3969" t="s">
        <v>1240</v>
      </c>
      <c r="C3969">
        <v>268.2</v>
      </c>
      <c r="D3969">
        <v>291.52</v>
      </c>
      <c r="E3969">
        <v>291.52999999999997</v>
      </c>
      <c r="F3969">
        <v>-0.01</v>
      </c>
    </row>
    <row r="3970" spans="1:6" x14ac:dyDescent="0.3">
      <c r="A3970" t="str">
        <f>HYPERLINK("https://us2.cloudbeds.com/connect/10074733072513#/reservations/31676034924688?display=MH853MYZY&amp;reservation_id=31676034924688", "MH853MYZY")</f>
        <v>MH853MYZY</v>
      </c>
      <c r="B3970" t="s">
        <v>1166</v>
      </c>
      <c r="C3970">
        <v>134.1</v>
      </c>
      <c r="D3970">
        <v>145.76</v>
      </c>
      <c r="E3970">
        <v>145.77000000000001</v>
      </c>
      <c r="F3970">
        <v>-0.01</v>
      </c>
    </row>
    <row r="3971" spans="1:6" x14ac:dyDescent="0.3">
      <c r="A3971" t="str">
        <f>HYPERLINK("https://us2.cloudbeds.com/connect/10074733072513#/reservations/31676850319508?display=MH8PV87AJ&amp;reservation_id=31676850319508", "MH8PV87AJ")</f>
        <v>MH8PV87AJ</v>
      </c>
      <c r="B3971" t="s">
        <v>925</v>
      </c>
      <c r="C3971">
        <v>134.1</v>
      </c>
      <c r="D3971">
        <v>145.76</v>
      </c>
      <c r="E3971">
        <v>145.77000000000001</v>
      </c>
      <c r="F3971">
        <v>-0.01</v>
      </c>
    </row>
    <row r="3972" spans="1:6" x14ac:dyDescent="0.3">
      <c r="A3972" t="str">
        <f>HYPERLINK("https://us2.cloudbeds.com/connect/10074733072513#/reservations/31676958105775?display=MH8SN4HK3&amp;reservation_id=31676958105775", "MH8SN4HK3")</f>
        <v>MH8SN4HK3</v>
      </c>
      <c r="B3972" t="s">
        <v>1166</v>
      </c>
      <c r="C3972">
        <v>268.2</v>
      </c>
      <c r="D3972">
        <v>291.52</v>
      </c>
      <c r="E3972">
        <v>291.52999999999997</v>
      </c>
      <c r="F3972">
        <v>-0.01</v>
      </c>
    </row>
    <row r="3973" spans="1:6" x14ac:dyDescent="0.3">
      <c r="A3973" t="str">
        <f>HYPERLINK("https://us2.cloudbeds.com/connect/10074733072513#/reservations/31676979445895?display=MH8T84BMD&amp;reservation_id=31676979445895", "MH8T84BMD")</f>
        <v>MH8T84BMD</v>
      </c>
      <c r="B3973" t="s">
        <v>1166</v>
      </c>
      <c r="C3973">
        <v>94.16</v>
      </c>
      <c r="D3973">
        <v>102.34</v>
      </c>
      <c r="E3973">
        <v>102.35</v>
      </c>
      <c r="F3973">
        <v>-0.01</v>
      </c>
    </row>
    <row r="3974" spans="1:6" x14ac:dyDescent="0.3">
      <c r="A3974" t="str">
        <f>HYPERLINK("https://us2.cloudbeds.com/connect/10074733072513#/reservations/31676983386308?display=MH8TBF01S&amp;reservation_id=31676983386308", "MH8TBF01S")</f>
        <v>MH8TBF01S</v>
      </c>
      <c r="B3974" t="s">
        <v>1166</v>
      </c>
      <c r="C3974">
        <v>94.16</v>
      </c>
      <c r="D3974">
        <v>102.34</v>
      </c>
      <c r="E3974">
        <v>102.35</v>
      </c>
      <c r="F3974">
        <v>-0.01</v>
      </c>
    </row>
    <row r="3975" spans="1:6" x14ac:dyDescent="0.3">
      <c r="A3975" t="str">
        <f>HYPERLINK("https://us2.cloudbeds.com/connect/10074733072513#/reservations/31676150124758?display=MH881R8US&amp;reservation_id=31676150124758", "MH881R8US")</f>
        <v>MH881R8US</v>
      </c>
      <c r="B3975" t="s">
        <v>1248</v>
      </c>
      <c r="C3975">
        <v>71.45</v>
      </c>
      <c r="D3975">
        <v>77.66</v>
      </c>
      <c r="E3975">
        <v>77.67</v>
      </c>
      <c r="F3975">
        <v>-0.01</v>
      </c>
    </row>
    <row r="3976" spans="1:6" x14ac:dyDescent="0.3">
      <c r="A3976" t="str">
        <f>HYPERLINK("https://us2.cloudbeds.com/connect/10074733072513#/reservations/31677275365575?display=MH93QYZUE&amp;reservation_id=31677275365575", "MH93QYZUE")</f>
        <v>MH93QYZUE</v>
      </c>
      <c r="B3976" t="s">
        <v>1172</v>
      </c>
      <c r="C3976">
        <v>170.1</v>
      </c>
      <c r="D3976">
        <v>184.89</v>
      </c>
      <c r="E3976">
        <v>184.9</v>
      </c>
      <c r="F3976">
        <v>-0.01</v>
      </c>
    </row>
    <row r="3977" spans="1:6" x14ac:dyDescent="0.3">
      <c r="A3977" t="str">
        <f>HYPERLINK("https://us2.cloudbeds.com/connect/10074733072513#/reservations/31677188268279?display=MH91J74PE&amp;reservation_id=31677188268279", "MH91J74PE")</f>
        <v>MH91J74PE</v>
      </c>
      <c r="B3977" t="s">
        <v>1245</v>
      </c>
      <c r="C3977">
        <v>142.9</v>
      </c>
      <c r="D3977">
        <v>155.32</v>
      </c>
      <c r="E3977">
        <v>155.33000000000001</v>
      </c>
      <c r="F3977">
        <v>-0.01</v>
      </c>
    </row>
    <row r="3978" spans="1:6" x14ac:dyDescent="0.3">
      <c r="A3978" t="str">
        <f>HYPERLINK("https://us2.cloudbeds.com/connect/10074733072513#/reservations/31677164724353?display=MH90WC004&amp;reservation_id=31677164724353", "MH90WC004")</f>
        <v>MH90WC004</v>
      </c>
      <c r="B3978" t="s">
        <v>1245</v>
      </c>
      <c r="C3978">
        <v>142.9</v>
      </c>
      <c r="D3978">
        <v>155.32</v>
      </c>
      <c r="E3978">
        <v>155.33000000000001</v>
      </c>
      <c r="F3978">
        <v>-0.01</v>
      </c>
    </row>
    <row r="3979" spans="1:6" x14ac:dyDescent="0.3">
      <c r="A3979" t="str">
        <f>HYPERLINK("https://us2.cloudbeds.com/connect/10074733072513#/reservations/31678669578487?display=MHA6E9PTX&amp;reservation_id=31678669578487", "MHA6E9PTX")</f>
        <v>MHA6E9PTX</v>
      </c>
      <c r="B3979" t="s">
        <v>1172</v>
      </c>
      <c r="C3979">
        <v>170.1</v>
      </c>
      <c r="D3979">
        <v>184.89</v>
      </c>
      <c r="E3979">
        <v>184.9</v>
      </c>
      <c r="F3979">
        <v>-0.01</v>
      </c>
    </row>
    <row r="3980" spans="1:6" x14ac:dyDescent="0.3">
      <c r="A3980" t="str">
        <f>HYPERLINK("https://us2.cloudbeds.com/connect/10074733072513#/reservations/31679759417556?display=MHB1995CT&amp;reservation_id=31679759417556", "MHB1995CT")</f>
        <v>MHB1995CT</v>
      </c>
      <c r="B3980" t="s">
        <v>1244</v>
      </c>
      <c r="C3980">
        <v>170.1</v>
      </c>
      <c r="D3980">
        <v>184.89</v>
      </c>
      <c r="E3980">
        <v>184.9</v>
      </c>
      <c r="F3980">
        <v>-0.01</v>
      </c>
    </row>
    <row r="3981" spans="1:6" x14ac:dyDescent="0.3">
      <c r="A3981" t="str">
        <f>HYPERLINK("https://us2.cloudbeds.com/connect/10074733072513#/reservations/31682440610000?display=MHD3Q49ZP&amp;reservation_id=31682440610000", "MHD3Q49ZP")</f>
        <v>MHD3Q49ZP</v>
      </c>
      <c r="B3981" t="s">
        <v>1174</v>
      </c>
      <c r="C3981">
        <v>152.15</v>
      </c>
      <c r="D3981">
        <v>165.38</v>
      </c>
      <c r="E3981">
        <v>165.39</v>
      </c>
      <c r="F3981">
        <v>-0.01</v>
      </c>
    </row>
    <row r="3982" spans="1:6" x14ac:dyDescent="0.3">
      <c r="A3982" t="str">
        <f>HYPERLINK("https://us2.cloudbeds.com/connect/10074733072513#/reservations/31682422644891?display=MHD3AWCSH&amp;reservation_id=31682422644891", "MHD3AWCSH")</f>
        <v>MHD3AWCSH</v>
      </c>
      <c r="B3982" t="s">
        <v>1174</v>
      </c>
      <c r="C3982">
        <v>304.3</v>
      </c>
      <c r="D3982">
        <v>330.76</v>
      </c>
      <c r="E3982">
        <v>330.77</v>
      </c>
      <c r="F3982">
        <v>-0.01</v>
      </c>
    </row>
    <row r="3983" spans="1:6" x14ac:dyDescent="0.3">
      <c r="A3983" t="str">
        <f>HYPERLINK("https://us2.cloudbeds.com/connect/10074733072513#/reservations/31676210221281?display=MH89JGHWJ&amp;reservation_id=31676210221281", "MH89JGHWJ")</f>
        <v>MH89JGHWJ</v>
      </c>
      <c r="B3983" t="s">
        <v>1240</v>
      </c>
      <c r="C3983">
        <v>71.45</v>
      </c>
      <c r="D3983">
        <v>77.66</v>
      </c>
      <c r="E3983">
        <v>77.67</v>
      </c>
      <c r="F3983">
        <v>-0.01</v>
      </c>
    </row>
    <row r="3984" spans="1:6" x14ac:dyDescent="0.3">
      <c r="A3984" t="str">
        <f>HYPERLINK("https://us2.cloudbeds.com/connect/10074733072513#/reservations/31678564827290?display=MHA3ZVUKS&amp;reservation_id=31678564827290", "MHA3ZVUKS")</f>
        <v>MHA3ZVUKS</v>
      </c>
      <c r="B3984" t="s">
        <v>1251</v>
      </c>
      <c r="C3984">
        <v>268.2</v>
      </c>
      <c r="D3984">
        <v>291.52</v>
      </c>
      <c r="E3984">
        <v>291.52999999999997</v>
      </c>
      <c r="F3984">
        <v>-0.01</v>
      </c>
    </row>
    <row r="3985" spans="1:6" x14ac:dyDescent="0.3">
      <c r="A3985" t="str">
        <f>HYPERLINK("https://us2.cloudbeds.com/connect/10074733072513#/reservations/31676243333264?display=MH8AEDUS1&amp;reservation_id=31676243333264", "MH8AEDUS1")</f>
        <v>MH8AEDUS1</v>
      </c>
      <c r="B3985" t="s">
        <v>1240</v>
      </c>
      <c r="C3985">
        <v>110.3</v>
      </c>
      <c r="D3985">
        <v>119.89</v>
      </c>
      <c r="E3985">
        <v>119.9</v>
      </c>
      <c r="F3985">
        <v>-0.01</v>
      </c>
    </row>
    <row r="3986" spans="1:6" x14ac:dyDescent="0.3">
      <c r="A3986" t="str">
        <f>HYPERLINK("https://us2.cloudbeds.com/connect/10074733072513#/reservations/31678153109741?display=MH9Q7Q98G&amp;reservation_id=31678153109741", "MH9Q7Q98G")</f>
        <v>MH9Q7Q98G</v>
      </c>
      <c r="B3986" t="s">
        <v>1195</v>
      </c>
      <c r="C3986">
        <v>141.49</v>
      </c>
      <c r="D3986">
        <v>153.79</v>
      </c>
      <c r="E3986">
        <v>153.80000000000001</v>
      </c>
      <c r="F3986">
        <v>-0.01</v>
      </c>
    </row>
    <row r="3987" spans="1:6" x14ac:dyDescent="0.3">
      <c r="A3987" t="str">
        <f>HYPERLINK("https://us2.cloudbeds.com/connect/10074733072513#/reservations/31675110076576?display=MH7EFRD39&amp;reservation_id=31675110076576", "MH7EFRD39")</f>
        <v>MH7EFRD39</v>
      </c>
      <c r="B3987" t="s">
        <v>1240</v>
      </c>
      <c r="C3987">
        <v>79.38</v>
      </c>
      <c r="D3987">
        <v>86.28</v>
      </c>
      <c r="E3987">
        <v>86.29</v>
      </c>
      <c r="F3987">
        <v>-0.01</v>
      </c>
    </row>
    <row r="3988" spans="1:6" x14ac:dyDescent="0.3">
      <c r="A3988" t="str">
        <f>HYPERLINK("https://us2.cloudbeds.com/connect/10074733072513#/reservations/31678615552139?display=MHA51ZDUG&amp;reservation_id=31678615552139", "MHA51ZDUG")</f>
        <v>MHA51ZDUG</v>
      </c>
      <c r="B3988" t="s">
        <v>1180</v>
      </c>
      <c r="C3988">
        <v>186.15</v>
      </c>
      <c r="D3988">
        <v>202.34</v>
      </c>
      <c r="E3988">
        <v>202.35</v>
      </c>
      <c r="F3988">
        <v>-0.01</v>
      </c>
    </row>
    <row r="3989" spans="1:6" x14ac:dyDescent="0.3">
      <c r="A3989" t="str">
        <f>HYPERLINK("https://us2.cloudbeds.com/connect/10074733072513#/reservations/31678393315569?display=MH9WCBBUW&amp;reservation_id=31678393315569", "MH9WCBBUW")</f>
        <v>MH9WCBBUW</v>
      </c>
      <c r="B3989" t="s">
        <v>1255</v>
      </c>
      <c r="C3989">
        <v>94.16</v>
      </c>
      <c r="D3989">
        <v>102.34</v>
      </c>
      <c r="E3989">
        <v>102.35</v>
      </c>
      <c r="F3989">
        <v>-0.01</v>
      </c>
    </row>
    <row r="3990" spans="1:6" x14ac:dyDescent="0.3">
      <c r="A3990" t="str">
        <f>HYPERLINK("https://us2.cloudbeds.com/connect/10074733072513#/reservations/31678507475077?display=MHA29K0K0&amp;reservation_id=31678507475077", "MHA29K0K0")</f>
        <v>MHA29K0K0</v>
      </c>
      <c r="B3990" t="s">
        <v>1195</v>
      </c>
      <c r="C3990">
        <v>169.15</v>
      </c>
      <c r="D3990">
        <v>183.86</v>
      </c>
      <c r="E3990">
        <v>183.87</v>
      </c>
      <c r="F3990">
        <v>-0.01</v>
      </c>
    </row>
    <row r="3991" spans="1:6" x14ac:dyDescent="0.3">
      <c r="A3991" t="str">
        <f>HYPERLINK("https://us2.cloudbeds.com/connect/10074733072513#/reservations/31683024060577?display=MHDXN3M19&amp;reservation_id=31683024060577", "MHDXN3M19")</f>
        <v>MHDXN3M19</v>
      </c>
      <c r="B3991" t="s">
        <v>1256</v>
      </c>
      <c r="C3991">
        <v>608.4</v>
      </c>
      <c r="D3991">
        <v>661.32</v>
      </c>
      <c r="E3991">
        <v>661.33</v>
      </c>
      <c r="F3991">
        <v>-0.01</v>
      </c>
    </row>
    <row r="3992" spans="1:6" x14ac:dyDescent="0.3">
      <c r="A3992" t="str">
        <f>HYPERLINK("https://us2.cloudbeds.com/connect/10074733072513#/reservations/31676204462234?display=MH89EY9K1&amp;reservation_id=31676204462234", "MH89EY9K1")</f>
        <v>MH89EY9K1</v>
      </c>
      <c r="B3992" t="s">
        <v>1252</v>
      </c>
      <c r="C3992">
        <v>71.45</v>
      </c>
      <c r="D3992">
        <v>77.66</v>
      </c>
      <c r="E3992">
        <v>77.67</v>
      </c>
      <c r="F3992">
        <v>-0.01</v>
      </c>
    </row>
    <row r="3993" spans="1:6" x14ac:dyDescent="0.3">
      <c r="A3993" t="str">
        <f>HYPERLINK("https://us2.cloudbeds.com/connect/10074733072513#/reservations/31681016029404?display=MHC0CT7UQ&amp;reservation_id=31681016029404", "MHC0CT7UQ")</f>
        <v>MHC0CT7UQ</v>
      </c>
      <c r="B3993" t="s">
        <v>1087</v>
      </c>
      <c r="C3993">
        <v>127.2</v>
      </c>
      <c r="D3993">
        <v>138.26</v>
      </c>
      <c r="E3993">
        <v>138.27000000000001</v>
      </c>
      <c r="F3993">
        <v>-0.01</v>
      </c>
    </row>
    <row r="3994" spans="1:6" x14ac:dyDescent="0.3">
      <c r="A3994" t="str">
        <f>HYPERLINK("https://us2.cloudbeds.com/connect/10074733072513#/reservations/31676213657846?display=MH89MD5MV&amp;reservation_id=31676213657846", "MH89MD5MV")</f>
        <v>MH89MD5MV</v>
      </c>
      <c r="B3994" t="s">
        <v>1258</v>
      </c>
      <c r="C3994">
        <v>86.06</v>
      </c>
      <c r="D3994">
        <v>93.54</v>
      </c>
      <c r="E3994">
        <v>93.55</v>
      </c>
      <c r="F3994">
        <v>-0.01</v>
      </c>
    </row>
    <row r="3995" spans="1:6" x14ac:dyDescent="0.3">
      <c r="A3995" t="str">
        <f>HYPERLINK("https://us2.cloudbeds.com/connect/10074733072513#/reservations/31675276972228?display=MH7XZXGW9&amp;reservation_id=31675276972228", "MH7XZXGW9")</f>
        <v>MH7XZXGW9</v>
      </c>
      <c r="B3995" t="s">
        <v>1258</v>
      </c>
      <c r="C3995">
        <v>79.38</v>
      </c>
      <c r="D3995">
        <v>86.28</v>
      </c>
      <c r="E3995">
        <v>86.29</v>
      </c>
      <c r="F3995">
        <v>-0.01</v>
      </c>
    </row>
    <row r="3996" spans="1:6" x14ac:dyDescent="0.3">
      <c r="A3996" t="str">
        <f>HYPERLINK("https://us2.cloudbeds.com/connect/10074733072513#/reservations/31678748754114?display=MHA8F1VPW&amp;reservation_id=31678748754114", "MHA8F1VPW")</f>
        <v>MHA8F1VPW</v>
      </c>
      <c r="B3996" t="s">
        <v>1260</v>
      </c>
      <c r="C3996">
        <v>134.1</v>
      </c>
      <c r="D3996">
        <v>145.76</v>
      </c>
      <c r="E3996">
        <v>145.77000000000001</v>
      </c>
      <c r="F3996">
        <v>-0.01</v>
      </c>
    </row>
    <row r="3997" spans="1:6" x14ac:dyDescent="0.3">
      <c r="A3997" t="str">
        <f>HYPERLINK("https://us2.cloudbeds.com/connect/10074733072513#/reservations/31675246809295?display=MH7HW4650&amp;reservation_id=31675246809295", "MH7HW4650")</f>
        <v>MH7HW4650</v>
      </c>
      <c r="B3997" t="s">
        <v>1258</v>
      </c>
      <c r="C3997">
        <v>86.06</v>
      </c>
      <c r="D3997">
        <v>93.54</v>
      </c>
      <c r="E3997">
        <v>93.55</v>
      </c>
      <c r="F3997">
        <v>-0.01</v>
      </c>
    </row>
    <row r="3998" spans="1:6" x14ac:dyDescent="0.3">
      <c r="A3998" t="str">
        <f>HYPERLINK("https://us2.cloudbeds.com/connect/10074733072513#/reservations/31680959496383?display=MHBVV744V&amp;reservation_id=31680959496383", "MHBVV744V")</f>
        <v>MHBVV744V</v>
      </c>
      <c r="B3998" t="s">
        <v>1244</v>
      </c>
      <c r="C3998">
        <v>170.1</v>
      </c>
      <c r="D3998">
        <v>184.89</v>
      </c>
      <c r="E3998">
        <v>184.9</v>
      </c>
      <c r="F3998">
        <v>-0.01</v>
      </c>
    </row>
    <row r="3999" spans="1:6" x14ac:dyDescent="0.3">
      <c r="A3999" t="str">
        <f>HYPERLINK("https://us2.cloudbeds.com/connect/10074733072513#/reservations/31682105811072?display=MHCS7QU0H&amp;reservation_id=31682105811072", "MHCS7QU0H")</f>
        <v>MHCS7QU0H</v>
      </c>
      <c r="B3999" t="s">
        <v>1127</v>
      </c>
      <c r="C3999">
        <v>304.2</v>
      </c>
      <c r="D3999">
        <v>330.66</v>
      </c>
      <c r="E3999">
        <v>330.67</v>
      </c>
      <c r="F3999">
        <v>-0.01</v>
      </c>
    </row>
    <row r="4000" spans="1:6" x14ac:dyDescent="0.3">
      <c r="A4000" t="str">
        <f>HYPERLINK("https://us2.cloudbeds.com/connect/10074733072513#/reservations/31678411296972?display=MH9WRGNPW&amp;reservation_id=31678411296972", "MH9WRGNPW")</f>
        <v>MH9WRGNPW</v>
      </c>
      <c r="B4000" t="s">
        <v>1261</v>
      </c>
      <c r="C4000">
        <v>134.1</v>
      </c>
      <c r="D4000">
        <v>145.76</v>
      </c>
      <c r="E4000">
        <v>145.77000000000001</v>
      </c>
      <c r="F4000">
        <v>-0.01</v>
      </c>
    </row>
    <row r="4001" spans="1:6" x14ac:dyDescent="0.3">
      <c r="A4001" t="str">
        <f>HYPERLINK("https://us2.cloudbeds.com/connect/10074733072513#/reservations/31676409307305?display=MH8EMCDEE&amp;reservation_id=31676409307305", "MH8EMCDEE")</f>
        <v>MH8EMCDEE</v>
      </c>
      <c r="B4001" t="s">
        <v>1226</v>
      </c>
      <c r="C4001">
        <v>79.38</v>
      </c>
      <c r="D4001">
        <v>86.28</v>
      </c>
      <c r="E4001">
        <v>86.29</v>
      </c>
      <c r="F4001">
        <v>-0.01</v>
      </c>
    </row>
    <row r="4002" spans="1:6" x14ac:dyDescent="0.3">
      <c r="A4002" t="str">
        <f>HYPERLINK("https://us2.cloudbeds.com/connect/10074733072513#/reservations/31676511846552?display=MH8H9RNHB&amp;reservation_id=31676511846552", "MH8H9RNHB")</f>
        <v>MH8H9RNHB</v>
      </c>
      <c r="B4002" t="s">
        <v>1253</v>
      </c>
      <c r="C4002">
        <v>71.45</v>
      </c>
      <c r="D4002">
        <v>77.66</v>
      </c>
      <c r="E4002">
        <v>77.67</v>
      </c>
      <c r="F4002">
        <v>-0.01</v>
      </c>
    </row>
    <row r="4003" spans="1:6" x14ac:dyDescent="0.3">
      <c r="A4003" t="str">
        <f>HYPERLINK("https://us2.cloudbeds.com/connect/10074733072513#/reservations/31676439871643?display=MH8FF4TSG&amp;reservation_id=31676439871643", "MH8FF4TSG")</f>
        <v>MH8FF4TSG</v>
      </c>
      <c r="B4003" t="s">
        <v>1253</v>
      </c>
      <c r="C4003">
        <v>79.38</v>
      </c>
      <c r="D4003">
        <v>86.28</v>
      </c>
      <c r="E4003">
        <v>86.29</v>
      </c>
      <c r="F4003">
        <v>-0.01</v>
      </c>
    </row>
    <row r="4004" spans="1:6" x14ac:dyDescent="0.3">
      <c r="A4004" t="str">
        <f>HYPERLINK("https://us2.cloudbeds.com/connect/10074733072513#/reservations/31677308911751?display=MH94YV7G7&amp;reservation_id=31677308911751", "MH94YV7G7")</f>
        <v>MH94YV7G7</v>
      </c>
      <c r="B4004" t="s">
        <v>1035</v>
      </c>
      <c r="C4004">
        <v>152.15</v>
      </c>
      <c r="D4004">
        <v>165.38</v>
      </c>
      <c r="E4004">
        <v>165.39</v>
      </c>
      <c r="F4004">
        <v>-0.01</v>
      </c>
    </row>
    <row r="4005" spans="1:6" x14ac:dyDescent="0.3">
      <c r="A4005" t="str">
        <f>HYPERLINK("https://us2.cloudbeds.com/connect/10074733072513#/reservations/31679281352840?display=MHAM25A5A&amp;reservation_id=31679281352840", "MHAM25A5A")</f>
        <v>MHAM25A5A</v>
      </c>
      <c r="B4005" t="s">
        <v>1065</v>
      </c>
      <c r="C4005">
        <v>338.3</v>
      </c>
      <c r="D4005">
        <v>367.72</v>
      </c>
      <c r="E4005">
        <v>367.73</v>
      </c>
      <c r="F4005">
        <v>-0.01</v>
      </c>
    </row>
    <row r="4006" spans="1:6" x14ac:dyDescent="0.3">
      <c r="A4006" t="str">
        <f>HYPERLINK("https://us2.cloudbeds.com/connect/10074733072513#/reservations/31677325344907?display=MH952QGKY&amp;reservation_id=31677325344907", "MH952QGKY")</f>
        <v>MH952QGKY</v>
      </c>
      <c r="B4006" t="s">
        <v>1035</v>
      </c>
      <c r="C4006">
        <v>186.15</v>
      </c>
      <c r="D4006">
        <v>202.34</v>
      </c>
      <c r="E4006">
        <v>202.35</v>
      </c>
      <c r="F4006">
        <v>-0.01</v>
      </c>
    </row>
    <row r="4007" spans="1:6" x14ac:dyDescent="0.3">
      <c r="A4007" t="str">
        <f>HYPERLINK("https://us2.cloudbeds.com/connect/10074733072513#/reservations/31677733568748?display=MH9FH0UR2&amp;reservation_id=31677733568748", "MH9FH0UR2")</f>
        <v>MH9FH0UR2</v>
      </c>
      <c r="B4007" t="s">
        <v>1263</v>
      </c>
      <c r="C4007">
        <v>304.3</v>
      </c>
      <c r="D4007">
        <v>330.76</v>
      </c>
      <c r="E4007">
        <v>330.77</v>
      </c>
      <c r="F4007">
        <v>-0.01</v>
      </c>
    </row>
    <row r="4008" spans="1:6" x14ac:dyDescent="0.3">
      <c r="A4008" t="str">
        <f>HYPERLINK("https://us2.cloudbeds.com/connect/10074733072513#/reservations/31677854654600?display=MH9XK4APA&amp;reservation_id=31677854654600", "MH9XK4APA")</f>
        <v>MH9XK4APA</v>
      </c>
      <c r="B4008" t="s">
        <v>1264</v>
      </c>
      <c r="C4008">
        <v>134.1</v>
      </c>
      <c r="D4008">
        <v>145.76</v>
      </c>
      <c r="E4008">
        <v>145.77000000000001</v>
      </c>
      <c r="F4008">
        <v>-0.01</v>
      </c>
    </row>
    <row r="4009" spans="1:6" x14ac:dyDescent="0.3">
      <c r="A4009" t="str">
        <f>HYPERLINK("https://us2.cloudbeds.com/connect/10074733072513#/reservations/31676828291220?display=MH8PCM8AN&amp;reservation_id=31676828291220", "MH8PCM8AN")</f>
        <v>MH8PCM8AN</v>
      </c>
      <c r="B4009" t="s">
        <v>1141</v>
      </c>
      <c r="C4009">
        <v>259.2</v>
      </c>
      <c r="D4009">
        <v>281.74</v>
      </c>
      <c r="E4009">
        <v>281.75</v>
      </c>
      <c r="F4009">
        <v>-0.01</v>
      </c>
    </row>
    <row r="4010" spans="1:6" x14ac:dyDescent="0.3">
      <c r="A4010" t="str">
        <f>HYPERLINK("https://us2.cloudbeds.com/connect/10074733072513#/reservations/31676646187226?display=MH8KZ3V0S&amp;reservation_id=31676646187226", "MH8KZ3V0S")</f>
        <v>MH8KZ3V0S</v>
      </c>
      <c r="B4010" t="s">
        <v>1177</v>
      </c>
      <c r="C4010">
        <v>300.8</v>
      </c>
      <c r="D4010">
        <v>326.95999999999998</v>
      </c>
      <c r="E4010">
        <v>326.97000000000003</v>
      </c>
      <c r="F4010">
        <v>-0.01</v>
      </c>
    </row>
    <row r="4011" spans="1:6" x14ac:dyDescent="0.3">
      <c r="A4011" t="str">
        <f>HYPERLINK("https://us2.cloudbeds.com/connect/10074733072513#/reservations/31676684198076?display=MH8YN5YCQ&amp;reservation_id=31676684198076", "MH8YN5YCQ")</f>
        <v>MH8YN5YCQ</v>
      </c>
      <c r="B4011" t="s">
        <v>1177</v>
      </c>
      <c r="C4011">
        <v>300.8</v>
      </c>
      <c r="D4011">
        <v>326.95999999999998</v>
      </c>
      <c r="E4011">
        <v>326.97000000000003</v>
      </c>
      <c r="F4011">
        <v>-0.01</v>
      </c>
    </row>
    <row r="4012" spans="1:6" x14ac:dyDescent="0.3">
      <c r="A4012" t="str">
        <f>HYPERLINK("https://us2.cloudbeds.com/connect/10074733072513#/reservations/31676706115792?display=MH8M8YHRV&amp;reservation_id=31676706115792", "MH8M8YHRV")</f>
        <v>MH8M8YHRV</v>
      </c>
      <c r="B4012" t="s">
        <v>1177</v>
      </c>
      <c r="C4012">
        <v>300.8</v>
      </c>
      <c r="D4012">
        <v>326.95999999999998</v>
      </c>
      <c r="E4012">
        <v>326.97000000000003</v>
      </c>
      <c r="F4012">
        <v>-0.01</v>
      </c>
    </row>
    <row r="4013" spans="1:6" x14ac:dyDescent="0.3">
      <c r="A4013" t="str">
        <f>HYPERLINK("https://us2.cloudbeds.com/connect/10074733072513#/reservations/31676910071953?display=MH8RFKUDZ&amp;reservation_id=31676910071953", "MH8RFKUDZ")</f>
        <v>MH8RFKUDZ</v>
      </c>
      <c r="B4013" t="s">
        <v>1177</v>
      </c>
      <c r="C4013">
        <v>300.8</v>
      </c>
      <c r="D4013">
        <v>326.95999999999998</v>
      </c>
      <c r="E4013">
        <v>326.97000000000003</v>
      </c>
      <c r="F4013">
        <v>-0.01</v>
      </c>
    </row>
    <row r="4014" spans="1:6" x14ac:dyDescent="0.3">
      <c r="A4014" t="str">
        <f>HYPERLINK("https://us2.cloudbeds.com/connect/10074733072513#/reservations/31676922196211?display=MH8RPS9QG&amp;reservation_id=31676922196211", "MH8RPS9QG")</f>
        <v>MH8RPS9QG</v>
      </c>
      <c r="B4014" t="s">
        <v>1177</v>
      </c>
      <c r="C4014">
        <v>225.6</v>
      </c>
      <c r="D4014">
        <v>245.22</v>
      </c>
      <c r="E4014">
        <v>245.23</v>
      </c>
      <c r="F4014">
        <v>-0.01</v>
      </c>
    </row>
    <row r="4015" spans="1:6" x14ac:dyDescent="0.3">
      <c r="A4015" t="str">
        <f>HYPERLINK("https://us2.cloudbeds.com/connect/10074733072513#/reservations/31681105858768?display=MHC2MKSSZ&amp;reservation_id=31681105858768", "MHC2MKSSZ")</f>
        <v>MHC2MKSSZ</v>
      </c>
      <c r="B4015" t="s">
        <v>1261</v>
      </c>
      <c r="C4015">
        <v>134.1</v>
      </c>
      <c r="D4015">
        <v>145.76</v>
      </c>
      <c r="E4015">
        <v>145.77000000000001</v>
      </c>
      <c r="F4015">
        <v>-0.01</v>
      </c>
    </row>
    <row r="4016" spans="1:6" x14ac:dyDescent="0.3">
      <c r="A4016" t="str">
        <f>HYPERLINK("https://us2.cloudbeds.com/connect/10074733072513#/reservations/31677393703119?display=MH96REM5K&amp;reservation_id=31677393703119", "MH96REM5K")</f>
        <v>MH96REM5K</v>
      </c>
      <c r="B4016" t="s">
        <v>1266</v>
      </c>
      <c r="C4016">
        <v>254.78</v>
      </c>
      <c r="D4016">
        <v>276.94</v>
      </c>
      <c r="E4016">
        <v>276.95</v>
      </c>
      <c r="F4016">
        <v>-0.01</v>
      </c>
    </row>
    <row r="4017" spans="1:6" x14ac:dyDescent="0.3">
      <c r="A4017" t="str">
        <f>HYPERLINK("https://us2.cloudbeds.com/connect/10074733072513#/reservations/31679194460406?display=MHAJRTD48&amp;reservation_id=31679194460406", "MHAJRTD48")</f>
        <v>MHAJRTD48</v>
      </c>
      <c r="B4017" t="s">
        <v>1177</v>
      </c>
      <c r="C4017">
        <v>79.38</v>
      </c>
      <c r="D4017">
        <v>86.28</v>
      </c>
      <c r="E4017">
        <v>86.29</v>
      </c>
      <c r="F4017">
        <v>-0.01</v>
      </c>
    </row>
    <row r="4018" spans="1:6" x14ac:dyDescent="0.3">
      <c r="A4018" t="str">
        <f>HYPERLINK("https://us2.cloudbeds.com/connect/10074733072513#/reservations/31682571460859?display=MHD74FDYA&amp;reservation_id=31682571460859", "MHD74FDYA")</f>
        <v>MHD74FDYA</v>
      </c>
      <c r="B4018" t="s">
        <v>1135</v>
      </c>
      <c r="C4018">
        <v>405.6</v>
      </c>
      <c r="D4018">
        <v>440.88</v>
      </c>
      <c r="E4018">
        <v>440.89</v>
      </c>
      <c r="F4018">
        <v>-0.01</v>
      </c>
    </row>
    <row r="4019" spans="1:6" x14ac:dyDescent="0.3">
      <c r="A4019" t="str">
        <f>HYPERLINK("https://us2.cloudbeds.com/connect/10074733072513#/reservations/31675490009286?display=MH7Z66J9N&amp;reservation_id=31675490009286", "MH7Z66J9N")</f>
        <v>MH7Z66J9N</v>
      </c>
      <c r="B4019" t="s">
        <v>1205</v>
      </c>
      <c r="C4019">
        <v>112.24</v>
      </c>
      <c r="D4019">
        <v>121.99</v>
      </c>
      <c r="E4019">
        <v>122</v>
      </c>
      <c r="F4019">
        <v>-0.01</v>
      </c>
    </row>
    <row r="4020" spans="1:6" x14ac:dyDescent="0.3">
      <c r="A4020" t="str">
        <f>HYPERLINK("https://us2.cloudbeds.com/connect/10074733072513#/reservations/31679247827175?display=MHAY6TDE2&amp;reservation_id=31679247827175", "MHAY6TDE2")</f>
        <v>MHAY6TDE2</v>
      </c>
      <c r="B4020" t="s">
        <v>1141</v>
      </c>
      <c r="C4020">
        <v>169.15</v>
      </c>
      <c r="D4020">
        <v>183.86</v>
      </c>
      <c r="E4020">
        <v>183.87</v>
      </c>
      <c r="F4020">
        <v>-0.01</v>
      </c>
    </row>
    <row r="4021" spans="1:6" x14ac:dyDescent="0.3">
      <c r="A4021" t="str">
        <f>HYPERLINK("https://us2.cloudbeds.com/connect/10074733072513#/reservations/31676950905049?display=MH8SH25C9&amp;reservation_id=31676950905049", "MH8SH25C9")</f>
        <v>MH8SH25C9</v>
      </c>
      <c r="B4021" t="s">
        <v>957</v>
      </c>
      <c r="C4021">
        <v>152.15</v>
      </c>
      <c r="D4021">
        <v>165.38</v>
      </c>
      <c r="E4021">
        <v>165.39</v>
      </c>
      <c r="F4021">
        <v>-0.01</v>
      </c>
    </row>
    <row r="4022" spans="1:6" x14ac:dyDescent="0.3">
      <c r="A4022" t="str">
        <f>HYPERLINK("https://us2.cloudbeds.com/connect/10074733072513#/reservations/31675718811882?display=MH7U14BMN&amp;reservation_id=31675718811882", "MH7U14BMN")</f>
        <v>MH7U14BMN</v>
      </c>
      <c r="B4022" t="s">
        <v>1205</v>
      </c>
      <c r="C4022">
        <v>112.24</v>
      </c>
      <c r="D4022">
        <v>121.99</v>
      </c>
      <c r="E4022">
        <v>122</v>
      </c>
      <c r="F4022">
        <v>-0.01</v>
      </c>
    </row>
    <row r="4023" spans="1:6" x14ac:dyDescent="0.3">
      <c r="A4023" t="str">
        <f>HYPERLINK("https://us2.cloudbeds.com/connect/10074733072513#/reservations/31676813516939?display=MH8P074G7&amp;reservation_id=31676813516939", "MH8P074G7")</f>
        <v>MH8P074G7</v>
      </c>
      <c r="B4023" t="s">
        <v>1177</v>
      </c>
      <c r="C4023">
        <v>112.24</v>
      </c>
      <c r="D4023">
        <v>121.99</v>
      </c>
      <c r="E4023">
        <v>122</v>
      </c>
      <c r="F4023">
        <v>-0.01</v>
      </c>
    </row>
    <row r="4024" spans="1:6" x14ac:dyDescent="0.3">
      <c r="A4024" t="str">
        <f>HYPERLINK("https://us2.cloudbeds.com/connect/10074733072513#/reservations/31679733825717?display=MHB0KN12K&amp;reservation_id=31679733825717", "MHB0KN12K")</f>
        <v>MHB0KN12K</v>
      </c>
      <c r="B4024" t="s">
        <v>1243</v>
      </c>
      <c r="C4024">
        <v>376</v>
      </c>
      <c r="D4024">
        <v>408.7</v>
      </c>
      <c r="E4024">
        <v>408.71</v>
      </c>
      <c r="F4024">
        <v>-0.01</v>
      </c>
    </row>
    <row r="4025" spans="1:6" x14ac:dyDescent="0.3">
      <c r="A4025" t="str">
        <f>HYPERLINK("https://us2.cloudbeds.com/connect/10074733072513#/reservations/31691808542915?display=MHKC5DRYP&amp;reservation_id=31691808542915", "MHKC5DRYP")</f>
        <v>MHKC5DRYP</v>
      </c>
      <c r="B4025" t="s">
        <v>1270</v>
      </c>
      <c r="C4025">
        <v>134.1</v>
      </c>
      <c r="D4025">
        <v>145.76</v>
      </c>
      <c r="E4025">
        <v>145.77000000000001</v>
      </c>
      <c r="F4025">
        <v>-0.01</v>
      </c>
    </row>
    <row r="4026" spans="1:6" x14ac:dyDescent="0.3">
      <c r="A4026" t="str">
        <f>HYPERLINK("https://us2.cloudbeds.com/connect/10074733072513#/reservations/31680374943962?display=MHBH0A327&amp;reservation_id=31680374943962", "MHBH0A327")</f>
        <v>MHBH0A327</v>
      </c>
      <c r="B4026" t="s">
        <v>1271</v>
      </c>
      <c r="C4026">
        <v>222.4</v>
      </c>
      <c r="D4026">
        <v>241.74</v>
      </c>
      <c r="E4026">
        <v>241.75</v>
      </c>
      <c r="F4026">
        <v>-0.01</v>
      </c>
    </row>
    <row r="4027" spans="1:6" x14ac:dyDescent="0.3">
      <c r="A4027" t="str">
        <f>HYPERLINK("https://us2.cloudbeds.com/connect/10074733072513#/reservations/31682449215658?display=MHD40CP39&amp;reservation_id=31682449215658", "MHD40CP39")</f>
        <v>MHD40CP39</v>
      </c>
      <c r="B4027" t="s">
        <v>1174</v>
      </c>
      <c r="C4027">
        <v>170.1</v>
      </c>
      <c r="D4027">
        <v>184.89</v>
      </c>
      <c r="E4027">
        <v>184.9</v>
      </c>
      <c r="F4027">
        <v>-0.01</v>
      </c>
    </row>
    <row r="4028" spans="1:6" x14ac:dyDescent="0.3">
      <c r="A4028" t="str">
        <f>HYPERLINK("https://us2.cloudbeds.com/connect/10074733072513#/reservations/31677080289478?display=MH8VR5FMX&amp;reservation_id=31677080289478", "MH8VR5FMX")</f>
        <v>MH8VR5FMX</v>
      </c>
      <c r="B4028" t="s">
        <v>1269</v>
      </c>
      <c r="C4028">
        <v>250.2</v>
      </c>
      <c r="D4028">
        <v>271.95999999999998</v>
      </c>
      <c r="E4028">
        <v>271.97000000000003</v>
      </c>
      <c r="F4028">
        <v>-0.01</v>
      </c>
    </row>
    <row r="4029" spans="1:6" x14ac:dyDescent="0.3">
      <c r="A4029" t="str">
        <f>HYPERLINK("https://us2.cloudbeds.com/connect/10074733072513#/reservations/31677871685795?display=MH9J1G824&amp;reservation_id=31677871685795", "MH9J1G824")</f>
        <v>MH9J1G824</v>
      </c>
      <c r="B4029" t="s">
        <v>1231</v>
      </c>
      <c r="C4029">
        <v>134.1</v>
      </c>
      <c r="D4029">
        <v>145.76</v>
      </c>
      <c r="E4029">
        <v>145.77000000000001</v>
      </c>
      <c r="F4029">
        <v>-0.01</v>
      </c>
    </row>
    <row r="4030" spans="1:6" x14ac:dyDescent="0.3">
      <c r="A4030" t="str">
        <f>HYPERLINK("https://us2.cloudbeds.com/connect/10074733072513#/reservations/31679726481620?display=MHB0EGM67&amp;reservation_id=31679726481620", "MHB0EGM67")</f>
        <v>MHB0EGM67</v>
      </c>
      <c r="B4030" t="s">
        <v>1243</v>
      </c>
      <c r="C4030">
        <v>244.56</v>
      </c>
      <c r="D4030">
        <v>265.83</v>
      </c>
      <c r="E4030">
        <v>265.83999999999997</v>
      </c>
      <c r="F4030">
        <v>-0.01</v>
      </c>
    </row>
    <row r="4031" spans="1:6" x14ac:dyDescent="0.3">
      <c r="A4031" t="str">
        <f>HYPERLINK("https://us2.cloudbeds.com/connect/10074733072513#/reservations/31677191553197?display=MH91YWX7C&amp;reservation_id=31677191553197", "MH91YWX7C")</f>
        <v>MH91YWX7C</v>
      </c>
      <c r="B4031" t="s">
        <v>1175</v>
      </c>
      <c r="C4031">
        <v>304.2</v>
      </c>
      <c r="D4031">
        <v>330.66</v>
      </c>
      <c r="E4031">
        <v>330.67</v>
      </c>
      <c r="F4031">
        <v>-0.01</v>
      </c>
    </row>
    <row r="4032" spans="1:6" x14ac:dyDescent="0.3">
      <c r="A4032" t="str">
        <f>HYPERLINK("https://us2.cloudbeds.com/connect/10074733072513#/reservations/31677901934744?display=MH9JQWVSV&amp;reservation_id=31677901934744", "MH9JQWVSV")</f>
        <v>MH9JQWVSV</v>
      </c>
      <c r="B4032" t="s">
        <v>1162</v>
      </c>
      <c r="C4032">
        <v>346.97</v>
      </c>
      <c r="D4032">
        <v>377.15</v>
      </c>
      <c r="E4032">
        <v>377.16</v>
      </c>
      <c r="F4032">
        <v>-0.01</v>
      </c>
    </row>
    <row r="4033" spans="1:6" x14ac:dyDescent="0.3">
      <c r="A4033" t="str">
        <f>HYPERLINK("https://us2.cloudbeds.com/connect/10074733072513#/reservations/31679313002732?display=MHAMSS0DV&amp;reservation_id=31679313002732", "MHAMSS0DV")</f>
        <v>MHAMSS0DV</v>
      </c>
      <c r="B4033" t="s">
        <v>1272</v>
      </c>
      <c r="C4033">
        <v>120.32</v>
      </c>
      <c r="D4033">
        <v>130.78</v>
      </c>
      <c r="E4033">
        <v>130.79</v>
      </c>
      <c r="F4033">
        <v>-0.01</v>
      </c>
    </row>
    <row r="4034" spans="1:6" x14ac:dyDescent="0.3">
      <c r="A4034" t="str">
        <f>HYPERLINK("https://us2.cloudbeds.com/connect/10074733072513#/reservations/31682594390221?display=MHD7NQF2F&amp;reservation_id=31682594390221", "MHD7NQF2F")</f>
        <v>MHD7NQF2F</v>
      </c>
      <c r="B4034" t="s">
        <v>1072</v>
      </c>
      <c r="C4034">
        <v>406.3</v>
      </c>
      <c r="D4034">
        <v>441.64</v>
      </c>
      <c r="E4034">
        <v>441.65</v>
      </c>
      <c r="F4034">
        <v>-0.01</v>
      </c>
    </row>
    <row r="4035" spans="1:6" x14ac:dyDescent="0.3">
      <c r="A4035" t="str">
        <f>HYPERLINK("https://us2.cloudbeds.com/connect/10074733072513#/reservations/31682072187035?display=MHCRCFCYG&amp;reservation_id=31682072187035", "MHCRCFCYG")</f>
        <v>MHCRCFCYG</v>
      </c>
      <c r="B4035" t="s">
        <v>1127</v>
      </c>
      <c r="C4035">
        <v>143.65</v>
      </c>
      <c r="D4035">
        <v>156.13999999999999</v>
      </c>
      <c r="E4035">
        <v>156.15</v>
      </c>
      <c r="F4035">
        <v>-0.01</v>
      </c>
    </row>
    <row r="4036" spans="1:6" x14ac:dyDescent="0.3">
      <c r="A4036" t="str">
        <f>HYPERLINK("https://us2.cloudbeds.com/connect/10074733072513#/reservations/31679691747490?display=MHAWX74ZR&amp;reservation_id=31679691747490", "MHAWX74ZR")</f>
        <v>MHAWX74ZR</v>
      </c>
      <c r="B4036" t="s">
        <v>1219</v>
      </c>
      <c r="C4036">
        <v>134.1</v>
      </c>
      <c r="D4036">
        <v>145.76</v>
      </c>
      <c r="E4036">
        <v>145.77000000000001</v>
      </c>
      <c r="F4036">
        <v>-0.01</v>
      </c>
    </row>
    <row r="4037" spans="1:6" x14ac:dyDescent="0.3">
      <c r="A4037" t="str">
        <f>HYPERLINK("https://us2.cloudbeds.com/connect/10074733072513#/reservations/31677179838679?display=MH91C3J30&amp;reservation_id=31677179838679", "MH91C3J30")</f>
        <v>MH91C3J30</v>
      </c>
      <c r="B4037" t="s">
        <v>1162</v>
      </c>
      <c r="C4037">
        <v>329.8</v>
      </c>
      <c r="D4037">
        <v>358.48</v>
      </c>
      <c r="E4037">
        <v>358.49</v>
      </c>
      <c r="F4037">
        <v>-0.01</v>
      </c>
    </row>
    <row r="4038" spans="1:6" x14ac:dyDescent="0.3">
      <c r="A4038" t="str">
        <f>HYPERLINK("https://us2.cloudbeds.com/connect/10074733072513#/reservations/31677080285389?display=MH8VR5BUY&amp;reservation_id=31677080285389", "MH8VR5BUY")</f>
        <v>MH8VR5BUY</v>
      </c>
      <c r="B4038" t="s">
        <v>1162</v>
      </c>
      <c r="C4038">
        <v>143.65</v>
      </c>
      <c r="D4038">
        <v>156.13999999999999</v>
      </c>
      <c r="E4038">
        <v>156.15</v>
      </c>
      <c r="F4038">
        <v>-0.01</v>
      </c>
    </row>
    <row r="4039" spans="1:6" x14ac:dyDescent="0.3">
      <c r="A4039" t="str">
        <f>HYPERLINK("https://us2.cloudbeds.com/connect/10074733072513#/reservations/31677193683157?display=MH91NPR3Y&amp;reservation_id=31677193683157", "MH91NPR3Y")</f>
        <v>MH91NPR3Y</v>
      </c>
      <c r="B4039" t="s">
        <v>1162</v>
      </c>
      <c r="C4039">
        <v>329.8</v>
      </c>
      <c r="D4039">
        <v>358.48</v>
      </c>
      <c r="E4039">
        <v>358.49</v>
      </c>
      <c r="F4039">
        <v>-0.01</v>
      </c>
    </row>
    <row r="4040" spans="1:6" x14ac:dyDescent="0.3">
      <c r="A4040" t="str">
        <f>HYPERLINK("https://us2.cloudbeds.com/connect/10074733072513#/reservations/31675973193931?display=MH83HKU0Y&amp;reservation_id=31675973193931", "MH83HKU0Y")</f>
        <v>MH83HKU0Y</v>
      </c>
      <c r="B4040" t="s">
        <v>1199</v>
      </c>
      <c r="C4040">
        <v>134.1</v>
      </c>
      <c r="D4040">
        <v>145.76</v>
      </c>
      <c r="E4040">
        <v>145.77000000000001</v>
      </c>
      <c r="F4040">
        <v>-0.01</v>
      </c>
    </row>
    <row r="4041" spans="1:6" x14ac:dyDescent="0.3">
      <c r="A4041" t="str">
        <f>HYPERLINK("https://us2.cloudbeds.com/connect/10074733072513#/reservations/31678638973141?display=MHA5YG4QR&amp;reservation_id=31678638973141", "MHA5YG4QR")</f>
        <v>MHA5YG4QR</v>
      </c>
      <c r="B4041" t="s">
        <v>1273</v>
      </c>
      <c r="C4041">
        <v>94.16</v>
      </c>
      <c r="D4041">
        <v>102.34</v>
      </c>
      <c r="E4041">
        <v>102.35</v>
      </c>
      <c r="F4041">
        <v>-0.01</v>
      </c>
    </row>
    <row r="4042" spans="1:6" x14ac:dyDescent="0.3">
      <c r="A4042" t="str">
        <f>HYPERLINK("https://us2.cloudbeds.com/connect/10074733072513#/reservations/31677177549050?display=MH91A5SJA&amp;reservation_id=31677177549050", "MH91A5SJA")</f>
        <v>MH91A5SJA</v>
      </c>
      <c r="B4042" t="s">
        <v>1162</v>
      </c>
      <c r="C4042">
        <v>143.65</v>
      </c>
      <c r="D4042">
        <v>156.13999999999999</v>
      </c>
      <c r="E4042">
        <v>156.15</v>
      </c>
      <c r="F4042">
        <v>-0.01</v>
      </c>
    </row>
    <row r="4043" spans="1:6" x14ac:dyDescent="0.3">
      <c r="A4043" t="str">
        <f>HYPERLINK("https://us2.cloudbeds.com/connect/10074733072513#/reservations/31679165071569?display=MHAJ33K4E&amp;reservation_id=31679165071569", "MHAJ33K4E")</f>
        <v>MHAJ33K4E</v>
      </c>
      <c r="B4043" t="s">
        <v>1065</v>
      </c>
      <c r="C4043">
        <v>490.45</v>
      </c>
      <c r="D4043">
        <v>533.11</v>
      </c>
      <c r="E4043">
        <v>533.12</v>
      </c>
      <c r="F4043">
        <v>-0.01</v>
      </c>
    </row>
    <row r="4044" spans="1:6" x14ac:dyDescent="0.3">
      <c r="A4044" t="str">
        <f>HYPERLINK("https://us2.cloudbeds.com/connect/10074733072513#/reservations/31680140550349?display=MHBB0YZJF&amp;reservation_id=31680140550349", "MHBB0YZJF")</f>
        <v>MHBB0YZJF</v>
      </c>
      <c r="B4044" t="s">
        <v>1274</v>
      </c>
      <c r="C4044">
        <v>268.2</v>
      </c>
      <c r="D4044">
        <v>291.52</v>
      </c>
      <c r="E4044">
        <v>291.52999999999997</v>
      </c>
      <c r="F4044">
        <v>-0.01</v>
      </c>
    </row>
    <row r="4045" spans="1:6" x14ac:dyDescent="0.3">
      <c r="A4045" t="str">
        <f>HYPERLINK("https://us2.cloudbeds.com/connect/10074733072513#/reservations/31677587538155?display=MH9BPTDPJ&amp;reservation_id=31677587538155", "MH9BPTDPJ")</f>
        <v>MH9BPTDPJ</v>
      </c>
      <c r="B4045" t="s">
        <v>1179</v>
      </c>
      <c r="C4045">
        <v>127.2</v>
      </c>
      <c r="D4045">
        <v>138.26</v>
      </c>
      <c r="E4045">
        <v>138.27000000000001</v>
      </c>
      <c r="F4045">
        <v>-0.01</v>
      </c>
    </row>
    <row r="4046" spans="1:6" x14ac:dyDescent="0.3">
      <c r="A4046" t="str">
        <f>HYPERLINK("https://us2.cloudbeds.com/connect/10074733072513#/reservations/31676107341958?display=MH86VZPKC&amp;reservation_id=31676107341958", "MH86VZPKC")</f>
        <v>MH86VZPKC</v>
      </c>
      <c r="B4046" t="s">
        <v>1275</v>
      </c>
      <c r="C4046">
        <v>170.1</v>
      </c>
      <c r="D4046">
        <v>184.89</v>
      </c>
      <c r="E4046">
        <v>184.9</v>
      </c>
      <c r="F4046">
        <v>-0.01</v>
      </c>
    </row>
    <row r="4047" spans="1:6" x14ac:dyDescent="0.3">
      <c r="A4047" t="str">
        <f>HYPERLINK("https://us2.cloudbeds.com/connect/10074733072513#/reservations/31676078555320?display=MH867FZK0&amp;reservation_id=31676078555320", "MH867FZK0")</f>
        <v>MH867FZK0</v>
      </c>
      <c r="B4047" t="s">
        <v>1199</v>
      </c>
      <c r="C4047">
        <v>134.1</v>
      </c>
      <c r="D4047">
        <v>145.76</v>
      </c>
      <c r="E4047">
        <v>145.77000000000001</v>
      </c>
      <c r="F4047">
        <v>-0.01</v>
      </c>
    </row>
    <row r="4048" spans="1:6" x14ac:dyDescent="0.3">
      <c r="A4048" t="str">
        <f>HYPERLINK("https://us2.cloudbeds.com/connect/10074733072513#/reservations/31689514041555?display=MHXJHKVHH&amp;reservation_id=31689514041555", "MHXJHKVHH")</f>
        <v>MHXJHKVHH</v>
      </c>
      <c r="B4048" t="s">
        <v>974</v>
      </c>
      <c r="C4048">
        <v>134.1</v>
      </c>
      <c r="D4048">
        <v>145.76</v>
      </c>
      <c r="E4048">
        <v>145.77000000000001</v>
      </c>
      <c r="F4048">
        <v>-0.01</v>
      </c>
    </row>
    <row r="4049" spans="1:6" x14ac:dyDescent="0.3">
      <c r="A4049" t="str">
        <f>HYPERLINK("https://us2.cloudbeds.com/connect/10074733072513#/reservations/31679790317712?display=MHB22B068&amp;reservation_id=31679790317712", "MHB22B068")</f>
        <v>MHB22B068</v>
      </c>
      <c r="B4049" t="s">
        <v>1257</v>
      </c>
      <c r="C4049">
        <v>112.24</v>
      </c>
      <c r="D4049">
        <v>121.99</v>
      </c>
      <c r="E4049">
        <v>122</v>
      </c>
      <c r="F4049">
        <v>-0.01</v>
      </c>
    </row>
    <row r="4050" spans="1:6" x14ac:dyDescent="0.3">
      <c r="A4050" t="str">
        <f>HYPERLINK("https://us2.cloudbeds.com/connect/10074733072513#/reservations/31677490458771?display=MH99A11B2&amp;reservation_id=31677490458771", "MH99A11B2")</f>
        <v>MH99A11B2</v>
      </c>
      <c r="B4050" t="s">
        <v>1104</v>
      </c>
      <c r="C4050">
        <v>112.24</v>
      </c>
      <c r="D4050">
        <v>121.99</v>
      </c>
      <c r="E4050">
        <v>122</v>
      </c>
      <c r="F4050">
        <v>-0.01</v>
      </c>
    </row>
    <row r="4051" spans="1:6" x14ac:dyDescent="0.3">
      <c r="A4051" t="str">
        <f>HYPERLINK("https://us2.cloudbeds.com/connect/10074733072513#/reservations/31682655867029?display=MHD99Y4K1&amp;reservation_id=31682655867029", "MHD99Y4K1")</f>
        <v>MHD99Y4K1</v>
      </c>
      <c r="B4051" t="s">
        <v>1072</v>
      </c>
      <c r="C4051">
        <v>157.21</v>
      </c>
      <c r="D4051">
        <v>170.88</v>
      </c>
      <c r="E4051">
        <v>170.89</v>
      </c>
      <c r="F4051">
        <v>-0.01</v>
      </c>
    </row>
    <row r="4052" spans="1:6" x14ac:dyDescent="0.3">
      <c r="A4052" t="str">
        <f>HYPERLINK("https://us2.cloudbeds.com/connect/10074733072513#/reservations/31678843764977?display=MHAAT5PP1&amp;reservation_id=31678843764977", "MHAAT5PP1")</f>
        <v>MHAAT5PP1</v>
      </c>
      <c r="B4052" t="s">
        <v>1079</v>
      </c>
      <c r="C4052">
        <v>170.1</v>
      </c>
      <c r="D4052">
        <v>184.89</v>
      </c>
      <c r="E4052">
        <v>184.9</v>
      </c>
      <c r="F4052">
        <v>-0.01</v>
      </c>
    </row>
    <row r="4053" spans="1:6" x14ac:dyDescent="0.3">
      <c r="A4053" t="str">
        <f>HYPERLINK("https://us2.cloudbeds.com/connect/10074733072513#/reservations/31685287489669?display=MHFAHMUAY&amp;reservation_id=31685287489669", "MHFAHMUAY")</f>
        <v>MHFAHMUAY</v>
      </c>
      <c r="B4053" t="s">
        <v>1242</v>
      </c>
      <c r="C4053">
        <v>456.3</v>
      </c>
      <c r="D4053">
        <v>495.99</v>
      </c>
      <c r="E4053">
        <v>496</v>
      </c>
      <c r="F4053">
        <v>-0.01</v>
      </c>
    </row>
    <row r="4054" spans="1:6" x14ac:dyDescent="0.3">
      <c r="A4054" t="str">
        <f>HYPERLINK("https://us2.cloudbeds.com/connect/10074733072513#/reservations/31678145261715?display=MH9Q15TKH&amp;reservation_id=31678145261715", "MH9Q15TKH")</f>
        <v>MH9Q15TKH</v>
      </c>
      <c r="B4054" t="s">
        <v>1266</v>
      </c>
      <c r="C4054">
        <v>112.24</v>
      </c>
      <c r="D4054">
        <v>121.99</v>
      </c>
      <c r="E4054">
        <v>122</v>
      </c>
      <c r="F4054">
        <v>-0.01</v>
      </c>
    </row>
    <row r="4055" spans="1:6" x14ac:dyDescent="0.3">
      <c r="A4055" t="str">
        <f>HYPERLINK("https://us2.cloudbeds.com/connect/10074733072513#/reservations/31677280915681?display=MH93VB6EF&amp;reservation_id=31677280915681", "MH93VB6EF")</f>
        <v>MH93VB6EF</v>
      </c>
      <c r="B4055" t="s">
        <v>1104</v>
      </c>
      <c r="C4055">
        <v>112.24</v>
      </c>
      <c r="D4055">
        <v>121.99</v>
      </c>
      <c r="E4055">
        <v>122</v>
      </c>
      <c r="F4055">
        <v>-0.01</v>
      </c>
    </row>
    <row r="4056" spans="1:6" x14ac:dyDescent="0.3">
      <c r="A4056" t="str">
        <f>HYPERLINK("https://us2.cloudbeds.com/connect/10074733072513#/reservations/31677661311133?display=MH9DM38XC&amp;reservation_id=31677661311133", "MH9DM38XC")</f>
        <v>MH9DM38XC</v>
      </c>
      <c r="B4056" t="s">
        <v>1276</v>
      </c>
      <c r="C4056">
        <v>134.1</v>
      </c>
      <c r="D4056">
        <v>145.76</v>
      </c>
      <c r="E4056">
        <v>145.77000000000001</v>
      </c>
      <c r="F4056">
        <v>-0.01</v>
      </c>
    </row>
    <row r="4057" spans="1:6" x14ac:dyDescent="0.3">
      <c r="A4057" t="str">
        <f>HYPERLINK("https://us2.cloudbeds.com/connect/10074733072513#/reservations/31677821735104?display=MH9HPC5VY&amp;reservation_id=31677821735104", "MH9HPC5VY")</f>
        <v>MH9HPC5VY</v>
      </c>
      <c r="B4057" t="s">
        <v>1104</v>
      </c>
      <c r="C4057">
        <v>112.24</v>
      </c>
      <c r="D4057">
        <v>121.99</v>
      </c>
      <c r="E4057">
        <v>122</v>
      </c>
      <c r="F4057">
        <v>-0.01</v>
      </c>
    </row>
    <row r="4058" spans="1:6" x14ac:dyDescent="0.3">
      <c r="A4058" t="str">
        <f>HYPERLINK("https://us2.cloudbeds.com/connect/10074733072513#/reservations/31678762152191?display=MHA8QBPTA&amp;reservation_id=31678762152191", "MHA8QBPTA")</f>
        <v>MHA8QBPTA</v>
      </c>
      <c r="B4058" t="s">
        <v>1260</v>
      </c>
      <c r="C4058">
        <v>345.68</v>
      </c>
      <c r="D4058">
        <v>375.74</v>
      </c>
      <c r="E4058">
        <v>375.75</v>
      </c>
      <c r="F4058">
        <v>-0.01</v>
      </c>
    </row>
    <row r="4059" spans="1:6" x14ac:dyDescent="0.3">
      <c r="A4059" t="str">
        <f>HYPERLINK("https://us2.cloudbeds.com/connect/10074733072513#/reservations/31678522433712?display=MHA2M78NW&amp;reservation_id=31678522433712", "MHA2M78NW")</f>
        <v>MHA2M78NW</v>
      </c>
      <c r="B4059" t="s">
        <v>1195</v>
      </c>
      <c r="C4059">
        <v>141.49</v>
      </c>
      <c r="D4059">
        <v>153.79</v>
      </c>
      <c r="E4059">
        <v>153.80000000000001</v>
      </c>
      <c r="F4059">
        <v>-0.01</v>
      </c>
    </row>
    <row r="4060" spans="1:6" x14ac:dyDescent="0.3">
      <c r="A4060" t="str">
        <f>HYPERLINK("https://us2.cloudbeds.com/connect/10074733072513#/reservations/31678574325953?display=MHA3WW804&amp;reservation_id=31678574325953", "MHA3WW804")</f>
        <v>MHA3WW804</v>
      </c>
      <c r="B4060" t="s">
        <v>1277</v>
      </c>
      <c r="C4060">
        <v>537.29999999999995</v>
      </c>
      <c r="D4060">
        <v>584.04</v>
      </c>
      <c r="E4060">
        <v>584.04999999999995</v>
      </c>
      <c r="F4060">
        <v>-0.01</v>
      </c>
    </row>
    <row r="4061" spans="1:6" x14ac:dyDescent="0.3">
      <c r="A4061" t="str">
        <f>HYPERLINK("https://us2.cloudbeds.com/connect/10074733072513#/reservations/31678691717309?display=MHA6WVRCV&amp;reservation_id=31678691717309", "MHA6WVRCV")</f>
        <v>MHA6WVRCV</v>
      </c>
      <c r="B4061" t="s">
        <v>1277</v>
      </c>
      <c r="C4061">
        <v>537.29999999999995</v>
      </c>
      <c r="D4061">
        <v>584.04</v>
      </c>
      <c r="E4061">
        <v>584.04999999999995</v>
      </c>
      <c r="F4061">
        <v>-0.01</v>
      </c>
    </row>
    <row r="4062" spans="1:6" x14ac:dyDescent="0.3">
      <c r="A4062" t="str">
        <f>HYPERLINK("https://us2.cloudbeds.com/connect/10074733072513#/reservations/31678935269511?display=MHAD7B0VN&amp;reservation_id=31678935269511", "MHAD7B0VN")</f>
        <v>MHAD7B0VN</v>
      </c>
      <c r="B4062" t="s">
        <v>1144</v>
      </c>
      <c r="C4062">
        <v>169.15</v>
      </c>
      <c r="D4062">
        <v>183.86</v>
      </c>
      <c r="E4062">
        <v>183.87</v>
      </c>
      <c r="F4062">
        <v>-0.01</v>
      </c>
    </row>
    <row r="4063" spans="1:6" x14ac:dyDescent="0.3">
      <c r="A4063" t="str">
        <f>HYPERLINK("https://us2.cloudbeds.com/connect/10074733072513#/reservations/31676116734176?display=MH876M481&amp;reservation_id=31676116734176", "MH876M481")</f>
        <v>MH876M481</v>
      </c>
      <c r="B4063" t="s">
        <v>1195</v>
      </c>
      <c r="C4063">
        <v>157.21</v>
      </c>
      <c r="D4063">
        <v>170.88</v>
      </c>
      <c r="E4063">
        <v>170.89</v>
      </c>
      <c r="F4063">
        <v>-0.01</v>
      </c>
    </row>
    <row r="4064" spans="1:6" x14ac:dyDescent="0.3">
      <c r="A4064" t="str">
        <f>HYPERLINK("https://us2.cloudbeds.com/connect/10074733072513#/reservations/31683752247529?display=MHE4A4HUD&amp;reservation_id=31683752247529", "MHE4A4HUD")</f>
        <v>MHE4A4HUD</v>
      </c>
      <c r="B4064" t="s">
        <v>1246</v>
      </c>
      <c r="C4064">
        <v>94.16</v>
      </c>
      <c r="D4064">
        <v>102.34</v>
      </c>
      <c r="E4064">
        <v>102.35</v>
      </c>
      <c r="F4064">
        <v>-0.01</v>
      </c>
    </row>
    <row r="4065" spans="1:6" x14ac:dyDescent="0.3">
      <c r="A4065" t="str">
        <f>HYPERLINK("https://us2.cloudbeds.com/connect/10074733072513#/reservations/31680667095174?display=MHBZFYKR8&amp;reservation_id=31680667095174", "MHBZFYKR8")</f>
        <v>MHBZFYKR8</v>
      </c>
      <c r="B4065" t="s">
        <v>1072</v>
      </c>
      <c r="C4065">
        <v>756.4</v>
      </c>
      <c r="D4065">
        <v>822.2</v>
      </c>
      <c r="E4065">
        <v>822.21</v>
      </c>
      <c r="F4065">
        <v>-0.01</v>
      </c>
    </row>
    <row r="4066" spans="1:6" x14ac:dyDescent="0.3">
      <c r="A4066" t="str">
        <f>HYPERLINK("https://us2.cloudbeds.com/connect/10074733072513#/reservations/31677953142980?display=MH9Y45U1M&amp;reservation_id=31677953142980", "MH9Y45U1M")</f>
        <v>MH9Y45U1M</v>
      </c>
      <c r="B4066" t="s">
        <v>1231</v>
      </c>
      <c r="C4066">
        <v>118.15</v>
      </c>
      <c r="D4066">
        <v>128.41999999999999</v>
      </c>
      <c r="E4066">
        <v>128.43</v>
      </c>
      <c r="F4066">
        <v>-0.01</v>
      </c>
    </row>
    <row r="4067" spans="1:6" x14ac:dyDescent="0.3">
      <c r="A4067" t="str">
        <f>HYPERLINK("https://us2.cloudbeds.com/connect/10074733072513#/reservations/31684320837777?display=MHEXRJDC2&amp;reservation_id=31684320837777", "MHEXRJDC2")</f>
        <v>MHEXRJDC2</v>
      </c>
      <c r="B4067" t="s">
        <v>1187</v>
      </c>
      <c r="C4067">
        <v>170.1</v>
      </c>
      <c r="D4067">
        <v>184.89</v>
      </c>
      <c r="E4067">
        <v>184.9</v>
      </c>
      <c r="F4067">
        <v>-0.01</v>
      </c>
    </row>
    <row r="4068" spans="1:6" x14ac:dyDescent="0.3">
      <c r="A4068" t="str">
        <f>HYPERLINK("https://us2.cloudbeds.com/connect/10074733072513#/reservations/31679409721591?display=MHAPBDBQF&amp;reservation_id=31679409721591", "MHAPBDBQF")</f>
        <v>MHAPBDBQF</v>
      </c>
      <c r="B4068" t="s">
        <v>1187</v>
      </c>
      <c r="C4068">
        <v>170.1</v>
      </c>
      <c r="D4068">
        <v>184.89</v>
      </c>
      <c r="E4068">
        <v>184.9</v>
      </c>
      <c r="F4068">
        <v>-0.01</v>
      </c>
    </row>
    <row r="4069" spans="1:6" x14ac:dyDescent="0.3">
      <c r="A4069" t="str">
        <f>HYPERLINK("https://us2.cloudbeds.com/connect/10074733072513#/reservations/31682111516895?display=MHCSCKQ7E&amp;reservation_id=31682111516895", "MHCSCKQ7E")</f>
        <v>MHCSCKQ7E</v>
      </c>
      <c r="B4069" t="s">
        <v>1127</v>
      </c>
      <c r="C4069">
        <v>304.2</v>
      </c>
      <c r="D4069">
        <v>330.66</v>
      </c>
      <c r="E4069">
        <v>330.67</v>
      </c>
      <c r="F4069">
        <v>-0.01</v>
      </c>
    </row>
    <row r="4070" spans="1:6" x14ac:dyDescent="0.3">
      <c r="A4070" t="str">
        <f>HYPERLINK("https://us2.cloudbeds.com/connect/10074733072513#/reservations/31678917742741?display=MHACPXAJF&amp;reservation_id=31678917742741", "MHACPXAJF")</f>
        <v>MHACPXAJF</v>
      </c>
      <c r="B4070" t="s">
        <v>1267</v>
      </c>
      <c r="C4070">
        <v>118.15</v>
      </c>
      <c r="D4070">
        <v>128.41999999999999</v>
      </c>
      <c r="E4070">
        <v>128.43</v>
      </c>
      <c r="F4070">
        <v>-0.01</v>
      </c>
    </row>
    <row r="4071" spans="1:6" x14ac:dyDescent="0.3">
      <c r="A4071" t="str">
        <f>HYPERLINK("https://us2.cloudbeds.com/connect/10074733072513#/reservations/31677897711751?display=MH9JNEF0F&amp;reservation_id=31677897711751", "MH9JNEF0F")</f>
        <v>MH9JNEF0F</v>
      </c>
      <c r="B4071" t="s">
        <v>1231</v>
      </c>
      <c r="C4071">
        <v>118.15</v>
      </c>
      <c r="D4071">
        <v>128.41999999999999</v>
      </c>
      <c r="E4071">
        <v>128.43</v>
      </c>
      <c r="F4071">
        <v>-0.01</v>
      </c>
    </row>
    <row r="4072" spans="1:6" x14ac:dyDescent="0.3">
      <c r="A4072" t="str">
        <f>HYPERLINK("https://us2.cloudbeds.com/connect/10074733072513#/reservations/31679773532387?display=MHB1Y5UM1&amp;reservation_id=31679773532387", "MHB1Y5UM1")</f>
        <v>MHB1Y5UM1</v>
      </c>
      <c r="B4072" t="s">
        <v>1137</v>
      </c>
      <c r="C4072">
        <v>288</v>
      </c>
      <c r="D4072">
        <v>313.05</v>
      </c>
      <c r="E4072">
        <v>313.06</v>
      </c>
      <c r="F4072">
        <v>-0.01</v>
      </c>
    </row>
    <row r="4073" spans="1:6" x14ac:dyDescent="0.3">
      <c r="A4073" t="str">
        <f>HYPERLINK("https://us2.cloudbeds.com/connect/10074733072513#/reservations/31680255377639?display=MHBDVFWFA&amp;reservation_id=31680255377639", "MHBDVFWFA")</f>
        <v>MHBDVFWFA</v>
      </c>
      <c r="B4073" t="s">
        <v>1278</v>
      </c>
      <c r="C4073">
        <v>134.1</v>
      </c>
      <c r="D4073">
        <v>145.76</v>
      </c>
      <c r="E4073">
        <v>145.77000000000001</v>
      </c>
      <c r="F4073">
        <v>-0.01</v>
      </c>
    </row>
    <row r="4074" spans="1:6" x14ac:dyDescent="0.3">
      <c r="A4074" t="str">
        <f>HYPERLINK("https://us2.cloudbeds.com/connect/10074733072513#/reservations/31678578684128?display=MHA43YH01&amp;reservation_id=31678578684128", "MHA43YH01")</f>
        <v>MHA43YH01</v>
      </c>
      <c r="B4074" t="s">
        <v>1251</v>
      </c>
      <c r="C4074">
        <v>127.2</v>
      </c>
      <c r="D4074">
        <v>138.26</v>
      </c>
      <c r="E4074">
        <v>138.27000000000001</v>
      </c>
      <c r="F4074">
        <v>-0.01</v>
      </c>
    </row>
    <row r="4075" spans="1:6" x14ac:dyDescent="0.3">
      <c r="A4075" t="str">
        <f>HYPERLINK("https://us2.cloudbeds.com/connect/10074733072513#/reservations/31680532934826?display=MHBY1HDU5&amp;reservation_id=31680532934826", "MHBY1HDU5")</f>
        <v>MHBY1HDU5</v>
      </c>
      <c r="B4075" t="s">
        <v>1179</v>
      </c>
      <c r="C4075">
        <v>94.16</v>
      </c>
      <c r="D4075">
        <v>102.34</v>
      </c>
      <c r="E4075">
        <v>102.35</v>
      </c>
      <c r="F4075">
        <v>-0.01</v>
      </c>
    </row>
    <row r="4076" spans="1:6" x14ac:dyDescent="0.3">
      <c r="A4076" t="str">
        <f>HYPERLINK("https://us2.cloudbeds.com/connect/10074733072513#/reservations/31677032169669?display=MH8UJJFHH&amp;reservation_id=31677032169669", "MH8UJJFHH")</f>
        <v>MH8UJJFHH</v>
      </c>
      <c r="B4076" t="s">
        <v>1086</v>
      </c>
      <c r="C4076">
        <v>152.15</v>
      </c>
      <c r="D4076">
        <v>165.38</v>
      </c>
      <c r="E4076">
        <v>165.39</v>
      </c>
      <c r="F4076">
        <v>-0.01</v>
      </c>
    </row>
    <row r="4077" spans="1:6" x14ac:dyDescent="0.3">
      <c r="A4077" t="str">
        <f>HYPERLINK("https://us2.cloudbeds.com/connect/10074733072513#/reservations/31678080962717?display=MH9ZCVMX1&amp;reservation_id=31678080962717", "MH9ZCVMX1")</f>
        <v>MH9ZCVMX1</v>
      </c>
      <c r="B4077" t="s">
        <v>1144</v>
      </c>
      <c r="C4077">
        <v>250.2</v>
      </c>
      <c r="D4077">
        <v>271.95999999999998</v>
      </c>
      <c r="E4077">
        <v>271.97000000000003</v>
      </c>
      <c r="F4077">
        <v>-0.01</v>
      </c>
    </row>
    <row r="4078" spans="1:6" x14ac:dyDescent="0.3">
      <c r="A4078" t="str">
        <f>HYPERLINK("https://us2.cloudbeds.com/connect/10074733072513#/reservations/31679743746267?display=MHB0T22SB&amp;reservation_id=31679743746267", "MHB0T22SB")</f>
        <v>MHB0T22SB</v>
      </c>
      <c r="B4078" t="s">
        <v>1244</v>
      </c>
      <c r="C4078">
        <v>474.3</v>
      </c>
      <c r="D4078">
        <v>515.54999999999995</v>
      </c>
      <c r="E4078">
        <v>515.55999999999995</v>
      </c>
      <c r="F4078">
        <v>-0.01</v>
      </c>
    </row>
    <row r="4079" spans="1:6" x14ac:dyDescent="0.3">
      <c r="A4079" t="str">
        <f>HYPERLINK("https://us2.cloudbeds.com/connect/10074733072513#/reservations/31677596467393?display=MH9C0DT8X&amp;reservation_id=31677596467393", "MH9C0DT8X")</f>
        <v>MH9C0DT8X</v>
      </c>
      <c r="B4079" t="s">
        <v>1179</v>
      </c>
      <c r="C4079">
        <v>94.16</v>
      </c>
      <c r="D4079">
        <v>102.34</v>
      </c>
      <c r="E4079">
        <v>102.35</v>
      </c>
      <c r="F4079">
        <v>-0.01</v>
      </c>
    </row>
    <row r="4080" spans="1:6" x14ac:dyDescent="0.3">
      <c r="A4080" t="str">
        <f>HYPERLINK("https://us2.cloudbeds.com/connect/10074733072513#/reservations/31677490462867?display=MH99A1536&amp;reservation_id=31677490462867", "MH99A1536")</f>
        <v>MH99A1536</v>
      </c>
      <c r="B4080" t="s">
        <v>1179</v>
      </c>
      <c r="C4080">
        <v>118.15</v>
      </c>
      <c r="D4080">
        <v>128.41999999999999</v>
      </c>
      <c r="E4080">
        <v>128.43</v>
      </c>
      <c r="F4080">
        <v>-0.01</v>
      </c>
    </row>
    <row r="4081" spans="1:6" x14ac:dyDescent="0.3">
      <c r="A4081" t="str">
        <f>HYPERLINK("https://us2.cloudbeds.com/connect/10074733072513#/reservations/31680551354581?display=MHBYH1W9X&amp;reservation_id=31680551354581", "MHBYH1W9X")</f>
        <v>MHBYH1W9X</v>
      </c>
      <c r="B4081" t="s">
        <v>1179</v>
      </c>
      <c r="C4081">
        <v>94.16</v>
      </c>
      <c r="D4081">
        <v>102.34</v>
      </c>
      <c r="E4081">
        <v>102.35</v>
      </c>
      <c r="F4081">
        <v>-0.01</v>
      </c>
    </row>
    <row r="4082" spans="1:6" x14ac:dyDescent="0.3">
      <c r="A4082" t="str">
        <f>HYPERLINK("https://us2.cloudbeds.com/connect/10074733072513#/reservations/31680524107988?display=MHBKR2QF7&amp;reservation_id=31680524107988", "MHBKR2QF7")</f>
        <v>MHBKR2QF7</v>
      </c>
      <c r="B4082" t="s">
        <v>1179</v>
      </c>
      <c r="C4082">
        <v>94.16</v>
      </c>
      <c r="D4082">
        <v>102.34</v>
      </c>
      <c r="E4082">
        <v>102.35</v>
      </c>
      <c r="F4082">
        <v>-0.01</v>
      </c>
    </row>
    <row r="4083" spans="1:6" x14ac:dyDescent="0.3">
      <c r="A4083" t="str">
        <f>HYPERLINK("https://us2.cloudbeds.com/connect/10074733072513#/reservations/31679760093315?display=MHB19RVUE&amp;reservation_id=31679760093315", "MHB19RVUE")</f>
        <v>MHB19RVUE</v>
      </c>
      <c r="B4083" t="s">
        <v>1244</v>
      </c>
      <c r="C4083">
        <v>474.3</v>
      </c>
      <c r="D4083">
        <v>515.54999999999995</v>
      </c>
      <c r="E4083">
        <v>515.55999999999995</v>
      </c>
      <c r="F4083">
        <v>-0.01</v>
      </c>
    </row>
    <row r="4084" spans="1:6" x14ac:dyDescent="0.3">
      <c r="A4084" t="str">
        <f>HYPERLINK("https://us2.cloudbeds.com/connect/10074733072513#/reservations/31679783694578?display=MHB1TZNB7&amp;reservation_id=31679783694578", "MHB1TZNB7")</f>
        <v>MHB1TZNB7</v>
      </c>
      <c r="B4084" t="s">
        <v>1244</v>
      </c>
      <c r="C4084">
        <v>474.3</v>
      </c>
      <c r="D4084">
        <v>515.54999999999995</v>
      </c>
      <c r="E4084">
        <v>515.55999999999995</v>
      </c>
      <c r="F4084">
        <v>-0.01</v>
      </c>
    </row>
    <row r="4085" spans="1:6" x14ac:dyDescent="0.3">
      <c r="A4085" t="str">
        <f>HYPERLINK("https://us2.cloudbeds.com/connect/10074733072513#/reservations/31680452632757?display=MHBXWQTY4&amp;reservation_id=31680452632757", "MHBXWQTY4")</f>
        <v>MHBXWQTY4</v>
      </c>
      <c r="B4085" t="s">
        <v>1179</v>
      </c>
      <c r="C4085">
        <v>134.1</v>
      </c>
      <c r="D4085">
        <v>145.76</v>
      </c>
      <c r="E4085">
        <v>145.77000000000001</v>
      </c>
      <c r="F4085">
        <v>-0.01</v>
      </c>
    </row>
    <row r="4086" spans="1:6" x14ac:dyDescent="0.3">
      <c r="A4086" t="str">
        <f>HYPERLINK("https://us2.cloudbeds.com/connect/10074733072513#/reservations/31678330794133?display=MH9UPKK50&amp;reservation_id=31678330794133", "MH9UPKK50")</f>
        <v>MH9UPKK50</v>
      </c>
      <c r="B4086" t="s">
        <v>1206</v>
      </c>
      <c r="C4086">
        <v>134.1</v>
      </c>
      <c r="D4086">
        <v>145.76</v>
      </c>
      <c r="E4086">
        <v>145.77000000000001</v>
      </c>
      <c r="F4086">
        <v>-0.01</v>
      </c>
    </row>
    <row r="4087" spans="1:6" x14ac:dyDescent="0.3">
      <c r="A4087" t="str">
        <f>HYPERLINK("https://us2.cloudbeds.com/connect/10074733072513#/reservations/31677244653791?display=MH930P53A&amp;reservation_id=31677244653791", "MH930P53A")</f>
        <v>MH930P53A</v>
      </c>
      <c r="B4087" t="s">
        <v>1086</v>
      </c>
      <c r="C4087">
        <v>118.15</v>
      </c>
      <c r="D4087">
        <v>128.41999999999999</v>
      </c>
      <c r="E4087">
        <v>128.43</v>
      </c>
      <c r="F4087">
        <v>-0.01</v>
      </c>
    </row>
    <row r="4088" spans="1:6" x14ac:dyDescent="0.3">
      <c r="A4088" t="str">
        <f>HYPERLINK("https://us2.cloudbeds.com/connect/10074733072513#/reservations/31678330798226?display=MH9UPKNU1&amp;reservation_id=31678330798226", "MH9UPKNU1")</f>
        <v>MH9UPKNU1</v>
      </c>
      <c r="B4088" t="s">
        <v>1206</v>
      </c>
      <c r="C4088">
        <v>94.16</v>
      </c>
      <c r="D4088">
        <v>102.34</v>
      </c>
      <c r="E4088">
        <v>102.35</v>
      </c>
      <c r="F4088">
        <v>-0.01</v>
      </c>
    </row>
    <row r="4089" spans="1:6" x14ac:dyDescent="0.3">
      <c r="A4089" t="str">
        <f>HYPERLINK("https://us2.cloudbeds.com/connect/10074733072513#/reservations/31678842200299?display=MHAARS7VX&amp;reservation_id=31678842200299", "MHAARS7VX")</f>
        <v>MHAARS7VX</v>
      </c>
      <c r="B4089" t="s">
        <v>1279</v>
      </c>
      <c r="C4089">
        <v>169.15</v>
      </c>
      <c r="D4089">
        <v>183.86</v>
      </c>
      <c r="E4089">
        <v>183.87</v>
      </c>
      <c r="F4089">
        <v>-0.01</v>
      </c>
    </row>
    <row r="4090" spans="1:6" x14ac:dyDescent="0.3">
      <c r="A4090" t="str">
        <f>HYPERLINK("https://us2.cloudbeds.com/connect/10074733072513#/reservations/31679605493971?display=MHAUBG0DR&amp;reservation_id=31679605493971", "MHAUBG0DR")</f>
        <v>MHAUBG0DR</v>
      </c>
      <c r="B4090" t="s">
        <v>1276</v>
      </c>
      <c r="C4090">
        <v>118.15</v>
      </c>
      <c r="D4090">
        <v>128.41999999999999</v>
      </c>
      <c r="E4090">
        <v>128.43</v>
      </c>
      <c r="F4090">
        <v>-0.01</v>
      </c>
    </row>
    <row r="4091" spans="1:6" x14ac:dyDescent="0.3">
      <c r="A4091" t="str">
        <f>HYPERLINK("https://us2.cloudbeds.com/connect/10074733072513#/reservations/31679626322133?display=MHAUT1JC8&amp;reservation_id=31679626322133", "MHAUT1JC8")</f>
        <v>MHAUT1JC8</v>
      </c>
      <c r="B4091" t="s">
        <v>1222</v>
      </c>
      <c r="C4091">
        <v>222.4</v>
      </c>
      <c r="D4091">
        <v>241.74</v>
      </c>
      <c r="E4091">
        <v>241.75</v>
      </c>
      <c r="F4091">
        <v>-0.01</v>
      </c>
    </row>
    <row r="4092" spans="1:6" x14ac:dyDescent="0.3">
      <c r="A4092" t="str">
        <f>HYPERLINK("https://us2.cloudbeds.com/connect/10074733072513#/reservations/31683304460483?display=MHDPSX6T4&amp;reservation_id=31683304460483", "MHDPSX6T4")</f>
        <v>MHDPSX6T4</v>
      </c>
      <c r="B4092" t="s">
        <v>1154</v>
      </c>
      <c r="C4092">
        <v>170.1</v>
      </c>
      <c r="D4092">
        <v>184.89</v>
      </c>
      <c r="E4092">
        <v>184.9</v>
      </c>
      <c r="F4092">
        <v>-0.01</v>
      </c>
    </row>
    <row r="4093" spans="1:6" x14ac:dyDescent="0.3">
      <c r="A4093" t="str">
        <f>HYPERLINK("https://us2.cloudbeds.com/connect/10074733072513#/reservations/31678273990876?display=MH9TANW76&amp;reservation_id=31678273990876", "MH9TANW76")</f>
        <v>MH9TANW76</v>
      </c>
      <c r="B4093" t="s">
        <v>1255</v>
      </c>
      <c r="C4093">
        <v>94.16</v>
      </c>
      <c r="D4093">
        <v>102.34</v>
      </c>
      <c r="E4093">
        <v>102.35</v>
      </c>
      <c r="F4093">
        <v>-0.01</v>
      </c>
    </row>
    <row r="4094" spans="1:6" x14ac:dyDescent="0.3">
      <c r="A4094" t="str">
        <f>HYPERLINK("https://us2.cloudbeds.com/connect/10074733072513#/reservations/31679559426260?display=MHAT5Y3YJ&amp;reservation_id=31679559426260", "MHAT5Y3YJ")</f>
        <v>MHAT5Y3YJ</v>
      </c>
      <c r="B4094" t="s">
        <v>1087</v>
      </c>
      <c r="C4094">
        <v>118.15</v>
      </c>
      <c r="D4094">
        <v>128.41999999999999</v>
      </c>
      <c r="E4094">
        <v>128.43</v>
      </c>
      <c r="F4094">
        <v>-0.01</v>
      </c>
    </row>
    <row r="4095" spans="1:6" x14ac:dyDescent="0.3">
      <c r="A4095" t="str">
        <f>HYPERLINK("https://us2.cloudbeds.com/connect/10074733072513#/reservations/31677595955455?display=MH9BWWY59&amp;reservation_id=31677595955455", "MH9BWWY59")</f>
        <v>MH9BWWY59</v>
      </c>
      <c r="B4095" t="s">
        <v>1281</v>
      </c>
      <c r="C4095">
        <v>134.1</v>
      </c>
      <c r="D4095">
        <v>145.76</v>
      </c>
      <c r="E4095">
        <v>145.77000000000001</v>
      </c>
      <c r="F4095">
        <v>-0.01</v>
      </c>
    </row>
    <row r="4096" spans="1:6" x14ac:dyDescent="0.3">
      <c r="A4096" t="str">
        <f>HYPERLINK("https://us2.cloudbeds.com/connect/10074733072513#/reservations/31678724346019?display=MHA7RFPFZ&amp;reservation_id=31678724346019", "MHA7RFPFZ")</f>
        <v>MHA7RFPFZ</v>
      </c>
      <c r="B4096" t="s">
        <v>1277</v>
      </c>
      <c r="C4096">
        <v>590.1</v>
      </c>
      <c r="D4096">
        <v>641.42999999999995</v>
      </c>
      <c r="E4096">
        <v>641.44000000000005</v>
      </c>
      <c r="F4096">
        <v>-0.01</v>
      </c>
    </row>
    <row r="4097" spans="1:6" x14ac:dyDescent="0.3">
      <c r="A4097" t="str">
        <f>HYPERLINK("https://us2.cloudbeds.com/connect/10074733072513#/reservations/31678465495238?display=MHA176SKM&amp;reservation_id=31678465495238", "MHA176SKM")</f>
        <v>MHA176SKM</v>
      </c>
      <c r="B4097" t="s">
        <v>1239</v>
      </c>
      <c r="C4097">
        <v>254.4</v>
      </c>
      <c r="D4097">
        <v>276.52</v>
      </c>
      <c r="E4097">
        <v>276.52999999999997</v>
      </c>
      <c r="F4097">
        <v>-0.01</v>
      </c>
    </row>
    <row r="4098" spans="1:6" x14ac:dyDescent="0.3">
      <c r="A4098" t="str">
        <f>HYPERLINK("https://us2.cloudbeds.com/connect/10074733072513#/reservations/31677968896143?display=MH9YHF8P8&amp;reservation_id=31677968896143", "MH9YHF8P8")</f>
        <v>MH9YHF8P8</v>
      </c>
      <c r="B4098" t="s">
        <v>1283</v>
      </c>
      <c r="C4098">
        <v>118.15</v>
      </c>
      <c r="D4098">
        <v>128.41999999999999</v>
      </c>
      <c r="E4098">
        <v>128.43</v>
      </c>
      <c r="F4098">
        <v>-0.01</v>
      </c>
    </row>
    <row r="4099" spans="1:6" x14ac:dyDescent="0.3">
      <c r="A4099" t="str">
        <f>HYPERLINK("https://us2.cloudbeds.com/connect/10074733072513#/reservations/31684294787205?display=MHEX5KGQN&amp;reservation_id=31684294787205", "MHEX5KGQN")</f>
        <v>MHEX5KGQN</v>
      </c>
      <c r="B4099" t="s">
        <v>1187</v>
      </c>
      <c r="C4099">
        <v>376.2</v>
      </c>
      <c r="D4099">
        <v>408.92</v>
      </c>
      <c r="E4099">
        <v>408.93</v>
      </c>
      <c r="F4099">
        <v>-0.01</v>
      </c>
    </row>
    <row r="4100" spans="1:6" x14ac:dyDescent="0.3">
      <c r="A4100" t="str">
        <f>HYPERLINK("https://us2.cloudbeds.com/connect/10074733072513#/reservations/31677282115740?display=MH93WBJDT&amp;reservation_id=31677282115740", "MH93WBJDT")</f>
        <v>MH93WBJDT</v>
      </c>
      <c r="B4100" t="s">
        <v>1281</v>
      </c>
      <c r="C4100">
        <v>152.15</v>
      </c>
      <c r="D4100">
        <v>165.38</v>
      </c>
      <c r="E4100">
        <v>165.39</v>
      </c>
      <c r="F4100">
        <v>-0.01</v>
      </c>
    </row>
    <row r="4101" spans="1:6" x14ac:dyDescent="0.3">
      <c r="A4101" t="str">
        <f>HYPERLINK("https://us2.cloudbeds.com/connect/10074733072513#/reservations/31682063007942?display=MHCR4NVZ5&amp;reservation_id=31682063007942", "MHCR4NVZ5")</f>
        <v>MHCR4NVZ5</v>
      </c>
      <c r="B4101" t="s">
        <v>1127</v>
      </c>
      <c r="C4101">
        <v>143.65</v>
      </c>
      <c r="D4101">
        <v>156.13999999999999</v>
      </c>
      <c r="E4101">
        <v>156.15</v>
      </c>
      <c r="F4101">
        <v>-0.01</v>
      </c>
    </row>
    <row r="4102" spans="1:6" x14ac:dyDescent="0.3">
      <c r="A4102" t="str">
        <f>HYPERLINK("https://us2.cloudbeds.com/connect/10074733072513#/reservations/31677943476405?display=MH9KT0UG5&amp;reservation_id=31677943476405", "MH9KT0UG5")</f>
        <v>MH9KT0UG5</v>
      </c>
      <c r="B4102" t="s">
        <v>1276</v>
      </c>
      <c r="C4102">
        <v>222.4</v>
      </c>
      <c r="D4102">
        <v>241.74</v>
      </c>
      <c r="E4102">
        <v>241.75</v>
      </c>
      <c r="F4102">
        <v>-0.01</v>
      </c>
    </row>
    <row r="4103" spans="1:6" x14ac:dyDescent="0.3">
      <c r="A4103" t="str">
        <f>HYPERLINK("https://us2.cloudbeds.com/connect/10074733072513#/reservations/31679304671444?display=MHAMYR60M&amp;reservation_id=31679304671444", "MHAMYR60M")</f>
        <v>MHAMYR60M</v>
      </c>
      <c r="B4103" t="s">
        <v>1282</v>
      </c>
      <c r="C4103">
        <v>134.1</v>
      </c>
      <c r="D4103">
        <v>145.76</v>
      </c>
      <c r="E4103">
        <v>145.77000000000001</v>
      </c>
      <c r="F4103">
        <v>-0.01</v>
      </c>
    </row>
    <row r="4104" spans="1:6" x14ac:dyDescent="0.3">
      <c r="A4104" t="str">
        <f>HYPERLINK("https://us2.cloudbeds.com/connect/10074733072513#/reservations/31679260872865?display=MHAYHTDV0&amp;reservation_id=31679260872865", "MHAYHTDV0")</f>
        <v>MHAYHTDV0</v>
      </c>
      <c r="B4104" t="s">
        <v>1282</v>
      </c>
      <c r="C4104">
        <v>118.15</v>
      </c>
      <c r="D4104">
        <v>128.41999999999999</v>
      </c>
      <c r="E4104">
        <v>128.43</v>
      </c>
      <c r="F4104">
        <v>-0.01</v>
      </c>
    </row>
    <row r="4105" spans="1:6" x14ac:dyDescent="0.3">
      <c r="A4105" t="str">
        <f>HYPERLINK("https://us2.cloudbeds.com/connect/10074733072513#/reservations/31677647745166?display=MH9DAYP9E&amp;reservation_id=31677647745166", "MH9DAYP9E")</f>
        <v>MH9DAYP9E</v>
      </c>
      <c r="B4105" t="s">
        <v>1281</v>
      </c>
      <c r="C4105">
        <v>134.1</v>
      </c>
      <c r="D4105">
        <v>145.76</v>
      </c>
      <c r="E4105">
        <v>145.77000000000001</v>
      </c>
      <c r="F4105">
        <v>-0.01</v>
      </c>
    </row>
    <row r="4106" spans="1:6" x14ac:dyDescent="0.3">
      <c r="A4106" t="str">
        <f>HYPERLINK("https://us2.cloudbeds.com/connect/10074733072513#/reservations/31681271566479?display=MHC6UBUTH&amp;reservation_id=31681271566479", "MHC6UBUTH")</f>
        <v>MHC6UBUTH</v>
      </c>
      <c r="B4106" t="s">
        <v>1244</v>
      </c>
      <c r="C4106">
        <v>355.3</v>
      </c>
      <c r="D4106">
        <v>386.2</v>
      </c>
      <c r="E4106">
        <v>386.21</v>
      </c>
      <c r="F4106">
        <v>-0.01</v>
      </c>
    </row>
    <row r="4107" spans="1:6" x14ac:dyDescent="0.3">
      <c r="A4107" t="str">
        <f>HYPERLINK("https://us2.cloudbeds.com/connect/10074733072513#/reservations/31680608211149?display=MHBMW035S&amp;reservation_id=31680608211149", "MHBMW035S")</f>
        <v>MHBMW035S</v>
      </c>
      <c r="B4107" t="s">
        <v>1282</v>
      </c>
      <c r="C4107">
        <v>94.16</v>
      </c>
      <c r="D4107">
        <v>102.34</v>
      </c>
      <c r="E4107">
        <v>102.35</v>
      </c>
      <c r="F4107">
        <v>-0.01</v>
      </c>
    </row>
    <row r="4108" spans="1:6" x14ac:dyDescent="0.3">
      <c r="A4108" t="str">
        <f>HYPERLINK("https://us2.cloudbeds.com/connect/10074733072513#/reservations/31679318655110?display=MHAN0K9S4&amp;reservation_id=31679318655110", "MHAN0K9S4")</f>
        <v>MHAN0K9S4</v>
      </c>
      <c r="B4108" t="s">
        <v>1282</v>
      </c>
      <c r="C4108">
        <v>94.16</v>
      </c>
      <c r="D4108">
        <v>102.34</v>
      </c>
      <c r="E4108">
        <v>102.35</v>
      </c>
      <c r="F4108">
        <v>-0.01</v>
      </c>
    </row>
    <row r="4109" spans="1:6" x14ac:dyDescent="0.3">
      <c r="A4109" t="str">
        <f>HYPERLINK("https://us2.cloudbeds.com/connect/10074733072513#/reservations/31679534125189?display=MHASHA2BF&amp;reservation_id=31679534125189", "MHASHA2BF")</f>
        <v>MHASHA2BF</v>
      </c>
      <c r="B4109" t="s">
        <v>1222</v>
      </c>
      <c r="C4109">
        <v>94.16</v>
      </c>
      <c r="D4109">
        <v>102.34</v>
      </c>
      <c r="E4109">
        <v>102.35</v>
      </c>
      <c r="F4109">
        <v>-0.01</v>
      </c>
    </row>
    <row r="4110" spans="1:6" x14ac:dyDescent="0.3">
      <c r="A4110" t="str">
        <f>HYPERLINK("https://us2.cloudbeds.com/connect/10074733072513#/reservations/31681024004278?display=MHC0JK51Y&amp;reservation_id=31681024004278", "MHC0JK51Y")</f>
        <v>MHC0JK51Y</v>
      </c>
      <c r="B4110" t="s">
        <v>1087</v>
      </c>
      <c r="C4110">
        <v>118.15</v>
      </c>
      <c r="D4110">
        <v>128.41999999999999</v>
      </c>
      <c r="E4110">
        <v>128.43</v>
      </c>
      <c r="F4110">
        <v>-0.01</v>
      </c>
    </row>
    <row r="4111" spans="1:6" x14ac:dyDescent="0.3">
      <c r="A4111" t="str">
        <f>HYPERLINK("https://us2.cloudbeds.com/connect/10074733072513#/reservations/31680585961611?display=MHBMD7W0E&amp;reservation_id=31680585961611", "MHBMD7W0E")</f>
        <v>MHBMD7W0E</v>
      </c>
      <c r="B4111" t="s">
        <v>1282</v>
      </c>
      <c r="C4111">
        <v>134.1</v>
      </c>
      <c r="D4111">
        <v>145.76</v>
      </c>
      <c r="E4111">
        <v>145.77000000000001</v>
      </c>
      <c r="F4111">
        <v>-0.01</v>
      </c>
    </row>
    <row r="4112" spans="1:6" x14ac:dyDescent="0.3">
      <c r="A4112" t="str">
        <f>HYPERLINK("https://us2.cloudbeds.com/connect/10074733072513#/reservations/31680795762817?display=MHBREC95E&amp;reservation_id=31680795762817", "MHBREC95E")</f>
        <v>MHBREC95E</v>
      </c>
      <c r="B4112" t="s">
        <v>1222</v>
      </c>
      <c r="C4112">
        <v>94.16</v>
      </c>
      <c r="D4112">
        <v>102.34</v>
      </c>
      <c r="E4112">
        <v>102.35</v>
      </c>
      <c r="F4112">
        <v>-0.01</v>
      </c>
    </row>
    <row r="4113" spans="1:6" x14ac:dyDescent="0.3">
      <c r="A4113" t="str">
        <f>HYPERLINK("https://us2.cloudbeds.com/connect/10074733072513#/reservations/31680624013500?display=MHBNCAR1W&amp;reservation_id=31680624013500", "MHBNCAR1W")</f>
        <v>MHBNCAR1W</v>
      </c>
      <c r="B4113" t="s">
        <v>1282</v>
      </c>
      <c r="C4113">
        <v>94.16</v>
      </c>
      <c r="D4113">
        <v>102.34</v>
      </c>
      <c r="E4113">
        <v>102.35</v>
      </c>
      <c r="F4113">
        <v>-0.01</v>
      </c>
    </row>
    <row r="4114" spans="1:6" x14ac:dyDescent="0.3">
      <c r="A4114" t="str">
        <f>HYPERLINK("https://us2.cloudbeds.com/connect/10074733072513#/reservations/31680595525857?display=MHBMYA3K2&amp;reservation_id=31680595525857", "MHBMYA3K2")</f>
        <v>MHBMYA3K2</v>
      </c>
      <c r="B4114" t="s">
        <v>1282</v>
      </c>
      <c r="C4114">
        <v>94.16</v>
      </c>
      <c r="D4114">
        <v>102.34</v>
      </c>
      <c r="E4114">
        <v>102.35</v>
      </c>
      <c r="F4114">
        <v>-0.01</v>
      </c>
    </row>
    <row r="4115" spans="1:6" x14ac:dyDescent="0.3">
      <c r="A4115" t="str">
        <f>HYPERLINK("https://us2.cloudbeds.com/connect/10074733072513#/reservations/31677542998244?display=MH9AYB0VA&amp;reservation_id=31677542998244", "MH9AYB0VA")</f>
        <v>MH9AYB0VA</v>
      </c>
      <c r="B4115" t="s">
        <v>1276</v>
      </c>
      <c r="C4115">
        <v>94.16</v>
      </c>
      <c r="D4115">
        <v>102.34</v>
      </c>
      <c r="E4115">
        <v>102.35</v>
      </c>
      <c r="F4115">
        <v>-0.01</v>
      </c>
    </row>
    <row r="4116" spans="1:6" x14ac:dyDescent="0.3">
      <c r="A4116" t="str">
        <f>HYPERLINK("https://us2.cloudbeds.com/connect/10074733072513#/reservations/31682354540774?display=MHD1JX9YD&amp;reservation_id=31682354540774", "MHD1JX9YD")</f>
        <v>MHD1JX9YD</v>
      </c>
      <c r="B4116" t="s">
        <v>1100</v>
      </c>
      <c r="C4116">
        <v>134.1</v>
      </c>
      <c r="D4116">
        <v>145.76</v>
      </c>
      <c r="E4116">
        <v>145.77000000000001</v>
      </c>
      <c r="F4116">
        <v>-0.01</v>
      </c>
    </row>
    <row r="4117" spans="1:6" x14ac:dyDescent="0.3">
      <c r="A4117" t="str">
        <f>HYPERLINK("https://us2.cloudbeds.com/connect/10074733072513#/reservations/31679646101724?display=MHAVCNWEQ&amp;reservation_id=31679646101724", "MHAVCNWEQ")</f>
        <v>MHAVCNWEQ</v>
      </c>
      <c r="B4117" t="s">
        <v>1276</v>
      </c>
      <c r="C4117">
        <v>94.16</v>
      </c>
      <c r="D4117">
        <v>102.34</v>
      </c>
      <c r="E4117">
        <v>102.35</v>
      </c>
      <c r="F4117">
        <v>-0.01</v>
      </c>
    </row>
    <row r="4118" spans="1:6" x14ac:dyDescent="0.3">
      <c r="A4118" t="str">
        <f>HYPERLINK("https://us2.cloudbeds.com/connect/10074733072513#/reservations/31682338730165?display=MHD167B61&amp;reservation_id=31682338730165", "MHD167B61")</f>
        <v>MHD167B61</v>
      </c>
      <c r="B4118" t="s">
        <v>1100</v>
      </c>
      <c r="C4118">
        <v>134.1</v>
      </c>
      <c r="D4118">
        <v>145.76</v>
      </c>
      <c r="E4118">
        <v>145.77000000000001</v>
      </c>
      <c r="F4118">
        <v>-0.01</v>
      </c>
    </row>
    <row r="4119" spans="1:6" x14ac:dyDescent="0.3">
      <c r="A4119" t="str">
        <f>HYPERLINK("https://us2.cloudbeds.com/connect/10074733072513#/reservations/31682608439533?display=MHD82YD66&amp;reservation_id=31682608439533", "MHD82YD66")</f>
        <v>MHD82YD66</v>
      </c>
      <c r="B4119" t="s">
        <v>1072</v>
      </c>
      <c r="C4119">
        <v>430.2</v>
      </c>
      <c r="D4119">
        <v>467.62</v>
      </c>
      <c r="E4119">
        <v>467.63</v>
      </c>
      <c r="F4119">
        <v>-0.01</v>
      </c>
    </row>
    <row r="4120" spans="1:6" x14ac:dyDescent="0.3">
      <c r="A4120" t="str">
        <f>HYPERLINK("https://us2.cloudbeds.com/connect/10074733072513#/reservations/31685189824673?display=MHF81B84A&amp;reservation_id=31685189824673", "MHF81B84A")</f>
        <v>MHF81B84A</v>
      </c>
      <c r="B4120" t="s">
        <v>1100</v>
      </c>
      <c r="C4120">
        <v>134.1</v>
      </c>
      <c r="D4120">
        <v>145.76</v>
      </c>
      <c r="E4120">
        <v>145.77000000000001</v>
      </c>
      <c r="F4120">
        <v>-0.01</v>
      </c>
    </row>
    <row r="4121" spans="1:6" x14ac:dyDescent="0.3">
      <c r="A4121" t="str">
        <f>HYPERLINK("https://us2.cloudbeds.com/connect/10074733072513#/reservations/31685189820575?display=MHF81B4C4&amp;reservation_id=31685189820575", "MHF81B4C4")</f>
        <v>MHF81B4C4</v>
      </c>
      <c r="B4121" t="s">
        <v>1100</v>
      </c>
      <c r="C4121">
        <v>134.1</v>
      </c>
      <c r="D4121">
        <v>145.76</v>
      </c>
      <c r="E4121">
        <v>145.77000000000001</v>
      </c>
      <c r="F4121">
        <v>-0.01</v>
      </c>
    </row>
    <row r="4122" spans="1:6" x14ac:dyDescent="0.3">
      <c r="A4122" t="str">
        <f>HYPERLINK("https://us2.cloudbeds.com/connect/10074733072513#/reservations/31685170884824?display=MHF7XC75G&amp;reservation_id=31685170884824", "MHF7XC75G")</f>
        <v>MHF7XC75G</v>
      </c>
      <c r="B4122" t="s">
        <v>1100</v>
      </c>
      <c r="C4122">
        <v>134.1</v>
      </c>
      <c r="D4122">
        <v>145.76</v>
      </c>
      <c r="E4122">
        <v>145.77000000000001</v>
      </c>
      <c r="F4122">
        <v>-0.01</v>
      </c>
    </row>
    <row r="4123" spans="1:6" x14ac:dyDescent="0.3">
      <c r="A4123" t="str">
        <f>HYPERLINK("https://us2.cloudbeds.com/connect/10074733072513#/reservations/31680795766913?display=MHBRP53MS&amp;reservation_id=31680795766913", "MHBRP53MS")</f>
        <v>MHBRP53MS</v>
      </c>
      <c r="B4123" t="s">
        <v>1222</v>
      </c>
      <c r="C4123">
        <v>94.16</v>
      </c>
      <c r="D4123">
        <v>102.34</v>
      </c>
      <c r="E4123">
        <v>102.35</v>
      </c>
      <c r="F4123">
        <v>-0.01</v>
      </c>
    </row>
    <row r="4124" spans="1:6" x14ac:dyDescent="0.3">
      <c r="A4124" t="str">
        <f>HYPERLINK("https://us2.cloudbeds.com/connect/10074733072513#/reservations/31682965213325?display=MHDH6G557&amp;reservation_id=31682965213325", "MHDH6G557")</f>
        <v>MHDH6G557</v>
      </c>
      <c r="B4124" t="s">
        <v>1154</v>
      </c>
      <c r="C4124">
        <v>170.1</v>
      </c>
      <c r="D4124">
        <v>184.89</v>
      </c>
      <c r="E4124">
        <v>184.9</v>
      </c>
      <c r="F4124">
        <v>-0.01</v>
      </c>
    </row>
    <row r="4125" spans="1:6" x14ac:dyDescent="0.3">
      <c r="A4125" t="str">
        <f>HYPERLINK("https://us2.cloudbeds.com/connect/10074733072513#/reservations/31677604331735?display=MH9C71NSV&amp;reservation_id=31677604331735", "MH9C71NSV")</f>
        <v>MH9C71NSV</v>
      </c>
      <c r="B4125" t="s">
        <v>1276</v>
      </c>
      <c r="C4125">
        <v>94.16</v>
      </c>
      <c r="D4125">
        <v>102.34</v>
      </c>
      <c r="E4125">
        <v>102.35</v>
      </c>
      <c r="F4125">
        <v>-0.01</v>
      </c>
    </row>
    <row r="4126" spans="1:6" x14ac:dyDescent="0.3">
      <c r="A4126" t="str">
        <f>HYPERLINK("https://us2.cloudbeds.com/connect/10074733072513#/reservations/31677357715702?display=MH95U38SQ&amp;reservation_id=31677357715702", "MH95U38SQ")</f>
        <v>MH95U38SQ</v>
      </c>
      <c r="B4126" t="s">
        <v>1271</v>
      </c>
      <c r="C4126">
        <v>134.1</v>
      </c>
      <c r="D4126">
        <v>145.76</v>
      </c>
      <c r="E4126">
        <v>145.77000000000001</v>
      </c>
      <c r="F4126">
        <v>-0.01</v>
      </c>
    </row>
    <row r="4127" spans="1:6" x14ac:dyDescent="0.3">
      <c r="A4127" t="str">
        <f>HYPERLINK("https://us2.cloudbeds.com/connect/10074733072513#/reservations/31680199139463?display=MHBCH22E5&amp;reservation_id=31680199139463", "MHBCH22E5")</f>
        <v>MHBCH22E5</v>
      </c>
      <c r="B4127" t="s">
        <v>1274</v>
      </c>
      <c r="C4127">
        <v>118.15</v>
      </c>
      <c r="D4127">
        <v>128.41999999999999</v>
      </c>
      <c r="E4127">
        <v>128.43</v>
      </c>
      <c r="F4127">
        <v>-0.01</v>
      </c>
    </row>
    <row r="4128" spans="1:6" x14ac:dyDescent="0.3">
      <c r="A4128" t="str">
        <f>HYPERLINK("https://us2.cloudbeds.com/connect/10074733072513#/reservations/31680205517020?display=MHBCMEHPF&amp;reservation_id=31680205517020", "MHBCMEHPF")</f>
        <v>MHBCMEHPF</v>
      </c>
      <c r="B4128" t="s">
        <v>1274</v>
      </c>
      <c r="C4128">
        <v>118.15</v>
      </c>
      <c r="D4128">
        <v>128.41999999999999</v>
      </c>
      <c r="E4128">
        <v>128.43</v>
      </c>
      <c r="F4128">
        <v>-0.01</v>
      </c>
    </row>
    <row r="4129" spans="1:6" x14ac:dyDescent="0.3">
      <c r="A4129" t="str">
        <f>HYPERLINK("https://us2.cloudbeds.com/connect/10074733072513#/reservations/31677981229195?display=MH9YRSET3&amp;reservation_id=31677981229195", "MH9YRSET3")</f>
        <v>MH9YRSET3</v>
      </c>
      <c r="B4129" t="s">
        <v>1137</v>
      </c>
      <c r="C4129">
        <v>186.15</v>
      </c>
      <c r="D4129">
        <v>202.34</v>
      </c>
      <c r="E4129">
        <v>202.35</v>
      </c>
      <c r="F4129">
        <v>-0.01</v>
      </c>
    </row>
    <row r="4130" spans="1:6" x14ac:dyDescent="0.3">
      <c r="A4130" t="str">
        <f>HYPERLINK("https://us2.cloudbeds.com/connect/10074733072513#/reservations/31679810441373?display=MHB2J9W75&amp;reservation_id=31679810441373", "MHB2J9W75")</f>
        <v>MHB2J9W75</v>
      </c>
      <c r="B4130" t="s">
        <v>1244</v>
      </c>
      <c r="C4130">
        <v>170.1</v>
      </c>
      <c r="D4130">
        <v>184.89</v>
      </c>
      <c r="E4130">
        <v>184.9</v>
      </c>
      <c r="F4130">
        <v>-0.01</v>
      </c>
    </row>
    <row r="4131" spans="1:6" x14ac:dyDescent="0.3">
      <c r="A4131" t="str">
        <f>HYPERLINK("https://us2.cloudbeds.com/connect/10074733072513#/reservations/31679568703657?display=MHATDF8RR&amp;reservation_id=31679568703657", "MHATDF8RR")</f>
        <v>MHATDF8RR</v>
      </c>
      <c r="B4131" t="s">
        <v>1087</v>
      </c>
      <c r="C4131">
        <v>118.15</v>
      </c>
      <c r="D4131">
        <v>128.41999999999999</v>
      </c>
      <c r="E4131">
        <v>128.43</v>
      </c>
      <c r="F4131">
        <v>-0.01</v>
      </c>
    </row>
    <row r="4132" spans="1:6" x14ac:dyDescent="0.3">
      <c r="A4132" t="str">
        <f>HYPERLINK("https://us2.cloudbeds.com/connect/10074733072513#/reservations/31678585393337?display=MHA49A6TD&amp;reservation_id=31678585393337", "MHA49A6TD")</f>
        <v>MHA49A6TD</v>
      </c>
      <c r="B4132" t="s">
        <v>1251</v>
      </c>
      <c r="C4132">
        <v>134.1</v>
      </c>
      <c r="D4132">
        <v>145.76</v>
      </c>
      <c r="E4132">
        <v>145.77000000000001</v>
      </c>
      <c r="F4132">
        <v>-0.01</v>
      </c>
    </row>
    <row r="4133" spans="1:6" x14ac:dyDescent="0.3">
      <c r="A4133" t="str">
        <f>HYPERLINK("https://us2.cloudbeds.com/connect/10074733072513#/reservations/31681921036421?display=MHCNH0D0S&amp;reservation_id=31681921036421", "MHCNH0D0S")</f>
        <v>MHCNH0D0S</v>
      </c>
      <c r="B4133" t="s">
        <v>1234</v>
      </c>
      <c r="C4133">
        <v>94.16</v>
      </c>
      <c r="D4133">
        <v>102.34</v>
      </c>
      <c r="E4133">
        <v>102.35</v>
      </c>
      <c r="F4133">
        <v>-0.01</v>
      </c>
    </row>
    <row r="4134" spans="1:6" x14ac:dyDescent="0.3">
      <c r="A4134" t="str">
        <f>HYPERLINK("https://us2.cloudbeds.com/connect/10074733072513#/reservations/31677995835609?display=MH9M75TXN&amp;reservation_id=31677995835609", "MH9M75TXN")</f>
        <v>MH9M75TXN</v>
      </c>
      <c r="B4134" t="s">
        <v>1283</v>
      </c>
      <c r="C4134">
        <v>94.16</v>
      </c>
      <c r="D4134">
        <v>102.34</v>
      </c>
      <c r="E4134">
        <v>102.35</v>
      </c>
      <c r="F4134">
        <v>-0.01</v>
      </c>
    </row>
    <row r="4135" spans="1:6" x14ac:dyDescent="0.3">
      <c r="A4135" t="str">
        <f>HYPERLINK("https://us2.cloudbeds.com/connect/10074733072513#/reservations/31680522252461?display=MHBKPH5J4&amp;reservation_id=31680522252461", "MHBKPH5J4")</f>
        <v>MHBKPH5J4</v>
      </c>
      <c r="B4135" t="s">
        <v>1279</v>
      </c>
      <c r="C4135">
        <v>169.15</v>
      </c>
      <c r="D4135">
        <v>183.86</v>
      </c>
      <c r="E4135">
        <v>183.87</v>
      </c>
      <c r="F4135">
        <v>-0.01</v>
      </c>
    </row>
    <row r="4136" spans="1:6" x14ac:dyDescent="0.3">
      <c r="A4136" t="str">
        <f>HYPERLINK("https://us2.cloudbeds.com/connect/10074733072513#/reservations/31681565569257?display=MHCEE8WTK&amp;reservation_id=31681565569257", "MHCEE8WTK")</f>
        <v>MHCEE8WTK</v>
      </c>
      <c r="B4136" t="s">
        <v>1283</v>
      </c>
      <c r="C4136">
        <v>134.1</v>
      </c>
      <c r="D4136">
        <v>145.76</v>
      </c>
      <c r="E4136">
        <v>145.77000000000001</v>
      </c>
      <c r="F4136">
        <v>-0.01</v>
      </c>
    </row>
    <row r="4137" spans="1:6" x14ac:dyDescent="0.3">
      <c r="A4137" t="str">
        <f>HYPERLINK("https://us2.cloudbeds.com/connect/10074733072513#/reservations/31680358138076?display=MHBGJ4EYV&amp;reservation_id=31680358138076", "MHBGJ4EYV")</f>
        <v>MHBGJ4EYV</v>
      </c>
      <c r="B4137" t="s">
        <v>1271</v>
      </c>
      <c r="C4137">
        <v>608.4</v>
      </c>
      <c r="D4137">
        <v>661.32</v>
      </c>
      <c r="E4137">
        <v>661.33</v>
      </c>
      <c r="F4137">
        <v>-0.01</v>
      </c>
    </row>
    <row r="4138" spans="1:6" x14ac:dyDescent="0.3">
      <c r="A4138" t="str">
        <f>HYPERLINK("https://us2.cloudbeds.com/connect/10074733072513#/reservations/31681558085771?display=MHCE7VP0A&amp;reservation_id=31681558085771", "MHCE7VP0A")</f>
        <v>MHCE7VP0A</v>
      </c>
      <c r="B4138" t="s">
        <v>1283</v>
      </c>
      <c r="C4138">
        <v>236.15</v>
      </c>
      <c r="D4138">
        <v>256.69</v>
      </c>
      <c r="E4138">
        <v>256.7</v>
      </c>
      <c r="F4138">
        <v>-0.01</v>
      </c>
    </row>
    <row r="4139" spans="1:6" x14ac:dyDescent="0.3">
      <c r="A4139" t="str">
        <f>HYPERLINK("https://us2.cloudbeds.com/connect/10074733072513#/reservations/31681546809520?display=MHCDVEWAZ&amp;reservation_id=31681546809520", "MHCDVEWAZ")</f>
        <v>MHCDVEWAZ</v>
      </c>
      <c r="B4139" t="s">
        <v>1283</v>
      </c>
      <c r="C4139">
        <v>118.15</v>
      </c>
      <c r="D4139">
        <v>128.41999999999999</v>
      </c>
      <c r="E4139">
        <v>128.43</v>
      </c>
      <c r="F4139">
        <v>-0.01</v>
      </c>
    </row>
    <row r="4140" spans="1:6" x14ac:dyDescent="0.3">
      <c r="A4140" t="str">
        <f>HYPERLINK("https://us2.cloudbeds.com/connect/10074733072513#/reservations/31683277816024?display=MHDP62PW9&amp;reservation_id=31683277816024", "MHDP62PW9")</f>
        <v>MHDP62PW9</v>
      </c>
      <c r="B4140" t="s">
        <v>1154</v>
      </c>
      <c r="C4140">
        <v>170.1</v>
      </c>
      <c r="D4140">
        <v>184.89</v>
      </c>
      <c r="E4140">
        <v>184.9</v>
      </c>
      <c r="F4140">
        <v>-0.01</v>
      </c>
    </row>
    <row r="4141" spans="1:6" x14ac:dyDescent="0.3">
      <c r="A4141" t="str">
        <f>HYPERLINK("https://us2.cloudbeds.com/connect/10074733072513#/reservations/31682074869906?display=MHCREZ18K&amp;reservation_id=31682074869906", "MHCREZ18K")</f>
        <v>MHCREZ18K</v>
      </c>
      <c r="B4141" t="s">
        <v>1127</v>
      </c>
      <c r="C4141">
        <v>406.3</v>
      </c>
      <c r="D4141">
        <v>441.64</v>
      </c>
      <c r="E4141">
        <v>441.65</v>
      </c>
      <c r="F4141">
        <v>-0.01</v>
      </c>
    </row>
    <row r="4142" spans="1:6" x14ac:dyDescent="0.3">
      <c r="A4142" t="str">
        <f>HYPERLINK("https://us2.cloudbeds.com/connect/10074733072513#/reservations/31678186987704?display=MH9R3BWGE&amp;reservation_id=31678186987704", "MH9R3BWGE")</f>
        <v>MH9R3BWGE</v>
      </c>
      <c r="B4142" t="s">
        <v>1283</v>
      </c>
      <c r="C4142">
        <v>94.16</v>
      </c>
      <c r="D4142">
        <v>102.34</v>
      </c>
      <c r="E4142">
        <v>102.35</v>
      </c>
      <c r="F4142">
        <v>-0.01</v>
      </c>
    </row>
    <row r="4143" spans="1:6" x14ac:dyDescent="0.3">
      <c r="A4143" t="str">
        <f>HYPERLINK("https://us2.cloudbeds.com/connect/10074733072513#/reservations/31678245179591?display=MH9SJE8XV&amp;reservation_id=31678245179591", "MH9SJE8XV")</f>
        <v>MH9SJE8XV</v>
      </c>
      <c r="B4143" t="s">
        <v>1255</v>
      </c>
      <c r="C4143">
        <v>94.16</v>
      </c>
      <c r="D4143">
        <v>102.34</v>
      </c>
      <c r="E4143">
        <v>102.35</v>
      </c>
      <c r="F4143">
        <v>-0.01</v>
      </c>
    </row>
    <row r="4144" spans="1:6" x14ac:dyDescent="0.3">
      <c r="A4144" t="str">
        <f>HYPERLINK("https://us2.cloudbeds.com/connect/10074733072513#/reservations/31678222266539?display=MH9S03M41&amp;reservation_id=31678222266539", "MH9S03M41")</f>
        <v>MH9S03M41</v>
      </c>
      <c r="B4144" t="s">
        <v>1255</v>
      </c>
      <c r="C4144">
        <v>134.1</v>
      </c>
      <c r="D4144">
        <v>145.76</v>
      </c>
      <c r="E4144">
        <v>145.77000000000001</v>
      </c>
      <c r="F4144">
        <v>-0.01</v>
      </c>
    </row>
    <row r="4145" spans="1:6" x14ac:dyDescent="0.3">
      <c r="A4145" t="str">
        <f>HYPERLINK("https://us2.cloudbeds.com/connect/10074733072513#/reservations/31678250836125?display=MH9SZ6YR2&amp;reservation_id=31678250836125", "MH9SZ6YR2")</f>
        <v>MH9SZ6YR2</v>
      </c>
      <c r="B4145" t="s">
        <v>1255</v>
      </c>
      <c r="C4145">
        <v>94.16</v>
      </c>
      <c r="D4145">
        <v>102.34</v>
      </c>
      <c r="E4145">
        <v>102.35</v>
      </c>
      <c r="F4145">
        <v>-0.01</v>
      </c>
    </row>
    <row r="4146" spans="1:6" x14ac:dyDescent="0.3">
      <c r="A4146" t="str">
        <f>HYPERLINK("https://us2.cloudbeds.com/connect/10074733072513#/reservations/31678209294529?display=MH9RM5N8R&amp;reservation_id=31678209294529", "MH9RM5N8R")</f>
        <v>MH9RM5N8R</v>
      </c>
      <c r="B4146" t="s">
        <v>1255</v>
      </c>
      <c r="C4146">
        <v>94.16</v>
      </c>
      <c r="D4146">
        <v>102.34</v>
      </c>
      <c r="E4146">
        <v>102.35</v>
      </c>
      <c r="F4146">
        <v>-0.01</v>
      </c>
    </row>
    <row r="4147" spans="1:6" x14ac:dyDescent="0.3">
      <c r="A4147" t="str">
        <f>HYPERLINK("https://us2.cloudbeds.com/connect/10074733072513#/reservations/31678384087195?display=MH9W4XXP9&amp;reservation_id=31678384087195", "MH9W4XXP9")</f>
        <v>MH9W4XXP9</v>
      </c>
      <c r="B4147" t="s">
        <v>1255</v>
      </c>
      <c r="C4147">
        <v>134.1</v>
      </c>
      <c r="D4147">
        <v>145.76</v>
      </c>
      <c r="E4147">
        <v>145.77000000000001</v>
      </c>
      <c r="F4147">
        <v>-0.01</v>
      </c>
    </row>
    <row r="4148" spans="1:6" x14ac:dyDescent="0.3">
      <c r="A4148" t="str">
        <f>HYPERLINK("https://us2.cloudbeds.com/connect/10074733072513#/reservations/31678422499537?display=MHA03VEQY&amp;reservation_id=31678422499537", "MHA03VEQY")</f>
        <v>MHA03VEQY</v>
      </c>
      <c r="B4148" t="s">
        <v>1255</v>
      </c>
      <c r="C4148">
        <v>250.2</v>
      </c>
      <c r="D4148">
        <v>271.95999999999998</v>
      </c>
      <c r="E4148">
        <v>271.97000000000003</v>
      </c>
      <c r="F4148">
        <v>-0.01</v>
      </c>
    </row>
    <row r="4149" spans="1:6" x14ac:dyDescent="0.3">
      <c r="A4149" t="str">
        <f>HYPERLINK("https://us2.cloudbeds.com/connect/10074733072513#/reservations/31680067842270?display=MHB95BHMB&amp;reservation_id=31680067842270", "MHB95BHMB")</f>
        <v>MHB95BHMB</v>
      </c>
      <c r="B4149" t="s">
        <v>1255</v>
      </c>
      <c r="C4149">
        <v>94.16</v>
      </c>
      <c r="D4149">
        <v>102.34</v>
      </c>
      <c r="E4149">
        <v>102.35</v>
      </c>
      <c r="F4149">
        <v>-0.01</v>
      </c>
    </row>
    <row r="4150" spans="1:6" x14ac:dyDescent="0.3">
      <c r="A4150" t="str">
        <f>HYPERLINK("https://us2.cloudbeds.com/connect/10074733072513#/reservations/31680161198276?display=MHBBX2A17&amp;reservation_id=31680161198276", "MHBBX2A17")</f>
        <v>MHBBX2A17</v>
      </c>
      <c r="B4150" t="s">
        <v>1274</v>
      </c>
      <c r="C4150">
        <v>94.16</v>
      </c>
      <c r="D4150">
        <v>102.34</v>
      </c>
      <c r="E4150">
        <v>102.35</v>
      </c>
      <c r="F4150">
        <v>-0.01</v>
      </c>
    </row>
    <row r="4151" spans="1:6" x14ac:dyDescent="0.3">
      <c r="A4151" t="str">
        <f>HYPERLINK("https://us2.cloudbeds.com/connect/10074733072513#/reservations/31680067838174?display=MHB95BDU7&amp;reservation_id=31680067838174", "MHB95BDU7")</f>
        <v>MHB95BDU7</v>
      </c>
      <c r="B4151" t="s">
        <v>1274</v>
      </c>
      <c r="C4151">
        <v>94.16</v>
      </c>
      <c r="D4151">
        <v>102.34</v>
      </c>
      <c r="E4151">
        <v>102.35</v>
      </c>
      <c r="F4151">
        <v>-0.01</v>
      </c>
    </row>
    <row r="4152" spans="1:6" x14ac:dyDescent="0.3">
      <c r="A4152" t="str">
        <f>HYPERLINK("https://us2.cloudbeds.com/connect/10074733072513#/reservations/31680216535254?display=MHBCVZ4HB&amp;reservation_id=31680216535254", "MHBCVZ4HB")</f>
        <v>MHBCVZ4HB</v>
      </c>
      <c r="B4152" t="s">
        <v>1274</v>
      </c>
      <c r="C4152">
        <v>134.1</v>
      </c>
      <c r="D4152">
        <v>145.76</v>
      </c>
      <c r="E4152">
        <v>145.77000000000001</v>
      </c>
      <c r="F4152">
        <v>-0.01</v>
      </c>
    </row>
    <row r="4153" spans="1:6" x14ac:dyDescent="0.3">
      <c r="A4153" t="str">
        <f>HYPERLINK("https://us2.cloudbeds.com/connect/10074733072513#/reservations/31677406797962?display=MH975G1R1&amp;reservation_id=31677406797962", "MH975G1R1")</f>
        <v>MH975G1R1</v>
      </c>
      <c r="B4153" t="s">
        <v>1271</v>
      </c>
      <c r="C4153">
        <v>134.1</v>
      </c>
      <c r="D4153">
        <v>145.76</v>
      </c>
      <c r="E4153">
        <v>145.77000000000001</v>
      </c>
      <c r="F4153">
        <v>-0.01</v>
      </c>
    </row>
    <row r="4154" spans="1:6" x14ac:dyDescent="0.3">
      <c r="A4154" t="str">
        <f>HYPERLINK("https://us2.cloudbeds.com/connect/10074733072513#/reservations/31691775770826?display=MHKBAPTU5&amp;reservation_id=31691775770826", "MHKBAPTU5")</f>
        <v>MHKBAPTU5</v>
      </c>
      <c r="B4154" t="s">
        <v>1270</v>
      </c>
      <c r="C4154">
        <v>134.1</v>
      </c>
      <c r="D4154">
        <v>145.76</v>
      </c>
      <c r="E4154">
        <v>145.77000000000001</v>
      </c>
      <c r="F4154">
        <v>-0.01</v>
      </c>
    </row>
    <row r="4155" spans="1:6" x14ac:dyDescent="0.3">
      <c r="A4155" t="str">
        <f>HYPERLINK("https://us2.cloudbeds.com/connect/10074733072513#/reservations/31682422550666?display=MHD3ATPB7&amp;reservation_id=31682422550666", "MHD3ATPB7")</f>
        <v>MHD3ATPB7</v>
      </c>
      <c r="B4155" t="s">
        <v>1287</v>
      </c>
      <c r="C4155">
        <v>143.65</v>
      </c>
      <c r="D4155">
        <v>156.13999999999999</v>
      </c>
      <c r="E4155">
        <v>156.15</v>
      </c>
      <c r="F4155">
        <v>-0.01</v>
      </c>
    </row>
    <row r="4156" spans="1:6" x14ac:dyDescent="0.3">
      <c r="A4156" t="str">
        <f>HYPERLINK("https://us2.cloudbeds.com/connect/10074733072513#/reservations/31678402527367?display=MH9WK3MTC&amp;reservation_id=31678402527367", "MH9WK3MTC")</f>
        <v>MH9WK3MTC</v>
      </c>
      <c r="B4156" t="s">
        <v>1255</v>
      </c>
      <c r="C4156">
        <v>134.1</v>
      </c>
      <c r="D4156">
        <v>145.76</v>
      </c>
      <c r="E4156">
        <v>145.77000000000001</v>
      </c>
      <c r="F4156">
        <v>-0.01</v>
      </c>
    </row>
    <row r="4157" spans="1:6" x14ac:dyDescent="0.3">
      <c r="A4157" t="str">
        <f>HYPERLINK("https://us2.cloudbeds.com/connect/10074733072513#/reservations/31680077627572?display=MHB9DJR8Y&amp;reservation_id=31680077627572", "MHB9DJR8Y")</f>
        <v>MHB9DJR8Y</v>
      </c>
      <c r="B4157" t="s">
        <v>1274</v>
      </c>
      <c r="C4157">
        <v>94.16</v>
      </c>
      <c r="D4157">
        <v>102.34</v>
      </c>
      <c r="E4157">
        <v>102.35</v>
      </c>
      <c r="F4157">
        <v>-0.01</v>
      </c>
    </row>
    <row r="4158" spans="1:6" x14ac:dyDescent="0.3">
      <c r="A4158" t="str">
        <f>HYPERLINK("https://us2.cloudbeds.com/connect/10074733072513#/reservations/31680088101091?display=MHB9ME8R0&amp;reservation_id=31680088101091", "MHB9ME8R0")</f>
        <v>MHB9ME8R0</v>
      </c>
      <c r="B4158" t="s">
        <v>1274</v>
      </c>
      <c r="C4158">
        <v>134.1</v>
      </c>
      <c r="D4158">
        <v>145.76</v>
      </c>
      <c r="E4158">
        <v>145.77000000000001</v>
      </c>
      <c r="F4158">
        <v>-0.01</v>
      </c>
    </row>
    <row r="4159" spans="1:6" x14ac:dyDescent="0.3">
      <c r="A4159" t="str">
        <f>HYPERLINK("https://us2.cloudbeds.com/connect/10074733072513#/reservations/31680088105173?display=MHB9MECXN&amp;reservation_id=31680088105173", "MHB9MECXN")</f>
        <v>MHB9MECXN</v>
      </c>
      <c r="B4159" t="s">
        <v>1274</v>
      </c>
      <c r="C4159">
        <v>94.16</v>
      </c>
      <c r="D4159">
        <v>102.34</v>
      </c>
      <c r="E4159">
        <v>102.35</v>
      </c>
      <c r="F4159">
        <v>-0.01</v>
      </c>
    </row>
    <row r="4160" spans="1:6" x14ac:dyDescent="0.3">
      <c r="A4160" t="str">
        <f>HYPERLINK("https://us2.cloudbeds.com/connect/10074733072513#/reservations/31680095654072?display=MHB9SQEH7&amp;reservation_id=31680095654072", "MHB9SQEH7")</f>
        <v>MHB9SQEH7</v>
      </c>
      <c r="B4160" t="s">
        <v>1274</v>
      </c>
      <c r="C4160">
        <v>94.16</v>
      </c>
      <c r="D4160">
        <v>102.34</v>
      </c>
      <c r="E4160">
        <v>102.35</v>
      </c>
      <c r="F4160">
        <v>-0.01</v>
      </c>
    </row>
    <row r="4161" spans="1:6" x14ac:dyDescent="0.3">
      <c r="A4161" t="str">
        <f>HYPERLINK("https://us2.cloudbeds.com/connect/10074733072513#/reservations/31680113017031?display=MHBAAEJFG&amp;reservation_id=31680113017031", "MHBAAEJFG")</f>
        <v>MHBAAEJFG</v>
      </c>
      <c r="B4161" t="s">
        <v>1274</v>
      </c>
      <c r="C4161">
        <v>94.16</v>
      </c>
      <c r="D4161">
        <v>102.34</v>
      </c>
      <c r="E4161">
        <v>102.35</v>
      </c>
      <c r="F4161">
        <v>-0.01</v>
      </c>
    </row>
    <row r="4162" spans="1:6" x14ac:dyDescent="0.3">
      <c r="A4162" t="str">
        <f>HYPERLINK("https://us2.cloudbeds.com/connect/10074733072513#/reservations/31677750386913?display=MH9FV6UGE&amp;reservation_id=31677750386913", "MH9FV6UGE")</f>
        <v>MH9FV6UGE</v>
      </c>
      <c r="B4162" t="s">
        <v>1263</v>
      </c>
      <c r="C4162">
        <v>183.2</v>
      </c>
      <c r="D4162">
        <v>199.13</v>
      </c>
      <c r="E4162">
        <v>199.14</v>
      </c>
      <c r="F4162">
        <v>-0.01</v>
      </c>
    </row>
    <row r="4163" spans="1:6" x14ac:dyDescent="0.3">
      <c r="A4163" t="str">
        <f>HYPERLINK("https://us2.cloudbeds.com/connect/10074733072513#/reservations/31677690257570?display=MH9EDGZA4&amp;reservation_id=31677690257570", "MH9EDGZA4")</f>
        <v>MH9EDGZA4</v>
      </c>
      <c r="B4163" t="s">
        <v>1271</v>
      </c>
      <c r="C4163">
        <v>169.15</v>
      </c>
      <c r="D4163">
        <v>183.86</v>
      </c>
      <c r="E4163">
        <v>183.87</v>
      </c>
      <c r="F4163">
        <v>-0.01</v>
      </c>
    </row>
    <row r="4164" spans="1:6" x14ac:dyDescent="0.3">
      <c r="A4164" t="str">
        <f>HYPERLINK("https://us2.cloudbeds.com/connect/10074733072513#/reservations/31681977307281?display=MHCZVF72E&amp;reservation_id=31681977307281", "MHCZVF72E")</f>
        <v>MHCZVF72E</v>
      </c>
      <c r="B4164" t="s">
        <v>1251</v>
      </c>
      <c r="C4164">
        <v>134.1</v>
      </c>
      <c r="D4164">
        <v>145.76</v>
      </c>
      <c r="E4164">
        <v>145.77000000000001</v>
      </c>
      <c r="F4164">
        <v>-0.01</v>
      </c>
    </row>
    <row r="4165" spans="1:6" x14ac:dyDescent="0.3">
      <c r="A4165" t="str">
        <f>HYPERLINK("https://us2.cloudbeds.com/connect/10074733072513#/reservations/31680124809450?display=MHBAKCZ4H&amp;reservation_id=31680124809450", "MHBAKCZ4H")</f>
        <v>MHBAKCZ4H</v>
      </c>
      <c r="B4165" t="s">
        <v>1274</v>
      </c>
      <c r="C4165">
        <v>94.16</v>
      </c>
      <c r="D4165">
        <v>102.34</v>
      </c>
      <c r="E4165">
        <v>102.35</v>
      </c>
      <c r="F4165">
        <v>-0.01</v>
      </c>
    </row>
    <row r="4166" spans="1:6" x14ac:dyDescent="0.3">
      <c r="A4166" t="str">
        <f>HYPERLINK("https://us2.cloudbeds.com/connect/10074733072513#/reservations/31678589354135?display=MHA4CYDWJ&amp;reservation_id=31678589354135", "MHA4CYDWJ")</f>
        <v>MHA4CYDWJ</v>
      </c>
      <c r="B4166" t="s">
        <v>1251</v>
      </c>
      <c r="C4166">
        <v>84.1</v>
      </c>
      <c r="D4166">
        <v>91.41</v>
      </c>
      <c r="E4166">
        <v>91.42</v>
      </c>
      <c r="F4166">
        <v>-0.01</v>
      </c>
    </row>
    <row r="4167" spans="1:6" x14ac:dyDescent="0.3">
      <c r="A4167" t="str">
        <f>HYPERLINK("https://us2.cloudbeds.com/connect/10074733072513#/reservations/31680102478030?display=MHBA1XAPR&amp;reservation_id=31680102478030", "MHBA1XAPR")</f>
        <v>MHBA1XAPR</v>
      </c>
      <c r="B4167" t="s">
        <v>1274</v>
      </c>
      <c r="C4167">
        <v>134.1</v>
      </c>
      <c r="D4167">
        <v>145.76</v>
      </c>
      <c r="E4167">
        <v>145.77000000000001</v>
      </c>
      <c r="F4167">
        <v>-0.01</v>
      </c>
    </row>
    <row r="4168" spans="1:6" x14ac:dyDescent="0.3">
      <c r="A4168" t="str">
        <f>HYPERLINK("https://us2.cloudbeds.com/connect/10074733072513#/reservations/31680188915862?display=MHBC8EJC2&amp;reservation_id=31680188915862", "MHBC8EJC2")</f>
        <v>MHBC8EJC2</v>
      </c>
      <c r="B4168" t="s">
        <v>1274</v>
      </c>
      <c r="C4168">
        <v>124.1</v>
      </c>
      <c r="D4168">
        <v>134.88999999999999</v>
      </c>
      <c r="E4168">
        <v>134.9</v>
      </c>
      <c r="F4168">
        <v>-0.01</v>
      </c>
    </row>
    <row r="4169" spans="1:6" x14ac:dyDescent="0.3">
      <c r="A4169" t="str">
        <f>HYPERLINK("https://us2.cloudbeds.com/connect/10074733072513#/reservations/31681955250377?display=MHCZCSEQD&amp;reservation_id=31681955250377", "MHCZCSEQD")</f>
        <v>MHCZCSEQD</v>
      </c>
      <c r="B4169" t="s">
        <v>1235</v>
      </c>
      <c r="C4169">
        <v>134.1</v>
      </c>
      <c r="D4169">
        <v>145.76</v>
      </c>
      <c r="E4169">
        <v>145.77000000000001</v>
      </c>
      <c r="F4169">
        <v>-0.01</v>
      </c>
    </row>
    <row r="4170" spans="1:6" x14ac:dyDescent="0.3">
      <c r="A4170" t="str">
        <f>HYPERLINK("https://us2.cloudbeds.com/connect/10074733072513#/reservations/31678651920622?display=MHA5WDE4Z&amp;reservation_id=31678651920622", "MHA5WDE4Z")</f>
        <v>MHA5WDE4Z</v>
      </c>
      <c r="B4170" t="s">
        <v>1170</v>
      </c>
      <c r="C4170">
        <v>372</v>
      </c>
      <c r="D4170">
        <v>404.35</v>
      </c>
      <c r="E4170">
        <v>404.36</v>
      </c>
      <c r="F4170">
        <v>-0.01</v>
      </c>
    </row>
    <row r="4171" spans="1:6" x14ac:dyDescent="0.3">
      <c r="A4171" t="str">
        <f>HYPERLINK("https://us2.cloudbeds.com/connect/10074733072513#/reservations/31677721878657?display=MH9F75Y3T&amp;reservation_id=31677721878657", "MH9F75Y3T")</f>
        <v>MH9F75Y3T</v>
      </c>
      <c r="B4171" t="s">
        <v>1271</v>
      </c>
      <c r="C4171">
        <v>143.65</v>
      </c>
      <c r="D4171">
        <v>156.13999999999999</v>
      </c>
      <c r="E4171">
        <v>156.15</v>
      </c>
      <c r="F4171">
        <v>-0.01</v>
      </c>
    </row>
    <row r="4172" spans="1:6" x14ac:dyDescent="0.3">
      <c r="A4172" t="str">
        <f>HYPERLINK("https://us2.cloudbeds.com/connect/10074733072513#/reservations/31680355561666?display=MHBGGVZQU&amp;reservation_id=31680355561666", "MHBGGVZQU")</f>
        <v>MHBGGVZQU</v>
      </c>
      <c r="B4172" t="s">
        <v>1264</v>
      </c>
      <c r="C4172">
        <v>152.15</v>
      </c>
      <c r="D4172">
        <v>165.38</v>
      </c>
      <c r="E4172">
        <v>165.39</v>
      </c>
      <c r="F4172">
        <v>-0.01</v>
      </c>
    </row>
    <row r="4173" spans="1:6" x14ac:dyDescent="0.3">
      <c r="A4173" t="str">
        <f>HYPERLINK("https://us2.cloudbeds.com/connect/10074733072513#/reservations/31678411292877?display=MH9WRGK0T&amp;reservation_id=31678411292877", "MH9WRGK0T")</f>
        <v>MH9WRGK0T</v>
      </c>
      <c r="B4173" t="s">
        <v>1217</v>
      </c>
      <c r="C4173">
        <v>152.15</v>
      </c>
      <c r="D4173">
        <v>165.38</v>
      </c>
      <c r="E4173">
        <v>165.39</v>
      </c>
      <c r="F4173">
        <v>-0.01</v>
      </c>
    </row>
    <row r="4174" spans="1:6" x14ac:dyDescent="0.3">
      <c r="A4174" t="str">
        <f>HYPERLINK("https://us2.cloudbeds.com/connect/10074733072513#/reservations/31681962299551?display=MHCZXQJSZ&amp;reservation_id=31681962299551", "MHCZXQJSZ")</f>
        <v>MHCZXQJSZ</v>
      </c>
      <c r="B4174" t="s">
        <v>1235</v>
      </c>
      <c r="C4174">
        <v>94.16</v>
      </c>
      <c r="D4174">
        <v>102.34</v>
      </c>
      <c r="E4174">
        <v>102.35</v>
      </c>
      <c r="F4174">
        <v>-0.01</v>
      </c>
    </row>
    <row r="4175" spans="1:6" x14ac:dyDescent="0.3">
      <c r="A4175" t="str">
        <f>HYPERLINK("https://us2.cloudbeds.com/connect/10074733072513#/reservations/31689504243842?display=MHXJ9CAX4&amp;reservation_id=31689504243842", "MHXJ9CAX4")</f>
        <v>MHXJ9CAX4</v>
      </c>
      <c r="B4175" t="s">
        <v>974</v>
      </c>
      <c r="C4175">
        <v>268.2</v>
      </c>
      <c r="D4175">
        <v>291.52</v>
      </c>
      <c r="E4175">
        <v>291.52999999999997</v>
      </c>
      <c r="F4175">
        <v>-0.01</v>
      </c>
    </row>
    <row r="4176" spans="1:6" x14ac:dyDescent="0.3">
      <c r="A4176" t="str">
        <f>HYPERLINK("https://us2.cloudbeds.com/connect/10074733072513#/reservations/31681969910013?display=MHCZP7CBQ&amp;reservation_id=31681969910013", "MHCZP7CBQ")</f>
        <v>MHCZP7CBQ</v>
      </c>
      <c r="B4176" t="s">
        <v>1235</v>
      </c>
      <c r="C4176">
        <v>94.16</v>
      </c>
      <c r="D4176">
        <v>102.34</v>
      </c>
      <c r="E4176">
        <v>102.35</v>
      </c>
      <c r="F4176">
        <v>-0.01</v>
      </c>
    </row>
    <row r="4177" spans="1:6" x14ac:dyDescent="0.3">
      <c r="A4177" t="str">
        <f>HYPERLINK("https://us2.cloudbeds.com/connect/10074733072513#/reservations/31678537466008?display=MHA31TXG3&amp;reservation_id=31678537466008", "MHA31TXG3")</f>
        <v>MHA31TXG3</v>
      </c>
      <c r="B4177" t="s">
        <v>1251</v>
      </c>
      <c r="C4177">
        <v>134.1</v>
      </c>
      <c r="D4177">
        <v>145.76</v>
      </c>
      <c r="E4177">
        <v>145.77000000000001</v>
      </c>
      <c r="F4177">
        <v>-0.01</v>
      </c>
    </row>
    <row r="4178" spans="1:6" x14ac:dyDescent="0.3">
      <c r="A4178" t="str">
        <f>HYPERLINK("https://us2.cloudbeds.com/connect/10074733072513#/reservations/31678594629827?display=MHA4H37H1&amp;reservation_id=31678594629827", "MHA4H37H1")</f>
        <v>MHA4H37H1</v>
      </c>
      <c r="B4178" t="s">
        <v>1273</v>
      </c>
      <c r="C4178">
        <v>170.1</v>
      </c>
      <c r="D4178">
        <v>184.89</v>
      </c>
      <c r="E4178">
        <v>184.9</v>
      </c>
      <c r="F4178">
        <v>-0.01</v>
      </c>
    </row>
    <row r="4179" spans="1:6" x14ac:dyDescent="0.3">
      <c r="A4179" t="str">
        <f>HYPERLINK("https://us2.cloudbeds.com/connect/10074733072513#/reservations/31680477298943?display=MHBJKK8VA&amp;reservation_id=31680477298943", "MHBJKK8VA")</f>
        <v>MHBJKK8VA</v>
      </c>
      <c r="B4179" t="s">
        <v>1127</v>
      </c>
      <c r="C4179">
        <v>430.2</v>
      </c>
      <c r="D4179">
        <v>467.62</v>
      </c>
      <c r="E4179">
        <v>467.63</v>
      </c>
      <c r="F4179">
        <v>-0.01</v>
      </c>
    </row>
    <row r="4180" spans="1:6" x14ac:dyDescent="0.3">
      <c r="A4180" t="str">
        <f>HYPERLINK("https://us2.cloudbeds.com/connect/10074733072513#/reservations/31681296605410?display=MHC7XFMG0&amp;reservation_id=31681296605410", "MHC7XFMG0")</f>
        <v>MHC7XFMG0</v>
      </c>
      <c r="B4180" t="s">
        <v>1261</v>
      </c>
      <c r="C4180">
        <v>134.1</v>
      </c>
      <c r="D4180">
        <v>145.76</v>
      </c>
      <c r="E4180">
        <v>145.77000000000001</v>
      </c>
      <c r="F4180">
        <v>-0.01</v>
      </c>
    </row>
    <row r="4181" spans="1:6" x14ac:dyDescent="0.3">
      <c r="A4181" t="str">
        <f>HYPERLINK("https://us2.cloudbeds.com/connect/10074733072513#/reservations/31685527167168?display=MHFGYQ64W&amp;reservation_id=31685527167168", "MHFGYQ64W")</f>
        <v>MHFGYQ64W</v>
      </c>
      <c r="B4181" t="s">
        <v>1262</v>
      </c>
      <c r="C4181">
        <v>325.3</v>
      </c>
      <c r="D4181">
        <v>353.59</v>
      </c>
      <c r="E4181">
        <v>353.6</v>
      </c>
      <c r="F4181">
        <v>-0.01</v>
      </c>
    </row>
    <row r="4182" spans="1:6" x14ac:dyDescent="0.3">
      <c r="A4182" t="str">
        <f>HYPERLINK("https://us2.cloudbeds.com/connect/10074733072513#/reservations/31678528036992?display=MHA2QV2C5&amp;reservation_id=31678528036992", "MHA2QV2C5")</f>
        <v>MHA2QV2C5</v>
      </c>
      <c r="B4182" t="s">
        <v>1239</v>
      </c>
      <c r="C4182">
        <v>236.23</v>
      </c>
      <c r="D4182">
        <v>256.77</v>
      </c>
      <c r="E4182">
        <v>256.77999999999997</v>
      </c>
      <c r="F4182">
        <v>-0.01</v>
      </c>
    </row>
    <row r="4183" spans="1:6" x14ac:dyDescent="0.3">
      <c r="A4183" t="str">
        <f>HYPERLINK("https://us2.cloudbeds.com/connect/10074733072513#/reservations/31678276714652?display=MH9TD0PCS&amp;reservation_id=31678276714652", "MH9TD0PCS")</f>
        <v>MH9TD0PCS</v>
      </c>
      <c r="B4183" t="s">
        <v>1273</v>
      </c>
      <c r="C4183">
        <v>94.16</v>
      </c>
      <c r="D4183">
        <v>102.34</v>
      </c>
      <c r="E4183">
        <v>102.35</v>
      </c>
      <c r="F4183">
        <v>-0.01</v>
      </c>
    </row>
    <row r="4184" spans="1:6" x14ac:dyDescent="0.3">
      <c r="A4184" t="str">
        <f>HYPERLINK("https://us2.cloudbeds.com/connect/10074733072513#/reservations/31678577889455?display=MHA42WD91&amp;reservation_id=31678577889455", "MHA42WD91")</f>
        <v>MHA42WD91</v>
      </c>
      <c r="B4184" t="s">
        <v>1273</v>
      </c>
      <c r="C4184">
        <v>134.1</v>
      </c>
      <c r="D4184">
        <v>145.76</v>
      </c>
      <c r="E4184">
        <v>145.77000000000001</v>
      </c>
      <c r="F4184">
        <v>-0.01</v>
      </c>
    </row>
    <row r="4185" spans="1:6" x14ac:dyDescent="0.3">
      <c r="A4185" t="str">
        <f>HYPERLINK("https://us2.cloudbeds.com/connect/10074733072513#/reservations/31682902958277?display=MHDFJWQWK&amp;reservation_id=31682902958277", "MHDFJWQWK")</f>
        <v>MHDFJWQWK</v>
      </c>
      <c r="B4185" t="s">
        <v>1287</v>
      </c>
      <c r="C4185">
        <v>134.1</v>
      </c>
      <c r="D4185">
        <v>145.76</v>
      </c>
      <c r="E4185">
        <v>145.77000000000001</v>
      </c>
      <c r="F4185">
        <v>-0.01</v>
      </c>
    </row>
    <row r="4186" spans="1:6" x14ac:dyDescent="0.3">
      <c r="A4186" t="str">
        <f>HYPERLINK("https://us2.cloudbeds.com/connect/10074733072513#/reservations/31682006380771?display=MHCPMW7G9&amp;reservation_id=31682006380771", "MHCPMW7G9")</f>
        <v>MHCPMW7G9</v>
      </c>
      <c r="B4186" t="s">
        <v>1251</v>
      </c>
      <c r="C4186">
        <v>134.1</v>
      </c>
      <c r="D4186">
        <v>145.76</v>
      </c>
      <c r="E4186">
        <v>145.77000000000001</v>
      </c>
      <c r="F4186">
        <v>-0.01</v>
      </c>
    </row>
    <row r="4187" spans="1:6" x14ac:dyDescent="0.3">
      <c r="A4187" t="str">
        <f>HYPERLINK("https://us2.cloudbeds.com/connect/10074733072513#/reservations/31679959838922?display=MHB6D961K&amp;reservation_id=31679959838922", "MHB6D961K")</f>
        <v>MHB6D961K</v>
      </c>
      <c r="B4187" t="s">
        <v>1289</v>
      </c>
      <c r="C4187">
        <v>474.3</v>
      </c>
      <c r="D4187">
        <v>515.54999999999995</v>
      </c>
      <c r="E4187">
        <v>515.55999999999995</v>
      </c>
      <c r="F4187">
        <v>-0.01</v>
      </c>
    </row>
    <row r="4188" spans="1:6" x14ac:dyDescent="0.3">
      <c r="A4188" t="str">
        <f>HYPERLINK("https://us2.cloudbeds.com/connect/10074733072513#/reservations/31678390747377?display=MH9WA5TKV&amp;reservation_id=31678390747377", "MH9WA5TKV")</f>
        <v>MH9WA5TKV</v>
      </c>
      <c r="B4188" t="s">
        <v>1217</v>
      </c>
      <c r="C4188">
        <v>94.16</v>
      </c>
      <c r="D4188">
        <v>102.34</v>
      </c>
      <c r="E4188">
        <v>102.35</v>
      </c>
      <c r="F4188">
        <v>-0.01</v>
      </c>
    </row>
    <row r="4189" spans="1:6" x14ac:dyDescent="0.3">
      <c r="A4189" t="str">
        <f>HYPERLINK("https://us2.cloudbeds.com/connect/10074733072513#/reservations/31678465499336?display=MHA176WCS&amp;reservation_id=31678465499336", "MHA176WCS")</f>
        <v>MHA176WCS</v>
      </c>
      <c r="B4189" t="s">
        <v>1217</v>
      </c>
      <c r="C4189">
        <v>134.1</v>
      </c>
      <c r="D4189">
        <v>145.76</v>
      </c>
      <c r="E4189">
        <v>145.77000000000001</v>
      </c>
      <c r="F4189">
        <v>-0.01</v>
      </c>
    </row>
    <row r="4190" spans="1:6" x14ac:dyDescent="0.3">
      <c r="A4190" t="str">
        <f>HYPERLINK("https://us2.cloudbeds.com/connect/10074733072513#/reservations/31681257865378?display=MHC6XQMHY&amp;reservation_id=31681257865378", "MHC6XQMHY")</f>
        <v>MHC6XQMHY</v>
      </c>
      <c r="B4190" t="s">
        <v>1261</v>
      </c>
      <c r="C4190">
        <v>268.2</v>
      </c>
      <c r="D4190">
        <v>291.52</v>
      </c>
      <c r="E4190">
        <v>291.52999999999997</v>
      </c>
      <c r="F4190">
        <v>-0.01</v>
      </c>
    </row>
    <row r="4191" spans="1:6" x14ac:dyDescent="0.3">
      <c r="A4191" t="str">
        <f>HYPERLINK("https://us2.cloudbeds.com/connect/10074733072513#/reservations/31682130198744?display=MHCSSCY92&amp;reservation_id=31682130198744", "MHCSSCY92")</f>
        <v>MHCSSCY92</v>
      </c>
      <c r="B4191" t="s">
        <v>1268</v>
      </c>
      <c r="C4191">
        <v>134.1</v>
      </c>
      <c r="D4191">
        <v>145.76</v>
      </c>
      <c r="E4191">
        <v>145.77000000000001</v>
      </c>
      <c r="F4191">
        <v>-0.01</v>
      </c>
    </row>
    <row r="4192" spans="1:6" x14ac:dyDescent="0.3">
      <c r="A4192" t="str">
        <f>HYPERLINK("https://us2.cloudbeds.com/connect/10074733072513#/reservations/31678528032897?display=MHA2QV2A8&amp;reservation_id=31678528032897", "MHA2QV2A8")</f>
        <v>MHA2QV2A8</v>
      </c>
      <c r="B4192" t="s">
        <v>1239</v>
      </c>
      <c r="C4192">
        <v>268.2</v>
      </c>
      <c r="D4192">
        <v>291.52</v>
      </c>
      <c r="E4192">
        <v>291.52999999999997</v>
      </c>
      <c r="F4192">
        <v>-0.01</v>
      </c>
    </row>
    <row r="4193" spans="1:6" x14ac:dyDescent="0.3">
      <c r="A4193" t="str">
        <f>HYPERLINK("https://us2.cloudbeds.com/connect/10074733072513#/reservations/31680391520460?display=MHBHE9BRB&amp;reservation_id=31680391520460", "MHBHE9BRB")</f>
        <v>MHBHE9BRB</v>
      </c>
      <c r="B4193" t="s">
        <v>1264</v>
      </c>
      <c r="C4193">
        <v>134.1</v>
      </c>
      <c r="D4193">
        <v>145.76</v>
      </c>
      <c r="E4193">
        <v>145.77000000000001</v>
      </c>
      <c r="F4193">
        <v>-0.01</v>
      </c>
    </row>
    <row r="4194" spans="1:6" x14ac:dyDescent="0.3">
      <c r="A4194" t="str">
        <f>HYPERLINK("https://us2.cloudbeds.com/connect/10074733072513#/reservations/31680398069924?display=MHBHJQK0V&amp;reservation_id=31680398069924", "MHBHJQK0V")</f>
        <v>MHBHJQK0V</v>
      </c>
      <c r="B4194" t="s">
        <v>1264</v>
      </c>
      <c r="C4194">
        <v>134.1</v>
      </c>
      <c r="D4194">
        <v>145.76</v>
      </c>
      <c r="E4194">
        <v>145.77000000000001</v>
      </c>
      <c r="F4194">
        <v>-0.01</v>
      </c>
    </row>
    <row r="4195" spans="1:6" x14ac:dyDescent="0.3">
      <c r="A4195" t="str">
        <f>HYPERLINK("https://us2.cloudbeds.com/connect/10074733072513#/reservations/31678552793268?display=MHA3ER23H&amp;reservation_id=31678552793268", "MHA3ER23H")</f>
        <v>MHA3ER23H</v>
      </c>
      <c r="B4195" t="s">
        <v>1239</v>
      </c>
      <c r="C4195">
        <v>134.1</v>
      </c>
      <c r="D4195">
        <v>145.76</v>
      </c>
      <c r="E4195">
        <v>145.77000000000001</v>
      </c>
      <c r="F4195">
        <v>-0.01</v>
      </c>
    </row>
    <row r="4196" spans="1:6" x14ac:dyDescent="0.3">
      <c r="A4196" t="str">
        <f>HYPERLINK("https://us2.cloudbeds.com/connect/10074733072513#/reservations/31679605498066?display=MHAUBG45U&amp;reservation_id=31679605498066", "MHAUBG45U")</f>
        <v>MHAUBG45U</v>
      </c>
      <c r="B4196" t="s">
        <v>1292</v>
      </c>
      <c r="C4196">
        <v>134.1</v>
      </c>
      <c r="D4196">
        <v>145.76</v>
      </c>
      <c r="E4196">
        <v>145.77000000000001</v>
      </c>
      <c r="F4196">
        <v>-0.01</v>
      </c>
    </row>
    <row r="4197" spans="1:6" x14ac:dyDescent="0.3">
      <c r="A4197" t="str">
        <f>HYPERLINK("https://us2.cloudbeds.com/connect/10074733072513#/reservations/31678174191818?display=MH9QPXUCA&amp;reservation_id=31678174191818", "MH9QPXUCA")</f>
        <v>MH9QPXUCA</v>
      </c>
      <c r="B4197" t="s">
        <v>1264</v>
      </c>
      <c r="C4197">
        <v>134.1</v>
      </c>
      <c r="D4197">
        <v>145.76</v>
      </c>
      <c r="E4197">
        <v>145.77000000000001</v>
      </c>
      <c r="F4197">
        <v>-0.01</v>
      </c>
    </row>
    <row r="4198" spans="1:6" x14ac:dyDescent="0.3">
      <c r="A4198" t="str">
        <f>HYPERLINK("https://us2.cloudbeds.com/connect/10074733072513#/reservations/31678453260529?display=MHA0TTDQU&amp;reservation_id=31678453260529", "MHA0TTDQU")</f>
        <v>MHA0TTDQU</v>
      </c>
      <c r="B4198" t="s">
        <v>1217</v>
      </c>
      <c r="C4198">
        <v>134.1</v>
      </c>
      <c r="D4198">
        <v>145.76</v>
      </c>
      <c r="E4198">
        <v>145.77000000000001</v>
      </c>
      <c r="F4198">
        <v>-0.01</v>
      </c>
    </row>
    <row r="4199" spans="1:6" x14ac:dyDescent="0.3">
      <c r="A4199" t="str">
        <f>HYPERLINK("https://us2.cloudbeds.com/connect/10074733072513#/reservations/31678513860751?display=MHA2EWND9&amp;reservation_id=31678513860751", "MHA2EWND9")</f>
        <v>MHA2EWND9</v>
      </c>
      <c r="B4199" t="s">
        <v>1239</v>
      </c>
      <c r="C4199">
        <v>134.1</v>
      </c>
      <c r="D4199">
        <v>145.76</v>
      </c>
      <c r="E4199">
        <v>145.77000000000001</v>
      </c>
      <c r="F4199">
        <v>-0.01</v>
      </c>
    </row>
    <row r="4200" spans="1:6" x14ac:dyDescent="0.3">
      <c r="A4200" t="str">
        <f>HYPERLINK("https://us2.cloudbeds.com/connect/10074733072513#/reservations/31686682030214?display=MHGD5K251&amp;reservation_id=31686682030214", "MHGD5K251")</f>
        <v>MHGD5K251</v>
      </c>
      <c r="B4200" t="s">
        <v>1013</v>
      </c>
      <c r="C4200">
        <v>134.1</v>
      </c>
      <c r="D4200">
        <v>145.76</v>
      </c>
      <c r="E4200">
        <v>145.77000000000001</v>
      </c>
      <c r="F4200">
        <v>-0.01</v>
      </c>
    </row>
    <row r="4201" spans="1:6" x14ac:dyDescent="0.3">
      <c r="A4201" t="str">
        <f>HYPERLINK("https://us2.cloudbeds.com/connect/10074733072513#/reservations/31678558007500?display=MHA3J756X&amp;reservation_id=31678558007500", "MHA3J756X")</f>
        <v>MHA3J756X</v>
      </c>
      <c r="B4201" t="s">
        <v>1239</v>
      </c>
      <c r="C4201">
        <v>94.16</v>
      </c>
      <c r="D4201">
        <v>102.34</v>
      </c>
      <c r="E4201">
        <v>102.35</v>
      </c>
      <c r="F4201">
        <v>-0.01</v>
      </c>
    </row>
    <row r="4202" spans="1:6" x14ac:dyDescent="0.3">
      <c r="A4202" t="str">
        <f>HYPERLINK("https://us2.cloudbeds.com/connect/10074733072513#/reservations/31681006809288?display=MHC053MBB&amp;reservation_id=31681006809288", "MHC053MBB")</f>
        <v>MHC053MBB</v>
      </c>
      <c r="B4202" t="s">
        <v>1173</v>
      </c>
      <c r="C4202">
        <v>134.1</v>
      </c>
      <c r="D4202">
        <v>145.76</v>
      </c>
      <c r="E4202">
        <v>145.77000000000001</v>
      </c>
      <c r="F4202">
        <v>-0.01</v>
      </c>
    </row>
    <row r="4203" spans="1:6" x14ac:dyDescent="0.3">
      <c r="A4203" t="str">
        <f>HYPERLINK("https://us2.cloudbeds.com/connect/10074733072513#/reservations/31681038774497?display=MHC0W2551&amp;reservation_id=31681038774497", "MHC0W2551")</f>
        <v>MHC0W2551</v>
      </c>
      <c r="B4203" t="s">
        <v>1173</v>
      </c>
      <c r="C4203">
        <v>94.16</v>
      </c>
      <c r="D4203">
        <v>102.34</v>
      </c>
      <c r="E4203">
        <v>102.35</v>
      </c>
      <c r="F4203">
        <v>-0.01</v>
      </c>
    </row>
    <row r="4204" spans="1:6" x14ac:dyDescent="0.3">
      <c r="A4204" t="str">
        <f>HYPERLINK("https://us2.cloudbeds.com/connect/10074733072513#/reservations/31680540197068?display=MHBY7YGY3&amp;reservation_id=31680540197068", "MHBY7YGY3")</f>
        <v>MHBY7YGY3</v>
      </c>
      <c r="B4204" t="s">
        <v>1173</v>
      </c>
      <c r="C4204">
        <v>134.1</v>
      </c>
      <c r="D4204">
        <v>145.76</v>
      </c>
      <c r="E4204">
        <v>145.77000000000001</v>
      </c>
      <c r="F4204">
        <v>-0.01</v>
      </c>
    </row>
    <row r="4205" spans="1:6" x14ac:dyDescent="0.3">
      <c r="A4205" t="str">
        <f>HYPERLINK("https://us2.cloudbeds.com/connect/10074733072513#/reservations/31680674320614?display=MHBZYZMZW&amp;reservation_id=31680674320614", "MHBZYZMZW")</f>
        <v>MHBZYZMZW</v>
      </c>
      <c r="B4205" t="s">
        <v>1294</v>
      </c>
      <c r="C4205">
        <v>134.1</v>
      </c>
      <c r="D4205">
        <v>145.76</v>
      </c>
      <c r="E4205">
        <v>145.77000000000001</v>
      </c>
      <c r="F4205">
        <v>-0.01</v>
      </c>
    </row>
    <row r="4206" spans="1:6" x14ac:dyDescent="0.3">
      <c r="A4206" t="str">
        <f>HYPERLINK("https://us2.cloudbeds.com/connect/10074733072513#/reservations/31682459758742?display=MHD4994HM&amp;reservation_id=31682459758742", "MHD4994HM")</f>
        <v>MHD4994HM</v>
      </c>
      <c r="B4206" t="s">
        <v>1206</v>
      </c>
      <c r="C4206">
        <v>134.1</v>
      </c>
      <c r="D4206">
        <v>145.76</v>
      </c>
      <c r="E4206">
        <v>145.77000000000001</v>
      </c>
      <c r="F4206">
        <v>-0.01</v>
      </c>
    </row>
    <row r="4207" spans="1:6" x14ac:dyDescent="0.3">
      <c r="A4207" t="str">
        <f>HYPERLINK("https://us2.cloudbeds.com/connect/10074733072513#/reservations/31682382766330?display=MHD2ABNE9&amp;reservation_id=31682382766330", "MHD2ABNE9")</f>
        <v>MHD2ABNE9</v>
      </c>
      <c r="B4207" t="s">
        <v>1268</v>
      </c>
      <c r="C4207">
        <v>268.2</v>
      </c>
      <c r="D4207">
        <v>291.52</v>
      </c>
      <c r="E4207">
        <v>291.52999999999997</v>
      </c>
      <c r="F4207">
        <v>-0.01</v>
      </c>
    </row>
    <row r="4208" spans="1:6" x14ac:dyDescent="0.3">
      <c r="A4208" t="str">
        <f>HYPERLINK("https://us2.cloudbeds.com/connect/10074733072513#/reservations/31682191270067?display=MHCUDT1F7&amp;reservation_id=31682191270067", "MHCUDT1F7")</f>
        <v>MHCUDT1F7</v>
      </c>
      <c r="B4208" t="s">
        <v>1268</v>
      </c>
      <c r="C4208">
        <v>94.16</v>
      </c>
      <c r="D4208">
        <v>102.34</v>
      </c>
      <c r="E4208">
        <v>102.35</v>
      </c>
      <c r="F4208">
        <v>-0.01</v>
      </c>
    </row>
    <row r="4209" spans="1:6" x14ac:dyDescent="0.3">
      <c r="A4209" t="str">
        <f>HYPERLINK("https://us2.cloudbeds.com/connect/10074733072513#/reservations/31682182811870?display=MHCU6ZMH7&amp;reservation_id=31682182811870", "MHCU6ZMH7")</f>
        <v>MHCU6ZMH7</v>
      </c>
      <c r="B4209" t="s">
        <v>1268</v>
      </c>
      <c r="C4209">
        <v>94.16</v>
      </c>
      <c r="D4209">
        <v>102.34</v>
      </c>
      <c r="E4209">
        <v>102.35</v>
      </c>
      <c r="F4209">
        <v>-0.01</v>
      </c>
    </row>
    <row r="4210" spans="1:6" x14ac:dyDescent="0.3">
      <c r="A4210" t="str">
        <f>HYPERLINK("https://us2.cloudbeds.com/connect/10074733072513#/reservations/31682177421445?display=MHCU26MY0&amp;reservation_id=31682177421445", "MHCU26MY0")</f>
        <v>MHCU26MY0</v>
      </c>
      <c r="B4210" t="s">
        <v>1268</v>
      </c>
      <c r="C4210">
        <v>94.16</v>
      </c>
      <c r="D4210">
        <v>102.34</v>
      </c>
      <c r="E4210">
        <v>102.35</v>
      </c>
      <c r="F4210">
        <v>-0.01</v>
      </c>
    </row>
    <row r="4211" spans="1:6" x14ac:dyDescent="0.3">
      <c r="A4211" t="str">
        <f>HYPERLINK("https://us2.cloudbeds.com/connect/10074733072513#/reservations/31687959933102?display=MHHCR5JMW&amp;reservation_id=31687959933102", "MHHCR5JMW")</f>
        <v>MHHCR5JMW</v>
      </c>
      <c r="B4211" t="s">
        <v>1295</v>
      </c>
      <c r="C4211">
        <v>268.2</v>
      </c>
      <c r="D4211">
        <v>291.52</v>
      </c>
      <c r="E4211">
        <v>291.52999999999997</v>
      </c>
      <c r="F4211">
        <v>-0.01</v>
      </c>
    </row>
    <row r="4212" spans="1:6" x14ac:dyDescent="0.3">
      <c r="A4212" t="str">
        <f>HYPERLINK("https://us2.cloudbeds.com/connect/10074733072513#/reservations/31684779118726?display=MHEUX0ZMX&amp;reservation_id=31684779118726", "MHEUX0ZMX")</f>
        <v>MHEUX0ZMX</v>
      </c>
      <c r="B4212" t="s">
        <v>1296</v>
      </c>
      <c r="C4212">
        <v>537.29999999999995</v>
      </c>
      <c r="D4212">
        <v>584.04</v>
      </c>
      <c r="E4212">
        <v>584.04999999999995</v>
      </c>
      <c r="F4212">
        <v>-0.01</v>
      </c>
    </row>
    <row r="4213" spans="1:6" x14ac:dyDescent="0.3">
      <c r="A4213" t="str">
        <f>HYPERLINK("https://us2.cloudbeds.com/connect/10074733072513#/reservations/31682884997263?display=MHDF4S0SF&amp;reservation_id=31682884997263", "MHDF4S0SF")</f>
        <v>MHDF4S0SF</v>
      </c>
      <c r="B4213" t="s">
        <v>1203</v>
      </c>
      <c r="C4213">
        <v>94.16</v>
      </c>
      <c r="D4213">
        <v>102.34</v>
      </c>
      <c r="E4213">
        <v>102.35</v>
      </c>
      <c r="F4213">
        <v>-0.01</v>
      </c>
    </row>
    <row r="4214" spans="1:6" x14ac:dyDescent="0.3">
      <c r="A4214" t="str">
        <f>HYPERLINK("https://us2.cloudbeds.com/connect/10074733072513#/reservations/31682455314625?display=MHD45HFKF&amp;reservation_id=31682455314625", "MHD45HFKF")</f>
        <v>MHD45HFKF</v>
      </c>
      <c r="B4214" t="s">
        <v>1206</v>
      </c>
      <c r="C4214">
        <v>134.1</v>
      </c>
      <c r="D4214">
        <v>145.76</v>
      </c>
      <c r="E4214">
        <v>145.77000000000001</v>
      </c>
      <c r="F4214">
        <v>-0.01</v>
      </c>
    </row>
    <row r="4215" spans="1:6" x14ac:dyDescent="0.3">
      <c r="A4215" t="str">
        <f>HYPERLINK("https://us2.cloudbeds.com/connect/10074733072513#/reservations/31682440904913?display=MHD3QCGXH&amp;reservation_id=31682440904913", "MHD3QCGXH")</f>
        <v>MHD3QCGXH</v>
      </c>
      <c r="B4215" t="s">
        <v>1206</v>
      </c>
      <c r="C4215">
        <v>134.1</v>
      </c>
      <c r="D4215">
        <v>145.76</v>
      </c>
      <c r="E4215">
        <v>145.77000000000001</v>
      </c>
      <c r="F4215">
        <v>-0.01</v>
      </c>
    </row>
    <row r="4216" spans="1:6" x14ac:dyDescent="0.3">
      <c r="A4216" t="str">
        <f>HYPERLINK("https://us2.cloudbeds.com/connect/10074733072513#/reservations/31678404858039?display=MH9WM2X2Q&amp;reservation_id=31678404858039", "MH9WM2X2Q")</f>
        <v>MH9WM2X2Q</v>
      </c>
      <c r="B4216" t="s">
        <v>1206</v>
      </c>
      <c r="C4216">
        <v>94.16</v>
      </c>
      <c r="D4216">
        <v>102.34</v>
      </c>
      <c r="E4216">
        <v>102.35</v>
      </c>
      <c r="F4216">
        <v>-0.01</v>
      </c>
    </row>
    <row r="4217" spans="1:6" x14ac:dyDescent="0.3">
      <c r="A4217" t="str">
        <f>HYPERLINK("https://us2.cloudbeds.com/connect/10074733072513#/reservations/31678812913872?display=MHAA35A02&amp;reservation_id=31678812913872", "MHAA35A02")</f>
        <v>MHAA35A02</v>
      </c>
      <c r="B4217" t="s">
        <v>1261</v>
      </c>
      <c r="C4217">
        <v>170.1</v>
      </c>
      <c r="D4217">
        <v>184.89</v>
      </c>
      <c r="E4217">
        <v>184.9</v>
      </c>
      <c r="F4217">
        <v>-0.01</v>
      </c>
    </row>
    <row r="4218" spans="1:6" x14ac:dyDescent="0.3">
      <c r="A4218" t="str">
        <f>HYPERLINK("https://us2.cloudbeds.com/connect/10074733072513#/reservations/31678396747932?display=MH9WF7SPW&amp;reservation_id=31678396747932", "MH9WF7SPW")</f>
        <v>MH9WF7SPW</v>
      </c>
      <c r="B4218" t="s">
        <v>1206</v>
      </c>
      <c r="C4218">
        <v>94.16</v>
      </c>
      <c r="D4218">
        <v>102.34</v>
      </c>
      <c r="E4218">
        <v>102.35</v>
      </c>
      <c r="F4218">
        <v>-0.01</v>
      </c>
    </row>
    <row r="4219" spans="1:6" x14ac:dyDescent="0.3">
      <c r="A4219" t="str">
        <f>HYPERLINK("https://us2.cloudbeds.com/connect/10074733072513#/reservations/31684059218153?display=MHEC4WEVM&amp;reservation_id=31684059218153", "MHEC4WEVM")</f>
        <v>MHEC4WEVM</v>
      </c>
      <c r="B4219" t="s">
        <v>1297</v>
      </c>
      <c r="C4219">
        <v>134.1</v>
      </c>
      <c r="D4219">
        <v>145.76</v>
      </c>
      <c r="E4219">
        <v>145.77000000000001</v>
      </c>
      <c r="F4219">
        <v>-0.01</v>
      </c>
    </row>
    <row r="4220" spans="1:6" x14ac:dyDescent="0.3">
      <c r="A4220" t="str">
        <f>HYPERLINK("https://us2.cloudbeds.com/connect/10074733072513#/reservations/31678993772698?display=MHAENYVTX&amp;reservation_id=31678993772698", "MHAENYVTX")</f>
        <v>MHAENYVTX</v>
      </c>
      <c r="B4220" t="s">
        <v>1277</v>
      </c>
      <c r="C4220">
        <v>134.1</v>
      </c>
      <c r="D4220">
        <v>145.76</v>
      </c>
      <c r="E4220">
        <v>145.77000000000001</v>
      </c>
      <c r="F4220">
        <v>-0.01</v>
      </c>
    </row>
    <row r="4221" spans="1:6" x14ac:dyDescent="0.3">
      <c r="A4221" t="str">
        <f>HYPERLINK("https://us2.cloudbeds.com/connect/10074733072513#/reservations/31681121616061?display=MHC32UBCF&amp;reservation_id=31681121616061", "MHC32UBCF")</f>
        <v>MHC32UBCF</v>
      </c>
      <c r="B4221" t="s">
        <v>1261</v>
      </c>
      <c r="C4221">
        <v>94.16</v>
      </c>
      <c r="D4221">
        <v>102.34</v>
      </c>
      <c r="E4221">
        <v>102.35</v>
      </c>
      <c r="F4221">
        <v>-0.01</v>
      </c>
    </row>
    <row r="4222" spans="1:6" x14ac:dyDescent="0.3">
      <c r="A4222" t="str">
        <f>HYPERLINK("https://us2.cloudbeds.com/connect/10074733072513#/reservations/31681140895880?display=MHC3J5RHD&amp;reservation_id=31681140895880", "MHC3J5RHD")</f>
        <v>MHC3J5RHD</v>
      </c>
      <c r="B4222" t="s">
        <v>1261</v>
      </c>
      <c r="C4222">
        <v>94.16</v>
      </c>
      <c r="D4222">
        <v>102.34</v>
      </c>
      <c r="E4222">
        <v>102.35</v>
      </c>
      <c r="F4222">
        <v>-0.01</v>
      </c>
    </row>
    <row r="4223" spans="1:6" x14ac:dyDescent="0.3">
      <c r="A4223" t="str">
        <f>HYPERLINK("https://us2.cloudbeds.com/connect/10074733072513#/reservations/31678802219232?display=MHA9R4ND2&amp;reservation_id=31678802219232", "MHA9R4ND2")</f>
        <v>MHA9R4ND2</v>
      </c>
      <c r="B4223" t="s">
        <v>1261</v>
      </c>
      <c r="C4223">
        <v>94.16</v>
      </c>
      <c r="D4223">
        <v>102.34</v>
      </c>
      <c r="E4223">
        <v>102.35</v>
      </c>
      <c r="F4223">
        <v>-0.01</v>
      </c>
    </row>
    <row r="4224" spans="1:6" x14ac:dyDescent="0.3">
      <c r="A4224" t="str">
        <f>HYPERLINK("https://us2.cloudbeds.com/connect/10074733072513#/reservations/31678835359891?display=MHAAM2TJF&amp;reservation_id=31678835359891", "MHAAM2TJF")</f>
        <v>MHAAM2TJF</v>
      </c>
      <c r="B4224" t="s">
        <v>1261</v>
      </c>
      <c r="C4224">
        <v>94.16</v>
      </c>
      <c r="D4224">
        <v>102.34</v>
      </c>
      <c r="E4224">
        <v>102.35</v>
      </c>
      <c r="F4224">
        <v>-0.01</v>
      </c>
    </row>
    <row r="4225" spans="1:6" x14ac:dyDescent="0.3">
      <c r="A4225" t="str">
        <f>HYPERLINK("https://us2.cloudbeds.com/connect/10074733072513#/reservations/31679342973086?display=MHANY3WDG&amp;reservation_id=31679342973086", "MHANY3WDG")</f>
        <v>MHANY3WDG</v>
      </c>
      <c r="B4225" t="s">
        <v>1187</v>
      </c>
      <c r="C4225">
        <v>376.2</v>
      </c>
      <c r="D4225">
        <v>408.92</v>
      </c>
      <c r="E4225">
        <v>408.93</v>
      </c>
      <c r="F4225">
        <v>-0.01</v>
      </c>
    </row>
    <row r="4226" spans="1:6" x14ac:dyDescent="0.3">
      <c r="A4226" t="str">
        <f>HYPERLINK("https://us2.cloudbeds.com/connect/10074733072513#/reservations/31679013449931?display=MHAF78GWB&amp;reservation_id=31679013449931", "MHAF78GWB")</f>
        <v>MHAF78GWB</v>
      </c>
      <c r="B4226" t="s">
        <v>1277</v>
      </c>
      <c r="C4226">
        <v>134.1</v>
      </c>
      <c r="D4226">
        <v>145.76</v>
      </c>
      <c r="E4226">
        <v>145.77000000000001</v>
      </c>
      <c r="F4226">
        <v>-0.01</v>
      </c>
    </row>
    <row r="4227" spans="1:6" x14ac:dyDescent="0.3">
      <c r="A4227" t="str">
        <f>HYPERLINK("https://us2.cloudbeds.com/connect/10074733072513#/reservations/31678418370719?display=MHA00FXDV&amp;reservation_id=31678418370719", "MHA00FXDV")</f>
        <v>MHA00FXDV</v>
      </c>
      <c r="B4227" t="s">
        <v>1261</v>
      </c>
      <c r="C4227">
        <v>170.1</v>
      </c>
      <c r="D4227">
        <v>184.89</v>
      </c>
      <c r="E4227">
        <v>184.9</v>
      </c>
      <c r="F4227">
        <v>-0.01</v>
      </c>
    </row>
    <row r="4228" spans="1:6" x14ac:dyDescent="0.3">
      <c r="A4228" t="str">
        <f>HYPERLINK("https://us2.cloudbeds.com/connect/10074733072513#/reservations/31678557135079?display=MHA3XFT2X&amp;reservation_id=31678557135079", "MHA3XFT2X")</f>
        <v>MHA3XFT2X</v>
      </c>
      <c r="B4228" t="s">
        <v>1277</v>
      </c>
      <c r="C4228">
        <v>134.1</v>
      </c>
      <c r="D4228">
        <v>145.76</v>
      </c>
      <c r="E4228">
        <v>145.77000000000001</v>
      </c>
      <c r="F4228">
        <v>-0.01</v>
      </c>
    </row>
    <row r="4229" spans="1:6" x14ac:dyDescent="0.3">
      <c r="A4229" t="str">
        <f>HYPERLINK("https://us2.cloudbeds.com/connect/10074733072513#/reservations/31684294791325?display=MHEX5KKJY&amp;reservation_id=31684294791325", "MHEX5KKJY")</f>
        <v>MHEX5KKJY</v>
      </c>
      <c r="B4229" t="s">
        <v>1187</v>
      </c>
      <c r="C4229">
        <v>474.3</v>
      </c>
      <c r="D4229">
        <v>515.54999999999995</v>
      </c>
      <c r="E4229">
        <v>515.55999999999995</v>
      </c>
      <c r="F4229">
        <v>-0.01</v>
      </c>
    </row>
    <row r="4230" spans="1:6" x14ac:dyDescent="0.3">
      <c r="A4230" t="str">
        <f>HYPERLINK("https://us2.cloudbeds.com/connect/10074733072513#/reservations/31683542315231?display=MHDVV3SKP&amp;reservation_id=31683542315231", "MHDVV3SKP")</f>
        <v>MHDVV3SKP</v>
      </c>
      <c r="B4230" t="s">
        <v>1285</v>
      </c>
      <c r="C4230">
        <v>170.1</v>
      </c>
      <c r="D4230">
        <v>184.89</v>
      </c>
      <c r="E4230">
        <v>184.9</v>
      </c>
      <c r="F4230">
        <v>-0.01</v>
      </c>
    </row>
    <row r="4231" spans="1:6" x14ac:dyDescent="0.3">
      <c r="A4231" t="str">
        <f>HYPERLINK("https://us2.cloudbeds.com/connect/10074733072513#/reservations/31683235614848?display=MHDNPVKEU&amp;reservation_id=31683235614848", "MHDNPVKEU")</f>
        <v>MHDNPVKEU</v>
      </c>
      <c r="B4231" t="s">
        <v>1298</v>
      </c>
      <c r="C4231">
        <v>134.1</v>
      </c>
      <c r="D4231">
        <v>145.76</v>
      </c>
      <c r="E4231">
        <v>145.77000000000001</v>
      </c>
      <c r="F4231">
        <v>-0.01</v>
      </c>
    </row>
    <row r="4232" spans="1:6" x14ac:dyDescent="0.3">
      <c r="A4232" t="str">
        <f>HYPERLINK("https://us2.cloudbeds.com/connect/10074733072513#/reservations/31678725632243?display=MHA7SXXJ6&amp;reservation_id=31678725632243", "MHA7SXXJ6")</f>
        <v>MHA7SXXJ6</v>
      </c>
      <c r="B4232" t="s">
        <v>1234</v>
      </c>
      <c r="C4232">
        <v>134.1</v>
      </c>
      <c r="D4232">
        <v>145.76</v>
      </c>
      <c r="E4232">
        <v>145.77000000000001</v>
      </c>
      <c r="F4232">
        <v>-0.01</v>
      </c>
    </row>
    <row r="4233" spans="1:6" x14ac:dyDescent="0.3">
      <c r="A4233" t="str">
        <f>HYPERLINK("https://us2.cloudbeds.com/connect/10074733072513#/reservations/31689526120636?display=MHXJRR2E9&amp;reservation_id=31689526120636", "MHXJRR2E9")</f>
        <v>MHXJRR2E9</v>
      </c>
      <c r="B4233" t="s">
        <v>974</v>
      </c>
      <c r="C4233">
        <v>268.2</v>
      </c>
      <c r="D4233">
        <v>291.52</v>
      </c>
      <c r="E4233">
        <v>291.52999999999997</v>
      </c>
      <c r="F4233">
        <v>-0.01</v>
      </c>
    </row>
    <row r="4234" spans="1:6" x14ac:dyDescent="0.3">
      <c r="A4234" t="str">
        <f>HYPERLINK("https://us2.cloudbeds.com/connect/10074733072513#/reservations/31679027249314?display=MHAFXTGJF&amp;reservation_id=31679027249314", "MHAFXTGJF")</f>
        <v>MHAFXTGJF</v>
      </c>
      <c r="B4234" t="s">
        <v>1286</v>
      </c>
      <c r="C4234">
        <v>134.1</v>
      </c>
      <c r="D4234">
        <v>145.76</v>
      </c>
      <c r="E4234">
        <v>145.77000000000001</v>
      </c>
      <c r="F4234">
        <v>-0.01</v>
      </c>
    </row>
    <row r="4235" spans="1:6" x14ac:dyDescent="0.3">
      <c r="A4235" t="str">
        <f>HYPERLINK("https://us2.cloudbeds.com/connect/10074733072513#/reservations/31679051202797?display=MHAG631EJ&amp;reservation_id=31679051202797", "MHAG631EJ")</f>
        <v>MHAG631EJ</v>
      </c>
      <c r="B4235" t="s">
        <v>1286</v>
      </c>
      <c r="C4235">
        <v>134.1</v>
      </c>
      <c r="D4235">
        <v>145.76</v>
      </c>
      <c r="E4235">
        <v>145.77000000000001</v>
      </c>
      <c r="F4235">
        <v>-0.01</v>
      </c>
    </row>
    <row r="4236" spans="1:6" x14ac:dyDescent="0.3">
      <c r="A4236" t="str">
        <f>HYPERLINK("https://us2.cloudbeds.com/connect/10074733072513#/reservations/31683207020725?display=MHDNCCQH6&amp;reservation_id=31683207020725", "MHDNCCQH6")</f>
        <v>MHDNCCQH6</v>
      </c>
      <c r="B4236" t="s">
        <v>1100</v>
      </c>
      <c r="C4236">
        <v>375.3</v>
      </c>
      <c r="D4236">
        <v>407.94</v>
      </c>
      <c r="E4236">
        <v>407.95</v>
      </c>
      <c r="F4236">
        <v>-0.01</v>
      </c>
    </row>
    <row r="4237" spans="1:6" x14ac:dyDescent="0.3">
      <c r="A4237" t="str">
        <f>HYPERLINK("https://us2.cloudbeds.com/connect/10074733072513#/reservations/31678715887829?display=MHA7KBDHV&amp;reservation_id=31678715887829", "MHA7KBDHV")</f>
        <v>MHA7KBDHV</v>
      </c>
      <c r="B4237" t="s">
        <v>1277</v>
      </c>
      <c r="C4237">
        <v>134.1</v>
      </c>
      <c r="D4237">
        <v>145.76</v>
      </c>
      <c r="E4237">
        <v>145.77000000000001</v>
      </c>
      <c r="F4237">
        <v>-0.01</v>
      </c>
    </row>
    <row r="4238" spans="1:6" x14ac:dyDescent="0.3">
      <c r="A4238" t="str">
        <f>HYPERLINK("https://us2.cloudbeds.com/connect/10074733072513#/reservations/31679393017992?display=MHAZUAXAQ&amp;reservation_id=31679393017992", "MHAZUAXAQ")</f>
        <v>MHAZUAXAQ</v>
      </c>
      <c r="B4238" t="s">
        <v>1286</v>
      </c>
      <c r="C4238">
        <v>94.16</v>
      </c>
      <c r="D4238">
        <v>102.34</v>
      </c>
      <c r="E4238">
        <v>102.35</v>
      </c>
      <c r="F4238">
        <v>-0.01</v>
      </c>
    </row>
    <row r="4239" spans="1:6" x14ac:dyDescent="0.3">
      <c r="A4239" t="str">
        <f>HYPERLINK("https://us2.cloudbeds.com/connect/10074733072513#/reservations/31682428940513?display=MHD3G9XVV&amp;reservation_id=31682428940513", "MHD3G9XVV")</f>
        <v>MHD3G9XVV</v>
      </c>
      <c r="B4239" t="s">
        <v>1287</v>
      </c>
      <c r="C4239">
        <v>94.16</v>
      </c>
      <c r="D4239">
        <v>102.34</v>
      </c>
      <c r="E4239">
        <v>102.35</v>
      </c>
      <c r="F4239">
        <v>-0.01</v>
      </c>
    </row>
    <row r="4240" spans="1:6" x14ac:dyDescent="0.3">
      <c r="A4240" t="str">
        <f>HYPERLINK("https://us2.cloudbeds.com/connect/10074733072513#/reservations/31678803755171?display=MHA9SEEQM&amp;reservation_id=31678803755171", "MHA9SEEQM")</f>
        <v>MHA9SEEQM</v>
      </c>
      <c r="B4240" t="s">
        <v>1076</v>
      </c>
      <c r="C4240">
        <v>224.1</v>
      </c>
      <c r="D4240">
        <v>243.59</v>
      </c>
      <c r="E4240">
        <v>243.6</v>
      </c>
      <c r="F4240">
        <v>-0.01</v>
      </c>
    </row>
    <row r="4241" spans="1:6" x14ac:dyDescent="0.3">
      <c r="A4241" t="str">
        <f>HYPERLINK("https://us2.cloudbeds.com/connect/10074733072513#/reservations/31679341830356?display=MHANK562A&amp;reservation_id=31679341830356", "MHANK562A")</f>
        <v>MHANK562A</v>
      </c>
      <c r="B4241" t="s">
        <v>1286</v>
      </c>
      <c r="C4241">
        <v>94.16</v>
      </c>
      <c r="D4241">
        <v>102.34</v>
      </c>
      <c r="E4241">
        <v>102.35</v>
      </c>
      <c r="F4241">
        <v>-0.01</v>
      </c>
    </row>
    <row r="4242" spans="1:6" x14ac:dyDescent="0.3">
      <c r="A4242" t="str">
        <f>HYPERLINK("https://us2.cloudbeds.com/connect/10074733072513#/reservations/31684591648976?display=MHEPZV451&amp;reservation_id=31684591648976", "MHEPZV451")</f>
        <v>MHEPZV451</v>
      </c>
      <c r="B4242" t="s">
        <v>1300</v>
      </c>
      <c r="C4242">
        <v>134.1</v>
      </c>
      <c r="D4242">
        <v>145.76</v>
      </c>
      <c r="E4242">
        <v>145.77000000000001</v>
      </c>
      <c r="F4242">
        <v>-0.01</v>
      </c>
    </row>
    <row r="4243" spans="1:6" x14ac:dyDescent="0.3">
      <c r="A4243" t="str">
        <f>HYPERLINK("https://us2.cloudbeds.com/connect/10074733072513#/reservations/31679013454029?display=MHAF78KZH&amp;reservation_id=31679013454029", "MHAF78KZH")</f>
        <v>MHAF78KZH</v>
      </c>
      <c r="B4243" t="s">
        <v>1277</v>
      </c>
      <c r="C4243">
        <v>94.16</v>
      </c>
      <c r="D4243">
        <v>102.34</v>
      </c>
      <c r="E4243">
        <v>102.35</v>
      </c>
      <c r="F4243">
        <v>-0.01</v>
      </c>
    </row>
    <row r="4244" spans="1:6" x14ac:dyDescent="0.3">
      <c r="A4244" t="str">
        <f>HYPERLINK("https://us2.cloudbeds.com/connect/10074733072513#/reservations/31680728531075?display=MHBQ1F5Q7&amp;reservation_id=31680728531075", "MHBQ1F5Q7")</f>
        <v>MHBQ1F5Q7</v>
      </c>
      <c r="B4244" t="s">
        <v>1290</v>
      </c>
      <c r="C4244">
        <v>278.8</v>
      </c>
      <c r="D4244">
        <v>303.05</v>
      </c>
      <c r="E4244">
        <v>303.06</v>
      </c>
      <c r="F4244">
        <v>-0.01</v>
      </c>
    </row>
    <row r="4245" spans="1:6" x14ac:dyDescent="0.3">
      <c r="A4245" t="str">
        <f>HYPERLINK("https://us2.cloudbeds.com/connect/10074733072513#/reservations/31683377529022?display=MHDRZ5EQ9&amp;reservation_id=31683377529022", "MHDRZ5EQ9")</f>
        <v>MHDRZ5EQ9</v>
      </c>
      <c r="B4245" t="s">
        <v>1154</v>
      </c>
      <c r="C4245">
        <v>224.1</v>
      </c>
      <c r="D4245">
        <v>243.59</v>
      </c>
      <c r="E4245">
        <v>243.6</v>
      </c>
      <c r="F4245">
        <v>-0.01</v>
      </c>
    </row>
    <row r="4246" spans="1:6" x14ac:dyDescent="0.3">
      <c r="A4246" t="str">
        <f>HYPERLINK("https://us2.cloudbeds.com/connect/10074733072513#/reservations/31679385522418?display=MHAZNWWB6&amp;reservation_id=31679385522418", "MHAZNWWB6")</f>
        <v>MHAZNWWB6</v>
      </c>
      <c r="B4246" t="s">
        <v>1286</v>
      </c>
      <c r="C4246">
        <v>143.65</v>
      </c>
      <c r="D4246">
        <v>156.13999999999999</v>
      </c>
      <c r="E4246">
        <v>156.15</v>
      </c>
      <c r="F4246">
        <v>-0.01</v>
      </c>
    </row>
    <row r="4247" spans="1:6" x14ac:dyDescent="0.3">
      <c r="A4247" t="str">
        <f>HYPERLINK("https://us2.cloudbeds.com/connect/10074733072513#/reservations/31681955246282?display=MHCZCSB1A&amp;reservation_id=31681955246282", "MHCZCSB1A")</f>
        <v>MHCZCSB1A</v>
      </c>
      <c r="B4247" t="s">
        <v>1234</v>
      </c>
      <c r="C4247">
        <v>268.2</v>
      </c>
      <c r="D4247">
        <v>291.52</v>
      </c>
      <c r="E4247">
        <v>291.52999999999997</v>
      </c>
      <c r="F4247">
        <v>-0.01</v>
      </c>
    </row>
    <row r="4248" spans="1:6" x14ac:dyDescent="0.3">
      <c r="A4248" t="str">
        <f>HYPERLINK("https://us2.cloudbeds.com/connect/10074733072513#/reservations/31681943978137?display=MHCZ3BPQC&amp;reservation_id=31681943978137", "MHCZ3BPQC")</f>
        <v>MHCZ3BPQC</v>
      </c>
      <c r="B4248" t="s">
        <v>1234</v>
      </c>
      <c r="C4248">
        <v>134.1</v>
      </c>
      <c r="D4248">
        <v>145.76</v>
      </c>
      <c r="E4248">
        <v>145.77000000000001</v>
      </c>
      <c r="F4248">
        <v>-0.01</v>
      </c>
    </row>
    <row r="4249" spans="1:6" x14ac:dyDescent="0.3">
      <c r="A4249" t="str">
        <f>HYPERLINK("https://us2.cloudbeds.com/connect/10074733072513#/reservations/31681000239308?display=MHBWWXSA1&amp;reservation_id=31681000239308", "MHBWWXSA1")</f>
        <v>MHBWWXSA1</v>
      </c>
      <c r="B4249" t="s">
        <v>1244</v>
      </c>
      <c r="C4249">
        <v>376.2</v>
      </c>
      <c r="D4249">
        <v>408.92</v>
      </c>
      <c r="E4249">
        <v>408.93</v>
      </c>
      <c r="F4249">
        <v>-0.01</v>
      </c>
    </row>
    <row r="4250" spans="1:6" x14ac:dyDescent="0.3">
      <c r="A4250" t="str">
        <f>HYPERLINK("https://us2.cloudbeds.com/connect/10074733072513#/reservations/31682440900822?display=MHD3QCCQX&amp;reservation_id=31682440900822", "MHD3QCCQX")</f>
        <v>MHD3QCCQX</v>
      </c>
      <c r="B4250" t="s">
        <v>1287</v>
      </c>
      <c r="C4250">
        <v>134.1</v>
      </c>
      <c r="D4250">
        <v>145.76</v>
      </c>
      <c r="E4250">
        <v>145.77000000000001</v>
      </c>
      <c r="F4250">
        <v>-0.01</v>
      </c>
    </row>
    <row r="4251" spans="1:6" x14ac:dyDescent="0.3">
      <c r="A4251" t="str">
        <f>HYPERLINK("https://us2.cloudbeds.com/connect/10074733072513#/reservations/31678768607390?display=MHA8VQDHD&amp;reservation_id=31678768607390", "MHA8VQDHD")</f>
        <v>MHA8VQDHD</v>
      </c>
      <c r="B4251" t="s">
        <v>1234</v>
      </c>
      <c r="C4251">
        <v>94.16</v>
      </c>
      <c r="D4251">
        <v>102.34</v>
      </c>
      <c r="E4251">
        <v>102.35</v>
      </c>
      <c r="F4251">
        <v>-0.01</v>
      </c>
    </row>
    <row r="4252" spans="1:6" x14ac:dyDescent="0.3">
      <c r="A4252" t="str">
        <f>HYPERLINK("https://us2.cloudbeds.com/connect/10074733072513#/reservations/31678869135613?display=MHABHXZV6&amp;reservation_id=31678869135613", "MHABHXZV6")</f>
        <v>MHABHXZV6</v>
      </c>
      <c r="B4252" t="s">
        <v>946</v>
      </c>
      <c r="C4252">
        <v>134.1</v>
      </c>
      <c r="D4252">
        <v>145.76</v>
      </c>
      <c r="E4252">
        <v>145.77000000000001</v>
      </c>
      <c r="F4252">
        <v>-0.01</v>
      </c>
    </row>
    <row r="4253" spans="1:6" x14ac:dyDescent="0.3">
      <c r="A4253" t="str">
        <f>HYPERLINK("https://us2.cloudbeds.com/connect/10074733072513#/reservations/31682249699533?display=MHCVU4UN3&amp;reservation_id=31682249699533", "MHCVU4UN3")</f>
        <v>MHCVU4UN3</v>
      </c>
      <c r="B4253" t="s">
        <v>946</v>
      </c>
      <c r="C4253">
        <v>134.1</v>
      </c>
      <c r="D4253">
        <v>145.76</v>
      </c>
      <c r="E4253">
        <v>145.77000000000001</v>
      </c>
      <c r="F4253">
        <v>-0.01</v>
      </c>
    </row>
    <row r="4254" spans="1:6" x14ac:dyDescent="0.3">
      <c r="A4254" t="str">
        <f>HYPERLINK("https://us2.cloudbeds.com/connect/10074733072513#/reservations/31681913684193?display=MHCNAQQM2&amp;reservation_id=31681913684193", "MHCNAQQM2")</f>
        <v>MHCNAQQM2</v>
      </c>
      <c r="B4254" t="s">
        <v>1234</v>
      </c>
      <c r="C4254">
        <v>134.1</v>
      </c>
      <c r="D4254">
        <v>145.76</v>
      </c>
      <c r="E4254">
        <v>145.77000000000001</v>
      </c>
      <c r="F4254">
        <v>-0.01</v>
      </c>
    </row>
    <row r="4255" spans="1:6" x14ac:dyDescent="0.3">
      <c r="A4255" t="str">
        <f>HYPERLINK("https://us2.cloudbeds.com/connect/10074733072513#/reservations/31680807833817?display=MHBS2ATDK&amp;reservation_id=31680807833817", "MHBS2ATDK")</f>
        <v>MHBS2ATDK</v>
      </c>
      <c r="B4255" t="s">
        <v>1187</v>
      </c>
      <c r="C4255">
        <v>349.2</v>
      </c>
      <c r="D4255">
        <v>379.57</v>
      </c>
      <c r="E4255">
        <v>379.58</v>
      </c>
      <c r="F4255">
        <v>-0.01</v>
      </c>
    </row>
    <row r="4256" spans="1:6" x14ac:dyDescent="0.3">
      <c r="A4256" t="str">
        <f>HYPERLINK("https://us2.cloudbeds.com/connect/10074733072513#/reservations/31682345517201?display=MHD1BV6HQ&amp;reservation_id=31682345517201", "MHD1BV6HQ")</f>
        <v>MHD1BV6HQ</v>
      </c>
      <c r="B4256" t="s">
        <v>946</v>
      </c>
      <c r="C4256">
        <v>94.16</v>
      </c>
      <c r="D4256">
        <v>102.34</v>
      </c>
      <c r="E4256">
        <v>102.35</v>
      </c>
      <c r="F4256">
        <v>-0.01</v>
      </c>
    </row>
    <row r="4257" spans="1:6" x14ac:dyDescent="0.3">
      <c r="A4257" t="str">
        <f>HYPERLINK("https://us2.cloudbeds.com/connect/10074733072513#/reservations/31680829018305?display=MHBSARKAX&amp;reservation_id=31680829018305", "MHBSARKAX")</f>
        <v>MHBSARKAX</v>
      </c>
      <c r="B4257" t="s">
        <v>1289</v>
      </c>
      <c r="C4257">
        <v>134.1</v>
      </c>
      <c r="D4257">
        <v>145.76</v>
      </c>
      <c r="E4257">
        <v>145.77000000000001</v>
      </c>
      <c r="F4257">
        <v>-0.01</v>
      </c>
    </row>
    <row r="4258" spans="1:6" x14ac:dyDescent="0.3">
      <c r="A4258" t="str">
        <f>HYPERLINK("https://us2.cloudbeds.com/connect/10074733072513#/reservations/31679218213000?display=MHAKEUBGR&amp;reservation_id=31679218213000", "MHAKEUBGR")</f>
        <v>MHAKEUBGR</v>
      </c>
      <c r="B4258" t="s">
        <v>1292</v>
      </c>
      <c r="C4258">
        <v>94.16</v>
      </c>
      <c r="D4258">
        <v>102.34</v>
      </c>
      <c r="E4258">
        <v>102.35</v>
      </c>
      <c r="F4258">
        <v>-0.01</v>
      </c>
    </row>
    <row r="4259" spans="1:6" x14ac:dyDescent="0.3">
      <c r="A4259" t="str">
        <f>HYPERLINK("https://us2.cloudbeds.com/connect/10074733072513#/reservations/31678733918364?display=MHA82X4GQ&amp;reservation_id=31678733918364", "MHA82X4GQ")</f>
        <v>MHA82X4GQ</v>
      </c>
      <c r="B4259" t="s">
        <v>1234</v>
      </c>
      <c r="C4259">
        <v>94.16</v>
      </c>
      <c r="D4259">
        <v>102.34</v>
      </c>
      <c r="E4259">
        <v>102.35</v>
      </c>
      <c r="F4259">
        <v>-0.01</v>
      </c>
    </row>
    <row r="4260" spans="1:6" x14ac:dyDescent="0.3">
      <c r="A4260" t="str">
        <f>HYPERLINK("https://us2.cloudbeds.com/connect/10074733072513#/reservations/31678718378211?display=MHA7MEND2&amp;reservation_id=31678718378211", "MHA7MEND2")</f>
        <v>MHA7MEND2</v>
      </c>
      <c r="B4260" t="s">
        <v>1234</v>
      </c>
      <c r="C4260">
        <v>268.2</v>
      </c>
      <c r="D4260">
        <v>291.52</v>
      </c>
      <c r="E4260">
        <v>291.52999999999997</v>
      </c>
      <c r="F4260">
        <v>-0.01</v>
      </c>
    </row>
    <row r="4261" spans="1:6" x14ac:dyDescent="0.3">
      <c r="A4261" t="str">
        <f>HYPERLINK("https://us2.cloudbeds.com/connect/10074733072513#/reservations/31678826627292?display=MHAAENTM7&amp;reservation_id=31678826627292", "MHAAENTM7")</f>
        <v>MHAAENTM7</v>
      </c>
      <c r="B4261" t="s">
        <v>1234</v>
      </c>
      <c r="C4261">
        <v>134.1</v>
      </c>
      <c r="D4261">
        <v>145.76</v>
      </c>
      <c r="E4261">
        <v>145.77000000000001</v>
      </c>
      <c r="F4261">
        <v>-0.01</v>
      </c>
    </row>
    <row r="4262" spans="1:6" x14ac:dyDescent="0.3">
      <c r="A4262" t="str">
        <f>HYPERLINK("https://us2.cloudbeds.com/connect/10074733072513#/reservations/31678850457728?display=MHAB1QTRG&amp;reservation_id=31678850457728", "MHAB1QTRG")</f>
        <v>MHAB1QTRG</v>
      </c>
      <c r="B4262" t="s">
        <v>946</v>
      </c>
      <c r="C4262">
        <v>94.16</v>
      </c>
      <c r="D4262">
        <v>102.34</v>
      </c>
      <c r="E4262">
        <v>102.35</v>
      </c>
      <c r="F4262">
        <v>-0.01</v>
      </c>
    </row>
    <row r="4263" spans="1:6" x14ac:dyDescent="0.3">
      <c r="A4263" t="str">
        <f>HYPERLINK("https://us2.cloudbeds.com/connect/10074733072513#/reservations/31680803750074?display=MHBRVT8DR&amp;reservation_id=31680803750074", "MHBRVT8DR")</f>
        <v>MHBRVT8DR</v>
      </c>
      <c r="B4263" t="s">
        <v>1304</v>
      </c>
      <c r="C4263">
        <v>288.2</v>
      </c>
      <c r="D4263">
        <v>313.26</v>
      </c>
      <c r="E4263">
        <v>313.27</v>
      </c>
      <c r="F4263">
        <v>-0.01</v>
      </c>
    </row>
    <row r="4264" spans="1:6" x14ac:dyDescent="0.3">
      <c r="A4264" t="str">
        <f>HYPERLINK("https://us2.cloudbeds.com/connect/10074733072513#/reservations/31682869211272?display=MHDEZHP03&amp;reservation_id=31682869211272", "MHDEZHP03")</f>
        <v>MHDEZHP03</v>
      </c>
      <c r="B4264" t="s">
        <v>1294</v>
      </c>
      <c r="C4264">
        <v>134.1</v>
      </c>
      <c r="D4264">
        <v>145.76</v>
      </c>
      <c r="E4264">
        <v>145.77000000000001</v>
      </c>
      <c r="F4264">
        <v>-0.01</v>
      </c>
    </row>
    <row r="4265" spans="1:6" x14ac:dyDescent="0.3">
      <c r="A4265" t="str">
        <f>HYPERLINK("https://us2.cloudbeds.com/connect/10074733072513#/reservations/31683235614911?display=MHDZ3GFQM&amp;reservation_id=31683235614911", "MHDZ3GFQM")</f>
        <v>MHDZ3GFQM</v>
      </c>
      <c r="B4265" t="s">
        <v>1287</v>
      </c>
      <c r="C4265">
        <v>134.1</v>
      </c>
      <c r="D4265">
        <v>145.76</v>
      </c>
      <c r="E4265">
        <v>145.77000000000001</v>
      </c>
      <c r="F4265">
        <v>-0.01</v>
      </c>
    </row>
    <row r="4266" spans="1:6" x14ac:dyDescent="0.3">
      <c r="A4266" t="str">
        <f>HYPERLINK("https://us2.cloudbeds.com/connect/10074733072513#/reservations/31680712601739?display=MHBPY0UA2&amp;reservation_id=31680712601739", "MHBPY0UA2")</f>
        <v>MHBPY0UA2</v>
      </c>
      <c r="B4266" t="s">
        <v>1294</v>
      </c>
      <c r="C4266">
        <v>94.16</v>
      </c>
      <c r="D4266">
        <v>102.34</v>
      </c>
      <c r="E4266">
        <v>102.35</v>
      </c>
      <c r="F4266">
        <v>-0.01</v>
      </c>
    </row>
    <row r="4267" spans="1:6" x14ac:dyDescent="0.3">
      <c r="A4267" t="str">
        <f>HYPERLINK("https://us2.cloudbeds.com/connect/10074733072513#/reservations/31680693420188?display=MHBP4S5CV&amp;reservation_id=31680693420188", "MHBP4S5CV")</f>
        <v>MHBP4S5CV</v>
      </c>
      <c r="B4267" t="s">
        <v>1294</v>
      </c>
      <c r="C4267">
        <v>134.1</v>
      </c>
      <c r="D4267">
        <v>145.76</v>
      </c>
      <c r="E4267">
        <v>145.77000000000001</v>
      </c>
      <c r="F4267">
        <v>-0.01</v>
      </c>
    </row>
    <row r="4268" spans="1:6" x14ac:dyDescent="0.3">
      <c r="A4268" t="str">
        <f>HYPERLINK("https://us2.cloudbeds.com/connect/10074733072513#/reservations/31680641503423?display=MHBNR2GJY&amp;reservation_id=31680641503423", "MHBNR2GJY")</f>
        <v>MHBNR2GJY</v>
      </c>
      <c r="B4268" t="s">
        <v>1294</v>
      </c>
      <c r="C4268">
        <v>94.16</v>
      </c>
      <c r="D4268">
        <v>102.34</v>
      </c>
      <c r="E4268">
        <v>102.35</v>
      </c>
      <c r="F4268">
        <v>-0.01</v>
      </c>
    </row>
    <row r="4269" spans="1:6" x14ac:dyDescent="0.3">
      <c r="A4269" t="str">
        <f>HYPERLINK("https://us2.cloudbeds.com/connect/10074733072513#/reservations/31680622739605?display=MHBNB8C93&amp;reservation_id=31680622739605", "MHBNB8C93")</f>
        <v>MHBNB8C93</v>
      </c>
      <c r="B4269" t="s">
        <v>1294</v>
      </c>
      <c r="C4269">
        <v>94.16</v>
      </c>
      <c r="D4269">
        <v>102.34</v>
      </c>
      <c r="E4269">
        <v>102.35</v>
      </c>
      <c r="F4269">
        <v>-0.01</v>
      </c>
    </row>
    <row r="4270" spans="1:6" x14ac:dyDescent="0.3">
      <c r="A4270" t="str">
        <f>HYPERLINK("https://us2.cloudbeds.com/connect/10074733072513#/reservations/31682455318720?display=MHD45HFMC&amp;reservation_id=31682455318720", "MHD45HFMC")</f>
        <v>MHD45HFMC</v>
      </c>
      <c r="B4270" t="s">
        <v>1287</v>
      </c>
      <c r="C4270">
        <v>94.16</v>
      </c>
      <c r="D4270">
        <v>102.34</v>
      </c>
      <c r="E4270">
        <v>102.35</v>
      </c>
      <c r="F4270">
        <v>-0.01</v>
      </c>
    </row>
    <row r="4271" spans="1:6" x14ac:dyDescent="0.3">
      <c r="A4271" t="str">
        <f>HYPERLINK("https://us2.cloudbeds.com/connect/10074733072513#/reservations/31682346115288?display=MHD1CERZK&amp;reservation_id=31682346115288", "MHD1CERZK")</f>
        <v>MHD1CERZK</v>
      </c>
      <c r="B4271" t="s">
        <v>1290</v>
      </c>
      <c r="C4271">
        <v>134.1</v>
      </c>
      <c r="D4271">
        <v>145.76</v>
      </c>
      <c r="E4271">
        <v>145.77000000000001</v>
      </c>
      <c r="F4271">
        <v>-0.01</v>
      </c>
    </row>
    <row r="4272" spans="1:6" x14ac:dyDescent="0.3">
      <c r="A4272" t="str">
        <f>HYPERLINK("https://us2.cloudbeds.com/connect/10074733072513#/reservations/31679029440642?display=MHAFKZFRB&amp;reservation_id=31679029440642", "MHAFKZFRB")</f>
        <v>MHAFKZFRB</v>
      </c>
      <c r="B4272" t="s">
        <v>1299</v>
      </c>
      <c r="C4272">
        <v>94.16</v>
      </c>
      <c r="D4272">
        <v>102.34</v>
      </c>
      <c r="E4272">
        <v>102.35</v>
      </c>
      <c r="F4272">
        <v>-0.01</v>
      </c>
    </row>
    <row r="4273" spans="1:6" x14ac:dyDescent="0.3">
      <c r="A4273" t="str">
        <f>HYPERLINK("https://us2.cloudbeds.com/connect/10074733072513#/reservations/31679086915725?display=MHAH36QMH&amp;reservation_id=31679086915725", "MHAH36QMH")</f>
        <v>MHAH36QMH</v>
      </c>
      <c r="B4273" t="s">
        <v>1299</v>
      </c>
      <c r="C4273">
        <v>134.1</v>
      </c>
      <c r="D4273">
        <v>145.76</v>
      </c>
      <c r="E4273">
        <v>145.77000000000001</v>
      </c>
      <c r="F4273">
        <v>-0.01</v>
      </c>
    </row>
    <row r="4274" spans="1:6" x14ac:dyDescent="0.3">
      <c r="A4274" t="str">
        <f>HYPERLINK("https://us2.cloudbeds.com/connect/10074733072513#/reservations/31682482401521?display=MHD4SC6QG&amp;reservation_id=31682482401521", "MHD4SC6QG")</f>
        <v>MHD4SC6QG</v>
      </c>
      <c r="B4274" t="s">
        <v>1287</v>
      </c>
      <c r="C4274">
        <v>134.1</v>
      </c>
      <c r="D4274">
        <v>145.76</v>
      </c>
      <c r="E4274">
        <v>145.77000000000001</v>
      </c>
      <c r="F4274">
        <v>-0.01</v>
      </c>
    </row>
    <row r="4275" spans="1:6" x14ac:dyDescent="0.3">
      <c r="A4275" t="str">
        <f>HYPERLINK("https://us2.cloudbeds.com/connect/10074733072513#/reservations/31680877883603?display=MHBTSD49C&amp;reservation_id=31680877883603", "MHBTSD49C")</f>
        <v>MHBTSD49C</v>
      </c>
      <c r="B4275" t="s">
        <v>1289</v>
      </c>
      <c r="C4275">
        <v>134.1</v>
      </c>
      <c r="D4275">
        <v>145.76</v>
      </c>
      <c r="E4275">
        <v>145.77000000000001</v>
      </c>
      <c r="F4275">
        <v>-0.01</v>
      </c>
    </row>
    <row r="4276" spans="1:6" x14ac:dyDescent="0.3">
      <c r="A4276" t="str">
        <f>HYPERLINK("https://us2.cloudbeds.com/connect/10074733072513#/reservations/31679201599628?display=MHAK0U1TA&amp;reservation_id=31679201599628", "MHAK0U1TA")</f>
        <v>MHAK0U1TA</v>
      </c>
      <c r="B4276" t="s">
        <v>1292</v>
      </c>
      <c r="C4276">
        <v>134.1</v>
      </c>
      <c r="D4276">
        <v>145.76</v>
      </c>
      <c r="E4276">
        <v>145.77000000000001</v>
      </c>
      <c r="F4276">
        <v>-0.01</v>
      </c>
    </row>
    <row r="4277" spans="1:6" x14ac:dyDescent="0.3">
      <c r="A4277" t="str">
        <f>HYPERLINK("https://us2.cloudbeds.com/connect/10074733072513#/reservations/31682888597671?display=MHDF7T70Z&amp;reservation_id=31682888597671", "MHDF7T70Z")</f>
        <v>MHDF7T70Z</v>
      </c>
      <c r="B4277" t="s">
        <v>1287</v>
      </c>
      <c r="C4277">
        <v>94.16</v>
      </c>
      <c r="D4277">
        <v>102.34</v>
      </c>
      <c r="E4277">
        <v>102.35</v>
      </c>
      <c r="F4277">
        <v>-0.01</v>
      </c>
    </row>
    <row r="4278" spans="1:6" x14ac:dyDescent="0.3">
      <c r="A4278" t="str">
        <f>HYPERLINK("https://us2.cloudbeds.com/connect/10074733072513#/reservations/31680841072770?display=MHBSUBQSK&amp;reservation_id=31680841072770", "MHBSUBQSK")</f>
        <v>MHBSUBQSK</v>
      </c>
      <c r="B4278" t="s">
        <v>1304</v>
      </c>
      <c r="C4278">
        <v>134.1</v>
      </c>
      <c r="D4278">
        <v>145.76</v>
      </c>
      <c r="E4278">
        <v>145.77000000000001</v>
      </c>
      <c r="F4278">
        <v>-0.01</v>
      </c>
    </row>
    <row r="4279" spans="1:6" x14ac:dyDescent="0.3">
      <c r="A4279" t="str">
        <f>HYPERLINK("https://us2.cloudbeds.com/connect/10074733072513#/reservations/31683078873341?display=MHDK3AU54&amp;reservation_id=31683078873341", "MHDK3AU54")</f>
        <v>MHDK3AU54</v>
      </c>
      <c r="B4279" t="s">
        <v>1256</v>
      </c>
      <c r="C4279">
        <v>141.49</v>
      </c>
      <c r="D4279">
        <v>153.79</v>
      </c>
      <c r="E4279">
        <v>153.80000000000001</v>
      </c>
      <c r="F4279">
        <v>-0.01</v>
      </c>
    </row>
    <row r="4280" spans="1:6" x14ac:dyDescent="0.3">
      <c r="A4280" t="str">
        <f>HYPERLINK("https://us2.cloudbeds.com/connect/10074733072513#/reservations/31680865980634?display=MHBTXBU3C&amp;reservation_id=31680865980634", "MHBTXBU3C")</f>
        <v>MHBTXBU3C</v>
      </c>
      <c r="B4280" t="s">
        <v>1304</v>
      </c>
      <c r="C4280">
        <v>268.2</v>
      </c>
      <c r="D4280">
        <v>291.52</v>
      </c>
      <c r="E4280">
        <v>291.52999999999997</v>
      </c>
      <c r="F4280">
        <v>-0.01</v>
      </c>
    </row>
    <row r="4281" spans="1:6" x14ac:dyDescent="0.3">
      <c r="A4281" t="str">
        <f>HYPERLINK("https://us2.cloudbeds.com/connect/10074733072513#/reservations/31680892772545?display=MHBU7VEDF&amp;reservation_id=31680892772545", "MHBU7VEDF")</f>
        <v>MHBU7VEDF</v>
      </c>
      <c r="B4281" t="s">
        <v>1304</v>
      </c>
      <c r="C4281">
        <v>134.1</v>
      </c>
      <c r="D4281">
        <v>145.76</v>
      </c>
      <c r="E4281">
        <v>145.77000000000001</v>
      </c>
      <c r="F4281">
        <v>-0.01</v>
      </c>
    </row>
    <row r="4282" spans="1:6" x14ac:dyDescent="0.3">
      <c r="A4282" t="str">
        <f>HYPERLINK("https://us2.cloudbeds.com/connect/10074733072513#/reservations/31679691395259?display=MHAWHUBA5&amp;reservation_id=31679691395259", "MHAWHUBA5")</f>
        <v>MHAWHUBA5</v>
      </c>
      <c r="B4282" t="s">
        <v>1203</v>
      </c>
      <c r="C4282">
        <v>94.16</v>
      </c>
      <c r="D4282">
        <v>102.34</v>
      </c>
      <c r="E4282">
        <v>102.35</v>
      </c>
      <c r="F4282">
        <v>-0.01</v>
      </c>
    </row>
    <row r="4283" spans="1:6" x14ac:dyDescent="0.3">
      <c r="A4283" t="str">
        <f>HYPERLINK("https://us2.cloudbeds.com/connect/10074733072513#/reservations/31679178776780?display=MHAJEYW8S&amp;reservation_id=31679178776780", "MHAJEYW8S")</f>
        <v>MHAJEYW8S</v>
      </c>
      <c r="B4283" t="s">
        <v>1304</v>
      </c>
      <c r="C4283">
        <v>94.16</v>
      </c>
      <c r="D4283">
        <v>102.34</v>
      </c>
      <c r="E4283">
        <v>102.35</v>
      </c>
      <c r="F4283">
        <v>-0.01</v>
      </c>
    </row>
    <row r="4284" spans="1:6" x14ac:dyDescent="0.3">
      <c r="A4284" t="str">
        <f>HYPERLINK("https://us2.cloudbeds.com/connect/10074733072513#/reservations/31680941645981?display=MHBVG59S7&amp;reservation_id=31680941645981", "MHBVG59S7")</f>
        <v>MHBVG59S7</v>
      </c>
      <c r="B4284" t="s">
        <v>1304</v>
      </c>
      <c r="C4284">
        <v>94.16</v>
      </c>
      <c r="D4284">
        <v>102.34</v>
      </c>
      <c r="E4284">
        <v>102.35</v>
      </c>
      <c r="F4284">
        <v>-0.01</v>
      </c>
    </row>
    <row r="4285" spans="1:6" x14ac:dyDescent="0.3">
      <c r="A4285" t="str">
        <f>HYPERLINK("https://us2.cloudbeds.com/connect/10074733072513#/reservations/31682897420540?display=MHDFFANRD&amp;reservation_id=31682897420540", "MHDFFANRD")</f>
        <v>MHDFFANRD</v>
      </c>
      <c r="B4285" t="s">
        <v>1287</v>
      </c>
      <c r="C4285">
        <v>134.1</v>
      </c>
      <c r="D4285">
        <v>145.76</v>
      </c>
      <c r="E4285">
        <v>145.77000000000001</v>
      </c>
      <c r="F4285">
        <v>-0.01</v>
      </c>
    </row>
    <row r="4286" spans="1:6" x14ac:dyDescent="0.3">
      <c r="A4286" t="str">
        <f>HYPERLINK("https://us2.cloudbeds.com/connect/10074733072513#/reservations/31679698628746?display=MHAWZ0KKZ&amp;reservation_id=31679698628746", "MHAWZ0KKZ")</f>
        <v>MHAWZ0KKZ</v>
      </c>
      <c r="B4286" t="s">
        <v>1203</v>
      </c>
      <c r="C4286">
        <v>94.16</v>
      </c>
      <c r="D4286">
        <v>102.34</v>
      </c>
      <c r="E4286">
        <v>102.35</v>
      </c>
      <c r="F4286">
        <v>-0.01</v>
      </c>
    </row>
    <row r="4287" spans="1:6" x14ac:dyDescent="0.3">
      <c r="A4287" t="str">
        <f>HYPERLINK("https://us2.cloudbeds.com/connect/10074733072513#/reservations/31679710916800?display=MHB01CENR&amp;reservation_id=31679710916800", "MHB01CENR")</f>
        <v>MHB01CENR</v>
      </c>
      <c r="B4287" t="s">
        <v>1203</v>
      </c>
      <c r="C4287">
        <v>94.16</v>
      </c>
      <c r="D4287">
        <v>102.34</v>
      </c>
      <c r="E4287">
        <v>102.35</v>
      </c>
      <c r="F4287">
        <v>-0.01</v>
      </c>
    </row>
    <row r="4288" spans="1:6" x14ac:dyDescent="0.3">
      <c r="A4288" t="str">
        <f>HYPERLINK("https://us2.cloudbeds.com/connect/10074733072513#/reservations/31679710912716?display=MHB01CEM8&amp;reservation_id=31679710912716", "MHB01CEM8")</f>
        <v>MHB01CEM8</v>
      </c>
      <c r="B4288" t="s">
        <v>1203</v>
      </c>
      <c r="C4288">
        <v>134.1</v>
      </c>
      <c r="D4288">
        <v>145.76</v>
      </c>
      <c r="E4288">
        <v>145.77000000000001</v>
      </c>
      <c r="F4288">
        <v>-0.01</v>
      </c>
    </row>
    <row r="4289" spans="1:6" x14ac:dyDescent="0.3">
      <c r="A4289" t="str">
        <f>HYPERLINK("https://us2.cloudbeds.com/connect/10074733072513#/reservations/31679651537036?display=MHAVHA7X7&amp;reservation_id=31679651537036", "MHAVHA7X7")</f>
        <v>MHAVHA7X7</v>
      </c>
      <c r="B4289" t="s">
        <v>1203</v>
      </c>
      <c r="C4289">
        <v>94.16</v>
      </c>
      <c r="D4289">
        <v>102.34</v>
      </c>
      <c r="E4289">
        <v>102.35</v>
      </c>
      <c r="F4289">
        <v>-0.01</v>
      </c>
    </row>
    <row r="4290" spans="1:6" x14ac:dyDescent="0.3">
      <c r="A4290" t="str">
        <f>HYPERLINK("https://us2.cloudbeds.com/connect/10074733072513#/reservations/31680958845140?display=MHBVUM04A&amp;reservation_id=31680958845140", "MHBVUM04A")</f>
        <v>MHBVUM04A</v>
      </c>
      <c r="B4290" t="s">
        <v>1203</v>
      </c>
      <c r="C4290">
        <v>94.16</v>
      </c>
      <c r="D4290">
        <v>102.34</v>
      </c>
      <c r="E4290">
        <v>102.35</v>
      </c>
      <c r="F4290">
        <v>-0.01</v>
      </c>
    </row>
    <row r="4291" spans="1:6" x14ac:dyDescent="0.3">
      <c r="A4291" t="str">
        <f>HYPERLINK("https://us2.cloudbeds.com/connect/10074733072513#/reservations/31679160398045?display=MHAXW5XXG&amp;reservation_id=31679160398045", "MHAXW5XXG")</f>
        <v>MHAXW5XXG</v>
      </c>
      <c r="B4291" t="s">
        <v>1304</v>
      </c>
      <c r="C4291">
        <v>134.1</v>
      </c>
      <c r="D4291">
        <v>145.76</v>
      </c>
      <c r="E4291">
        <v>145.77000000000001</v>
      </c>
      <c r="F4291">
        <v>-0.01</v>
      </c>
    </row>
    <row r="4292" spans="1:6" x14ac:dyDescent="0.3">
      <c r="A4292" t="str">
        <f>HYPERLINK("https://us2.cloudbeds.com/connect/10074733072513#/reservations/31681471787153?display=MHCC16C8M&amp;reservation_id=31681471787153", "MHCC16C8M")</f>
        <v>MHCC16C8M</v>
      </c>
      <c r="B4292" t="s">
        <v>1310</v>
      </c>
      <c r="C4292">
        <v>268.2</v>
      </c>
      <c r="D4292">
        <v>291.52</v>
      </c>
      <c r="E4292">
        <v>291.52999999999997</v>
      </c>
      <c r="F4292">
        <v>-0.01</v>
      </c>
    </row>
    <row r="4293" spans="1:6" x14ac:dyDescent="0.3">
      <c r="A4293" t="str">
        <f>HYPERLINK("https://us2.cloudbeds.com/connect/10074733072513#/reservations/31683576168596?display=MHDWQYT9A&amp;reservation_id=31683576168596", "MHDWQYT9A")</f>
        <v>MHDWQYT9A</v>
      </c>
      <c r="B4293" t="s">
        <v>1285</v>
      </c>
      <c r="C4293">
        <v>304.2</v>
      </c>
      <c r="D4293">
        <v>330.66</v>
      </c>
      <c r="E4293">
        <v>330.67</v>
      </c>
      <c r="F4293">
        <v>-0.01</v>
      </c>
    </row>
    <row r="4294" spans="1:6" x14ac:dyDescent="0.3">
      <c r="A4294" t="str">
        <f>HYPERLINK("https://us2.cloudbeds.com/connect/10074733072513#/reservations/31681247826052?display=MHC6ABAMY&amp;reservation_id=31681247826052", "MHC6ABAMY")</f>
        <v>MHC6ABAMY</v>
      </c>
      <c r="B4294" t="s">
        <v>1244</v>
      </c>
      <c r="C4294">
        <v>170.1</v>
      </c>
      <c r="D4294">
        <v>184.89</v>
      </c>
      <c r="E4294">
        <v>184.9</v>
      </c>
      <c r="F4294">
        <v>-0.01</v>
      </c>
    </row>
    <row r="4295" spans="1:6" x14ac:dyDescent="0.3">
      <c r="A4295" t="str">
        <f>HYPERLINK("https://us2.cloudbeds.com/connect/10074733072513#/reservations/31679861481605?display=MHB3TB83S&amp;reservation_id=31679861481605", "MHB3TB83S")</f>
        <v>MHB3TB83S</v>
      </c>
      <c r="B4295" t="s">
        <v>1312</v>
      </c>
      <c r="C4295">
        <v>134.1</v>
      </c>
      <c r="D4295">
        <v>145.76</v>
      </c>
      <c r="E4295">
        <v>145.77000000000001</v>
      </c>
      <c r="F4295">
        <v>-0.01</v>
      </c>
    </row>
    <row r="4296" spans="1:6" x14ac:dyDescent="0.3">
      <c r="A4296" t="str">
        <f>HYPERLINK("https://us2.cloudbeds.com/connect/10074733072513#/reservations/31679978635416?display=MHB6T47CB&amp;reservation_id=31679978635416", "MHB6T47CB")</f>
        <v>MHB6T47CB</v>
      </c>
      <c r="B4296" t="s">
        <v>1211</v>
      </c>
      <c r="C4296">
        <v>144.1</v>
      </c>
      <c r="D4296">
        <v>156.63</v>
      </c>
      <c r="E4296">
        <v>156.63999999999999</v>
      </c>
      <c r="F4296">
        <v>-0.01</v>
      </c>
    </row>
    <row r="4297" spans="1:6" x14ac:dyDescent="0.3">
      <c r="A4297" t="str">
        <f>HYPERLINK("https://us2.cloudbeds.com/connect/10074733072513#/reservations/31680137003151?display=MHBAUM19K&amp;reservation_id=31680137003151", "MHBAUM19K")</f>
        <v>MHBAUM19K</v>
      </c>
      <c r="B4297" t="s">
        <v>1215</v>
      </c>
      <c r="C4297">
        <v>134.1</v>
      </c>
      <c r="D4297">
        <v>145.76</v>
      </c>
      <c r="E4297">
        <v>145.77000000000001</v>
      </c>
      <c r="F4297">
        <v>-0.01</v>
      </c>
    </row>
    <row r="4298" spans="1:6" x14ac:dyDescent="0.3">
      <c r="A4298" t="str">
        <f>HYPERLINK("https://us2.cloudbeds.com/connect/10074733072513#/reservations/31680246710407?display=MHBDZ5QXU&amp;reservation_id=31680246710407", "MHBDZ5QXU")</f>
        <v>MHBDZ5QXU</v>
      </c>
      <c r="B4298" t="s">
        <v>1211</v>
      </c>
      <c r="C4298">
        <v>134.1</v>
      </c>
      <c r="D4298">
        <v>145.76</v>
      </c>
      <c r="E4298">
        <v>145.77000000000001</v>
      </c>
      <c r="F4298">
        <v>-0.01</v>
      </c>
    </row>
    <row r="4299" spans="1:6" x14ac:dyDescent="0.3">
      <c r="A4299" t="str">
        <f>HYPERLINK("https://us2.cloudbeds.com/connect/10074733072513#/reservations/31679844143311?display=MHB3ENPR0&amp;reservation_id=31679844143311", "MHB3ENPR0")</f>
        <v>MHB3ENPR0</v>
      </c>
      <c r="B4299" t="s">
        <v>1312</v>
      </c>
      <c r="C4299">
        <v>134.1</v>
      </c>
      <c r="D4299">
        <v>145.76</v>
      </c>
      <c r="E4299">
        <v>145.77000000000001</v>
      </c>
      <c r="F4299">
        <v>-0.01</v>
      </c>
    </row>
    <row r="4300" spans="1:6" x14ac:dyDescent="0.3">
      <c r="A4300" t="str">
        <f>HYPERLINK("https://us2.cloudbeds.com/connect/10074733072513#/reservations/31679263613140?display=MHAYK6M8Y&amp;reservation_id=31679263613140", "MHAYK6M8Y")</f>
        <v>MHAYK6M8Y</v>
      </c>
      <c r="B4300" t="s">
        <v>1312</v>
      </c>
      <c r="C4300">
        <v>134.1</v>
      </c>
      <c r="D4300">
        <v>145.76</v>
      </c>
      <c r="E4300">
        <v>145.77000000000001</v>
      </c>
      <c r="F4300">
        <v>-0.01</v>
      </c>
    </row>
    <row r="4301" spans="1:6" x14ac:dyDescent="0.3">
      <c r="A4301" t="str">
        <f>HYPERLINK("https://us2.cloudbeds.com/connect/10074733072513#/reservations/31680477298891?display=MHBJKK8TZ&amp;reservation_id=31680477298891", "MHBJKK8TZ")</f>
        <v>MHBJKK8TZ</v>
      </c>
      <c r="B4301" t="s">
        <v>1310</v>
      </c>
      <c r="C4301">
        <v>94.16</v>
      </c>
      <c r="D4301">
        <v>102.34</v>
      </c>
      <c r="E4301">
        <v>102.35</v>
      </c>
      <c r="F4301">
        <v>-0.01</v>
      </c>
    </row>
    <row r="4302" spans="1:6" x14ac:dyDescent="0.3">
      <c r="A4302" t="str">
        <f>HYPERLINK("https://us2.cloudbeds.com/connect/10074733072513#/reservations/31679626318043?display=MHAUT1FKA&amp;reservation_id=31679626318043", "MHAUT1FKA")</f>
        <v>MHAUT1FKA</v>
      </c>
      <c r="B4302" t="s">
        <v>1291</v>
      </c>
      <c r="C4302">
        <v>134.1</v>
      </c>
      <c r="D4302">
        <v>145.76</v>
      </c>
      <c r="E4302">
        <v>145.77000000000001</v>
      </c>
      <c r="F4302">
        <v>-0.01</v>
      </c>
    </row>
    <row r="4303" spans="1:6" x14ac:dyDescent="0.3">
      <c r="A4303" t="str">
        <f>HYPERLINK("https://us2.cloudbeds.com/connect/10074733072513#/reservations/31681456177370?display=MHCBY106V&amp;reservation_id=31681456177370", "MHCBY106V")</f>
        <v>MHCBY106V</v>
      </c>
      <c r="B4303" t="s">
        <v>1310</v>
      </c>
      <c r="C4303">
        <v>134.1</v>
      </c>
      <c r="D4303">
        <v>145.76</v>
      </c>
      <c r="E4303">
        <v>145.77000000000001</v>
      </c>
      <c r="F4303">
        <v>-0.01</v>
      </c>
    </row>
    <row r="4304" spans="1:6" x14ac:dyDescent="0.3">
      <c r="A4304" t="str">
        <f>HYPERLINK("https://us2.cloudbeds.com/connect/10074733072513#/reservations/31679073693850?display=MHAGP1TCY&amp;reservation_id=31679073693850", "MHAGP1TCY")</f>
        <v>MHAGP1TCY</v>
      </c>
      <c r="B4304" t="s">
        <v>1291</v>
      </c>
      <c r="C4304">
        <v>94.16</v>
      </c>
      <c r="D4304">
        <v>102.34</v>
      </c>
      <c r="E4304">
        <v>102.35</v>
      </c>
      <c r="F4304">
        <v>-0.01</v>
      </c>
    </row>
    <row r="4305" spans="1:6" x14ac:dyDescent="0.3">
      <c r="A4305" t="str">
        <f>HYPERLINK("https://us2.cloudbeds.com/connect/10074733072513#/reservations/31679215427828?display=MHAKCXRVM&amp;reservation_id=31679215427828", "MHAKCXRVM")</f>
        <v>MHAKCXRVM</v>
      </c>
      <c r="B4305" t="s">
        <v>1292</v>
      </c>
      <c r="C4305">
        <v>134.1</v>
      </c>
      <c r="D4305">
        <v>145.76</v>
      </c>
      <c r="E4305">
        <v>145.77000000000001</v>
      </c>
      <c r="F4305">
        <v>-0.01</v>
      </c>
    </row>
    <row r="4306" spans="1:6" x14ac:dyDescent="0.3">
      <c r="A4306" t="str">
        <f>HYPERLINK("https://us2.cloudbeds.com/connect/10074733072513#/reservations/31681388273848?display=MHC9TPG6F&amp;reservation_id=31681388273848", "MHC9TPG6F")</f>
        <v>MHC9TPG6F</v>
      </c>
      <c r="B4306" t="s">
        <v>1313</v>
      </c>
      <c r="C4306">
        <v>268.2</v>
      </c>
      <c r="D4306">
        <v>291.52</v>
      </c>
      <c r="E4306">
        <v>291.52999999999997</v>
      </c>
      <c r="F4306">
        <v>-0.01</v>
      </c>
    </row>
    <row r="4307" spans="1:6" x14ac:dyDescent="0.3">
      <c r="A4307" t="str">
        <f>HYPERLINK("https://us2.cloudbeds.com/connect/10074733072513#/reservations/31683501650081?display=MHDUTR9TG&amp;reservation_id=31683501650081", "MHDUTR9TG")</f>
        <v>MHDUTR9TG</v>
      </c>
      <c r="B4307" t="s">
        <v>1285</v>
      </c>
      <c r="C4307">
        <v>170.1</v>
      </c>
      <c r="D4307">
        <v>184.89</v>
      </c>
      <c r="E4307">
        <v>184.9</v>
      </c>
      <c r="F4307">
        <v>-0.01</v>
      </c>
    </row>
    <row r="4308" spans="1:6" x14ac:dyDescent="0.3">
      <c r="A4308" t="str">
        <f>HYPERLINK("https://us2.cloudbeds.com/connect/10074733072513#/reservations/31679592280215?display=MHAU0BAXW&amp;reservation_id=31679592280215", "MHAU0BAXW")</f>
        <v>MHAU0BAXW</v>
      </c>
      <c r="B4308" t="s">
        <v>1291</v>
      </c>
      <c r="C4308">
        <v>134.1</v>
      </c>
      <c r="D4308">
        <v>145.76</v>
      </c>
      <c r="E4308">
        <v>145.77000000000001</v>
      </c>
      <c r="F4308">
        <v>-0.01</v>
      </c>
    </row>
    <row r="4309" spans="1:6" x14ac:dyDescent="0.3">
      <c r="A4309" t="str">
        <f>HYPERLINK("https://us2.cloudbeds.com/connect/10074733072513#/reservations/31679608058054?display=MHAUDYBVA&amp;reservation_id=31679608058054", "MHAUDYBVA")</f>
        <v>MHAUDYBVA</v>
      </c>
      <c r="B4309" t="s">
        <v>1291</v>
      </c>
      <c r="C4309">
        <v>94.16</v>
      </c>
      <c r="D4309">
        <v>102.34</v>
      </c>
      <c r="E4309">
        <v>102.35</v>
      </c>
      <c r="F4309">
        <v>-0.01</v>
      </c>
    </row>
    <row r="4310" spans="1:6" x14ac:dyDescent="0.3">
      <c r="A4310" t="str">
        <f>HYPERLINK("https://us2.cloudbeds.com/connect/10074733072513#/reservations/31681347833992?display=MHC8SM6B9&amp;reservation_id=31681347833992", "MHC8SM6B9")</f>
        <v>MHC8SM6B9</v>
      </c>
      <c r="B4310" t="s">
        <v>1310</v>
      </c>
      <c r="C4310">
        <v>234.84</v>
      </c>
      <c r="D4310">
        <v>255.26</v>
      </c>
      <c r="E4310">
        <v>255.27</v>
      </c>
      <c r="F4310">
        <v>-0.01</v>
      </c>
    </row>
    <row r="4311" spans="1:6" x14ac:dyDescent="0.3">
      <c r="A4311" t="str">
        <f>HYPERLINK("https://us2.cloudbeds.com/connect/10074733072513#/reservations/31679642206348?display=MHAV9EJE3&amp;reservation_id=31679642206348", "MHAV9EJE3")</f>
        <v>MHAV9EJE3</v>
      </c>
      <c r="B4311" t="s">
        <v>1291</v>
      </c>
      <c r="C4311">
        <v>94.16</v>
      </c>
      <c r="D4311">
        <v>102.34</v>
      </c>
      <c r="E4311">
        <v>102.35</v>
      </c>
      <c r="F4311">
        <v>-0.01</v>
      </c>
    </row>
    <row r="4312" spans="1:6" x14ac:dyDescent="0.3">
      <c r="A4312" t="str">
        <f>HYPERLINK("https://us2.cloudbeds.com/connect/10074733072513#/reservations/31679248933005?display=MHAY7R5SS&amp;reservation_id=31679248933005", "MHAY7R5SS")</f>
        <v>MHAY7R5SS</v>
      </c>
      <c r="B4312" t="s">
        <v>1292</v>
      </c>
      <c r="C4312">
        <v>94.16</v>
      </c>
      <c r="D4312">
        <v>102.34</v>
      </c>
      <c r="E4312">
        <v>102.35</v>
      </c>
      <c r="F4312">
        <v>-0.01</v>
      </c>
    </row>
    <row r="4313" spans="1:6" x14ac:dyDescent="0.3">
      <c r="A4313" t="str">
        <f>HYPERLINK("https://us2.cloudbeds.com/connect/10074733072513#/reservations/31679920943330?display=MHB5DFS8A&amp;reservation_id=31679920943330", "MHB5DFS8A")</f>
        <v>MHB5DFS8A</v>
      </c>
      <c r="B4313" t="s">
        <v>1211</v>
      </c>
      <c r="C4313">
        <v>134.1</v>
      </c>
      <c r="D4313">
        <v>145.76</v>
      </c>
      <c r="E4313">
        <v>145.77000000000001</v>
      </c>
      <c r="F4313">
        <v>-0.01</v>
      </c>
    </row>
    <row r="4314" spans="1:6" x14ac:dyDescent="0.3">
      <c r="A4314" t="str">
        <f>HYPERLINK("https://us2.cloudbeds.com/connect/10074733072513#/reservations/31680069607572?display=MHB96RYNB&amp;reservation_id=31680069607572", "MHB96RYNB")</f>
        <v>MHB96RYNB</v>
      </c>
      <c r="B4314" t="s">
        <v>1306</v>
      </c>
      <c r="C4314">
        <v>134.1</v>
      </c>
      <c r="D4314">
        <v>145.76</v>
      </c>
      <c r="E4314">
        <v>145.77000000000001</v>
      </c>
      <c r="F4314">
        <v>-0.01</v>
      </c>
    </row>
    <row r="4315" spans="1:6" x14ac:dyDescent="0.3">
      <c r="A4315" t="str">
        <f>HYPERLINK("https://us2.cloudbeds.com/connect/10074733072513#/reservations/31681932267714?display=MHCNQFUE2&amp;reservation_id=31681932267714", "MHCNQFUE2")</f>
        <v>MHCNQFUE2</v>
      </c>
      <c r="B4315" t="s">
        <v>1202</v>
      </c>
      <c r="C4315">
        <v>134.1</v>
      </c>
      <c r="D4315">
        <v>145.76</v>
      </c>
      <c r="E4315">
        <v>145.77000000000001</v>
      </c>
      <c r="F4315">
        <v>-0.01</v>
      </c>
    </row>
    <row r="4316" spans="1:6" x14ac:dyDescent="0.3">
      <c r="A4316" t="str">
        <f>HYPERLINK("https://us2.cloudbeds.com/connect/10074733072513#/reservations/31680866398368?display=MHBTXNHMW&amp;reservation_id=31680866398368", "MHBTXNHMW")</f>
        <v>MHBTXNHMW</v>
      </c>
      <c r="B4316" t="s">
        <v>1289</v>
      </c>
      <c r="C4316">
        <v>134.1</v>
      </c>
      <c r="D4316">
        <v>145.76</v>
      </c>
      <c r="E4316">
        <v>145.77000000000001</v>
      </c>
      <c r="F4316">
        <v>-0.01</v>
      </c>
    </row>
    <row r="4317" spans="1:6" x14ac:dyDescent="0.3">
      <c r="A4317" t="str">
        <f>HYPERLINK("https://us2.cloudbeds.com/connect/10074733072513#/reservations/31680906195172?display=MHBUJ8V1Z&amp;reservation_id=31680906195172", "MHBUJ8V1Z")</f>
        <v>MHBUJ8V1Z</v>
      </c>
      <c r="B4317" t="s">
        <v>1289</v>
      </c>
      <c r="C4317">
        <v>134.1</v>
      </c>
      <c r="D4317">
        <v>145.76</v>
      </c>
      <c r="E4317">
        <v>145.77000000000001</v>
      </c>
      <c r="F4317">
        <v>-0.01</v>
      </c>
    </row>
    <row r="4318" spans="1:6" x14ac:dyDescent="0.3">
      <c r="A4318" t="str">
        <f>HYPERLINK("https://us2.cloudbeds.com/connect/10074733072513#/reservations/31681760715004?display=MHCJDR733&amp;reservation_id=31681760715004", "MHCJDR733")</f>
        <v>MHCJDR733</v>
      </c>
      <c r="B4318" t="s">
        <v>1201</v>
      </c>
      <c r="C4318">
        <v>430.2</v>
      </c>
      <c r="D4318">
        <v>467.62</v>
      </c>
      <c r="E4318">
        <v>467.63</v>
      </c>
      <c r="F4318">
        <v>-0.01</v>
      </c>
    </row>
    <row r="4319" spans="1:6" x14ac:dyDescent="0.3">
      <c r="A4319" t="str">
        <f>HYPERLINK("https://us2.cloudbeds.com/connect/10074733072513#/reservations/31679971025035?display=MHB6MNEVZ&amp;reservation_id=31679971025035", "MHB6MNEVZ")</f>
        <v>MHB6MNEVZ</v>
      </c>
      <c r="B4319" t="s">
        <v>1289</v>
      </c>
      <c r="C4319">
        <v>134.1</v>
      </c>
      <c r="D4319">
        <v>145.76</v>
      </c>
      <c r="E4319">
        <v>145.77000000000001</v>
      </c>
      <c r="F4319">
        <v>-0.01</v>
      </c>
    </row>
    <row r="4320" spans="1:6" x14ac:dyDescent="0.3">
      <c r="A4320" t="str">
        <f>HYPERLINK("https://us2.cloudbeds.com/connect/10074733072513#/reservations/31680033231066?display=MHB895E3W&amp;reservation_id=31680033231066", "MHB895E3W")</f>
        <v>MHB895E3W</v>
      </c>
      <c r="B4320" t="s">
        <v>1306</v>
      </c>
      <c r="C4320">
        <v>134.1</v>
      </c>
      <c r="D4320">
        <v>145.76</v>
      </c>
      <c r="E4320">
        <v>145.77000000000001</v>
      </c>
      <c r="F4320">
        <v>-0.01</v>
      </c>
    </row>
    <row r="4321" spans="1:6" x14ac:dyDescent="0.3">
      <c r="A4321" t="str">
        <f>HYPERLINK("https://us2.cloudbeds.com/connect/10074733072513#/reservations/31681547178203?display=MHCDVP7SV&amp;reservation_id=31681547178203", "MHCDVP7SV")</f>
        <v>MHCDVP7SV</v>
      </c>
      <c r="B4321" t="s">
        <v>1300</v>
      </c>
      <c r="C4321">
        <v>134.1</v>
      </c>
      <c r="D4321">
        <v>145.76</v>
      </c>
      <c r="E4321">
        <v>145.77000000000001</v>
      </c>
      <c r="F4321">
        <v>-0.01</v>
      </c>
    </row>
    <row r="4322" spans="1:6" x14ac:dyDescent="0.3">
      <c r="A4322" t="str">
        <f>HYPERLINK("https://us2.cloudbeds.com/connect/10074733072513#/reservations/31684679065837?display=MHERWYKZR&amp;reservation_id=31684679065837", "MHERWYKZR")</f>
        <v>MHERWYKZR</v>
      </c>
      <c r="B4322" t="s">
        <v>1300</v>
      </c>
      <c r="C4322">
        <v>134.1</v>
      </c>
      <c r="D4322">
        <v>145.76</v>
      </c>
      <c r="E4322">
        <v>145.77000000000001</v>
      </c>
      <c r="F4322">
        <v>-0.01</v>
      </c>
    </row>
    <row r="4323" spans="1:6" x14ac:dyDescent="0.3">
      <c r="A4323" t="str">
        <f>HYPERLINK("https://us2.cloudbeds.com/connect/10074733072513#/reservations/31680012210323?display=MHB7ZEGAP&amp;reservation_id=31680012210323", "MHB7ZEGAP")</f>
        <v>MHB7ZEGAP</v>
      </c>
      <c r="B4323" t="s">
        <v>1306</v>
      </c>
      <c r="C4323">
        <v>134.1</v>
      </c>
      <c r="D4323">
        <v>145.76</v>
      </c>
      <c r="E4323">
        <v>145.77000000000001</v>
      </c>
      <c r="F4323">
        <v>-0.01</v>
      </c>
    </row>
    <row r="4324" spans="1:6" x14ac:dyDescent="0.3">
      <c r="A4324" t="str">
        <f>HYPERLINK("https://us2.cloudbeds.com/connect/10074733072513#/reservations/31686013399293?display=MHFT2QDWW&amp;reservation_id=31686013399293", "MHFT2QDWW")</f>
        <v>MHFT2QDWW</v>
      </c>
      <c r="B4324" t="s">
        <v>1316</v>
      </c>
      <c r="C4324">
        <v>170.1</v>
      </c>
      <c r="D4324">
        <v>184.89</v>
      </c>
      <c r="E4324">
        <v>184.9</v>
      </c>
      <c r="F4324">
        <v>-0.01</v>
      </c>
    </row>
    <row r="4325" spans="1:6" x14ac:dyDescent="0.3">
      <c r="A4325" t="str">
        <f>HYPERLINK("https://us2.cloudbeds.com/connect/10074733072513#/reservations/31684644499679?display=MHER3GPXG&amp;reservation_id=31684644499679", "MHER3GPXG")</f>
        <v>MHER3GPXG</v>
      </c>
      <c r="B4325" t="s">
        <v>1300</v>
      </c>
      <c r="C4325">
        <v>134.1</v>
      </c>
      <c r="D4325">
        <v>145.76</v>
      </c>
      <c r="E4325">
        <v>145.77000000000001</v>
      </c>
      <c r="F4325">
        <v>-0.01</v>
      </c>
    </row>
    <row r="4326" spans="1:6" x14ac:dyDescent="0.3">
      <c r="A4326" t="str">
        <f>HYPERLINK("https://us2.cloudbeds.com/connect/10074733072513#/reservations/31679933636835?display=MHB5Z62BW&amp;reservation_id=31679933636835", "MHB5Z62BW")</f>
        <v>MHB5Z62BW</v>
      </c>
      <c r="B4326" t="s">
        <v>1308</v>
      </c>
      <c r="C4326">
        <v>134.1</v>
      </c>
      <c r="D4326">
        <v>145.76</v>
      </c>
      <c r="E4326">
        <v>145.77000000000001</v>
      </c>
      <c r="F4326">
        <v>-0.01</v>
      </c>
    </row>
    <row r="4327" spans="1:6" x14ac:dyDescent="0.3">
      <c r="A4327" t="str">
        <f>HYPERLINK("https://us2.cloudbeds.com/connect/10074733072513#/reservations/31681992515775?display=MHCPB9DKT&amp;reservation_id=31681992515775", "MHCPB9DKT")</f>
        <v>MHCPB9DKT</v>
      </c>
      <c r="B4327" t="s">
        <v>1308</v>
      </c>
      <c r="C4327">
        <v>134.1</v>
      </c>
      <c r="D4327">
        <v>145.76</v>
      </c>
      <c r="E4327">
        <v>145.77000000000001</v>
      </c>
      <c r="F4327">
        <v>-0.01</v>
      </c>
    </row>
    <row r="4328" spans="1:6" x14ac:dyDescent="0.3">
      <c r="A4328" t="str">
        <f>HYPERLINK("https://us2.cloudbeds.com/connect/10074733072513#/reservations/31679931863224?display=MHB5MMNN6&amp;reservation_id=31679931863224", "MHB5MMNN6")</f>
        <v>MHB5MMNN6</v>
      </c>
      <c r="B4328" t="s">
        <v>1308</v>
      </c>
      <c r="C4328">
        <v>134.1</v>
      </c>
      <c r="D4328">
        <v>145.76</v>
      </c>
      <c r="E4328">
        <v>145.77000000000001</v>
      </c>
      <c r="F4328">
        <v>-0.01</v>
      </c>
    </row>
    <row r="4329" spans="1:6" x14ac:dyDescent="0.3">
      <c r="A4329" t="str">
        <f>HYPERLINK("https://us2.cloudbeds.com/connect/10074733072513#/reservations/31679533777097?display=MHASH0CN7&amp;reservation_id=31679533777097", "MHASH0CN7")</f>
        <v>MHASH0CN7</v>
      </c>
      <c r="B4329" t="s">
        <v>1202</v>
      </c>
      <c r="C4329">
        <v>117.42</v>
      </c>
      <c r="D4329">
        <v>127.63</v>
      </c>
      <c r="E4329">
        <v>127.64</v>
      </c>
      <c r="F4329">
        <v>-0.01</v>
      </c>
    </row>
    <row r="4330" spans="1:6" x14ac:dyDescent="0.3">
      <c r="A4330" t="str">
        <f>HYPERLINK("https://us2.cloudbeds.com/connect/10074733072513#/reservations/31680841072827?display=MHBSUBQUB&amp;reservation_id=31680841072827", "MHBSUBQUB")</f>
        <v>MHBSUBQUB</v>
      </c>
      <c r="B4330" t="s">
        <v>1254</v>
      </c>
      <c r="C4330">
        <v>430.2</v>
      </c>
      <c r="D4330">
        <v>467.62</v>
      </c>
      <c r="E4330">
        <v>467.63</v>
      </c>
      <c r="F4330">
        <v>-0.01</v>
      </c>
    </row>
    <row r="4331" spans="1:6" x14ac:dyDescent="0.3">
      <c r="A4331" t="str">
        <f>HYPERLINK("https://us2.cloudbeds.com/connect/10074733072513#/reservations/31679942979727?display=MHB5W21MU&amp;reservation_id=31679942979727", "MHB5W21MU")</f>
        <v>MHB5W21MU</v>
      </c>
      <c r="B4331" t="s">
        <v>1308</v>
      </c>
      <c r="C4331">
        <v>134.1</v>
      </c>
      <c r="D4331">
        <v>145.76</v>
      </c>
      <c r="E4331">
        <v>145.77000000000001</v>
      </c>
      <c r="F4331">
        <v>-0.01</v>
      </c>
    </row>
    <row r="4332" spans="1:6" x14ac:dyDescent="0.3">
      <c r="A4332" t="str">
        <f>HYPERLINK("https://us2.cloudbeds.com/connect/10074733072513#/reservations/31682103246976?display=MHCRWEW25&amp;reservation_id=31682103246976", "MHCRWEW25")</f>
        <v>MHCRWEW25</v>
      </c>
      <c r="B4332" t="s">
        <v>1308</v>
      </c>
      <c r="C4332">
        <v>134.1</v>
      </c>
      <c r="D4332">
        <v>145.76</v>
      </c>
      <c r="E4332">
        <v>145.77000000000001</v>
      </c>
      <c r="F4332">
        <v>-0.01</v>
      </c>
    </row>
    <row r="4333" spans="1:6" x14ac:dyDescent="0.3">
      <c r="A4333" t="str">
        <f>HYPERLINK("https://us2.cloudbeds.com/connect/10074733072513#/reservations/31682074865817?display=MHCRENUGN&amp;reservation_id=31682074865817", "MHCRENUGN")</f>
        <v>MHCRENUGN</v>
      </c>
      <c r="B4333" t="s">
        <v>1308</v>
      </c>
      <c r="C4333">
        <v>134.1</v>
      </c>
      <c r="D4333">
        <v>145.76</v>
      </c>
      <c r="E4333">
        <v>145.77000000000001</v>
      </c>
      <c r="F4333">
        <v>-0.01</v>
      </c>
    </row>
    <row r="4334" spans="1:6" x14ac:dyDescent="0.3">
      <c r="A4334" t="str">
        <f>HYPERLINK("https://us2.cloudbeds.com/connect/10074733072513#/reservations/31682070167748?display=MHCRAP6CW&amp;reservation_id=31682070167748", "MHCRAP6CW")</f>
        <v>MHCRAP6CW</v>
      </c>
      <c r="B4334" t="s">
        <v>1308</v>
      </c>
      <c r="C4334">
        <v>134.1</v>
      </c>
      <c r="D4334">
        <v>145.76</v>
      </c>
      <c r="E4334">
        <v>145.77000000000001</v>
      </c>
      <c r="F4334">
        <v>-0.01</v>
      </c>
    </row>
    <row r="4335" spans="1:6" x14ac:dyDescent="0.3">
      <c r="A4335" t="str">
        <f>HYPERLINK("https://us2.cloudbeds.com/connect/10074733072513#/reservations/31682051473555?display=MHCQS0009&amp;reservation_id=31682051473555", "MHCQS0009")</f>
        <v>MHCQS0009</v>
      </c>
      <c r="B4335" t="s">
        <v>1308</v>
      </c>
      <c r="C4335">
        <v>134.1</v>
      </c>
      <c r="D4335">
        <v>145.76</v>
      </c>
      <c r="E4335">
        <v>145.77000000000001</v>
      </c>
      <c r="F4335">
        <v>-0.01</v>
      </c>
    </row>
    <row r="4336" spans="1:6" x14ac:dyDescent="0.3">
      <c r="A4336" t="str">
        <f>HYPERLINK("https://us2.cloudbeds.com/connect/10074733072513#/reservations/31682020495514?display=MHCQ1SWMP&amp;reservation_id=31682020495514", "MHCQ1SWMP")</f>
        <v>MHCQ1SWMP</v>
      </c>
      <c r="B4336" t="s">
        <v>1308</v>
      </c>
      <c r="C4336">
        <v>134.1</v>
      </c>
      <c r="D4336">
        <v>145.76</v>
      </c>
      <c r="E4336">
        <v>145.77000000000001</v>
      </c>
      <c r="F4336">
        <v>-0.01</v>
      </c>
    </row>
    <row r="4337" spans="1:6" x14ac:dyDescent="0.3">
      <c r="A4337" t="str">
        <f>HYPERLINK("https://us2.cloudbeds.com/connect/10074733072513#/reservations/31681998811284?display=MHCPGJJKT&amp;reservation_id=31681998811284", "MHCPGJJKT")</f>
        <v>MHCPGJJKT</v>
      </c>
      <c r="B4337" t="s">
        <v>1308</v>
      </c>
      <c r="C4337">
        <v>134.1</v>
      </c>
      <c r="D4337">
        <v>145.76</v>
      </c>
      <c r="E4337">
        <v>145.77000000000001</v>
      </c>
      <c r="F4337">
        <v>-0.01</v>
      </c>
    </row>
    <row r="4338" spans="1:6" x14ac:dyDescent="0.3">
      <c r="A4338" t="str">
        <f>HYPERLINK("https://us2.cloudbeds.com/connect/10074733072513#/reservations/31681984995562?display=MHCP4V50Y&amp;reservation_id=31681984995562", "MHCP4V50Y")</f>
        <v>MHCP4V50Y</v>
      </c>
      <c r="B4338" t="s">
        <v>1308</v>
      </c>
      <c r="C4338">
        <v>134.1</v>
      </c>
      <c r="D4338">
        <v>145.76</v>
      </c>
      <c r="E4338">
        <v>145.77000000000001</v>
      </c>
      <c r="F4338">
        <v>-0.01</v>
      </c>
    </row>
    <row r="4339" spans="1:6" x14ac:dyDescent="0.3">
      <c r="A4339" t="str">
        <f>HYPERLINK("https://us2.cloudbeds.com/connect/10074733072513#/reservations/31682246111428?display=MHCVR42RJ&amp;reservation_id=31682246111428", "MHCVR42RJ")</f>
        <v>MHCVR42RJ</v>
      </c>
      <c r="B4339" t="s">
        <v>1317</v>
      </c>
      <c r="C4339">
        <v>103.2</v>
      </c>
      <c r="D4339">
        <v>112.17</v>
      </c>
      <c r="E4339">
        <v>112.18</v>
      </c>
      <c r="F4339">
        <v>-0.01</v>
      </c>
    </row>
    <row r="4340" spans="1:6" x14ac:dyDescent="0.3">
      <c r="A4340" t="str">
        <f>HYPERLINK("https://us2.cloudbeds.com/connect/10074733072513#/reservations/31687951798483?display=MHHCKA7TC&amp;reservation_id=31687951798483", "MHHCKA7TC")</f>
        <v>MHHCKA7TC</v>
      </c>
      <c r="B4340" t="s">
        <v>1295</v>
      </c>
      <c r="C4340">
        <v>304.2</v>
      </c>
      <c r="D4340">
        <v>330.66</v>
      </c>
      <c r="E4340">
        <v>330.67</v>
      </c>
      <c r="F4340">
        <v>-0.01</v>
      </c>
    </row>
    <row r="4341" spans="1:6" x14ac:dyDescent="0.3">
      <c r="A4341" t="str">
        <f>HYPERLINK("https://us2.cloudbeds.com/connect/10074733072513#/reservations/31680892768450?display=MHBU7VAYC&amp;reservation_id=31680892768450", "MHBU7VAYC")</f>
        <v>MHBU7VAYC</v>
      </c>
      <c r="B4341" t="s">
        <v>1254</v>
      </c>
      <c r="C4341">
        <v>376.2</v>
      </c>
      <c r="D4341">
        <v>408.92</v>
      </c>
      <c r="E4341">
        <v>408.93</v>
      </c>
      <c r="F4341">
        <v>-0.01</v>
      </c>
    </row>
    <row r="4342" spans="1:6" x14ac:dyDescent="0.3">
      <c r="A4342" t="str">
        <f>HYPERLINK("https://us2.cloudbeds.com/connect/10074733072513#/reservations/31682130194642?display=MHCSSCHGP&amp;reservation_id=31682130194642", "MHCSSCHGP")</f>
        <v>MHCSSCHGP</v>
      </c>
      <c r="B4342" t="s">
        <v>1308</v>
      </c>
      <c r="C4342">
        <v>134.1</v>
      </c>
      <c r="D4342">
        <v>145.76</v>
      </c>
      <c r="E4342">
        <v>145.77000000000001</v>
      </c>
      <c r="F4342">
        <v>-0.01</v>
      </c>
    </row>
    <row r="4343" spans="1:6" x14ac:dyDescent="0.3">
      <c r="A4343" t="str">
        <f>HYPERLINK("https://us2.cloudbeds.com/connect/10074733072513#/reservations/31682124083331?display=MHCSN7FYH&amp;reservation_id=31682124083331", "MHCSN7FYH")</f>
        <v>MHCSN7FYH</v>
      </c>
      <c r="B4343" t="s">
        <v>1308</v>
      </c>
      <c r="C4343">
        <v>134.1</v>
      </c>
      <c r="D4343">
        <v>145.76</v>
      </c>
      <c r="E4343">
        <v>145.77000000000001</v>
      </c>
      <c r="F4343">
        <v>-0.01</v>
      </c>
    </row>
    <row r="4344" spans="1:6" x14ac:dyDescent="0.3">
      <c r="A4344" t="str">
        <f>HYPERLINK("https://us2.cloudbeds.com/connect/10074733072513#/reservations/31682998243547?display=MHDX1B8V1&amp;reservation_id=31682998243547", "MHDX1B8V1")</f>
        <v>MHDX1B8V1</v>
      </c>
      <c r="B4344" t="s">
        <v>1256</v>
      </c>
      <c r="C4344">
        <v>200.1</v>
      </c>
      <c r="D4344">
        <v>217.5</v>
      </c>
      <c r="E4344">
        <v>217.51</v>
      </c>
      <c r="F4344">
        <v>-0.01</v>
      </c>
    </row>
    <row r="4345" spans="1:6" x14ac:dyDescent="0.3">
      <c r="A4345" t="str">
        <f>HYPERLINK("https://us2.cloudbeds.com/connect/10074733072513#/reservations/31685748269268?display=MHFMA7Q2Q&amp;reservation_id=31685748269268", "MHFMA7Q2Q")</f>
        <v>MHFMA7Q2Q</v>
      </c>
      <c r="B4345" t="s">
        <v>1013</v>
      </c>
      <c r="C4345">
        <v>170.1</v>
      </c>
      <c r="D4345">
        <v>184.89</v>
      </c>
      <c r="E4345">
        <v>184.9</v>
      </c>
      <c r="F4345">
        <v>-0.01</v>
      </c>
    </row>
    <row r="4346" spans="1:6" x14ac:dyDescent="0.3">
      <c r="A4346" t="str">
        <f>HYPERLINK("https://us2.cloudbeds.com/connect/10074733072513#/reservations/31685998289141?display=MHFSN1VZJ&amp;reservation_id=31685998289141", "MHFSN1VZJ")</f>
        <v>MHFSN1VZJ</v>
      </c>
      <c r="B4346" t="s">
        <v>1316</v>
      </c>
      <c r="C4346">
        <v>117.42</v>
      </c>
      <c r="D4346">
        <v>127.63</v>
      </c>
      <c r="E4346">
        <v>127.64</v>
      </c>
      <c r="F4346">
        <v>-0.01</v>
      </c>
    </row>
    <row r="4347" spans="1:6" x14ac:dyDescent="0.3">
      <c r="A4347" t="str">
        <f>HYPERLINK("https://us2.cloudbeds.com/connect/10074733072513#/reservations/31686013399233?display=MHFT2QDV5&amp;reservation_id=31686013399233", "MHFT2QDV5")</f>
        <v>MHFT2QDV5</v>
      </c>
      <c r="B4347" t="s">
        <v>1316</v>
      </c>
      <c r="C4347">
        <v>117.42</v>
      </c>
      <c r="D4347">
        <v>127.63</v>
      </c>
      <c r="E4347">
        <v>127.64</v>
      </c>
      <c r="F4347">
        <v>-0.01</v>
      </c>
    </row>
    <row r="4348" spans="1:6" x14ac:dyDescent="0.3">
      <c r="A4348" t="str">
        <f>HYPERLINK("https://us2.cloudbeds.com/connect/10074733072513#/reservations/31686020571277?display=MHFT8RWRR&amp;reservation_id=31686020571277", "MHFT8RWRR")</f>
        <v>MHFT8RWRR</v>
      </c>
      <c r="B4348" t="s">
        <v>1316</v>
      </c>
      <c r="C4348">
        <v>182.36</v>
      </c>
      <c r="D4348">
        <v>198.22</v>
      </c>
      <c r="E4348">
        <v>198.23</v>
      </c>
      <c r="F4348">
        <v>-0.01</v>
      </c>
    </row>
    <row r="4349" spans="1:6" x14ac:dyDescent="0.3">
      <c r="A4349" t="str">
        <f>HYPERLINK("https://us2.cloudbeds.com/connect/10074733072513#/reservations/31682415169731?display=MHD34MCKH&amp;reservation_id=31682415169731", "MHD34MCKH")</f>
        <v>MHD34MCKH</v>
      </c>
      <c r="B4349" t="s">
        <v>1174</v>
      </c>
      <c r="C4349">
        <v>224.1</v>
      </c>
      <c r="D4349">
        <v>243.59</v>
      </c>
      <c r="E4349">
        <v>243.6</v>
      </c>
      <c r="F4349">
        <v>-0.01</v>
      </c>
    </row>
    <row r="4350" spans="1:6" x14ac:dyDescent="0.3">
      <c r="A4350" t="str">
        <f>HYPERLINK("https://us2.cloudbeds.com/connect/10074733072513#/reservations/31680011382938?display=MHB7NZFXG&amp;reservation_id=31680011382938", "MHB7NZFXG")</f>
        <v>MHB7NZFXG</v>
      </c>
      <c r="B4350" t="s">
        <v>1316</v>
      </c>
      <c r="C4350">
        <v>134.1</v>
      </c>
      <c r="D4350">
        <v>145.76</v>
      </c>
      <c r="E4350">
        <v>145.77000000000001</v>
      </c>
      <c r="F4350">
        <v>-0.01</v>
      </c>
    </row>
    <row r="4351" spans="1:6" x14ac:dyDescent="0.3">
      <c r="A4351" t="str">
        <f>HYPERLINK("https://us2.cloudbeds.com/connect/10074733072513#/reservations/31685325730001?display=MHFBGV0DJ&amp;reservation_id=31685325730001", "MHFBGV0DJ")</f>
        <v>MHFBGV0DJ</v>
      </c>
      <c r="B4351" t="s">
        <v>1296</v>
      </c>
      <c r="C4351">
        <v>134.1</v>
      </c>
      <c r="D4351">
        <v>145.76</v>
      </c>
      <c r="E4351">
        <v>145.77000000000001</v>
      </c>
      <c r="F4351">
        <v>-0.01</v>
      </c>
    </row>
    <row r="4352" spans="1:6" x14ac:dyDescent="0.3">
      <c r="A4352" t="str">
        <f>HYPERLINK("https://us2.cloudbeds.com/connect/10074733072513#/reservations/31680398074016?display=MHBHJQNPV&amp;reservation_id=31680398074016", "MHBHJQNPV")</f>
        <v>MHBHJQNPV</v>
      </c>
      <c r="B4352" t="s">
        <v>1319</v>
      </c>
      <c r="C4352">
        <v>134.1</v>
      </c>
      <c r="D4352">
        <v>145.76</v>
      </c>
      <c r="E4352">
        <v>145.77000000000001</v>
      </c>
      <c r="F4352">
        <v>-0.01</v>
      </c>
    </row>
    <row r="4353" spans="1:6" x14ac:dyDescent="0.3">
      <c r="A4353" t="str">
        <f>HYPERLINK("https://us2.cloudbeds.com/connect/10074733072513#/reservations/31680069603477?display=MHB96RHV8&amp;reservation_id=31680069603477", "MHB96RHV8")</f>
        <v>MHB96RHV8</v>
      </c>
      <c r="B4353" t="s">
        <v>1302</v>
      </c>
      <c r="C4353">
        <v>250.2</v>
      </c>
      <c r="D4353">
        <v>271.95999999999998</v>
      </c>
      <c r="E4353">
        <v>271.97000000000003</v>
      </c>
      <c r="F4353">
        <v>-0.01</v>
      </c>
    </row>
    <row r="4354" spans="1:6" x14ac:dyDescent="0.3">
      <c r="A4354" t="str">
        <f>HYPERLINK("https://us2.cloudbeds.com/connect/10074733072513#/reservations/31685419348150?display=MHFDTT2G6&amp;reservation_id=31685419348150", "MHFDTT2G6")</f>
        <v>MHFDTT2G6</v>
      </c>
      <c r="B4354" t="s">
        <v>1320</v>
      </c>
      <c r="C4354">
        <v>366.3</v>
      </c>
      <c r="D4354">
        <v>398.16</v>
      </c>
      <c r="E4354">
        <v>398.17</v>
      </c>
      <c r="F4354">
        <v>-0.01</v>
      </c>
    </row>
    <row r="4355" spans="1:6" x14ac:dyDescent="0.3">
      <c r="A4355" t="str">
        <f>HYPERLINK("https://us2.cloudbeds.com/connect/10074733072513#/reservations/31687483175083?display=MHH0Y53C9&amp;reservation_id=31687483175083", "MHH0Y53C9")</f>
        <v>MHH0Y53C9</v>
      </c>
      <c r="B4355" t="s">
        <v>1311</v>
      </c>
      <c r="C4355">
        <v>134.1</v>
      </c>
      <c r="D4355">
        <v>145.76</v>
      </c>
      <c r="E4355">
        <v>145.77000000000001</v>
      </c>
      <c r="F4355">
        <v>-0.01</v>
      </c>
    </row>
    <row r="4356" spans="1:6" x14ac:dyDescent="0.3">
      <c r="A4356" t="str">
        <f>HYPERLINK("https://us2.cloudbeds.com/connect/10074733072513#/reservations/31680875933825?display=MHBTQZSS7&amp;reservation_id=31680875933825", "MHBTQZSS7")</f>
        <v>MHBTQZSS7</v>
      </c>
      <c r="B4356" t="s">
        <v>1319</v>
      </c>
      <c r="C4356">
        <v>117.42</v>
      </c>
      <c r="D4356">
        <v>127.63</v>
      </c>
      <c r="E4356">
        <v>127.64</v>
      </c>
      <c r="F4356">
        <v>-0.01</v>
      </c>
    </row>
    <row r="4357" spans="1:6" x14ac:dyDescent="0.3">
      <c r="A4357" t="str">
        <f>HYPERLINK("https://us2.cloudbeds.com/connect/10074733072513#/reservations/31683701854356?display=MHE30Y96M&amp;reservation_id=31683701854356", "MHE30Y96M")</f>
        <v>MHE30Y96M</v>
      </c>
      <c r="B4357" t="s">
        <v>1302</v>
      </c>
      <c r="C4357">
        <v>250.2</v>
      </c>
      <c r="D4357">
        <v>271.95999999999998</v>
      </c>
      <c r="E4357">
        <v>271.97000000000003</v>
      </c>
      <c r="F4357">
        <v>-0.01</v>
      </c>
    </row>
    <row r="4358" spans="1:6" x14ac:dyDescent="0.3">
      <c r="A4358" t="str">
        <f>HYPERLINK("https://us2.cloudbeds.com/connect/10074733072513#/reservations/31680787906783?display=MHBRXHCV3&amp;reservation_id=31680787906783", "MHBRXHCV3")</f>
        <v>MHBRXHCV3</v>
      </c>
      <c r="B4358" t="s">
        <v>1323</v>
      </c>
      <c r="C4358">
        <v>250.2</v>
      </c>
      <c r="D4358">
        <v>271.95999999999998</v>
      </c>
      <c r="E4358">
        <v>271.97000000000003</v>
      </c>
      <c r="F4358">
        <v>-0.01</v>
      </c>
    </row>
    <row r="4359" spans="1:6" x14ac:dyDescent="0.3">
      <c r="A4359" t="str">
        <f>HYPERLINK("https://us2.cloudbeds.com/connect/10074733072513#/reservations/31682337894602?display=MHD15H2TV&amp;reservation_id=31682337894602", "MHD15H2TV")</f>
        <v>MHD15H2TV</v>
      </c>
      <c r="B4359" t="s">
        <v>1290</v>
      </c>
      <c r="C4359">
        <v>134.1</v>
      </c>
      <c r="D4359">
        <v>145.76</v>
      </c>
      <c r="E4359">
        <v>145.77000000000001</v>
      </c>
      <c r="F4359">
        <v>-0.01</v>
      </c>
    </row>
    <row r="4360" spans="1:6" x14ac:dyDescent="0.3">
      <c r="A4360" t="str">
        <f>HYPERLINK("https://us2.cloudbeds.com/connect/10074733072513#/reservations/31680721219814?display=MHBPS9Z1S&amp;reservation_id=31680721219814", "MHBPS9Z1S")</f>
        <v>MHBPS9Z1S</v>
      </c>
      <c r="B4360" t="s">
        <v>1290</v>
      </c>
      <c r="C4360">
        <v>222.4</v>
      </c>
      <c r="D4360">
        <v>241.74</v>
      </c>
      <c r="E4360">
        <v>241.75</v>
      </c>
      <c r="F4360">
        <v>-0.01</v>
      </c>
    </row>
    <row r="4361" spans="1:6" x14ac:dyDescent="0.3">
      <c r="A4361" t="str">
        <f>HYPERLINK("https://us2.cloudbeds.com/connect/10074733072513#/reservations/31729880875140?display=MXGS00JVT&amp;reservation_id=31729880875140", "MXGS00JVT")</f>
        <v>MXGS00JVT</v>
      </c>
      <c r="B4361" t="s">
        <v>1324</v>
      </c>
      <c r="C4361">
        <v>170.1</v>
      </c>
      <c r="D4361">
        <v>184.89</v>
      </c>
      <c r="E4361">
        <v>184.9</v>
      </c>
      <c r="F4361">
        <v>-0.01</v>
      </c>
    </row>
    <row r="4362" spans="1:6" x14ac:dyDescent="0.3">
      <c r="A4362" t="str">
        <f>HYPERLINK("https://us2.cloudbeds.com/connect/10074733072513#/reservations/31682400116919?display=MHD2ZWH0N&amp;reservation_id=31682400116919", "MHD2ZWH0N")</f>
        <v>MHD2ZWH0N</v>
      </c>
      <c r="B4362" t="s">
        <v>1290</v>
      </c>
      <c r="C4362">
        <v>268.2</v>
      </c>
      <c r="D4362">
        <v>291.52</v>
      </c>
      <c r="E4362">
        <v>291.52999999999997</v>
      </c>
      <c r="F4362">
        <v>-0.01</v>
      </c>
    </row>
    <row r="4363" spans="1:6" x14ac:dyDescent="0.3">
      <c r="A4363" t="str">
        <f>HYPERLINK("https://us2.cloudbeds.com/connect/10074733072513#/reservations/31682454118599?display=MHD44H6B8&amp;reservation_id=31682454118599", "MHD44H6B8")</f>
        <v>MHD44H6B8</v>
      </c>
      <c r="B4363" t="s">
        <v>1174</v>
      </c>
      <c r="C4363">
        <v>430.2</v>
      </c>
      <c r="D4363">
        <v>467.62</v>
      </c>
      <c r="E4363">
        <v>467.63</v>
      </c>
      <c r="F4363">
        <v>-0.01</v>
      </c>
    </row>
    <row r="4364" spans="1:6" x14ac:dyDescent="0.3">
      <c r="A4364" t="str">
        <f>HYPERLINK("https://us2.cloudbeds.com/connect/10074733072513#/reservations/31680941518979?display=MHBVG1SW4&amp;reservation_id=31680941518979", "MHBVG1SW4")</f>
        <v>MHBVG1SW4</v>
      </c>
      <c r="B4364" t="s">
        <v>1295</v>
      </c>
      <c r="C4364">
        <v>127.2</v>
      </c>
      <c r="D4364">
        <v>138.26</v>
      </c>
      <c r="E4364">
        <v>138.27000000000001</v>
      </c>
      <c r="F4364">
        <v>-0.01</v>
      </c>
    </row>
    <row r="4365" spans="1:6" x14ac:dyDescent="0.3">
      <c r="A4365" t="str">
        <f>HYPERLINK("https://us2.cloudbeds.com/connect/10074733072513#/reservations/31680781570184?display=MHBRD626V&amp;reservation_id=31680781570184", "MHBRD626V")</f>
        <v>MHBRD626V</v>
      </c>
      <c r="B4365" t="s">
        <v>1323</v>
      </c>
      <c r="C4365">
        <v>163.18</v>
      </c>
      <c r="D4365">
        <v>177.37</v>
      </c>
      <c r="E4365">
        <v>177.38</v>
      </c>
      <c r="F4365">
        <v>-0.01</v>
      </c>
    </row>
    <row r="4366" spans="1:6" x14ac:dyDescent="0.3">
      <c r="A4366" t="str">
        <f>HYPERLINK("https://us2.cloudbeds.com/connect/10074733072513#/reservations/31680915407100?display=MHBUR1942&amp;reservation_id=31680915407100", "MHBUR1942")</f>
        <v>MHBUR1942</v>
      </c>
      <c r="B4366" t="s">
        <v>1295</v>
      </c>
      <c r="C4366">
        <v>134.1</v>
      </c>
      <c r="D4366">
        <v>145.76</v>
      </c>
      <c r="E4366">
        <v>145.77000000000001</v>
      </c>
      <c r="F4366">
        <v>-0.01</v>
      </c>
    </row>
    <row r="4367" spans="1:6" x14ac:dyDescent="0.3">
      <c r="A4367" t="str">
        <f>HYPERLINK("https://us2.cloudbeds.com/connect/10074733072513#/reservations/31680888967340?display=MHBU4ZX67&amp;reservation_id=31680888967340", "MHBU4ZX67")</f>
        <v>MHBU4ZX67</v>
      </c>
      <c r="B4367" t="s">
        <v>1319</v>
      </c>
      <c r="C4367">
        <v>134.1</v>
      </c>
      <c r="D4367">
        <v>145.76</v>
      </c>
      <c r="E4367">
        <v>145.77000000000001</v>
      </c>
      <c r="F4367">
        <v>-0.01</v>
      </c>
    </row>
    <row r="4368" spans="1:6" x14ac:dyDescent="0.3">
      <c r="A4368" t="str">
        <f>HYPERLINK("https://us2.cloudbeds.com/connect/10074733072513#/reservations/31680933802217?display=MHBV9X4SR&amp;reservation_id=31680933802217", "MHBV9X4SR")</f>
        <v>MHBV9X4SR</v>
      </c>
      <c r="B4368" t="s">
        <v>1325</v>
      </c>
      <c r="C4368">
        <v>134.1</v>
      </c>
      <c r="D4368">
        <v>145.76</v>
      </c>
      <c r="E4368">
        <v>145.77000000000001</v>
      </c>
      <c r="F4368">
        <v>-0.01</v>
      </c>
    </row>
    <row r="4369" spans="1:6" x14ac:dyDescent="0.3">
      <c r="A4369" t="str">
        <f>HYPERLINK("https://us2.cloudbeds.com/connect/10074733072513#/reservations/31681307705551?display=MHC7RRXEU&amp;reservation_id=31681307705551", "MHC7RRXEU")</f>
        <v>MHC7RRXEU</v>
      </c>
      <c r="B4369" t="s">
        <v>1311</v>
      </c>
      <c r="C4369">
        <v>134.1</v>
      </c>
      <c r="D4369">
        <v>145.76</v>
      </c>
      <c r="E4369">
        <v>145.77000000000001</v>
      </c>
      <c r="F4369">
        <v>-0.01</v>
      </c>
    </row>
    <row r="4370" spans="1:6" x14ac:dyDescent="0.3">
      <c r="A4370" t="str">
        <f>HYPERLINK("https://us2.cloudbeds.com/connect/10074733072513#/reservations/31687490965697?display=MHH0RNT9G&amp;reservation_id=31687490965697", "MHH0RNT9G")</f>
        <v>MHH0RNT9G</v>
      </c>
      <c r="B4370" t="s">
        <v>1311</v>
      </c>
      <c r="C4370">
        <v>117.42</v>
      </c>
      <c r="D4370">
        <v>127.63</v>
      </c>
      <c r="E4370">
        <v>127.64</v>
      </c>
      <c r="F4370">
        <v>-0.01</v>
      </c>
    </row>
    <row r="4371" spans="1:6" x14ac:dyDescent="0.3">
      <c r="A4371" t="str">
        <f>HYPERLINK("https://us2.cloudbeds.com/connect/10074733072513#/reservations/31687497711817?display=MHH10DK2C&amp;reservation_id=31687497711817", "MHH10DK2C")</f>
        <v>MHH10DK2C</v>
      </c>
      <c r="B4371" t="s">
        <v>1311</v>
      </c>
      <c r="C4371">
        <v>134.1</v>
      </c>
      <c r="D4371">
        <v>145.76</v>
      </c>
      <c r="E4371">
        <v>145.77000000000001</v>
      </c>
      <c r="F4371">
        <v>-0.01</v>
      </c>
    </row>
    <row r="4372" spans="1:6" x14ac:dyDescent="0.3">
      <c r="A4372" t="str">
        <f>HYPERLINK("https://us2.cloudbeds.com/connect/10074733072513#/reservations/31687780606090?display=MHH87VXE3&amp;reservation_id=31687780606090", "MHH87VXE3")</f>
        <v>MHH87VXE3</v>
      </c>
      <c r="B4372" t="s">
        <v>1311</v>
      </c>
      <c r="C4372">
        <v>134.1</v>
      </c>
      <c r="D4372">
        <v>145.76</v>
      </c>
      <c r="E4372">
        <v>145.77000000000001</v>
      </c>
      <c r="F4372">
        <v>-0.01</v>
      </c>
    </row>
    <row r="4373" spans="1:6" x14ac:dyDescent="0.3">
      <c r="A4373" t="str">
        <f>HYPERLINK("https://us2.cloudbeds.com/connect/10074733072513#/reservations/31687475179650?display=MHH0EDKCD&amp;reservation_id=31687475179650", "MHH0EDKCD")</f>
        <v>MHH0EDKCD</v>
      </c>
      <c r="B4373" t="s">
        <v>1311</v>
      </c>
      <c r="C4373">
        <v>134.1</v>
      </c>
      <c r="D4373">
        <v>145.76</v>
      </c>
      <c r="E4373">
        <v>145.77000000000001</v>
      </c>
      <c r="F4373">
        <v>-0.01</v>
      </c>
    </row>
    <row r="4374" spans="1:6" x14ac:dyDescent="0.3">
      <c r="A4374" t="str">
        <f>HYPERLINK("https://us2.cloudbeds.com/connect/10074733072513#/reservations/31687476043990?display=MHH0F4M2X&amp;reservation_id=31687476043990", "MHH0F4M2X")</f>
        <v>MHH0F4M2X</v>
      </c>
      <c r="B4374" t="s">
        <v>1311</v>
      </c>
      <c r="C4374">
        <v>108.2</v>
      </c>
      <c r="D4374">
        <v>117.6</v>
      </c>
      <c r="E4374">
        <v>117.61</v>
      </c>
      <c r="F4374">
        <v>-0.01</v>
      </c>
    </row>
    <row r="4375" spans="1:6" x14ac:dyDescent="0.3">
      <c r="A4375" t="str">
        <f>HYPERLINK("https://us2.cloudbeds.com/connect/10074733072513#/reservations/31687434768617?display=MHGWDB3WM&amp;reservation_id=31687434768617", "MHGWDB3WM")</f>
        <v>MHGWDB3WM</v>
      </c>
      <c r="B4375" t="s">
        <v>1311</v>
      </c>
      <c r="C4375">
        <v>134.1</v>
      </c>
      <c r="D4375">
        <v>145.76</v>
      </c>
      <c r="E4375">
        <v>145.77000000000001</v>
      </c>
      <c r="F4375">
        <v>-0.01</v>
      </c>
    </row>
    <row r="4376" spans="1:6" x14ac:dyDescent="0.3">
      <c r="A4376" t="str">
        <f>HYPERLINK("https://us2.cloudbeds.com/connect/10074733072513#/reservations/31680367767680?display=MHBGR89XV&amp;reservation_id=31680367767680", "MHBGR89XV")</f>
        <v>MHBGR89XV</v>
      </c>
      <c r="B4376" t="s">
        <v>1319</v>
      </c>
      <c r="C4376">
        <v>134.1</v>
      </c>
      <c r="D4376">
        <v>145.76</v>
      </c>
      <c r="E4376">
        <v>145.77000000000001</v>
      </c>
      <c r="F4376">
        <v>-0.01</v>
      </c>
    </row>
    <row r="4377" spans="1:6" x14ac:dyDescent="0.3">
      <c r="A4377" t="str">
        <f>HYPERLINK("https://us2.cloudbeds.com/connect/10074733072513#/reservations/31687828717817?display=MHH9FHB56&amp;reservation_id=31687828717817", "MHH9FHB56")</f>
        <v>MHH9FHB56</v>
      </c>
      <c r="B4377" t="s">
        <v>1311</v>
      </c>
      <c r="C4377">
        <v>134.1</v>
      </c>
      <c r="D4377">
        <v>145.76</v>
      </c>
      <c r="E4377">
        <v>145.77000000000001</v>
      </c>
      <c r="F4377">
        <v>-0.01</v>
      </c>
    </row>
    <row r="4378" spans="1:6" x14ac:dyDescent="0.3">
      <c r="A4378" t="str">
        <f>HYPERLINK("https://us2.cloudbeds.com/connect/10074733072513#/reservations/31683989270665?display=MHEAC020R&amp;reservation_id=31683989270665", "MHEAC020R")</f>
        <v>MHEAC020R</v>
      </c>
      <c r="B4378" t="s">
        <v>1221</v>
      </c>
      <c r="C4378">
        <v>144.1</v>
      </c>
      <c r="D4378">
        <v>156.63</v>
      </c>
      <c r="E4378">
        <v>156.63999999999999</v>
      </c>
      <c r="F4378">
        <v>-0.01</v>
      </c>
    </row>
    <row r="4379" spans="1:6" x14ac:dyDescent="0.3">
      <c r="A4379" t="str">
        <f>HYPERLINK("https://us2.cloudbeds.com/connect/10074733072513#/reservations/31680924684433?display=MHBV1SE8C&amp;reservation_id=31680924684433", "MHBV1SE8C")</f>
        <v>MHBV1SE8C</v>
      </c>
      <c r="B4379" t="s">
        <v>1295</v>
      </c>
      <c r="C4379">
        <v>123.18</v>
      </c>
      <c r="D4379">
        <v>133.88999999999999</v>
      </c>
      <c r="E4379">
        <v>133.9</v>
      </c>
      <c r="F4379">
        <v>-0.01</v>
      </c>
    </row>
    <row r="4380" spans="1:6" x14ac:dyDescent="0.3">
      <c r="A4380" t="str">
        <f>HYPERLINK("https://us2.cloudbeds.com/connect/10074733072513#/reservations/31688243032228?display=MHHK1T85C&amp;reservation_id=31688243032228", "MHHK1T85C")</f>
        <v>MHHK1T85C</v>
      </c>
      <c r="B4380" t="s">
        <v>1295</v>
      </c>
      <c r="C4380">
        <v>296.48</v>
      </c>
      <c r="D4380">
        <v>322.26</v>
      </c>
      <c r="E4380">
        <v>322.27</v>
      </c>
      <c r="F4380">
        <v>-0.01</v>
      </c>
    </row>
    <row r="4381" spans="1:6" x14ac:dyDescent="0.3">
      <c r="A4381" t="str">
        <f>HYPERLINK("https://us2.cloudbeds.com/connect/10074733072513#/reservations/31680855646416?display=MHBT9YBF8&amp;reservation_id=31680855646416", "MHBT9YBF8")</f>
        <v>MHBT9YBF8</v>
      </c>
      <c r="B4381" t="s">
        <v>1319</v>
      </c>
      <c r="C4381">
        <v>134.1</v>
      </c>
      <c r="D4381">
        <v>145.76</v>
      </c>
      <c r="E4381">
        <v>145.77000000000001</v>
      </c>
      <c r="F4381">
        <v>-0.01</v>
      </c>
    </row>
    <row r="4382" spans="1:6" x14ac:dyDescent="0.3">
      <c r="A4382" t="str">
        <f>HYPERLINK("https://us2.cloudbeds.com/connect/10074733072513#/reservations/31684614463623?display=MHEQB5W7W&amp;reservation_id=31684614463623", "MHEQB5W7W")</f>
        <v>MHEQB5W7W</v>
      </c>
      <c r="B4382" t="s">
        <v>1325</v>
      </c>
      <c r="C4382">
        <v>134.1</v>
      </c>
      <c r="D4382">
        <v>145.76</v>
      </c>
      <c r="E4382">
        <v>145.77000000000001</v>
      </c>
      <c r="F4382">
        <v>-0.01</v>
      </c>
    </row>
    <row r="4383" spans="1:6" x14ac:dyDescent="0.3">
      <c r="A4383" t="str">
        <f>HYPERLINK("https://us2.cloudbeds.com/connect/10074733072513#/reservations/31681887494284?display=MHCMYZ15F&amp;reservation_id=31681887494284", "MHCMYZ15F")</f>
        <v>MHCMYZ15F</v>
      </c>
      <c r="B4383" t="s">
        <v>1288</v>
      </c>
      <c r="C4383">
        <v>103.2</v>
      </c>
      <c r="D4383">
        <v>112.17</v>
      </c>
      <c r="E4383">
        <v>112.18</v>
      </c>
      <c r="F4383">
        <v>-0.01</v>
      </c>
    </row>
    <row r="4384" spans="1:6" x14ac:dyDescent="0.3">
      <c r="A4384" t="str">
        <f>HYPERLINK("https://us2.cloudbeds.com/connect/10074733072513#/reservations/31689775071375?display=MHXQ6ZGB2&amp;reservation_id=31689775071375", "MHXQ6ZGB2")</f>
        <v>MHXQ6ZGB2</v>
      </c>
      <c r="B4384" t="s">
        <v>1328</v>
      </c>
      <c r="C4384">
        <v>103.2</v>
      </c>
      <c r="D4384">
        <v>112.17</v>
      </c>
      <c r="E4384">
        <v>112.18</v>
      </c>
      <c r="F4384">
        <v>-0.01</v>
      </c>
    </row>
    <row r="4385" spans="1:6" x14ac:dyDescent="0.3">
      <c r="A4385" t="str">
        <f>HYPERLINK("https://us2.cloudbeds.com/connect/10074733072513#/reservations/31688467779782?display=MHHPQD5UA&amp;reservation_id=31688467779782", "MHHPQD5UA")</f>
        <v>MHHPQD5UA</v>
      </c>
      <c r="B4385" t="s">
        <v>1265</v>
      </c>
      <c r="C4385">
        <v>430.2</v>
      </c>
      <c r="D4385">
        <v>467.62</v>
      </c>
      <c r="E4385">
        <v>467.63</v>
      </c>
      <c r="F4385">
        <v>-0.01</v>
      </c>
    </row>
    <row r="4386" spans="1:6" x14ac:dyDescent="0.3">
      <c r="A4386" t="str">
        <f>HYPERLINK("https://us2.cloudbeds.com/connect/10074733072513#/reservations/31685857611974?display=MHFP3EDK4&amp;reservation_id=31685857611974", "MHFP3EDK4")</f>
        <v>MHFP3EDK4</v>
      </c>
      <c r="B4386" t="s">
        <v>1326</v>
      </c>
      <c r="C4386">
        <v>405.6</v>
      </c>
      <c r="D4386">
        <v>440.88</v>
      </c>
      <c r="E4386">
        <v>440.89</v>
      </c>
      <c r="F4386">
        <v>-0.01</v>
      </c>
    </row>
    <row r="4387" spans="1:6" x14ac:dyDescent="0.3">
      <c r="A4387" t="str">
        <f>HYPERLINK("https://us2.cloudbeds.com/connect/10074733072513#/reservations/31688476217567?display=MHHQ0GW3P&amp;reservation_id=31688476217567", "MHHQ0GW3P")</f>
        <v>MHHQ0GW3P</v>
      </c>
      <c r="B4387" t="s">
        <v>1265</v>
      </c>
      <c r="C4387">
        <v>645.29999999999995</v>
      </c>
      <c r="D4387">
        <v>701.43</v>
      </c>
      <c r="E4387">
        <v>701.44</v>
      </c>
      <c r="F4387">
        <v>-0.01</v>
      </c>
    </row>
    <row r="4388" spans="1:6" x14ac:dyDescent="0.3">
      <c r="A4388" t="str">
        <f>HYPERLINK("https://us2.cloudbeds.com/connect/10074733072513#/reservations/31681896751331?display=MHCMTHKM1&amp;reservation_id=31681896751331", "MHCMTHKM1")</f>
        <v>MHCMTHKM1</v>
      </c>
      <c r="B4388" t="s">
        <v>1288</v>
      </c>
      <c r="C4388">
        <v>103.2</v>
      </c>
      <c r="D4388">
        <v>112.17</v>
      </c>
      <c r="E4388">
        <v>112.18</v>
      </c>
      <c r="F4388">
        <v>-0.01</v>
      </c>
    </row>
    <row r="4389" spans="1:6" x14ac:dyDescent="0.3">
      <c r="A4389" t="str">
        <f>HYPERLINK("https://us2.cloudbeds.com/connect/10074733072513#/reservations/31687817289952?display=MHH95TB89&amp;reservation_id=31687817289952", "MHH95TB89")</f>
        <v>MHH95TB89</v>
      </c>
      <c r="B4389" t="s">
        <v>1330</v>
      </c>
      <c r="C4389">
        <v>134.1</v>
      </c>
      <c r="D4389">
        <v>145.76</v>
      </c>
      <c r="E4389">
        <v>145.77000000000001</v>
      </c>
      <c r="F4389">
        <v>-0.01</v>
      </c>
    </row>
    <row r="4390" spans="1:6" x14ac:dyDescent="0.3">
      <c r="A4390" t="str">
        <f>HYPERLINK("https://us2.cloudbeds.com/connect/10074733072513#/reservations/31687827529909?display=MHH9EH9B0&amp;reservation_id=31687827529909", "MHH9EH9B0")</f>
        <v>MHH9EH9B0</v>
      </c>
      <c r="B4390" t="s">
        <v>1330</v>
      </c>
      <c r="C4390">
        <v>117.42</v>
      </c>
      <c r="D4390">
        <v>127.63</v>
      </c>
      <c r="E4390">
        <v>127.64</v>
      </c>
      <c r="F4390">
        <v>-0.01</v>
      </c>
    </row>
    <row r="4391" spans="1:6" x14ac:dyDescent="0.3">
      <c r="A4391" t="str">
        <f>HYPERLINK("https://us2.cloudbeds.com/connect/10074733072513#/reservations/31684623220962?display=MHEQXXYST&amp;reservation_id=31684623220962", "MHEQXXYST")</f>
        <v>MHEQXXYST</v>
      </c>
      <c r="B4391" t="s">
        <v>1232</v>
      </c>
      <c r="C4391">
        <v>184.66</v>
      </c>
      <c r="D4391">
        <v>200.72</v>
      </c>
      <c r="E4391">
        <v>200.73</v>
      </c>
      <c r="F4391">
        <v>-0.01</v>
      </c>
    </row>
    <row r="4392" spans="1:6" x14ac:dyDescent="0.3">
      <c r="A4392" t="str">
        <f>HYPERLINK("https://us2.cloudbeds.com/connect/10074733072513#/reservations/31681359565014?display=MHC95XKKQ&amp;reservation_id=31681359565014", "MHC95XKKQ")</f>
        <v>MHC95XKKQ</v>
      </c>
      <c r="B4392" t="s">
        <v>1313</v>
      </c>
      <c r="C4392">
        <v>103.2</v>
      </c>
      <c r="D4392">
        <v>112.17</v>
      </c>
      <c r="E4392">
        <v>112.18</v>
      </c>
      <c r="F4392">
        <v>-0.01</v>
      </c>
    </row>
    <row r="4393" spans="1:6" x14ac:dyDescent="0.3">
      <c r="A4393" t="str">
        <f>HYPERLINK("https://us2.cloudbeds.com/connect/10074733072513#/reservations/31686748762330?display=MHGESSWGC&amp;reservation_id=31686748762330", "MHGESSWGC")</f>
        <v>MHGESSWGC</v>
      </c>
      <c r="B4393" t="s">
        <v>1334</v>
      </c>
      <c r="C4393">
        <v>456.3</v>
      </c>
      <c r="D4393">
        <v>495.99</v>
      </c>
      <c r="E4393">
        <v>496</v>
      </c>
      <c r="F4393">
        <v>-0.01</v>
      </c>
    </row>
    <row r="4394" spans="1:6" x14ac:dyDescent="0.3">
      <c r="A4394" t="str">
        <f>HYPERLINK("https://us2.cloudbeds.com/connect/10074733072513#/reservations/31681964576969?display=MHCZKNW5D&amp;reservation_id=31681964576969", "MHCZKNW5D")</f>
        <v>MHCZKNW5D</v>
      </c>
      <c r="B4394" t="s">
        <v>1336</v>
      </c>
      <c r="C4394">
        <v>103.2</v>
      </c>
      <c r="D4394">
        <v>112.17</v>
      </c>
      <c r="E4394">
        <v>112.18</v>
      </c>
      <c r="F4394">
        <v>-0.01</v>
      </c>
    </row>
    <row r="4395" spans="1:6" x14ac:dyDescent="0.3">
      <c r="A4395" t="str">
        <f>HYPERLINK("https://us2.cloudbeds.com/connect/10074733072513#/reservations/31688483999935?display=MHHQ72HF3&amp;reservation_id=31688483999935", "MHHQ72HF3")</f>
        <v>MHHQ72HF3</v>
      </c>
      <c r="B4395" t="s">
        <v>1265</v>
      </c>
      <c r="C4395">
        <v>117.42</v>
      </c>
      <c r="D4395">
        <v>127.63</v>
      </c>
      <c r="E4395">
        <v>127.64</v>
      </c>
      <c r="F4395">
        <v>-0.01</v>
      </c>
    </row>
    <row r="4396" spans="1:6" x14ac:dyDescent="0.3">
      <c r="A4396" t="str">
        <f>HYPERLINK("https://us2.cloudbeds.com/connect/10074733072513#/reservations/31683178266780?display=MHDMY4MHG&amp;reservation_id=31683178266780", "MHDMY4MHG")</f>
        <v>MHDMY4MHG</v>
      </c>
      <c r="B4396" t="s">
        <v>1298</v>
      </c>
      <c r="C4396">
        <v>456.3</v>
      </c>
      <c r="D4396">
        <v>495.99</v>
      </c>
      <c r="E4396">
        <v>496</v>
      </c>
      <c r="F4396">
        <v>-0.01</v>
      </c>
    </row>
    <row r="4397" spans="1:6" x14ac:dyDescent="0.3">
      <c r="A4397" t="str">
        <f>HYPERLINK("https://us2.cloudbeds.com/connect/10074733072513#/reservations/31687389720717?display=MHGV8BJMQ&amp;reservation_id=31687389720717", "MHGV8BJMQ")</f>
        <v>MHGV8BJMQ</v>
      </c>
      <c r="B4397" t="s">
        <v>1337</v>
      </c>
      <c r="C4397">
        <v>103.2</v>
      </c>
      <c r="D4397">
        <v>112.17</v>
      </c>
      <c r="E4397">
        <v>112.18</v>
      </c>
      <c r="F4397">
        <v>-0.01</v>
      </c>
    </row>
    <row r="4398" spans="1:6" x14ac:dyDescent="0.3">
      <c r="A4398" t="str">
        <f>HYPERLINK("https://us2.cloudbeds.com/connect/10074733072513#/reservations/31681589182698?display=MHCF162GE&amp;reservation_id=31681589182698", "MHCF162GE")</f>
        <v>MHCF162GE</v>
      </c>
      <c r="B4398" t="s">
        <v>1333</v>
      </c>
      <c r="C4398">
        <v>134.1</v>
      </c>
      <c r="D4398">
        <v>145.76</v>
      </c>
      <c r="E4398">
        <v>145.77000000000001</v>
      </c>
      <c r="F4398">
        <v>-0.01</v>
      </c>
    </row>
    <row r="4399" spans="1:6" x14ac:dyDescent="0.3">
      <c r="A4399" t="str">
        <f>HYPERLINK("https://us2.cloudbeds.com/connect/10074733072513#/reservations/31681596674179?display=MHCF7GHZ0&amp;reservation_id=31681596674179", "MHCF7GHZ0")</f>
        <v>MHCF7GHZ0</v>
      </c>
      <c r="B4399" t="s">
        <v>1333</v>
      </c>
      <c r="C4399">
        <v>134.1</v>
      </c>
      <c r="D4399">
        <v>145.76</v>
      </c>
      <c r="E4399">
        <v>145.77000000000001</v>
      </c>
      <c r="F4399">
        <v>-0.01</v>
      </c>
    </row>
    <row r="4400" spans="1:6" x14ac:dyDescent="0.3">
      <c r="A4400" t="str">
        <f>HYPERLINK("https://us2.cloudbeds.com/connect/10074733072513#/reservations/31683504992483?display=MHDUWYA4D&amp;reservation_id=31683504992483", "MHDUWYA4D")</f>
        <v>MHDUWYA4D</v>
      </c>
      <c r="B4400" t="s">
        <v>1027</v>
      </c>
      <c r="C4400">
        <v>250.2</v>
      </c>
      <c r="D4400">
        <v>271.95999999999998</v>
      </c>
      <c r="E4400">
        <v>271.97000000000003</v>
      </c>
      <c r="F4400">
        <v>-0.01</v>
      </c>
    </row>
    <row r="4401" spans="1:6" x14ac:dyDescent="0.3">
      <c r="A4401" t="str">
        <f>HYPERLINK("https://us2.cloudbeds.com/connect/10074733072513#/reservations/31691783770284?display=MHKBHHGJW&amp;reservation_id=31691783770284", "MHKBHHGJW")</f>
        <v>MHKBHHGJW</v>
      </c>
      <c r="B4401" t="s">
        <v>1270</v>
      </c>
      <c r="C4401">
        <v>268.2</v>
      </c>
      <c r="D4401">
        <v>291.52</v>
      </c>
      <c r="E4401">
        <v>291.52999999999997</v>
      </c>
      <c r="F4401">
        <v>-0.01</v>
      </c>
    </row>
    <row r="4402" spans="1:6" x14ac:dyDescent="0.3">
      <c r="A4402" t="str">
        <f>HYPERLINK("https://us2.cloudbeds.com/connect/10074733072513#/reservations/31687355199633?display=MHGUC7WTB&amp;reservation_id=31687355199633", "MHGUC7WTB")</f>
        <v>MHGUC7WTB</v>
      </c>
      <c r="B4402" t="s">
        <v>1228</v>
      </c>
      <c r="C4402">
        <v>134.1</v>
      </c>
      <c r="D4402">
        <v>145.76</v>
      </c>
      <c r="E4402">
        <v>145.77000000000001</v>
      </c>
      <c r="F4402">
        <v>-0.01</v>
      </c>
    </row>
    <row r="4403" spans="1:6" x14ac:dyDescent="0.3">
      <c r="A4403" t="str">
        <f>HYPERLINK("https://us2.cloudbeds.com/connect/10074733072513#/reservations/31685500362917?display=MHFFW6E74&amp;reservation_id=31685500362917", "MHFFW6E74")</f>
        <v>MHFFW6E74</v>
      </c>
      <c r="B4403" t="s">
        <v>1262</v>
      </c>
      <c r="C4403">
        <v>253.86</v>
      </c>
      <c r="D4403">
        <v>275.94</v>
      </c>
      <c r="E4403">
        <v>275.95</v>
      </c>
      <c r="F4403">
        <v>-0.01</v>
      </c>
    </row>
    <row r="4404" spans="1:6" x14ac:dyDescent="0.3">
      <c r="A4404" t="str">
        <f>HYPERLINK("https://us2.cloudbeds.com/connect/10074733072513#/reservations/31681780457622?display=MHCJUFJ78&amp;reservation_id=31681780457622", "MHCJUFJ78")</f>
        <v>MHCJUFJ78</v>
      </c>
      <c r="B4404" t="s">
        <v>1338</v>
      </c>
      <c r="C4404">
        <v>118.15</v>
      </c>
      <c r="D4404">
        <v>128.41999999999999</v>
      </c>
      <c r="E4404">
        <v>128.43</v>
      </c>
      <c r="F4404">
        <v>-0.01</v>
      </c>
    </row>
    <row r="4405" spans="1:6" x14ac:dyDescent="0.3">
      <c r="A4405" t="str">
        <f>HYPERLINK("https://us2.cloudbeds.com/connect/10074733072513#/reservations/31681617293446?display=MHCFZT9S9&amp;reservation_id=31681617293446", "MHCFZT9S9")</f>
        <v>MHCFZT9S9</v>
      </c>
      <c r="B4405" t="s">
        <v>1333</v>
      </c>
      <c r="C4405">
        <v>134.1</v>
      </c>
      <c r="D4405">
        <v>145.76</v>
      </c>
      <c r="E4405">
        <v>145.77000000000001</v>
      </c>
      <c r="F4405">
        <v>-0.01</v>
      </c>
    </row>
    <row r="4406" spans="1:6" x14ac:dyDescent="0.3">
      <c r="A4406" t="str">
        <f>HYPERLINK("https://us2.cloudbeds.com/connect/10074733072513#/reservations/31683193090211?display=MHDN0Y5GD&amp;reservation_id=31683193090211", "MHDN0Y5GD")</f>
        <v>MHDN0Y5GD</v>
      </c>
      <c r="B4406" t="s">
        <v>1298</v>
      </c>
      <c r="C4406">
        <v>134.1</v>
      </c>
      <c r="D4406">
        <v>145.76</v>
      </c>
      <c r="E4406">
        <v>145.77000000000001</v>
      </c>
      <c r="F4406">
        <v>-0.01</v>
      </c>
    </row>
    <row r="4407" spans="1:6" x14ac:dyDescent="0.3">
      <c r="A4407" t="str">
        <f>HYPERLINK("https://us2.cloudbeds.com/connect/10074733072513#/reservations/31683244536009?display=MHDZB0NQV&amp;reservation_id=31683244536009", "MHDZB0NQV")</f>
        <v>MHDZB0NQV</v>
      </c>
      <c r="B4407" t="s">
        <v>1298</v>
      </c>
      <c r="C4407">
        <v>117.42</v>
      </c>
      <c r="D4407">
        <v>127.63</v>
      </c>
      <c r="E4407">
        <v>127.64</v>
      </c>
      <c r="F4407">
        <v>-0.01</v>
      </c>
    </row>
    <row r="4408" spans="1:6" x14ac:dyDescent="0.3">
      <c r="A4408" t="str">
        <f>HYPERLINK("https://us2.cloudbeds.com/connect/10074733072513#/reservations/31681798623437?display=MHCKCQ2DG&amp;reservation_id=31681798623437", "MHCKCQ2DG")</f>
        <v>MHCKCQ2DG</v>
      </c>
      <c r="B4408" t="s">
        <v>1338</v>
      </c>
      <c r="C4408">
        <v>117.42</v>
      </c>
      <c r="D4408">
        <v>127.63</v>
      </c>
      <c r="E4408">
        <v>127.64</v>
      </c>
      <c r="F4408">
        <v>-0.01</v>
      </c>
    </row>
    <row r="4409" spans="1:6" x14ac:dyDescent="0.3">
      <c r="A4409" t="str">
        <f>HYPERLINK("https://us2.cloudbeds.com/connect/10074733072513#/reservations/31689017876710?display=MHX6S8EE6&amp;reservation_id=31689017876710", "MHX6S8EE6")</f>
        <v>MHX6S8EE6</v>
      </c>
      <c r="B4409" t="s">
        <v>974</v>
      </c>
      <c r="C4409">
        <v>456.3</v>
      </c>
      <c r="D4409">
        <v>495.99</v>
      </c>
      <c r="E4409">
        <v>496</v>
      </c>
      <c r="F4409">
        <v>-0.01</v>
      </c>
    </row>
    <row r="4410" spans="1:6" x14ac:dyDescent="0.3">
      <c r="A4410" t="str">
        <f>HYPERLINK("https://us2.cloudbeds.com/connect/10074733072513#/reservations/31686119817364?display=MHFVQHYU0&amp;reservation_id=31686119817364", "MHFVQHYU0")</f>
        <v>MHFVQHYU0</v>
      </c>
      <c r="B4410" t="s">
        <v>1204</v>
      </c>
      <c r="C4410">
        <v>117.42</v>
      </c>
      <c r="D4410">
        <v>127.63</v>
      </c>
      <c r="E4410">
        <v>127.64</v>
      </c>
      <c r="F4410">
        <v>-0.01</v>
      </c>
    </row>
    <row r="4411" spans="1:6" x14ac:dyDescent="0.3">
      <c r="A4411" t="str">
        <f>HYPERLINK("https://us2.cloudbeds.com/connect/10074733072513#/reservations/31683561623787?display=MHDWED55H&amp;reservation_id=31683561623787", "MHDWED55H")</f>
        <v>MHDWED55H</v>
      </c>
      <c r="B4411" t="s">
        <v>1027</v>
      </c>
      <c r="C4411">
        <v>103.2</v>
      </c>
      <c r="D4411">
        <v>112.17</v>
      </c>
      <c r="E4411">
        <v>112.18</v>
      </c>
      <c r="F4411">
        <v>-0.01</v>
      </c>
    </row>
    <row r="4412" spans="1:6" x14ac:dyDescent="0.3">
      <c r="A4412" t="str">
        <f>HYPERLINK("https://us2.cloudbeds.com/connect/10074733072513#/reservations/31686704201945?display=MHGDZA0SM&amp;reservation_id=31686704201945", "MHGDZA0SM")</f>
        <v>MHGDZA0SM</v>
      </c>
      <c r="B4412" t="s">
        <v>1334</v>
      </c>
      <c r="C4412">
        <v>250.2</v>
      </c>
      <c r="D4412">
        <v>271.95999999999998</v>
      </c>
      <c r="E4412">
        <v>271.97000000000003</v>
      </c>
      <c r="F4412">
        <v>-0.01</v>
      </c>
    </row>
    <row r="4413" spans="1:6" x14ac:dyDescent="0.3">
      <c r="A4413" t="str">
        <f>HYPERLINK("https://us2.cloudbeds.com/connect/10074733072513#/reservations/31682884993155?display=MHDF4RU2W&amp;reservation_id=31682884993155", "MHDF4RU2W")</f>
        <v>MHDF4RU2W</v>
      </c>
      <c r="B4413" t="s">
        <v>1340</v>
      </c>
      <c r="C4413">
        <v>500.4</v>
      </c>
      <c r="D4413">
        <v>543.91999999999996</v>
      </c>
      <c r="E4413">
        <v>543.92999999999995</v>
      </c>
      <c r="F4413">
        <v>-0.01</v>
      </c>
    </row>
    <row r="4414" spans="1:6" x14ac:dyDescent="0.3">
      <c r="A4414" t="str">
        <f>HYPERLINK("https://us2.cloudbeds.com/connect/10074733072513#/reservations/31683803656413?display=MHE5KG2BH&amp;reservation_id=31683803656413", "MHE5KG2BH")</f>
        <v>MHE5KG2BH</v>
      </c>
      <c r="B4414" t="s">
        <v>1341</v>
      </c>
      <c r="C4414">
        <v>250.2</v>
      </c>
      <c r="D4414">
        <v>271.95999999999998</v>
      </c>
      <c r="E4414">
        <v>271.97000000000003</v>
      </c>
      <c r="F4414">
        <v>-0.01</v>
      </c>
    </row>
    <row r="4415" spans="1:6" x14ac:dyDescent="0.3">
      <c r="A4415" t="str">
        <f>HYPERLINK("https://us2.cloudbeds.com/connect/10074733072513#/reservations/31683495190731?display=MHDUZCXEK&amp;reservation_id=31683495190731", "MHDUZCXEK")</f>
        <v>MHDUZCXEK</v>
      </c>
      <c r="B4415" t="s">
        <v>1027</v>
      </c>
      <c r="C4415">
        <v>103.2</v>
      </c>
      <c r="D4415">
        <v>112.17</v>
      </c>
      <c r="E4415">
        <v>112.18</v>
      </c>
      <c r="F4415">
        <v>-0.01</v>
      </c>
    </row>
    <row r="4416" spans="1:6" x14ac:dyDescent="0.3">
      <c r="A4416" t="str">
        <f>HYPERLINK("https://us2.cloudbeds.com/connect/10074733072513#/reservations/31683872764113?display=MHE7CP348&amp;reservation_id=31683872764113", "MHE7CP348")</f>
        <v>MHE7CP348</v>
      </c>
      <c r="B4416" t="s">
        <v>1309</v>
      </c>
      <c r="C4416">
        <v>170.1</v>
      </c>
      <c r="D4416">
        <v>184.89</v>
      </c>
      <c r="E4416">
        <v>184.9</v>
      </c>
      <c r="F4416">
        <v>-0.01</v>
      </c>
    </row>
    <row r="4417" spans="1:6" x14ac:dyDescent="0.3">
      <c r="A4417" t="str">
        <f>HYPERLINK("https://us2.cloudbeds.com/connect/10074733072513#/reservations/31689192628466?display=MHXBAK5BV&amp;reservation_id=31689192628466", "MHXBAK5BV")</f>
        <v>MHXBAK5BV</v>
      </c>
      <c r="B4417" t="s">
        <v>1214</v>
      </c>
      <c r="C4417">
        <v>103.2</v>
      </c>
      <c r="D4417">
        <v>112.17</v>
      </c>
      <c r="E4417">
        <v>112.18</v>
      </c>
      <c r="F4417">
        <v>-0.01</v>
      </c>
    </row>
    <row r="4418" spans="1:6" x14ac:dyDescent="0.3">
      <c r="A4418" t="str">
        <f>HYPERLINK("https://us2.cloudbeds.com/connect/10074733072513#/reservations/31681743077593?display=MHCXVVE43&amp;reservation_id=31681743077593", "MHCXVVE43")</f>
        <v>MHCXVVE43</v>
      </c>
      <c r="B4418" t="s">
        <v>1293</v>
      </c>
      <c r="C4418">
        <v>134.1</v>
      </c>
      <c r="D4418">
        <v>145.76</v>
      </c>
      <c r="E4418">
        <v>145.77000000000001</v>
      </c>
      <c r="F4418">
        <v>-0.01</v>
      </c>
    </row>
    <row r="4419" spans="1:6" x14ac:dyDescent="0.3">
      <c r="A4419" t="str">
        <f>HYPERLINK("https://us2.cloudbeds.com/connect/10074733072513#/reservations/31681677459706?display=MHCH9KGV9&amp;reservation_id=31681677459706", "MHCH9KGV9")</f>
        <v>MHCH9KGV9</v>
      </c>
      <c r="B4419" t="s">
        <v>1293</v>
      </c>
      <c r="C4419">
        <v>134.1</v>
      </c>
      <c r="D4419">
        <v>145.76</v>
      </c>
      <c r="E4419">
        <v>145.77000000000001</v>
      </c>
      <c r="F4419">
        <v>-0.01</v>
      </c>
    </row>
    <row r="4420" spans="1:6" x14ac:dyDescent="0.3">
      <c r="A4420" t="str">
        <f>HYPERLINK("https://us2.cloudbeds.com/connect/10074733072513#/reservations/31689021862031?display=MHX6VKB1G&amp;reservation_id=31689021862031", "MHX6VKB1G")</f>
        <v>MHX6VKB1G</v>
      </c>
      <c r="B4420" t="s">
        <v>974</v>
      </c>
      <c r="C4420">
        <v>367.2</v>
      </c>
      <c r="D4420">
        <v>399.14</v>
      </c>
      <c r="E4420">
        <v>399.15</v>
      </c>
      <c r="F4420">
        <v>-0.01</v>
      </c>
    </row>
    <row r="4421" spans="1:6" x14ac:dyDescent="0.3">
      <c r="A4421" t="str">
        <f>HYPERLINK("https://us2.cloudbeds.com/connect/10074733072513#/reservations/31685469110411?display=MHFF5RPSG&amp;reservation_id=31685469110411", "MHFF5RPSG")</f>
        <v>MHFF5RPSG</v>
      </c>
      <c r="B4421" t="s">
        <v>1262</v>
      </c>
      <c r="C4421">
        <v>103.2</v>
      </c>
      <c r="D4421">
        <v>112.17</v>
      </c>
      <c r="E4421">
        <v>112.18</v>
      </c>
      <c r="F4421">
        <v>-0.01</v>
      </c>
    </row>
    <row r="4422" spans="1:6" x14ac:dyDescent="0.3">
      <c r="A4422" t="str">
        <f>HYPERLINK("https://us2.cloudbeds.com/connect/10074733072513#/reservations/31683492180169?display=MHDUYRPUF&amp;reservation_id=31683492180169", "MHDUYRPUF")</f>
        <v>MHDUYRPUF</v>
      </c>
      <c r="B4422" t="s">
        <v>1227</v>
      </c>
      <c r="C4422">
        <v>134.1</v>
      </c>
      <c r="D4422">
        <v>145.76</v>
      </c>
      <c r="E4422">
        <v>145.77000000000001</v>
      </c>
      <c r="F4422">
        <v>-0.01</v>
      </c>
    </row>
    <row r="4423" spans="1:6" x14ac:dyDescent="0.3">
      <c r="A4423" t="str">
        <f>HYPERLINK("https://us2.cloudbeds.com/connect/10074733072513#/reservations/31689448431749?display=MHXHSA8PJ&amp;reservation_id=31689448431749", "MHXHSA8PJ")</f>
        <v>MHXHSA8PJ</v>
      </c>
      <c r="B4423" t="s">
        <v>1228</v>
      </c>
      <c r="C4423">
        <v>134.1</v>
      </c>
      <c r="D4423">
        <v>145.76</v>
      </c>
      <c r="E4423">
        <v>145.77000000000001</v>
      </c>
      <c r="F4423">
        <v>-0.01</v>
      </c>
    </row>
    <row r="4424" spans="1:6" x14ac:dyDescent="0.3">
      <c r="A4424" t="str">
        <f>HYPERLINK("https://us2.cloudbeds.com/connect/10074733072513#/reservations/31682042908885?display=MHCQKPM9R&amp;reservation_id=31682042908885", "MHCQKPM9R")</f>
        <v>MHCQKPM9R</v>
      </c>
      <c r="B4424" t="s">
        <v>1227</v>
      </c>
      <c r="C4424">
        <v>103.2</v>
      </c>
      <c r="D4424">
        <v>112.17</v>
      </c>
      <c r="E4424">
        <v>112.18</v>
      </c>
      <c r="F4424">
        <v>-0.01</v>
      </c>
    </row>
    <row r="4425" spans="1:6" x14ac:dyDescent="0.3">
      <c r="A4425" t="str">
        <f>HYPERLINK("https://us2.cloudbeds.com/connect/10074733072513#/reservations/31683440832655?display=MHDTBHVS6&amp;reservation_id=31683440832655", "MHDTBHVS6")</f>
        <v>MHDTBHVS6</v>
      </c>
      <c r="B4425" t="s">
        <v>1284</v>
      </c>
      <c r="C4425">
        <v>304.2</v>
      </c>
      <c r="D4425">
        <v>330.66</v>
      </c>
      <c r="E4425">
        <v>330.67</v>
      </c>
      <c r="F4425">
        <v>-0.01</v>
      </c>
    </row>
    <row r="4426" spans="1:6" x14ac:dyDescent="0.3">
      <c r="A4426" t="str">
        <f>HYPERLINK("https://us2.cloudbeds.com/connect/10074733072513#/reservations/31686015115420?display=MHFT485SR&amp;reservation_id=31686015115420", "MHFT485SR")</f>
        <v>MHFT485SR</v>
      </c>
      <c r="B4426" t="s">
        <v>1337</v>
      </c>
      <c r="C4426">
        <v>268.2</v>
      </c>
      <c r="D4426">
        <v>291.52</v>
      </c>
      <c r="E4426">
        <v>291.52999999999997</v>
      </c>
      <c r="F4426">
        <v>-0.01</v>
      </c>
    </row>
    <row r="4427" spans="1:6" x14ac:dyDescent="0.3">
      <c r="A4427" t="str">
        <f>HYPERLINK("https://us2.cloudbeds.com/connect/10074733072513#/reservations/31683718717643?display=MHE3ESHAD&amp;reservation_id=31683718717643", "MHE3ESHAD")</f>
        <v>MHE3ESHAD</v>
      </c>
      <c r="B4427" t="s">
        <v>1246</v>
      </c>
      <c r="C4427">
        <v>268.2</v>
      </c>
      <c r="D4427">
        <v>291.52</v>
      </c>
      <c r="E4427">
        <v>291.52999999999997</v>
      </c>
      <c r="F4427">
        <v>-0.01</v>
      </c>
    </row>
    <row r="4428" spans="1:6" x14ac:dyDescent="0.3">
      <c r="A4428" t="str">
        <f>HYPERLINK("https://us2.cloudbeds.com/connect/10074733072513#/reservations/31689461047444?display=MHXX5VAEC&amp;reservation_id=31689461047444", "MHXX5VAEC")</f>
        <v>MHXX5VAEC</v>
      </c>
      <c r="B4428" t="s">
        <v>1343</v>
      </c>
      <c r="C4428">
        <v>103.2</v>
      </c>
      <c r="D4428">
        <v>112.17</v>
      </c>
      <c r="E4428">
        <v>112.18</v>
      </c>
      <c r="F4428">
        <v>-0.01</v>
      </c>
    </row>
    <row r="4429" spans="1:6" x14ac:dyDescent="0.3">
      <c r="A4429" t="str">
        <f>HYPERLINK("https://us2.cloudbeds.com/connect/10074733072513#/reservations/31687594221696?display=MHH3FQ0RW&amp;reservation_id=31687594221696", "MHH3FQ0RW")</f>
        <v>MHH3FQ0RW</v>
      </c>
      <c r="B4429" t="s">
        <v>1346</v>
      </c>
      <c r="C4429">
        <v>375.3</v>
      </c>
      <c r="D4429">
        <v>407.94</v>
      </c>
      <c r="E4429">
        <v>407.95</v>
      </c>
      <c r="F4429">
        <v>-0.01</v>
      </c>
    </row>
    <row r="4430" spans="1:6" x14ac:dyDescent="0.3">
      <c r="A4430" t="str">
        <f>HYPERLINK("https://us2.cloudbeds.com/connect/10074733072513#/reservations/31685021012193?display=MHF3NWQ2K&amp;reservation_id=31685021012193", "MHF3NWQ2K")</f>
        <v>MHF3NWQ2K</v>
      </c>
      <c r="B4430" t="s">
        <v>1228</v>
      </c>
      <c r="C4430">
        <v>253.86</v>
      </c>
      <c r="D4430">
        <v>275.94</v>
      </c>
      <c r="E4430">
        <v>275.95</v>
      </c>
      <c r="F4430">
        <v>-0.01</v>
      </c>
    </row>
    <row r="4431" spans="1:6" x14ac:dyDescent="0.3">
      <c r="A4431" t="str">
        <f>HYPERLINK("https://us2.cloudbeds.com/connect/10074733072513#/reservations/31685026386103?display=MHF3SHAQC&amp;reservation_id=31685026386103", "MHF3SHAQC")</f>
        <v>MHF3SHAQC</v>
      </c>
      <c r="B4431" t="s">
        <v>1228</v>
      </c>
      <c r="C4431">
        <v>103.2</v>
      </c>
      <c r="D4431">
        <v>112.17</v>
      </c>
      <c r="E4431">
        <v>112.18</v>
      </c>
      <c r="F4431">
        <v>-0.01</v>
      </c>
    </row>
    <row r="4432" spans="1:6" x14ac:dyDescent="0.3">
      <c r="A4432" t="str">
        <f>HYPERLINK("https://us2.cloudbeds.com/connect/10074733072513#/reservations/31683690549456?display=MHE2Z3N6W&amp;reservation_id=31683690549456", "MHE2Z3N6W")</f>
        <v>MHE2Z3N6W</v>
      </c>
      <c r="B4432" t="s">
        <v>1335</v>
      </c>
      <c r="C4432">
        <v>103.2</v>
      </c>
      <c r="D4432">
        <v>112.17</v>
      </c>
      <c r="E4432">
        <v>112.18</v>
      </c>
      <c r="F4432">
        <v>-0.01</v>
      </c>
    </row>
    <row r="4433" spans="1:6" x14ac:dyDescent="0.3">
      <c r="A4433" t="str">
        <f>HYPERLINK("https://us2.cloudbeds.com/connect/10074733072513#/reservations/31687315079352?display=MHGTBDJG8&amp;reservation_id=31687315079352", "MHGTBDJG8")</f>
        <v>MHGTBDJG8</v>
      </c>
      <c r="B4433" t="s">
        <v>1228</v>
      </c>
      <c r="C4433">
        <v>536.4</v>
      </c>
      <c r="D4433">
        <v>583.05999999999995</v>
      </c>
      <c r="E4433">
        <v>583.07000000000005</v>
      </c>
      <c r="F4433">
        <v>-0.01</v>
      </c>
    </row>
    <row r="4434" spans="1:6" x14ac:dyDescent="0.3">
      <c r="A4434" t="str">
        <f>HYPERLINK("https://us2.cloudbeds.com/connect/10074733072513#/reservations/31687558586520?display=MHH2XZHNB&amp;reservation_id=31687558586520", "MHH2XZHNB")</f>
        <v>MHH2XZHNB</v>
      </c>
      <c r="B4434" t="s">
        <v>1318</v>
      </c>
      <c r="C4434">
        <v>103.2</v>
      </c>
      <c r="D4434">
        <v>112.17</v>
      </c>
      <c r="E4434">
        <v>112.18</v>
      </c>
      <c r="F4434">
        <v>-0.01</v>
      </c>
    </row>
    <row r="4435" spans="1:6" x14ac:dyDescent="0.3">
      <c r="A4435" t="str">
        <f>HYPERLINK("https://us2.cloudbeds.com/connect/10074733072513#/reservations/31683889344660?display=MHE7QZFK2&amp;reservation_id=31683889344660", "MHE7QZFK2")</f>
        <v>MHE7QZFK2</v>
      </c>
      <c r="B4435" t="s">
        <v>1337</v>
      </c>
      <c r="C4435">
        <v>103.2</v>
      </c>
      <c r="D4435">
        <v>112.17</v>
      </c>
      <c r="E4435">
        <v>112.18</v>
      </c>
      <c r="F4435">
        <v>-0.01</v>
      </c>
    </row>
    <row r="4436" spans="1:6" x14ac:dyDescent="0.3">
      <c r="A4436" t="str">
        <f>HYPERLINK("https://us2.cloudbeds.com/connect/10074733072513#/reservations/31685964091596?display=MHFRR7C1B&amp;reservation_id=31685964091596", "MHFRR7C1B")</f>
        <v>MHFRR7C1B</v>
      </c>
      <c r="B4436" t="s">
        <v>1337</v>
      </c>
      <c r="C4436">
        <v>103.2</v>
      </c>
      <c r="D4436">
        <v>112.17</v>
      </c>
      <c r="E4436">
        <v>112.18</v>
      </c>
      <c r="F4436">
        <v>-0.01</v>
      </c>
    </row>
    <row r="4437" spans="1:6" x14ac:dyDescent="0.3">
      <c r="A4437" t="str">
        <f>HYPERLINK("https://us2.cloudbeds.com/connect/10074733072513#/reservations/31684132159682?display=MHEE0G581&amp;reservation_id=31684132159682", "MHEE0G581")</f>
        <v>MHEE0G581</v>
      </c>
      <c r="B4437" t="s">
        <v>1139</v>
      </c>
      <c r="C4437">
        <v>143.66</v>
      </c>
      <c r="D4437">
        <v>156.15</v>
      </c>
      <c r="E4437">
        <v>156.16</v>
      </c>
      <c r="F4437">
        <v>-0.01</v>
      </c>
    </row>
    <row r="4438" spans="1:6" x14ac:dyDescent="0.3">
      <c r="A4438" t="str">
        <f>HYPERLINK("https://us2.cloudbeds.com/connect/10074733072513#/reservations/31685147750645?display=MHF6VSFYP&amp;reservation_id=31685147750645", "MHF6VSFYP")</f>
        <v>MHF6VSFYP</v>
      </c>
      <c r="B4438" t="s">
        <v>1100</v>
      </c>
      <c r="C4438">
        <v>154.24</v>
      </c>
      <c r="D4438">
        <v>167.65</v>
      </c>
      <c r="E4438">
        <v>167.66</v>
      </c>
      <c r="F4438">
        <v>-0.01</v>
      </c>
    </row>
    <row r="4439" spans="1:6" x14ac:dyDescent="0.3">
      <c r="A4439" t="str">
        <f>HYPERLINK("https://us2.cloudbeds.com/connect/10074733072513#/reservations/31687588343963?display=MHH3ARJ61&amp;reservation_id=31687588343963", "MHH3ARJ61")</f>
        <v>MHH3ARJ61</v>
      </c>
      <c r="B4439" t="s">
        <v>1318</v>
      </c>
      <c r="C4439">
        <v>103.2</v>
      </c>
      <c r="D4439">
        <v>112.17</v>
      </c>
      <c r="E4439">
        <v>112.18</v>
      </c>
      <c r="F4439">
        <v>-0.01</v>
      </c>
    </row>
    <row r="4440" spans="1:6" x14ac:dyDescent="0.3">
      <c r="A4440" t="str">
        <f>HYPERLINK("https://us2.cloudbeds.com/connect/10074733072513#/reservations/31682267086990?display=MHCWBQP4Z&amp;reservation_id=31682267086990", "MHCWBQP4Z")</f>
        <v>MHCWBQP4Z</v>
      </c>
      <c r="B4440" t="s">
        <v>1317</v>
      </c>
      <c r="C4440">
        <v>134.1</v>
      </c>
      <c r="D4440">
        <v>145.76</v>
      </c>
      <c r="E4440">
        <v>145.77000000000001</v>
      </c>
      <c r="F4440">
        <v>-0.01</v>
      </c>
    </row>
    <row r="4441" spans="1:6" x14ac:dyDescent="0.3">
      <c r="A4441" t="str">
        <f>HYPERLINK("https://us2.cloudbeds.com/connect/10074733072513#/reservations/31684937216181?display=MHF1JB1DH&amp;reservation_id=31684937216181", "MHF1JB1DH")</f>
        <v>MHF1JB1DH</v>
      </c>
      <c r="B4441" t="s">
        <v>1249</v>
      </c>
      <c r="C4441">
        <v>304.2</v>
      </c>
      <c r="D4441">
        <v>330.66</v>
      </c>
      <c r="E4441">
        <v>330.67</v>
      </c>
      <c r="F4441">
        <v>-0.01</v>
      </c>
    </row>
    <row r="4442" spans="1:6" x14ac:dyDescent="0.3">
      <c r="A4442" t="str">
        <f>HYPERLINK("https://us2.cloudbeds.com/connect/10074733072513#/reservations/31689217204383?display=MHXBVB0PN&amp;reservation_id=31689217204383", "MHXBVB0PN")</f>
        <v>MHXBVB0PN</v>
      </c>
      <c r="B4442" t="s">
        <v>1328</v>
      </c>
      <c r="C4442">
        <v>338.48</v>
      </c>
      <c r="D4442">
        <v>367.92</v>
      </c>
      <c r="E4442">
        <v>367.93</v>
      </c>
      <c r="F4442">
        <v>-0.01</v>
      </c>
    </row>
    <row r="4443" spans="1:6" x14ac:dyDescent="0.3">
      <c r="A4443" t="str">
        <f>HYPERLINK("https://us2.cloudbeds.com/connect/10074733072513#/reservations/31684850266320?display=MHEWC0HY8&amp;reservation_id=31684850266320", "MHEWC0HY8")</f>
        <v>MHEWC0HY8</v>
      </c>
      <c r="B4443" t="s">
        <v>1328</v>
      </c>
      <c r="C4443">
        <v>338.48</v>
      </c>
      <c r="D4443">
        <v>367.92</v>
      </c>
      <c r="E4443">
        <v>367.93</v>
      </c>
      <c r="F4443">
        <v>-0.01</v>
      </c>
    </row>
    <row r="4444" spans="1:6" x14ac:dyDescent="0.3">
      <c r="A4444" t="str">
        <f>HYPERLINK("https://us2.cloudbeds.com/connect/10074733072513#/reservations/31684795048141?display=MHEUVF083&amp;reservation_id=31684795048141", "MHEUVF083")</f>
        <v>MHEUVF083</v>
      </c>
      <c r="B4444" t="s">
        <v>1328</v>
      </c>
      <c r="C4444">
        <v>338.48</v>
      </c>
      <c r="D4444">
        <v>367.92</v>
      </c>
      <c r="E4444">
        <v>367.93</v>
      </c>
      <c r="F4444">
        <v>-0.01</v>
      </c>
    </row>
    <row r="4445" spans="1:6" x14ac:dyDescent="0.3">
      <c r="A4445" t="str">
        <f>HYPERLINK("https://us2.cloudbeds.com/connect/10074733072513#/reservations/31687106134186?display=MHGZ07CYX&amp;reservation_id=31687106134186", "MHGZ07CYX")</f>
        <v>MHGZ07CYX</v>
      </c>
      <c r="B4445" t="s">
        <v>1350</v>
      </c>
      <c r="C4445">
        <v>768.6</v>
      </c>
      <c r="D4445">
        <v>835.46</v>
      </c>
      <c r="E4445">
        <v>835.47</v>
      </c>
      <c r="F4445">
        <v>-0.01</v>
      </c>
    </row>
    <row r="4446" spans="1:6" x14ac:dyDescent="0.3">
      <c r="A4446" t="str">
        <f>HYPERLINK("https://us2.cloudbeds.com/connect/10074733072513#/reservations/31685850874054?display=MHFZUZUBZ&amp;reservation_id=31685850874054", "MHFZUZUBZ")</f>
        <v>MHFZUZUBZ</v>
      </c>
      <c r="B4446" t="s">
        <v>1350</v>
      </c>
      <c r="C4446">
        <v>768.6</v>
      </c>
      <c r="D4446">
        <v>835.46</v>
      </c>
      <c r="E4446">
        <v>835.47</v>
      </c>
      <c r="F4446">
        <v>-0.01</v>
      </c>
    </row>
    <row r="4447" spans="1:6" x14ac:dyDescent="0.3">
      <c r="A4447" t="str">
        <f>HYPERLINK("https://us2.cloudbeds.com/connect/10074733072513#/reservations/31687054430343?display=MHGMMKYCE&amp;reservation_id=31687054430343", "MHGMMKYCE")</f>
        <v>MHGMMKYCE</v>
      </c>
      <c r="B4447" t="s">
        <v>1280</v>
      </c>
      <c r="C4447">
        <v>447.3</v>
      </c>
      <c r="D4447">
        <v>486.21</v>
      </c>
      <c r="E4447">
        <v>486.22</v>
      </c>
      <c r="F4447">
        <v>-0.01</v>
      </c>
    </row>
    <row r="4448" spans="1:6" x14ac:dyDescent="0.3">
      <c r="A4448" t="str">
        <f>HYPERLINK("https://us2.cloudbeds.com/connect/10074733072513#/reservations/31681871241353?display=MHCM80PHD&amp;reservation_id=31681871241353", "MHCM80PHD")</f>
        <v>MHCM80PHD</v>
      </c>
      <c r="B4448" t="s">
        <v>1284</v>
      </c>
      <c r="C4448">
        <v>163.18</v>
      </c>
      <c r="D4448">
        <v>177.37</v>
      </c>
      <c r="E4448">
        <v>177.38</v>
      </c>
      <c r="F4448">
        <v>-0.01</v>
      </c>
    </row>
    <row r="4449" spans="1:6" x14ac:dyDescent="0.3">
      <c r="A4449" t="str">
        <f>HYPERLINK("https://us2.cloudbeds.com/connect/10074733072513#/reservations/31686434676905?display=MHG6S1347&amp;reservation_id=31686434676905", "MHG6S1347")</f>
        <v>MHG6S1347</v>
      </c>
      <c r="B4449" t="s">
        <v>1220</v>
      </c>
      <c r="C4449">
        <v>254.4</v>
      </c>
      <c r="D4449">
        <v>276.52</v>
      </c>
      <c r="E4449">
        <v>276.52999999999997</v>
      </c>
      <c r="F4449">
        <v>-0.01</v>
      </c>
    </row>
    <row r="4450" spans="1:6" x14ac:dyDescent="0.3">
      <c r="A4450" t="str">
        <f>HYPERLINK("https://us2.cloudbeds.com/connect/10074733072513#/reservations/31686425854099?display=MHG6KJJCF&amp;reservation_id=31686425854099", "MHG6KJJCF")</f>
        <v>MHG6KJJCF</v>
      </c>
      <c r="B4450" t="s">
        <v>1220</v>
      </c>
      <c r="C4450">
        <v>103.2</v>
      </c>
      <c r="D4450">
        <v>112.17</v>
      </c>
      <c r="E4450">
        <v>112.18</v>
      </c>
      <c r="F4450">
        <v>-0.01</v>
      </c>
    </row>
    <row r="4451" spans="1:6" x14ac:dyDescent="0.3">
      <c r="A4451" t="str">
        <f>HYPERLINK("https://us2.cloudbeds.com/connect/10074733072513#/reservations/31689254072552?display=MHXCTDURV&amp;reservation_id=31689254072552", "MHXCTDURV")</f>
        <v>MHXCTDURV</v>
      </c>
      <c r="B4451" t="s">
        <v>1352</v>
      </c>
      <c r="C4451">
        <v>103.2</v>
      </c>
      <c r="D4451">
        <v>112.17</v>
      </c>
      <c r="E4451">
        <v>112.18</v>
      </c>
      <c r="F4451">
        <v>-0.01</v>
      </c>
    </row>
    <row r="4452" spans="1:6" x14ac:dyDescent="0.3">
      <c r="A4452" t="str">
        <f>HYPERLINK("https://us2.cloudbeds.com/connect/10074733072513#/reservations/31689825091738?display=MHXRFUCNY&amp;reservation_id=31689825091738", "MHXRFUCNY")</f>
        <v>MHXRFUCNY</v>
      </c>
      <c r="B4452" t="s">
        <v>1328</v>
      </c>
      <c r="C4452">
        <v>103.2</v>
      </c>
      <c r="D4452">
        <v>112.17</v>
      </c>
      <c r="E4452">
        <v>112.18</v>
      </c>
      <c r="F4452">
        <v>-0.01</v>
      </c>
    </row>
    <row r="4453" spans="1:6" x14ac:dyDescent="0.3">
      <c r="A4453" t="str">
        <f>HYPERLINK("https://us2.cloudbeds.com/connect/10074733072513#/reservations/31682750128303?display=MHDBN4389&amp;reservation_id=31682750128303", "MHDBN4389")</f>
        <v>MHDBN4389</v>
      </c>
      <c r="B4453" t="s">
        <v>1115</v>
      </c>
      <c r="C4453">
        <v>103.2</v>
      </c>
      <c r="D4453">
        <v>112.17</v>
      </c>
      <c r="E4453">
        <v>112.18</v>
      </c>
      <c r="F4453">
        <v>-0.01</v>
      </c>
    </row>
    <row r="4454" spans="1:6" x14ac:dyDescent="0.3">
      <c r="A4454" t="str">
        <f>HYPERLINK("https://us2.cloudbeds.com/connect/10074733072513#/reservations/31693289545934?display=MHYH07UN3&amp;reservation_id=31693289545934", "MHYH07UN3")</f>
        <v>MHYH07UN3</v>
      </c>
      <c r="B4454" t="s">
        <v>1349</v>
      </c>
      <c r="C4454">
        <v>247.3</v>
      </c>
      <c r="D4454">
        <v>268.81</v>
      </c>
      <c r="E4454">
        <v>268.82</v>
      </c>
      <c r="F4454">
        <v>-0.01</v>
      </c>
    </row>
    <row r="4455" spans="1:6" x14ac:dyDescent="0.3">
      <c r="A4455" t="str">
        <f>HYPERLINK("https://us2.cloudbeds.com/connect/10074733072513#/reservations/31684345954493?display=MHEJFPACM&amp;reservation_id=31684345954493", "MHEJFPACM")</f>
        <v>MHEJFPACM</v>
      </c>
      <c r="B4455" t="s">
        <v>1340</v>
      </c>
      <c r="C4455">
        <v>103.2</v>
      </c>
      <c r="D4455">
        <v>112.17</v>
      </c>
      <c r="E4455">
        <v>112.18</v>
      </c>
      <c r="F4455">
        <v>-0.01</v>
      </c>
    </row>
    <row r="4456" spans="1:6" x14ac:dyDescent="0.3">
      <c r="A4456" t="str">
        <f>HYPERLINK("https://us2.cloudbeds.com/connect/10074733072513#/reservations/31689616052373?display=MHXM4YXCE&amp;reservation_id=31689616052373", "MHXM4YXCE")</f>
        <v>MHXM4YXCE</v>
      </c>
      <c r="B4456" t="s">
        <v>1210</v>
      </c>
      <c r="C4456">
        <v>103.2</v>
      </c>
      <c r="D4456">
        <v>112.17</v>
      </c>
      <c r="E4456">
        <v>112.18</v>
      </c>
      <c r="F4456">
        <v>-0.01</v>
      </c>
    </row>
    <row r="4457" spans="1:6" x14ac:dyDescent="0.3">
      <c r="A4457" t="str">
        <f>HYPERLINK("https://us2.cloudbeds.com/connect/10074733072513#/reservations/31684395913377?display=MHEKZTGA8&amp;reservation_id=31684395913377", "MHEKZTGA8")</f>
        <v>MHEKZTGA8</v>
      </c>
      <c r="B4457" t="s">
        <v>1340</v>
      </c>
      <c r="C4457">
        <v>103.2</v>
      </c>
      <c r="D4457">
        <v>112.17</v>
      </c>
      <c r="E4457">
        <v>112.18</v>
      </c>
      <c r="F4457">
        <v>-0.01</v>
      </c>
    </row>
    <row r="4458" spans="1:6" x14ac:dyDescent="0.3">
      <c r="A4458" t="str">
        <f>HYPERLINK("https://us2.cloudbeds.com/connect/10074733072513#/reservations/31684381065357?display=MHEKCCAP7&amp;reservation_id=31684381065357", "MHEKCCAP7")</f>
        <v>MHEKCCAP7</v>
      </c>
      <c r="B4458" t="s">
        <v>1340</v>
      </c>
      <c r="C4458">
        <v>134.1</v>
      </c>
      <c r="D4458">
        <v>145.76</v>
      </c>
      <c r="E4458">
        <v>145.77000000000001</v>
      </c>
      <c r="F4458">
        <v>-0.01</v>
      </c>
    </row>
    <row r="4459" spans="1:6" x14ac:dyDescent="0.3">
      <c r="A4459" t="str">
        <f>HYPERLINK("https://us2.cloudbeds.com/connect/10074733072513#/reservations/31682905936071?display=MHDFMGMDQ&amp;reservation_id=31682905936071", "MHDFMGMDQ")</f>
        <v>MHDFMGMDQ</v>
      </c>
      <c r="B4459" t="s">
        <v>1359</v>
      </c>
      <c r="C4459">
        <v>152.15</v>
      </c>
      <c r="D4459">
        <v>165.38</v>
      </c>
      <c r="E4459">
        <v>165.39</v>
      </c>
      <c r="F4459">
        <v>-0.01</v>
      </c>
    </row>
    <row r="4460" spans="1:6" x14ac:dyDescent="0.3">
      <c r="A4460" t="str">
        <f>HYPERLINK("https://us2.cloudbeds.com/connect/10074733072513#/reservations/31692177019071?display=MHKYJ47JS&amp;reservation_id=31692177019071", "MHKYJ47JS")</f>
        <v>MHKYJ47JS</v>
      </c>
      <c r="B4460" t="s">
        <v>1349</v>
      </c>
      <c r="C4460">
        <v>302.39999999999998</v>
      </c>
      <c r="D4460">
        <v>328.7</v>
      </c>
      <c r="E4460">
        <v>328.71</v>
      </c>
      <c r="F4460">
        <v>-0.01</v>
      </c>
    </row>
    <row r="4461" spans="1:6" x14ac:dyDescent="0.3">
      <c r="A4461" t="str">
        <f>HYPERLINK("https://us2.cloudbeds.com/connect/10074733072513#/reservations/31684523786395?display=MHEZ0NZZ6&amp;reservation_id=31684523786395", "MHEZ0NZZ6")</f>
        <v>MHEZ0NZZ6</v>
      </c>
      <c r="B4461" t="s">
        <v>1351</v>
      </c>
      <c r="C4461">
        <v>357.3</v>
      </c>
      <c r="D4461">
        <v>388.38</v>
      </c>
      <c r="E4461">
        <v>388.39</v>
      </c>
      <c r="F4461">
        <v>-0.01</v>
      </c>
    </row>
    <row r="4462" spans="1:6" x14ac:dyDescent="0.3">
      <c r="A4462" t="str">
        <f>HYPERLINK("https://us2.cloudbeds.com/connect/10074733072513#/reservations/31691790389451?display=MHKBN3MQQ&amp;reservation_id=31691790389451", "MHKBN3MQQ")</f>
        <v>MHKBN3MQQ</v>
      </c>
      <c r="B4462" t="s">
        <v>1270</v>
      </c>
      <c r="C4462">
        <v>268.2</v>
      </c>
      <c r="D4462">
        <v>291.52</v>
      </c>
      <c r="E4462">
        <v>291.52999999999997</v>
      </c>
      <c r="F4462">
        <v>-0.01</v>
      </c>
    </row>
    <row r="4463" spans="1:6" x14ac:dyDescent="0.3">
      <c r="A4463" t="str">
        <f>HYPERLINK("https://us2.cloudbeds.com/connect/10074733072513#/reservations/31683834069154?display=MHE6D4BXZ&amp;reservation_id=31683834069154", "MHE6D4BXZ")</f>
        <v>MHE6D4BXZ</v>
      </c>
      <c r="B4463" t="s">
        <v>1210</v>
      </c>
      <c r="C4463">
        <v>375.3</v>
      </c>
      <c r="D4463">
        <v>407.94</v>
      </c>
      <c r="E4463">
        <v>407.95</v>
      </c>
      <c r="F4463">
        <v>-0.01</v>
      </c>
    </row>
    <row r="4464" spans="1:6" x14ac:dyDescent="0.3">
      <c r="A4464" t="str">
        <f>HYPERLINK("https://us2.cloudbeds.com/connect/10074733072513#/reservations/31691240181997?display=MHJUY5BQY&amp;reservation_id=31691240181997", "MHJUY5BQY")</f>
        <v>MHJUY5BQY</v>
      </c>
      <c r="B4464" t="s">
        <v>1305</v>
      </c>
      <c r="C4464">
        <v>500.4</v>
      </c>
      <c r="D4464">
        <v>543.91999999999996</v>
      </c>
      <c r="E4464">
        <v>543.92999999999995</v>
      </c>
      <c r="F4464">
        <v>-0.01</v>
      </c>
    </row>
    <row r="4465" spans="1:6" x14ac:dyDescent="0.3">
      <c r="A4465" t="str">
        <f>HYPERLINK("https://us2.cloudbeds.com/connect/10074733072513#/reservations/31692088045823?display=MHKJA3DQS&amp;reservation_id=31692088045823", "MHKJA3DQS")</f>
        <v>MHKJA3DQS</v>
      </c>
      <c r="B4465" t="s">
        <v>1297</v>
      </c>
      <c r="C4465">
        <v>304.2</v>
      </c>
      <c r="D4465">
        <v>330.66</v>
      </c>
      <c r="E4465">
        <v>330.67</v>
      </c>
      <c r="F4465">
        <v>-0.01</v>
      </c>
    </row>
    <row r="4466" spans="1:6" x14ac:dyDescent="0.3">
      <c r="A4466" t="str">
        <f>HYPERLINK("https://us2.cloudbeds.com/connect/10074733072513#/reservations/31692057419969?display=MHKXAWABN&amp;reservation_id=31692057419969", "MHKXAWABN")</f>
        <v>MHKXAWABN</v>
      </c>
      <c r="B4466" t="s">
        <v>1345</v>
      </c>
      <c r="C4466">
        <v>384.3</v>
      </c>
      <c r="D4466">
        <v>417.72</v>
      </c>
      <c r="E4466">
        <v>417.73</v>
      </c>
      <c r="F4466">
        <v>-0.01</v>
      </c>
    </row>
    <row r="4467" spans="1:6" x14ac:dyDescent="0.3">
      <c r="A4467" t="str">
        <f>HYPERLINK("https://us2.cloudbeds.com/connect/10074733072513#/reservations/31683708813488?display=MHE36GUJG&amp;reservation_id=31683708813488", "MHE36GUJG")</f>
        <v>MHE36GUJG</v>
      </c>
      <c r="B4467" t="s">
        <v>1367</v>
      </c>
      <c r="C4467">
        <v>268.2</v>
      </c>
      <c r="D4467">
        <v>291.52</v>
      </c>
      <c r="E4467">
        <v>291.52999999999997</v>
      </c>
      <c r="F4467">
        <v>-0.01</v>
      </c>
    </row>
    <row r="4468" spans="1:6" x14ac:dyDescent="0.3">
      <c r="A4468" t="str">
        <f>HYPERLINK("https://us2.cloudbeds.com/connect/10074733072513#/reservations/31683495186637?display=MHDUZCEMX&amp;reservation_id=31683495186637", "MHDUZCEMX")</f>
        <v>MHDUZCEMX</v>
      </c>
      <c r="B4468" t="s">
        <v>1297</v>
      </c>
      <c r="C4468">
        <v>304.2</v>
      </c>
      <c r="D4468">
        <v>330.66</v>
      </c>
      <c r="E4468">
        <v>330.67</v>
      </c>
      <c r="F4468">
        <v>-0.01</v>
      </c>
    </row>
    <row r="4469" spans="1:6" x14ac:dyDescent="0.3">
      <c r="A4469" t="str">
        <f>HYPERLINK("https://us2.cloudbeds.com/connect/10074733072513#/reservations/31690939932809?display=MHJMVWFTD&amp;reservation_id=31690939932809", "MHJMVWFTD")</f>
        <v>MHJMVWFTD</v>
      </c>
      <c r="B4469" t="s">
        <v>1345</v>
      </c>
      <c r="C4469">
        <v>134.1</v>
      </c>
      <c r="D4469">
        <v>145.76</v>
      </c>
      <c r="E4469">
        <v>145.77000000000001</v>
      </c>
      <c r="F4469">
        <v>-0.01</v>
      </c>
    </row>
    <row r="4470" spans="1:6" x14ac:dyDescent="0.3">
      <c r="A4470" t="str">
        <f>HYPERLINK("https://us2.cloudbeds.com/connect/10074733072513#/reservations/31684975075462?display=MHF2X8HJF&amp;reservation_id=31684975075462", "MHF2X8HJF")</f>
        <v>MHF2X8HJF</v>
      </c>
      <c r="B4470" t="s">
        <v>1372</v>
      </c>
      <c r="C4470">
        <v>268.2</v>
      </c>
      <c r="D4470">
        <v>291.52</v>
      </c>
      <c r="E4470">
        <v>291.52999999999997</v>
      </c>
      <c r="F4470">
        <v>-0.01</v>
      </c>
    </row>
    <row r="4471" spans="1:6" x14ac:dyDescent="0.3">
      <c r="A4471" t="str">
        <f>HYPERLINK("https://us2.cloudbeds.com/connect/10074733072513#/reservations/31691901890799?display=MHKEX4CXG&amp;reservation_id=31691901890799", "MHKEX4CXG")</f>
        <v>MHKEX4CXG</v>
      </c>
      <c r="B4471" t="s">
        <v>1360</v>
      </c>
      <c r="C4471">
        <v>268.2</v>
      </c>
      <c r="D4471">
        <v>291.52</v>
      </c>
      <c r="E4471">
        <v>291.52999999999997</v>
      </c>
      <c r="F4471">
        <v>-0.01</v>
      </c>
    </row>
    <row r="4472" spans="1:6" x14ac:dyDescent="0.3">
      <c r="A4472" t="str">
        <f>HYPERLINK("https://us2.cloudbeds.com/connect/10074733072513#/reservations/31686132793510?display=MHFW4FZXX&amp;reservation_id=31686132793510", "MHFW4FZXX")</f>
        <v>MHFW4FZXX</v>
      </c>
      <c r="B4472" t="s">
        <v>1356</v>
      </c>
      <c r="C4472">
        <v>285.60000000000002</v>
      </c>
      <c r="D4472">
        <v>310.44</v>
      </c>
      <c r="E4472">
        <v>310.45</v>
      </c>
      <c r="F4472">
        <v>-0.01</v>
      </c>
    </row>
    <row r="4473" spans="1:6" x14ac:dyDescent="0.3">
      <c r="A4473" t="str">
        <f>HYPERLINK("https://us2.cloudbeds.com/connect/10074733072513#/reservations/31681840865478?display=MHCYFDH5B&amp;reservation_id=31681840865478", "MHCYFDH5B")</f>
        <v>MHCYFDH5B</v>
      </c>
      <c r="B4473" t="s">
        <v>1284</v>
      </c>
      <c r="C4473">
        <v>277.2</v>
      </c>
      <c r="D4473">
        <v>301.31</v>
      </c>
      <c r="E4473">
        <v>301.32</v>
      </c>
      <c r="F4473">
        <v>-0.01</v>
      </c>
    </row>
    <row r="4474" spans="1:6" x14ac:dyDescent="0.3">
      <c r="A4474" t="str">
        <f>HYPERLINK("https://us2.cloudbeds.com/connect/10074733072513#/reservations/31686655377623?display=MHGCG4DPP&amp;reservation_id=31686655377623", "MHGCG4DPP")</f>
        <v>MHGCG4DPP</v>
      </c>
      <c r="B4474" t="s">
        <v>1013</v>
      </c>
      <c r="C4474">
        <v>134.1</v>
      </c>
      <c r="D4474">
        <v>145.76</v>
      </c>
      <c r="E4474">
        <v>145.77000000000001</v>
      </c>
      <c r="F4474">
        <v>-0.01</v>
      </c>
    </row>
    <row r="4475" spans="1:6" x14ac:dyDescent="0.3">
      <c r="A4475" t="str">
        <f>HYPERLINK("https://us2.cloudbeds.com/connect/10074733072513#/reservations/31687548113136?display=MHH29U391&amp;reservation_id=31687548113136", "MHH29U391")</f>
        <v>MHH29U391</v>
      </c>
      <c r="B4475" t="s">
        <v>1373</v>
      </c>
      <c r="C4475">
        <v>134.1</v>
      </c>
      <c r="D4475">
        <v>145.76</v>
      </c>
      <c r="E4475">
        <v>145.77000000000001</v>
      </c>
      <c r="F4475">
        <v>-0.01</v>
      </c>
    </row>
    <row r="4476" spans="1:6" x14ac:dyDescent="0.3">
      <c r="A4476" t="str">
        <f>HYPERLINK("https://us2.cloudbeds.com/connect/10074733072513#/reservations/31690473607388?display=MHJB1P9X1&amp;reservation_id=31690473607388", "MHJB1P9X1")</f>
        <v>MHJB1P9X1</v>
      </c>
      <c r="B4476" t="s">
        <v>1284</v>
      </c>
      <c r="C4476">
        <v>250.2</v>
      </c>
      <c r="D4476">
        <v>271.95999999999998</v>
      </c>
      <c r="E4476">
        <v>271.97000000000003</v>
      </c>
      <c r="F4476">
        <v>-0.01</v>
      </c>
    </row>
    <row r="4477" spans="1:6" x14ac:dyDescent="0.3">
      <c r="A4477" t="str">
        <f>HYPERLINK("https://us2.cloudbeds.com/connect/10074733072513#/reservations/31690449789127?display=MHJAEMGSX&amp;reservation_id=31690449789127", "MHJAEMGSX")</f>
        <v>MHJAEMGSX</v>
      </c>
      <c r="B4477" t="s">
        <v>1284</v>
      </c>
      <c r="C4477">
        <v>170.1</v>
      </c>
      <c r="D4477">
        <v>184.89</v>
      </c>
      <c r="E4477">
        <v>184.9</v>
      </c>
      <c r="F4477">
        <v>-0.01</v>
      </c>
    </row>
    <row r="4478" spans="1:6" x14ac:dyDescent="0.3">
      <c r="A4478" t="str">
        <f>HYPERLINK("https://us2.cloudbeds.com/connect/10074733072513#/reservations/31681885790337?display=MHCMK9KFN&amp;reservation_id=31681885790337", "MHCMK9KFN")</f>
        <v>MHCMK9KFN</v>
      </c>
      <c r="B4478" t="s">
        <v>1284</v>
      </c>
      <c r="C4478">
        <v>134.1</v>
      </c>
      <c r="D4478">
        <v>145.76</v>
      </c>
      <c r="E4478">
        <v>145.77000000000001</v>
      </c>
      <c r="F4478">
        <v>-0.01</v>
      </c>
    </row>
    <row r="4479" spans="1:6" x14ac:dyDescent="0.3">
      <c r="A4479" t="str">
        <f>HYPERLINK("https://us2.cloudbeds.com/connect/10074733072513#/reservations/31683411321053?display=MHDSJYP46&amp;reservation_id=31683411321053", "MHDSJYP46")</f>
        <v>MHDSJYP46</v>
      </c>
      <c r="B4479" t="s">
        <v>1284</v>
      </c>
      <c r="C4479">
        <v>134.1</v>
      </c>
      <c r="D4479">
        <v>145.76</v>
      </c>
      <c r="E4479">
        <v>145.77000000000001</v>
      </c>
      <c r="F4479">
        <v>-0.01</v>
      </c>
    </row>
    <row r="4480" spans="1:6" x14ac:dyDescent="0.3">
      <c r="A4480" t="str">
        <f>HYPERLINK("https://us2.cloudbeds.com/connect/10074733072513#/reservations/31683462480060?display=MHDTTQB35&amp;reservation_id=31683462480060", "MHDTTQB35")</f>
        <v>MHDTTQB35</v>
      </c>
      <c r="B4480" t="s">
        <v>1284</v>
      </c>
      <c r="C4480">
        <v>170.1</v>
      </c>
      <c r="D4480">
        <v>184.89</v>
      </c>
      <c r="E4480">
        <v>184.9</v>
      </c>
      <c r="F4480">
        <v>-0.01</v>
      </c>
    </row>
    <row r="4481" spans="1:6" x14ac:dyDescent="0.3">
      <c r="A4481" t="str">
        <f>HYPERLINK("https://us2.cloudbeds.com/connect/10074733072513#/reservations/31687674536161?display=MHH5HH06R&amp;reservation_id=31687674536161", "MHH5HH06R")</f>
        <v>MHH5HH06R</v>
      </c>
      <c r="B4481" t="s">
        <v>1259</v>
      </c>
      <c r="C4481">
        <v>268.2</v>
      </c>
      <c r="D4481">
        <v>291.52</v>
      </c>
      <c r="E4481">
        <v>291.52999999999997</v>
      </c>
      <c r="F4481">
        <v>-0.01</v>
      </c>
    </row>
    <row r="4482" spans="1:6" x14ac:dyDescent="0.3">
      <c r="A4482" t="str">
        <f>HYPERLINK("https://us2.cloudbeds.com/connect/10074733072513#/reservations/31692167196818?display=MHKYARU2Z&amp;reservation_id=31692167196818", "MHKYARU2Z")</f>
        <v>MHKYARU2Z</v>
      </c>
      <c r="B4482" t="s">
        <v>1331</v>
      </c>
      <c r="C4482">
        <v>134.1</v>
      </c>
      <c r="D4482">
        <v>145.76</v>
      </c>
      <c r="E4482">
        <v>145.77000000000001</v>
      </c>
      <c r="F4482">
        <v>-0.01</v>
      </c>
    </row>
    <row r="4483" spans="1:6" x14ac:dyDescent="0.3">
      <c r="A4483" t="str">
        <f>HYPERLINK("https://us2.cloudbeds.com/connect/10074733072513#/reservations/31691157618907?display=MHJSHHU9R&amp;reservation_id=31691157618907", "MHJSHHU9R")</f>
        <v>MHJSHHU9R</v>
      </c>
      <c r="B4483" t="s">
        <v>1013</v>
      </c>
      <c r="C4483">
        <v>268.2</v>
      </c>
      <c r="D4483">
        <v>291.52</v>
      </c>
      <c r="E4483">
        <v>291.52999999999997</v>
      </c>
      <c r="F4483">
        <v>-0.01</v>
      </c>
    </row>
    <row r="4484" spans="1:6" x14ac:dyDescent="0.3">
      <c r="A4484" t="str">
        <f>HYPERLINK("https://us2.cloudbeds.com/connect/10074733072513#/reservations/31690156204221?display=MHJ2V42J8&amp;reservation_id=31690156204221", "MHJ2V42J8")</f>
        <v>MHJ2V42J8</v>
      </c>
      <c r="B4484" t="s">
        <v>1357</v>
      </c>
      <c r="C4484">
        <v>134.1</v>
      </c>
      <c r="D4484">
        <v>145.76</v>
      </c>
      <c r="E4484">
        <v>145.77000000000001</v>
      </c>
      <c r="F4484">
        <v>-0.01</v>
      </c>
    </row>
    <row r="4485" spans="1:6" x14ac:dyDescent="0.3">
      <c r="A4485" t="str">
        <f>HYPERLINK("https://us2.cloudbeds.com/connect/10074733072513#/reservations/31687691370648?display=MHH5VNESQ&amp;reservation_id=31687691370648", "MHH5VNESQ")</f>
        <v>MHH5VNESQ</v>
      </c>
      <c r="B4485" t="s">
        <v>1259</v>
      </c>
      <c r="C4485">
        <v>134.1</v>
      </c>
      <c r="D4485">
        <v>145.76</v>
      </c>
      <c r="E4485">
        <v>145.77000000000001</v>
      </c>
      <c r="F4485">
        <v>-0.01</v>
      </c>
    </row>
    <row r="4486" spans="1:6" x14ac:dyDescent="0.3">
      <c r="A4486" t="str">
        <f>HYPERLINK("https://us2.cloudbeds.com/connect/10074733072513#/reservations/31685888471278?display=MHFPTF3TX&amp;reservation_id=31685888471278", "MHFPTF3TX")</f>
        <v>MHFPTF3TX</v>
      </c>
      <c r="B4486" t="s">
        <v>1357</v>
      </c>
      <c r="C4486">
        <v>268.2</v>
      </c>
      <c r="D4486">
        <v>291.52</v>
      </c>
      <c r="E4486">
        <v>291.52999999999997</v>
      </c>
      <c r="F4486">
        <v>-0.01</v>
      </c>
    </row>
    <row r="4487" spans="1:6" x14ac:dyDescent="0.3">
      <c r="A4487" t="str">
        <f>HYPERLINK("https://us2.cloudbeds.com/connect/10074733072513#/reservations/31687975850155?display=MHHD7JGTU&amp;reservation_id=31687975850155", "MHHD7JGTU")</f>
        <v>MHHD7JGTU</v>
      </c>
      <c r="B4487" t="s">
        <v>1331</v>
      </c>
      <c r="C4487">
        <v>134.1</v>
      </c>
      <c r="D4487">
        <v>145.76</v>
      </c>
      <c r="E4487">
        <v>145.77000000000001</v>
      </c>
      <c r="F4487">
        <v>-0.01</v>
      </c>
    </row>
    <row r="4488" spans="1:6" x14ac:dyDescent="0.3">
      <c r="A4488" t="str">
        <f>HYPERLINK("https://us2.cloudbeds.com/connect/10074733072513#/reservations/31688141729953?display=MHHHFFBVF&amp;reservation_id=31688141729953", "MHHHFFBVF")</f>
        <v>MHHHFFBVF</v>
      </c>
      <c r="B4488" t="s">
        <v>1360</v>
      </c>
      <c r="C4488">
        <v>268.2</v>
      </c>
      <c r="D4488">
        <v>291.52</v>
      </c>
      <c r="E4488">
        <v>291.52999999999997</v>
      </c>
      <c r="F4488">
        <v>-0.01</v>
      </c>
    </row>
    <row r="4489" spans="1:6" x14ac:dyDescent="0.3">
      <c r="A4489" t="str">
        <f>HYPERLINK("https://us2.cloudbeds.com/connect/10074733072513#/reservations/31685715964140?display=MHFYFWS4H&amp;reservation_id=31685715964140", "MHFYFWS4H")</f>
        <v>MHFYFWS4H</v>
      </c>
      <c r="B4489" t="s">
        <v>1013</v>
      </c>
      <c r="C4489">
        <v>268.2</v>
      </c>
      <c r="D4489">
        <v>291.52</v>
      </c>
      <c r="E4489">
        <v>291.52999999999997</v>
      </c>
      <c r="F4489">
        <v>-0.01</v>
      </c>
    </row>
    <row r="4490" spans="1:6" x14ac:dyDescent="0.3">
      <c r="A4490" t="str">
        <f>HYPERLINK("https://us2.cloudbeds.com/connect/10074733072513#/reservations/31691846226171?display=MHKD46E6K&amp;reservation_id=31691846226171", "MHKD46E6K")</f>
        <v>MHKD46E6K</v>
      </c>
      <c r="B4490" t="s">
        <v>1360</v>
      </c>
      <c r="C4490">
        <v>268.2</v>
      </c>
      <c r="D4490">
        <v>291.52</v>
      </c>
      <c r="E4490">
        <v>291.52999999999997</v>
      </c>
      <c r="F4490">
        <v>-0.01</v>
      </c>
    </row>
    <row r="4491" spans="1:6" x14ac:dyDescent="0.3">
      <c r="A4491" t="str">
        <f>HYPERLINK("https://us2.cloudbeds.com/connect/10074733072513#/reservations/31685697573037?display=MHFY0G32C&amp;reservation_id=31685697573037", "MHFY0G32C")</f>
        <v>MHFY0G32C</v>
      </c>
      <c r="B4491" t="s">
        <v>1013</v>
      </c>
      <c r="C4491">
        <v>304.2</v>
      </c>
      <c r="D4491">
        <v>330.66</v>
      </c>
      <c r="E4491">
        <v>330.67</v>
      </c>
      <c r="F4491">
        <v>-0.01</v>
      </c>
    </row>
    <row r="4492" spans="1:6" x14ac:dyDescent="0.3">
      <c r="A4492" t="str">
        <f>HYPERLINK("https://us2.cloudbeds.com/connect/10074733072513#/reservations/31688059314390?display=MHHFBW0U5&amp;reservation_id=31688059314390", "MHHFBW0U5")</f>
        <v>MHHFBW0U5</v>
      </c>
      <c r="B4492" t="s">
        <v>1360</v>
      </c>
      <c r="C4492">
        <v>268.2</v>
      </c>
      <c r="D4492">
        <v>291.52</v>
      </c>
      <c r="E4492">
        <v>291.52999999999997</v>
      </c>
      <c r="F4492">
        <v>-0.01</v>
      </c>
    </row>
    <row r="4493" spans="1:6" x14ac:dyDescent="0.3">
      <c r="A4493" t="str">
        <f>HYPERLINK("https://us2.cloudbeds.com/connect/10074733072513#/reservations/31691192426741?display=MHJTDTGDM&amp;reservation_id=31691192426741", "MHJTDTGDM")</f>
        <v>MHJTDTGDM</v>
      </c>
      <c r="B4493" t="s">
        <v>1013</v>
      </c>
      <c r="C4493">
        <v>143.65</v>
      </c>
      <c r="D4493">
        <v>156.13999999999999</v>
      </c>
      <c r="E4493">
        <v>156.15</v>
      </c>
      <c r="F4493">
        <v>-0.01</v>
      </c>
    </row>
    <row r="4494" spans="1:6" x14ac:dyDescent="0.3">
      <c r="A4494" t="str">
        <f>HYPERLINK("https://us2.cloudbeds.com/connect/10074733072513#/reservations/31687035769053?display=MHGM6TC6Q&amp;reservation_id=31687035769053", "MHGM6TC6Q")</f>
        <v>MHGM6TC6Q</v>
      </c>
      <c r="B4494" t="s">
        <v>1381</v>
      </c>
      <c r="C4494">
        <v>87.2</v>
      </c>
      <c r="D4494">
        <v>94.78</v>
      </c>
      <c r="E4494">
        <v>94.79</v>
      </c>
      <c r="F4494">
        <v>-0.01</v>
      </c>
    </row>
    <row r="4495" spans="1:6" x14ac:dyDescent="0.3">
      <c r="A4495" t="str">
        <f>HYPERLINK("https://us2.cloudbeds.com/connect/10074733072513#/reservations/31685759934708?display=MHFMK2D4W&amp;reservation_id=31685759934708", "MHFMK2D4W")</f>
        <v>MHFMK2D4W</v>
      </c>
      <c r="B4495" t="s">
        <v>1013</v>
      </c>
      <c r="C4495">
        <v>170.1</v>
      </c>
      <c r="D4495">
        <v>184.89</v>
      </c>
      <c r="E4495">
        <v>184.9</v>
      </c>
      <c r="F4495">
        <v>-0.01</v>
      </c>
    </row>
    <row r="4496" spans="1:6" x14ac:dyDescent="0.3">
      <c r="A4496" t="str">
        <f>HYPERLINK("https://us2.cloudbeds.com/connect/10074733072513#/reservations/31688008573126?display=MHHE262X3&amp;reservation_id=31688008573126", "MHHE262X3")</f>
        <v>MHHE262X3</v>
      </c>
      <c r="B4496" t="s">
        <v>1368</v>
      </c>
      <c r="C4496">
        <v>127.2</v>
      </c>
      <c r="D4496">
        <v>138.26</v>
      </c>
      <c r="E4496">
        <v>138.27000000000001</v>
      </c>
      <c r="F4496">
        <v>-0.01</v>
      </c>
    </row>
    <row r="4497" spans="1:6" x14ac:dyDescent="0.3">
      <c r="A4497" t="str">
        <f>HYPERLINK("https://us2.cloudbeds.com/connect/10074733072513#/reservations/31688016679076?display=MHHE90Y0V&amp;reservation_id=31688016679076", "MHHE90Y0V")</f>
        <v>MHHE90Y0V</v>
      </c>
      <c r="B4497" t="s">
        <v>1368</v>
      </c>
      <c r="C4497">
        <v>127.2</v>
      </c>
      <c r="D4497">
        <v>138.26</v>
      </c>
      <c r="E4497">
        <v>138.27000000000001</v>
      </c>
      <c r="F4497">
        <v>-0.01</v>
      </c>
    </row>
    <row r="4498" spans="1:6" x14ac:dyDescent="0.3">
      <c r="A4498" t="str">
        <f>HYPERLINK("https://us2.cloudbeds.com/connect/10074733072513#/reservations/31692707709147?display=MHY24KFAB&amp;reservation_id=31692707709147", "MHY24KFAB")</f>
        <v>MHY24KFAB</v>
      </c>
      <c r="B4498" t="s">
        <v>1348</v>
      </c>
      <c r="C4498">
        <v>127.2</v>
      </c>
      <c r="D4498">
        <v>138.26</v>
      </c>
      <c r="E4498">
        <v>138.27000000000001</v>
      </c>
      <c r="F4498">
        <v>-0.01</v>
      </c>
    </row>
    <row r="4499" spans="1:6" x14ac:dyDescent="0.3">
      <c r="A4499" t="str">
        <f>HYPERLINK("https://us2.cloudbeds.com/connect/10074733072513#/reservations/31691218964657?display=MHJU38VFV&amp;reservation_id=31691218964657", "MHJU38VFV")</f>
        <v>MHJU38VFV</v>
      </c>
      <c r="B4499" t="s">
        <v>1208</v>
      </c>
      <c r="C4499">
        <v>196.2</v>
      </c>
      <c r="D4499">
        <v>213.26</v>
      </c>
      <c r="E4499">
        <v>213.27</v>
      </c>
      <c r="F4499">
        <v>-0.01</v>
      </c>
    </row>
    <row r="4500" spans="1:6" x14ac:dyDescent="0.3">
      <c r="A4500" t="str">
        <f>HYPERLINK("https://us2.cloudbeds.com/connect/10074733072513#/reservations/31683075092701?display=MHDK04NG9&amp;reservation_id=31683075092701", "MHDK04NG9")</f>
        <v>MHDK04NG9</v>
      </c>
      <c r="B4500" t="s">
        <v>1349</v>
      </c>
      <c r="C4500">
        <v>143.19999999999999</v>
      </c>
      <c r="D4500">
        <v>155.65</v>
      </c>
      <c r="E4500">
        <v>155.66</v>
      </c>
      <c r="F4500">
        <v>-0.01</v>
      </c>
    </row>
    <row r="4501" spans="1:6" x14ac:dyDescent="0.3">
      <c r="A4501" t="str">
        <f>HYPERLINK("https://us2.cloudbeds.com/connect/10074733072513#/reservations/31686852804743?display=MHGHHK3TP&amp;reservation_id=31686852804743", "MHGHHK3TP")</f>
        <v>MHGHHK3TP</v>
      </c>
      <c r="B4501" t="s">
        <v>1208</v>
      </c>
      <c r="C4501">
        <v>196.2</v>
      </c>
      <c r="D4501">
        <v>213.26</v>
      </c>
      <c r="E4501">
        <v>213.27</v>
      </c>
      <c r="F4501">
        <v>-0.01</v>
      </c>
    </row>
    <row r="4502" spans="1:6" x14ac:dyDescent="0.3">
      <c r="A4502" t="str">
        <f>HYPERLINK("https://us2.cloudbeds.com/connect/10074733072513#/reservations/31691706192060?display=MHK9X3PXM&amp;reservation_id=31691706192060", "MHK9X3PXM")</f>
        <v>MHK9X3PXM</v>
      </c>
      <c r="B4502" t="s">
        <v>1280</v>
      </c>
      <c r="C4502">
        <v>456.3</v>
      </c>
      <c r="D4502">
        <v>495.99</v>
      </c>
      <c r="E4502">
        <v>496</v>
      </c>
      <c r="F4502">
        <v>-0.01</v>
      </c>
    </row>
    <row r="4503" spans="1:6" x14ac:dyDescent="0.3">
      <c r="A4503" t="str">
        <f>HYPERLINK("https://us2.cloudbeds.com/connect/10074733072513#/reservations/31687958982884?display=MHHCQC54G&amp;reservation_id=31687958982884", "MHHCQC54G")</f>
        <v>MHHCQC54G</v>
      </c>
      <c r="B4503" t="s">
        <v>1381</v>
      </c>
      <c r="C4503">
        <v>87.2</v>
      </c>
      <c r="D4503">
        <v>94.78</v>
      </c>
      <c r="E4503">
        <v>94.79</v>
      </c>
      <c r="F4503">
        <v>-0.01</v>
      </c>
    </row>
    <row r="4504" spans="1:6" x14ac:dyDescent="0.3">
      <c r="A4504" t="str">
        <f>HYPERLINK("https://us2.cloudbeds.com/connect/10074733072513#/reservations/31722346881184?display=MXB0G53SZ&amp;reservation_id=31722346881184", "MXB0G53SZ")</f>
        <v>MXB0G53SZ</v>
      </c>
      <c r="B4504" t="s">
        <v>1385</v>
      </c>
      <c r="C4504">
        <v>304.2</v>
      </c>
      <c r="D4504">
        <v>330.66</v>
      </c>
      <c r="E4504">
        <v>330.67</v>
      </c>
      <c r="F4504">
        <v>-0.01</v>
      </c>
    </row>
    <row r="4505" spans="1:6" x14ac:dyDescent="0.3">
      <c r="A4505" t="str">
        <f>HYPERLINK("https://us2.cloudbeds.com/connect/10074733072513#/reservations/31691278368965?display=MHJVKBVTG&amp;reservation_id=31691278368965", "MHJVKBVTG")</f>
        <v>MHJVKBVTG</v>
      </c>
      <c r="B4505" t="s">
        <v>1208</v>
      </c>
      <c r="C4505">
        <v>87.2</v>
      </c>
      <c r="D4505">
        <v>94.78</v>
      </c>
      <c r="E4505">
        <v>94.79</v>
      </c>
      <c r="F4505">
        <v>-0.01</v>
      </c>
    </row>
    <row r="4506" spans="1:6" x14ac:dyDescent="0.3">
      <c r="A4506" t="str">
        <f>HYPERLINK("https://us2.cloudbeds.com/connect/10074733072513#/reservations/31685546913996?display=MHFH5EPRT&amp;reservation_id=31685546913996", "MHFH5EPRT")</f>
        <v>MHFH5EPRT</v>
      </c>
      <c r="B4506" t="s">
        <v>1280</v>
      </c>
      <c r="C4506">
        <v>143.19999999999999</v>
      </c>
      <c r="D4506">
        <v>155.65</v>
      </c>
      <c r="E4506">
        <v>155.66</v>
      </c>
      <c r="F4506">
        <v>-0.01</v>
      </c>
    </row>
    <row r="4507" spans="1:6" x14ac:dyDescent="0.3">
      <c r="A4507" t="str">
        <f>HYPERLINK("https://us2.cloudbeds.com/connect/10074733072513#/reservations/31688990539968?display=MHX5UK3QM&amp;reservation_id=31688990539968", "MHX5UK3QM")</f>
        <v>MHX5UK3QM</v>
      </c>
      <c r="B4507" t="s">
        <v>1386</v>
      </c>
      <c r="C4507">
        <v>87.2</v>
      </c>
      <c r="D4507">
        <v>94.78</v>
      </c>
      <c r="E4507">
        <v>94.79</v>
      </c>
      <c r="F4507">
        <v>-0.01</v>
      </c>
    </row>
    <row r="4508" spans="1:6" x14ac:dyDescent="0.3">
      <c r="A4508" t="str">
        <f>HYPERLINK("https://us2.cloudbeds.com/connect/10074733072513#/reservations/31686991233155?display=MHGKR3V2Z&amp;reservation_id=31686991233155", "MHGKR3V2Z")</f>
        <v>MHGKR3V2Z</v>
      </c>
      <c r="B4508" t="s">
        <v>1389</v>
      </c>
      <c r="C4508">
        <v>460.8</v>
      </c>
      <c r="D4508">
        <v>500.88</v>
      </c>
      <c r="E4508">
        <v>500.89</v>
      </c>
      <c r="F4508">
        <v>-0.01</v>
      </c>
    </row>
    <row r="4509" spans="1:6" x14ac:dyDescent="0.3">
      <c r="A4509" t="str">
        <f>HYPERLINK("https://us2.cloudbeds.com/connect/10074733072513#/reservations/31686160695482?display=MHFWS056S&amp;reservation_id=31686160695482", "MHFWS056S")</f>
        <v>MHFWS056S</v>
      </c>
      <c r="B4509" t="s">
        <v>1382</v>
      </c>
      <c r="C4509">
        <v>196.2</v>
      </c>
      <c r="D4509">
        <v>213.26</v>
      </c>
      <c r="E4509">
        <v>213.27</v>
      </c>
      <c r="F4509">
        <v>-0.01</v>
      </c>
    </row>
    <row r="4510" spans="1:6" x14ac:dyDescent="0.3">
      <c r="A4510" t="str">
        <f>HYPERLINK("https://us2.cloudbeds.com/connect/10074733072513#/reservations/31688117502161?display=MHHGS166U&amp;reservation_id=31688117502161", "MHHGS166U")</f>
        <v>MHHGS166U</v>
      </c>
      <c r="B4510" t="s">
        <v>1360</v>
      </c>
      <c r="C4510">
        <v>117.42</v>
      </c>
      <c r="D4510">
        <v>127.63</v>
      </c>
      <c r="E4510">
        <v>127.64</v>
      </c>
      <c r="F4510">
        <v>-0.01</v>
      </c>
    </row>
    <row r="4511" spans="1:6" x14ac:dyDescent="0.3">
      <c r="A4511" t="str">
        <f>HYPERLINK("https://us2.cloudbeds.com/connect/10074733072513#/reservations/31687664935073?display=MHH59DRPP&amp;reservation_id=31687664935073", "MHH59DRPP")</f>
        <v>MHH59DRPP</v>
      </c>
      <c r="B4511" t="s">
        <v>1390</v>
      </c>
      <c r="C4511">
        <v>294.3</v>
      </c>
      <c r="D4511">
        <v>319.89</v>
      </c>
      <c r="E4511">
        <v>319.89999999999998</v>
      </c>
      <c r="F4511">
        <v>-0.01</v>
      </c>
    </row>
    <row r="4512" spans="1:6" x14ac:dyDescent="0.3">
      <c r="A4512" t="str">
        <f>HYPERLINK("https://us2.cloudbeds.com/connect/10074733072513#/reservations/31685480472818?display=MHFFFDVYS&amp;reservation_id=31685480472818", "MHFFFDVYS")</f>
        <v>MHFFFDVYS</v>
      </c>
      <c r="B4512" t="s">
        <v>1280</v>
      </c>
      <c r="C4512">
        <v>117.42</v>
      </c>
      <c r="D4512">
        <v>127.63</v>
      </c>
      <c r="E4512">
        <v>127.64</v>
      </c>
      <c r="F4512">
        <v>-0.01</v>
      </c>
    </row>
    <row r="4513" spans="1:6" x14ac:dyDescent="0.3">
      <c r="A4513" t="str">
        <f>HYPERLINK("https://us2.cloudbeds.com/connect/10074733072513#/reservations/31692640092359?display=MHY0DJUJP&amp;reservation_id=31692640092359", "MHY0DJUJP")</f>
        <v>MHY0DJUJP</v>
      </c>
      <c r="B4513" t="s">
        <v>1348</v>
      </c>
      <c r="C4513">
        <v>127.2</v>
      </c>
      <c r="D4513">
        <v>138.26</v>
      </c>
      <c r="E4513">
        <v>138.27000000000001</v>
      </c>
      <c r="F4513">
        <v>-0.01</v>
      </c>
    </row>
    <row r="4514" spans="1:6" x14ac:dyDescent="0.3">
      <c r="A4514" t="str">
        <f>HYPERLINK("https://us2.cloudbeds.com/connect/10074733072513#/reservations/31684946718924?display=MHF1RBFHE&amp;reservation_id=31684946718924", "MHF1RBFHE")</f>
        <v>MHF1RBFHE</v>
      </c>
      <c r="B4514" t="s">
        <v>1280</v>
      </c>
      <c r="C4514">
        <v>117.42</v>
      </c>
      <c r="D4514">
        <v>127.63</v>
      </c>
      <c r="E4514">
        <v>127.64</v>
      </c>
      <c r="F4514">
        <v>-0.01</v>
      </c>
    </row>
    <row r="4515" spans="1:6" x14ac:dyDescent="0.3">
      <c r="A4515" t="str">
        <f>HYPERLINK("https://us2.cloudbeds.com/connect/10074733072513#/reservations/31685527163089?display=MHFGYQ63X&amp;reservation_id=31685527163089", "MHFGYQ63X")</f>
        <v>MHFGYQ63X</v>
      </c>
      <c r="B4515" t="s">
        <v>1280</v>
      </c>
      <c r="C4515">
        <v>143.19999999999999</v>
      </c>
      <c r="D4515">
        <v>155.65</v>
      </c>
      <c r="E4515">
        <v>155.66</v>
      </c>
      <c r="F4515">
        <v>-0.01</v>
      </c>
    </row>
    <row r="4516" spans="1:6" x14ac:dyDescent="0.3">
      <c r="A4516" t="str">
        <f>HYPERLINK("https://us2.cloudbeds.com/connect/10074733072513#/reservations/31686715625677?display=MHGE0UTWC&amp;reservation_id=31686715625677", "MHGE0UTWC")</f>
        <v>MHGE0UTWC</v>
      </c>
      <c r="B4516" t="s">
        <v>1391</v>
      </c>
      <c r="C4516">
        <v>196.2</v>
      </c>
      <c r="D4516">
        <v>213.26</v>
      </c>
      <c r="E4516">
        <v>213.27</v>
      </c>
      <c r="F4516">
        <v>-0.01</v>
      </c>
    </row>
    <row r="4517" spans="1:6" x14ac:dyDescent="0.3">
      <c r="A4517" t="str">
        <f>HYPERLINK("https://us2.cloudbeds.com/connect/10074733072513#/reservations/31691041087674?display=MHJPX98ZB&amp;reservation_id=31691041087674", "MHJPX98ZB")</f>
        <v>MHJPX98ZB</v>
      </c>
      <c r="B4517" t="s">
        <v>1354</v>
      </c>
      <c r="C4517">
        <v>196.2</v>
      </c>
      <c r="D4517">
        <v>213.26</v>
      </c>
      <c r="E4517">
        <v>213.27</v>
      </c>
      <c r="F4517">
        <v>-0.01</v>
      </c>
    </row>
    <row r="4518" spans="1:6" x14ac:dyDescent="0.3">
      <c r="A4518" t="str">
        <f>HYPERLINK("https://us2.cloudbeds.com/connect/10074733072513#/reservations/31686286389457?display=MHG31WPM6&amp;reservation_id=31686286389457", "MHG31WPM6")</f>
        <v>MHG31WPM6</v>
      </c>
      <c r="B4518" t="s">
        <v>1320</v>
      </c>
      <c r="C4518">
        <v>268.2</v>
      </c>
      <c r="D4518">
        <v>291.52</v>
      </c>
      <c r="E4518">
        <v>291.52999999999997</v>
      </c>
      <c r="F4518">
        <v>-0.01</v>
      </c>
    </row>
    <row r="4519" spans="1:6" x14ac:dyDescent="0.3">
      <c r="A4519" t="str">
        <f>HYPERLINK("https://us2.cloudbeds.com/connect/10074733072513#/reservations/31684444283019?display=MHEYWMESW&amp;reservation_id=31684444283019", "MHEYWMESW")</f>
        <v>MHEYWMESW</v>
      </c>
      <c r="B4519" t="s">
        <v>1346</v>
      </c>
      <c r="C4519">
        <v>134.1</v>
      </c>
      <c r="D4519">
        <v>145.76</v>
      </c>
      <c r="E4519">
        <v>145.77000000000001</v>
      </c>
      <c r="F4519">
        <v>-0.01</v>
      </c>
    </row>
    <row r="4520" spans="1:6" x14ac:dyDescent="0.3">
      <c r="A4520" t="str">
        <f>HYPERLINK("https://us2.cloudbeds.com/connect/10074733072513#/reservations/31686188929179?display=MHG0XQQFE&amp;reservation_id=31686188929179", "MHG0XQQFE")</f>
        <v>MHG0XQQFE</v>
      </c>
      <c r="B4520" t="s">
        <v>1351</v>
      </c>
      <c r="C4520">
        <v>127.2</v>
      </c>
      <c r="D4520">
        <v>138.26</v>
      </c>
      <c r="E4520">
        <v>138.27000000000001</v>
      </c>
      <c r="F4520">
        <v>-0.01</v>
      </c>
    </row>
    <row r="4521" spans="1:6" x14ac:dyDescent="0.3">
      <c r="A4521" t="str">
        <f>HYPERLINK("https://us2.cloudbeds.com/connect/10074733072513#/reservations/31687564722335?display=MHH2NU924&amp;reservation_id=31687564722335", "MHH2NU924")</f>
        <v>MHH2NU924</v>
      </c>
      <c r="B4521" t="s">
        <v>1346</v>
      </c>
      <c r="C4521">
        <v>134.1</v>
      </c>
      <c r="D4521">
        <v>145.76</v>
      </c>
      <c r="E4521">
        <v>145.77000000000001</v>
      </c>
      <c r="F4521">
        <v>-0.01</v>
      </c>
    </row>
    <row r="4522" spans="1:6" x14ac:dyDescent="0.3">
      <c r="A4522" t="str">
        <f>HYPERLINK("https://us2.cloudbeds.com/connect/10074733072513#/reservations/31685396201633?display=MHFDABWYJ&amp;reservation_id=31685396201633", "MHFDABWYJ")</f>
        <v>MHFDABWYJ</v>
      </c>
      <c r="B4522" t="s">
        <v>1320</v>
      </c>
      <c r="C4522">
        <v>208.6</v>
      </c>
      <c r="D4522">
        <v>226.74</v>
      </c>
      <c r="E4522">
        <v>226.75</v>
      </c>
      <c r="F4522">
        <v>-0.01</v>
      </c>
    </row>
    <row r="4523" spans="1:6" x14ac:dyDescent="0.3">
      <c r="A4523" t="str">
        <f>HYPERLINK("https://us2.cloudbeds.com/connect/10074733072513#/reservations/31687549038733?display=MHH2AMS7F&amp;reservation_id=31687549038733", "MHH2AMS7F")</f>
        <v>MHH2AMS7F</v>
      </c>
      <c r="B4523" t="s">
        <v>1346</v>
      </c>
      <c r="C4523">
        <v>134.1</v>
      </c>
      <c r="D4523">
        <v>145.76</v>
      </c>
      <c r="E4523">
        <v>145.77000000000001</v>
      </c>
      <c r="F4523">
        <v>-0.01</v>
      </c>
    </row>
    <row r="4524" spans="1:6" x14ac:dyDescent="0.3">
      <c r="A4524" t="str">
        <f>HYPERLINK("https://us2.cloudbeds.com/connect/10074733072513#/reservations/31686886412417?display=MHGXCV67U&amp;reservation_id=31686886412417", "MHGXCV67U")</f>
        <v>MHGXCV67U</v>
      </c>
      <c r="B4524" t="s">
        <v>1350</v>
      </c>
      <c r="C4524">
        <v>254.4</v>
      </c>
      <c r="D4524">
        <v>276.52</v>
      </c>
      <c r="E4524">
        <v>276.52999999999997</v>
      </c>
      <c r="F4524">
        <v>-0.01</v>
      </c>
    </row>
    <row r="4525" spans="1:6" x14ac:dyDescent="0.3">
      <c r="A4525" t="str">
        <f>HYPERLINK("https://us2.cloudbeds.com/connect/10074733072513#/reservations/31687142056098?display=MHGZUGS1U&amp;reservation_id=31687142056098", "MHGZUGS1U")</f>
        <v>MHGZUGS1U</v>
      </c>
      <c r="B4525" t="s">
        <v>1350</v>
      </c>
      <c r="C4525">
        <v>254.4</v>
      </c>
      <c r="D4525">
        <v>276.52</v>
      </c>
      <c r="E4525">
        <v>276.52999999999997</v>
      </c>
      <c r="F4525">
        <v>-0.01</v>
      </c>
    </row>
    <row r="4526" spans="1:6" x14ac:dyDescent="0.3">
      <c r="A4526" t="str">
        <f>HYPERLINK("https://us2.cloudbeds.com/connect/10074733072513#/reservations/31685560905860?display=MHFHH846P&amp;reservation_id=31685560905860", "MHFHH846P")</f>
        <v>MHFHH846P</v>
      </c>
      <c r="B4526" t="s">
        <v>1394</v>
      </c>
      <c r="C4526">
        <v>87.2</v>
      </c>
      <c r="D4526">
        <v>94.78</v>
      </c>
      <c r="E4526">
        <v>94.79</v>
      </c>
      <c r="F4526">
        <v>-0.01</v>
      </c>
    </row>
    <row r="4527" spans="1:6" x14ac:dyDescent="0.3">
      <c r="A4527" t="str">
        <f>HYPERLINK("https://us2.cloudbeds.com/connect/10074733072513#/reservations/31693306306705?display=MHYHECAM9&amp;reservation_id=31693306306705", "MHYHECAM9")</f>
        <v>MHYHECAM9</v>
      </c>
      <c r="B4527" t="s">
        <v>1392</v>
      </c>
      <c r="C4527">
        <v>208.6</v>
      </c>
      <c r="D4527">
        <v>226.74</v>
      </c>
      <c r="E4527">
        <v>226.75</v>
      </c>
      <c r="F4527">
        <v>-0.01</v>
      </c>
    </row>
    <row r="4528" spans="1:6" x14ac:dyDescent="0.3">
      <c r="A4528" t="str">
        <f>HYPERLINK("https://us2.cloudbeds.com/connect/10074733072513#/reservations/31693419663495?display=MHYKAVY7H&amp;reservation_id=31693419663495", "MHYKAVY7H")</f>
        <v>MHYKAVY7H</v>
      </c>
      <c r="B4528" t="s">
        <v>1395</v>
      </c>
      <c r="C4528">
        <v>477.3</v>
      </c>
      <c r="D4528">
        <v>518.82000000000005</v>
      </c>
      <c r="E4528">
        <v>518.83000000000004</v>
      </c>
      <c r="F4528">
        <v>-0.01</v>
      </c>
    </row>
    <row r="4529" spans="1:6" x14ac:dyDescent="0.3">
      <c r="A4529" t="str">
        <f>HYPERLINK("https://us2.cloudbeds.com/connect/10074733072513#/reservations/31688168644809?display=MHHX55A55&amp;reservation_id=31688168644809", "MHHX55A55")</f>
        <v>MHHX55A55</v>
      </c>
      <c r="B4529" t="s">
        <v>1400</v>
      </c>
      <c r="C4529">
        <v>250.2</v>
      </c>
      <c r="D4529">
        <v>271.95999999999998</v>
      </c>
      <c r="E4529">
        <v>271.97000000000003</v>
      </c>
      <c r="F4529">
        <v>-0.01</v>
      </c>
    </row>
    <row r="4530" spans="1:6" x14ac:dyDescent="0.3">
      <c r="A4530" t="str">
        <f>HYPERLINK("https://us2.cloudbeds.com/connect/10074733072513#/reservations/31733944230045?display=MXJWRBEMN&amp;reservation_id=31733944230045", "MXJWRBEMN")</f>
        <v>MXJWRBEMN</v>
      </c>
      <c r="B4530" t="s">
        <v>1401</v>
      </c>
      <c r="C4530">
        <v>376.2</v>
      </c>
      <c r="D4530">
        <v>408.92</v>
      </c>
      <c r="E4530">
        <v>408.93</v>
      </c>
      <c r="F4530">
        <v>-0.01</v>
      </c>
    </row>
    <row r="4531" spans="1:6" x14ac:dyDescent="0.3">
      <c r="A4531" t="str">
        <f>HYPERLINK("https://us2.cloudbeds.com/connect/10074733072513#/reservations/31688187306192?display=MHHXKTJDK&amp;reservation_id=31688187306192", "MHHXKTJDK")</f>
        <v>MHHXKTJDK</v>
      </c>
      <c r="B4531" t="s">
        <v>1402</v>
      </c>
      <c r="C4531">
        <v>134.1</v>
      </c>
      <c r="D4531">
        <v>145.76</v>
      </c>
      <c r="E4531">
        <v>145.77000000000001</v>
      </c>
      <c r="F4531">
        <v>-0.01</v>
      </c>
    </row>
    <row r="4532" spans="1:6" x14ac:dyDescent="0.3">
      <c r="A4532" t="str">
        <f>HYPERLINK("https://us2.cloudbeds.com/connect/10074733072513#/reservations/31687620305094?display=MHH44PV85&amp;reservation_id=31687620305094", "MHH44PV85")</f>
        <v>MHH44PV85</v>
      </c>
      <c r="B4532" t="s">
        <v>1389</v>
      </c>
      <c r="C4532">
        <v>134.1</v>
      </c>
      <c r="D4532">
        <v>145.76</v>
      </c>
      <c r="E4532">
        <v>145.77000000000001</v>
      </c>
      <c r="F4532">
        <v>-0.01</v>
      </c>
    </row>
    <row r="4533" spans="1:6" x14ac:dyDescent="0.3">
      <c r="A4533" t="str">
        <f>HYPERLINK("https://us2.cloudbeds.com/connect/10074733072513#/reservations/31681851130021?display=MHCYZ24R3&amp;reservation_id=31681851130021", "MHCYZ24R3")</f>
        <v>MHCYZ24R3</v>
      </c>
      <c r="B4533" t="s">
        <v>1213</v>
      </c>
      <c r="C4533">
        <v>196.2</v>
      </c>
      <c r="D4533">
        <v>213.26</v>
      </c>
      <c r="E4533">
        <v>213.27</v>
      </c>
      <c r="F4533">
        <v>-0.01</v>
      </c>
    </row>
    <row r="4534" spans="1:6" x14ac:dyDescent="0.3">
      <c r="A4534" t="str">
        <f>HYPERLINK("https://us2.cloudbeds.com/connect/10074733072513#/reservations/31688950792328?display=MHX54MNK4&amp;reservation_id=31688950792328", "MHX54MNK4")</f>
        <v>MHX54MNK4</v>
      </c>
      <c r="B4534" t="s">
        <v>1348</v>
      </c>
      <c r="C4534">
        <v>208.6</v>
      </c>
      <c r="D4534">
        <v>226.74</v>
      </c>
      <c r="E4534">
        <v>226.75</v>
      </c>
      <c r="F4534">
        <v>-0.01</v>
      </c>
    </row>
    <row r="4535" spans="1:6" x14ac:dyDescent="0.3">
      <c r="A4535" t="str">
        <f>HYPERLINK("https://us2.cloudbeds.com/connect/10074733072513#/reservations/31690584449159?display=MHJDT7KKJ&amp;reservation_id=31690584449159", "MHJDT7KKJ")</f>
        <v>MHJDT7KKJ</v>
      </c>
      <c r="B4535" t="s">
        <v>1348</v>
      </c>
      <c r="C4535">
        <v>170.1</v>
      </c>
      <c r="D4535">
        <v>184.89</v>
      </c>
      <c r="E4535">
        <v>184.9</v>
      </c>
      <c r="F4535">
        <v>-0.01</v>
      </c>
    </row>
    <row r="4536" spans="1:6" x14ac:dyDescent="0.3">
      <c r="A4536" t="str">
        <f>HYPERLINK("https://us2.cloudbeds.com/connect/10074733072513#/reservations/31690007670925?display=MHXW4SUC9&amp;reservation_id=31690007670925", "MHXW4SUC9")</f>
        <v>MHXW4SUC9</v>
      </c>
      <c r="B4536" t="s">
        <v>1404</v>
      </c>
      <c r="C4536">
        <v>134.1</v>
      </c>
      <c r="D4536">
        <v>145.76</v>
      </c>
      <c r="E4536">
        <v>145.77000000000001</v>
      </c>
      <c r="F4536">
        <v>-0.01</v>
      </c>
    </row>
    <row r="4537" spans="1:6" x14ac:dyDescent="0.3">
      <c r="A4537" t="str">
        <f>HYPERLINK("https://us2.cloudbeds.com/connect/10074733072513#/reservations/31690572329160?display=MHJDJ0C4T&amp;reservation_id=31690572329160", "MHJDJ0C4T")</f>
        <v>MHJDJ0C4T</v>
      </c>
      <c r="B4537" t="s">
        <v>1348</v>
      </c>
      <c r="C4537">
        <v>208.6</v>
      </c>
      <c r="D4537">
        <v>226.74</v>
      </c>
      <c r="E4537">
        <v>226.75</v>
      </c>
      <c r="F4537">
        <v>-0.01</v>
      </c>
    </row>
    <row r="4538" spans="1:6" x14ac:dyDescent="0.3">
      <c r="A4538" t="str">
        <f>HYPERLINK("https://us2.cloudbeds.com/connect/10074733072513#/reservations/31685764415642?display=MHFMNS2SS&amp;reservation_id=31685764415642", "MHFMNS2SS")</f>
        <v>MHFMNS2SS</v>
      </c>
      <c r="B4538" t="s">
        <v>1405</v>
      </c>
      <c r="C4538">
        <v>196.2</v>
      </c>
      <c r="D4538">
        <v>213.26</v>
      </c>
      <c r="E4538">
        <v>213.27</v>
      </c>
      <c r="F4538">
        <v>-0.01</v>
      </c>
    </row>
    <row r="4539" spans="1:6" x14ac:dyDescent="0.3">
      <c r="A4539" t="str">
        <f>HYPERLINK("https://us2.cloudbeds.com/connect/10074733072513#/reservations/31690555306122?display=MHJD4YMB8&amp;reservation_id=31690555306122", "MHJD4YMB8")</f>
        <v>MHJD4YMB8</v>
      </c>
      <c r="B4539" t="s">
        <v>1348</v>
      </c>
      <c r="C4539">
        <v>268.2</v>
      </c>
      <c r="D4539">
        <v>291.52</v>
      </c>
      <c r="E4539">
        <v>291.52999999999997</v>
      </c>
      <c r="F4539">
        <v>-0.01</v>
      </c>
    </row>
    <row r="4540" spans="1:6" x14ac:dyDescent="0.3">
      <c r="A4540" t="str">
        <f>HYPERLINK("https://us2.cloudbeds.com/connect/10074733072513#/reservations/31690504700075?display=MHJBRWG4M&amp;reservation_id=31690504700075", "MHJBRWG4M")</f>
        <v>MHJBRWG4M</v>
      </c>
      <c r="B4540" t="s">
        <v>1348</v>
      </c>
      <c r="C4540">
        <v>127.2</v>
      </c>
      <c r="D4540">
        <v>138.26</v>
      </c>
      <c r="E4540">
        <v>138.27000000000001</v>
      </c>
      <c r="F4540">
        <v>-0.01</v>
      </c>
    </row>
    <row r="4541" spans="1:6" x14ac:dyDescent="0.3">
      <c r="A4541" t="str">
        <f>HYPERLINK("https://us2.cloudbeds.com/connect/10074733072513#/reservations/31688872353966?display=MHX34X1Z2&amp;reservation_id=31688872353966", "MHX34X1Z2")</f>
        <v>MHX34X1Z2</v>
      </c>
      <c r="B4541" t="s">
        <v>1403</v>
      </c>
      <c r="C4541">
        <v>250.2</v>
      </c>
      <c r="D4541">
        <v>271.95999999999998</v>
      </c>
      <c r="E4541">
        <v>271.97000000000003</v>
      </c>
      <c r="F4541">
        <v>-0.01</v>
      </c>
    </row>
    <row r="4542" spans="1:6" x14ac:dyDescent="0.3">
      <c r="A4542" t="str">
        <f>HYPERLINK("https://us2.cloudbeds.com/connect/10074733072513#/reservations/31691560018127?display=MHK5QS8TJ&amp;reservation_id=31691560018127", "MHK5QS8TJ")</f>
        <v>MHK5QS8TJ</v>
      </c>
      <c r="B4542" t="s">
        <v>1361</v>
      </c>
      <c r="C4542">
        <v>268.2</v>
      </c>
      <c r="D4542">
        <v>291.52</v>
      </c>
      <c r="E4542">
        <v>291.52999999999997</v>
      </c>
      <c r="F4542">
        <v>-0.01</v>
      </c>
    </row>
    <row r="4543" spans="1:6" x14ac:dyDescent="0.3">
      <c r="A4543" t="str">
        <f>HYPERLINK("https://us2.cloudbeds.com/connect/10074733072513#/reservations/31687674532066?display=MHH5HGTEZ&amp;reservation_id=31687674532066", "MHH5HGTEZ")</f>
        <v>MHH5HGTEZ</v>
      </c>
      <c r="B4543" t="s">
        <v>1390</v>
      </c>
      <c r="C4543">
        <v>196.2</v>
      </c>
      <c r="D4543">
        <v>213.26</v>
      </c>
      <c r="E4543">
        <v>213.27</v>
      </c>
      <c r="F4543">
        <v>-0.01</v>
      </c>
    </row>
    <row r="4544" spans="1:6" x14ac:dyDescent="0.3">
      <c r="A4544" t="str">
        <f>HYPERLINK("https://us2.cloudbeds.com/connect/10074733072513#/reservations/31692931137731?display=MHY7S0MTG&amp;reservation_id=31692931137731", "MHY7S0MTG")</f>
        <v>MHY7S0MTG</v>
      </c>
      <c r="B4544" t="s">
        <v>1395</v>
      </c>
      <c r="C4544">
        <v>254.4</v>
      </c>
      <c r="D4544">
        <v>276.52</v>
      </c>
      <c r="E4544">
        <v>276.52999999999997</v>
      </c>
      <c r="F4544">
        <v>-0.01</v>
      </c>
    </row>
    <row r="4545" spans="1:6" x14ac:dyDescent="0.3">
      <c r="A4545" t="str">
        <f>HYPERLINK("https://us2.cloudbeds.com/connect/10074733072513#/reservations/31694761689256?display=MHMYKJG3R&amp;reservation_id=31694761689256", "MHMYKJG3R")</f>
        <v>MHMYKJG3R</v>
      </c>
      <c r="B4545" t="s">
        <v>1407</v>
      </c>
      <c r="C4545">
        <v>182.36</v>
      </c>
      <c r="D4545">
        <v>198.22</v>
      </c>
      <c r="E4545">
        <v>198.23</v>
      </c>
      <c r="F4545">
        <v>-0.01</v>
      </c>
    </row>
    <row r="4546" spans="1:6" x14ac:dyDescent="0.3">
      <c r="A4546" t="str">
        <f>HYPERLINK("https://us2.cloudbeds.com/connect/10074733072513#/reservations/31693820621005?display=MHYUJ1SV3&amp;reservation_id=31693820621005", "MHYUJ1SV3")</f>
        <v>MHYUJ1SV3</v>
      </c>
      <c r="B4546" t="s">
        <v>1411</v>
      </c>
      <c r="C4546">
        <v>174.4</v>
      </c>
      <c r="D4546">
        <v>189.56</v>
      </c>
      <c r="E4546">
        <v>189.57</v>
      </c>
      <c r="F4546">
        <v>-0.01</v>
      </c>
    </row>
    <row r="4547" spans="1:6" x14ac:dyDescent="0.3">
      <c r="A4547" t="str">
        <f>HYPERLINK("https://us2.cloudbeds.com/connect/10074733072513#/reservations/31687873298676?display=MHHAK3SJB&amp;reservation_id=31687873298676", "MHHAK3SJB")</f>
        <v>MHHAK3SJB</v>
      </c>
      <c r="B4547" t="s">
        <v>1419</v>
      </c>
      <c r="C4547">
        <v>294.3</v>
      </c>
      <c r="D4547">
        <v>319.89</v>
      </c>
      <c r="E4547">
        <v>319.89999999999998</v>
      </c>
      <c r="F4547">
        <v>-0.01</v>
      </c>
    </row>
    <row r="4548" spans="1:6" x14ac:dyDescent="0.3">
      <c r="A4548" t="str">
        <f>HYPERLINK("https://us2.cloudbeds.com/connect/10074733072513#/reservations/31688994824348?display=MHX68QW1P&amp;reservation_id=31688994824348", "MHX68QW1P")</f>
        <v>MHX68QW1P</v>
      </c>
      <c r="B4548" t="s">
        <v>1419</v>
      </c>
      <c r="C4548">
        <v>196.2</v>
      </c>
      <c r="D4548">
        <v>213.26</v>
      </c>
      <c r="E4548">
        <v>213.27</v>
      </c>
      <c r="F4548">
        <v>-0.01</v>
      </c>
    </row>
    <row r="4549" spans="1:6" x14ac:dyDescent="0.3">
      <c r="A4549" t="str">
        <f>HYPERLINK("https://us2.cloudbeds.com/connect/10074733072513#/reservations/31683027058873?display=MHDXPY39Z&amp;reservation_id=31683027058873", "MHDXPY39Z")</f>
        <v>MHDXPY39Z</v>
      </c>
      <c r="B4549" t="s">
        <v>1421</v>
      </c>
      <c r="C4549">
        <v>87.2</v>
      </c>
      <c r="D4549">
        <v>94.78</v>
      </c>
      <c r="E4549">
        <v>94.79</v>
      </c>
      <c r="F4549">
        <v>-0.01</v>
      </c>
    </row>
    <row r="4550" spans="1:6" x14ac:dyDescent="0.3">
      <c r="A4550" t="str">
        <f>HYPERLINK("https://us2.cloudbeds.com/connect/10074733072513#/reservations/31692941541534?display=MHY83Q6E8&amp;reservation_id=31692941541534", "MHY83Q6E8")</f>
        <v>MHY83Q6E8</v>
      </c>
      <c r="B4550" t="s">
        <v>1395</v>
      </c>
      <c r="C4550">
        <v>127.2</v>
      </c>
      <c r="D4550">
        <v>138.26</v>
      </c>
      <c r="E4550">
        <v>138.27000000000001</v>
      </c>
      <c r="F4550">
        <v>-0.01</v>
      </c>
    </row>
    <row r="4551" spans="1:6" x14ac:dyDescent="0.3">
      <c r="A4551" t="str">
        <f>HYPERLINK("https://us2.cloudbeds.com/connect/10074733072513#/reservations/31683015360659?display=MHDXFPJ4D&amp;reservation_id=31683015360659", "MHDXFPJ4D")</f>
        <v>MHDXFPJ4D</v>
      </c>
      <c r="B4551" t="s">
        <v>1421</v>
      </c>
      <c r="C4551">
        <v>118.15</v>
      </c>
      <c r="D4551">
        <v>128.41999999999999</v>
      </c>
      <c r="E4551">
        <v>128.43</v>
      </c>
      <c r="F4551">
        <v>-0.01</v>
      </c>
    </row>
    <row r="4552" spans="1:6" x14ac:dyDescent="0.3">
      <c r="A4552" t="str">
        <f>HYPERLINK("https://us2.cloudbeds.com/connect/10074733072513#/reservations/31685827350749?display=MHFZAUBHA&amp;reservation_id=31685827350749", "MHFZAUBHA")</f>
        <v>MHFZAUBHA</v>
      </c>
      <c r="B4552" t="s">
        <v>1350</v>
      </c>
      <c r="C4552">
        <v>170.1</v>
      </c>
      <c r="D4552">
        <v>184.89</v>
      </c>
      <c r="E4552">
        <v>184.9</v>
      </c>
      <c r="F4552">
        <v>-0.01</v>
      </c>
    </row>
    <row r="4553" spans="1:6" x14ac:dyDescent="0.3">
      <c r="A4553" t="str">
        <f>HYPERLINK("https://us2.cloudbeds.com/connect/10074733072513#/reservations/31686789386492?display=MHGFU4DJX&amp;reservation_id=31686789386492", "MHGFU4DJX")</f>
        <v>MHGFU4DJX</v>
      </c>
      <c r="B4553" t="s">
        <v>1421</v>
      </c>
      <c r="C4553">
        <v>118.15</v>
      </c>
      <c r="D4553">
        <v>128.41999999999999</v>
      </c>
      <c r="E4553">
        <v>128.43</v>
      </c>
      <c r="F4553">
        <v>-0.01</v>
      </c>
    </row>
    <row r="4554" spans="1:6" x14ac:dyDescent="0.3">
      <c r="A4554" t="str">
        <f>HYPERLINK("https://us2.cloudbeds.com/connect/10074733072513#/reservations/31690840064242?display=MHJKDPG76&amp;reservation_id=31690840064242", "MHJKDPG76")</f>
        <v>MHJKDPG76</v>
      </c>
      <c r="B4554" t="s">
        <v>1423</v>
      </c>
      <c r="C4554">
        <v>103.2</v>
      </c>
      <c r="D4554">
        <v>112.17</v>
      </c>
      <c r="E4554">
        <v>112.18</v>
      </c>
      <c r="F4554">
        <v>-0.01</v>
      </c>
    </row>
    <row r="4555" spans="1:6" x14ac:dyDescent="0.3">
      <c r="A4555" t="str">
        <f>HYPERLINK("https://us2.cloudbeds.com/connect/10074733072513#/reservations/31692985381082?display=MHY97P34D&amp;reservation_id=31692985381082", "MHY97P34D")</f>
        <v>MHY97P34D</v>
      </c>
      <c r="B4555" t="s">
        <v>1395</v>
      </c>
      <c r="C4555">
        <v>222.4</v>
      </c>
      <c r="D4555">
        <v>241.74</v>
      </c>
      <c r="E4555">
        <v>241.75</v>
      </c>
      <c r="F4555">
        <v>-0.01</v>
      </c>
    </row>
    <row r="4556" spans="1:6" x14ac:dyDescent="0.3">
      <c r="A4556" t="str">
        <f>HYPERLINK("https://us2.cloudbeds.com/connect/10074733072513#/reservations/31688980549781?display=MHX5TPP34&amp;reservation_id=31688980549781", "MHX5TPP34")</f>
        <v>MHX5TPP34</v>
      </c>
      <c r="B4556" t="s">
        <v>1422</v>
      </c>
      <c r="C4556">
        <v>294.3</v>
      </c>
      <c r="D4556">
        <v>319.89</v>
      </c>
      <c r="E4556">
        <v>319.89999999999998</v>
      </c>
      <c r="F4556">
        <v>-0.01</v>
      </c>
    </row>
    <row r="4557" spans="1:6" x14ac:dyDescent="0.3">
      <c r="A4557" t="str">
        <f>HYPERLINK("https://us2.cloudbeds.com/connect/10074733072513#/reservations/31692789424316?display=MHY47HA6J&amp;reservation_id=31692789424316", "MHY47HA6J")</f>
        <v>MHY47HA6J</v>
      </c>
      <c r="B4557" t="s">
        <v>1417</v>
      </c>
      <c r="C4557">
        <v>118.15</v>
      </c>
      <c r="D4557">
        <v>128.41999999999999</v>
      </c>
      <c r="E4557">
        <v>128.43</v>
      </c>
      <c r="F4557">
        <v>-0.01</v>
      </c>
    </row>
    <row r="4558" spans="1:6" x14ac:dyDescent="0.3">
      <c r="A4558" t="str">
        <f>HYPERLINK("https://us2.cloudbeds.com/connect/10074733072513#/reservations/31692775411854?display=MHY3SNCUH&amp;reservation_id=31692775411854", "MHY3SNCUH")</f>
        <v>MHY3SNCUH</v>
      </c>
      <c r="B4558" t="s">
        <v>1414</v>
      </c>
      <c r="C4558">
        <v>196.2</v>
      </c>
      <c r="D4558">
        <v>213.26</v>
      </c>
      <c r="E4558">
        <v>213.27</v>
      </c>
      <c r="F4558">
        <v>-0.01</v>
      </c>
    </row>
    <row r="4559" spans="1:6" x14ac:dyDescent="0.3">
      <c r="A4559" t="str">
        <f>HYPERLINK("https://us2.cloudbeds.com/connect/10074733072513#/reservations/31692966727904?display=MHY8P11DJ&amp;reservation_id=31692966727904", "MHY8P11DJ")</f>
        <v>MHY8P11DJ</v>
      </c>
      <c r="B4559" t="s">
        <v>1395</v>
      </c>
      <c r="C4559">
        <v>196.2</v>
      </c>
      <c r="D4559">
        <v>213.26</v>
      </c>
      <c r="E4559">
        <v>213.27</v>
      </c>
      <c r="F4559">
        <v>-0.01</v>
      </c>
    </row>
    <row r="4560" spans="1:6" x14ac:dyDescent="0.3">
      <c r="A4560" t="str">
        <f>HYPERLINK("https://us2.cloudbeds.com/connect/10074733072513#/reservations/31692889342145?display=MHY6PPM3J&amp;reservation_id=31692889342145", "MHY6PPM3J")</f>
        <v>MHY6PPM3J</v>
      </c>
      <c r="B4560" t="s">
        <v>1426</v>
      </c>
      <c r="C4560">
        <v>196.2</v>
      </c>
      <c r="D4560">
        <v>213.26</v>
      </c>
      <c r="E4560">
        <v>213.27</v>
      </c>
      <c r="F4560">
        <v>-0.01</v>
      </c>
    </row>
    <row r="4561" spans="1:6" x14ac:dyDescent="0.3">
      <c r="A4561" t="str">
        <f>HYPERLINK("https://us2.cloudbeds.com/connect/10074733072513#/reservations/31723421520016?display=MXBRVAHCR&amp;reservation_id=31723421520016", "MXBRVAHCR")</f>
        <v>MXBRVAHCR</v>
      </c>
      <c r="B4561" t="s">
        <v>1427</v>
      </c>
      <c r="C4561">
        <v>118.15</v>
      </c>
      <c r="D4561">
        <v>128.41999999999999</v>
      </c>
      <c r="E4561">
        <v>128.43</v>
      </c>
      <c r="F4561">
        <v>-0.01</v>
      </c>
    </row>
    <row r="4562" spans="1:6" x14ac:dyDescent="0.3">
      <c r="A4562" t="str">
        <f>HYPERLINK("https://us2.cloudbeds.com/connect/10074733072513#/reservations/31686642307255?display=MHGC53NK0&amp;reservation_id=31686642307255", "MHGC53NK0")</f>
        <v>MHGC53NK0</v>
      </c>
      <c r="B4562" t="s">
        <v>1303</v>
      </c>
      <c r="C4562">
        <v>196.2</v>
      </c>
      <c r="D4562">
        <v>213.26</v>
      </c>
      <c r="E4562">
        <v>213.27</v>
      </c>
      <c r="F4562">
        <v>-0.01</v>
      </c>
    </row>
    <row r="4563" spans="1:6" x14ac:dyDescent="0.3">
      <c r="A4563" t="str">
        <f>HYPERLINK("https://us2.cloudbeds.com/connect/10074733072513#/reservations/31689692750004?display=MHXZ3APQ2&amp;reservation_id=31689692750004", "MHXZ3APQ2")</f>
        <v>MHXZ3APQ2</v>
      </c>
      <c r="B4563" t="s">
        <v>1209</v>
      </c>
      <c r="C4563">
        <v>87.2</v>
      </c>
      <c r="D4563">
        <v>94.78</v>
      </c>
      <c r="E4563">
        <v>94.79</v>
      </c>
      <c r="F4563">
        <v>-0.01</v>
      </c>
    </row>
    <row r="4564" spans="1:6" x14ac:dyDescent="0.3">
      <c r="A4564" t="str">
        <f>HYPERLINK("https://us2.cloudbeds.com/connect/10074733072513#/reservations/31693243363481?display=MHYFR9RXS&amp;reservation_id=31693243363481", "MHYFR9RXS")</f>
        <v>MHYFR9RXS</v>
      </c>
      <c r="B4564" t="s">
        <v>1397</v>
      </c>
      <c r="C4564">
        <v>174.4</v>
      </c>
      <c r="D4564">
        <v>189.56</v>
      </c>
      <c r="E4564">
        <v>189.57</v>
      </c>
      <c r="F4564">
        <v>-0.01</v>
      </c>
    </row>
    <row r="4565" spans="1:6" x14ac:dyDescent="0.3">
      <c r="A4565" t="str">
        <f>HYPERLINK("https://us2.cloudbeds.com/connect/10074733072513#/reservations/31687317758202?display=MHGTDM4DH&amp;reservation_id=31687317758202", "MHGTDM4DH")</f>
        <v>MHGTDM4DH</v>
      </c>
      <c r="B4565" t="s">
        <v>1209</v>
      </c>
      <c r="C4565">
        <v>87.2</v>
      </c>
      <c r="D4565">
        <v>94.78</v>
      </c>
      <c r="E4565">
        <v>94.79</v>
      </c>
      <c r="F4565">
        <v>-0.01</v>
      </c>
    </row>
    <row r="4566" spans="1:6" x14ac:dyDescent="0.3">
      <c r="A4566" t="str">
        <f>HYPERLINK("https://us2.cloudbeds.com/connect/10074733072513#/reservations/31686592110781?display=MHGASPUGZ&amp;reservation_id=31686592110781", "MHGASPUGZ")</f>
        <v>MHGASPUGZ</v>
      </c>
      <c r="B4566" t="s">
        <v>1303</v>
      </c>
      <c r="C4566">
        <v>170.1</v>
      </c>
      <c r="D4566">
        <v>184.89</v>
      </c>
      <c r="E4566">
        <v>184.9</v>
      </c>
      <c r="F4566">
        <v>-0.01</v>
      </c>
    </row>
    <row r="4567" spans="1:6" x14ac:dyDescent="0.3">
      <c r="A4567" t="str">
        <f>HYPERLINK("https://us2.cloudbeds.com/connect/10074733072513#/reservations/31686135197894?display=MHFW6GYEM&amp;reservation_id=31686135197894", "MHFW6GYEM")</f>
        <v>MHFW6GYEM</v>
      </c>
      <c r="B4567" t="s">
        <v>1393</v>
      </c>
      <c r="C4567">
        <v>144.32</v>
      </c>
      <c r="D4567">
        <v>156.87</v>
      </c>
      <c r="E4567">
        <v>156.88</v>
      </c>
      <c r="F4567">
        <v>-0.01</v>
      </c>
    </row>
    <row r="4568" spans="1:6" x14ac:dyDescent="0.3">
      <c r="A4568" t="str">
        <f>HYPERLINK("https://us2.cloudbeds.com/connect/10074733072513#/reservations/31689744625819?display=MHXPE29WF&amp;reservation_id=31689744625819", "MHXPE29WF")</f>
        <v>MHXPE29WF</v>
      </c>
      <c r="B4568" t="s">
        <v>1397</v>
      </c>
      <c r="C4568">
        <v>134.1</v>
      </c>
      <c r="D4568">
        <v>145.76</v>
      </c>
      <c r="E4568">
        <v>145.77000000000001</v>
      </c>
      <c r="F4568">
        <v>-0.01</v>
      </c>
    </row>
    <row r="4569" spans="1:6" x14ac:dyDescent="0.3">
      <c r="A4569" t="str">
        <f>HYPERLINK("https://us2.cloudbeds.com/connect/10074733072513#/reservations/31688619536546?display=MHHTMC154&amp;reservation_id=31688619536546", "MHHTMC154")</f>
        <v>MHHTMC154</v>
      </c>
      <c r="B4569" t="s">
        <v>1393</v>
      </c>
      <c r="C4569">
        <v>117.42</v>
      </c>
      <c r="D4569">
        <v>127.63</v>
      </c>
      <c r="E4569">
        <v>127.64</v>
      </c>
      <c r="F4569">
        <v>-0.01</v>
      </c>
    </row>
    <row r="4570" spans="1:6" x14ac:dyDescent="0.3">
      <c r="A4570" t="str">
        <f>HYPERLINK("https://us2.cloudbeds.com/connect/10074733072513#/reservations/31686281674883?display=MHG2V0JD9&amp;reservation_id=31686281674883", "MHG2V0JD9")</f>
        <v>MHG2V0JD9</v>
      </c>
      <c r="B4570" t="s">
        <v>1393</v>
      </c>
      <c r="C4570">
        <v>117.42</v>
      </c>
      <c r="D4570">
        <v>127.63</v>
      </c>
      <c r="E4570">
        <v>127.64</v>
      </c>
      <c r="F4570">
        <v>-0.01</v>
      </c>
    </row>
    <row r="4571" spans="1:6" x14ac:dyDescent="0.3">
      <c r="A4571" t="str">
        <f>HYPERLINK("https://us2.cloudbeds.com/connect/10074733072513#/reservations/31688611729612?display=MHHTFPQ8C&amp;reservation_id=31688611729612", "MHHTFPQ8C")</f>
        <v>MHHTFPQ8C</v>
      </c>
      <c r="B4571" t="s">
        <v>1393</v>
      </c>
      <c r="C4571">
        <v>117.42</v>
      </c>
      <c r="D4571">
        <v>127.63</v>
      </c>
      <c r="E4571">
        <v>127.64</v>
      </c>
      <c r="F4571">
        <v>-0.01</v>
      </c>
    </row>
    <row r="4572" spans="1:6" x14ac:dyDescent="0.3">
      <c r="A4572" t="str">
        <f>HYPERLINK("https://us2.cloudbeds.com/connect/10074733072513#/reservations/31688558715129?display=MHHS42JET&amp;reservation_id=31688558715129", "MHHS42JET")</f>
        <v>MHHS42JET</v>
      </c>
      <c r="B4572" t="s">
        <v>1303</v>
      </c>
      <c r="C4572">
        <v>117.42</v>
      </c>
      <c r="D4572">
        <v>127.63</v>
      </c>
      <c r="E4572">
        <v>127.64</v>
      </c>
      <c r="F4572">
        <v>-0.01</v>
      </c>
    </row>
    <row r="4573" spans="1:6" x14ac:dyDescent="0.3">
      <c r="A4573" t="str">
        <f>HYPERLINK("https://us2.cloudbeds.com/connect/10074733072513#/reservations/31686164836588?display=MHFWVGCSU&amp;reservation_id=31686164836588", "MHFWVGCSU")</f>
        <v>MHFWVGCSU</v>
      </c>
      <c r="B4573" t="s">
        <v>1428</v>
      </c>
      <c r="C4573">
        <v>134.1</v>
      </c>
      <c r="D4573">
        <v>145.76</v>
      </c>
      <c r="E4573">
        <v>145.77000000000001</v>
      </c>
      <c r="F4573">
        <v>-0.01</v>
      </c>
    </row>
    <row r="4574" spans="1:6" x14ac:dyDescent="0.3">
      <c r="A4574" t="str">
        <f>HYPERLINK("https://us2.cloudbeds.com/connect/10074733072513#/reservations/31694103793860?display=MHM4QRJ3N&amp;reservation_id=31694103793860", "MHM4QRJ3N")</f>
        <v>MHM4QRJ3N</v>
      </c>
      <c r="B4574" t="s">
        <v>1431</v>
      </c>
      <c r="C4574">
        <v>178</v>
      </c>
      <c r="D4574">
        <v>193.48</v>
      </c>
      <c r="E4574">
        <v>193.49</v>
      </c>
      <c r="F4574">
        <v>-0.01</v>
      </c>
    </row>
    <row r="4575" spans="1:6" x14ac:dyDescent="0.3">
      <c r="A4575" t="str">
        <f>HYPERLINK("https://us2.cloudbeds.com/connect/10074733072513#/reservations/31686217109703?display=MHG19XVTN&amp;reservation_id=31686217109703", "MHG19XVTN")</f>
        <v>MHG19XVTN</v>
      </c>
      <c r="B4575" t="s">
        <v>1428</v>
      </c>
      <c r="C4575">
        <v>196.2</v>
      </c>
      <c r="D4575">
        <v>213.26</v>
      </c>
      <c r="E4575">
        <v>213.27</v>
      </c>
      <c r="F4575">
        <v>-0.01</v>
      </c>
    </row>
    <row r="4576" spans="1:6" x14ac:dyDescent="0.3">
      <c r="A4576" t="str">
        <f>HYPERLINK("https://us2.cloudbeds.com/connect/10074733072513#/reservations/31689559449771?display=MHXKMUGN2&amp;reservation_id=31689559449771", "MHXKMUGN2")</f>
        <v>MHXKMUGN2</v>
      </c>
      <c r="B4576" t="s">
        <v>1408</v>
      </c>
      <c r="C4576">
        <v>134.1</v>
      </c>
      <c r="D4576">
        <v>145.76</v>
      </c>
      <c r="E4576">
        <v>145.77000000000001</v>
      </c>
      <c r="F4576">
        <v>-0.01</v>
      </c>
    </row>
    <row r="4577" spans="1:6" x14ac:dyDescent="0.3">
      <c r="A4577" t="str">
        <f>HYPERLINK("https://us2.cloudbeds.com/connect/10074733072513#/reservations/31694079828222?display=MHM46KN38&amp;reservation_id=31694079828222", "MHM46KN38")</f>
        <v>MHM46KN38</v>
      </c>
      <c r="B4577" t="s">
        <v>1431</v>
      </c>
      <c r="C4577">
        <v>294.95</v>
      </c>
      <c r="D4577">
        <v>320.60000000000002</v>
      </c>
      <c r="E4577">
        <v>320.61</v>
      </c>
      <c r="F4577">
        <v>-0.01</v>
      </c>
    </row>
    <row r="4578" spans="1:6" x14ac:dyDescent="0.3">
      <c r="A4578" t="str">
        <f>HYPERLINK("https://us2.cloudbeds.com/connect/10074733072513#/reservations/31693452116102?display=MHYY5AMJS&amp;reservation_id=31693452116102", "MHYY5AMJS")</f>
        <v>MHYY5AMJS</v>
      </c>
      <c r="B4578" t="s">
        <v>1420</v>
      </c>
      <c r="C4578">
        <v>294.3</v>
      </c>
      <c r="D4578">
        <v>319.89</v>
      </c>
      <c r="E4578">
        <v>319.89999999999998</v>
      </c>
      <c r="F4578">
        <v>-0.01</v>
      </c>
    </row>
    <row r="4579" spans="1:6" x14ac:dyDescent="0.3">
      <c r="A4579" t="str">
        <f>HYPERLINK("https://us2.cloudbeds.com/connect/10074733072513#/reservations/31686669910160?display=MHGCSCQKM&amp;reservation_id=31686669910160", "MHGCSCQKM")</f>
        <v>MHGCSCQKM</v>
      </c>
      <c r="B4579" t="s">
        <v>1433</v>
      </c>
      <c r="C4579">
        <v>87.2</v>
      </c>
      <c r="D4579">
        <v>94.78</v>
      </c>
      <c r="E4579">
        <v>94.79</v>
      </c>
      <c r="F4579">
        <v>-0.01</v>
      </c>
    </row>
    <row r="4580" spans="1:6" x14ac:dyDescent="0.3">
      <c r="A4580" t="str">
        <f>HYPERLINK("https://us2.cloudbeds.com/connect/10074733072513#/reservations/31689624719566?display=MHXMBVZ7Y&amp;reservation_id=31689624719566", "MHXMBVZ7Y")</f>
        <v>MHXMBVZ7Y</v>
      </c>
      <c r="B4580" t="s">
        <v>1409</v>
      </c>
      <c r="C4580">
        <v>500.4</v>
      </c>
      <c r="D4580">
        <v>543.91999999999996</v>
      </c>
      <c r="E4580">
        <v>543.92999999999995</v>
      </c>
      <c r="F4580">
        <v>-0.01</v>
      </c>
    </row>
    <row r="4581" spans="1:6" x14ac:dyDescent="0.3">
      <c r="A4581" t="str">
        <f>HYPERLINK("https://us2.cloudbeds.com/connect/10074733072513#/reservations/31693425651913?display=MHYKG097Z&amp;reservation_id=31693425651913", "MHYKG097Z")</f>
        <v>MHYKG097Z</v>
      </c>
      <c r="B4581" t="s">
        <v>1420</v>
      </c>
      <c r="C4581">
        <v>87.2</v>
      </c>
      <c r="D4581">
        <v>94.78</v>
      </c>
      <c r="E4581">
        <v>94.79</v>
      </c>
      <c r="F4581">
        <v>-0.01</v>
      </c>
    </row>
    <row r="4582" spans="1:6" x14ac:dyDescent="0.3">
      <c r="A4582" t="str">
        <f>HYPERLINK("https://us2.cloudbeds.com/connect/10074733072513#/reservations/31696037028086?display=MHNY6WM51&amp;reservation_id=31696037028086", "MHNY6WM51")</f>
        <v>MHNY6WM51</v>
      </c>
      <c r="B4582" t="s">
        <v>1315</v>
      </c>
      <c r="C4582">
        <v>366.4</v>
      </c>
      <c r="D4582">
        <v>398.27</v>
      </c>
      <c r="E4582">
        <v>398.28</v>
      </c>
      <c r="F4582">
        <v>-0.01</v>
      </c>
    </row>
    <row r="4583" spans="1:6" x14ac:dyDescent="0.3">
      <c r="A4583" t="str">
        <f>HYPERLINK("https://us2.cloudbeds.com/connect/10074733072513#/reservations/31693310578889?display=MHYHHW6ND&amp;reservation_id=31693310578889", "MHYHHW6ND")</f>
        <v>MHYHHW6ND</v>
      </c>
      <c r="B4583" t="s">
        <v>1375</v>
      </c>
      <c r="C4583">
        <v>127.2</v>
      </c>
      <c r="D4583">
        <v>138.26</v>
      </c>
      <c r="E4583">
        <v>138.27000000000001</v>
      </c>
      <c r="F4583">
        <v>-0.01</v>
      </c>
    </row>
    <row r="4584" spans="1:6" x14ac:dyDescent="0.3">
      <c r="A4584" t="str">
        <f>HYPERLINK("https://us2.cloudbeds.com/connect/10074733072513#/reservations/31694060245129?display=MHM3N3PF6&amp;reservation_id=31694060245129", "MHM3N3PF6")</f>
        <v>MHM3N3PF6</v>
      </c>
      <c r="B4584" t="s">
        <v>1431</v>
      </c>
      <c r="C4584">
        <v>196.2</v>
      </c>
      <c r="D4584">
        <v>213.26</v>
      </c>
      <c r="E4584">
        <v>213.27</v>
      </c>
      <c r="F4584">
        <v>-0.01</v>
      </c>
    </row>
    <row r="4585" spans="1:6" x14ac:dyDescent="0.3">
      <c r="A4585" t="str">
        <f>HYPERLINK("https://us2.cloudbeds.com/connect/10074733072513#/reservations/31693512724699?display=MHYMNE6T0&amp;reservation_id=31693512724699", "MHYMNE6T0")</f>
        <v>MHYMNE6T0</v>
      </c>
      <c r="B4585" t="s">
        <v>1400</v>
      </c>
      <c r="C4585">
        <v>196.2</v>
      </c>
      <c r="D4585">
        <v>213.26</v>
      </c>
      <c r="E4585">
        <v>213.27</v>
      </c>
      <c r="F4585">
        <v>-0.01</v>
      </c>
    </row>
    <row r="4586" spans="1:6" x14ac:dyDescent="0.3">
      <c r="A4586" t="str">
        <f>HYPERLINK("https://us2.cloudbeds.com/connect/10074733072513#/reservations/31689113772164?display=MHX9A3SN1&amp;reservation_id=31689113772164", "MHX9A3SN1")</f>
        <v>MHX9A3SN1</v>
      </c>
      <c r="B4586" t="s">
        <v>1402</v>
      </c>
      <c r="C4586">
        <v>174.4</v>
      </c>
      <c r="D4586">
        <v>189.56</v>
      </c>
      <c r="E4586">
        <v>189.57</v>
      </c>
      <c r="F4586">
        <v>-0.01</v>
      </c>
    </row>
    <row r="4587" spans="1:6" x14ac:dyDescent="0.3">
      <c r="A4587" t="str">
        <f>HYPERLINK("https://us2.cloudbeds.com/connect/10074733072513#/reservations/31689816518891?display=MHXR8MRGD&amp;reservation_id=31689816518891", "MHXR8MRGD")</f>
        <v>MHXR8MRGD</v>
      </c>
      <c r="B4587" t="s">
        <v>1439</v>
      </c>
      <c r="C4587">
        <v>87.2</v>
      </c>
      <c r="D4587">
        <v>94.78</v>
      </c>
      <c r="E4587">
        <v>94.79</v>
      </c>
      <c r="F4587">
        <v>-0.01</v>
      </c>
    </row>
    <row r="4588" spans="1:6" x14ac:dyDescent="0.3">
      <c r="A4588" t="str">
        <f>HYPERLINK("https://us2.cloudbeds.com/connect/10074733072513#/reservations/31687179702511?display=MHGPT8HGZ&amp;reservation_id=31687179702511", "MHGPT8HGZ")</f>
        <v>MHGPT8HGZ</v>
      </c>
      <c r="B4588" t="s">
        <v>1408</v>
      </c>
      <c r="C4588">
        <v>482.4</v>
      </c>
      <c r="D4588">
        <v>524.36</v>
      </c>
      <c r="E4588">
        <v>524.37</v>
      </c>
      <c r="F4588">
        <v>-0.01</v>
      </c>
    </row>
    <row r="4589" spans="1:6" x14ac:dyDescent="0.3">
      <c r="A4589" t="str">
        <f>HYPERLINK("https://us2.cloudbeds.com/connect/10074733072513#/reservations/31688137224325?display=MHHHBYWX9&amp;reservation_id=31688137224325", "MHHHBYWX9")</f>
        <v>MHHHBYWX9</v>
      </c>
      <c r="B4589" t="s">
        <v>1439</v>
      </c>
      <c r="C4589">
        <v>210.8</v>
      </c>
      <c r="D4589">
        <v>229.13</v>
      </c>
      <c r="E4589">
        <v>229.14</v>
      </c>
      <c r="F4589">
        <v>-0.01</v>
      </c>
    </row>
    <row r="4590" spans="1:6" x14ac:dyDescent="0.3">
      <c r="A4590" t="str">
        <f>HYPERLINK("https://us2.cloudbeds.com/connect/10074733072513#/reservations/31688110944452?display=MHHGMGNEG&amp;reservation_id=31688110944452", "MHHGMGNEG")</f>
        <v>MHHGMGNEG</v>
      </c>
      <c r="B4590" t="s">
        <v>1439</v>
      </c>
      <c r="C4590">
        <v>103.2</v>
      </c>
      <c r="D4590">
        <v>112.17</v>
      </c>
      <c r="E4590">
        <v>112.18</v>
      </c>
      <c r="F4590">
        <v>-0.01</v>
      </c>
    </row>
    <row r="4591" spans="1:6" x14ac:dyDescent="0.3">
      <c r="A4591" t="str">
        <f>HYPERLINK("https://us2.cloudbeds.com/connect/10074733072513#/reservations/31731208671457?display=MXHSUYGAU&amp;reservation_id=31731208671457", "MXHSUYGAU")</f>
        <v>MXHSUYGAU</v>
      </c>
      <c r="B4591" t="s">
        <v>1444</v>
      </c>
      <c r="C4591">
        <v>376.2</v>
      </c>
      <c r="D4591">
        <v>408.92</v>
      </c>
      <c r="E4591">
        <v>408.93</v>
      </c>
      <c r="F4591">
        <v>-0.01</v>
      </c>
    </row>
    <row r="4592" spans="1:6" x14ac:dyDescent="0.3">
      <c r="A4592" t="str">
        <f>HYPERLINK("https://us2.cloudbeds.com/connect/10074733072513#/reservations/31689039851662?display=MHX7DPUER&amp;reservation_id=31689039851662", "MHX7DPUER")</f>
        <v>MHX7DPUER</v>
      </c>
      <c r="B4592" t="s">
        <v>1439</v>
      </c>
      <c r="C4592">
        <v>294.3</v>
      </c>
      <c r="D4592">
        <v>319.89</v>
      </c>
      <c r="E4592">
        <v>319.89999999999998</v>
      </c>
      <c r="F4592">
        <v>-0.01</v>
      </c>
    </row>
    <row r="4593" spans="1:6" x14ac:dyDescent="0.3">
      <c r="A4593" t="str">
        <f>HYPERLINK("https://us2.cloudbeds.com/connect/10074733072513#/reservations/31689514037473?display=MHXJHKRPR&amp;reservation_id=31689514037473", "MHXJHKRPR")</f>
        <v>MHXJHKRPR</v>
      </c>
      <c r="B4593" t="s">
        <v>1408</v>
      </c>
      <c r="C4593">
        <v>304.2</v>
      </c>
      <c r="D4593">
        <v>330.66</v>
      </c>
      <c r="E4593">
        <v>330.67</v>
      </c>
      <c r="F4593">
        <v>-0.01</v>
      </c>
    </row>
    <row r="4594" spans="1:6" x14ac:dyDescent="0.3">
      <c r="A4594" t="str">
        <f>HYPERLINK("https://us2.cloudbeds.com/connect/10074733072513#/reservations/31687146287232?display=MHGZRSYZG&amp;reservation_id=31687146287232", "MHGZRSYZG")</f>
        <v>MHGZRSYZG</v>
      </c>
      <c r="B4594" t="s">
        <v>1408</v>
      </c>
      <c r="C4594">
        <v>250.2</v>
      </c>
      <c r="D4594">
        <v>271.95999999999998</v>
      </c>
      <c r="E4594">
        <v>271.97000000000003</v>
      </c>
      <c r="F4594">
        <v>-0.01</v>
      </c>
    </row>
    <row r="4595" spans="1:6" x14ac:dyDescent="0.3">
      <c r="A4595" t="str">
        <f>HYPERLINK("https://us2.cloudbeds.com/connect/10074733072513#/reservations/31690464444609?display=MHJAR1AK2&amp;reservation_id=31690464444609", "MHJAR1AK2")</f>
        <v>MHJAR1AK2</v>
      </c>
      <c r="B4595" t="s">
        <v>1375</v>
      </c>
      <c r="C4595">
        <v>250.2</v>
      </c>
      <c r="D4595">
        <v>271.95999999999998</v>
      </c>
      <c r="E4595">
        <v>271.97000000000003</v>
      </c>
      <c r="F4595">
        <v>-0.01</v>
      </c>
    </row>
    <row r="4596" spans="1:6" x14ac:dyDescent="0.3">
      <c r="A4596" t="str">
        <f>HYPERLINK("https://us2.cloudbeds.com/connect/10074733072513#/reservations/31685269754041?display=MHFA2ZD5C&amp;reservation_id=31685269754041", "MHFA2ZD5C")</f>
        <v>MHFA2ZD5C</v>
      </c>
      <c r="B4596" t="s">
        <v>1409</v>
      </c>
      <c r="C4596">
        <v>250.2</v>
      </c>
      <c r="D4596">
        <v>271.95999999999998</v>
      </c>
      <c r="E4596">
        <v>271.97000000000003</v>
      </c>
      <c r="F4596">
        <v>-0.01</v>
      </c>
    </row>
    <row r="4597" spans="1:6" x14ac:dyDescent="0.3">
      <c r="A4597" t="str">
        <f>HYPERLINK("https://us2.cloudbeds.com/connect/10074733072513#/reservations/31686519062764?display=MHG9068EF&amp;reservation_id=31686519062764", "MHG9068EF")</f>
        <v>MHG9068EF</v>
      </c>
      <c r="B4597" t="s">
        <v>1409</v>
      </c>
      <c r="C4597">
        <v>250.2</v>
      </c>
      <c r="D4597">
        <v>271.95999999999998</v>
      </c>
      <c r="E4597">
        <v>271.97000000000003</v>
      </c>
      <c r="F4597">
        <v>-0.01</v>
      </c>
    </row>
    <row r="4598" spans="1:6" x14ac:dyDescent="0.3">
      <c r="A4598" t="str">
        <f>HYPERLINK("https://us2.cloudbeds.com/connect/10074733072513#/reservations/31736022691987?display=MXYJUVNGU&amp;reservation_id=31736022691987", "MXYJUVNGU")</f>
        <v>MXYJUVNGU</v>
      </c>
      <c r="B4598" t="s">
        <v>1449</v>
      </c>
      <c r="C4598">
        <v>134.1</v>
      </c>
      <c r="D4598">
        <v>145.76</v>
      </c>
      <c r="E4598">
        <v>145.77000000000001</v>
      </c>
      <c r="F4598">
        <v>-0.01</v>
      </c>
    </row>
    <row r="4599" spans="1:6" x14ac:dyDescent="0.3">
      <c r="A4599" t="str">
        <f>HYPERLINK("https://us2.cloudbeds.com/connect/10074733072513#/reservations/31690696982743?display=MHJGP4186&amp;reservation_id=31690696982743", "MHJGP4186")</f>
        <v>MHJGP4186</v>
      </c>
      <c r="B4599" t="s">
        <v>1407</v>
      </c>
      <c r="C4599">
        <v>182.36</v>
      </c>
      <c r="D4599">
        <v>198.22</v>
      </c>
      <c r="E4599">
        <v>198.23</v>
      </c>
      <c r="F4599">
        <v>-0.01</v>
      </c>
    </row>
    <row r="4600" spans="1:6" x14ac:dyDescent="0.3">
      <c r="A4600" t="str">
        <f>HYPERLINK("https://us2.cloudbeds.com/connect/10074733072513#/reservations/31685952114900?display=MHFRH4355&amp;reservation_id=31685952114900", "MHFRH4355")</f>
        <v>MHFRH4355</v>
      </c>
      <c r="B4600" t="s">
        <v>1450</v>
      </c>
      <c r="C4600">
        <v>134.1</v>
      </c>
      <c r="D4600">
        <v>145.76</v>
      </c>
      <c r="E4600">
        <v>145.77000000000001</v>
      </c>
      <c r="F4600">
        <v>-0.01</v>
      </c>
    </row>
    <row r="4601" spans="1:6" x14ac:dyDescent="0.3">
      <c r="A4601" t="str">
        <f>HYPERLINK("https://us2.cloudbeds.com/connect/10074733072513#/reservations/31687005470895?display=MHGYEB96Q&amp;reservation_id=31687005470895", "MHGYEB96Q")</f>
        <v>MHGYEB96Q</v>
      </c>
      <c r="B4601" t="s">
        <v>1327</v>
      </c>
      <c r="C4601">
        <v>268.2</v>
      </c>
      <c r="D4601">
        <v>291.52</v>
      </c>
      <c r="E4601">
        <v>291.52999999999997</v>
      </c>
      <c r="F4601">
        <v>-0.01</v>
      </c>
    </row>
    <row r="4602" spans="1:6" x14ac:dyDescent="0.3">
      <c r="A4602" t="str">
        <f>HYPERLINK("https://us2.cloudbeds.com/connect/10074733072513#/reservations/31689983352977?display=MHXVHC7RP&amp;reservation_id=31689983352977", "MHXVHC7RP")</f>
        <v>MHXVHC7RP</v>
      </c>
      <c r="B4602" t="s">
        <v>1452</v>
      </c>
      <c r="C4602">
        <v>500.8</v>
      </c>
      <c r="D4602">
        <v>544.36</v>
      </c>
      <c r="E4602">
        <v>544.37</v>
      </c>
      <c r="F4602">
        <v>-0.01</v>
      </c>
    </row>
    <row r="4603" spans="1:6" x14ac:dyDescent="0.3">
      <c r="A4603" t="str">
        <f>HYPERLINK("https://us2.cloudbeds.com/connect/10074733072513#/reservations/31685586223351?display=MHFX5JKJF&amp;reservation_id=31685586223351", "MHFX5JKJF")</f>
        <v>MHFX5JKJF</v>
      </c>
      <c r="B4603" t="s">
        <v>1445</v>
      </c>
      <c r="C4603">
        <v>196.2</v>
      </c>
      <c r="D4603">
        <v>213.26</v>
      </c>
      <c r="E4603">
        <v>213.27</v>
      </c>
      <c r="F4603">
        <v>-0.01</v>
      </c>
    </row>
    <row r="4604" spans="1:6" x14ac:dyDescent="0.3">
      <c r="A4604" t="str">
        <f>HYPERLINK("https://us2.cloudbeds.com/connect/10074733072513#/reservations/31686502756578?display=MHG8JEGTK&amp;reservation_id=31686502756578", "MHG8JEGTK")</f>
        <v>MHG8JEGTK</v>
      </c>
      <c r="B4604" t="s">
        <v>1409</v>
      </c>
      <c r="C4604">
        <v>333.6</v>
      </c>
      <c r="D4604">
        <v>362.61</v>
      </c>
      <c r="E4604">
        <v>362.62</v>
      </c>
      <c r="F4604">
        <v>-0.01</v>
      </c>
    </row>
    <row r="4605" spans="1:6" x14ac:dyDescent="0.3">
      <c r="A4605" t="str">
        <f>HYPERLINK("https://us2.cloudbeds.com/connect/10074733072513#/reservations/31690668220647?display=MHJG0SMPH&amp;reservation_id=31690668220647", "MHJG0SMPH")</f>
        <v>MHJG0SMPH</v>
      </c>
      <c r="B4605" t="s">
        <v>1407</v>
      </c>
      <c r="C4605">
        <v>268.2</v>
      </c>
      <c r="D4605">
        <v>291.52</v>
      </c>
      <c r="E4605">
        <v>291.52999999999997</v>
      </c>
      <c r="F4605">
        <v>-0.01</v>
      </c>
    </row>
    <row r="4606" spans="1:6" x14ac:dyDescent="0.3">
      <c r="A4606" t="str">
        <f>HYPERLINK("https://us2.cloudbeds.com/connect/10074733072513#/reservations/31694236344468?display=MHM86JWRQ&amp;reservation_id=31694236344468", "MHM86JWRQ")</f>
        <v>MHM86JWRQ</v>
      </c>
      <c r="B4606" t="s">
        <v>1429</v>
      </c>
      <c r="C4606">
        <v>208.6</v>
      </c>
      <c r="D4606">
        <v>226.74</v>
      </c>
      <c r="E4606">
        <v>226.75</v>
      </c>
      <c r="F4606">
        <v>-0.01</v>
      </c>
    </row>
    <row r="4607" spans="1:6" x14ac:dyDescent="0.3">
      <c r="A4607" t="str">
        <f>HYPERLINK("https://us2.cloudbeds.com/connect/10074733072513#/reservations/31685247791328?display=MHF9H78CK&amp;reservation_id=31685247791328", "MHF9H78CK")</f>
        <v>MHF9H78CK</v>
      </c>
      <c r="B4607" t="s">
        <v>1409</v>
      </c>
      <c r="C4607">
        <v>134.1</v>
      </c>
      <c r="D4607">
        <v>145.76</v>
      </c>
      <c r="E4607">
        <v>145.77000000000001</v>
      </c>
      <c r="F4607">
        <v>-0.01</v>
      </c>
    </row>
    <row r="4608" spans="1:6" x14ac:dyDescent="0.3">
      <c r="A4608" t="str">
        <f>HYPERLINK("https://us2.cloudbeds.com/connect/10074733072513#/reservations/31687348138135?display=MHGU69GGX&amp;reservation_id=31687348138135", "MHGU69GGX")</f>
        <v>MHGU69GGX</v>
      </c>
      <c r="B4608" t="s">
        <v>1455</v>
      </c>
      <c r="C4608">
        <v>250.2</v>
      </c>
      <c r="D4608">
        <v>271.95999999999998</v>
      </c>
      <c r="E4608">
        <v>271.97000000000003</v>
      </c>
      <c r="F4608">
        <v>-0.01</v>
      </c>
    </row>
    <row r="4609" spans="1:6" x14ac:dyDescent="0.3">
      <c r="A4609" t="str">
        <f>HYPERLINK("https://us2.cloudbeds.com/connect/10074733072513#/reservations/31686544527505?display=MHG9YYS19&amp;reservation_id=31686544527505", "MHG9YYS19")</f>
        <v>MHG9YYS19</v>
      </c>
      <c r="B4609" t="s">
        <v>1409</v>
      </c>
      <c r="C4609">
        <v>134.1</v>
      </c>
      <c r="D4609">
        <v>145.76</v>
      </c>
      <c r="E4609">
        <v>145.77000000000001</v>
      </c>
      <c r="F4609">
        <v>-0.01</v>
      </c>
    </row>
    <row r="4610" spans="1:6" x14ac:dyDescent="0.3">
      <c r="A4610" t="str">
        <f>HYPERLINK("https://us2.cloudbeds.com/connect/10074733072513#/reservations/31694787641574?display=MHMM9FYEN&amp;reservation_id=31694787641574", "MHMM9FYEN")</f>
        <v>MHMM9FYEN</v>
      </c>
      <c r="B4610" t="s">
        <v>1409</v>
      </c>
      <c r="C4610">
        <v>134.1</v>
      </c>
      <c r="D4610">
        <v>145.76</v>
      </c>
      <c r="E4610">
        <v>145.77000000000001</v>
      </c>
      <c r="F4610">
        <v>-0.01</v>
      </c>
    </row>
    <row r="4611" spans="1:6" x14ac:dyDescent="0.3">
      <c r="A4611" t="str">
        <f>HYPERLINK("https://us2.cloudbeds.com/connect/10074733072513#/reservations/31694818287772?display=MHMN2AE1C&amp;reservation_id=31694818287772", "MHMN2AE1C")</f>
        <v>MHMN2AE1C</v>
      </c>
      <c r="B4611" t="s">
        <v>1407</v>
      </c>
      <c r="C4611">
        <v>268.2</v>
      </c>
      <c r="D4611">
        <v>291.52</v>
      </c>
      <c r="E4611">
        <v>291.52999999999997</v>
      </c>
      <c r="F4611">
        <v>-0.01</v>
      </c>
    </row>
    <row r="4612" spans="1:6" x14ac:dyDescent="0.3">
      <c r="A4612" t="str">
        <f>HYPERLINK("https://us2.cloudbeds.com/connect/10074733072513#/reservations/31694747656337?display=MHMY8P01S&amp;reservation_id=31694747656337", "MHMY8P01S")</f>
        <v>MHMY8P01S</v>
      </c>
      <c r="B4612" t="s">
        <v>1409</v>
      </c>
      <c r="C4612">
        <v>134.1</v>
      </c>
      <c r="D4612">
        <v>145.76</v>
      </c>
      <c r="E4612">
        <v>145.77000000000001</v>
      </c>
      <c r="F4612">
        <v>-0.01</v>
      </c>
    </row>
    <row r="4613" spans="1:6" x14ac:dyDescent="0.3">
      <c r="A4613" t="str">
        <f>HYPERLINK("https://us2.cloudbeds.com/connect/10074733072513#/reservations/31685581832399?display=MHFX1TEGA&amp;reservation_id=31685581832399", "MHFX1TEGA")</f>
        <v>MHFX1TEGA</v>
      </c>
      <c r="B4613" t="s">
        <v>1437</v>
      </c>
      <c r="C4613">
        <v>134.1</v>
      </c>
      <c r="D4613">
        <v>145.76</v>
      </c>
      <c r="E4613">
        <v>145.77000000000001</v>
      </c>
      <c r="F4613">
        <v>-0.01</v>
      </c>
    </row>
    <row r="4614" spans="1:6" x14ac:dyDescent="0.3">
      <c r="A4614" t="str">
        <f>HYPERLINK("https://us2.cloudbeds.com/connect/10074733072513#/reservations/31689616056479?display=MHXM4YM4S&amp;reservation_id=31689616056479", "MHXM4YM4S")</f>
        <v>MHXM4YM4S</v>
      </c>
      <c r="B4614" t="s">
        <v>1409</v>
      </c>
      <c r="C4614">
        <v>134.1</v>
      </c>
      <c r="D4614">
        <v>145.76</v>
      </c>
      <c r="E4614">
        <v>145.77000000000001</v>
      </c>
      <c r="F4614">
        <v>-0.01</v>
      </c>
    </row>
    <row r="4615" spans="1:6" x14ac:dyDescent="0.3">
      <c r="A4615" t="str">
        <f>HYPERLINK("https://us2.cloudbeds.com/connect/10074733072513#/reservations/31693321826462?display=MHYHRF61V&amp;reservation_id=31693321826462", "MHYHRF61V")</f>
        <v>MHYHRF61V</v>
      </c>
      <c r="B4615" t="s">
        <v>1375</v>
      </c>
      <c r="C4615">
        <v>127.2</v>
      </c>
      <c r="D4615">
        <v>138.26</v>
      </c>
      <c r="E4615">
        <v>138.27000000000001</v>
      </c>
      <c r="F4615">
        <v>-0.01</v>
      </c>
    </row>
    <row r="4616" spans="1:6" x14ac:dyDescent="0.3">
      <c r="A4616" t="str">
        <f>HYPERLINK("https://us2.cloudbeds.com/connect/10074733072513#/reservations/31688611930280?display=MHHTFVCH7&amp;reservation_id=31688611930280", "MHHTFVCH7")</f>
        <v>MHHTFVCH7</v>
      </c>
      <c r="B4616" t="s">
        <v>1458</v>
      </c>
      <c r="C4616">
        <v>87.2</v>
      </c>
      <c r="D4616">
        <v>94.78</v>
      </c>
      <c r="E4616">
        <v>94.79</v>
      </c>
      <c r="F4616">
        <v>-0.01</v>
      </c>
    </row>
    <row r="4617" spans="1:6" x14ac:dyDescent="0.3">
      <c r="A4617" t="str">
        <f>HYPERLINK("https://us2.cloudbeds.com/connect/10074733072513#/reservations/31688595370197?display=MHHT1WXRH&amp;reservation_id=31688595370197", "MHHT1WXRH")</f>
        <v>MHHT1WXRH</v>
      </c>
      <c r="B4617" t="s">
        <v>1460</v>
      </c>
      <c r="C4617">
        <v>196.2</v>
      </c>
      <c r="D4617">
        <v>213.26</v>
      </c>
      <c r="E4617">
        <v>213.27</v>
      </c>
      <c r="F4617">
        <v>-0.01</v>
      </c>
    </row>
    <row r="4618" spans="1:6" x14ac:dyDescent="0.3">
      <c r="A4618" t="str">
        <f>HYPERLINK("https://us2.cloudbeds.com/connect/10074733072513#/reservations/31732047585530?display=MXXHC1H0G&amp;reservation_id=31732047585530", "MXXHC1H0G")</f>
        <v>MXXHC1H0G</v>
      </c>
      <c r="B4618" t="s">
        <v>1371</v>
      </c>
      <c r="C4618">
        <v>430.2</v>
      </c>
      <c r="D4618">
        <v>467.62</v>
      </c>
      <c r="E4618">
        <v>467.63</v>
      </c>
      <c r="F4618">
        <v>-0.01</v>
      </c>
    </row>
    <row r="4619" spans="1:6" x14ac:dyDescent="0.3">
      <c r="A4619" t="str">
        <f>HYPERLINK("https://us2.cloudbeds.com/connect/10074733072513#/reservations/31688638390407?display=MHHU58M58&amp;reservation_id=31688638390407", "MHHU58M58")</f>
        <v>MHHU58M58</v>
      </c>
      <c r="B4619" t="s">
        <v>1458</v>
      </c>
      <c r="C4619">
        <v>87.2</v>
      </c>
      <c r="D4619">
        <v>94.78</v>
      </c>
      <c r="E4619">
        <v>94.79</v>
      </c>
      <c r="F4619">
        <v>-0.01</v>
      </c>
    </row>
    <row r="4620" spans="1:6" x14ac:dyDescent="0.3">
      <c r="A4620" t="str">
        <f>HYPERLINK("https://us2.cloudbeds.com/connect/10074733072513#/reservations/31689976950940?display=MHXVBW30Y&amp;reservation_id=31689976950940", "MHXVBW30Y")</f>
        <v>MHXVBW30Y</v>
      </c>
      <c r="B4620" t="s">
        <v>1404</v>
      </c>
      <c r="C4620">
        <v>134.1</v>
      </c>
      <c r="D4620">
        <v>145.76</v>
      </c>
      <c r="E4620">
        <v>145.77000000000001</v>
      </c>
      <c r="F4620">
        <v>-0.01</v>
      </c>
    </row>
    <row r="4621" spans="1:6" x14ac:dyDescent="0.3">
      <c r="A4621" t="str">
        <f>HYPERLINK("https://us2.cloudbeds.com/connect/10074733072513#/reservations/31694634758380?display=MHMXCXERY&amp;reservation_id=31694634758380", "MHMXCXERY")</f>
        <v>MHMXCXERY</v>
      </c>
      <c r="B4621" t="s">
        <v>1466</v>
      </c>
      <c r="C4621">
        <v>250.2</v>
      </c>
      <c r="D4621">
        <v>271.95999999999998</v>
      </c>
      <c r="E4621">
        <v>271.97000000000003</v>
      </c>
      <c r="F4621">
        <v>-0.01</v>
      </c>
    </row>
    <row r="4622" spans="1:6" x14ac:dyDescent="0.3">
      <c r="A4622" t="str">
        <f>HYPERLINK("https://us2.cloudbeds.com/connect/10074733072513#/reservations/31690685071584?display=MHJGF2JHV&amp;reservation_id=31690685071584", "MHJGF2JHV")</f>
        <v>MHJGF2JHV</v>
      </c>
      <c r="B4622" t="s">
        <v>1407</v>
      </c>
      <c r="C4622">
        <v>234.84</v>
      </c>
      <c r="D4622">
        <v>255.26</v>
      </c>
      <c r="E4622">
        <v>255.27</v>
      </c>
      <c r="F4622">
        <v>-0.01</v>
      </c>
    </row>
    <row r="4623" spans="1:6" x14ac:dyDescent="0.3">
      <c r="A4623" t="str">
        <f>HYPERLINK("https://us2.cloudbeds.com/connect/10074733072513#/reservations/31691982504150?display=MHKGK3XMB&amp;reservation_id=31691982504150", "MHKGK3XMB")</f>
        <v>MHKGK3XMB</v>
      </c>
      <c r="B4623" t="s">
        <v>1404</v>
      </c>
      <c r="C4623">
        <v>250.2</v>
      </c>
      <c r="D4623">
        <v>271.95999999999998</v>
      </c>
      <c r="E4623">
        <v>271.97000000000003</v>
      </c>
      <c r="F4623">
        <v>-0.01</v>
      </c>
    </row>
    <row r="4624" spans="1:6" x14ac:dyDescent="0.3">
      <c r="A4624" t="str">
        <f>HYPERLINK("https://us2.cloudbeds.com/connect/10074733072513#/reservations/31690393874561?display=MHJ90HJWP&amp;reservation_id=31690393874561", "MHJ90HJWP")</f>
        <v>MHJ90HJWP</v>
      </c>
      <c r="B4624" t="s">
        <v>1461</v>
      </c>
      <c r="C4624">
        <v>87.2</v>
      </c>
      <c r="D4624">
        <v>94.78</v>
      </c>
      <c r="E4624">
        <v>94.79</v>
      </c>
      <c r="F4624">
        <v>-0.01</v>
      </c>
    </row>
    <row r="4625" spans="1:6" x14ac:dyDescent="0.3">
      <c r="A4625" t="str">
        <f>HYPERLINK("https://us2.cloudbeds.com/connect/10074733072513#/reservations/31693351153805?display=MHYXJ68JA&amp;reservation_id=31693351153805", "MHYXJ68JA")</f>
        <v>MHYXJ68JA</v>
      </c>
      <c r="B4625" t="s">
        <v>1404</v>
      </c>
      <c r="C4625">
        <v>117.42</v>
      </c>
      <c r="D4625">
        <v>127.63</v>
      </c>
      <c r="E4625">
        <v>127.64</v>
      </c>
      <c r="F4625">
        <v>-0.01</v>
      </c>
    </row>
    <row r="4626" spans="1:6" x14ac:dyDescent="0.3">
      <c r="A4626" t="str">
        <f>HYPERLINK("https://us2.cloudbeds.com/connect/10074733072513#/reservations/31694661353640?display=MHMJ1WGXK&amp;reservation_id=31694661353640", "MHMJ1WGXK")</f>
        <v>MHMJ1WGXK</v>
      </c>
      <c r="B4626" t="s">
        <v>1466</v>
      </c>
      <c r="C4626">
        <v>87.2</v>
      </c>
      <c r="D4626">
        <v>94.78</v>
      </c>
      <c r="E4626">
        <v>94.79</v>
      </c>
      <c r="F4626">
        <v>-0.01</v>
      </c>
    </row>
    <row r="4627" spans="1:6" x14ac:dyDescent="0.3">
      <c r="A4627" t="str">
        <f>HYPERLINK("https://us2.cloudbeds.com/connect/10074733072513#/reservations/31689300078766?display=MHXE2744Y&amp;reservation_id=31689300078766", "MHXE2744Y")</f>
        <v>MHXE2744Y</v>
      </c>
      <c r="B4627" t="s">
        <v>1429</v>
      </c>
      <c r="C4627">
        <v>254.4</v>
      </c>
      <c r="D4627">
        <v>276.52</v>
      </c>
      <c r="E4627">
        <v>276.52999999999997</v>
      </c>
      <c r="F4627">
        <v>-0.01</v>
      </c>
    </row>
    <row r="4628" spans="1:6" x14ac:dyDescent="0.3">
      <c r="A4628" t="str">
        <f>HYPERLINK("https://us2.cloudbeds.com/connect/10074733072513#/reservations/31689307959547?display=MHXE8SDS6&amp;reservation_id=31689307959547", "MHXE8SDS6")</f>
        <v>MHXE8SDS6</v>
      </c>
      <c r="B4628" t="s">
        <v>1429</v>
      </c>
      <c r="C4628">
        <v>254.4</v>
      </c>
      <c r="D4628">
        <v>276.52</v>
      </c>
      <c r="E4628">
        <v>276.52999999999997</v>
      </c>
      <c r="F4628">
        <v>-0.01</v>
      </c>
    </row>
    <row r="4629" spans="1:6" x14ac:dyDescent="0.3">
      <c r="A4629" t="str">
        <f>HYPERLINK("https://us2.cloudbeds.com/connect/10074733072513#/reservations/31693220999313?display=MHYF8EH4Q&amp;reservation_id=31693220999313", "MHYF8EH4Q")</f>
        <v>MHYF8EH4Q</v>
      </c>
      <c r="B4629" t="s">
        <v>1375</v>
      </c>
      <c r="C4629">
        <v>127.2</v>
      </c>
      <c r="D4629">
        <v>138.26</v>
      </c>
      <c r="E4629">
        <v>138.27000000000001</v>
      </c>
      <c r="F4629">
        <v>-0.01</v>
      </c>
    </row>
    <row r="4630" spans="1:6" x14ac:dyDescent="0.3">
      <c r="A4630" t="str">
        <f>HYPERLINK("https://us2.cloudbeds.com/connect/10074733072513#/reservations/31735185199312?display=MXKVHP820&amp;reservation_id=31735185199312", "MXKVHP820")</f>
        <v>MXKVHP820</v>
      </c>
      <c r="B4630" t="s">
        <v>1478</v>
      </c>
      <c r="C4630">
        <v>134.1</v>
      </c>
      <c r="D4630">
        <v>145.76</v>
      </c>
      <c r="E4630">
        <v>145.77000000000001</v>
      </c>
      <c r="F4630">
        <v>-0.01</v>
      </c>
    </row>
    <row r="4631" spans="1:6" x14ac:dyDescent="0.3">
      <c r="A4631" t="str">
        <f>HYPERLINK("https://us2.cloudbeds.com/connect/10074733072513#/reservations/31683397025993?display=MHDS7JWBJ&amp;reservation_id=31683397025993", "MHDS7JWBJ")</f>
        <v>MHDS7JWBJ</v>
      </c>
      <c r="B4631" t="s">
        <v>1487</v>
      </c>
      <c r="C4631">
        <v>294.3</v>
      </c>
      <c r="D4631">
        <v>319.89</v>
      </c>
      <c r="E4631">
        <v>319.89999999999998</v>
      </c>
      <c r="F4631">
        <v>-0.01</v>
      </c>
    </row>
    <row r="4632" spans="1:6" x14ac:dyDescent="0.3">
      <c r="A4632" t="str">
        <f>HYPERLINK("https://us2.cloudbeds.com/connect/10074733072513#/reservations/31690293526663?display=MHJ6EU95C&amp;reservation_id=31690293526663", "MHJ6EU95C")</f>
        <v>MHJ6EU95C</v>
      </c>
      <c r="B4632" t="s">
        <v>1471</v>
      </c>
      <c r="C4632">
        <v>87.2</v>
      </c>
      <c r="D4632">
        <v>94.78</v>
      </c>
      <c r="E4632">
        <v>94.79</v>
      </c>
      <c r="F4632">
        <v>-0.01</v>
      </c>
    </row>
    <row r="4633" spans="1:6" x14ac:dyDescent="0.3">
      <c r="A4633" t="str">
        <f>HYPERLINK("https://us2.cloudbeds.com/connect/10074733072513#/reservations/31687389724809?display=MHGV8BNEQ&amp;reservation_id=31687389724809", "MHGV8BNEQ")</f>
        <v>MHGV8BNEQ</v>
      </c>
      <c r="B4633" t="s">
        <v>1475</v>
      </c>
      <c r="C4633">
        <v>294.3</v>
      </c>
      <c r="D4633">
        <v>319.89</v>
      </c>
      <c r="E4633">
        <v>319.89999999999998</v>
      </c>
      <c r="F4633">
        <v>-0.01</v>
      </c>
    </row>
    <row r="4634" spans="1:6" x14ac:dyDescent="0.3">
      <c r="A4634" t="str">
        <f>HYPERLINK("https://us2.cloudbeds.com/connect/10074733072513#/reservations/31690323067099?display=MHJ76R9C3&amp;reservation_id=31690323067099", "MHJ76R9C3")</f>
        <v>MHJ76R9C3</v>
      </c>
      <c r="B4634" t="s">
        <v>1493</v>
      </c>
      <c r="C4634">
        <v>313.2</v>
      </c>
      <c r="D4634">
        <v>340.44</v>
      </c>
      <c r="E4634">
        <v>340.45</v>
      </c>
      <c r="F4634">
        <v>-0.01</v>
      </c>
    </row>
    <row r="4635" spans="1:6" x14ac:dyDescent="0.3">
      <c r="A4635" t="str">
        <f>HYPERLINK("https://us2.cloudbeds.com/connect/10074733072513#/reservations/31690045337814?display=MHJ03Y1T5&amp;reservation_id=31690045337814", "MHJ03Y1T5")</f>
        <v>MHJ03Y1T5</v>
      </c>
      <c r="B4635" t="s">
        <v>1404</v>
      </c>
      <c r="C4635">
        <v>250.2</v>
      </c>
      <c r="D4635">
        <v>271.95999999999998</v>
      </c>
      <c r="E4635">
        <v>271.97000000000003</v>
      </c>
      <c r="F4635">
        <v>-0.01</v>
      </c>
    </row>
    <row r="4636" spans="1:6" x14ac:dyDescent="0.3">
      <c r="A4636" t="str">
        <f>HYPERLINK("https://us2.cloudbeds.com/connect/10074733072513#/reservations/31693336154331?display=MHYX6HSVP&amp;reservation_id=31693336154331", "MHYX6HSVP")</f>
        <v>MHYX6HSVP</v>
      </c>
      <c r="B4636" t="s">
        <v>1404</v>
      </c>
      <c r="C4636">
        <v>134.1</v>
      </c>
      <c r="D4636">
        <v>145.76</v>
      </c>
      <c r="E4636">
        <v>145.77000000000001</v>
      </c>
      <c r="F4636">
        <v>-0.01</v>
      </c>
    </row>
    <row r="4637" spans="1:6" x14ac:dyDescent="0.3">
      <c r="A4637" t="str">
        <f>HYPERLINK("https://us2.cloudbeds.com/connect/10074733072513#/reservations/31693320667372?display=MHYHQFUN0&amp;reservation_id=31693320667372", "MHYHQFUN0")</f>
        <v>MHYHQFUN0</v>
      </c>
      <c r="B4637" t="s">
        <v>1404</v>
      </c>
      <c r="C4637">
        <v>222.4</v>
      </c>
      <c r="D4637">
        <v>241.74</v>
      </c>
      <c r="E4637">
        <v>241.75</v>
      </c>
      <c r="F4637">
        <v>-0.01</v>
      </c>
    </row>
    <row r="4638" spans="1:6" x14ac:dyDescent="0.3">
      <c r="A4638" t="str">
        <f>HYPERLINK("https://us2.cloudbeds.com/connect/10074733072513#/reservations/31684389122229?display=MHEKJ5H5T&amp;reservation_id=31684389122229", "MHEKJ5H5T")</f>
        <v>MHEKJ5H5T</v>
      </c>
      <c r="B4638" t="s">
        <v>1429</v>
      </c>
      <c r="C4638">
        <v>280.10000000000002</v>
      </c>
      <c r="D4638">
        <v>304.45999999999998</v>
      </c>
      <c r="E4638">
        <v>304.47000000000003</v>
      </c>
      <c r="F4638">
        <v>-0.01</v>
      </c>
    </row>
    <row r="4639" spans="1:6" x14ac:dyDescent="0.3">
      <c r="A4639" t="str">
        <f>HYPERLINK("https://us2.cloudbeds.com/connect/10074733072513#/reservations/31690457084106?display=MHJAKRGYF&amp;reservation_id=31690457084106", "MHJAKRGYF")</f>
        <v>MHJAKRGYF</v>
      </c>
      <c r="B4639" t="s">
        <v>1375</v>
      </c>
      <c r="C4639">
        <v>208.6</v>
      </c>
      <c r="D4639">
        <v>226.74</v>
      </c>
      <c r="E4639">
        <v>226.75</v>
      </c>
      <c r="F4639">
        <v>-0.01</v>
      </c>
    </row>
    <row r="4640" spans="1:6" x14ac:dyDescent="0.3">
      <c r="A4640" t="str">
        <f>HYPERLINK("https://us2.cloudbeds.com/connect/10074733072513#/reservations/31694206419152?display=MHM7EC971&amp;reservation_id=31694206419152", "MHM7EC971")</f>
        <v>MHM7EC971</v>
      </c>
      <c r="B4640" t="s">
        <v>1327</v>
      </c>
      <c r="C4640">
        <v>304.2</v>
      </c>
      <c r="D4640">
        <v>330.66</v>
      </c>
      <c r="E4640">
        <v>330.67</v>
      </c>
      <c r="F4640">
        <v>-0.01</v>
      </c>
    </row>
    <row r="4641" spans="1:6" x14ac:dyDescent="0.3">
      <c r="A4641" t="str">
        <f>HYPERLINK("https://us2.cloudbeds.com/connect/10074733072513#/reservations/31689997205748?display=MHXVT1NFN&amp;reservation_id=31689997205748", "MHXVT1NFN")</f>
        <v>MHXVT1NFN</v>
      </c>
      <c r="B4641" t="s">
        <v>1404</v>
      </c>
      <c r="C4641">
        <v>118.15</v>
      </c>
      <c r="D4641">
        <v>128.41999999999999</v>
      </c>
      <c r="E4641">
        <v>128.43</v>
      </c>
      <c r="F4641">
        <v>-0.01</v>
      </c>
    </row>
    <row r="4642" spans="1:6" x14ac:dyDescent="0.3">
      <c r="A4642" t="str">
        <f>HYPERLINK("https://us2.cloudbeds.com/connect/10074733072513#/reservations/31691928498375?display=MHKF7XPJN&amp;reservation_id=31691928498375", "MHKF7XPJN")</f>
        <v>MHKF7XPJN</v>
      </c>
      <c r="B4642" t="s">
        <v>1404</v>
      </c>
      <c r="C4642">
        <v>134.1</v>
      </c>
      <c r="D4642">
        <v>145.76</v>
      </c>
      <c r="E4642">
        <v>145.77000000000001</v>
      </c>
      <c r="F4642">
        <v>-0.01</v>
      </c>
    </row>
    <row r="4643" spans="1:6" x14ac:dyDescent="0.3">
      <c r="A4643" t="str">
        <f>HYPERLINK("https://us2.cloudbeds.com/connect/10074733072513#/reservations/31694866788493?display=MHMZA70W6&amp;reservation_id=31694866788493", "MHMZA70W6")</f>
        <v>MHMZA70W6</v>
      </c>
      <c r="B4643" t="s">
        <v>1474</v>
      </c>
      <c r="C4643">
        <v>196.2</v>
      </c>
      <c r="D4643">
        <v>213.26</v>
      </c>
      <c r="E4643">
        <v>213.27</v>
      </c>
      <c r="F4643">
        <v>-0.01</v>
      </c>
    </row>
    <row r="4644" spans="1:6" x14ac:dyDescent="0.3">
      <c r="A4644" t="str">
        <f>HYPERLINK("https://us2.cloudbeds.com/connect/10074733072513#/reservations/31734666531047?display=MXKX9DHYS&amp;reservation_id=31734666531047", "MXKX9DHYS")</f>
        <v>MXKX9DHYS</v>
      </c>
      <c r="B4644" t="s">
        <v>1498</v>
      </c>
      <c r="C4644">
        <v>456.3</v>
      </c>
      <c r="D4644">
        <v>495.99</v>
      </c>
      <c r="E4644">
        <v>496</v>
      </c>
      <c r="F4644">
        <v>-0.01</v>
      </c>
    </row>
    <row r="4645" spans="1:6" x14ac:dyDescent="0.3">
      <c r="A4645" t="str">
        <f>HYPERLINK("https://us2.cloudbeds.com/connect/10074733072513#/reservations/31689870291072?display=MHXS9K6NK&amp;reservation_id=31689870291072", "MHXS9K6NK")</f>
        <v>MHXS9K6NK</v>
      </c>
      <c r="B4645" t="s">
        <v>1463</v>
      </c>
      <c r="C4645">
        <v>196.2</v>
      </c>
      <c r="D4645">
        <v>213.26</v>
      </c>
      <c r="E4645">
        <v>213.27</v>
      </c>
      <c r="F4645">
        <v>-0.01</v>
      </c>
    </row>
    <row r="4646" spans="1:6" x14ac:dyDescent="0.3">
      <c r="A4646" t="str">
        <f>HYPERLINK("https://us2.cloudbeds.com/connect/10074733072513#/reservations/31690445123744?display=MHJAAZMPA&amp;reservation_id=31690445123744", "MHJAAZMPA")</f>
        <v>MHJAAZMPA</v>
      </c>
      <c r="B4646" t="s">
        <v>1375</v>
      </c>
      <c r="C4646">
        <v>254.4</v>
      </c>
      <c r="D4646">
        <v>276.52</v>
      </c>
      <c r="E4646">
        <v>276.52999999999997</v>
      </c>
      <c r="F4646">
        <v>-0.01</v>
      </c>
    </row>
    <row r="4647" spans="1:6" x14ac:dyDescent="0.3">
      <c r="A4647" t="str">
        <f>HYPERLINK("https://us2.cloudbeds.com/connect/10074733072513#/reservations/31690028494978?display=MHXWMECX6&amp;reservation_id=31690028494978", "MHXWMECX6")</f>
        <v>MHXWMECX6</v>
      </c>
      <c r="B4647" t="s">
        <v>1499</v>
      </c>
      <c r="C4647">
        <v>103.2</v>
      </c>
      <c r="D4647">
        <v>112.17</v>
      </c>
      <c r="E4647">
        <v>112.18</v>
      </c>
      <c r="F4647">
        <v>-0.01</v>
      </c>
    </row>
    <row r="4648" spans="1:6" x14ac:dyDescent="0.3">
      <c r="A4648" t="str">
        <f>HYPERLINK("https://us2.cloudbeds.com/connect/10074733072513#/reservations/31685978181766?display=MHFS63EM6&amp;reservation_id=31685978181766", "MHFS63EM6")</f>
        <v>MHFS63EM6</v>
      </c>
      <c r="B4648" t="s">
        <v>1450</v>
      </c>
      <c r="C4648">
        <v>143.19999999999999</v>
      </c>
      <c r="D4648">
        <v>155.65</v>
      </c>
      <c r="E4648">
        <v>155.66</v>
      </c>
      <c r="F4648">
        <v>-0.01</v>
      </c>
    </row>
    <row r="4649" spans="1:6" x14ac:dyDescent="0.3">
      <c r="A4649" t="str">
        <f>HYPERLINK("https://us2.cloudbeds.com/connect/10074733072513#/reservations/31730972975328?display=MXHMTTTPW&amp;reservation_id=31730972975328", "MXHMTTTPW")</f>
        <v>MXHMTTTPW</v>
      </c>
      <c r="B4649" t="s">
        <v>1501</v>
      </c>
      <c r="C4649">
        <v>134.1</v>
      </c>
      <c r="D4649">
        <v>145.76</v>
      </c>
      <c r="E4649">
        <v>145.77000000000001</v>
      </c>
      <c r="F4649">
        <v>-0.01</v>
      </c>
    </row>
    <row r="4650" spans="1:6" x14ac:dyDescent="0.3">
      <c r="A4650" t="str">
        <f>HYPERLINK("https://us2.cloudbeds.com/connect/10074733072513#/reservations/31690339061908?display=MHJ7KABW9&amp;reservation_id=31690339061908", "MHJ7KABW9")</f>
        <v>MHJ7KABW9</v>
      </c>
      <c r="B4650" t="s">
        <v>1471</v>
      </c>
      <c r="C4650">
        <v>87.2</v>
      </c>
      <c r="D4650">
        <v>94.78</v>
      </c>
      <c r="E4650">
        <v>94.79</v>
      </c>
      <c r="F4650">
        <v>-0.01</v>
      </c>
    </row>
    <row r="4651" spans="1:6" x14ac:dyDescent="0.3">
      <c r="A4651" t="str">
        <f>HYPERLINK("https://us2.cloudbeds.com/connect/10074733072513#/reservations/31693243359380?display=MHYFR9NQJ&amp;reservation_id=31693243359380", "MHYFR9NQJ")</f>
        <v>MHYFR9NQJ</v>
      </c>
      <c r="B4651" t="s">
        <v>1375</v>
      </c>
      <c r="C4651">
        <v>254.4</v>
      </c>
      <c r="D4651">
        <v>276.52</v>
      </c>
      <c r="E4651">
        <v>276.52999999999997</v>
      </c>
      <c r="F4651">
        <v>-0.01</v>
      </c>
    </row>
    <row r="4652" spans="1:6" x14ac:dyDescent="0.3">
      <c r="A4652" t="str">
        <f>HYPERLINK("https://us2.cloudbeds.com/connect/10074733072513#/reservations/31689858650240?display=MHXS4U2YY&amp;reservation_id=31689858650240", "MHXS4U2YY")</f>
        <v>MHXS4U2YY</v>
      </c>
      <c r="B4652" t="s">
        <v>1477</v>
      </c>
      <c r="C4652">
        <v>392.3</v>
      </c>
      <c r="D4652">
        <v>426.42</v>
      </c>
      <c r="E4652">
        <v>426.43</v>
      </c>
      <c r="F4652">
        <v>-0.01</v>
      </c>
    </row>
    <row r="4653" spans="1:6" x14ac:dyDescent="0.3">
      <c r="A4653" t="str">
        <f>HYPERLINK("https://us2.cloudbeds.com/connect/10074733072513#/reservations/31690379493626?display=MHJ8YDEBH&amp;reservation_id=31690379493626", "MHJ8YDEBH")</f>
        <v>MHJ8YDEBH</v>
      </c>
      <c r="B4653" t="s">
        <v>1488</v>
      </c>
      <c r="C4653">
        <v>196.2</v>
      </c>
      <c r="D4653">
        <v>213.26</v>
      </c>
      <c r="E4653">
        <v>213.27</v>
      </c>
      <c r="F4653">
        <v>-0.01</v>
      </c>
    </row>
    <row r="4654" spans="1:6" x14ac:dyDescent="0.3">
      <c r="A4654" t="str">
        <f>HYPERLINK("https://us2.cloudbeds.com/connect/10074733072513#/reservations/31688814366918?display=MHX1YYFZQ&amp;reservation_id=31688814366918", "MHX1YYFZQ")</f>
        <v>MHX1YYFZQ</v>
      </c>
      <c r="B4654" t="s">
        <v>1500</v>
      </c>
      <c r="C4654">
        <v>390.3</v>
      </c>
      <c r="D4654">
        <v>424.25</v>
      </c>
      <c r="E4654">
        <v>424.26</v>
      </c>
      <c r="F4654">
        <v>-0.01</v>
      </c>
    </row>
    <row r="4655" spans="1:6" x14ac:dyDescent="0.3">
      <c r="A4655" t="str">
        <f>HYPERLINK("https://us2.cloudbeds.com/connect/10074733072513#/reservations/31689895596256?display=MHXT9C956&amp;reservation_id=31689895596256", "MHXT9C956")</f>
        <v>MHXT9C956</v>
      </c>
      <c r="B4655" t="s">
        <v>1477</v>
      </c>
      <c r="C4655">
        <v>298</v>
      </c>
      <c r="D4655">
        <v>323.92</v>
      </c>
      <c r="E4655">
        <v>323.93</v>
      </c>
      <c r="F4655">
        <v>-0.01</v>
      </c>
    </row>
    <row r="4656" spans="1:6" x14ac:dyDescent="0.3">
      <c r="A4656" t="str">
        <f>HYPERLINK("https://us2.cloudbeds.com/connect/10074733072513#/reservations/31693755203837?display=MHYSTTX2M&amp;reservation_id=31693755203837", "MHYSTTX2M")</f>
        <v>MHYSTTX2M</v>
      </c>
      <c r="B4656" t="s">
        <v>1314</v>
      </c>
      <c r="C4656">
        <v>170.1</v>
      </c>
      <c r="D4656">
        <v>184.89</v>
      </c>
      <c r="E4656">
        <v>184.9</v>
      </c>
      <c r="F4656">
        <v>-0.01</v>
      </c>
    </row>
    <row r="4657" spans="1:6" x14ac:dyDescent="0.3">
      <c r="A4657" t="str">
        <f>HYPERLINK("https://us2.cloudbeds.com/connect/10074733072513#/reservations/31695495864486?display=MHN7CYWT2&amp;reservation_id=31695495864486", "MHN7CYWT2")</f>
        <v>MHN7CYWT2</v>
      </c>
      <c r="B4657" t="s">
        <v>1503</v>
      </c>
      <c r="C4657">
        <v>268.2</v>
      </c>
      <c r="D4657">
        <v>291.52</v>
      </c>
      <c r="E4657">
        <v>291.52999999999997</v>
      </c>
      <c r="F4657">
        <v>-0.01</v>
      </c>
    </row>
    <row r="4658" spans="1:6" x14ac:dyDescent="0.3">
      <c r="A4658" t="str">
        <f>HYPERLINK("https://us2.cloudbeds.com/connect/10074733072513#/reservations/31688357724359?display=MHHMWJNUG&amp;reservation_id=31688357724359", "MHHMWJNUG")</f>
        <v>MHHMWJNUG</v>
      </c>
      <c r="B4658" t="s">
        <v>1500</v>
      </c>
      <c r="C4658">
        <v>294.3</v>
      </c>
      <c r="D4658">
        <v>319.89</v>
      </c>
      <c r="E4658">
        <v>319.89999999999998</v>
      </c>
      <c r="F4658">
        <v>-0.01</v>
      </c>
    </row>
    <row r="4659" spans="1:6" x14ac:dyDescent="0.3">
      <c r="A4659" t="str">
        <f>HYPERLINK("https://us2.cloudbeds.com/connect/10074733072513#/reservations/31689873150149?display=MHXSNEMG4&amp;reservation_id=31689873150149", "MHXSNEMG4")</f>
        <v>MHXSNEMG4</v>
      </c>
      <c r="B4659" t="s">
        <v>1477</v>
      </c>
      <c r="C4659">
        <v>87.2</v>
      </c>
      <c r="D4659">
        <v>94.78</v>
      </c>
      <c r="E4659">
        <v>94.79</v>
      </c>
      <c r="F4659">
        <v>-0.01</v>
      </c>
    </row>
    <row r="4660" spans="1:6" x14ac:dyDescent="0.3">
      <c r="A4660" t="str">
        <f>HYPERLINK("https://us2.cloudbeds.com/connect/10074733072513#/reservations/31693586116743?display=MHYZJAESB&amp;reservation_id=31693586116743", "MHYZJAESB")</f>
        <v>MHYZJAESB</v>
      </c>
      <c r="B4660" t="s">
        <v>1504</v>
      </c>
      <c r="C4660">
        <v>333.6</v>
      </c>
      <c r="D4660">
        <v>362.61</v>
      </c>
      <c r="E4660">
        <v>362.62</v>
      </c>
      <c r="F4660">
        <v>-0.01</v>
      </c>
    </row>
    <row r="4661" spans="1:6" x14ac:dyDescent="0.3">
      <c r="A4661" t="str">
        <f>HYPERLINK("https://us2.cloudbeds.com/connect/10074733072513#/reservations/31693379903633?display=MHYJAE8Q7&amp;reservation_id=31693379903633", "MHYJAE8Q7")</f>
        <v>MHYJAE8Q7</v>
      </c>
      <c r="B4661" t="s">
        <v>1429</v>
      </c>
      <c r="C4661">
        <v>117.42</v>
      </c>
      <c r="D4661">
        <v>127.63</v>
      </c>
      <c r="E4661">
        <v>127.64</v>
      </c>
      <c r="F4661">
        <v>-0.01</v>
      </c>
    </row>
    <row r="4662" spans="1:6" x14ac:dyDescent="0.3">
      <c r="A4662" t="str">
        <f>HYPERLINK("https://us2.cloudbeds.com/connect/10074733072513#/reservations/31693374394555?display=MHYJ5PVVF&amp;reservation_id=31693374394555", "MHYJ5PVVF")</f>
        <v>MHYJ5PVVF</v>
      </c>
      <c r="B4662" t="s">
        <v>1429</v>
      </c>
      <c r="C4662">
        <v>117.42</v>
      </c>
      <c r="D4662">
        <v>127.63</v>
      </c>
      <c r="E4662">
        <v>127.64</v>
      </c>
      <c r="F4662">
        <v>-0.01</v>
      </c>
    </row>
    <row r="4663" spans="1:6" x14ac:dyDescent="0.3">
      <c r="A4663" t="str">
        <f>HYPERLINK("https://us2.cloudbeds.com/connect/10074733072513#/reservations/31694919905496?display=MHMPM02UB&amp;reservation_id=31694919905496", "MHMPM02UB")</f>
        <v>MHMPM02UB</v>
      </c>
      <c r="B4663" t="s">
        <v>1486</v>
      </c>
      <c r="C4663">
        <v>87.2</v>
      </c>
      <c r="D4663">
        <v>94.78</v>
      </c>
      <c r="E4663">
        <v>94.79</v>
      </c>
      <c r="F4663">
        <v>-0.01</v>
      </c>
    </row>
    <row r="4664" spans="1:6" x14ac:dyDescent="0.3">
      <c r="A4664" t="str">
        <f>HYPERLINK("https://us2.cloudbeds.com/connect/10074733072513#/reservations/31694197952677?display=MHM777MM6&amp;reservation_id=31694197952677", "MHM777MM6")</f>
        <v>MHM777MM6</v>
      </c>
      <c r="B4664" t="s">
        <v>1470</v>
      </c>
      <c r="C4664">
        <v>143.19999999999999</v>
      </c>
      <c r="D4664">
        <v>155.65</v>
      </c>
      <c r="E4664">
        <v>155.66</v>
      </c>
      <c r="F4664">
        <v>-0.01</v>
      </c>
    </row>
    <row r="4665" spans="1:6" x14ac:dyDescent="0.3">
      <c r="A4665" t="str">
        <f>HYPERLINK("https://us2.cloudbeds.com/connect/10074733072513#/reservations/31694948257938?display=MHMQCU178&amp;reservation_id=31694948257938", "MHMQCU178")</f>
        <v>MHMQCU178</v>
      </c>
      <c r="B4665" t="s">
        <v>1486</v>
      </c>
      <c r="C4665">
        <v>87.2</v>
      </c>
      <c r="D4665">
        <v>94.78</v>
      </c>
      <c r="E4665">
        <v>94.79</v>
      </c>
      <c r="F4665">
        <v>-0.01</v>
      </c>
    </row>
    <row r="4666" spans="1:6" x14ac:dyDescent="0.3">
      <c r="A4666" t="str">
        <f>HYPERLINK("https://us2.cloudbeds.com/connect/10074733072513#/reservations/31684408119493?display=MHEY264SX&amp;reservation_id=31684408119493", "MHEY264SX")</f>
        <v>MHEY264SX</v>
      </c>
      <c r="B4666" t="s">
        <v>1429</v>
      </c>
      <c r="C4666">
        <v>234.84</v>
      </c>
      <c r="D4666">
        <v>255.26</v>
      </c>
      <c r="E4666">
        <v>255.27</v>
      </c>
      <c r="F4666">
        <v>-0.01</v>
      </c>
    </row>
    <row r="4667" spans="1:6" x14ac:dyDescent="0.3">
      <c r="A4667" t="str">
        <f>HYPERLINK("https://us2.cloudbeds.com/connect/10074733072513#/reservations/31691295133936?display=MHJW1GFNU&amp;reservation_id=31691295133936", "MHJW1GFNU")</f>
        <v>MHJW1GFNU</v>
      </c>
      <c r="B4667" t="s">
        <v>1507</v>
      </c>
      <c r="C4667">
        <v>259.2</v>
      </c>
      <c r="D4667">
        <v>281.74</v>
      </c>
      <c r="E4667">
        <v>281.75</v>
      </c>
      <c r="F4667">
        <v>-0.01</v>
      </c>
    </row>
    <row r="4668" spans="1:6" x14ac:dyDescent="0.3">
      <c r="A4668" t="str">
        <f>HYPERLINK("https://us2.cloudbeds.com/connect/10074733072513#/reservations/31693398098115?display=MHYJPPXA5&amp;reservation_id=31693398098115", "MHYJPPXA5")</f>
        <v>MHYJPPXA5</v>
      </c>
      <c r="B4668" t="s">
        <v>1429</v>
      </c>
      <c r="C4668">
        <v>143.19999999999999</v>
      </c>
      <c r="D4668">
        <v>155.65</v>
      </c>
      <c r="E4668">
        <v>155.66</v>
      </c>
      <c r="F4668">
        <v>-0.01</v>
      </c>
    </row>
    <row r="4669" spans="1:6" x14ac:dyDescent="0.3">
      <c r="A4669" t="str">
        <f>HYPERLINK("https://us2.cloudbeds.com/connect/10074733072513#/reservations/31692454166751?display=MHKSYR90E&amp;reservation_id=31692454166751", "MHKSYR90E")</f>
        <v>MHKSYR90E</v>
      </c>
      <c r="B4669" t="s">
        <v>1476</v>
      </c>
      <c r="C4669">
        <v>196.2</v>
      </c>
      <c r="D4669">
        <v>213.26</v>
      </c>
      <c r="E4669">
        <v>213.27</v>
      </c>
      <c r="F4669">
        <v>-0.01</v>
      </c>
    </row>
    <row r="4670" spans="1:6" x14ac:dyDescent="0.3">
      <c r="A4670" t="str">
        <f>HYPERLINK("https://us2.cloudbeds.com/connect/10074733072513#/reservations/31690134143119?display=MHJ2CH6F0&amp;reservation_id=31690134143119", "MHJ2CH6F0")</f>
        <v>MHJ2CH6F0</v>
      </c>
      <c r="B4670" t="s">
        <v>1377</v>
      </c>
      <c r="C4670">
        <v>254.4</v>
      </c>
      <c r="D4670">
        <v>276.52</v>
      </c>
      <c r="E4670">
        <v>276.52999999999997</v>
      </c>
      <c r="F4670">
        <v>-0.01</v>
      </c>
    </row>
    <row r="4671" spans="1:6" x14ac:dyDescent="0.3">
      <c r="A4671" t="str">
        <f>HYPERLINK("https://us2.cloudbeds.com/connect/10074733072513#/reservations/31691372536022?display=MHK10PA0M&amp;reservation_id=31691372536022", "MHK10PA0M")</f>
        <v>MHK10PA0M</v>
      </c>
      <c r="B4671" t="s">
        <v>1377</v>
      </c>
      <c r="C4671">
        <v>254.4</v>
      </c>
      <c r="D4671">
        <v>276.52</v>
      </c>
      <c r="E4671">
        <v>276.52999999999997</v>
      </c>
      <c r="F4671">
        <v>-0.01</v>
      </c>
    </row>
    <row r="4672" spans="1:6" x14ac:dyDescent="0.3">
      <c r="A4672" t="str">
        <f>HYPERLINK("https://us2.cloudbeds.com/connect/10074733072513#/reservations/31693403689115?display=MHYJUG4CD&amp;reservation_id=31693403689115", "MHYJUG4CD")</f>
        <v>MHYJUG4CD</v>
      </c>
      <c r="B4672" t="s">
        <v>1429</v>
      </c>
      <c r="C4672">
        <v>167.2</v>
      </c>
      <c r="D4672">
        <v>181.74</v>
      </c>
      <c r="E4672">
        <v>181.75</v>
      </c>
      <c r="F4672">
        <v>-0.01</v>
      </c>
    </row>
    <row r="4673" spans="1:6" x14ac:dyDescent="0.3">
      <c r="A4673" t="str">
        <f>HYPERLINK("https://us2.cloudbeds.com/connect/10074733072513#/reservations/31695419945180?display=MHN5EYE60&amp;reservation_id=31695419945180", "MHN5EYE60")</f>
        <v>MHN5EYE60</v>
      </c>
      <c r="B4673" t="s">
        <v>1486</v>
      </c>
      <c r="C4673">
        <v>196.2</v>
      </c>
      <c r="D4673">
        <v>213.26</v>
      </c>
      <c r="E4673">
        <v>213.27</v>
      </c>
      <c r="F4673">
        <v>-0.01</v>
      </c>
    </row>
    <row r="4674" spans="1:6" x14ac:dyDescent="0.3">
      <c r="A4674" t="str">
        <f>HYPERLINK("https://us2.cloudbeds.com/connect/10074733072513#/reservations/31695138599115?display=MHMV8DXGN&amp;reservation_id=31695138599115", "MHMV8DXGN")</f>
        <v>MHMV8DXGN</v>
      </c>
      <c r="B4674" t="s">
        <v>1521</v>
      </c>
      <c r="C4674">
        <v>127.2</v>
      </c>
      <c r="D4674">
        <v>138.26</v>
      </c>
      <c r="E4674">
        <v>138.27000000000001</v>
      </c>
      <c r="F4674">
        <v>-0.01</v>
      </c>
    </row>
    <row r="4675" spans="1:6" x14ac:dyDescent="0.3">
      <c r="A4675" t="str">
        <f>HYPERLINK("https://us2.cloudbeds.com/connect/10074733072513#/reservations/31692564783300?display=MHKVG3B92&amp;reservation_id=31692564783300", "MHKVG3B92")</f>
        <v>MHKVG3B92</v>
      </c>
      <c r="B4675" t="s">
        <v>1522</v>
      </c>
      <c r="C4675">
        <v>375.3</v>
      </c>
      <c r="D4675">
        <v>407.94</v>
      </c>
      <c r="E4675">
        <v>407.95</v>
      </c>
      <c r="F4675">
        <v>-0.01</v>
      </c>
    </row>
    <row r="4676" spans="1:6" x14ac:dyDescent="0.3">
      <c r="A4676" t="str">
        <f>HYPERLINK("https://us2.cloudbeds.com/connect/10074733072513#/reservations/31691870511274?display=MHKDZM6XR&amp;reservation_id=31691870511274", "MHKDZM6XR")</f>
        <v>MHKDZM6XR</v>
      </c>
      <c r="B4676" t="s">
        <v>1442</v>
      </c>
      <c r="C4676">
        <v>127.2</v>
      </c>
      <c r="D4676">
        <v>138.26</v>
      </c>
      <c r="E4676">
        <v>138.27000000000001</v>
      </c>
      <c r="F4676">
        <v>-0.01</v>
      </c>
    </row>
    <row r="4677" spans="1:6" x14ac:dyDescent="0.3">
      <c r="A4677" t="str">
        <f>HYPERLINK("https://us2.cloudbeds.com/connect/10074733072513#/reservations/31689339887775?display=MHXF2PSN8&amp;reservation_id=31689339887775", "MHXF2PSN8")</f>
        <v>MHXF2PSN8</v>
      </c>
      <c r="B4677" t="s">
        <v>1429</v>
      </c>
      <c r="C4677">
        <v>254.4</v>
      </c>
      <c r="D4677">
        <v>276.52</v>
      </c>
      <c r="E4677">
        <v>276.52999999999997</v>
      </c>
      <c r="F4677">
        <v>-0.01</v>
      </c>
    </row>
    <row r="4678" spans="1:6" x14ac:dyDescent="0.3">
      <c r="A4678" t="str">
        <f>HYPERLINK("https://us2.cloudbeds.com/connect/10074733072513#/reservations/31691121664173?display=MHJRK7E0E&amp;reservation_id=31691121664173", "MHJRK7E0E")</f>
        <v>MHJRK7E0E</v>
      </c>
      <c r="B4678" t="s">
        <v>1497</v>
      </c>
      <c r="C4678">
        <v>196.2</v>
      </c>
      <c r="D4678">
        <v>213.26</v>
      </c>
      <c r="E4678">
        <v>213.27</v>
      </c>
      <c r="F4678">
        <v>-0.01</v>
      </c>
    </row>
    <row r="4679" spans="1:6" x14ac:dyDescent="0.3">
      <c r="A4679" t="str">
        <f>HYPERLINK("https://us2.cloudbeds.com/connect/10074733072513#/reservations/31692349694192?display=MHKPWZ5KA&amp;reservation_id=31692349694192", "MHKPWZ5KA")</f>
        <v>MHKPWZ5KA</v>
      </c>
      <c r="B4679" t="s">
        <v>1497</v>
      </c>
      <c r="C4679">
        <v>196.2</v>
      </c>
      <c r="D4679">
        <v>213.26</v>
      </c>
      <c r="E4679">
        <v>213.27</v>
      </c>
      <c r="F4679">
        <v>-0.01</v>
      </c>
    </row>
    <row r="4680" spans="1:6" x14ac:dyDescent="0.3">
      <c r="A4680" t="str">
        <f>HYPERLINK("https://us2.cloudbeds.com/connect/10074733072513#/reservations/31690040713399?display=MHXWWZCDC&amp;reservation_id=31690040713399", "MHXWWZCDC")</f>
        <v>MHXWWZCDC</v>
      </c>
      <c r="B4680" t="s">
        <v>1499</v>
      </c>
      <c r="C4680">
        <v>134.1</v>
      </c>
      <c r="D4680">
        <v>145.76</v>
      </c>
      <c r="E4680">
        <v>145.77000000000001</v>
      </c>
      <c r="F4680">
        <v>-0.01</v>
      </c>
    </row>
    <row r="4681" spans="1:6" x14ac:dyDescent="0.3">
      <c r="A4681" t="str">
        <f>HYPERLINK("https://us2.cloudbeds.com/connect/10074733072513#/reservations/31688199479502?display=MHHXV5ARQ&amp;reservation_id=31688199479502", "MHHXV5ARQ")</f>
        <v>MHHXV5ARQ</v>
      </c>
      <c r="B4681" t="s">
        <v>1514</v>
      </c>
      <c r="C4681">
        <v>90.2</v>
      </c>
      <c r="D4681">
        <v>98.04</v>
      </c>
      <c r="E4681">
        <v>98.05</v>
      </c>
      <c r="F4681">
        <v>-0.01</v>
      </c>
    </row>
    <row r="4682" spans="1:6" x14ac:dyDescent="0.3">
      <c r="A4682" t="str">
        <f>HYPERLINK("https://us2.cloudbeds.com/connect/10074733072513#/reservations/31691192426691?display=MHJTDTGC5&amp;reservation_id=31691192426691", "MHJTDTGC5")</f>
        <v>MHJTDTGC5</v>
      </c>
      <c r="B4682" t="s">
        <v>1523</v>
      </c>
      <c r="C4682">
        <v>250.2</v>
      </c>
      <c r="D4682">
        <v>271.95999999999998</v>
      </c>
      <c r="E4682">
        <v>271.97000000000003</v>
      </c>
      <c r="F4682">
        <v>-0.01</v>
      </c>
    </row>
    <row r="4683" spans="1:6" x14ac:dyDescent="0.3">
      <c r="A4683" t="str">
        <f>HYPERLINK("https://us2.cloudbeds.com/connect/10074733072513#/reservations/31693740622067?display=MHYSHJQ0S&amp;reservation_id=31693740622067", "MHYSHJQ0S")</f>
        <v>MHYSHJQ0S</v>
      </c>
      <c r="B4683" t="s">
        <v>1469</v>
      </c>
      <c r="C4683">
        <v>196.2</v>
      </c>
      <c r="D4683">
        <v>213.26</v>
      </c>
      <c r="E4683">
        <v>213.27</v>
      </c>
      <c r="F4683">
        <v>-0.01</v>
      </c>
    </row>
    <row r="4684" spans="1:6" x14ac:dyDescent="0.3">
      <c r="A4684" t="str">
        <f>HYPERLINK("https://us2.cloudbeds.com/connect/10074733072513#/reservations/31690276782236?display=MHJ60QB6G&amp;reservation_id=31690276782236", "MHJ60QB6G")</f>
        <v>MHJ60QB6G</v>
      </c>
      <c r="B4684" t="s">
        <v>1493</v>
      </c>
      <c r="C4684">
        <v>127.2</v>
      </c>
      <c r="D4684">
        <v>138.26</v>
      </c>
      <c r="E4684">
        <v>138.27000000000001</v>
      </c>
      <c r="F4684">
        <v>-0.01</v>
      </c>
    </row>
    <row r="4685" spans="1:6" x14ac:dyDescent="0.3">
      <c r="A4685" t="str">
        <f>HYPERLINK("https://us2.cloudbeds.com/connect/10074733072513#/reservations/31690721951943?display=MHJHD5RQK&amp;reservation_id=31690721951943", "MHJHD5RQK")</f>
        <v>MHJHD5RQK</v>
      </c>
      <c r="B4685" t="s">
        <v>1493</v>
      </c>
      <c r="C4685">
        <v>170.1</v>
      </c>
      <c r="D4685">
        <v>184.89</v>
      </c>
      <c r="E4685">
        <v>184.9</v>
      </c>
      <c r="F4685">
        <v>-0.01</v>
      </c>
    </row>
    <row r="4686" spans="1:6" x14ac:dyDescent="0.3">
      <c r="A4686" t="str">
        <f>HYPERLINK("https://us2.cloudbeds.com/connect/10074733072513#/reservations/31691921543400?display=MHKF1N80S&amp;reservation_id=31691921543400", "MHKF1N80S")</f>
        <v>MHKF1N80S</v>
      </c>
      <c r="B4686" t="s">
        <v>1442</v>
      </c>
      <c r="C4686">
        <v>254.4</v>
      </c>
      <c r="D4686">
        <v>276.52</v>
      </c>
      <c r="E4686">
        <v>276.52999999999997</v>
      </c>
      <c r="F4686">
        <v>-0.01</v>
      </c>
    </row>
    <row r="4687" spans="1:6" x14ac:dyDescent="0.3">
      <c r="A4687" t="str">
        <f>HYPERLINK("https://us2.cloudbeds.com/connect/10074733072513#/reservations/31692234162323?display=MHKN1AAZJ&amp;reservation_id=31692234162323", "MHKN1AAZJ")</f>
        <v>MHKN1AAZJ</v>
      </c>
      <c r="B4687" t="s">
        <v>1493</v>
      </c>
      <c r="C4687">
        <v>127.2</v>
      </c>
      <c r="D4687">
        <v>138.26</v>
      </c>
      <c r="E4687">
        <v>138.27000000000001</v>
      </c>
      <c r="F4687">
        <v>-0.01</v>
      </c>
    </row>
    <row r="4688" spans="1:6" x14ac:dyDescent="0.3">
      <c r="A4688" t="str">
        <f>HYPERLINK("https://us2.cloudbeds.com/connect/10074733072513#/reservations/31692369997953?display=MHKQGS50Q&amp;reservation_id=31692369997953", "MHKQGS50Q")</f>
        <v>MHKQGS50Q</v>
      </c>
      <c r="B4688" t="s">
        <v>1497</v>
      </c>
      <c r="C4688">
        <v>170.1</v>
      </c>
      <c r="D4688">
        <v>184.89</v>
      </c>
      <c r="E4688">
        <v>184.9</v>
      </c>
      <c r="F4688">
        <v>-0.01</v>
      </c>
    </row>
    <row r="4689" spans="1:6" x14ac:dyDescent="0.3">
      <c r="A4689" t="str">
        <f>HYPERLINK("https://us2.cloudbeds.com/connect/10074733072513#/reservations/31730917494930?display=MXHYG42JP&amp;reservation_id=31730917494930", "MXHYG42JP")</f>
        <v>MXHYG42JP</v>
      </c>
      <c r="B4689" t="s">
        <v>1528</v>
      </c>
      <c r="C4689">
        <v>122.18</v>
      </c>
      <c r="D4689">
        <v>132.80000000000001</v>
      </c>
      <c r="E4689">
        <v>132.81</v>
      </c>
      <c r="F4689">
        <v>-0.01</v>
      </c>
    </row>
    <row r="4690" spans="1:6" x14ac:dyDescent="0.3">
      <c r="A4690" t="str">
        <f>HYPERLINK("https://us2.cloudbeds.com/connect/10074733072513#/reservations/31690304389345?display=MHJ6Z2X2X&amp;reservation_id=31690304389345", "MHJ6Z2X2X")</f>
        <v>MHJ6Z2X2X</v>
      </c>
      <c r="B4690" t="s">
        <v>1493</v>
      </c>
      <c r="C4690">
        <v>127.2</v>
      </c>
      <c r="D4690">
        <v>138.26</v>
      </c>
      <c r="E4690">
        <v>138.27000000000001</v>
      </c>
      <c r="F4690">
        <v>-0.01</v>
      </c>
    </row>
    <row r="4691" spans="1:6" x14ac:dyDescent="0.3">
      <c r="A4691" t="str">
        <f>HYPERLINK("https://us2.cloudbeds.com/connect/10074733072513#/reservations/31690277384434?display=MHJ61A35U&amp;reservation_id=31690277384434", "MHJ61A35U")</f>
        <v>MHJ61A35U</v>
      </c>
      <c r="B4691" t="s">
        <v>1505</v>
      </c>
      <c r="C4691">
        <v>208.6</v>
      </c>
      <c r="D4691">
        <v>226.74</v>
      </c>
      <c r="E4691">
        <v>226.75</v>
      </c>
      <c r="F4691">
        <v>-0.01</v>
      </c>
    </row>
    <row r="4692" spans="1:6" x14ac:dyDescent="0.3">
      <c r="A4692" t="str">
        <f>HYPERLINK("https://us2.cloudbeds.com/connect/10074733072513#/reservations/31691177066692?display=MHJT0V2MY&amp;reservation_id=31691177066692", "MHJT0V2MY")</f>
        <v>MHJT0V2MY</v>
      </c>
      <c r="B4692" t="s">
        <v>1497</v>
      </c>
      <c r="C4692">
        <v>127.2</v>
      </c>
      <c r="D4692">
        <v>138.26</v>
      </c>
      <c r="E4692">
        <v>138.27000000000001</v>
      </c>
      <c r="F4692">
        <v>-0.01</v>
      </c>
    </row>
    <row r="4693" spans="1:6" x14ac:dyDescent="0.3">
      <c r="A4693" t="str">
        <f>HYPERLINK("https://us2.cloudbeds.com/connect/10074733072513#/reservations/31689878581410?display=MHXSS0QSQ&amp;reservation_id=31689878581410", "MHXSS0QSQ")</f>
        <v>MHXSS0QSQ</v>
      </c>
      <c r="B4693" t="s">
        <v>1453</v>
      </c>
      <c r="C4693">
        <v>208.6</v>
      </c>
      <c r="D4693">
        <v>226.74</v>
      </c>
      <c r="E4693">
        <v>226.75</v>
      </c>
      <c r="F4693">
        <v>-0.01</v>
      </c>
    </row>
    <row r="4694" spans="1:6" x14ac:dyDescent="0.3">
      <c r="A4694" t="str">
        <f>HYPERLINK("https://us2.cloudbeds.com/connect/10074733072513#/reservations/31693136679122?display=MHYD3B64G&amp;reservation_id=31693136679122", "MHYD3B64G")</f>
        <v>MHYD3B64G</v>
      </c>
      <c r="B4694" t="s">
        <v>1506</v>
      </c>
      <c r="C4694">
        <v>366.3</v>
      </c>
      <c r="D4694">
        <v>398.16</v>
      </c>
      <c r="E4694">
        <v>398.17</v>
      </c>
      <c r="F4694">
        <v>-0.01</v>
      </c>
    </row>
    <row r="4695" spans="1:6" x14ac:dyDescent="0.3">
      <c r="A4695" t="str">
        <f>HYPERLINK("https://us2.cloudbeds.com/connect/10074733072513#/reservations/31688560918676?display=MHHS5UTU1&amp;reservation_id=31688560918676", "MHHS5UTU1")</f>
        <v>MHHS5UTU1</v>
      </c>
      <c r="B4695" t="s">
        <v>1524</v>
      </c>
      <c r="C4695">
        <v>222.4</v>
      </c>
      <c r="D4695">
        <v>241.74</v>
      </c>
      <c r="E4695">
        <v>241.75</v>
      </c>
      <c r="F4695">
        <v>-0.01</v>
      </c>
    </row>
    <row r="4696" spans="1:6" x14ac:dyDescent="0.3">
      <c r="A4696" t="str">
        <f>HYPERLINK("https://us2.cloudbeds.com/connect/10074733072513#/reservations/31689682149558?display=MHXNRCQME&amp;reservation_id=31689682149558", "MHXNRCQME")</f>
        <v>MHXNRCQME</v>
      </c>
      <c r="B4696" t="s">
        <v>1523</v>
      </c>
      <c r="C4696">
        <v>223.2</v>
      </c>
      <c r="D4696">
        <v>242.61</v>
      </c>
      <c r="E4696">
        <v>242.62</v>
      </c>
      <c r="F4696">
        <v>-0.01</v>
      </c>
    </row>
    <row r="4697" spans="1:6" x14ac:dyDescent="0.3">
      <c r="A4697" t="str">
        <f>HYPERLINK("https://us2.cloudbeds.com/connect/10074733072513#/reservations/31692263854242?display=MHKNQBX1N&amp;reservation_id=31692263854242", "MHKNQBX1N")</f>
        <v>MHKNQBX1N</v>
      </c>
      <c r="B4697" t="s">
        <v>1493</v>
      </c>
      <c r="C4697">
        <v>127.2</v>
      </c>
      <c r="D4697">
        <v>138.26</v>
      </c>
      <c r="E4697">
        <v>138.27000000000001</v>
      </c>
      <c r="F4697">
        <v>-0.01</v>
      </c>
    </row>
    <row r="4698" spans="1:6" x14ac:dyDescent="0.3">
      <c r="A4698" t="str">
        <f>HYPERLINK("https://us2.cloudbeds.com/connect/10074733072513#/reservations/31692743565462?display=MHY31S77B&amp;reservation_id=31692743565462", "MHY31S77B")</f>
        <v>MHY31S77B</v>
      </c>
      <c r="B4698" t="s">
        <v>1533</v>
      </c>
      <c r="C4698">
        <v>222.4</v>
      </c>
      <c r="D4698">
        <v>241.74</v>
      </c>
      <c r="E4698">
        <v>241.75</v>
      </c>
      <c r="F4698">
        <v>-0.01</v>
      </c>
    </row>
    <row r="4699" spans="1:6" x14ac:dyDescent="0.3">
      <c r="A4699" t="str">
        <f>HYPERLINK("https://us2.cloudbeds.com/connect/10074733072513#/reservations/31690168754399?display=MHJ38NA2M&amp;reservation_id=31690168754399", "MHJ38NA2M")</f>
        <v>MHJ38NA2M</v>
      </c>
      <c r="B4699" t="s">
        <v>1377</v>
      </c>
      <c r="C4699">
        <v>208.6</v>
      </c>
      <c r="D4699">
        <v>226.74</v>
      </c>
      <c r="E4699">
        <v>226.75</v>
      </c>
      <c r="F4699">
        <v>-0.01</v>
      </c>
    </row>
    <row r="4700" spans="1:6" x14ac:dyDescent="0.3">
      <c r="A4700" t="str">
        <f>HYPERLINK("https://us2.cloudbeds.com/connect/10074733072513#/reservations/31690860413176?display=MHJKUUZ3X&amp;reservation_id=31690860413176", "MHJKUUZ3X")</f>
        <v>MHJKUUZ3X</v>
      </c>
      <c r="B4700" t="s">
        <v>1515</v>
      </c>
      <c r="C4700">
        <v>250.18</v>
      </c>
      <c r="D4700">
        <v>271.94</v>
      </c>
      <c r="E4700">
        <v>271.95</v>
      </c>
      <c r="F4700">
        <v>-0.01</v>
      </c>
    </row>
    <row r="4701" spans="1:6" x14ac:dyDescent="0.3">
      <c r="A4701" t="str">
        <f>HYPERLINK("https://us2.cloudbeds.com/connect/10074733072513#/reservations/31695463383275?display=MHN6X957V&amp;reservation_id=31695463383275", "MHN6X957V")</f>
        <v>MHN6X957V</v>
      </c>
      <c r="B4701" t="s">
        <v>1442</v>
      </c>
      <c r="C4701">
        <v>254.4</v>
      </c>
      <c r="D4701">
        <v>276.52</v>
      </c>
      <c r="E4701">
        <v>276.52999999999997</v>
      </c>
      <c r="F4701">
        <v>-0.01</v>
      </c>
    </row>
    <row r="4702" spans="1:6" x14ac:dyDescent="0.3">
      <c r="A4702" t="str">
        <f>HYPERLINK("https://us2.cloudbeds.com/connect/10074733072513#/reservations/31688363307159?display=MHHN4A2F7&amp;reservation_id=31688363307159", "MHHN4A2F7")</f>
        <v>MHHN4A2F7</v>
      </c>
      <c r="B4702" t="s">
        <v>1533</v>
      </c>
      <c r="C4702">
        <v>127.2</v>
      </c>
      <c r="D4702">
        <v>138.26</v>
      </c>
      <c r="E4702">
        <v>138.27000000000001</v>
      </c>
      <c r="F4702">
        <v>-0.01</v>
      </c>
    </row>
    <row r="4703" spans="1:6" x14ac:dyDescent="0.3">
      <c r="A4703" t="str">
        <f>HYPERLINK("https://us2.cloudbeds.com/connect/10074733072513#/reservations/31692719280337?display=MHY2ECERF&amp;reservation_id=31692719280337", "MHY2ECERF")</f>
        <v>MHY2ECERF</v>
      </c>
      <c r="B4703" t="s">
        <v>1533</v>
      </c>
      <c r="C4703">
        <v>134.1</v>
      </c>
      <c r="D4703">
        <v>145.76</v>
      </c>
      <c r="E4703">
        <v>145.77000000000001</v>
      </c>
      <c r="F4703">
        <v>-0.01</v>
      </c>
    </row>
    <row r="4704" spans="1:6" x14ac:dyDescent="0.3">
      <c r="A4704" t="str">
        <f>HYPERLINK("https://us2.cloudbeds.com/connect/10074733072513#/reservations/31691413385345?display=MHK226WSV&amp;reservation_id=31691413385345", "MHK226WSV")</f>
        <v>MHK226WSV</v>
      </c>
      <c r="B4704" t="s">
        <v>1515</v>
      </c>
      <c r="C4704">
        <v>268.2</v>
      </c>
      <c r="D4704">
        <v>291.52</v>
      </c>
      <c r="E4704">
        <v>291.52999999999997</v>
      </c>
      <c r="F4704">
        <v>-0.01</v>
      </c>
    </row>
    <row r="4705" spans="1:6" x14ac:dyDescent="0.3">
      <c r="A4705" t="str">
        <f>HYPERLINK("https://us2.cloudbeds.com/connect/10074733072513#/reservations/31691413389440?display=MHK226WUS&amp;reservation_id=31691413389440", "MHK226WUS")</f>
        <v>MHK226WUS</v>
      </c>
      <c r="B4705" t="s">
        <v>1377</v>
      </c>
      <c r="C4705">
        <v>254.4</v>
      </c>
      <c r="D4705">
        <v>276.52</v>
      </c>
      <c r="E4705">
        <v>276.52999999999997</v>
      </c>
      <c r="F4705">
        <v>-0.01</v>
      </c>
    </row>
    <row r="4706" spans="1:6" x14ac:dyDescent="0.3">
      <c r="A4706" t="str">
        <f>HYPERLINK("https://us2.cloudbeds.com/connect/10074733072513#/reservations/31691417841885?display=MHK25W06K&amp;reservation_id=31691417841885", "MHK25W06K")</f>
        <v>MHK25W06K</v>
      </c>
      <c r="B4706" t="s">
        <v>1377</v>
      </c>
      <c r="C4706">
        <v>254.4</v>
      </c>
      <c r="D4706">
        <v>276.52</v>
      </c>
      <c r="E4706">
        <v>276.52999999999997</v>
      </c>
      <c r="F4706">
        <v>-0.01</v>
      </c>
    </row>
    <row r="4707" spans="1:6" x14ac:dyDescent="0.3">
      <c r="A4707" t="str">
        <f>HYPERLINK("https://us2.cloudbeds.com/connect/10074733072513#/reservations/31694513971449?display=MHMF9NCCK&amp;reservation_id=31694513971449", "MHMF9NCCK")</f>
        <v>MHMF9NCCK</v>
      </c>
      <c r="B4707" t="s">
        <v>1535</v>
      </c>
      <c r="C4707">
        <v>268.2</v>
      </c>
      <c r="D4707">
        <v>291.52</v>
      </c>
      <c r="E4707">
        <v>291.52999999999997</v>
      </c>
      <c r="F4707">
        <v>-0.01</v>
      </c>
    </row>
    <row r="4708" spans="1:6" x14ac:dyDescent="0.3">
      <c r="A4708" t="str">
        <f>HYPERLINK("https://us2.cloudbeds.com/connect/10074733072513#/reservations/31695473524979?display=MHN6QRC3A&amp;reservation_id=31695473524979", "MHN6QRC3A")</f>
        <v>MHN6QRC3A</v>
      </c>
      <c r="B4708" t="s">
        <v>1503</v>
      </c>
      <c r="C4708">
        <v>435.3</v>
      </c>
      <c r="D4708">
        <v>473.16</v>
      </c>
      <c r="E4708">
        <v>473.17</v>
      </c>
      <c r="F4708">
        <v>-0.01</v>
      </c>
    </row>
    <row r="4709" spans="1:6" x14ac:dyDescent="0.3">
      <c r="A4709" t="str">
        <f>HYPERLINK("https://us2.cloudbeds.com/connect/10074733072513#/reservations/31691952525462?display=MHKFRRC18&amp;reservation_id=31691952525462", "MHKFRRC18")</f>
        <v>MHKFRRC18</v>
      </c>
      <c r="B4709" t="s">
        <v>1442</v>
      </c>
      <c r="C4709">
        <v>127.2</v>
      </c>
      <c r="D4709">
        <v>138.26</v>
      </c>
      <c r="E4709">
        <v>138.27000000000001</v>
      </c>
      <c r="F4709">
        <v>-0.01</v>
      </c>
    </row>
    <row r="4710" spans="1:6" x14ac:dyDescent="0.3">
      <c r="A4710" t="str">
        <f>HYPERLINK("https://us2.cloudbeds.com/connect/10074733072513#/reservations/31690339065997?display=MHJ7KAFZ6&amp;reservation_id=31690339065997", "MHJ7KAFZ6")</f>
        <v>MHJ7KAFZ6</v>
      </c>
      <c r="B4710" t="s">
        <v>1493</v>
      </c>
      <c r="C4710">
        <v>208.6</v>
      </c>
      <c r="D4710">
        <v>226.74</v>
      </c>
      <c r="E4710">
        <v>226.75</v>
      </c>
      <c r="F4710">
        <v>-0.01</v>
      </c>
    </row>
    <row r="4711" spans="1:6" x14ac:dyDescent="0.3">
      <c r="A4711" t="str">
        <f>HYPERLINK("https://us2.cloudbeds.com/connect/10074733072513#/reservations/31690228859023?display=MHJ4QCQXU&amp;reservation_id=31690228859023", "MHJ4QCQXU")</f>
        <v>MHJ4QCQXU</v>
      </c>
      <c r="B4711" t="s">
        <v>1505</v>
      </c>
      <c r="C4711">
        <v>208.6</v>
      </c>
      <c r="D4711">
        <v>226.74</v>
      </c>
      <c r="E4711">
        <v>226.75</v>
      </c>
      <c r="F4711">
        <v>-0.01</v>
      </c>
    </row>
    <row r="4712" spans="1:6" x14ac:dyDescent="0.3">
      <c r="A4712" t="str">
        <f>HYPERLINK("https://us2.cloudbeds.com/connect/10074733072513#/reservations/31688232284320?display=MHHJPR5Y6&amp;reservation_id=31688232284320", "MHHJPR5Y6")</f>
        <v>MHHJPR5Y6</v>
      </c>
      <c r="B4712" t="s">
        <v>1527</v>
      </c>
      <c r="C4712">
        <v>143.19999999999999</v>
      </c>
      <c r="D4712">
        <v>155.65</v>
      </c>
      <c r="E4712">
        <v>155.66</v>
      </c>
      <c r="F4712">
        <v>-0.01</v>
      </c>
    </row>
    <row r="4713" spans="1:6" x14ac:dyDescent="0.3">
      <c r="A4713" t="str">
        <f>HYPERLINK("https://us2.cloudbeds.com/connect/10074733072513#/reservations/31694159163612?display=MHM67HAMW&amp;reservation_id=31694159163612", "MHM67HAMW")</f>
        <v>MHM67HAMW</v>
      </c>
      <c r="B4713" t="s">
        <v>1490</v>
      </c>
      <c r="C4713">
        <v>380.8</v>
      </c>
      <c r="D4713">
        <v>413.92</v>
      </c>
      <c r="E4713">
        <v>413.93</v>
      </c>
      <c r="F4713">
        <v>-0.01</v>
      </c>
    </row>
    <row r="4714" spans="1:6" x14ac:dyDescent="0.3">
      <c r="A4714" t="str">
        <f>HYPERLINK("https://us2.cloudbeds.com/connect/10074733072513#/reservations/31695262613704?display=MHN1DWERX&amp;reservation_id=31695262613704", "MHN1DWERX")</f>
        <v>MHN1DWERX</v>
      </c>
      <c r="B4714" t="s">
        <v>1518</v>
      </c>
      <c r="C4714">
        <v>268.2</v>
      </c>
      <c r="D4714">
        <v>291.52</v>
      </c>
      <c r="E4714">
        <v>291.52999999999997</v>
      </c>
      <c r="F4714">
        <v>-0.01</v>
      </c>
    </row>
    <row r="4715" spans="1:6" x14ac:dyDescent="0.3">
      <c r="A4715" t="str">
        <f>HYPERLINK("https://us2.cloudbeds.com/connect/10074733072513#/reservations/31689518276827?display=MHXJY6QM3&amp;reservation_id=31689518276827", "MHXJY6QM3")</f>
        <v>MHXJY6QM3</v>
      </c>
      <c r="B4715" t="s">
        <v>1442</v>
      </c>
      <c r="C4715">
        <v>127.2</v>
      </c>
      <c r="D4715">
        <v>138.26</v>
      </c>
      <c r="E4715">
        <v>138.27000000000001</v>
      </c>
      <c r="F4715">
        <v>-0.01</v>
      </c>
    </row>
    <row r="4716" spans="1:6" x14ac:dyDescent="0.3">
      <c r="A4716" t="str">
        <f>HYPERLINK("https://us2.cloudbeds.com/connect/10074733072513#/reservations/31695352287408?display=MHN3NJZRH&amp;reservation_id=31695352287408", "MHN3NJZRH")</f>
        <v>MHN3NJZRH</v>
      </c>
      <c r="B4716" t="s">
        <v>1505</v>
      </c>
      <c r="C4716">
        <v>333.6</v>
      </c>
      <c r="D4716">
        <v>362.61</v>
      </c>
      <c r="E4716">
        <v>362.62</v>
      </c>
      <c r="F4716">
        <v>-0.01</v>
      </c>
    </row>
    <row r="4717" spans="1:6" x14ac:dyDescent="0.3">
      <c r="A4717" t="str">
        <f>HYPERLINK("https://us2.cloudbeds.com/connect/10074733072513#/reservations/31695517348023?display=MHN7UPQYB&amp;reservation_id=31695517348023", "MHN7UPQYB")</f>
        <v>MHN7UPQYB</v>
      </c>
      <c r="B4717" t="s">
        <v>1541</v>
      </c>
      <c r="C4717">
        <v>182.36</v>
      </c>
      <c r="D4717">
        <v>198.22</v>
      </c>
      <c r="E4717">
        <v>198.23</v>
      </c>
      <c r="F4717">
        <v>-0.01</v>
      </c>
    </row>
    <row r="4718" spans="1:6" x14ac:dyDescent="0.3">
      <c r="A4718" t="str">
        <f>HYPERLINK("https://us2.cloudbeds.com/connect/10074733072513#/reservations/31695519617237?display=MHN7WMVDD&amp;reservation_id=31695519617237", "MHN7WMVDD")</f>
        <v>MHN7WMVDD</v>
      </c>
      <c r="B4718" t="s">
        <v>1541</v>
      </c>
      <c r="C4718">
        <v>182.36</v>
      </c>
      <c r="D4718">
        <v>198.22</v>
      </c>
      <c r="E4718">
        <v>198.23</v>
      </c>
      <c r="F4718">
        <v>-0.01</v>
      </c>
    </row>
    <row r="4719" spans="1:6" x14ac:dyDescent="0.3">
      <c r="A4719" t="str">
        <f>HYPERLINK("https://us2.cloudbeds.com/connect/10074733072513#/reservations/31690278785182?display=MHJ62G2ER&amp;reservation_id=31690278785182", "MHJ62G2ER")</f>
        <v>MHJ62G2ER</v>
      </c>
      <c r="B4719" t="s">
        <v>1505</v>
      </c>
      <c r="C4719">
        <v>222.4</v>
      </c>
      <c r="D4719">
        <v>241.74</v>
      </c>
      <c r="E4719">
        <v>241.75</v>
      </c>
      <c r="F4719">
        <v>-0.01</v>
      </c>
    </row>
    <row r="4720" spans="1:6" x14ac:dyDescent="0.3">
      <c r="A4720" t="str">
        <f>HYPERLINK("https://us2.cloudbeds.com/connect/10074733072513#/reservations/31695932010654?display=MHNXHEDDK&amp;reservation_id=31695932010654", "MHNXHEDDK")</f>
        <v>MHNXHEDDK</v>
      </c>
      <c r="B4720" t="s">
        <v>1457</v>
      </c>
      <c r="C4720">
        <v>302.39999999999998</v>
      </c>
      <c r="D4720">
        <v>328.7</v>
      </c>
      <c r="E4720">
        <v>328.71</v>
      </c>
      <c r="F4720">
        <v>-0.01</v>
      </c>
    </row>
    <row r="4721" spans="1:6" x14ac:dyDescent="0.3">
      <c r="A4721" t="str">
        <f>HYPERLINK("https://us2.cloudbeds.com/connect/10074733072513#/reservations/31695419941101?display=MHN5EYAEE&amp;reservation_id=31695419941101", "MHN5EYAEE")</f>
        <v>MHN5EYAEE</v>
      </c>
      <c r="B4721" t="s">
        <v>1442</v>
      </c>
      <c r="C4721">
        <v>117.42</v>
      </c>
      <c r="D4721">
        <v>127.63</v>
      </c>
      <c r="E4721">
        <v>127.64</v>
      </c>
      <c r="F4721">
        <v>-0.01</v>
      </c>
    </row>
    <row r="4722" spans="1:6" x14ac:dyDescent="0.3">
      <c r="A4722" t="str">
        <f>HYPERLINK("https://us2.cloudbeds.com/connect/10074733072513#/reservations/31688185336020?display=MHHXJ7P8E&amp;reservation_id=31688185336020", "MHHXJ7P8E")</f>
        <v>MHHXJ7P8E</v>
      </c>
      <c r="B4722" t="s">
        <v>1527</v>
      </c>
      <c r="C4722">
        <v>127.2</v>
      </c>
      <c r="D4722">
        <v>138.26</v>
      </c>
      <c r="E4722">
        <v>138.27000000000001</v>
      </c>
      <c r="F4722">
        <v>-0.01</v>
      </c>
    </row>
    <row r="4723" spans="1:6" x14ac:dyDescent="0.3">
      <c r="A4723" t="str">
        <f>HYPERLINK("https://us2.cloudbeds.com/connect/10074733072513#/reservations/31695715537029?display=MHNCWTNCQ&amp;reservation_id=31695715537029", "MHNCWTNCQ")</f>
        <v>MHNCWTNCQ</v>
      </c>
      <c r="B4723" t="s">
        <v>1527</v>
      </c>
      <c r="C4723">
        <v>222.4</v>
      </c>
      <c r="D4723">
        <v>241.74</v>
      </c>
      <c r="E4723">
        <v>241.75</v>
      </c>
      <c r="F4723">
        <v>-0.01</v>
      </c>
    </row>
    <row r="4724" spans="1:6" x14ac:dyDescent="0.3">
      <c r="A4724" t="str">
        <f>HYPERLINK("https://us2.cloudbeds.com/connect/10074733072513#/reservations/31695708893424?display=MHNCR9RZE&amp;reservation_id=31695708893424", "MHNCR9RZE")</f>
        <v>MHNCR9RZE</v>
      </c>
      <c r="B4724" t="s">
        <v>1527</v>
      </c>
      <c r="C4724">
        <v>152.15</v>
      </c>
      <c r="D4724">
        <v>165.38</v>
      </c>
      <c r="E4724">
        <v>165.39</v>
      </c>
      <c r="F4724">
        <v>-0.01</v>
      </c>
    </row>
    <row r="4725" spans="1:6" x14ac:dyDescent="0.3">
      <c r="A4725" t="str">
        <f>HYPERLINK("https://us2.cloudbeds.com/connect/10074733072513#/reservations/31695247732933?display=MHN11EC73&amp;reservation_id=31695247732933", "MHN11EC73")</f>
        <v>MHN11EC73</v>
      </c>
      <c r="B4725" t="s">
        <v>1315</v>
      </c>
      <c r="C4725">
        <v>299.22000000000003</v>
      </c>
      <c r="D4725">
        <v>325.24</v>
      </c>
      <c r="E4725">
        <v>325.25</v>
      </c>
      <c r="F4725">
        <v>-0.01</v>
      </c>
    </row>
    <row r="4726" spans="1:6" x14ac:dyDescent="0.3">
      <c r="A4726" t="str">
        <f>HYPERLINK("https://us2.cloudbeds.com/connect/10074733072513#/reservations/31691460067547?display=MHK38XWU4&amp;reservation_id=31691460067547", "MHK38XWU4")</f>
        <v>MHK38XWU4</v>
      </c>
      <c r="B4726" t="s">
        <v>1377</v>
      </c>
      <c r="C4726">
        <v>143.19999999999999</v>
      </c>
      <c r="D4726">
        <v>155.65</v>
      </c>
      <c r="E4726">
        <v>155.66</v>
      </c>
      <c r="F4726">
        <v>-0.01</v>
      </c>
    </row>
    <row r="4727" spans="1:6" x14ac:dyDescent="0.3">
      <c r="A4727" t="str">
        <f>HYPERLINK("https://us2.cloudbeds.com/connect/10074733072513#/reservations/31695307710636?display=MHN2J0B58&amp;reservation_id=31695307710636", "MHN2J0B58")</f>
        <v>MHN2J0B58</v>
      </c>
      <c r="B4727" t="s">
        <v>1505</v>
      </c>
      <c r="C4727">
        <v>250.2</v>
      </c>
      <c r="D4727">
        <v>271.95999999999998</v>
      </c>
      <c r="E4727">
        <v>271.97000000000003</v>
      </c>
      <c r="F4727">
        <v>-0.01</v>
      </c>
    </row>
    <row r="4728" spans="1:6" x14ac:dyDescent="0.3">
      <c r="A4728" t="str">
        <f>HYPERLINK("https://us2.cloudbeds.com/connect/10074733072513#/reservations/31691245527258?display=MHJUPM378&amp;reservation_id=31691245527258", "MHJUPM378")</f>
        <v>MHJUPM378</v>
      </c>
      <c r="B4728" t="s">
        <v>1527</v>
      </c>
      <c r="C4728">
        <v>304.2</v>
      </c>
      <c r="D4728">
        <v>330.66</v>
      </c>
      <c r="E4728">
        <v>330.67</v>
      </c>
      <c r="F4728">
        <v>-0.01</v>
      </c>
    </row>
    <row r="4729" spans="1:6" x14ac:dyDescent="0.3">
      <c r="A4729" t="str">
        <f>HYPERLINK("https://us2.cloudbeds.com/connect/10074733072513#/reservations/31690966778048?display=MHJND6CMT&amp;reservation_id=31690966778048", "MHJND6CMT")</f>
        <v>MHJND6CMT</v>
      </c>
      <c r="B4729" t="s">
        <v>1377</v>
      </c>
      <c r="C4729">
        <v>143.19999999999999</v>
      </c>
      <c r="D4729">
        <v>155.65</v>
      </c>
      <c r="E4729">
        <v>155.66</v>
      </c>
      <c r="F4729">
        <v>-0.01</v>
      </c>
    </row>
    <row r="4730" spans="1:6" x14ac:dyDescent="0.3">
      <c r="A4730" t="str">
        <f>HYPERLINK("https://us2.cloudbeds.com/connect/10074733072513#/reservations/31690974396636?display=MHJNS1G3Q&amp;reservation_id=31690974396636", "MHJNS1G3Q")</f>
        <v>MHJNS1G3Q</v>
      </c>
      <c r="B4730" t="s">
        <v>1377</v>
      </c>
      <c r="C4730">
        <v>152.15</v>
      </c>
      <c r="D4730">
        <v>165.38</v>
      </c>
      <c r="E4730">
        <v>165.39</v>
      </c>
      <c r="F4730">
        <v>-0.01</v>
      </c>
    </row>
    <row r="4731" spans="1:6" x14ac:dyDescent="0.3">
      <c r="A4731" t="str">
        <f>HYPERLINK("https://us2.cloudbeds.com/connect/10074733072513#/reservations/31688207069389?display=MHHJ4XHEC&amp;reservation_id=31688207069389", "MHHJ4XHEC")</f>
        <v>MHHJ4XHEC</v>
      </c>
      <c r="B4731" t="s">
        <v>1527</v>
      </c>
      <c r="C4731">
        <v>143.66</v>
      </c>
      <c r="D4731">
        <v>156.15</v>
      </c>
      <c r="E4731">
        <v>156.16</v>
      </c>
      <c r="F4731">
        <v>-0.01</v>
      </c>
    </row>
    <row r="4732" spans="1:6" x14ac:dyDescent="0.3">
      <c r="A4732" t="str">
        <f>HYPERLINK("https://us2.cloudbeds.com/connect/10074733072513#/reservations/31691439886551?display=MHK2ZXE7P&amp;reservation_id=31691439886551", "MHK2ZXE7P")</f>
        <v>MHK2ZXE7P</v>
      </c>
      <c r="B4732" t="s">
        <v>1377</v>
      </c>
      <c r="C4732">
        <v>170.1</v>
      </c>
      <c r="D4732">
        <v>184.89</v>
      </c>
      <c r="E4732">
        <v>184.9</v>
      </c>
      <c r="F4732">
        <v>-0.01</v>
      </c>
    </row>
    <row r="4733" spans="1:6" x14ac:dyDescent="0.3">
      <c r="A4733" t="str">
        <f>HYPERLINK("https://us2.cloudbeds.com/connect/10074733072513#/reservations/31689971548315?display=MHXV7DZUZ&amp;reservation_id=31689971548315", "MHXV7DZUZ")</f>
        <v>MHXV7DZUZ</v>
      </c>
      <c r="B4733" t="s">
        <v>1469</v>
      </c>
      <c r="C4733">
        <v>250.2</v>
      </c>
      <c r="D4733">
        <v>271.95999999999998</v>
      </c>
      <c r="E4733">
        <v>271.97000000000003</v>
      </c>
      <c r="F4733">
        <v>-0.01</v>
      </c>
    </row>
    <row r="4734" spans="1:6" x14ac:dyDescent="0.3">
      <c r="A4734" t="str">
        <f>HYPERLINK("https://us2.cloudbeds.com/connect/10074733072513#/reservations/31690296545433?display=MHJ6HF978&amp;reservation_id=31690296545433", "MHJ6HF978")</f>
        <v>MHJ6HF978</v>
      </c>
      <c r="B4734" t="s">
        <v>1505</v>
      </c>
      <c r="C4734">
        <v>182.36</v>
      </c>
      <c r="D4734">
        <v>198.22</v>
      </c>
      <c r="E4734">
        <v>198.23</v>
      </c>
      <c r="F4734">
        <v>-0.01</v>
      </c>
    </row>
    <row r="4735" spans="1:6" x14ac:dyDescent="0.3">
      <c r="A4735" t="str">
        <f>HYPERLINK("https://us2.cloudbeds.com/connect/10074733072513#/reservations/31691756081357?display=MHKAR60JJ&amp;reservation_id=31691756081357", "MHKAR60JJ")</f>
        <v>MHKAR60JJ</v>
      </c>
      <c r="B4735" t="s">
        <v>1545</v>
      </c>
      <c r="C4735">
        <v>285.60000000000002</v>
      </c>
      <c r="D4735">
        <v>310.44</v>
      </c>
      <c r="E4735">
        <v>310.45</v>
      </c>
      <c r="F4735">
        <v>-0.01</v>
      </c>
    </row>
    <row r="4736" spans="1:6" x14ac:dyDescent="0.3">
      <c r="A4736" t="str">
        <f>HYPERLINK("https://us2.cloudbeds.com/connect/10074733072513#/reservations/31693745983623?display=MHYSM3WD8&amp;reservation_id=31693745983623", "MHYSM3WD8")</f>
        <v>MHYSM3WD8</v>
      </c>
      <c r="B4736" t="s">
        <v>1469</v>
      </c>
      <c r="C4736">
        <v>524.20000000000005</v>
      </c>
      <c r="D4736">
        <v>569.79999999999995</v>
      </c>
      <c r="E4736">
        <v>569.80999999999995</v>
      </c>
      <c r="F4736">
        <v>-0.01</v>
      </c>
    </row>
    <row r="4737" spans="1:6" x14ac:dyDescent="0.3">
      <c r="A4737" t="str">
        <f>HYPERLINK("https://us2.cloudbeds.com/connect/10074733072513#/reservations/31693102919811?display=MHYC7SPS2&amp;reservation_id=31693102919811", "MHYC7SPS2")</f>
        <v>MHYC7SPS2</v>
      </c>
      <c r="B4737" t="s">
        <v>1453</v>
      </c>
      <c r="C4737">
        <v>117.42</v>
      </c>
      <c r="D4737">
        <v>127.63</v>
      </c>
      <c r="E4737">
        <v>127.64</v>
      </c>
      <c r="F4737">
        <v>-0.01</v>
      </c>
    </row>
    <row r="4738" spans="1:6" x14ac:dyDescent="0.3">
      <c r="A4738" t="str">
        <f>HYPERLINK("https://us2.cloudbeds.com/connect/10074733072513#/reservations/31693726847185?display=MHYS5WFU6&amp;reservation_id=31693726847185", "MHYS5WFU6")</f>
        <v>MHYS5WFU6</v>
      </c>
      <c r="B4738" t="s">
        <v>1469</v>
      </c>
      <c r="C4738">
        <v>250.2</v>
      </c>
      <c r="D4738">
        <v>271.95999999999998</v>
      </c>
      <c r="E4738">
        <v>271.97000000000003</v>
      </c>
      <c r="F4738">
        <v>-0.01</v>
      </c>
    </row>
    <row r="4739" spans="1:6" x14ac:dyDescent="0.3">
      <c r="A4739" t="str">
        <f>HYPERLINK("https://us2.cloudbeds.com/connect/10074733072513#/reservations/31694386905255?display=MHMC1XXRT&amp;reservation_id=31694386905255", "MHMC1XXRT")</f>
        <v>MHMC1XXRT</v>
      </c>
      <c r="B4739" t="s">
        <v>1538</v>
      </c>
      <c r="C4739">
        <v>117.42</v>
      </c>
      <c r="D4739">
        <v>127.63</v>
      </c>
      <c r="E4739">
        <v>127.64</v>
      </c>
      <c r="F4739">
        <v>-0.01</v>
      </c>
    </row>
    <row r="4740" spans="1:6" x14ac:dyDescent="0.3">
      <c r="A4740" t="str">
        <f>HYPERLINK("https://us2.cloudbeds.com/connect/10074733072513#/reservations/31695326499040?display=MHN31S51R&amp;reservation_id=31695326499040", "MHN31S51R")</f>
        <v>MHN31S51R</v>
      </c>
      <c r="B4740" t="s">
        <v>1505</v>
      </c>
      <c r="C4740">
        <v>254.4</v>
      </c>
      <c r="D4740">
        <v>276.52</v>
      </c>
      <c r="E4740">
        <v>276.52999999999997</v>
      </c>
      <c r="F4740">
        <v>-0.01</v>
      </c>
    </row>
    <row r="4741" spans="1:6" x14ac:dyDescent="0.3">
      <c r="A4741" t="str">
        <f>HYPERLINK("https://us2.cloudbeds.com/connect/10074733072513#/reservations/31692160704707?display=MHKY5C8X7&amp;reservation_id=31692160704707", "MHKY5C8X7")</f>
        <v>MHKY5C8X7</v>
      </c>
      <c r="B4741" t="s">
        <v>1521</v>
      </c>
      <c r="C4741">
        <v>150.22</v>
      </c>
      <c r="D4741">
        <v>163.28</v>
      </c>
      <c r="E4741">
        <v>163.29</v>
      </c>
      <c r="F4741">
        <v>-0.01</v>
      </c>
    </row>
    <row r="4742" spans="1:6" x14ac:dyDescent="0.3">
      <c r="A4742" t="str">
        <f>HYPERLINK("https://us2.cloudbeds.com/connect/10074733072513#/reservations/31728161845494?display=MXFH2G2BE&amp;reservation_id=31728161845494", "MXFH2G2BE")</f>
        <v>MXFH2G2BE</v>
      </c>
      <c r="B4742" t="s">
        <v>1322</v>
      </c>
      <c r="C4742">
        <v>376.2</v>
      </c>
      <c r="D4742">
        <v>408.92</v>
      </c>
      <c r="E4742">
        <v>408.93</v>
      </c>
      <c r="F4742">
        <v>-0.01</v>
      </c>
    </row>
    <row r="4743" spans="1:6" x14ac:dyDescent="0.3">
      <c r="A4743" t="str">
        <f>HYPERLINK("https://us2.cloudbeds.com/connect/10074733072513#/reservations/31694043726057?display=MHM3963E8&amp;reservation_id=31694043726057", "MHM3963E8")</f>
        <v>MHM3963E8</v>
      </c>
      <c r="B4743" t="s">
        <v>1506</v>
      </c>
      <c r="C4743">
        <v>253.86</v>
      </c>
      <c r="D4743">
        <v>275.94</v>
      </c>
      <c r="E4743">
        <v>275.95</v>
      </c>
      <c r="F4743">
        <v>-0.01</v>
      </c>
    </row>
    <row r="4744" spans="1:6" x14ac:dyDescent="0.3">
      <c r="A4744" t="str">
        <f>HYPERLINK("https://us2.cloudbeds.com/connect/10074733072513#/reservations/31694100967666?display=MHM4ZEUTF&amp;reservation_id=31694100967666", "MHM4ZEUTF")</f>
        <v>MHM4ZEUTF</v>
      </c>
      <c r="B4744" t="s">
        <v>1490</v>
      </c>
      <c r="C4744">
        <v>380.8</v>
      </c>
      <c r="D4744">
        <v>413.92</v>
      </c>
      <c r="E4744">
        <v>413.93</v>
      </c>
      <c r="F4744">
        <v>-0.01</v>
      </c>
    </row>
    <row r="4745" spans="1:6" x14ac:dyDescent="0.3">
      <c r="A4745" t="str">
        <f>HYPERLINK("https://us2.cloudbeds.com/connect/10074733072513#/reservations/31695826542817?display=MHNFRGK2X&amp;reservation_id=31695826542817", "MHNFRGK2X")</f>
        <v>MHNFRGK2X</v>
      </c>
      <c r="B4745" t="s">
        <v>1520</v>
      </c>
      <c r="C4745">
        <v>250.2</v>
      </c>
      <c r="D4745">
        <v>271.95999999999998</v>
      </c>
      <c r="E4745">
        <v>271.97000000000003</v>
      </c>
      <c r="F4745">
        <v>-0.01</v>
      </c>
    </row>
    <row r="4746" spans="1:6" x14ac:dyDescent="0.3">
      <c r="A4746" t="str">
        <f>HYPERLINK("https://us2.cloudbeds.com/connect/10074733072513#/reservations/31727689162890?display=MXF4WTWC5&amp;reservation_id=31727689162890", "MXF4WTWC5")</f>
        <v>MXF4WTWC5</v>
      </c>
      <c r="B4746" t="s">
        <v>1531</v>
      </c>
      <c r="C4746">
        <v>259.2</v>
      </c>
      <c r="D4746">
        <v>281.74</v>
      </c>
      <c r="E4746">
        <v>281.75</v>
      </c>
      <c r="F4746">
        <v>-0.01</v>
      </c>
    </row>
    <row r="4747" spans="1:6" x14ac:dyDescent="0.3">
      <c r="A4747" t="str">
        <f>HYPERLINK("https://us2.cloudbeds.com/connect/10074733072513#/reservations/31695830220938?display=MHNFUJVJP&amp;reservation_id=31695830220938", "MHNFUJVJP")</f>
        <v>MHNFUJVJP</v>
      </c>
      <c r="B4747" t="s">
        <v>1520</v>
      </c>
      <c r="C4747">
        <v>250.2</v>
      </c>
      <c r="D4747">
        <v>271.95999999999998</v>
      </c>
      <c r="E4747">
        <v>271.97000000000003</v>
      </c>
      <c r="F4747">
        <v>-0.01</v>
      </c>
    </row>
    <row r="4748" spans="1:6" x14ac:dyDescent="0.3">
      <c r="A4748" t="str">
        <f>HYPERLINK("https://us2.cloudbeds.com/connect/10074733072513#/reservations/31693964669065?display=MHM18H7FR&amp;reservation_id=31693964669065", "MHM18H7FR")</f>
        <v>MHM18H7FR</v>
      </c>
      <c r="B4748" t="s">
        <v>1542</v>
      </c>
      <c r="C4748">
        <v>259.2</v>
      </c>
      <c r="D4748">
        <v>281.74</v>
      </c>
      <c r="E4748">
        <v>281.75</v>
      </c>
      <c r="F4748">
        <v>-0.01</v>
      </c>
    </row>
    <row r="4749" spans="1:6" x14ac:dyDescent="0.3">
      <c r="A4749" t="str">
        <f>HYPERLINK("https://us2.cloudbeds.com/connect/10074733072513#/reservations/31695069774033?display=MHMTGCD85&amp;reservation_id=31695069774033", "MHMTGCD85")</f>
        <v>MHMTGCD85</v>
      </c>
      <c r="B4749" t="s">
        <v>1555</v>
      </c>
      <c r="C4749">
        <v>134.1</v>
      </c>
      <c r="D4749">
        <v>145.76</v>
      </c>
      <c r="E4749">
        <v>145.77000000000001</v>
      </c>
      <c r="F4749">
        <v>-0.01</v>
      </c>
    </row>
    <row r="4750" spans="1:6" x14ac:dyDescent="0.3">
      <c r="A4750" t="str">
        <f>HYPERLINK("https://us2.cloudbeds.com/connect/10074733072513#/reservations/31695009288408?display=MHMRVC9TE&amp;reservation_id=31695009288408", "MHMRVC9TE")</f>
        <v>MHMRVC9TE</v>
      </c>
      <c r="B4750" t="s">
        <v>1490</v>
      </c>
      <c r="C4750">
        <v>268.2</v>
      </c>
      <c r="D4750">
        <v>291.52</v>
      </c>
      <c r="E4750">
        <v>291.52999999999997</v>
      </c>
      <c r="F4750">
        <v>-0.01</v>
      </c>
    </row>
    <row r="4751" spans="1:6" x14ac:dyDescent="0.3">
      <c r="A4751" t="str">
        <f>HYPERLINK("https://us2.cloudbeds.com/connect/10074733072513#/reservations/31695091302540?display=MHMU1HFA5&amp;reservation_id=31695091302540", "MHMU1HFA5")</f>
        <v>MHMU1HFA5</v>
      </c>
      <c r="B4751" t="s">
        <v>1555</v>
      </c>
      <c r="C4751">
        <v>134.1</v>
      </c>
      <c r="D4751">
        <v>145.76</v>
      </c>
      <c r="E4751">
        <v>145.77000000000001</v>
      </c>
      <c r="F4751">
        <v>-0.01</v>
      </c>
    </row>
    <row r="4752" spans="1:6" x14ac:dyDescent="0.3">
      <c r="A4752" t="str">
        <f>HYPERLINK("https://us2.cloudbeds.com/connect/10074733072513#/reservations/31695069769938?display=MHMTGC9G2&amp;reservation_id=31695069769938", "MHMTGC9G2")</f>
        <v>MHMTGC9G2</v>
      </c>
      <c r="B4752" t="s">
        <v>1555</v>
      </c>
      <c r="C4752">
        <v>117.42</v>
      </c>
      <c r="D4752">
        <v>127.63</v>
      </c>
      <c r="E4752">
        <v>127.64</v>
      </c>
      <c r="F4752">
        <v>-0.01</v>
      </c>
    </row>
    <row r="4753" spans="1:6" x14ac:dyDescent="0.3">
      <c r="A4753" t="str">
        <f>HYPERLINK("https://us2.cloudbeds.com/connect/10074733072513#/reservations/31695900147898?display=MHNHNXPMX&amp;reservation_id=31695900147898", "MHNHNXPMX")</f>
        <v>MHNHNXPMX</v>
      </c>
      <c r="B4753" t="s">
        <v>1520</v>
      </c>
      <c r="C4753">
        <v>250.2</v>
      </c>
      <c r="D4753">
        <v>271.95999999999998</v>
      </c>
      <c r="E4753">
        <v>271.97000000000003</v>
      </c>
      <c r="F4753">
        <v>-0.01</v>
      </c>
    </row>
    <row r="4754" spans="1:6" x14ac:dyDescent="0.3">
      <c r="A4754" t="str">
        <f>HYPERLINK("https://us2.cloudbeds.com/connect/10074733072513#/reservations/31693765148908?display=MHYT599CF&amp;reservation_id=31693765148908", "MHYT599CF")</f>
        <v>MHYT599CF</v>
      </c>
      <c r="B4754" t="s">
        <v>1558</v>
      </c>
      <c r="C4754">
        <v>134.1</v>
      </c>
      <c r="D4754">
        <v>145.76</v>
      </c>
      <c r="E4754">
        <v>145.77000000000001</v>
      </c>
      <c r="F4754">
        <v>-0.01</v>
      </c>
    </row>
    <row r="4755" spans="1:6" x14ac:dyDescent="0.3">
      <c r="A4755" t="str">
        <f>HYPERLINK("https://us2.cloudbeds.com/connect/10074733072513#/reservations/31693154496756?display=MHYDXBWJQ&amp;reservation_id=31693154496756", "MHYDXBWJQ")</f>
        <v>MHYDXBWJQ</v>
      </c>
      <c r="B4755" t="s">
        <v>1506</v>
      </c>
      <c r="C4755">
        <v>134.1</v>
      </c>
      <c r="D4755">
        <v>145.76</v>
      </c>
      <c r="E4755">
        <v>145.77000000000001</v>
      </c>
      <c r="F4755">
        <v>-0.01</v>
      </c>
    </row>
    <row r="4756" spans="1:6" x14ac:dyDescent="0.3">
      <c r="A4756" t="str">
        <f>HYPERLINK("https://us2.cloudbeds.com/connect/10074733072513#/reservations/31690648338646?display=MHJFH3EYY&amp;reservation_id=31690648338646", "MHJFH3EYY")</f>
        <v>MHJFH3EYY</v>
      </c>
      <c r="B4756" t="s">
        <v>1559</v>
      </c>
      <c r="C4756">
        <v>254.4</v>
      </c>
      <c r="D4756">
        <v>276.52</v>
      </c>
      <c r="E4756">
        <v>276.52999999999997</v>
      </c>
      <c r="F4756">
        <v>-0.01</v>
      </c>
    </row>
    <row r="4757" spans="1:6" x14ac:dyDescent="0.3">
      <c r="A4757" t="str">
        <f>HYPERLINK("https://us2.cloudbeds.com/connect/10074733072513#/reservations/31692167192729?display=MHKYARQAV&amp;reservation_id=31692167192729", "MHKYARQAV")</f>
        <v>MHKYARQAV</v>
      </c>
      <c r="B4757" t="s">
        <v>1521</v>
      </c>
      <c r="C4757">
        <v>167.2</v>
      </c>
      <c r="D4757">
        <v>181.74</v>
      </c>
      <c r="E4757">
        <v>181.75</v>
      </c>
      <c r="F4757">
        <v>-0.01</v>
      </c>
    </row>
    <row r="4758" spans="1:6" x14ac:dyDescent="0.3">
      <c r="A4758" t="str">
        <f>HYPERLINK("https://us2.cloudbeds.com/connect/10074733072513#/reservations/31695736877256?display=MHNDHTHXB&amp;reservation_id=31695736877256", "MHNDHTHXB")</f>
        <v>MHNDHTHXB</v>
      </c>
      <c r="B4758" t="s">
        <v>1457</v>
      </c>
      <c r="C4758">
        <v>177.65</v>
      </c>
      <c r="D4758">
        <v>193.1</v>
      </c>
      <c r="E4758">
        <v>193.11</v>
      </c>
      <c r="F4758">
        <v>-0.01</v>
      </c>
    </row>
    <row r="4759" spans="1:6" x14ac:dyDescent="0.3">
      <c r="A4759" t="str">
        <f>HYPERLINK("https://us2.cloudbeds.com/connect/10074733072513#/reservations/31693160149207?display=MHYDN4936&amp;reservation_id=31693160149207", "MHYDN4936")</f>
        <v>MHYDN4936</v>
      </c>
      <c r="B4759" t="s">
        <v>1457</v>
      </c>
      <c r="C4759">
        <v>117.42</v>
      </c>
      <c r="D4759">
        <v>127.63</v>
      </c>
      <c r="E4759">
        <v>127.64</v>
      </c>
      <c r="F4759">
        <v>-0.01</v>
      </c>
    </row>
    <row r="4760" spans="1:6" x14ac:dyDescent="0.3">
      <c r="A4760" t="str">
        <f>HYPERLINK("https://us2.cloudbeds.com/connect/10074733072513#/reservations/31695720497361?display=MHND42ZAT&amp;reservation_id=31695720497361", "MHND42ZAT")</f>
        <v>MHND42ZAT</v>
      </c>
      <c r="B4760" t="s">
        <v>1532</v>
      </c>
      <c r="C4760">
        <v>268.2</v>
      </c>
      <c r="D4760">
        <v>291.52</v>
      </c>
      <c r="E4760">
        <v>291.52999999999997</v>
      </c>
      <c r="F4760">
        <v>-0.01</v>
      </c>
    </row>
    <row r="4761" spans="1:6" x14ac:dyDescent="0.3">
      <c r="A4761" t="str">
        <f>HYPERLINK("https://us2.cloudbeds.com/connect/10074733072513#/reservations/31695890563294?display=MHNHFG2D0&amp;reservation_id=31695890563294", "MHNHFG2D0")</f>
        <v>MHNHFG2D0</v>
      </c>
      <c r="B4761" t="s">
        <v>1520</v>
      </c>
      <c r="C4761">
        <v>134.1</v>
      </c>
      <c r="D4761">
        <v>145.76</v>
      </c>
      <c r="E4761">
        <v>145.77000000000001</v>
      </c>
      <c r="F4761">
        <v>-0.01</v>
      </c>
    </row>
    <row r="4762" spans="1:6" x14ac:dyDescent="0.3">
      <c r="A4762" t="str">
        <f>HYPERLINK("https://us2.cloudbeds.com/connect/10074733072513#/reservations/31691473879241?display=MHK3K7ARA&amp;reservation_id=31691473879241", "MHK3K7ARA")</f>
        <v>MHK3K7ARA</v>
      </c>
      <c r="B4762" t="s">
        <v>1563</v>
      </c>
      <c r="C4762">
        <v>268.2</v>
      </c>
      <c r="D4762">
        <v>291.52</v>
      </c>
      <c r="E4762">
        <v>291.52999999999997</v>
      </c>
      <c r="F4762">
        <v>-0.01</v>
      </c>
    </row>
    <row r="4763" spans="1:6" x14ac:dyDescent="0.3">
      <c r="A4763" t="str">
        <f>HYPERLINK("https://us2.cloudbeds.com/connect/10074733072513#/reservations/31696065069236?display=MHNYUKVJS&amp;reservation_id=31696065069236", "MHNYUKVJS")</f>
        <v>MHNYUKVJS</v>
      </c>
      <c r="B4763" t="s">
        <v>1315</v>
      </c>
      <c r="C4763">
        <v>376.2</v>
      </c>
      <c r="D4763">
        <v>408.92</v>
      </c>
      <c r="E4763">
        <v>408.93</v>
      </c>
      <c r="F4763">
        <v>-0.01</v>
      </c>
    </row>
    <row r="4764" spans="1:6" x14ac:dyDescent="0.3">
      <c r="A4764" t="str">
        <f>HYPERLINK("https://us2.cloudbeds.com/connect/10074733072513#/reservations/31696003088567?display=MHNKBC8CZ&amp;reservation_id=31696003088567", "MHNKBC8CZ")</f>
        <v>MHNKBC8CZ</v>
      </c>
      <c r="B4764" t="s">
        <v>1508</v>
      </c>
      <c r="C4764">
        <v>268.2</v>
      </c>
      <c r="D4764">
        <v>291.52</v>
      </c>
      <c r="E4764">
        <v>291.52999999999997</v>
      </c>
      <c r="F4764">
        <v>-0.01</v>
      </c>
    </row>
    <row r="4765" spans="1:6" x14ac:dyDescent="0.3">
      <c r="A4765" t="str">
        <f>HYPERLINK("https://us2.cloudbeds.com/connect/10074733072513#/reservations/31693877444822?display=MHYW0W2ZV&amp;reservation_id=31693877444822", "MHYW0W2ZV")</f>
        <v>MHYW0W2ZV</v>
      </c>
      <c r="B4765" t="s">
        <v>1520</v>
      </c>
      <c r="C4765">
        <v>250.2</v>
      </c>
      <c r="D4765">
        <v>271.95999999999998</v>
      </c>
      <c r="E4765">
        <v>271.97000000000003</v>
      </c>
      <c r="F4765">
        <v>-0.01</v>
      </c>
    </row>
    <row r="4766" spans="1:6" x14ac:dyDescent="0.3">
      <c r="A4766" t="str">
        <f>HYPERLINK("https://us2.cloudbeds.com/connect/10074733072513#/reservations/31729904234699?display=MXGSJNKEA&amp;reservation_id=31729904234699", "MXGSJNKEA")</f>
        <v>MXGSJNKEA</v>
      </c>
      <c r="B4766" t="s">
        <v>1519</v>
      </c>
      <c r="C4766">
        <v>170.1</v>
      </c>
      <c r="D4766">
        <v>184.89</v>
      </c>
      <c r="E4766">
        <v>184.9</v>
      </c>
      <c r="F4766">
        <v>-0.01</v>
      </c>
    </row>
    <row r="4767" spans="1:6" x14ac:dyDescent="0.3">
      <c r="A4767" t="str">
        <f>HYPERLINK("https://us2.cloudbeds.com/connect/10074733072513#/reservations/31693834563791?display=MHYUUQS7Z&amp;reservation_id=31693834563791", "MHYUUQS7Z")</f>
        <v>MHYUUQS7Z</v>
      </c>
      <c r="B4767" t="s">
        <v>1520</v>
      </c>
      <c r="C4767">
        <v>182.36</v>
      </c>
      <c r="D4767">
        <v>198.22</v>
      </c>
      <c r="E4767">
        <v>198.23</v>
      </c>
      <c r="F4767">
        <v>-0.01</v>
      </c>
    </row>
    <row r="4768" spans="1:6" x14ac:dyDescent="0.3">
      <c r="A4768" t="str">
        <f>HYPERLINK("https://us2.cloudbeds.com/connect/10074733072513#/reservations/31691996946577?display=MHKGW9EPY&amp;reservation_id=31691996946577", "MHKGW9EPY")</f>
        <v>MHKGW9EPY</v>
      </c>
      <c r="B4768" t="s">
        <v>1561</v>
      </c>
      <c r="C4768">
        <v>224</v>
      </c>
      <c r="D4768">
        <v>243.48</v>
      </c>
      <c r="E4768">
        <v>243.49</v>
      </c>
      <c r="F4768">
        <v>-0.01</v>
      </c>
    </row>
    <row r="4769" spans="1:6" x14ac:dyDescent="0.3">
      <c r="A4769" t="str">
        <f>HYPERLINK("https://us2.cloudbeds.com/connect/10074733072513#/reservations/31690928287932?display=MHJMM5ENB&amp;reservation_id=31690928287932", "MHJMM5ENB")</f>
        <v>MHJMM5ENB</v>
      </c>
      <c r="B4769" t="s">
        <v>1469</v>
      </c>
      <c r="C4769">
        <v>357.3</v>
      </c>
      <c r="D4769">
        <v>388.38</v>
      </c>
      <c r="E4769">
        <v>388.39</v>
      </c>
      <c r="F4769">
        <v>-0.01</v>
      </c>
    </row>
    <row r="4770" spans="1:6" x14ac:dyDescent="0.3">
      <c r="A4770" t="str">
        <f>HYPERLINK("https://us2.cloudbeds.com/connect/10074733072513#/reservations/31727738466466?display=MXF68FUHU&amp;reservation_id=31727738466466", "MXF68FUHU")</f>
        <v>MXF68FUHU</v>
      </c>
      <c r="B4770" t="s">
        <v>1531</v>
      </c>
      <c r="C4770">
        <v>152.15</v>
      </c>
      <c r="D4770">
        <v>165.38</v>
      </c>
      <c r="E4770">
        <v>165.39</v>
      </c>
      <c r="F4770">
        <v>-0.01</v>
      </c>
    </row>
    <row r="4771" spans="1:6" x14ac:dyDescent="0.3">
      <c r="A4771" t="str">
        <f>HYPERLINK("https://us2.cloudbeds.com/connect/10074733072513#/reservations/31693387403455?display=MHYJGZVMX&amp;reservation_id=31693387403455", "MHYJGZVMX")</f>
        <v>MHYJGZVMX</v>
      </c>
      <c r="B4771" t="s">
        <v>1480</v>
      </c>
      <c r="C4771">
        <v>250.2</v>
      </c>
      <c r="D4771">
        <v>271.95999999999998</v>
      </c>
      <c r="E4771">
        <v>271.97000000000003</v>
      </c>
      <c r="F4771">
        <v>-0.01</v>
      </c>
    </row>
    <row r="4772" spans="1:6" x14ac:dyDescent="0.3">
      <c r="A4772" t="str">
        <f>HYPERLINK("https://us2.cloudbeds.com/connect/10074733072513#/reservations/31693697655036?display=MHYREC5HK&amp;reservation_id=31693697655036", "MHYREC5HK")</f>
        <v>MHYREC5HK</v>
      </c>
      <c r="B4772" t="s">
        <v>1469</v>
      </c>
      <c r="C4772">
        <v>222.4</v>
      </c>
      <c r="D4772">
        <v>241.74</v>
      </c>
      <c r="E4772">
        <v>241.75</v>
      </c>
      <c r="F4772">
        <v>-0.01</v>
      </c>
    </row>
    <row r="4773" spans="1:6" x14ac:dyDescent="0.3">
      <c r="A4773" t="str">
        <f>HYPERLINK("https://us2.cloudbeds.com/connect/10074733072513#/reservations/31693698040026?display=MHYREMT1W&amp;reservation_id=31693698040026", "MHYREMT1W")</f>
        <v>MHYREMT1W</v>
      </c>
      <c r="B4773" t="s">
        <v>1469</v>
      </c>
      <c r="C4773">
        <v>182.36</v>
      </c>
      <c r="D4773">
        <v>198.22</v>
      </c>
      <c r="E4773">
        <v>198.23</v>
      </c>
      <c r="F4773">
        <v>-0.01</v>
      </c>
    </row>
    <row r="4774" spans="1:6" x14ac:dyDescent="0.3">
      <c r="A4774" t="str">
        <f>HYPERLINK("https://us2.cloudbeds.com/connect/10074733072513#/reservations/31691821560009?display=MHKCGD1U5&amp;reservation_id=31691821560009", "MHKCGD1U5")</f>
        <v>MHKCGD1U5</v>
      </c>
      <c r="B4774" t="s">
        <v>1557</v>
      </c>
      <c r="C4774">
        <v>134.1</v>
      </c>
      <c r="D4774">
        <v>145.76</v>
      </c>
      <c r="E4774">
        <v>145.77000000000001</v>
      </c>
      <c r="F4774">
        <v>-0.01</v>
      </c>
    </row>
    <row r="4775" spans="1:6" x14ac:dyDescent="0.3">
      <c r="A4775" t="str">
        <f>HYPERLINK("https://us2.cloudbeds.com/connect/10074733072513#/reservations/31690943606994?display=MHJN22NQB&amp;reservation_id=31690943606994", "MHJN22NQB")</f>
        <v>MHJN22NQB</v>
      </c>
      <c r="B4775" t="s">
        <v>1469</v>
      </c>
      <c r="C4775">
        <v>254.4</v>
      </c>
      <c r="D4775">
        <v>276.52</v>
      </c>
      <c r="E4775">
        <v>276.52999999999997</v>
      </c>
      <c r="F4775">
        <v>-0.01</v>
      </c>
    </row>
    <row r="4776" spans="1:6" x14ac:dyDescent="0.3">
      <c r="A4776" t="str">
        <f>HYPERLINK("https://us2.cloudbeds.com/connect/10074733072513#/reservations/31689983348882?display=MHXVHC42M&amp;reservation_id=31689983348882", "MHXVHC42M")</f>
        <v>MHXVHC42M</v>
      </c>
      <c r="B4776" t="s">
        <v>1469</v>
      </c>
      <c r="C4776">
        <v>222.4</v>
      </c>
      <c r="D4776">
        <v>241.74</v>
      </c>
      <c r="E4776">
        <v>241.75</v>
      </c>
      <c r="F4776">
        <v>-0.01</v>
      </c>
    </row>
    <row r="4777" spans="1:6" x14ac:dyDescent="0.3">
      <c r="A4777" t="str">
        <f>HYPERLINK("https://us2.cloudbeds.com/connect/10074733072513#/reservations/31696046170363?display=MHNYEN28M&amp;reservation_id=31696046170363", "MHNYEN28M")</f>
        <v>MHNYEN28M</v>
      </c>
      <c r="B4777" t="s">
        <v>1508</v>
      </c>
      <c r="C4777">
        <v>170.1</v>
      </c>
      <c r="D4777">
        <v>184.89</v>
      </c>
      <c r="E4777">
        <v>184.9</v>
      </c>
      <c r="F4777">
        <v>-0.01</v>
      </c>
    </row>
    <row r="4778" spans="1:6" x14ac:dyDescent="0.3">
      <c r="A4778" t="str">
        <f>HYPERLINK("https://us2.cloudbeds.com/connect/10074733072513#/reservations/31695670341807?display=MHNBRQ2QK&amp;reservation_id=31695670341807", "MHNBRQ2QK")</f>
        <v>MHNBRQ2QK</v>
      </c>
      <c r="B4778" t="s">
        <v>1532</v>
      </c>
      <c r="C4778">
        <v>117.42</v>
      </c>
      <c r="D4778">
        <v>127.63</v>
      </c>
      <c r="E4778">
        <v>127.64</v>
      </c>
      <c r="F4778">
        <v>-0.01</v>
      </c>
    </row>
    <row r="4779" spans="1:6" x14ac:dyDescent="0.3">
      <c r="A4779" t="str">
        <f>HYPERLINK("https://us2.cloudbeds.com/connect/10074733072513#/reservations/31733619732642?display=MXJZHNR92&amp;reservation_id=31733619732642", "MXJZHNR92")</f>
        <v>MXJZHNR92</v>
      </c>
      <c r="B4779" t="s">
        <v>1569</v>
      </c>
      <c r="C4779">
        <v>268.2</v>
      </c>
      <c r="D4779">
        <v>291.52</v>
      </c>
      <c r="E4779">
        <v>291.52999999999997</v>
      </c>
      <c r="F4779">
        <v>-0.01</v>
      </c>
    </row>
    <row r="4780" spans="1:6" x14ac:dyDescent="0.3">
      <c r="A4780" t="str">
        <f>HYPERLINK("https://us2.cloudbeds.com/connect/10074733072513#/reservations/31692145438943?display=MHKKPGFDA&amp;reservation_id=31692145438943", "MHKKPGFDA")</f>
        <v>MHKKPGFDA</v>
      </c>
      <c r="B4780" t="s">
        <v>1570</v>
      </c>
      <c r="C4780">
        <v>250.2</v>
      </c>
      <c r="D4780">
        <v>271.95999999999998</v>
      </c>
      <c r="E4780">
        <v>271.97000000000003</v>
      </c>
      <c r="F4780">
        <v>-0.01</v>
      </c>
    </row>
    <row r="4781" spans="1:6" x14ac:dyDescent="0.3">
      <c r="A4781" t="str">
        <f>HYPERLINK("https://us2.cloudbeds.com/connect/10074733072513#/reservations/31691126780092?display=MHJRZHPR9&amp;reservation_id=31691126780092", "MHJRZHPR9")</f>
        <v>MHJRZHPR9</v>
      </c>
      <c r="B4781" t="s">
        <v>1507</v>
      </c>
      <c r="C4781">
        <v>134.1</v>
      </c>
      <c r="D4781">
        <v>145.76</v>
      </c>
      <c r="E4781">
        <v>145.77000000000001</v>
      </c>
      <c r="F4781">
        <v>-0.01</v>
      </c>
    </row>
    <row r="4782" spans="1:6" x14ac:dyDescent="0.3">
      <c r="A4782" t="str">
        <f>HYPERLINK("https://us2.cloudbeds.com/connect/10074733072513#/reservations/31695119990938?display=MHMUPNP3X&amp;reservation_id=31695119990938", "MHMUPNP3X")</f>
        <v>MHMUPNP3X</v>
      </c>
      <c r="B4782" t="s">
        <v>1457</v>
      </c>
      <c r="C4782">
        <v>143.66</v>
      </c>
      <c r="D4782">
        <v>156.15</v>
      </c>
      <c r="E4782">
        <v>156.16</v>
      </c>
      <c r="F4782">
        <v>-0.01</v>
      </c>
    </row>
    <row r="4783" spans="1:6" x14ac:dyDescent="0.3">
      <c r="A4783" t="str">
        <f>HYPERLINK("https://us2.cloudbeds.com/connect/10074733072513#/reservations/31735933444272?display=MXYHYN8MN&amp;reservation_id=31735933444272", "MXYHYN8MN")</f>
        <v>MXYHYN8MN</v>
      </c>
      <c r="B4783" t="s">
        <v>1401</v>
      </c>
      <c r="C4783">
        <v>170.1</v>
      </c>
      <c r="D4783">
        <v>184.89</v>
      </c>
      <c r="E4783">
        <v>184.9</v>
      </c>
      <c r="F4783">
        <v>-0.01</v>
      </c>
    </row>
    <row r="4784" spans="1:6" x14ac:dyDescent="0.3">
      <c r="A4784" t="str">
        <f>HYPERLINK("https://us2.cloudbeds.com/connect/10074733072513#/reservations/31691316646095?display=MHJWJY2PH&amp;reservation_id=31691316646095", "MHJWJY2PH")</f>
        <v>MHJWJY2PH</v>
      </c>
      <c r="B4784" t="s">
        <v>1507</v>
      </c>
      <c r="C4784">
        <v>134.1</v>
      </c>
      <c r="D4784">
        <v>145.76</v>
      </c>
      <c r="E4784">
        <v>145.77000000000001</v>
      </c>
      <c r="F4784">
        <v>-0.01</v>
      </c>
    </row>
    <row r="4785" spans="1:6" x14ac:dyDescent="0.3">
      <c r="A4785" t="str">
        <f>HYPERLINK("https://us2.cloudbeds.com/connect/10074733072513#/reservations/31690047131856?display=MHJ054WA2&amp;reservation_id=31690047131856", "MHJ054WA2")</f>
        <v>MHJ054WA2</v>
      </c>
      <c r="B4785" t="s">
        <v>1469</v>
      </c>
      <c r="C4785">
        <v>123.2</v>
      </c>
      <c r="D4785">
        <v>133.91</v>
      </c>
      <c r="E4785">
        <v>133.91999999999999</v>
      </c>
      <c r="F4785">
        <v>-0.01</v>
      </c>
    </row>
    <row r="4786" spans="1:6" x14ac:dyDescent="0.3">
      <c r="A4786" t="str">
        <f>HYPERLINK("https://us2.cloudbeds.com/connect/10074733072513#/reservations/31731445309620?display=MXX1W69UB&amp;reservation_id=31731445309620", "MXX1W69UB")</f>
        <v>MXX1W69UB</v>
      </c>
      <c r="B4786" t="s">
        <v>1574</v>
      </c>
      <c r="C4786">
        <v>134.1</v>
      </c>
      <c r="D4786">
        <v>145.76</v>
      </c>
      <c r="E4786">
        <v>145.77000000000001</v>
      </c>
      <c r="F4786">
        <v>-0.01</v>
      </c>
    </row>
    <row r="4787" spans="1:6" x14ac:dyDescent="0.3">
      <c r="A4787" t="str">
        <f>HYPERLINK("https://us2.cloudbeds.com/connect/10074733072513#/reservations/31736065384663?display=MXYY0VN2C&amp;reservation_id=31736065384663", "MXYY0VN2C")</f>
        <v>MXYY0VN2C</v>
      </c>
      <c r="B4787" t="s">
        <v>1322</v>
      </c>
      <c r="C4787">
        <v>376.2</v>
      </c>
      <c r="D4787">
        <v>408.92</v>
      </c>
      <c r="E4787">
        <v>408.93</v>
      </c>
      <c r="F4787">
        <v>-0.01</v>
      </c>
    </row>
    <row r="4788" spans="1:6" x14ac:dyDescent="0.3">
      <c r="A4788" t="str">
        <f>HYPERLINK("https://us2.cloudbeds.com/connect/10074733072513#/reservations/31695697301717?display=MHNCHH9CJ&amp;reservation_id=31695697301717", "MHNCHH9CJ")</f>
        <v>MHNCHH9CJ</v>
      </c>
      <c r="B4788" t="s">
        <v>1559</v>
      </c>
      <c r="C4788">
        <v>103.2</v>
      </c>
      <c r="D4788">
        <v>112.17</v>
      </c>
      <c r="E4788">
        <v>112.18</v>
      </c>
      <c r="F4788">
        <v>-0.01</v>
      </c>
    </row>
    <row r="4789" spans="1:6" x14ac:dyDescent="0.3">
      <c r="A4789" t="str">
        <f>HYPERLINK("https://us2.cloudbeds.com/connect/10074733072513#/reservations/31695228485847?display=MHN0X6Q42&amp;reservation_id=31695228485847", "MHN0X6Q42")</f>
        <v>MHN0X6Q42</v>
      </c>
      <c r="B4789" t="s">
        <v>1575</v>
      </c>
      <c r="C4789">
        <v>406</v>
      </c>
      <c r="D4789">
        <v>441.31</v>
      </c>
      <c r="E4789">
        <v>441.32</v>
      </c>
      <c r="F4789">
        <v>-0.01</v>
      </c>
    </row>
    <row r="4790" spans="1:6" x14ac:dyDescent="0.3">
      <c r="A4790" t="str">
        <f>HYPERLINK("https://us2.cloudbeds.com/connect/10074733072513#/reservations/31695208960203?display=MHN01ZF7T&amp;reservation_id=31695208960203", "MHN01ZF7T")</f>
        <v>MHN01ZF7T</v>
      </c>
      <c r="B4790" t="s">
        <v>1492</v>
      </c>
      <c r="C4790">
        <v>348</v>
      </c>
      <c r="D4790">
        <v>378.27</v>
      </c>
      <c r="E4790">
        <v>378.28</v>
      </c>
      <c r="F4790">
        <v>-0.01</v>
      </c>
    </row>
    <row r="4791" spans="1:6" x14ac:dyDescent="0.3">
      <c r="A4791" t="str">
        <f>HYPERLINK("https://us2.cloudbeds.com/connect/10074733072513#/reservations/31691621703887?display=MHK7CSPA1&amp;reservation_id=31691621703887", "MHK7CSPA1")</f>
        <v>MHK7CSPA1</v>
      </c>
      <c r="B4791" t="s">
        <v>1484</v>
      </c>
      <c r="C4791">
        <v>375.3</v>
      </c>
      <c r="D4791">
        <v>407.94</v>
      </c>
      <c r="E4791">
        <v>407.95</v>
      </c>
      <c r="F4791">
        <v>-0.01</v>
      </c>
    </row>
    <row r="4792" spans="1:6" x14ac:dyDescent="0.3">
      <c r="A4792" t="str">
        <f>HYPERLINK("https://us2.cloudbeds.com/connect/10074733072513#/reservations/31689990398202?display=MHXVNA99E&amp;reservation_id=31689990398202", "MHXVNA99E")</f>
        <v>MHXVNA99E</v>
      </c>
      <c r="B4792" t="s">
        <v>1469</v>
      </c>
      <c r="C4792">
        <v>304.2</v>
      </c>
      <c r="D4792">
        <v>330.66</v>
      </c>
      <c r="E4792">
        <v>330.67</v>
      </c>
      <c r="F4792">
        <v>-0.01</v>
      </c>
    </row>
    <row r="4793" spans="1:6" x14ac:dyDescent="0.3">
      <c r="A4793" t="str">
        <f>HYPERLINK("https://us2.cloudbeds.com/connect/10074733072513#/reservations/31693668180180?display=MHYQMGWX5&amp;reservation_id=31693668180180", "MHYQMGWX5")</f>
        <v>MHYQMGWX5</v>
      </c>
      <c r="B4793" t="s">
        <v>1314</v>
      </c>
      <c r="C4793">
        <v>375.3</v>
      </c>
      <c r="D4793">
        <v>407.94</v>
      </c>
      <c r="E4793">
        <v>407.95</v>
      </c>
      <c r="F4793">
        <v>-0.01</v>
      </c>
    </row>
    <row r="4794" spans="1:6" x14ac:dyDescent="0.3">
      <c r="A4794" t="str">
        <f>HYPERLINK("https://us2.cloudbeds.com/connect/10074733072513#/reservations/31695758246104?display=MHNE2U506&amp;reservation_id=31695758246104", "MHNE2U506")</f>
        <v>MHNE2U506</v>
      </c>
      <c r="B4794" t="s">
        <v>1485</v>
      </c>
      <c r="C4794">
        <v>134.1</v>
      </c>
      <c r="D4794">
        <v>145.76</v>
      </c>
      <c r="E4794">
        <v>145.77000000000001</v>
      </c>
      <c r="F4794">
        <v>-0.01</v>
      </c>
    </row>
    <row r="4795" spans="1:6" x14ac:dyDescent="0.3">
      <c r="A4795" t="str">
        <f>HYPERLINK("https://us2.cloudbeds.com/connect/10074733072513#/reservations/31694629945558?display=MHMX8GHBX&amp;reservation_id=31694629945558", "MHMX8GHBX")</f>
        <v>MHMX8GHBX</v>
      </c>
      <c r="B4795" t="s">
        <v>1559</v>
      </c>
      <c r="C4795">
        <v>134.1</v>
      </c>
      <c r="D4795">
        <v>145.76</v>
      </c>
      <c r="E4795">
        <v>145.77000000000001</v>
      </c>
      <c r="F4795">
        <v>-0.01</v>
      </c>
    </row>
    <row r="4796" spans="1:6" x14ac:dyDescent="0.3">
      <c r="A4796" t="str">
        <f>HYPERLINK("https://us2.cloudbeds.com/connect/10074733072513#/reservations/31691327459525?display=MHJWSZWF7&amp;reservation_id=31691327459525", "MHJWSZWF7")</f>
        <v>MHJWSZWF7</v>
      </c>
      <c r="B4796" t="s">
        <v>1507</v>
      </c>
      <c r="C4796">
        <v>117.42</v>
      </c>
      <c r="D4796">
        <v>127.63</v>
      </c>
      <c r="E4796">
        <v>127.64</v>
      </c>
      <c r="F4796">
        <v>-0.01</v>
      </c>
    </row>
    <row r="4797" spans="1:6" x14ac:dyDescent="0.3">
      <c r="A4797" t="str">
        <f>HYPERLINK("https://us2.cloudbeds.com/connect/10074733072513#/reservations/31691287105686?display=MHJVRZ2JK&amp;reservation_id=31691287105686", "MHJVRZ2JK")</f>
        <v>MHJVRZ2JK</v>
      </c>
      <c r="B4797" t="s">
        <v>1507</v>
      </c>
      <c r="C4797">
        <v>152.15</v>
      </c>
      <c r="D4797">
        <v>165.38</v>
      </c>
      <c r="E4797">
        <v>165.39</v>
      </c>
      <c r="F4797">
        <v>-0.01</v>
      </c>
    </row>
    <row r="4798" spans="1:6" x14ac:dyDescent="0.3">
      <c r="A4798" t="str">
        <f>HYPERLINK("https://us2.cloudbeds.com/connect/10074733072513#/reservations/31690199195838?display=MHJ41CCYH&amp;reservation_id=31690199195838", "MHJ41CCYH")</f>
        <v>MHJ41CCYH</v>
      </c>
      <c r="B4798" t="s">
        <v>1520</v>
      </c>
      <c r="C4798">
        <v>170.1</v>
      </c>
      <c r="D4798">
        <v>184.89</v>
      </c>
      <c r="E4798">
        <v>184.9</v>
      </c>
      <c r="F4798">
        <v>-0.01</v>
      </c>
    </row>
    <row r="4799" spans="1:6" x14ac:dyDescent="0.3">
      <c r="A4799" t="str">
        <f>HYPERLINK("https://us2.cloudbeds.com/connect/10074733072513#/reservations/31695850430703?display=MHNGEYAMT&amp;reservation_id=31695850430703", "MHNGEYAMT")</f>
        <v>MHNGEYAMT</v>
      </c>
      <c r="B4799" t="s">
        <v>1563</v>
      </c>
      <c r="C4799">
        <v>250.2</v>
      </c>
      <c r="D4799">
        <v>271.95999999999998</v>
      </c>
      <c r="E4799">
        <v>271.97000000000003</v>
      </c>
      <c r="F4799">
        <v>-0.01</v>
      </c>
    </row>
    <row r="4800" spans="1:6" x14ac:dyDescent="0.3">
      <c r="A4800" t="str">
        <f>HYPERLINK("https://us2.cloudbeds.com/connect/10074733072513#/reservations/31692517830816?display=MHKU9GR1G&amp;reservation_id=31692517830816", "MHKU9GR1G")</f>
        <v>MHKU9GR1G</v>
      </c>
      <c r="B4800" t="s">
        <v>1550</v>
      </c>
      <c r="C4800">
        <v>134.1</v>
      </c>
      <c r="D4800">
        <v>145.76</v>
      </c>
      <c r="E4800">
        <v>145.77000000000001</v>
      </c>
      <c r="F4800">
        <v>-0.01</v>
      </c>
    </row>
    <row r="4801" spans="1:6" x14ac:dyDescent="0.3">
      <c r="A4801" t="str">
        <f>HYPERLINK("https://us2.cloudbeds.com/connect/10074733072513#/reservations/31694029258897?display=MHM2TWHKF&amp;reservation_id=31694029258897", "MHM2TWHKF")</f>
        <v>MHM2TWHKF</v>
      </c>
      <c r="B4801" t="s">
        <v>1522</v>
      </c>
      <c r="C4801">
        <v>134.1</v>
      </c>
      <c r="D4801">
        <v>145.76</v>
      </c>
      <c r="E4801">
        <v>145.77000000000001</v>
      </c>
      <c r="F4801">
        <v>-0.01</v>
      </c>
    </row>
    <row r="4802" spans="1:6" x14ac:dyDescent="0.3">
      <c r="A4802" t="str">
        <f>HYPERLINK("https://us2.cloudbeds.com/connect/10074733072513#/reservations/31694053843169?display=MHM3HNKND&amp;reservation_id=31694053843169", "MHM3HNKND")</f>
        <v>MHM3HNKND</v>
      </c>
      <c r="B4802" t="s">
        <v>1522</v>
      </c>
      <c r="C4802">
        <v>134.1</v>
      </c>
      <c r="D4802">
        <v>145.76</v>
      </c>
      <c r="E4802">
        <v>145.77000000000001</v>
      </c>
      <c r="F4802">
        <v>-0.01</v>
      </c>
    </row>
    <row r="4803" spans="1:6" x14ac:dyDescent="0.3">
      <c r="A4803" t="str">
        <f>HYPERLINK("https://us2.cloudbeds.com/connect/10074733072513#/reservations/31694577803494?display=MHMGUHJM0&amp;reservation_id=31694577803494", "MHMGUHJM0")</f>
        <v>MHMGUHJM0</v>
      </c>
      <c r="B4803" t="s">
        <v>1441</v>
      </c>
      <c r="C4803">
        <v>304.2</v>
      </c>
      <c r="D4803">
        <v>330.66</v>
      </c>
      <c r="E4803">
        <v>330.67</v>
      </c>
      <c r="F4803">
        <v>-0.01</v>
      </c>
    </row>
    <row r="4804" spans="1:6" x14ac:dyDescent="0.3">
      <c r="A4804" t="str">
        <f>HYPERLINK("https://us2.cloudbeds.com/connect/10074733072513#/reservations/31694006640838?display=MHM2AU51Z&amp;reservation_id=31694006640838", "MHM2AU51Z")</f>
        <v>MHM2AU51Z</v>
      </c>
      <c r="B4804" t="s">
        <v>1542</v>
      </c>
      <c r="C4804">
        <v>286.33999999999997</v>
      </c>
      <c r="D4804">
        <v>311.24</v>
      </c>
      <c r="E4804">
        <v>311.25</v>
      </c>
      <c r="F4804">
        <v>-0.01</v>
      </c>
    </row>
    <row r="4805" spans="1:6" x14ac:dyDescent="0.3">
      <c r="A4805" t="str">
        <f>HYPERLINK("https://us2.cloudbeds.com/connect/10074733072513#/reservations/31693085634803?display=MHYBQ9QFT&amp;reservation_id=31693085634803", "MHYBQ9QFT")</f>
        <v>MHYBQ9QFT</v>
      </c>
      <c r="B4805" t="s">
        <v>1578</v>
      </c>
      <c r="C4805">
        <v>528.4</v>
      </c>
      <c r="D4805">
        <v>574.36</v>
      </c>
      <c r="E4805">
        <v>574.37</v>
      </c>
      <c r="F4805">
        <v>-0.01</v>
      </c>
    </row>
    <row r="4806" spans="1:6" x14ac:dyDescent="0.3">
      <c r="A4806" t="str">
        <f>HYPERLINK("https://us2.cloudbeds.com/connect/10074733072513#/reservations/31691223666943?display=MHJU77QFF&amp;reservation_id=31691223666943", "MHJU77QFF")</f>
        <v>MHJU77QFF</v>
      </c>
      <c r="B4806" t="s">
        <v>1570</v>
      </c>
      <c r="C4806">
        <v>117.42</v>
      </c>
      <c r="D4806">
        <v>127.63</v>
      </c>
      <c r="E4806">
        <v>127.64</v>
      </c>
      <c r="F4806">
        <v>-0.01</v>
      </c>
    </row>
    <row r="4807" spans="1:6" x14ac:dyDescent="0.3">
      <c r="A4807" t="str">
        <f>HYPERLINK("https://us2.cloudbeds.com/connect/10074733072513#/reservations/31691165769946?display=MHJSZDZ60&amp;reservation_id=31691165769946", "MHJSZDZ60")</f>
        <v>MHJSZDZ60</v>
      </c>
      <c r="B4807" t="s">
        <v>1570</v>
      </c>
      <c r="C4807">
        <v>134.1</v>
      </c>
      <c r="D4807">
        <v>145.76</v>
      </c>
      <c r="E4807">
        <v>145.77000000000001</v>
      </c>
      <c r="F4807">
        <v>-0.01</v>
      </c>
    </row>
    <row r="4808" spans="1:6" x14ac:dyDescent="0.3">
      <c r="A4808" t="str">
        <f>HYPERLINK("https://us2.cloudbeds.com/connect/10074733072513#/reservations/31727537500378?display=MXF140ZMF&amp;reservation_id=31727537500378", "MXF140ZMF")</f>
        <v>MXF140ZMF</v>
      </c>
      <c r="B4808" t="s">
        <v>1564</v>
      </c>
      <c r="C4808">
        <v>180.1</v>
      </c>
      <c r="D4808">
        <v>195.76</v>
      </c>
      <c r="E4808">
        <v>195.77</v>
      </c>
      <c r="F4808">
        <v>-0.01</v>
      </c>
    </row>
    <row r="4809" spans="1:6" x14ac:dyDescent="0.3">
      <c r="A4809" t="str">
        <f>HYPERLINK("https://us2.cloudbeds.com/connect/10074733072513#/reservations/31694347104456?display=MHMB101R2&amp;reservation_id=31694347104456", "MHMB101R2")</f>
        <v>MHMB101R2</v>
      </c>
      <c r="B4809" t="s">
        <v>1441</v>
      </c>
      <c r="C4809">
        <v>476</v>
      </c>
      <c r="D4809">
        <v>517.4</v>
      </c>
      <c r="E4809">
        <v>517.41</v>
      </c>
      <c r="F4809">
        <v>-0.01</v>
      </c>
    </row>
    <row r="4810" spans="1:6" x14ac:dyDescent="0.3">
      <c r="A4810" t="str">
        <f>HYPERLINK("https://us2.cloudbeds.com/connect/10074733072513#/reservations/31692177019020?display=MHKYJ47XB&amp;reservation_id=31692177019020", "MHKYJ47XB")</f>
        <v>MHKYJ47XB</v>
      </c>
      <c r="B4810" t="s">
        <v>1568</v>
      </c>
      <c r="C4810">
        <v>134.1</v>
      </c>
      <c r="D4810">
        <v>145.76</v>
      </c>
      <c r="E4810">
        <v>145.77000000000001</v>
      </c>
      <c r="F4810">
        <v>-0.01</v>
      </c>
    </row>
    <row r="4811" spans="1:6" x14ac:dyDescent="0.3">
      <c r="A4811" t="str">
        <f>HYPERLINK("https://us2.cloudbeds.com/connect/10074733072513#/reservations/31693118513301?display=MHYCY0MV2&amp;reservation_id=31693118513301", "MHYCY0MV2")</f>
        <v>MHYCY0MV2</v>
      </c>
      <c r="B4811" t="s">
        <v>1578</v>
      </c>
      <c r="C4811">
        <v>380.8</v>
      </c>
      <c r="D4811">
        <v>413.92</v>
      </c>
      <c r="E4811">
        <v>413.93</v>
      </c>
      <c r="F4811">
        <v>-0.01</v>
      </c>
    </row>
    <row r="4812" spans="1:6" x14ac:dyDescent="0.3">
      <c r="A4812" t="str">
        <f>HYPERLINK("https://us2.cloudbeds.com/connect/10074733072513#/reservations/31734725030025?display=MXKJPZBZ5&amp;reservation_id=31734725030025", "MXKJPZBZ5")</f>
        <v>MXKJPZBZ5</v>
      </c>
      <c r="B4812" t="s">
        <v>1580</v>
      </c>
      <c r="C4812">
        <v>716.4</v>
      </c>
      <c r="D4812">
        <v>778.72</v>
      </c>
      <c r="E4812">
        <v>778.73</v>
      </c>
      <c r="F4812">
        <v>-0.01</v>
      </c>
    </row>
    <row r="4813" spans="1:6" x14ac:dyDescent="0.3">
      <c r="A4813" t="str">
        <f>HYPERLINK("https://us2.cloudbeds.com/connect/10074733072513#/reservations/31733455376552?display=MXJKB4CDG&amp;reservation_id=31733455376552", "MXJKB4CDG")</f>
        <v>MXJKB4CDG</v>
      </c>
      <c r="B4813" t="s">
        <v>1579</v>
      </c>
      <c r="C4813">
        <v>177.65</v>
      </c>
      <c r="D4813">
        <v>193.1</v>
      </c>
      <c r="E4813">
        <v>193.11</v>
      </c>
      <c r="F4813">
        <v>-0.01</v>
      </c>
    </row>
    <row r="4814" spans="1:6" x14ac:dyDescent="0.3">
      <c r="A4814" t="str">
        <f>HYPERLINK("https://us2.cloudbeds.com/connect/10074733072513#/reservations/31735981777146?display=MXYXTF6G8&amp;reservation_id=31735981777146", "MXYXTF6G8")</f>
        <v>MXYXTF6G8</v>
      </c>
      <c r="B4814" t="s">
        <v>1449</v>
      </c>
      <c r="C4814">
        <v>134.1</v>
      </c>
      <c r="D4814">
        <v>145.76</v>
      </c>
      <c r="E4814">
        <v>145.77000000000001</v>
      </c>
      <c r="F4814">
        <v>-0.01</v>
      </c>
    </row>
    <row r="4815" spans="1:6" x14ac:dyDescent="0.3">
      <c r="A4815" t="str">
        <f>HYPERLINK("https://us2.cloudbeds.com/connect/10074733072513#/reservations/31734482469063?display=MXKDJ6ZCW&amp;reservation_id=31734482469063", "MXKDJ6ZCW")</f>
        <v>MXKDJ6ZCW</v>
      </c>
      <c r="B4815" t="s">
        <v>1510</v>
      </c>
      <c r="C4815">
        <v>170.1</v>
      </c>
      <c r="D4815">
        <v>184.89</v>
      </c>
      <c r="E4815">
        <v>184.9</v>
      </c>
      <c r="F4815">
        <v>-0.01</v>
      </c>
    </row>
    <row r="4816" spans="1:6" x14ac:dyDescent="0.3">
      <c r="A4816" t="str">
        <f>HYPERLINK("https://us2.cloudbeds.com/connect/10074733072513#/reservations/31695881662600?display=MHNH7WD40&amp;reservation_id=31695881662600", "MHNH7WD40")</f>
        <v>MHNH7WD40</v>
      </c>
      <c r="B4816" t="s">
        <v>1520</v>
      </c>
      <c r="C4816">
        <v>150.22</v>
      </c>
      <c r="D4816">
        <v>163.28</v>
      </c>
      <c r="E4816">
        <v>163.29</v>
      </c>
      <c r="F4816">
        <v>-0.01</v>
      </c>
    </row>
    <row r="4817" spans="1:6" x14ac:dyDescent="0.3">
      <c r="A4817" t="str">
        <f>HYPERLINK("https://us2.cloudbeds.com/connect/10074733072513#/reservations/31692673499276?display=MHY18PH9J&amp;reservation_id=31692673499276", "MHY18PH9J")</f>
        <v>MHY18PH9J</v>
      </c>
      <c r="B4817" t="s">
        <v>1583</v>
      </c>
      <c r="C4817">
        <v>268.2</v>
      </c>
      <c r="D4817">
        <v>291.52</v>
      </c>
      <c r="E4817">
        <v>291.52999999999997</v>
      </c>
      <c r="F4817">
        <v>-0.01</v>
      </c>
    </row>
    <row r="4818" spans="1:6" x14ac:dyDescent="0.3">
      <c r="A4818" t="str">
        <f>HYPERLINK("https://us2.cloudbeds.com/connect/10074733072513#/reservations/31734962155684?display=MXKPRMNW6&amp;reservation_id=31734962155684", "MXKPRMNW6")</f>
        <v>MXKPRMNW6</v>
      </c>
      <c r="B4818" t="s">
        <v>1401</v>
      </c>
      <c r="C4818">
        <v>170.1</v>
      </c>
      <c r="D4818">
        <v>184.89</v>
      </c>
      <c r="E4818">
        <v>184.9</v>
      </c>
      <c r="F4818">
        <v>-0.01</v>
      </c>
    </row>
    <row r="4819" spans="1:6" x14ac:dyDescent="0.3">
      <c r="A4819" t="str">
        <f>HYPERLINK("https://us2.cloudbeds.com/connect/10074733072513#/reservations/31734962159777?display=MXKPRMRZ7&amp;reservation_id=31734962159777", "MXKPRMRZ7")</f>
        <v>MXKPRMRZ7</v>
      </c>
      <c r="B4819" t="s">
        <v>1401</v>
      </c>
      <c r="C4819">
        <v>170.1</v>
      </c>
      <c r="D4819">
        <v>184.89</v>
      </c>
      <c r="E4819">
        <v>184.9</v>
      </c>
      <c r="F4819">
        <v>-0.01</v>
      </c>
    </row>
    <row r="4820" spans="1:6" x14ac:dyDescent="0.3">
      <c r="A4820" t="str">
        <f>HYPERLINK("https://us2.cloudbeds.com/connect/10074733072513#/reservations/31731075948693?display=MXHPHZ9GV&amp;reservation_id=31731075948693", "MXHPHZ9GV")</f>
        <v>MXHPHZ9GV</v>
      </c>
      <c r="B4820" t="s">
        <v>1586</v>
      </c>
      <c r="C4820">
        <v>716.4</v>
      </c>
      <c r="D4820">
        <v>778.72</v>
      </c>
      <c r="E4820">
        <v>778.73</v>
      </c>
      <c r="F4820">
        <v>-0.01</v>
      </c>
    </row>
    <row r="4821" spans="1:6" x14ac:dyDescent="0.3">
      <c r="A4821" t="str">
        <f>HYPERLINK("https://us2.cloudbeds.com/connect/10074733072513#/reservations/31726035218582?display=MXDSZ8HTM&amp;reservation_id=31726035218582", "MXDSZ8HTM")</f>
        <v>MXDSZ8HTM</v>
      </c>
      <c r="B4821" t="s">
        <v>1588</v>
      </c>
      <c r="C4821">
        <v>520.28</v>
      </c>
      <c r="D4821">
        <v>565.53</v>
      </c>
      <c r="E4821">
        <v>565.54</v>
      </c>
      <c r="F4821">
        <v>-0.01</v>
      </c>
    </row>
    <row r="4822" spans="1:6" x14ac:dyDescent="0.3">
      <c r="A4822" t="str">
        <f>HYPERLINK("https://us2.cloudbeds.com/connect/10074733072513#/reservations/31733768950001?display=MXJSBX0Y7&amp;reservation_id=31733768950001", "MXJSBX0Y7")</f>
        <v>MXJSBX0Y7</v>
      </c>
      <c r="B4822" t="s">
        <v>1510</v>
      </c>
      <c r="C4822">
        <v>170.1</v>
      </c>
      <c r="D4822">
        <v>184.89</v>
      </c>
      <c r="E4822">
        <v>184.9</v>
      </c>
      <c r="F4822">
        <v>-0.01</v>
      </c>
    </row>
    <row r="4823" spans="1:6" x14ac:dyDescent="0.3">
      <c r="A4823" t="str">
        <f>HYPERLINK("https://us2.cloudbeds.com/connect/10074733072513#/reservations/31695819604117?display=MHNFYYHEU&amp;reservation_id=31695819604117", "MHNFYYHEU")</f>
        <v>MHNFYYHEU</v>
      </c>
      <c r="B4823" t="s">
        <v>1587</v>
      </c>
      <c r="C4823">
        <v>222.4</v>
      </c>
      <c r="D4823">
        <v>241.74</v>
      </c>
      <c r="E4823">
        <v>241.75</v>
      </c>
      <c r="F4823">
        <v>-0.01</v>
      </c>
    </row>
    <row r="4824" spans="1:6" x14ac:dyDescent="0.3">
      <c r="A4824" t="str">
        <f>HYPERLINK("https://us2.cloudbeds.com/connect/10074733072513#/reservations/31729664295137?display=MXGMFCV8G&amp;reservation_id=31729664295137", "MXGMFCV8G")</f>
        <v>MXGMFCV8G</v>
      </c>
      <c r="B4824" t="s">
        <v>1371</v>
      </c>
      <c r="C4824">
        <v>355.3</v>
      </c>
      <c r="D4824">
        <v>386.2</v>
      </c>
      <c r="E4824">
        <v>386.21</v>
      </c>
      <c r="F4824">
        <v>-0.01</v>
      </c>
    </row>
    <row r="4825" spans="1:6" x14ac:dyDescent="0.3">
      <c r="A4825" t="str">
        <f>HYPERLINK("https://us2.cloudbeds.com/connect/10074733072513#/reservations/31732642033888?display=MXXWX9U93&amp;reservation_id=31732642033888", "MXXWX9U93")</f>
        <v>MXXWX9U93</v>
      </c>
      <c r="B4825" t="s">
        <v>1590</v>
      </c>
      <c r="C4825">
        <v>134.1</v>
      </c>
      <c r="D4825">
        <v>145.76</v>
      </c>
      <c r="E4825">
        <v>145.77000000000001</v>
      </c>
      <c r="F4825">
        <v>-0.01</v>
      </c>
    </row>
    <row r="4826" spans="1:6" x14ac:dyDescent="0.3">
      <c r="A4826" t="str">
        <f>HYPERLINK("https://us2.cloudbeds.com/connect/10074733072513#/reservations/31693678940405?display=MHYQVJDCX&amp;reservation_id=31693678940405", "MHYQVJDCX")</f>
        <v>MHYQVJDCX</v>
      </c>
      <c r="B4826" t="s">
        <v>1314</v>
      </c>
      <c r="C4826">
        <v>170.1</v>
      </c>
      <c r="D4826">
        <v>184.89</v>
      </c>
      <c r="E4826">
        <v>184.9</v>
      </c>
      <c r="F4826">
        <v>-0.01</v>
      </c>
    </row>
    <row r="4827" spans="1:6" x14ac:dyDescent="0.3">
      <c r="A4827" t="str">
        <f>HYPERLINK("https://us2.cloudbeds.com/connect/10074733072513#/reservations/31693970264287?display=MHM1D7UE0&amp;reservation_id=31693970264287", "MHM1D7UE0")</f>
        <v>MHM1D7UE0</v>
      </c>
      <c r="B4827" t="s">
        <v>1314</v>
      </c>
      <c r="C4827">
        <v>170.1</v>
      </c>
      <c r="D4827">
        <v>184.89</v>
      </c>
      <c r="E4827">
        <v>184.9</v>
      </c>
      <c r="F4827">
        <v>-0.01</v>
      </c>
    </row>
    <row r="4828" spans="1:6" x14ac:dyDescent="0.3">
      <c r="A4828" t="str">
        <f>HYPERLINK("https://us2.cloudbeds.com/connect/10074733072513#/reservations/31694036881638?display=MHM33DYCK&amp;reservation_id=31694036881638", "MHM33DYCK")</f>
        <v>MHM33DYCK</v>
      </c>
      <c r="B4828" t="s">
        <v>1314</v>
      </c>
      <c r="C4828">
        <v>520.28</v>
      </c>
      <c r="D4828">
        <v>565.53</v>
      </c>
      <c r="E4828">
        <v>565.54</v>
      </c>
      <c r="F4828">
        <v>-0.01</v>
      </c>
    </row>
    <row r="4829" spans="1:6" x14ac:dyDescent="0.3">
      <c r="A4829" t="str">
        <f>HYPERLINK("https://us2.cloudbeds.com/connect/10074733072513#/reservations/31729466650754?display=MXGHDZ6KP&amp;reservation_id=31729466650754", "MXGHDZ6KP")</f>
        <v>MXGHDZ6KP</v>
      </c>
      <c r="B4829" t="s">
        <v>1595</v>
      </c>
      <c r="C4829">
        <v>170.1</v>
      </c>
      <c r="D4829">
        <v>184.89</v>
      </c>
      <c r="E4829">
        <v>184.9</v>
      </c>
      <c r="F4829">
        <v>-0.01</v>
      </c>
    </row>
    <row r="4830" spans="1:6" x14ac:dyDescent="0.3">
      <c r="A4830" t="str">
        <f>HYPERLINK("https://us2.cloudbeds.com/connect/10074733072513#/reservations/31729457561815?display=MXGH629GC&amp;reservation_id=31729457561815", "MXGH629GC")</f>
        <v>MXGH629GC</v>
      </c>
      <c r="B4830" t="s">
        <v>1595</v>
      </c>
      <c r="C4830">
        <v>170.1</v>
      </c>
      <c r="D4830">
        <v>184.89</v>
      </c>
      <c r="E4830">
        <v>184.9</v>
      </c>
      <c r="F4830">
        <v>-0.01</v>
      </c>
    </row>
    <row r="4831" spans="1:6" x14ac:dyDescent="0.3">
      <c r="A4831" t="str">
        <f>HYPERLINK("https://us2.cloudbeds.com/connect/10074733072513#/reservations/31693984002235?display=MHM1ZR6KF&amp;reservation_id=31693984002235", "MHM1ZR6KF")</f>
        <v>MHM1ZR6KF</v>
      </c>
      <c r="B4831" t="s">
        <v>1314</v>
      </c>
      <c r="C4831">
        <v>170.1</v>
      </c>
      <c r="D4831">
        <v>184.89</v>
      </c>
      <c r="E4831">
        <v>184.9</v>
      </c>
      <c r="F4831">
        <v>-0.01</v>
      </c>
    </row>
    <row r="4832" spans="1:6" x14ac:dyDescent="0.3">
      <c r="A4832" t="str">
        <f>HYPERLINK("https://us2.cloudbeds.com/connect/10074733072513#/reservations/31732325167259?display=MXXZF3Y01&amp;reservation_id=31732325167259", "MXXZF3Y01")</f>
        <v>MXXZF3Y01</v>
      </c>
      <c r="B4832" t="s">
        <v>1371</v>
      </c>
      <c r="C4832">
        <v>355.3</v>
      </c>
      <c r="D4832">
        <v>386.2</v>
      </c>
      <c r="E4832">
        <v>386.21</v>
      </c>
      <c r="F4832">
        <v>-0.01</v>
      </c>
    </row>
    <row r="4833" spans="1:6" x14ac:dyDescent="0.3">
      <c r="A4833" t="str">
        <f>HYPERLINK("https://us2.cloudbeds.com/connect/10074733072513#/reservations/31692024869094?display=MHKHMRE9H&amp;reservation_id=31692024869094", "MHKHMRE9H")</f>
        <v>MHKHMRE9H</v>
      </c>
      <c r="B4833" t="s">
        <v>1598</v>
      </c>
      <c r="C4833">
        <v>134.1</v>
      </c>
      <c r="D4833">
        <v>145.76</v>
      </c>
      <c r="E4833">
        <v>145.77000000000001</v>
      </c>
      <c r="F4833">
        <v>-0.01</v>
      </c>
    </row>
    <row r="4834" spans="1:6" x14ac:dyDescent="0.3">
      <c r="A4834" t="str">
        <f>HYPERLINK("https://us2.cloudbeds.com/connect/10074733072513#/reservations/31694253220054?display=MHM8KRJ86&amp;reservation_id=31694253220054", "MHM8KRJ86")</f>
        <v>MHM8KRJ86</v>
      </c>
      <c r="B4834" t="s">
        <v>1315</v>
      </c>
      <c r="C4834">
        <v>224.1</v>
      </c>
      <c r="D4834">
        <v>243.59</v>
      </c>
      <c r="E4834">
        <v>243.6</v>
      </c>
      <c r="F4834">
        <v>-0.01</v>
      </c>
    </row>
    <row r="4835" spans="1:6" x14ac:dyDescent="0.3">
      <c r="A4835" t="str">
        <f>HYPERLINK("https://us2.cloudbeds.com/connect/10074733072513#/reservations/31734587461838?display=MXKG8ZAG7&amp;reservation_id=31734587461838", "MXKG8ZAG7")</f>
        <v>MXKG8ZAG7</v>
      </c>
      <c r="B4835" t="s">
        <v>1510</v>
      </c>
      <c r="C4835">
        <v>170.1</v>
      </c>
      <c r="D4835">
        <v>184.89</v>
      </c>
      <c r="E4835">
        <v>184.9</v>
      </c>
      <c r="F4835">
        <v>-0.01</v>
      </c>
    </row>
    <row r="4836" spans="1:6" x14ac:dyDescent="0.3">
      <c r="A4836" t="str">
        <f>HYPERLINK("https://us2.cloudbeds.com/connect/10074733072513#/reservations/31694041178258?display=MHM3716S7&amp;reservation_id=31694041178258", "MHM3716S7")</f>
        <v>MHM3716S7</v>
      </c>
      <c r="B4836" t="s">
        <v>1314</v>
      </c>
      <c r="C4836">
        <v>183.2</v>
      </c>
      <c r="D4836">
        <v>199.13</v>
      </c>
      <c r="E4836">
        <v>199.14</v>
      </c>
      <c r="F4836">
        <v>-0.01</v>
      </c>
    </row>
    <row r="4837" spans="1:6" x14ac:dyDescent="0.3">
      <c r="A4837" t="str">
        <f>HYPERLINK("https://us2.cloudbeds.com/connect/10074733072513#/reservations/31731132862607?display=MXHQWZ021&amp;reservation_id=31731132862607", "MXHQWZ021")</f>
        <v>MXHQWZ021</v>
      </c>
      <c r="B4837" t="s">
        <v>1600</v>
      </c>
      <c r="C4837">
        <v>376.2</v>
      </c>
      <c r="D4837">
        <v>408.92</v>
      </c>
      <c r="E4837">
        <v>408.93</v>
      </c>
      <c r="F4837">
        <v>-0.01</v>
      </c>
    </row>
    <row r="4838" spans="1:6" x14ac:dyDescent="0.3">
      <c r="A4838" t="str">
        <f>HYPERLINK("https://us2.cloudbeds.com/connect/10074733072513#/reservations/31691682529484?display=MHK8V5ARV&amp;reservation_id=31691682529484", "MHK8V5ARV")</f>
        <v>MHK8V5ARV</v>
      </c>
      <c r="B4838" t="s">
        <v>1529</v>
      </c>
      <c r="C4838">
        <v>170.1</v>
      </c>
      <c r="D4838">
        <v>184.89</v>
      </c>
      <c r="E4838">
        <v>184.9</v>
      </c>
      <c r="F4838">
        <v>-0.01</v>
      </c>
    </row>
    <row r="4839" spans="1:6" x14ac:dyDescent="0.3">
      <c r="A4839" t="str">
        <f>HYPERLINK("https://us2.cloudbeds.com/connect/10074733072513#/reservations/31736131227804?display=MXYMNFT32&amp;reservation_id=31736131227804", "MXYMNFT32")</f>
        <v>MXYMNFT32</v>
      </c>
      <c r="B4839" t="s">
        <v>1579</v>
      </c>
      <c r="C4839">
        <v>304.2</v>
      </c>
      <c r="D4839">
        <v>330.66</v>
      </c>
      <c r="E4839">
        <v>330.67</v>
      </c>
      <c r="F4839">
        <v>-0.01</v>
      </c>
    </row>
    <row r="4840" spans="1:6" x14ac:dyDescent="0.3">
      <c r="A4840" t="str">
        <f>HYPERLINK("https://us2.cloudbeds.com/connect/10074733072513#/reservations/31734137372832?display=MXK4P6UKE&amp;reservation_id=31734137372832", "MXK4P6UKE")</f>
        <v>MXK4P6UKE</v>
      </c>
      <c r="B4840" t="s">
        <v>1579</v>
      </c>
      <c r="C4840">
        <v>304.2</v>
      </c>
      <c r="D4840">
        <v>330.66</v>
      </c>
      <c r="E4840">
        <v>330.67</v>
      </c>
      <c r="F4840">
        <v>-0.01</v>
      </c>
    </row>
    <row r="4841" spans="1:6" x14ac:dyDescent="0.3">
      <c r="A4841" t="str">
        <f>HYPERLINK("https://us2.cloudbeds.com/connect/10074733072513#/reservations/31734147399934?display=MXK50YV80&amp;reservation_id=31734147399934", "MXK50YV80")</f>
        <v>MXK50YV80</v>
      </c>
      <c r="B4841" t="s">
        <v>1579</v>
      </c>
      <c r="C4841">
        <v>304.2</v>
      </c>
      <c r="D4841">
        <v>330.66</v>
      </c>
      <c r="E4841">
        <v>330.67</v>
      </c>
      <c r="F4841">
        <v>-0.01</v>
      </c>
    </row>
    <row r="4842" spans="1:6" x14ac:dyDescent="0.3">
      <c r="A4842" t="str">
        <f>HYPERLINK("https://us2.cloudbeds.com/connect/10074733072513#/reservations/31734151442591?display=MXK542EGP&amp;reservation_id=31734151442591", "MXK542EGP")</f>
        <v>MXK542EGP</v>
      </c>
      <c r="B4842" t="s">
        <v>1579</v>
      </c>
      <c r="C4842">
        <v>304.2</v>
      </c>
      <c r="D4842">
        <v>330.66</v>
      </c>
      <c r="E4842">
        <v>330.67</v>
      </c>
      <c r="F4842">
        <v>-0.01</v>
      </c>
    </row>
    <row r="4843" spans="1:6" x14ac:dyDescent="0.3">
      <c r="A4843" t="str">
        <f>HYPERLINK("https://us2.cloudbeds.com/connect/10074733072513#/reservations/31734163050750?display=MXK5DSEW5&amp;reservation_id=31734163050750", "MXK5DSEW5")</f>
        <v>MXK5DSEW5</v>
      </c>
      <c r="B4843" t="s">
        <v>1579</v>
      </c>
      <c r="C4843">
        <v>304.2</v>
      </c>
      <c r="D4843">
        <v>330.66</v>
      </c>
      <c r="E4843">
        <v>330.67</v>
      </c>
      <c r="F4843">
        <v>-0.01</v>
      </c>
    </row>
    <row r="4844" spans="1:6" x14ac:dyDescent="0.3">
      <c r="A4844" t="str">
        <f>HYPERLINK("https://us2.cloudbeds.com/connect/10074733072513#/reservations/31736157044972?display=MXYNC89AG&amp;reservation_id=31736157044972", "MXYNC89AG")</f>
        <v>MXYNC89AG</v>
      </c>
      <c r="B4844" t="s">
        <v>1579</v>
      </c>
      <c r="C4844">
        <v>304.2</v>
      </c>
      <c r="D4844">
        <v>330.66</v>
      </c>
      <c r="E4844">
        <v>330.67</v>
      </c>
      <c r="F4844">
        <v>-0.01</v>
      </c>
    </row>
    <row r="4845" spans="1:6" x14ac:dyDescent="0.3">
      <c r="A4845" t="str">
        <f>HYPERLINK("https://us2.cloudbeds.com/connect/10074733072513#/reservations/31696215158978?display=MHNPP6E1S&amp;reservation_id=31696215158978", "MHNPP6E1S")</f>
        <v>MHNPP6E1S</v>
      </c>
      <c r="B4845" t="s">
        <v>1508</v>
      </c>
      <c r="C4845">
        <v>334.4</v>
      </c>
      <c r="D4845">
        <v>363.48</v>
      </c>
      <c r="E4845">
        <v>363.49</v>
      </c>
      <c r="F4845">
        <v>-0.01</v>
      </c>
    </row>
    <row r="4846" spans="1:6" x14ac:dyDescent="0.3">
      <c r="A4846" t="str">
        <f>HYPERLINK("https://us2.cloudbeds.com/connect/10074733072513#/reservations/31736087773334?display=MXYYJRMWV&amp;reservation_id=31736087773334", "MXYYJRMWV")</f>
        <v>MXYYJRMWV</v>
      </c>
      <c r="B4846" t="s">
        <v>1579</v>
      </c>
      <c r="C4846">
        <v>304.2</v>
      </c>
      <c r="D4846">
        <v>330.66</v>
      </c>
      <c r="E4846">
        <v>330.67</v>
      </c>
      <c r="F4846">
        <v>-0.01</v>
      </c>
    </row>
    <row r="4847" spans="1:6" x14ac:dyDescent="0.3">
      <c r="A4847" t="str">
        <f>HYPERLINK("https://us2.cloudbeds.com/connect/10074733072513#/reservations/31696029982924?display=MHNY11KP9&amp;reservation_id=31696029982924", "MHNY11KP9")</f>
        <v>MHNY11KP9</v>
      </c>
      <c r="B4847" t="s">
        <v>1508</v>
      </c>
      <c r="C4847">
        <v>224.1</v>
      </c>
      <c r="D4847">
        <v>243.59</v>
      </c>
      <c r="E4847">
        <v>243.6</v>
      </c>
      <c r="F4847">
        <v>-0.01</v>
      </c>
    </row>
    <row r="4848" spans="1:6" x14ac:dyDescent="0.3">
      <c r="A4848" t="str">
        <f>HYPERLINK("https://us2.cloudbeds.com/connect/10074733072513#/reservations/31696236822688?display=MHNQAF88U&amp;reservation_id=31696236822688", "MHNQAF88U")</f>
        <v>MHNQAF88U</v>
      </c>
      <c r="B4848" t="s">
        <v>1529</v>
      </c>
      <c r="C4848">
        <v>170.1</v>
      </c>
      <c r="D4848">
        <v>184.89</v>
      </c>
      <c r="E4848">
        <v>184.9</v>
      </c>
      <c r="F4848">
        <v>-0.01</v>
      </c>
    </row>
    <row r="4849" spans="1:6" x14ac:dyDescent="0.3">
      <c r="A4849" t="str">
        <f>HYPERLINK("https://us2.cloudbeds.com/connect/10074733072513#/reservations/31696011788506?display=MHNKXNBA9&amp;reservation_id=31696011788506", "MHNKXNBA9")</f>
        <v>MHNKXNBA9</v>
      </c>
      <c r="B4849" t="s">
        <v>1508</v>
      </c>
      <c r="C4849">
        <v>224.1</v>
      </c>
      <c r="D4849">
        <v>243.59</v>
      </c>
      <c r="E4849">
        <v>243.6</v>
      </c>
      <c r="F4849">
        <v>-0.01</v>
      </c>
    </row>
    <row r="4850" spans="1:6" x14ac:dyDescent="0.3">
      <c r="A4850" t="str">
        <f>HYPERLINK("https://us2.cloudbeds.com/connect/10074733072513#/reservations/31733492560068?display=MXJY9G21N&amp;reservation_id=31733492560068", "MXJY9G21N")</f>
        <v>MXJY9G21N</v>
      </c>
      <c r="B4850" t="s">
        <v>1579</v>
      </c>
      <c r="C4850">
        <v>278.95999999999998</v>
      </c>
      <c r="D4850">
        <v>303.22000000000003</v>
      </c>
      <c r="E4850">
        <v>303.23</v>
      </c>
      <c r="F4850">
        <v>-0.01</v>
      </c>
    </row>
    <row r="4851" spans="1:6" x14ac:dyDescent="0.3">
      <c r="A4851" t="str">
        <f>HYPERLINK("https://us2.cloudbeds.com/connect/10074733072513#/reservations/31695262617799?display=MHN1DWXJY&amp;reservation_id=31695262617799", "MHN1DWXJY")</f>
        <v>MHN1DWXJY</v>
      </c>
      <c r="B4851" t="s">
        <v>1575</v>
      </c>
      <c r="C4851">
        <v>134.1</v>
      </c>
      <c r="D4851">
        <v>145.76</v>
      </c>
      <c r="E4851">
        <v>145.77000000000001</v>
      </c>
      <c r="F4851">
        <v>-0.01</v>
      </c>
    </row>
    <row r="4852" spans="1:6" x14ac:dyDescent="0.3">
      <c r="A4852" t="str">
        <f>HYPERLINK("https://us2.cloudbeds.com/connect/10074733072513#/reservations/31733440229527?display=MXJJVBT9Z&amp;reservation_id=31733440229527", "MXJJVBT9Z")</f>
        <v>MXJJVBT9Z</v>
      </c>
      <c r="B4852" t="s">
        <v>1579</v>
      </c>
      <c r="C4852">
        <v>376.2</v>
      </c>
      <c r="D4852">
        <v>408.92</v>
      </c>
      <c r="E4852">
        <v>408.93</v>
      </c>
      <c r="F4852">
        <v>-0.01</v>
      </c>
    </row>
    <row r="4853" spans="1:6" x14ac:dyDescent="0.3">
      <c r="A4853" t="str">
        <f>HYPERLINK("https://us2.cloudbeds.com/connect/10074733072513#/reservations/31734124765410?display=MXK4EJ3XB&amp;reservation_id=31734124765410", "MXK4EJ3XB")</f>
        <v>MXK4EJ3XB</v>
      </c>
      <c r="B4853" t="s">
        <v>1601</v>
      </c>
      <c r="C4853">
        <v>277.2</v>
      </c>
      <c r="D4853">
        <v>301.31</v>
      </c>
      <c r="E4853">
        <v>301.32</v>
      </c>
      <c r="F4853">
        <v>-0.01</v>
      </c>
    </row>
    <row r="4854" spans="1:6" x14ac:dyDescent="0.3">
      <c r="A4854" t="str">
        <f>HYPERLINK("https://us2.cloudbeds.com/connect/10074733072513#/reservations/31691804889237?display=MHKC2B5J8&amp;reservation_id=31691804889237", "MHKC2B5J8")</f>
        <v>MHKC2B5J8</v>
      </c>
      <c r="B4854" t="s">
        <v>1557</v>
      </c>
      <c r="C4854">
        <v>134.1</v>
      </c>
      <c r="D4854">
        <v>145.76</v>
      </c>
      <c r="E4854">
        <v>145.77000000000001</v>
      </c>
      <c r="F4854">
        <v>-0.01</v>
      </c>
    </row>
    <row r="4855" spans="1:6" x14ac:dyDescent="0.3">
      <c r="A4855" t="str">
        <f>HYPERLINK("https://us2.cloudbeds.com/connect/10074733072513#/reservations/31735857365128?display=MXYFNX873&amp;reservation_id=31735857365128", "MXYFNX873")</f>
        <v>MXYFNX873</v>
      </c>
      <c r="B4855" t="s">
        <v>1565</v>
      </c>
      <c r="C4855">
        <v>170.1</v>
      </c>
      <c r="D4855">
        <v>184.89</v>
      </c>
      <c r="E4855">
        <v>184.9</v>
      </c>
      <c r="F4855">
        <v>-0.01</v>
      </c>
    </row>
    <row r="4856" spans="1:6" x14ac:dyDescent="0.3">
      <c r="A4856" t="str">
        <f>HYPERLINK("https://us2.cloudbeds.com/connect/10074733072513#/reservations/31696215163080?display=MHNPP6HR5&amp;reservation_id=31696215163080", "MHNPP6HR5")</f>
        <v>MHNPP6HR5</v>
      </c>
      <c r="B4856" t="s">
        <v>1529</v>
      </c>
      <c r="C4856">
        <v>134.1</v>
      </c>
      <c r="D4856">
        <v>145.76</v>
      </c>
      <c r="E4856">
        <v>145.77000000000001</v>
      </c>
      <c r="F4856">
        <v>-0.01</v>
      </c>
    </row>
    <row r="4857" spans="1:6" x14ac:dyDescent="0.3">
      <c r="A4857" t="str">
        <f>HYPERLINK("https://us2.cloudbeds.com/connect/10074733072513#/reservations/31733746245763?display=MXJRPD7V0&amp;reservation_id=31733746245763", "MXJRPD7V0")</f>
        <v>MXJRPD7V0</v>
      </c>
      <c r="B4857" t="s">
        <v>1510</v>
      </c>
      <c r="C4857">
        <v>319.45999999999998</v>
      </c>
      <c r="D4857">
        <v>347.24</v>
      </c>
      <c r="E4857">
        <v>347.25</v>
      </c>
      <c r="F4857">
        <v>-0.01</v>
      </c>
    </row>
    <row r="4858" spans="1:6" x14ac:dyDescent="0.3">
      <c r="A4858" t="str">
        <f>HYPERLINK("https://us2.cloudbeds.com/connect/10074733072513#/reservations/31696120824023?display=MHNNBYDZS&amp;reservation_id=31696120824023", "MHNNBYDZS")</f>
        <v>MHNNBYDZS</v>
      </c>
      <c r="B4858" t="s">
        <v>1508</v>
      </c>
      <c r="C4858">
        <v>154.24</v>
      </c>
      <c r="D4858">
        <v>167.65</v>
      </c>
      <c r="E4858">
        <v>167.66</v>
      </c>
      <c r="F4858">
        <v>-0.01</v>
      </c>
    </row>
    <row r="4859" spans="1:6" x14ac:dyDescent="0.3">
      <c r="A4859" t="str">
        <f>HYPERLINK("https://us2.cloudbeds.com/connect/10074733072513#/reservations/31731950342372?display=MXXET1J64&amp;reservation_id=31731950342372", "MXXET1J64")</f>
        <v>MXXET1J64</v>
      </c>
      <c r="B4859" t="s">
        <v>1577</v>
      </c>
      <c r="C4859">
        <v>129.6</v>
      </c>
      <c r="D4859">
        <v>140.87</v>
      </c>
      <c r="E4859">
        <v>140.88</v>
      </c>
      <c r="F4859">
        <v>-0.01</v>
      </c>
    </row>
    <row r="4860" spans="1:6" x14ac:dyDescent="0.3">
      <c r="A4860" t="str">
        <f>HYPERLINK("https://us2.cloudbeds.com/connect/10074733072513#/reservations/31696298918100?display=MHNRTR4S2&amp;reservation_id=31696298918100", "MHNRTR4S2")</f>
        <v>MHNRTR4S2</v>
      </c>
      <c r="B4860" t="s">
        <v>1529</v>
      </c>
      <c r="C4860">
        <v>170.1</v>
      </c>
      <c r="D4860">
        <v>184.89</v>
      </c>
      <c r="E4860">
        <v>184.9</v>
      </c>
      <c r="F4860">
        <v>-0.01</v>
      </c>
    </row>
    <row r="4861" spans="1:6" x14ac:dyDescent="0.3">
      <c r="A4861" t="str">
        <f>HYPERLINK("https://us2.cloudbeds.com/connect/10074733072513#/reservations/31729798463720?display=MXGPTHCZ4&amp;reservation_id=31729798463720", "MXGPTHCZ4")</f>
        <v>MXGPTHCZ4</v>
      </c>
      <c r="B4861" t="s">
        <v>1601</v>
      </c>
      <c r="C4861">
        <v>250.2</v>
      </c>
      <c r="D4861">
        <v>271.95999999999998</v>
      </c>
      <c r="E4861">
        <v>271.97000000000003</v>
      </c>
      <c r="F4861">
        <v>-0.01</v>
      </c>
    </row>
    <row r="4862" spans="1:6" x14ac:dyDescent="0.3">
      <c r="A4862" t="str">
        <f>HYPERLINK("https://us2.cloudbeds.com/connect/10074733072513#/reservations/31691385757825?display=MHK15KM1N&amp;reservation_id=31691385757825", "MHK15KM1N")</f>
        <v>MHK15KM1N</v>
      </c>
      <c r="B4862" t="s">
        <v>1544</v>
      </c>
      <c r="C4862">
        <v>250.2</v>
      </c>
      <c r="D4862">
        <v>271.95999999999998</v>
      </c>
      <c r="E4862">
        <v>271.97000000000003</v>
      </c>
      <c r="F4862">
        <v>-0.01</v>
      </c>
    </row>
    <row r="4863" spans="1:6" x14ac:dyDescent="0.3">
      <c r="A4863" t="str">
        <f>HYPERLINK("https://us2.cloudbeds.com/connect/10074733072513#/reservations/31693781532805?display=MHYTJ3696&amp;reservation_id=31693781532805", "MHYTJ3696")</f>
        <v>MHYTJ3696</v>
      </c>
      <c r="B4863" t="s">
        <v>1529</v>
      </c>
      <c r="C4863">
        <v>170.1</v>
      </c>
      <c r="D4863">
        <v>184.89</v>
      </c>
      <c r="E4863">
        <v>184.9</v>
      </c>
      <c r="F4863">
        <v>-0.01</v>
      </c>
    </row>
    <row r="4864" spans="1:6" x14ac:dyDescent="0.3">
      <c r="A4864" t="str">
        <f>HYPERLINK("https://us2.cloudbeds.com/connect/10074733072513#/reservations/31733377978569?display=MXJXBSYT2&amp;reservation_id=31733377978569", "MXJXBSYT2")</f>
        <v>MXJXBSYT2</v>
      </c>
      <c r="B4864" t="s">
        <v>1602</v>
      </c>
      <c r="C4864">
        <v>170.1</v>
      </c>
      <c r="D4864">
        <v>184.89</v>
      </c>
      <c r="E4864">
        <v>184.9</v>
      </c>
      <c r="F4864">
        <v>-0.01</v>
      </c>
    </row>
    <row r="4865" spans="1:6" x14ac:dyDescent="0.3">
      <c r="A4865" t="str">
        <f>HYPERLINK("https://us2.cloudbeds.com/connect/10074733072513#/reservations/31732183081134?display=MXXKR9T1T&amp;reservation_id=31732183081134", "MXXKR9T1T")</f>
        <v>MXXKR9T1T</v>
      </c>
      <c r="B4865" t="s">
        <v>1605</v>
      </c>
      <c r="C4865">
        <v>268.2</v>
      </c>
      <c r="D4865">
        <v>291.52</v>
      </c>
      <c r="E4865">
        <v>291.52999999999997</v>
      </c>
      <c r="F4865">
        <v>-0.01</v>
      </c>
    </row>
    <row r="4866" spans="1:6" x14ac:dyDescent="0.3">
      <c r="A4866" t="str">
        <f>HYPERLINK("https://us2.cloudbeds.com/connect/10074733072513#/reservations/31735293325472?display=MXY19V0FA&amp;reservation_id=31735293325472", "MXY19V0FA")</f>
        <v>MXY19V0FA</v>
      </c>
      <c r="B4866" t="s">
        <v>1603</v>
      </c>
      <c r="C4866">
        <v>182.36</v>
      </c>
      <c r="D4866">
        <v>198.22</v>
      </c>
      <c r="E4866">
        <v>198.23</v>
      </c>
      <c r="F4866">
        <v>-0.01</v>
      </c>
    </row>
    <row r="4867" spans="1:6" x14ac:dyDescent="0.3">
      <c r="A4867" t="str">
        <f>HYPERLINK("https://us2.cloudbeds.com/connect/10074733072513#/reservations/31733892501672?display=MXJVGZ0T8&amp;reservation_id=31733892501672", "MXJVGZ0T8")</f>
        <v>MXJVGZ0T8</v>
      </c>
      <c r="B4867" t="s">
        <v>1401</v>
      </c>
      <c r="C4867">
        <v>170.1</v>
      </c>
      <c r="D4867">
        <v>184.89</v>
      </c>
      <c r="E4867">
        <v>184.9</v>
      </c>
      <c r="F4867">
        <v>-0.01</v>
      </c>
    </row>
    <row r="4868" spans="1:6" x14ac:dyDescent="0.3">
      <c r="A4868" t="str">
        <f>HYPERLINK("https://us2.cloudbeds.com/connect/10074733072513#/reservations/31732173873365?display=MXXKJHYQJ&amp;reservation_id=31732173873365", "MXXKJHYQJ")</f>
        <v>MXXKJHYQJ</v>
      </c>
      <c r="B4868" t="s">
        <v>1612</v>
      </c>
      <c r="C4868">
        <v>134.1</v>
      </c>
      <c r="D4868">
        <v>145.76</v>
      </c>
      <c r="E4868">
        <v>145.77000000000001</v>
      </c>
      <c r="F4868">
        <v>-0.01</v>
      </c>
    </row>
    <row r="4869" spans="1:6" x14ac:dyDescent="0.3">
      <c r="A4869" t="str">
        <f>HYPERLINK("https://us2.cloudbeds.com/connect/10074733072513#/reservations/31735439900895?display=MXY51HMQQ&amp;reservation_id=31735439900895", "MXY51HMQQ")</f>
        <v>MXY51HMQQ</v>
      </c>
      <c r="B4869" t="s">
        <v>1613</v>
      </c>
      <c r="C4869">
        <v>259.2</v>
      </c>
      <c r="D4869">
        <v>281.74</v>
      </c>
      <c r="E4869">
        <v>281.75</v>
      </c>
      <c r="F4869">
        <v>-0.01</v>
      </c>
    </row>
    <row r="4870" spans="1:6" x14ac:dyDescent="0.3">
      <c r="A4870" t="str">
        <f>HYPERLINK("https://us2.cloudbeds.com/connect/10074733072513#/reservations/31729680720027?display=MXGMT7WQE&amp;reservation_id=31729680720027", "MXGMT7WQE")</f>
        <v>MXGMT7WQE</v>
      </c>
      <c r="B4870" t="s">
        <v>1601</v>
      </c>
      <c r="C4870">
        <v>103.2</v>
      </c>
      <c r="D4870">
        <v>112.17</v>
      </c>
      <c r="E4870">
        <v>112.18</v>
      </c>
      <c r="F4870">
        <v>-0.01</v>
      </c>
    </row>
    <row r="4871" spans="1:6" x14ac:dyDescent="0.3">
      <c r="A4871" t="str">
        <f>HYPERLINK("https://us2.cloudbeds.com/connect/10074733072513#/reservations/31735450058893?display=MXY5A3BKU&amp;reservation_id=31735450058893", "MXY5A3BKU")</f>
        <v>MXY5A3BKU</v>
      </c>
      <c r="B4871" t="s">
        <v>1613</v>
      </c>
      <c r="C4871">
        <v>259.2</v>
      </c>
      <c r="D4871">
        <v>281.74</v>
      </c>
      <c r="E4871">
        <v>281.75</v>
      </c>
      <c r="F4871">
        <v>-0.01</v>
      </c>
    </row>
    <row r="4872" spans="1:6" x14ac:dyDescent="0.3">
      <c r="A4872" t="str">
        <f>HYPERLINK("https://us2.cloudbeds.com/connect/10074733072513#/reservations/31731637747917?display=MXX6TF5UT&amp;reservation_id=31731637747917", "MXX6TF5UT")</f>
        <v>MXX6TF5UT</v>
      </c>
      <c r="B4872" t="s">
        <v>1510</v>
      </c>
      <c r="C4872">
        <v>224.1</v>
      </c>
      <c r="D4872">
        <v>243.59</v>
      </c>
      <c r="E4872">
        <v>243.6</v>
      </c>
      <c r="F4872">
        <v>-0.01</v>
      </c>
    </row>
    <row r="4873" spans="1:6" x14ac:dyDescent="0.3">
      <c r="A4873" t="str">
        <f>HYPERLINK("https://us2.cloudbeds.com/connect/10074733072513#/reservations/31734217289963?display=MXK6QJZDM&amp;reservation_id=31734217289963", "MXK6QJZDM")</f>
        <v>MXK6QJZDM</v>
      </c>
      <c r="B4873" t="s">
        <v>1601</v>
      </c>
      <c r="C4873">
        <v>134.1</v>
      </c>
      <c r="D4873">
        <v>145.76</v>
      </c>
      <c r="E4873">
        <v>145.77000000000001</v>
      </c>
      <c r="F4873">
        <v>-0.01</v>
      </c>
    </row>
    <row r="4874" spans="1:6" x14ac:dyDescent="0.3">
      <c r="A4874" t="str">
        <f>HYPERLINK("https://us2.cloudbeds.com/connect/10074733072513#/reservations/31735805952204?display=MXYED6K2N&amp;reservation_id=31735805952204", "MXYED6K2N")</f>
        <v>MXYED6K2N</v>
      </c>
      <c r="B4874" t="s">
        <v>1401</v>
      </c>
      <c r="C4874">
        <v>376.2</v>
      </c>
      <c r="D4874">
        <v>408.92</v>
      </c>
      <c r="E4874">
        <v>408.93</v>
      </c>
      <c r="F4874">
        <v>-0.01</v>
      </c>
    </row>
    <row r="4875" spans="1:6" x14ac:dyDescent="0.3">
      <c r="A4875" t="str">
        <f>HYPERLINK("https://us2.cloudbeds.com/connect/10074733072513#/reservations/31733170581664?display=MXJD1WHPC&amp;reservation_id=31733170581664", "MXJD1WHPC")</f>
        <v>MXJD1WHPC</v>
      </c>
      <c r="B4875" t="s">
        <v>1590</v>
      </c>
      <c r="C4875">
        <v>129.6</v>
      </c>
      <c r="D4875">
        <v>140.87</v>
      </c>
      <c r="E4875">
        <v>140.88</v>
      </c>
      <c r="F4875">
        <v>-0.01</v>
      </c>
    </row>
    <row r="4876" spans="1:6" x14ac:dyDescent="0.3">
      <c r="A4876" t="str">
        <f>HYPERLINK("https://us2.cloudbeds.com/connect/10074733072513#/reservations/31733386113165?display=MXJXXZ0YW&amp;reservation_id=31733386113165", "MXJXXZ0YW")</f>
        <v>MXJXXZ0YW</v>
      </c>
      <c r="B4876" t="s">
        <v>1608</v>
      </c>
      <c r="C4876">
        <v>154.24</v>
      </c>
      <c r="D4876">
        <v>167.65</v>
      </c>
      <c r="E4876">
        <v>167.66</v>
      </c>
      <c r="F4876">
        <v>-0.01</v>
      </c>
    </row>
    <row r="4877" spans="1:6" x14ac:dyDescent="0.3">
      <c r="A4877" t="str">
        <f>HYPERLINK("https://us2.cloudbeds.com/connect/10074733072513#/reservations/31735771250883?display=MXYDGUWPH&amp;reservation_id=31735771250883", "MXYDGUWPH")</f>
        <v>MXYDGUWPH</v>
      </c>
      <c r="B4877" t="s">
        <v>1608</v>
      </c>
      <c r="C4877">
        <v>154.24</v>
      </c>
      <c r="D4877">
        <v>167.65</v>
      </c>
      <c r="E4877">
        <v>167.66</v>
      </c>
      <c r="F4877">
        <v>-0.01</v>
      </c>
    </row>
    <row r="4878" spans="1:6" x14ac:dyDescent="0.3">
      <c r="A4878" t="str">
        <f>HYPERLINK("https://us2.cloudbeds.com/connect/10074733072513#/reservations/31734439067848?display=MXKCFK16Y&amp;reservation_id=31734439067848", "MXKCFK16Y")</f>
        <v>MXKCFK16Y</v>
      </c>
      <c r="B4878" t="s">
        <v>1608</v>
      </c>
      <c r="C4878">
        <v>154.24</v>
      </c>
      <c r="D4878">
        <v>167.65</v>
      </c>
      <c r="E4878">
        <v>167.66</v>
      </c>
      <c r="F4878">
        <v>-0.01</v>
      </c>
    </row>
    <row r="4879" spans="1:6" x14ac:dyDescent="0.3">
      <c r="A4879" t="str">
        <f>HYPERLINK("https://us2.cloudbeds.com/connect/10074733072513#/reservations/31733421121696?display=MXJJF862X&amp;reservation_id=31733421121696", "MXJJF862X")</f>
        <v>MXJJF862X</v>
      </c>
      <c r="B4879" t="s">
        <v>1608</v>
      </c>
      <c r="C4879">
        <v>154.24</v>
      </c>
      <c r="D4879">
        <v>167.65</v>
      </c>
      <c r="E4879">
        <v>167.66</v>
      </c>
      <c r="F4879">
        <v>-0.01</v>
      </c>
    </row>
    <row r="4880" spans="1:6" x14ac:dyDescent="0.3">
      <c r="A4880" t="str">
        <f>HYPERLINK("https://us2.cloudbeds.com/connect/10074733072513#/reservations/31733402357992?display=MXJXWE1SF&amp;reservation_id=31733402357992", "MXJXWE1SF")</f>
        <v>MXJXWE1SF</v>
      </c>
      <c r="B4880" t="s">
        <v>1608</v>
      </c>
      <c r="C4880">
        <v>154.24</v>
      </c>
      <c r="D4880">
        <v>167.65</v>
      </c>
      <c r="E4880">
        <v>167.66</v>
      </c>
      <c r="F4880">
        <v>-0.01</v>
      </c>
    </row>
    <row r="4881" spans="1:6" x14ac:dyDescent="0.3">
      <c r="A4881" t="str">
        <f>HYPERLINK("https://us2.cloudbeds.com/connect/10074733072513#/reservations/31731788681403?display=MXXAZZ45T&amp;reservation_id=31731788681403", "MXXAZZ45T")</f>
        <v>MXXAZZ45T</v>
      </c>
      <c r="B4881" t="s">
        <v>1614</v>
      </c>
      <c r="C4881">
        <v>129.6</v>
      </c>
      <c r="D4881">
        <v>140.87</v>
      </c>
      <c r="E4881">
        <v>140.88</v>
      </c>
      <c r="F4881">
        <v>-0.01</v>
      </c>
    </row>
    <row r="4882" spans="1:6" x14ac:dyDescent="0.3">
      <c r="A4882" t="str">
        <f>HYPERLINK("https://us2.cloudbeds.com/connect/10074733072513#/reservations/31733062078693?display=MXJA9G9BX&amp;reservation_id=31733062078693", "MXJA9G9BX")</f>
        <v>MXJA9G9BX</v>
      </c>
      <c r="B4882" t="s">
        <v>1606</v>
      </c>
      <c r="C4882">
        <v>106.27</v>
      </c>
      <c r="D4882">
        <v>115.51</v>
      </c>
      <c r="E4882">
        <v>115.52</v>
      </c>
      <c r="F4882">
        <v>-0.01</v>
      </c>
    </row>
    <row r="4883" spans="1:6" x14ac:dyDescent="0.3">
      <c r="A4883" t="str">
        <f>HYPERLINK("https://us2.cloudbeds.com/connect/10074733072513#/reservations/31733336527102?display=MXJH9U730&amp;reservation_id=31733336527102", "MXJH9U730")</f>
        <v>MXJH9U730</v>
      </c>
      <c r="B4883" t="s">
        <v>1602</v>
      </c>
      <c r="C4883">
        <v>154.24</v>
      </c>
      <c r="D4883">
        <v>167.65</v>
      </c>
      <c r="E4883">
        <v>167.66</v>
      </c>
      <c r="F4883">
        <v>-0.01</v>
      </c>
    </row>
    <row r="4884" spans="1:6" x14ac:dyDescent="0.3">
      <c r="A4884" t="str">
        <f>HYPERLINK("https://us2.cloudbeds.com/connect/10074733072513#/reservations/31736144232683?display=MXYN1EP4A&amp;reservation_id=31736144232683", "MXYN1EP4A")</f>
        <v>MXYN1EP4A</v>
      </c>
      <c r="B4884" t="s">
        <v>1606</v>
      </c>
      <c r="C4884">
        <v>106.27</v>
      </c>
      <c r="D4884">
        <v>115.51</v>
      </c>
      <c r="E4884">
        <v>115.52</v>
      </c>
      <c r="F4884">
        <v>-0.01</v>
      </c>
    </row>
    <row r="4885" spans="1:6" x14ac:dyDescent="0.3">
      <c r="A4885" t="str">
        <f>HYPERLINK("https://us2.cloudbeds.com/connect/10074733072513#/reservations/31733011251381?display=MXJ8WKUVW&amp;reservation_id=31733011251381", "MXJ8WKUVW")</f>
        <v>MXJ8WKUVW</v>
      </c>
      <c r="B4885" t="s">
        <v>1606</v>
      </c>
      <c r="C4885">
        <v>106.27</v>
      </c>
      <c r="D4885">
        <v>115.51</v>
      </c>
      <c r="E4885">
        <v>115.52</v>
      </c>
      <c r="F4885">
        <v>-0.01</v>
      </c>
    </row>
    <row r="4886" spans="1:6" x14ac:dyDescent="0.3">
      <c r="A4886" t="str">
        <f>HYPERLINK("https://us2.cloudbeds.com/connect/10074733072513#/reservations/31736040476807?display=MXYKCVJRS&amp;reservation_id=31736040476807", "MXYKCVJRS")</f>
        <v>MXYKCVJRS</v>
      </c>
      <c r="B4886" t="s">
        <v>1449</v>
      </c>
      <c r="C4886">
        <v>464</v>
      </c>
      <c r="D4886">
        <v>504.36</v>
      </c>
      <c r="E4886">
        <v>504.37</v>
      </c>
      <c r="F4886">
        <v>-0.01</v>
      </c>
    </row>
    <row r="4887" spans="1:6" x14ac:dyDescent="0.3">
      <c r="A4887" t="str">
        <f>HYPERLINK("https://us2.cloudbeds.com/connect/10074733072513#/reservations/31734819287191?display=MXKM676JU&amp;reservation_id=31734819287191", "MXKM676JU")</f>
        <v>MXKM676JU</v>
      </c>
      <c r="B4887" t="s">
        <v>1608</v>
      </c>
      <c r="C4887">
        <v>154.24</v>
      </c>
      <c r="D4887">
        <v>167.65</v>
      </c>
      <c r="E4887">
        <v>167.66</v>
      </c>
      <c r="F4887">
        <v>-0.01</v>
      </c>
    </row>
    <row r="4888" spans="1:6" x14ac:dyDescent="0.3">
      <c r="A4888" t="str">
        <f>HYPERLINK("https://us2.cloudbeds.com/connect/10074733072513#/reservations/31731829133503?display=MXXBPRP93&amp;reservation_id=31731829133503", "MXXBPRP93")</f>
        <v>MXXBPRP93</v>
      </c>
      <c r="B4888" t="s">
        <v>1344</v>
      </c>
      <c r="C4888">
        <v>224.1</v>
      </c>
      <c r="D4888">
        <v>243.59</v>
      </c>
      <c r="E4888">
        <v>243.6</v>
      </c>
      <c r="F4888">
        <v>-0.01</v>
      </c>
    </row>
    <row r="4889" spans="1:6" x14ac:dyDescent="0.3">
      <c r="A4889" t="str">
        <f>HYPERLINK("https://us2.cloudbeds.com/connect/10074733072513#/reservations/31733516230802?display=MXJYTEZ8M&amp;reservation_id=31733516230802", "MXJYTEZ8M")</f>
        <v>MXJYTEZ8M</v>
      </c>
      <c r="B4889" t="s">
        <v>1449</v>
      </c>
      <c r="C4889">
        <v>106.27</v>
      </c>
      <c r="D4889">
        <v>115.51</v>
      </c>
      <c r="E4889">
        <v>115.52</v>
      </c>
      <c r="F4889">
        <v>-0.01</v>
      </c>
    </row>
    <row r="4890" spans="1:6" x14ac:dyDescent="0.3">
      <c r="A4890" t="str">
        <f>HYPERLINK("https://us2.cloudbeds.com/connect/10074733072513#/reservations/31735828214001?display=MXYEVW2GK&amp;reservation_id=31735828214001", "MXYEVW2GK")</f>
        <v>MXYEVW2GK</v>
      </c>
      <c r="B4890" t="s">
        <v>1565</v>
      </c>
      <c r="C4890">
        <v>170.1</v>
      </c>
      <c r="D4890">
        <v>184.89</v>
      </c>
      <c r="E4890">
        <v>184.9</v>
      </c>
      <c r="F4890">
        <v>-0.01</v>
      </c>
    </row>
    <row r="4891" spans="1:6" x14ac:dyDescent="0.3">
      <c r="A4891" t="str">
        <f>HYPERLINK("https://us2.cloudbeds.com/connect/10074733072513#/reservations/31735199654019?display=MXKVTVFEE&amp;reservation_id=31735199654019", "MXKVTVFEE")</f>
        <v>MXKVTVFEE</v>
      </c>
      <c r="B4891" t="s">
        <v>1565</v>
      </c>
      <c r="C4891">
        <v>170.1</v>
      </c>
      <c r="D4891">
        <v>184.89</v>
      </c>
      <c r="E4891">
        <v>184.9</v>
      </c>
      <c r="F4891">
        <v>-0.01</v>
      </c>
    </row>
    <row r="4892" spans="1:6" x14ac:dyDescent="0.3">
      <c r="A4892" t="str">
        <f>HYPERLINK("https://us2.cloudbeds.com/connect/10074733072513#/reservations/31735920140481?display=MXYHAG25H&amp;reservation_id=31735920140481", "MXYHAG25H")</f>
        <v>MXYHAG25H</v>
      </c>
      <c r="B4892" t="s">
        <v>1449</v>
      </c>
      <c r="C4892">
        <v>129.6</v>
      </c>
      <c r="D4892">
        <v>140.87</v>
      </c>
      <c r="E4892">
        <v>140.88</v>
      </c>
      <c r="F4892">
        <v>-0.01</v>
      </c>
    </row>
    <row r="4893" spans="1:6" x14ac:dyDescent="0.3">
      <c r="A4893" t="str">
        <f>HYPERLINK("https://us2.cloudbeds.com/connect/10074733072513#/reservations/31735920144577?display=MXYHAG5UY&amp;reservation_id=31735920144577", "MXYHAG5UY")</f>
        <v>MXYHAG5UY</v>
      </c>
      <c r="B4893" t="s">
        <v>1449</v>
      </c>
      <c r="C4893">
        <v>106.27</v>
      </c>
      <c r="D4893">
        <v>115.51</v>
      </c>
      <c r="E4893">
        <v>115.52</v>
      </c>
      <c r="F4893">
        <v>-0.01</v>
      </c>
    </row>
    <row r="4894" spans="1:6" x14ac:dyDescent="0.3">
      <c r="A4894" t="str">
        <f>HYPERLINK("https://us2.cloudbeds.com/connect/10074733072513#/reservations/31733492560120?display=MXJY9G239&amp;reservation_id=31733492560120", "MXJY9G239")</f>
        <v>MXJY9G239</v>
      </c>
      <c r="B4894" t="s">
        <v>1449</v>
      </c>
      <c r="C4894">
        <v>106.27</v>
      </c>
      <c r="D4894">
        <v>115.51</v>
      </c>
      <c r="E4894">
        <v>115.52</v>
      </c>
      <c r="F4894">
        <v>-0.01</v>
      </c>
    </row>
    <row r="4895" spans="1:6" x14ac:dyDescent="0.3">
      <c r="A4895" t="str">
        <f>HYPERLINK("https://us2.cloudbeds.com/connect/10074733072513#/reservations/31735476633853?display=MXY5WGRNZ&amp;reservation_id=31735476633853", "MXY5WGRNZ")</f>
        <v>MXY5WGRNZ</v>
      </c>
      <c r="B4895" t="s">
        <v>1619</v>
      </c>
      <c r="C4895">
        <v>103.2</v>
      </c>
      <c r="D4895">
        <v>112.17</v>
      </c>
      <c r="E4895">
        <v>112.18</v>
      </c>
      <c r="F4895">
        <v>-0.01</v>
      </c>
    </row>
    <row r="4896" spans="1:6" x14ac:dyDescent="0.3">
      <c r="A4896" t="str">
        <f>HYPERLINK("https://us2.cloudbeds.com/connect/10074733072513#/reservations/31735433330907?display=MXY4SWSP8&amp;reservation_id=31735433330907", "MXY4SWSP8")</f>
        <v>MXY4SWSP8</v>
      </c>
      <c r="B4896" t="s">
        <v>1619</v>
      </c>
      <c r="C4896">
        <v>103.2</v>
      </c>
      <c r="D4896">
        <v>112.17</v>
      </c>
      <c r="E4896">
        <v>112.18</v>
      </c>
      <c r="F4896">
        <v>-0.01</v>
      </c>
    </row>
    <row r="4897" spans="1:6" x14ac:dyDescent="0.3">
      <c r="A4897" t="str">
        <f>HYPERLINK("https://us2.cloudbeds.com/connect/10074733072513#/reservations/31732842508474?display=MXJ4MBDQX&amp;reservation_id=31732842508474", "MXJ4MBDQX")</f>
        <v>MXJ4MBDQX</v>
      </c>
      <c r="B4897" t="s">
        <v>1580</v>
      </c>
      <c r="C4897">
        <v>170.1</v>
      </c>
      <c r="D4897">
        <v>184.89</v>
      </c>
      <c r="E4897">
        <v>184.9</v>
      </c>
      <c r="F4897">
        <v>-0.01</v>
      </c>
    </row>
    <row r="4898" spans="1:6" x14ac:dyDescent="0.3">
      <c r="A4898" t="str">
        <f>HYPERLINK("https://us2.cloudbeds.com/connect/10074733072513#/reservations/31733754949825?display=MXJRWZEYF&amp;reservation_id=31733754949825", "MXJRWZEYF")</f>
        <v>MXJRWZEYF</v>
      </c>
      <c r="B4898" t="s">
        <v>1537</v>
      </c>
      <c r="C4898">
        <v>170.1</v>
      </c>
      <c r="D4898">
        <v>184.89</v>
      </c>
      <c r="E4898">
        <v>184.9</v>
      </c>
      <c r="F4898">
        <v>-0.01</v>
      </c>
    </row>
    <row r="4899" spans="1:6" x14ac:dyDescent="0.3">
      <c r="A4899" t="str">
        <f>HYPERLINK("https://us2.cloudbeds.com/connect/10074733072513#/reservations/31735801389263?display=MXYE9BY1P&amp;reservation_id=31735801389263", "MXYE9BY1P")</f>
        <v>MXYE9BY1P</v>
      </c>
      <c r="B4899" t="s">
        <v>1565</v>
      </c>
      <c r="C4899">
        <v>224.1</v>
      </c>
      <c r="D4899">
        <v>243.59</v>
      </c>
      <c r="E4899">
        <v>243.6</v>
      </c>
      <c r="F4899">
        <v>-0.01</v>
      </c>
    </row>
    <row r="4900" spans="1:6" x14ac:dyDescent="0.3">
      <c r="A4900" t="str">
        <f>HYPERLINK("https://us2.cloudbeds.com/connect/10074733072513#/reservations/31735374745792?display=MXY320YKZ&amp;reservation_id=31735374745792", "MXY320YKZ")</f>
        <v>MXY320YKZ</v>
      </c>
      <c r="B4900" t="s">
        <v>1401</v>
      </c>
      <c r="C4900">
        <v>224.1</v>
      </c>
      <c r="D4900">
        <v>243.59</v>
      </c>
      <c r="E4900">
        <v>243.6</v>
      </c>
      <c r="F4900">
        <v>-0.01</v>
      </c>
    </row>
    <row r="4901" spans="1:6" x14ac:dyDescent="0.3">
      <c r="A4901" t="str">
        <f>HYPERLINK("https://us2.cloudbeds.com/connect/10074733072513#/reservations/31734861897982?display=MXKN94TW0&amp;reservation_id=31734861897982", "MXKN94TW0")</f>
        <v>MXKN94TW0</v>
      </c>
      <c r="B4901" t="s">
        <v>1581</v>
      </c>
      <c r="C4901">
        <v>170.1</v>
      </c>
      <c r="D4901">
        <v>184.89</v>
      </c>
      <c r="E4901">
        <v>184.9</v>
      </c>
      <c r="F4901">
        <v>-0.01</v>
      </c>
    </row>
    <row r="4902" spans="1:6" x14ac:dyDescent="0.3">
      <c r="A4902" t="str">
        <f>HYPERLINK("https://us2.cloudbeds.com/connect/10074733072513#/reservations/31732402401473?display=MXXQE7Q4P&amp;reservation_id=31732402401473", "MXXQE7Q4P")</f>
        <v>MXXQE7Q4P</v>
      </c>
      <c r="B4902" t="s">
        <v>1597</v>
      </c>
      <c r="C4902">
        <v>154.24</v>
      </c>
      <c r="D4902">
        <v>167.65</v>
      </c>
      <c r="E4902">
        <v>167.66</v>
      </c>
      <c r="F4902">
        <v>-0.01</v>
      </c>
    </row>
    <row r="4903" spans="1:6" x14ac:dyDescent="0.3">
      <c r="A4903" t="str">
        <f>HYPERLINK("https://us2.cloudbeds.com/connect/10074733072513#/reservations/31730356408452?display=MXH7500M8&amp;reservation_id=31730356408452", "MXH7500M8")</f>
        <v>MXH7500M8</v>
      </c>
      <c r="B4903" t="s">
        <v>1621</v>
      </c>
      <c r="C4903">
        <v>129.6</v>
      </c>
      <c r="D4903">
        <v>140.87</v>
      </c>
      <c r="E4903">
        <v>140.88</v>
      </c>
      <c r="F4903">
        <v>-0.01</v>
      </c>
    </row>
    <row r="4904" spans="1:6" x14ac:dyDescent="0.3">
      <c r="A4904" t="str">
        <f>HYPERLINK("https://us2.cloudbeds.com/connect/10074733072513#/reservations/31732252270772?display=MXXMJY62J&amp;reservation_id=31732252270772", "MXXMJY62J")</f>
        <v>MXXMJY62J</v>
      </c>
      <c r="B4904" t="s">
        <v>1553</v>
      </c>
      <c r="C4904">
        <v>264.2</v>
      </c>
      <c r="D4904">
        <v>287.18</v>
      </c>
      <c r="E4904">
        <v>287.19</v>
      </c>
      <c r="F4904">
        <v>-0.01</v>
      </c>
    </row>
    <row r="4905" spans="1:6" x14ac:dyDescent="0.3">
      <c r="A4905" t="str">
        <f>HYPERLINK("https://us2.cloudbeds.com/connect/10074733072513#/reservations/31735570964623?display=MXY8D1Z5U&amp;reservation_id=31735570964623", "MXY8D1Z5U")</f>
        <v>MXY8D1Z5U</v>
      </c>
      <c r="B4905" t="s">
        <v>1620</v>
      </c>
      <c r="C4905">
        <v>182.36</v>
      </c>
      <c r="D4905">
        <v>198.22</v>
      </c>
      <c r="E4905">
        <v>198.23</v>
      </c>
      <c r="F4905">
        <v>-0.01</v>
      </c>
    </row>
    <row r="4906" spans="1:6" x14ac:dyDescent="0.3">
      <c r="A4906" t="str">
        <f>HYPERLINK("https://us2.cloudbeds.com/connect/10074733072513#/reservations/31733602566292?display=MXJZ384SY&amp;reservation_id=31733602566292", "MXJZ384SY")</f>
        <v>MXJZ384SY</v>
      </c>
      <c r="B4906" t="s">
        <v>1569</v>
      </c>
      <c r="C4906">
        <v>129.6</v>
      </c>
      <c r="D4906">
        <v>140.87</v>
      </c>
      <c r="E4906">
        <v>140.88</v>
      </c>
      <c r="F4906">
        <v>-0.01</v>
      </c>
    </row>
    <row r="4907" spans="1:6" x14ac:dyDescent="0.3">
      <c r="A4907" t="str">
        <f>HYPERLINK("https://us2.cloudbeds.com/connect/10074733072513#/reservations/31725381136630?display=MXDC0NZMF&amp;reservation_id=31725381136630", "MXDC0NZMF")</f>
        <v>MXDC0NZMF</v>
      </c>
      <c r="B4907" t="s">
        <v>1623</v>
      </c>
      <c r="C4907">
        <v>612.9</v>
      </c>
      <c r="D4907">
        <v>666.21</v>
      </c>
      <c r="E4907">
        <v>666.22</v>
      </c>
      <c r="F4907">
        <v>-0.01</v>
      </c>
    </row>
    <row r="4908" spans="1:6" x14ac:dyDescent="0.3">
      <c r="A4908" t="str">
        <f>HYPERLINK("https://us2.cloudbeds.com/connect/10074733072513#/reservations/31735715893413?display=MXYC38JFE&amp;reservation_id=31735715893413", "MXYC38JFE")</f>
        <v>MXYC38JFE</v>
      </c>
      <c r="B4908" t="s">
        <v>1617</v>
      </c>
      <c r="C4908">
        <v>222.4</v>
      </c>
      <c r="D4908">
        <v>241.74</v>
      </c>
      <c r="E4908">
        <v>241.75</v>
      </c>
      <c r="F4908">
        <v>-0.01</v>
      </c>
    </row>
    <row r="4909" spans="1:6" x14ac:dyDescent="0.3">
      <c r="A4909" t="str">
        <f>HYPERLINK("https://us2.cloudbeds.com/connect/10074733072513#/reservations/31732613406929?display=MXXVR5ATG&amp;reservation_id=31732613406929", "MXXVR5ATG")</f>
        <v>MXXVR5ATG</v>
      </c>
      <c r="B4909" t="s">
        <v>1590</v>
      </c>
      <c r="C4909">
        <v>103.2</v>
      </c>
      <c r="D4909">
        <v>112.17</v>
      </c>
      <c r="E4909">
        <v>112.18</v>
      </c>
      <c r="F4909">
        <v>-0.01</v>
      </c>
    </row>
    <row r="4910" spans="1:6" x14ac:dyDescent="0.3">
      <c r="A4910" t="str">
        <f>HYPERLINK("https://us2.cloudbeds.com/connect/10074733072513#/reservations/31736115912900?display=MXYMAXNR2&amp;reservation_id=31736115912900", "MXYMAXNR2")</f>
        <v>MXYMAXNR2</v>
      </c>
      <c r="B4910" t="s">
        <v>1590</v>
      </c>
      <c r="C4910">
        <v>113.65</v>
      </c>
      <c r="D4910">
        <v>123.53</v>
      </c>
      <c r="E4910">
        <v>123.54</v>
      </c>
      <c r="F4910">
        <v>-0.01</v>
      </c>
    </row>
    <row r="4911" spans="1:6" x14ac:dyDescent="0.3">
      <c r="A4911" t="str">
        <f>HYPERLINK("https://us2.cloudbeds.com/connect/10074733072513#/reservations/31736107552937?display=MXYM3H32S&amp;reservation_id=31736107552937", "MXYM3H32S")</f>
        <v>MXYM3H32S</v>
      </c>
      <c r="B4911" t="s">
        <v>1590</v>
      </c>
      <c r="C4911">
        <v>201.47</v>
      </c>
      <c r="D4911">
        <v>218.99</v>
      </c>
      <c r="E4911">
        <v>219</v>
      </c>
      <c r="F4911">
        <v>-0.01</v>
      </c>
    </row>
    <row r="4912" spans="1:6" x14ac:dyDescent="0.3">
      <c r="A4912" t="str">
        <f>HYPERLINK("https://us2.cloudbeds.com/connect/10074733072513#/reservations/31734343024884?display=MXKA0KGFQ&amp;reservation_id=31734343024884", "MXKA0KGFQ")</f>
        <v>MXKA0KGFQ</v>
      </c>
      <c r="B4912" t="s">
        <v>1616</v>
      </c>
      <c r="C4912">
        <v>170.1</v>
      </c>
      <c r="D4912">
        <v>184.89</v>
      </c>
      <c r="E4912">
        <v>184.9</v>
      </c>
      <c r="F4912">
        <v>-0.01</v>
      </c>
    </row>
    <row r="4913" spans="1:6" x14ac:dyDescent="0.3">
      <c r="A4913" t="str">
        <f>HYPERLINK("https://us2.cloudbeds.com/connect/10074733072513#/reservations/31734354387081?display=MXKAA6M2Q&amp;reservation_id=31734354387081", "MXKAA6M2Q")</f>
        <v>MXKAA6M2Q</v>
      </c>
      <c r="B4913" t="s">
        <v>1616</v>
      </c>
      <c r="C4913">
        <v>170.1</v>
      </c>
      <c r="D4913">
        <v>184.89</v>
      </c>
      <c r="E4913">
        <v>184.9</v>
      </c>
      <c r="F4913">
        <v>-0.01</v>
      </c>
    </row>
    <row r="4914" spans="1:6" x14ac:dyDescent="0.3">
      <c r="A4914" t="str">
        <f>HYPERLINK("https://us2.cloudbeds.com/connect/10074733072513#/reservations/31733354705118?display=MXJHP81FW&amp;reservation_id=31733354705118", "MXJHP81FW")</f>
        <v>MXJHP81FW</v>
      </c>
      <c r="B4914" t="s">
        <v>1602</v>
      </c>
      <c r="C4914">
        <v>447.3</v>
      </c>
      <c r="D4914">
        <v>486.21</v>
      </c>
      <c r="E4914">
        <v>486.22</v>
      </c>
      <c r="F4914">
        <v>-0.01</v>
      </c>
    </row>
    <row r="4915" spans="1:6" x14ac:dyDescent="0.3">
      <c r="A4915" t="str">
        <f>HYPERLINK("https://us2.cloudbeds.com/connect/10074733072513#/reservations/31725066309865?display=MXD3W87XF&amp;reservation_id=31725066309865", "MXD3W87XF")</f>
        <v>MXD3W87XF</v>
      </c>
      <c r="B4915" t="s">
        <v>1547</v>
      </c>
      <c r="C4915">
        <v>129.6</v>
      </c>
      <c r="D4915">
        <v>140.87</v>
      </c>
      <c r="E4915">
        <v>140.88</v>
      </c>
      <c r="F4915">
        <v>-0.01</v>
      </c>
    </row>
    <row r="4916" spans="1:6" x14ac:dyDescent="0.3">
      <c r="A4916" t="str">
        <f>HYPERLINK("https://us2.cloudbeds.com/connect/10074733072513#/reservations/31735770763456?display=MXYDGHAFR&amp;reservation_id=31735770763456", "MXYDGHAFR")</f>
        <v>MXYDGHAFR</v>
      </c>
      <c r="B4916" t="s">
        <v>1579</v>
      </c>
      <c r="C4916">
        <v>224.1</v>
      </c>
      <c r="D4916">
        <v>243.59</v>
      </c>
      <c r="E4916">
        <v>243.6</v>
      </c>
      <c r="F4916">
        <v>-0.01</v>
      </c>
    </row>
    <row r="4917" spans="1:6" x14ac:dyDescent="0.3">
      <c r="A4917" t="str">
        <f>HYPERLINK("https://us2.cloudbeds.com/connect/10074733072513#/reservations/31732628783247?display=MXXW746XH&amp;reservation_id=31732628783247", "MXXW746XH")</f>
        <v>MXXW746XH</v>
      </c>
      <c r="B4917" t="s">
        <v>1590</v>
      </c>
      <c r="C4917">
        <v>129.6</v>
      </c>
      <c r="D4917">
        <v>140.87</v>
      </c>
      <c r="E4917">
        <v>140.88</v>
      </c>
      <c r="F4917">
        <v>-0.01</v>
      </c>
    </row>
    <row r="4918" spans="1:6" x14ac:dyDescent="0.3">
      <c r="A4918" t="str">
        <f>HYPERLINK("https://us2.cloudbeds.com/connect/10074733072513#/reservations/31732642029795?display=MXXWX9QH2&amp;reservation_id=31732642029795", "MXXWX9QH2")</f>
        <v>MXXWX9QH2</v>
      </c>
      <c r="B4918" t="s">
        <v>1590</v>
      </c>
      <c r="C4918">
        <v>106.27</v>
      </c>
      <c r="D4918">
        <v>115.51</v>
      </c>
      <c r="E4918">
        <v>115.52</v>
      </c>
      <c r="F4918">
        <v>-0.01</v>
      </c>
    </row>
    <row r="4919" spans="1:6" x14ac:dyDescent="0.3">
      <c r="A4919" t="str">
        <f>HYPERLINK("https://us2.cloudbeds.com/connect/10074733072513#/reservations/31725056770187?display=MXD3Z6PHA&amp;reservation_id=31725056770187", "MXD3Z6PHA")</f>
        <v>MXD3Z6PHA</v>
      </c>
      <c r="B4919" t="s">
        <v>1547</v>
      </c>
      <c r="C4919">
        <v>259.2</v>
      </c>
      <c r="D4919">
        <v>281.74</v>
      </c>
      <c r="E4919">
        <v>281.75</v>
      </c>
      <c r="F4919">
        <v>-0.01</v>
      </c>
    </row>
    <row r="4920" spans="1:6" x14ac:dyDescent="0.3">
      <c r="A4920" t="str">
        <f>HYPERLINK("https://us2.cloudbeds.com/connect/10074733072513#/reservations/31730222776544?display=MXH3ZAH0G&amp;reservation_id=31730222776544", "MXH3ZAH0G")</f>
        <v>MXH3ZAH0G</v>
      </c>
      <c r="B4920" t="s">
        <v>1547</v>
      </c>
      <c r="C4920">
        <v>279.2</v>
      </c>
      <c r="D4920">
        <v>303.48</v>
      </c>
      <c r="E4920">
        <v>303.49</v>
      </c>
      <c r="F4920">
        <v>-0.01</v>
      </c>
    </row>
    <row r="4921" spans="1:6" x14ac:dyDescent="0.3">
      <c r="A4921" t="str">
        <f>HYPERLINK("https://us2.cloudbeds.com/connect/10074733072513#/reservations/31729970630800?display=MXGU9N67C&amp;reservation_id=31729970630800", "MXGU9N67C")</f>
        <v>MXGU9N67C</v>
      </c>
      <c r="B4921" t="s">
        <v>1324</v>
      </c>
      <c r="C4921">
        <v>170.1</v>
      </c>
      <c r="D4921">
        <v>184.89</v>
      </c>
      <c r="E4921">
        <v>184.9</v>
      </c>
      <c r="F4921">
        <v>-0.01</v>
      </c>
    </row>
    <row r="4922" spans="1:6" x14ac:dyDescent="0.3">
      <c r="A4922" t="str">
        <f>HYPERLINK("https://us2.cloudbeds.com/connect/10074733072513#/reservations/31733319430324?display=MXJGSGFXR&amp;reservation_id=31733319430324", "MXJGSGFXR")</f>
        <v>MXJGSGFXR</v>
      </c>
      <c r="B4922" t="s">
        <v>1569</v>
      </c>
      <c r="C4922">
        <v>106.27</v>
      </c>
      <c r="D4922">
        <v>115.51</v>
      </c>
      <c r="E4922">
        <v>115.52</v>
      </c>
      <c r="F4922">
        <v>-0.01</v>
      </c>
    </row>
    <row r="4923" spans="1:6" x14ac:dyDescent="0.3">
      <c r="A4923" t="str">
        <f>HYPERLINK("https://us2.cloudbeds.com/connect/10074733072513#/reservations/31734185066662?display=MXK5WE2K0&amp;reservation_id=31734185066662", "MXK5WE2K0")</f>
        <v>MXK5WE2K0</v>
      </c>
      <c r="B4923" t="s">
        <v>1602</v>
      </c>
      <c r="C4923">
        <v>275.27</v>
      </c>
      <c r="D4923">
        <v>299.20999999999998</v>
      </c>
      <c r="E4923">
        <v>299.22000000000003</v>
      </c>
      <c r="F4923">
        <v>-0.01</v>
      </c>
    </row>
    <row r="4924" spans="1:6" x14ac:dyDescent="0.3">
      <c r="A4924" t="str">
        <f>HYPERLINK("https://us2.cloudbeds.com/connect/10074733072513#/reservations/31733393469660?display=MXJXZUNV2&amp;reservation_id=31733393469660", "MXJXZUNV2")</f>
        <v>MXJXZUNV2</v>
      </c>
      <c r="B4924" t="s">
        <v>1602</v>
      </c>
      <c r="C4924">
        <v>224.1</v>
      </c>
      <c r="D4924">
        <v>243.59</v>
      </c>
      <c r="E4924">
        <v>243.6</v>
      </c>
      <c r="F4924">
        <v>-0.01</v>
      </c>
    </row>
    <row r="4925" spans="1:6" x14ac:dyDescent="0.3">
      <c r="A4925" t="str">
        <f>HYPERLINK("https://us2.cloudbeds.com/connect/10074733072513#/reservations/31730535755998?display=MXHBZ7KQC&amp;reservation_id=31730535755998", "MXHBZ7KQC")</f>
        <v>MXHBZ7KQC</v>
      </c>
      <c r="B4925" t="s">
        <v>1628</v>
      </c>
      <c r="C4925">
        <v>106.27</v>
      </c>
      <c r="D4925">
        <v>115.51</v>
      </c>
      <c r="E4925">
        <v>115.52</v>
      </c>
      <c r="F4925">
        <v>-0.01</v>
      </c>
    </row>
    <row r="4926" spans="1:6" x14ac:dyDescent="0.3">
      <c r="A4926" t="str">
        <f>HYPERLINK("https://us2.cloudbeds.com/connect/10074733072513#/reservations/31733844459687?display=MXJU9766H&amp;reservation_id=31733844459687", "MXJU9766H")</f>
        <v>MXJU9766H</v>
      </c>
      <c r="B4926" t="s">
        <v>1629</v>
      </c>
      <c r="C4926">
        <v>129.6</v>
      </c>
      <c r="D4926">
        <v>140.87</v>
      </c>
      <c r="E4926">
        <v>140.88</v>
      </c>
      <c r="F4926">
        <v>-0.01</v>
      </c>
    </row>
    <row r="4927" spans="1:6" x14ac:dyDescent="0.3">
      <c r="A4927" t="str">
        <f>HYPERLINK("https://us2.cloudbeds.com/connect/10074733072513#/reservations/31735149056147?display=MXKUK9GZJ&amp;reservation_id=31735149056147", "MXKUK9GZJ")</f>
        <v>MXKUK9GZJ</v>
      </c>
      <c r="B4927" t="s">
        <v>1630</v>
      </c>
      <c r="C4927">
        <v>103.2</v>
      </c>
      <c r="D4927">
        <v>112.17</v>
      </c>
      <c r="E4927">
        <v>112.18</v>
      </c>
      <c r="F4927">
        <v>-0.01</v>
      </c>
    </row>
    <row r="4928" spans="1:6" x14ac:dyDescent="0.3">
      <c r="A4928" t="str">
        <f>HYPERLINK("https://us2.cloudbeds.com/connect/10074733072513#/reservations/31733269508262?display=MXJFJDAF2&amp;reservation_id=31733269508262", "MXJFJDAF2")</f>
        <v>MXJFJDAF2</v>
      </c>
      <c r="B4928" t="s">
        <v>1589</v>
      </c>
      <c r="C4928">
        <v>106.27</v>
      </c>
      <c r="D4928">
        <v>115.51</v>
      </c>
      <c r="E4928">
        <v>115.52</v>
      </c>
      <c r="F4928">
        <v>-0.01</v>
      </c>
    </row>
    <row r="4929" spans="1:6" x14ac:dyDescent="0.3">
      <c r="A4929" t="str">
        <f>HYPERLINK("https://us2.cloudbeds.com/connect/10074733072513#/reservations/31729488142543?display=MXGHVS7W3&amp;reservation_id=31729488142543", "MXGHVS7W3")</f>
        <v>MXGHVS7W3</v>
      </c>
      <c r="B4929" t="s">
        <v>1595</v>
      </c>
      <c r="C4929">
        <v>170.1</v>
      </c>
      <c r="D4929">
        <v>184.89</v>
      </c>
      <c r="E4929">
        <v>184.9</v>
      </c>
      <c r="F4929">
        <v>-0.01</v>
      </c>
    </row>
    <row r="4930" spans="1:6" x14ac:dyDescent="0.3">
      <c r="A4930" t="str">
        <f>HYPERLINK("https://us2.cloudbeds.com/connect/10074733072513#/reservations/31732903563423?display=MXJ67RBVH&amp;reservation_id=31732903563423", "MXJ67RBVH")</f>
        <v>MXJ67RBVH</v>
      </c>
      <c r="B4930" t="s">
        <v>1632</v>
      </c>
      <c r="C4930">
        <v>170.1</v>
      </c>
      <c r="D4930">
        <v>184.89</v>
      </c>
      <c r="E4930">
        <v>184.9</v>
      </c>
      <c r="F4930">
        <v>-0.01</v>
      </c>
    </row>
    <row r="4931" spans="1:6" x14ac:dyDescent="0.3">
      <c r="A4931" t="str">
        <f>HYPERLINK("https://us2.cloudbeds.com/connect/10074733072513#/reservations/31735479939240?display=MXY629QVW&amp;reservation_id=31735479939240", "MXY629QVW")</f>
        <v>MXY629QVW</v>
      </c>
      <c r="B4931" t="s">
        <v>1630</v>
      </c>
      <c r="C4931">
        <v>129.6</v>
      </c>
      <c r="D4931">
        <v>140.87</v>
      </c>
      <c r="E4931">
        <v>140.88</v>
      </c>
      <c r="F4931">
        <v>-0.01</v>
      </c>
    </row>
    <row r="4932" spans="1:6" x14ac:dyDescent="0.3">
      <c r="A4932" t="str">
        <f>HYPERLINK("https://us2.cloudbeds.com/connect/10074733072513#/reservations/31729352269970?display=MXGEG9CPD&amp;reservation_id=31729352269970", "MXGEG9CPD")</f>
        <v>MXGEG9CPD</v>
      </c>
      <c r="B4932" t="s">
        <v>1615</v>
      </c>
      <c r="C4932">
        <v>129.6</v>
      </c>
      <c r="D4932">
        <v>140.87</v>
      </c>
      <c r="E4932">
        <v>140.88</v>
      </c>
      <c r="F4932">
        <v>-0.01</v>
      </c>
    </row>
    <row r="4933" spans="1:6" x14ac:dyDescent="0.3">
      <c r="A4933" t="str">
        <f>HYPERLINK("https://us2.cloudbeds.com/connect/10074733072513#/reservations/31735821811844?display=MXYEQXUXS&amp;reservation_id=31735821811844", "MXYEQXUXS")</f>
        <v>MXYEQXUXS</v>
      </c>
      <c r="B4933" t="s">
        <v>1599</v>
      </c>
      <c r="C4933">
        <v>259.2</v>
      </c>
      <c r="D4933">
        <v>281.74</v>
      </c>
      <c r="E4933">
        <v>281.75</v>
      </c>
      <c r="F4933">
        <v>-0.01</v>
      </c>
    </row>
    <row r="4934" spans="1:6" x14ac:dyDescent="0.3">
      <c r="A4934" t="str">
        <f>HYPERLINK("https://us2.cloudbeds.com/connect/10074733072513#/reservations/31735874089098?display=MXYG4YKD2&amp;reservation_id=31735874089098", "MXYG4YKD2")</f>
        <v>MXYG4YKD2</v>
      </c>
      <c r="B4934" t="s">
        <v>1615</v>
      </c>
      <c r="C4934">
        <v>129.6</v>
      </c>
      <c r="D4934">
        <v>140.87</v>
      </c>
      <c r="E4934">
        <v>140.88</v>
      </c>
      <c r="F4934">
        <v>-0.01</v>
      </c>
    </row>
    <row r="4935" spans="1:6" x14ac:dyDescent="0.3">
      <c r="A4935" t="str">
        <f>HYPERLINK("https://us2.cloudbeds.com/connect/10074733072513#/reservations/31732822024417?display=MXJ452DRX&amp;reservation_id=31732822024417", "MXJ452DRX")</f>
        <v>MXJ452DRX</v>
      </c>
      <c r="B4935" t="s">
        <v>1580</v>
      </c>
      <c r="C4935">
        <v>154.24</v>
      </c>
      <c r="D4935">
        <v>167.65</v>
      </c>
      <c r="E4935">
        <v>167.66</v>
      </c>
      <c r="F4935">
        <v>-0.01</v>
      </c>
    </row>
    <row r="4936" spans="1:6" x14ac:dyDescent="0.3">
      <c r="A4936" t="str">
        <f>HYPERLINK("https://us2.cloudbeds.com/connect/10074733072513#/reservations/31735874085003?display=MXYG4YGKW&amp;reservation_id=31735874085003", "MXYG4YGKW")</f>
        <v>MXYG4YGKW</v>
      </c>
      <c r="B4936" t="s">
        <v>1615</v>
      </c>
      <c r="C4936">
        <v>106.27</v>
      </c>
      <c r="D4936">
        <v>115.51</v>
      </c>
      <c r="E4936">
        <v>115.52</v>
      </c>
      <c r="F4936">
        <v>-0.01</v>
      </c>
    </row>
    <row r="4937" spans="1:6" x14ac:dyDescent="0.3">
      <c r="A4937" t="str">
        <f>HYPERLINK("https://us2.cloudbeds.com/connect/10074733072513#/reservations/31734800896132?display=MXKYNNEJ3&amp;reservation_id=31734800896132", "MXKYNNEJ3")</f>
        <v>MXKYNNEJ3</v>
      </c>
      <c r="B4937" t="s">
        <v>1615</v>
      </c>
      <c r="C4937">
        <v>129.6</v>
      </c>
      <c r="D4937">
        <v>140.87</v>
      </c>
      <c r="E4937">
        <v>140.88</v>
      </c>
      <c r="F4937">
        <v>-0.01</v>
      </c>
    </row>
    <row r="4938" spans="1:6" x14ac:dyDescent="0.3">
      <c r="A4938" t="str">
        <f>HYPERLINK("https://us2.cloudbeds.com/connect/10074733072513#/reservations/31729394356470?display=MXGFXPGMT&amp;reservation_id=31729394356470", "MXGFXPGMT")</f>
        <v>MXGFXPGMT</v>
      </c>
      <c r="B4938" t="s">
        <v>1615</v>
      </c>
      <c r="C4938">
        <v>129.6</v>
      </c>
      <c r="D4938">
        <v>140.87</v>
      </c>
      <c r="E4938">
        <v>140.88</v>
      </c>
      <c r="F4938">
        <v>-0.01</v>
      </c>
    </row>
    <row r="4939" spans="1:6" x14ac:dyDescent="0.3">
      <c r="A4939" t="str">
        <f>HYPERLINK("https://us2.cloudbeds.com/connect/10074733072513#/reservations/31729495949483?display=MXGX5EFT1&amp;reservation_id=31729495949483", "MXGX5EFT1")</f>
        <v>MXGX5EFT1</v>
      </c>
      <c r="B4939" t="s">
        <v>1595</v>
      </c>
      <c r="C4939">
        <v>170.1</v>
      </c>
      <c r="D4939">
        <v>184.89</v>
      </c>
      <c r="E4939">
        <v>184.9</v>
      </c>
      <c r="F4939">
        <v>-0.01</v>
      </c>
    </row>
    <row r="4940" spans="1:6" x14ac:dyDescent="0.3">
      <c r="A4940" t="str">
        <f>HYPERLINK("https://us2.cloudbeds.com/connect/10074733072513#/reservations/31735858815135?display=MXYFZPJNN&amp;reservation_id=31735858815135", "MXYFZPJNN")</f>
        <v>MXYFZPJNN</v>
      </c>
      <c r="B4940" t="s">
        <v>1599</v>
      </c>
      <c r="C4940">
        <v>129.6</v>
      </c>
      <c r="D4940">
        <v>140.87</v>
      </c>
      <c r="E4940">
        <v>140.88</v>
      </c>
      <c r="F4940">
        <v>-0.01</v>
      </c>
    </row>
    <row r="4941" spans="1:6" x14ac:dyDescent="0.3">
      <c r="A4941" t="str">
        <f>HYPERLINK("https://us2.cloudbeds.com/connect/10074733072513#/reservations/31735760335092?display=MXYD7Z82W&amp;reservation_id=31735760335092", "MXYD7Z82W")</f>
        <v>MXYD7Z82W</v>
      </c>
      <c r="B4941" t="s">
        <v>1599</v>
      </c>
      <c r="C4941">
        <v>106.27</v>
      </c>
      <c r="D4941">
        <v>115.51</v>
      </c>
      <c r="E4941">
        <v>115.52</v>
      </c>
      <c r="F4941">
        <v>-0.01</v>
      </c>
    </row>
    <row r="4942" spans="1:6" x14ac:dyDescent="0.3">
      <c r="A4942" t="str">
        <f>HYPERLINK("https://us2.cloudbeds.com/connect/10074733072513#/reservations/31733085061319?display=MXJASSQMP&amp;reservation_id=31733085061319", "MXJASSQMP")</f>
        <v>MXJASSQMP</v>
      </c>
      <c r="B4942" t="s">
        <v>1595</v>
      </c>
      <c r="C4942">
        <v>304.2</v>
      </c>
      <c r="D4942">
        <v>330.66</v>
      </c>
      <c r="E4942">
        <v>330.67</v>
      </c>
      <c r="F4942">
        <v>-0.01</v>
      </c>
    </row>
    <row r="4943" spans="1:6" x14ac:dyDescent="0.3">
      <c r="A4943" t="str">
        <f>HYPERLINK("https://us2.cloudbeds.com/connect/10074733072513#/reservations/31733824753889?display=MXJTPJZ4M&amp;reservation_id=31733824753889", "MXJTPJZ4M")</f>
        <v>MXJTPJZ4M</v>
      </c>
      <c r="B4943" t="s">
        <v>1589</v>
      </c>
      <c r="C4943">
        <v>129.6</v>
      </c>
      <c r="D4943">
        <v>140.87</v>
      </c>
      <c r="E4943">
        <v>140.88</v>
      </c>
      <c r="F4943">
        <v>-0.01</v>
      </c>
    </row>
    <row r="4944" spans="1:6" x14ac:dyDescent="0.3">
      <c r="A4944" t="str">
        <f>HYPERLINK("https://us2.cloudbeds.com/connect/10074733072513#/reservations/31728073040099?display=MXFEQJUMS&amp;reservation_id=31728073040099", "MXFEQJUMS")</f>
        <v>MXFEQJUMS</v>
      </c>
      <c r="B4944" t="s">
        <v>1589</v>
      </c>
      <c r="C4944">
        <v>129.6</v>
      </c>
      <c r="D4944">
        <v>140.87</v>
      </c>
      <c r="E4944">
        <v>140.88</v>
      </c>
      <c r="F4944">
        <v>-0.01</v>
      </c>
    </row>
    <row r="4945" spans="1:6" x14ac:dyDescent="0.3">
      <c r="A4945" t="str">
        <f>HYPERLINK("https://us2.cloudbeds.com/connect/10074733072513#/reservations/31735117963413?display=MXKTR2A3H&amp;reservation_id=31735117963413", "MXKTR2A3H")</f>
        <v>MXKTR2A3H</v>
      </c>
      <c r="B4945" t="s">
        <v>1599</v>
      </c>
      <c r="C4945">
        <v>106.27</v>
      </c>
      <c r="D4945">
        <v>115.51</v>
      </c>
      <c r="E4945">
        <v>115.52</v>
      </c>
      <c r="F4945">
        <v>-0.01</v>
      </c>
    </row>
    <row r="4946" spans="1:6" x14ac:dyDescent="0.3">
      <c r="A4946" t="str">
        <f>HYPERLINK("https://us2.cloudbeds.com/connect/10074733072513#/reservations/31730510667992?display=MXHB32H4P&amp;reservation_id=31730510667992", "MXHB32H4P")</f>
        <v>MXHB32H4P</v>
      </c>
      <c r="B4946" t="s">
        <v>1573</v>
      </c>
      <c r="C4946">
        <v>376.2</v>
      </c>
      <c r="D4946">
        <v>408.92</v>
      </c>
      <c r="E4946">
        <v>408.93</v>
      </c>
      <c r="F4946">
        <v>-0.01</v>
      </c>
    </row>
    <row r="4947" spans="1:6" x14ac:dyDescent="0.3">
      <c r="A4947" t="str">
        <f>HYPERLINK("https://us2.cloudbeds.com/connect/10074733072513#/reservations/31731043774627?display=MXHZNJWU8&amp;reservation_id=31731043774627", "MXHZNJWU8")</f>
        <v>MXHZNJWU8</v>
      </c>
      <c r="B4947" t="s">
        <v>1412</v>
      </c>
      <c r="C4947">
        <v>129.6</v>
      </c>
      <c r="D4947">
        <v>140.87</v>
      </c>
      <c r="E4947">
        <v>140.88</v>
      </c>
      <c r="F4947">
        <v>-0.01</v>
      </c>
    </row>
    <row r="4948" spans="1:6" x14ac:dyDescent="0.3">
      <c r="A4948" t="str">
        <f>HYPERLINK("https://us2.cloudbeds.com/connect/10074733072513#/reservations/31729432051964?display=MXGGHXEFJ&amp;reservation_id=31729432051964", "MXGGHXEFJ")</f>
        <v>MXGGHXEFJ</v>
      </c>
      <c r="B4948" t="s">
        <v>1595</v>
      </c>
      <c r="C4948">
        <v>154.24</v>
      </c>
      <c r="D4948">
        <v>167.65</v>
      </c>
      <c r="E4948">
        <v>167.66</v>
      </c>
      <c r="F4948">
        <v>-0.01</v>
      </c>
    </row>
    <row r="4949" spans="1:6" x14ac:dyDescent="0.3">
      <c r="A4949" t="str">
        <f>HYPERLINK("https://us2.cloudbeds.com/connect/10074733072513#/reservations/31734825623697?display=MXKMBXH88&amp;reservation_id=31734825623697", "MXKMBXH88")</f>
        <v>MXKMBXH88</v>
      </c>
      <c r="B4949" t="s">
        <v>1401</v>
      </c>
      <c r="C4949">
        <v>154.24</v>
      </c>
      <c r="D4949">
        <v>167.65</v>
      </c>
      <c r="E4949">
        <v>167.66</v>
      </c>
      <c r="F4949">
        <v>-0.01</v>
      </c>
    </row>
    <row r="4950" spans="1:6" x14ac:dyDescent="0.3">
      <c r="A4950" t="str">
        <f>HYPERLINK("https://us2.cloudbeds.com/connect/10074733072513#/reservations/31727757471890?display=MXF6ZGPNS&amp;reservation_id=31727757471890", "MXF6ZGPNS")</f>
        <v>MXF6ZGPNS</v>
      </c>
      <c r="B4950" t="s">
        <v>1531</v>
      </c>
      <c r="C4950">
        <v>154.24</v>
      </c>
      <c r="D4950">
        <v>167.65</v>
      </c>
      <c r="E4950">
        <v>167.66</v>
      </c>
      <c r="F4950">
        <v>-0.01</v>
      </c>
    </row>
    <row r="4951" spans="1:6" x14ac:dyDescent="0.3">
      <c r="A4951" t="str">
        <f>HYPERLINK("https://us2.cloudbeds.com/connect/10074733072513#/reservations/31735066701956?display=MXKSGRT21&amp;reservation_id=31735066701956", "MXKSGRT21")</f>
        <v>MXKSGRT21</v>
      </c>
      <c r="B4951" t="s">
        <v>1631</v>
      </c>
      <c r="C4951">
        <v>119.6</v>
      </c>
      <c r="D4951">
        <v>130</v>
      </c>
      <c r="E4951">
        <v>130.01</v>
      </c>
      <c r="F4951">
        <v>-0.01</v>
      </c>
    </row>
    <row r="4952" spans="1:6" x14ac:dyDescent="0.3">
      <c r="A4952" t="str">
        <f>HYPERLINK("https://us2.cloudbeds.com/connect/10074733072513#/reservations/31735780090007?display=MXYDZCVGP&amp;reservation_id=31735780090007", "MXYDZCVGP")</f>
        <v>MXYDZCVGP</v>
      </c>
      <c r="B4952" t="s">
        <v>1608</v>
      </c>
      <c r="C4952">
        <v>170.1</v>
      </c>
      <c r="D4952">
        <v>184.89</v>
      </c>
      <c r="E4952">
        <v>184.9</v>
      </c>
      <c r="F4952">
        <v>-0.01</v>
      </c>
    </row>
    <row r="4953" spans="1:6" x14ac:dyDescent="0.3">
      <c r="A4953" t="str">
        <f>HYPERLINK("https://us2.cloudbeds.com/connect/10074733072513#/reservations/31732388503778?display=MXXQ2H28G&amp;reservation_id=31732388503778", "MXXQ2H28G")</f>
        <v>MXXQ2H28G</v>
      </c>
      <c r="B4953" t="s">
        <v>1597</v>
      </c>
      <c r="C4953">
        <v>309.95999999999998</v>
      </c>
      <c r="D4953">
        <v>336.92</v>
      </c>
      <c r="E4953">
        <v>336.93</v>
      </c>
      <c r="F4953">
        <v>-0.01</v>
      </c>
    </row>
    <row r="4954" spans="1:6" x14ac:dyDescent="0.3">
      <c r="A4954" t="str">
        <f>HYPERLINK("https://us2.cloudbeds.com/connect/10074733072513#/reservations/31734468174038?display=MXKD74VYD&amp;reservation_id=31734468174038", "MXKD74VYD")</f>
        <v>MXKD74VYD</v>
      </c>
      <c r="B4954" t="s">
        <v>1608</v>
      </c>
      <c r="C4954">
        <v>376.2</v>
      </c>
      <c r="D4954">
        <v>408.92</v>
      </c>
      <c r="E4954">
        <v>408.93</v>
      </c>
      <c r="F4954">
        <v>-0.01</v>
      </c>
    </row>
    <row r="4955" spans="1:6" x14ac:dyDescent="0.3">
      <c r="A4955" t="str">
        <f>HYPERLINK("https://us2.cloudbeds.com/connect/10074733072513#/reservations/31724105662681?display=MXCCE6QXZ&amp;reservation_id=31724105662681", "MXCCE6QXZ")</f>
        <v>MXCCE6QXZ</v>
      </c>
      <c r="B4955" t="s">
        <v>1637</v>
      </c>
      <c r="C4955">
        <v>474.3</v>
      </c>
      <c r="D4955">
        <v>515.54999999999995</v>
      </c>
      <c r="E4955">
        <v>515.55999999999995</v>
      </c>
      <c r="F4955">
        <v>-0.01</v>
      </c>
    </row>
    <row r="4956" spans="1:6" x14ac:dyDescent="0.3">
      <c r="A4956" t="str">
        <f>HYPERLINK("https://us2.cloudbeds.com/connect/10074733072513#/reservations/31723912745173?display=MXC7GHJGY&amp;reservation_id=31723912745173", "MXC7GHJGY")</f>
        <v>MXC7GHJGY</v>
      </c>
      <c r="B4956" t="s">
        <v>1619</v>
      </c>
      <c r="C4956">
        <v>106.27</v>
      </c>
      <c r="D4956">
        <v>115.51</v>
      </c>
      <c r="E4956">
        <v>115.52</v>
      </c>
      <c r="F4956">
        <v>-0.01</v>
      </c>
    </row>
    <row r="4957" spans="1:6" x14ac:dyDescent="0.3">
      <c r="A4957" t="str">
        <f>HYPERLINK("https://us2.cloudbeds.com/connect/10074733072513#/reservations/31728183451839?display=MXFHKN9T5&amp;reservation_id=31728183451839", "MXFHKN9T5")</f>
        <v>MXFHKN9T5</v>
      </c>
      <c r="B4957" t="s">
        <v>1531</v>
      </c>
      <c r="C4957">
        <v>367.2</v>
      </c>
      <c r="D4957">
        <v>399.14</v>
      </c>
      <c r="E4957">
        <v>399.15</v>
      </c>
      <c r="F4957">
        <v>-0.01</v>
      </c>
    </row>
    <row r="4958" spans="1:6" x14ac:dyDescent="0.3">
      <c r="A4958" t="str">
        <f>HYPERLINK("https://us2.cloudbeds.com/connect/10074733072513#/reservations/31723877650577?display=MXC6JV121&amp;reservation_id=31723877650577", "MXC6JV121")</f>
        <v>MXC6JV121</v>
      </c>
      <c r="B4958" t="s">
        <v>1619</v>
      </c>
      <c r="C4958">
        <v>106.27</v>
      </c>
      <c r="D4958">
        <v>115.51</v>
      </c>
      <c r="E4958">
        <v>115.52</v>
      </c>
      <c r="F4958">
        <v>-0.01</v>
      </c>
    </row>
    <row r="4959" spans="1:6" x14ac:dyDescent="0.3">
      <c r="A4959" t="str">
        <f>HYPERLINK("https://us2.cloudbeds.com/connect/10074733072513#/reservations/31735181381868?display=MXKVEX0JT&amp;reservation_id=31735181381868", "MXKVEX0JT")</f>
        <v>MXKVEX0JT</v>
      </c>
      <c r="B4959" t="s">
        <v>1631</v>
      </c>
      <c r="C4959">
        <v>129.6</v>
      </c>
      <c r="D4959">
        <v>140.87</v>
      </c>
      <c r="E4959">
        <v>140.88</v>
      </c>
      <c r="F4959">
        <v>-0.01</v>
      </c>
    </row>
    <row r="4960" spans="1:6" x14ac:dyDescent="0.3">
      <c r="A4960" t="str">
        <f>HYPERLINK("https://us2.cloudbeds.com/connect/10074733072513#/reservations/31732159877261?display=MXXK7Z6X7&amp;reservation_id=31732159877261", "MXXK7Z6X7")</f>
        <v>MXXK7Z6X7</v>
      </c>
      <c r="B4960" t="s">
        <v>1537</v>
      </c>
      <c r="C4960">
        <v>170.1</v>
      </c>
      <c r="D4960">
        <v>184.89</v>
      </c>
      <c r="E4960">
        <v>184.9</v>
      </c>
      <c r="F4960">
        <v>-0.01</v>
      </c>
    </row>
    <row r="4961" spans="1:6" x14ac:dyDescent="0.3">
      <c r="A4961" t="str">
        <f>HYPERLINK("https://us2.cloudbeds.com/connect/10074733072513#/reservations/31731565084881?display=MXX5167CN&amp;reservation_id=31731565084881", "MXX5167CN")</f>
        <v>MXX5167CN</v>
      </c>
      <c r="B4961" t="s">
        <v>1616</v>
      </c>
      <c r="C4961">
        <v>170.1</v>
      </c>
      <c r="D4961">
        <v>184.89</v>
      </c>
      <c r="E4961">
        <v>184.9</v>
      </c>
      <c r="F4961">
        <v>-0.01</v>
      </c>
    </row>
    <row r="4962" spans="1:6" x14ac:dyDescent="0.3">
      <c r="A4962" t="str">
        <f>HYPERLINK("https://us2.cloudbeds.com/connect/10074733072513#/reservations/31723887583452?display=MXC6SAE58&amp;reservation_id=31723887583452", "MXC6SAE58")</f>
        <v>MXC6SAE58</v>
      </c>
      <c r="B4962" t="s">
        <v>1619</v>
      </c>
      <c r="C4962">
        <v>129.6</v>
      </c>
      <c r="D4962">
        <v>140.87</v>
      </c>
      <c r="E4962">
        <v>140.88</v>
      </c>
      <c r="F4962">
        <v>-0.01</v>
      </c>
    </row>
    <row r="4963" spans="1:6" x14ac:dyDescent="0.3">
      <c r="A4963" t="str">
        <f>HYPERLINK("https://us2.cloudbeds.com/connect/10074733072513#/reservations/31734725025933?display=MXKJPZ7W5&amp;reservation_id=31734725025933", "MXKJPZ7W5")</f>
        <v>MXKJPZ7W5</v>
      </c>
      <c r="B4963" t="s">
        <v>1634</v>
      </c>
      <c r="C4963">
        <v>134.1</v>
      </c>
      <c r="D4963">
        <v>145.76</v>
      </c>
      <c r="E4963">
        <v>145.77000000000001</v>
      </c>
      <c r="F4963">
        <v>-0.01</v>
      </c>
    </row>
    <row r="4964" spans="1:6" x14ac:dyDescent="0.3">
      <c r="A4964" t="str">
        <f>HYPERLINK("https://us2.cloudbeds.com/connect/10074733072513#/reservations/31735247798480?display=MXY04X57G&amp;reservation_id=31735247798480", "MXY04X57G")</f>
        <v>MXY04X57G</v>
      </c>
      <c r="B4964" t="s">
        <v>1631</v>
      </c>
      <c r="C4964">
        <v>113.65</v>
      </c>
      <c r="D4964">
        <v>123.53</v>
      </c>
      <c r="E4964">
        <v>123.54</v>
      </c>
      <c r="F4964">
        <v>-0.01</v>
      </c>
    </row>
    <row r="4965" spans="1:6" x14ac:dyDescent="0.3">
      <c r="A4965" t="str">
        <f>HYPERLINK("https://us2.cloudbeds.com/connect/10074733072513#/reservations/31731571278037?display=MXX56DXD3&amp;reservation_id=31731571278037", "MXX56DXD3")</f>
        <v>MXX56DXD3</v>
      </c>
      <c r="B4965" t="s">
        <v>1591</v>
      </c>
      <c r="C4965">
        <v>103.2</v>
      </c>
      <c r="D4965">
        <v>112.17</v>
      </c>
      <c r="E4965">
        <v>112.18</v>
      </c>
      <c r="F4965">
        <v>-0.01</v>
      </c>
    </row>
    <row r="4966" spans="1:6" x14ac:dyDescent="0.3">
      <c r="A4966" t="str">
        <f>HYPERLINK("https://us2.cloudbeds.com/connect/10074733072513#/reservations/31735942295790?display=MXYHT5XQH&amp;reservation_id=31735942295790", "MXYHT5XQH")</f>
        <v>MXYHT5XQH</v>
      </c>
      <c r="B4966" t="s">
        <v>1634</v>
      </c>
      <c r="C4966">
        <v>134.1</v>
      </c>
      <c r="D4966">
        <v>145.76</v>
      </c>
      <c r="E4966">
        <v>145.77000000000001</v>
      </c>
      <c r="F4966">
        <v>-0.01</v>
      </c>
    </row>
    <row r="4967" spans="1:6" x14ac:dyDescent="0.3">
      <c r="A4967" t="str">
        <f>HYPERLINK("https://us2.cloudbeds.com/connect/10074733072513#/reservations/31723833733333?display=MXC5FTW0F&amp;reservation_id=31723833733333", "MXC5FTW0F")</f>
        <v>MXC5FTW0F</v>
      </c>
      <c r="B4967" t="s">
        <v>1634</v>
      </c>
      <c r="C4967">
        <v>134.1</v>
      </c>
      <c r="D4967">
        <v>145.76</v>
      </c>
      <c r="E4967">
        <v>145.77000000000001</v>
      </c>
      <c r="F4967">
        <v>-0.01</v>
      </c>
    </row>
    <row r="4968" spans="1:6" x14ac:dyDescent="0.3">
      <c r="A4968" t="str">
        <f>HYPERLINK("https://us2.cloudbeds.com/connect/10074733072513#/reservations/31733066957012?display=MXJADK0WD&amp;reservation_id=31733066957012", "MXJADK0WD")</f>
        <v>MXJADK0WD</v>
      </c>
      <c r="B4968" t="s">
        <v>1595</v>
      </c>
      <c r="C4968">
        <v>150.22</v>
      </c>
      <c r="D4968">
        <v>163.28</v>
      </c>
      <c r="E4968">
        <v>163.29</v>
      </c>
      <c r="F4968">
        <v>-0.01</v>
      </c>
    </row>
    <row r="4969" spans="1:6" x14ac:dyDescent="0.3">
      <c r="A4969" t="str">
        <f>HYPERLINK("https://us2.cloudbeds.com/connect/10074733072513#/reservations/31726608691375?display=MXEACR8S3&amp;reservation_id=31726608691375", "MXEACR8S3")</f>
        <v>MXEACR8S3</v>
      </c>
      <c r="B4969" t="s">
        <v>1640</v>
      </c>
      <c r="C4969">
        <v>474.3</v>
      </c>
      <c r="D4969">
        <v>515.54999999999995</v>
      </c>
      <c r="E4969">
        <v>515.55999999999995</v>
      </c>
      <c r="F4969">
        <v>-0.01</v>
      </c>
    </row>
    <row r="4970" spans="1:6" x14ac:dyDescent="0.3">
      <c r="A4970" t="str">
        <f>HYPERLINK("https://us2.cloudbeds.com/connect/10074733072513#/reservations/31734800896189?display=MXKYNNEKR&amp;reservation_id=31734800896189", "MXKYNNEKR")</f>
        <v>MXKYNNEKR</v>
      </c>
      <c r="B4970" t="s">
        <v>1634</v>
      </c>
      <c r="C4970">
        <v>134.1</v>
      </c>
      <c r="D4970">
        <v>145.76</v>
      </c>
      <c r="E4970">
        <v>145.77000000000001</v>
      </c>
      <c r="F4970">
        <v>-0.01</v>
      </c>
    </row>
    <row r="4971" spans="1:6" x14ac:dyDescent="0.3">
      <c r="A4971" t="str">
        <f>HYPERLINK("https://us2.cloudbeds.com/connect/10074733072513#/reservations/31729415921841?display=MXGG3VJJW&amp;reservation_id=31729415921841", "MXGG3VJJW")</f>
        <v>MXGG3VJJW</v>
      </c>
      <c r="B4971" t="s">
        <v>1595</v>
      </c>
      <c r="C4971">
        <v>154.24</v>
      </c>
      <c r="D4971">
        <v>167.65</v>
      </c>
      <c r="E4971">
        <v>167.66</v>
      </c>
      <c r="F4971">
        <v>-0.01</v>
      </c>
    </row>
    <row r="4972" spans="1:6" x14ac:dyDescent="0.3">
      <c r="A4972" t="str">
        <f>HYPERLINK("https://us2.cloudbeds.com/connect/10074733072513#/reservations/31733116920051?display=MXJBMZANT&amp;reservation_id=31733116920051", "MXJBMZANT")</f>
        <v>MXJBMZANT</v>
      </c>
      <c r="B4972" t="s">
        <v>1631</v>
      </c>
      <c r="C4972">
        <v>106.27</v>
      </c>
      <c r="D4972">
        <v>115.51</v>
      </c>
      <c r="E4972">
        <v>115.52</v>
      </c>
      <c r="F4972">
        <v>-0.01</v>
      </c>
    </row>
    <row r="4973" spans="1:6" x14ac:dyDescent="0.3">
      <c r="A4973" t="str">
        <f>HYPERLINK("https://us2.cloudbeds.com/connect/10074733072513#/reservations/31732084772999?display=MXXXADA9G&amp;reservation_id=31732084772999", "MXXXADA9G")</f>
        <v>MXXXADA9G</v>
      </c>
      <c r="B4973" t="s">
        <v>1371</v>
      </c>
      <c r="C4973">
        <v>170.1</v>
      </c>
      <c r="D4973">
        <v>184.89</v>
      </c>
      <c r="E4973">
        <v>184.9</v>
      </c>
      <c r="F4973">
        <v>-0.01</v>
      </c>
    </row>
    <row r="4974" spans="1:6" x14ac:dyDescent="0.3">
      <c r="A4974" t="str">
        <f>HYPERLINK("https://us2.cloudbeds.com/connect/10074733072513#/reservations/31734411342049?display=MXKBP7HAU&amp;reservation_id=31734411342049", "MXKBP7HAU")</f>
        <v>MXKBP7HAU</v>
      </c>
      <c r="B4974" t="s">
        <v>1600</v>
      </c>
      <c r="C4974">
        <v>143.66</v>
      </c>
      <c r="D4974">
        <v>156.15</v>
      </c>
      <c r="E4974">
        <v>156.16</v>
      </c>
      <c r="F4974">
        <v>-0.01</v>
      </c>
    </row>
    <row r="4975" spans="1:6" x14ac:dyDescent="0.3">
      <c r="A4975" t="str">
        <f>HYPERLINK("https://us2.cloudbeds.com/connect/10074733072513#/reservations/31732802568404?display=MXJ3YM0TD&amp;reservation_id=31732802568404", "MXJ3YM0TD")</f>
        <v>MXJ3YM0TD</v>
      </c>
      <c r="B4975" t="s">
        <v>1600</v>
      </c>
      <c r="C4975">
        <v>170.1</v>
      </c>
      <c r="D4975">
        <v>184.89</v>
      </c>
      <c r="E4975">
        <v>184.9</v>
      </c>
      <c r="F4975">
        <v>-0.01</v>
      </c>
    </row>
    <row r="4976" spans="1:6" x14ac:dyDescent="0.3">
      <c r="A4976" t="str">
        <f>HYPERLINK("https://us2.cloudbeds.com/connect/10074733072513#/reservations/31728425693425?display=MXFNQW0V9&amp;reservation_id=31728425693425", "MXFNQW0V9")</f>
        <v>MXFNQW0V9</v>
      </c>
      <c r="B4976" t="s">
        <v>1618</v>
      </c>
      <c r="C4976">
        <v>250.2</v>
      </c>
      <c r="D4976">
        <v>271.95999999999998</v>
      </c>
      <c r="E4976">
        <v>271.97000000000003</v>
      </c>
      <c r="F4976">
        <v>-0.01</v>
      </c>
    </row>
    <row r="4977" spans="1:6" x14ac:dyDescent="0.3">
      <c r="A4977" t="str">
        <f>HYPERLINK("https://us2.cloudbeds.com/connect/10074733072513#/reservations/31733336527041?display=MXJH9U715&amp;reservation_id=31733336527041", "MXJH9U715")</f>
        <v>MXJH9U715</v>
      </c>
      <c r="B4977" t="s">
        <v>1462</v>
      </c>
      <c r="C4977">
        <v>129.6</v>
      </c>
      <c r="D4977">
        <v>140.87</v>
      </c>
      <c r="E4977">
        <v>140.88</v>
      </c>
      <c r="F4977">
        <v>-0.01</v>
      </c>
    </row>
    <row r="4978" spans="1:6" x14ac:dyDescent="0.3">
      <c r="A4978" t="str">
        <f>HYPERLINK("https://us2.cloudbeds.com/connect/10074733072513#/reservations/31734666014932?display=MXKX8W5Z0&amp;reservation_id=31734666014932", "MXKX8W5Z0")</f>
        <v>MXKX8W5Z0</v>
      </c>
      <c r="B4978" t="s">
        <v>1462</v>
      </c>
      <c r="C4978">
        <v>129.6</v>
      </c>
      <c r="D4978">
        <v>140.87</v>
      </c>
      <c r="E4978">
        <v>140.88</v>
      </c>
      <c r="F4978">
        <v>-0.01</v>
      </c>
    </row>
    <row r="4979" spans="1:6" x14ac:dyDescent="0.3">
      <c r="A4979" t="str">
        <f>HYPERLINK("https://us2.cloudbeds.com/connect/10074733072513#/reservations/31734082470121?display=MXK3BU5TU&amp;reservation_id=31734082470121", "MXK3BU5TU")</f>
        <v>MXK3BU5TU</v>
      </c>
      <c r="B4979" t="s">
        <v>1597</v>
      </c>
      <c r="C4979">
        <v>170.1</v>
      </c>
      <c r="D4979">
        <v>184.89</v>
      </c>
      <c r="E4979">
        <v>184.9</v>
      </c>
      <c r="F4979">
        <v>-0.01</v>
      </c>
    </row>
    <row r="4980" spans="1:6" x14ac:dyDescent="0.3">
      <c r="A4980" t="str">
        <f>HYPERLINK("https://us2.cloudbeds.com/connect/10074733072513#/reservations/31733143032018?display=MXJCBZUYK&amp;reservation_id=31733143032018", "MXJCBZUYK")</f>
        <v>MXJCBZUYK</v>
      </c>
      <c r="B4980" t="s">
        <v>1537</v>
      </c>
      <c r="C4980">
        <v>430.2</v>
      </c>
      <c r="D4980">
        <v>467.62</v>
      </c>
      <c r="E4980">
        <v>467.63</v>
      </c>
      <c r="F4980">
        <v>-0.01</v>
      </c>
    </row>
    <row r="4981" spans="1:6" x14ac:dyDescent="0.3">
      <c r="A4981" t="str">
        <f>HYPERLINK("https://us2.cloudbeds.com/connect/10074733072513#/reservations/31734653460610?display=MXKHVCRE0&amp;reservation_id=31734653460610", "MXKHVCRE0")</f>
        <v>MXKHVCRE0</v>
      </c>
      <c r="B4981" t="s">
        <v>1638</v>
      </c>
      <c r="C4981">
        <v>380.8</v>
      </c>
      <c r="D4981">
        <v>413.92</v>
      </c>
      <c r="E4981">
        <v>413.93</v>
      </c>
      <c r="F4981">
        <v>-0.01</v>
      </c>
    </row>
    <row r="4982" spans="1:6" x14ac:dyDescent="0.3">
      <c r="A4982" t="str">
        <f>HYPERLINK("https://us2.cloudbeds.com/connect/10074733072513#/reservations/31734056857747?display=MXK2NAFZC&amp;reservation_id=31734056857747", "MXK2NAFZC")</f>
        <v>MXK2NAFZC</v>
      </c>
      <c r="B4982" t="s">
        <v>1597</v>
      </c>
      <c r="C4982">
        <v>376.2</v>
      </c>
      <c r="D4982">
        <v>408.92</v>
      </c>
      <c r="E4982">
        <v>408.93</v>
      </c>
      <c r="F4982">
        <v>-0.01</v>
      </c>
    </row>
    <row r="4983" spans="1:6" x14ac:dyDescent="0.3">
      <c r="A4983" t="str">
        <f>HYPERLINK("https://us2.cloudbeds.com/connect/10074733072513#/reservations/31728500306147?display=MXFPNT7RS&amp;reservation_id=31728500306147", "MXFPNT7RS")</f>
        <v>MXFPNT7RS</v>
      </c>
      <c r="B4983" t="s">
        <v>1640</v>
      </c>
      <c r="C4983">
        <v>447.3</v>
      </c>
      <c r="D4983">
        <v>486.21</v>
      </c>
      <c r="E4983">
        <v>486.22</v>
      </c>
      <c r="F4983">
        <v>-0.01</v>
      </c>
    </row>
    <row r="4984" spans="1:6" x14ac:dyDescent="0.3">
      <c r="A4984" t="str">
        <f>HYPERLINK("https://us2.cloudbeds.com/connect/10074733072513#/reservations/31732049867007?display=MXXHDW015&amp;reservation_id=31732049867007", "MXXHDW015")</f>
        <v>MXXHDW015</v>
      </c>
      <c r="B4984" t="s">
        <v>1586</v>
      </c>
      <c r="C4984">
        <v>103.2</v>
      </c>
      <c r="D4984">
        <v>112.17</v>
      </c>
      <c r="E4984">
        <v>112.18</v>
      </c>
      <c r="F4984">
        <v>-0.01</v>
      </c>
    </row>
    <row r="4985" spans="1:6" x14ac:dyDescent="0.3">
      <c r="A4985" t="str">
        <f>HYPERLINK("https://us2.cloudbeds.com/connect/10074733072513#/reservations/31734981095600?display=MXKQAYP01&amp;reservation_id=31734981095600", "MXKQAYP01")</f>
        <v>MXKQAYP01</v>
      </c>
      <c r="B4985" t="s">
        <v>1632</v>
      </c>
      <c r="C4985">
        <v>170.1</v>
      </c>
      <c r="D4985">
        <v>184.89</v>
      </c>
      <c r="E4985">
        <v>184.9</v>
      </c>
      <c r="F4985">
        <v>-0.01</v>
      </c>
    </row>
    <row r="4986" spans="1:6" x14ac:dyDescent="0.3">
      <c r="A4986" t="str">
        <f>HYPERLINK("https://us2.cloudbeds.com/connect/10074733072513#/reservations/31728090407128?display=MXFF886CF&amp;reservation_id=31728090407128", "MXFF886CF")</f>
        <v>MXFF886CF</v>
      </c>
      <c r="B4986" t="s">
        <v>1637</v>
      </c>
      <c r="C4986">
        <v>259.2</v>
      </c>
      <c r="D4986">
        <v>281.74</v>
      </c>
      <c r="E4986">
        <v>281.75</v>
      </c>
      <c r="F4986">
        <v>-0.01</v>
      </c>
    </row>
    <row r="4987" spans="1:6" x14ac:dyDescent="0.3">
      <c r="A4987" t="str">
        <f>HYPERLINK("https://us2.cloudbeds.com/connect/10074733072513#/reservations/31733319434403?display=MXJGSGJAD&amp;reservation_id=31733319434403", "MXJGSGJAD")</f>
        <v>MXJGSGJAD</v>
      </c>
      <c r="B4987" t="s">
        <v>1608</v>
      </c>
      <c r="C4987">
        <v>170.1</v>
      </c>
      <c r="D4987">
        <v>184.89</v>
      </c>
      <c r="E4987">
        <v>184.9</v>
      </c>
      <c r="F4987">
        <v>-0.01</v>
      </c>
    </row>
    <row r="4988" spans="1:6" x14ac:dyDescent="0.3">
      <c r="A4988" t="str">
        <f>HYPERLINK("https://us2.cloudbeds.com/connect/10074733072513#/reservations/31731173494946?display=MXHS0WYM1&amp;reservation_id=31731173494946", "MXHS0WYM1")</f>
        <v>MXHS0WYM1</v>
      </c>
      <c r="B4988" t="s">
        <v>1600</v>
      </c>
      <c r="C4988">
        <v>143.66</v>
      </c>
      <c r="D4988">
        <v>156.15</v>
      </c>
      <c r="E4988">
        <v>156.16</v>
      </c>
      <c r="F4988">
        <v>-0.01</v>
      </c>
    </row>
    <row r="4989" spans="1:6" x14ac:dyDescent="0.3">
      <c r="A4989" t="str">
        <f>HYPERLINK("https://us2.cloudbeds.com/connect/10074733072513#/reservations/31734440702115?display=MXKCGWGTT&amp;reservation_id=31734440702115", "MXKCGWGTT")</f>
        <v>MXKCGWGTT</v>
      </c>
      <c r="B4989" t="s">
        <v>1600</v>
      </c>
      <c r="C4989">
        <v>154.24</v>
      </c>
      <c r="D4989">
        <v>167.65</v>
      </c>
      <c r="E4989">
        <v>167.66</v>
      </c>
      <c r="F4989">
        <v>-0.01</v>
      </c>
    </row>
    <row r="4990" spans="1:6" x14ac:dyDescent="0.3">
      <c r="A4990" t="str">
        <f>HYPERLINK("https://us2.cloudbeds.com/connect/10074733072513#/reservations/31732084768901?display=MXXXAD6HA&amp;reservation_id=31732084768901", "MXXXAD6HA")</f>
        <v>MXXXAD6HA</v>
      </c>
      <c r="B4990" t="s">
        <v>1371</v>
      </c>
      <c r="C4990">
        <v>170.1</v>
      </c>
      <c r="D4990">
        <v>184.89</v>
      </c>
      <c r="E4990">
        <v>184.9</v>
      </c>
      <c r="F4990">
        <v>-0.01</v>
      </c>
    </row>
    <row r="4991" spans="1:6" x14ac:dyDescent="0.3">
      <c r="A4991" t="str">
        <f>HYPERLINK("https://us2.cloudbeds.com/connect/10074733072513#/reservations/31734299050178?display=MXK8THRYV&amp;reservation_id=31734299050178", "MXK8THRYV")</f>
        <v>MXK8THRYV</v>
      </c>
      <c r="B4991" t="s">
        <v>1616</v>
      </c>
      <c r="C4991">
        <v>154.24</v>
      </c>
      <c r="D4991">
        <v>167.65</v>
      </c>
      <c r="E4991">
        <v>167.66</v>
      </c>
      <c r="F4991">
        <v>-0.01</v>
      </c>
    </row>
    <row r="4992" spans="1:6" x14ac:dyDescent="0.3">
      <c r="A4992" t="str">
        <f>HYPERLINK("https://us2.cloudbeds.com/connect/10074733072513#/reservations/31727898534085?display=MXFABF1DR&amp;reservation_id=31727898534085", "MXFABF1DR")</f>
        <v>MXFABF1DR</v>
      </c>
      <c r="B4992" t="s">
        <v>1639</v>
      </c>
      <c r="C4992">
        <v>500.4</v>
      </c>
      <c r="D4992">
        <v>543.91999999999996</v>
      </c>
      <c r="E4992">
        <v>543.92999999999995</v>
      </c>
      <c r="F4992">
        <v>-0.01</v>
      </c>
    </row>
    <row r="4993" spans="1:6" x14ac:dyDescent="0.3">
      <c r="A4993" t="str">
        <f>HYPERLINK("https://us2.cloudbeds.com/connect/10074733072513#/reservations/31734623719667?display=MXKH6A83A&amp;reservation_id=31734623719667", "MXKH6A83A")</f>
        <v>MXKH6A83A</v>
      </c>
      <c r="B4993" t="s">
        <v>1600</v>
      </c>
      <c r="C4993">
        <v>150.22</v>
      </c>
      <c r="D4993">
        <v>163.28</v>
      </c>
      <c r="E4993">
        <v>163.29</v>
      </c>
      <c r="F4993">
        <v>-0.01</v>
      </c>
    </row>
    <row r="4994" spans="1:6" x14ac:dyDescent="0.3">
      <c r="A4994" t="str">
        <f>HYPERLINK("https://us2.cloudbeds.com/connect/10074733072513#/reservations/31735407530131?display=MXY477UJX&amp;reservation_id=31735407530131", "MXY477UJX")</f>
        <v>MXY477UJX</v>
      </c>
      <c r="B4994" t="s">
        <v>1613</v>
      </c>
      <c r="C4994">
        <v>230.2</v>
      </c>
      <c r="D4994">
        <v>250.22</v>
      </c>
      <c r="E4994">
        <v>250.23</v>
      </c>
      <c r="F4994">
        <v>-0.01</v>
      </c>
    </row>
    <row r="4995" spans="1:6" x14ac:dyDescent="0.3">
      <c r="A4995" t="str">
        <f>HYPERLINK("https://us2.cloudbeds.com/connect/10074733072513#/reservations/31734433624302?display=MXKCB0XHN&amp;reservation_id=31734433624302", "MXKCB0XHN")</f>
        <v>MXKCB0XHN</v>
      </c>
      <c r="B4995" t="s">
        <v>1608</v>
      </c>
      <c r="C4995">
        <v>150.22</v>
      </c>
      <c r="D4995">
        <v>163.28</v>
      </c>
      <c r="E4995">
        <v>163.29</v>
      </c>
      <c r="F4995">
        <v>-0.01</v>
      </c>
    </row>
    <row r="4996" spans="1:6" x14ac:dyDescent="0.3">
      <c r="A4996" t="str">
        <f>HYPERLINK("https://us2.cloudbeds.com/connect/10074733072513#/reservations/31733443604699?display=MXJK16QKM&amp;reservation_id=31733443604699", "MXJK16QKM")</f>
        <v>MXJK16QKM</v>
      </c>
      <c r="B4996" t="s">
        <v>1608</v>
      </c>
      <c r="C4996">
        <v>376.2</v>
      </c>
      <c r="D4996">
        <v>408.92</v>
      </c>
      <c r="E4996">
        <v>408.93</v>
      </c>
      <c r="F4996">
        <v>-0.01</v>
      </c>
    </row>
    <row r="4997" spans="1:6" x14ac:dyDescent="0.3">
      <c r="A4997" t="str">
        <f>HYPERLINK("https://us2.cloudbeds.com/connect/10074733072513#/reservations/31726430716127?display=MXE5RZRSP&amp;reservation_id=31726430716127", "MXE5RZRSP")</f>
        <v>MXE5RZRSP</v>
      </c>
      <c r="B4997" t="s">
        <v>1560</v>
      </c>
      <c r="C4997">
        <v>304.2</v>
      </c>
      <c r="D4997">
        <v>330.66</v>
      </c>
      <c r="E4997">
        <v>330.67</v>
      </c>
      <c r="F4997">
        <v>-0.01</v>
      </c>
    </row>
    <row r="4998" spans="1:6" x14ac:dyDescent="0.3">
      <c r="A4998" t="str">
        <f>HYPERLINK("https://us2.cloudbeds.com/connect/10074733072513#/reservations/31732453138584?display=MXXRZ0KMW&amp;reservation_id=31732453138584", "MXXRZ0KMW")</f>
        <v>MXXRZ0KMW</v>
      </c>
      <c r="B4998" t="s">
        <v>1597</v>
      </c>
      <c r="C4998">
        <v>627.29999999999995</v>
      </c>
      <c r="D4998">
        <v>681.87</v>
      </c>
      <c r="E4998">
        <v>681.88</v>
      </c>
      <c r="F4998">
        <v>-0.01</v>
      </c>
    </row>
    <row r="4999" spans="1:6" x14ac:dyDescent="0.3">
      <c r="A4999" t="str">
        <f>HYPERLINK("https://us2.cloudbeds.com/connect/10074733072513#/reservations/31734861119651?display=MXKN8G887&amp;reservation_id=31734861119651", "MXKN8G887")</f>
        <v>MXKN8G887</v>
      </c>
      <c r="B4999" t="s">
        <v>1608</v>
      </c>
      <c r="C4999">
        <v>224.1</v>
      </c>
      <c r="D4999">
        <v>243.59</v>
      </c>
      <c r="E4999">
        <v>243.6</v>
      </c>
      <c r="F4999">
        <v>-0.01</v>
      </c>
    </row>
    <row r="5000" spans="1:6" x14ac:dyDescent="0.3">
      <c r="A5000" t="str">
        <f>HYPERLINK("https://us2.cloudbeds.com/connect/10074733072513#/reservations/31732473053346?display=MXXS7QPTK&amp;reservation_id=31732473053346", "MXXS7QPTK")</f>
        <v>MXXS7QPTK</v>
      </c>
      <c r="B5000" t="s">
        <v>1597</v>
      </c>
      <c r="C5000">
        <v>627.29999999999995</v>
      </c>
      <c r="D5000">
        <v>681.87</v>
      </c>
      <c r="E5000">
        <v>681.88</v>
      </c>
      <c r="F5000">
        <v>-0.01</v>
      </c>
    </row>
    <row r="5001" spans="1:6" x14ac:dyDescent="0.3">
      <c r="A5001" t="str">
        <f>HYPERLINK("https://us2.cloudbeds.com/connect/10074733072513#/reservations/31731033895096?display=MXHZF92QX&amp;reservation_id=31731033895096", "MXHZF92QX")</f>
        <v>MXHZF92QX</v>
      </c>
      <c r="B5001" t="s">
        <v>1371</v>
      </c>
      <c r="C5001">
        <v>170.1</v>
      </c>
      <c r="D5001">
        <v>184.89</v>
      </c>
      <c r="E5001">
        <v>184.9</v>
      </c>
      <c r="F5001">
        <v>-0.01</v>
      </c>
    </row>
    <row r="5002" spans="1:6" x14ac:dyDescent="0.3">
      <c r="A5002" t="str">
        <f>HYPERLINK("https://us2.cloudbeds.com/connect/10074733072513#/reservations/31731708924038?display=MXX8NFP31&amp;reservation_id=31731708924038", "MXX8NFP31")</f>
        <v>MXX8NFP31</v>
      </c>
      <c r="B5002" t="s">
        <v>1573</v>
      </c>
      <c r="C5002">
        <v>150.22</v>
      </c>
      <c r="D5002">
        <v>163.28</v>
      </c>
      <c r="E5002">
        <v>163.29</v>
      </c>
      <c r="F5002">
        <v>-0.01</v>
      </c>
    </row>
    <row r="5003" spans="1:6" x14ac:dyDescent="0.3">
      <c r="A5003" t="str">
        <f>HYPERLINK("https://us2.cloudbeds.com/connect/10074733072513#/reservations/31734396903657?display=MXKBD1ZUT&amp;reservation_id=31734396903657", "MXKBD1ZUT")</f>
        <v>MXKBD1ZUT</v>
      </c>
      <c r="B5003" t="s">
        <v>1625</v>
      </c>
      <c r="C5003">
        <v>154.24</v>
      </c>
      <c r="D5003">
        <v>167.65</v>
      </c>
      <c r="E5003">
        <v>167.66</v>
      </c>
      <c r="F5003">
        <v>-0.01</v>
      </c>
    </row>
    <row r="5004" spans="1:6" x14ac:dyDescent="0.3">
      <c r="A5004" t="str">
        <f>HYPERLINK("https://us2.cloudbeds.com/connect/10074733072513#/reservations/31734248292589?display=MXK7JZEA6&amp;reservation_id=31734248292589", "MXK7JZEA6")</f>
        <v>MXK7JZEA6</v>
      </c>
      <c r="B5004" t="s">
        <v>1573</v>
      </c>
      <c r="C5004">
        <v>154.24</v>
      </c>
      <c r="D5004">
        <v>167.65</v>
      </c>
      <c r="E5004">
        <v>167.66</v>
      </c>
      <c r="F5004">
        <v>-0.01</v>
      </c>
    </row>
    <row r="5005" spans="1:6" x14ac:dyDescent="0.3">
      <c r="A5005" t="str">
        <f>HYPERLINK("https://us2.cloudbeds.com/connect/10074733072513#/reservations/31730875523211?display=MXHKDZ52H&amp;reservation_id=31730875523211", "MXHKDZ52H")</f>
        <v>MXHKDZ52H</v>
      </c>
      <c r="B5005" t="s">
        <v>1537</v>
      </c>
      <c r="C5005">
        <v>408.36</v>
      </c>
      <c r="D5005">
        <v>443.88</v>
      </c>
      <c r="E5005">
        <v>443.89</v>
      </c>
      <c r="F5005">
        <v>-0.01</v>
      </c>
    </row>
    <row r="5006" spans="1:6" x14ac:dyDescent="0.3">
      <c r="A5006" t="str">
        <f>HYPERLINK("https://us2.cloudbeds.com/connect/10074733072513#/reservations/31732148744395?display=MXXJVBDHY&amp;reservation_id=31732148744395", "MXXJVBDHY")</f>
        <v>MXXJVBDHY</v>
      </c>
      <c r="B5006" t="s">
        <v>1605</v>
      </c>
      <c r="C5006">
        <v>106.27</v>
      </c>
      <c r="D5006">
        <v>115.51</v>
      </c>
      <c r="E5006">
        <v>115.52</v>
      </c>
      <c r="F5006">
        <v>-0.01</v>
      </c>
    </row>
    <row r="5007" spans="1:6" x14ac:dyDescent="0.3">
      <c r="A5007" t="str">
        <f>HYPERLINK("https://us2.cloudbeds.com/connect/10074733072513#/reservations/31730318024896?display=MXH5VEDJZ&amp;reservation_id=31730318024896", "MXH5VEDJZ")</f>
        <v>MXH5VEDJZ</v>
      </c>
      <c r="B5007" t="s">
        <v>1639</v>
      </c>
      <c r="C5007">
        <v>129.6</v>
      </c>
      <c r="D5007">
        <v>140.87</v>
      </c>
      <c r="E5007">
        <v>140.88</v>
      </c>
      <c r="F5007">
        <v>-0.01</v>
      </c>
    </row>
    <row r="5008" spans="1:6" x14ac:dyDescent="0.3">
      <c r="A5008" t="str">
        <f>HYPERLINK("https://us2.cloudbeds.com/connect/10074733072513#/reservations/31731696341184?display=MXX7WYAXH&amp;reservation_id=31731696341184", "MXX7WYAXH")</f>
        <v>MXX7WYAXH</v>
      </c>
      <c r="B5008" t="s">
        <v>1605</v>
      </c>
      <c r="C5008">
        <v>127.2</v>
      </c>
      <c r="D5008">
        <v>138.26</v>
      </c>
      <c r="E5008">
        <v>138.27000000000001</v>
      </c>
      <c r="F5008">
        <v>-0.01</v>
      </c>
    </row>
    <row r="5009" spans="1:6" x14ac:dyDescent="0.3">
      <c r="A5009" t="str">
        <f>HYPERLINK("https://us2.cloudbeds.com/connect/10074733072513#/reservations/31734562926741?display=MXKFY1JXE&amp;reservation_id=31734562926741", "MXKFY1JXE")</f>
        <v>MXKFY1JXE</v>
      </c>
      <c r="B5009" t="s">
        <v>1646</v>
      </c>
      <c r="C5009">
        <v>182.36</v>
      </c>
      <c r="D5009">
        <v>198.22</v>
      </c>
      <c r="E5009">
        <v>198.23</v>
      </c>
      <c r="F5009">
        <v>-0.01</v>
      </c>
    </row>
    <row r="5010" spans="1:6" x14ac:dyDescent="0.3">
      <c r="A5010" t="str">
        <f>HYPERLINK("https://us2.cloudbeds.com/connect/10074733072513#/reservations/31726090305721?display=MXDU4NDVU&amp;reservation_id=31726090305721", "MXDU4NDVU")</f>
        <v>MXDU4NDVU</v>
      </c>
      <c r="B5010" t="s">
        <v>1657</v>
      </c>
      <c r="C5010">
        <v>129.6</v>
      </c>
      <c r="D5010">
        <v>140.87</v>
      </c>
      <c r="E5010">
        <v>140.88</v>
      </c>
      <c r="F5010">
        <v>-0.01</v>
      </c>
    </row>
    <row r="5011" spans="1:6" x14ac:dyDescent="0.3">
      <c r="A5011" t="str">
        <f>HYPERLINK("https://us2.cloudbeds.com/connect/10074733072513#/reservations/31734261350541?display=MXK7UZQ2N&amp;reservation_id=31734261350541", "MXK7UZQ2N")</f>
        <v>MXK7UZQ2N</v>
      </c>
      <c r="B5011" t="s">
        <v>1625</v>
      </c>
      <c r="C5011">
        <v>224.1</v>
      </c>
      <c r="D5011">
        <v>243.59</v>
      </c>
      <c r="E5011">
        <v>243.6</v>
      </c>
      <c r="F5011">
        <v>-0.01</v>
      </c>
    </row>
    <row r="5012" spans="1:6" x14ac:dyDescent="0.3">
      <c r="A5012" t="str">
        <f>HYPERLINK("https://us2.cloudbeds.com/connect/10074733072513#/reservations/31730323972314?display=MXH6AYEDW&amp;reservation_id=31730323972314", "MXH6AYEDW")</f>
        <v>MXH6AYEDW</v>
      </c>
      <c r="B5012" t="s">
        <v>1639</v>
      </c>
      <c r="C5012">
        <v>129.6</v>
      </c>
      <c r="D5012">
        <v>140.87</v>
      </c>
      <c r="E5012">
        <v>140.88</v>
      </c>
      <c r="F5012">
        <v>-0.01</v>
      </c>
    </row>
    <row r="5013" spans="1:6" x14ac:dyDescent="0.3">
      <c r="A5013" t="str">
        <f>HYPERLINK("https://us2.cloudbeds.com/connect/10074733072513#/reservations/31734363263198?display=MXKAHMYQ1&amp;reservation_id=31734363263198", "MXKAHMYQ1")</f>
        <v>MXKAHMYQ1</v>
      </c>
      <c r="B5013" t="s">
        <v>1616</v>
      </c>
      <c r="C5013">
        <v>154.24</v>
      </c>
      <c r="D5013">
        <v>167.65</v>
      </c>
      <c r="E5013">
        <v>167.66</v>
      </c>
      <c r="F5013">
        <v>-0.01</v>
      </c>
    </row>
    <row r="5014" spans="1:6" x14ac:dyDescent="0.3">
      <c r="A5014" t="str">
        <f>HYPERLINK("https://us2.cloudbeds.com/connect/10074733072513#/reservations/31734071652500?display=MXK32Q5C7&amp;reservation_id=31734071652500", "MXK32Q5C7")</f>
        <v>MXK32Q5C7</v>
      </c>
      <c r="B5014" t="s">
        <v>1597</v>
      </c>
      <c r="C5014">
        <v>154.24</v>
      </c>
      <c r="D5014">
        <v>167.65</v>
      </c>
      <c r="E5014">
        <v>167.66</v>
      </c>
      <c r="F5014">
        <v>-0.01</v>
      </c>
    </row>
    <row r="5015" spans="1:6" x14ac:dyDescent="0.3">
      <c r="A5015" t="str">
        <f>HYPERLINK("https://us2.cloudbeds.com/connect/10074733072513#/reservations/31734327910574?display=MXK9KSUDD&amp;reservation_id=31734327910574", "MXK9KSUDD")</f>
        <v>MXK9KSUDD</v>
      </c>
      <c r="B5015" t="s">
        <v>1616</v>
      </c>
      <c r="C5015">
        <v>224.1</v>
      </c>
      <c r="D5015">
        <v>243.59</v>
      </c>
      <c r="E5015">
        <v>243.6</v>
      </c>
      <c r="F5015">
        <v>-0.01</v>
      </c>
    </row>
    <row r="5016" spans="1:6" x14ac:dyDescent="0.3">
      <c r="A5016" t="str">
        <f>HYPERLINK("https://us2.cloudbeds.com/connect/10074733072513#/reservations/31731087245451?display=MXHPR8Y0W&amp;reservation_id=31731087245451", "MXHPR8Y0W")</f>
        <v>MXHPR8Y0W</v>
      </c>
      <c r="B5016" t="s">
        <v>1658</v>
      </c>
      <c r="C5016">
        <v>154.24</v>
      </c>
      <c r="D5016">
        <v>167.65</v>
      </c>
      <c r="E5016">
        <v>167.66</v>
      </c>
      <c r="F5016">
        <v>-0.01</v>
      </c>
    </row>
    <row r="5017" spans="1:6" x14ac:dyDescent="0.3">
      <c r="A5017" t="str">
        <f>HYPERLINK("https://us2.cloudbeds.com/connect/10074733072513#/reservations/31734164189384?display=MXK5ER4X7&amp;reservation_id=31734164189384", "MXK5ER4X7")</f>
        <v>MXK5ER4X7</v>
      </c>
      <c r="B5017" t="s">
        <v>1643</v>
      </c>
      <c r="C5017">
        <v>129.6</v>
      </c>
      <c r="D5017">
        <v>140.87</v>
      </c>
      <c r="E5017">
        <v>140.88</v>
      </c>
      <c r="F5017">
        <v>-0.01</v>
      </c>
    </row>
    <row r="5018" spans="1:6" x14ac:dyDescent="0.3">
      <c r="A5018" t="str">
        <f>HYPERLINK("https://us2.cloudbeds.com/connect/10074733072513#/reservations/31732444102907?display=MXXRGD6FJ&amp;reservation_id=31732444102907", "MXXRGD6FJ")</f>
        <v>MXXRGD6FJ</v>
      </c>
      <c r="B5018" t="s">
        <v>1597</v>
      </c>
      <c r="C5018">
        <v>430.2</v>
      </c>
      <c r="D5018">
        <v>467.62</v>
      </c>
      <c r="E5018">
        <v>467.63</v>
      </c>
      <c r="F5018">
        <v>-0.01</v>
      </c>
    </row>
    <row r="5019" spans="1:6" x14ac:dyDescent="0.3">
      <c r="A5019" t="str">
        <f>HYPERLINK("https://us2.cloudbeds.com/connect/10074733072513#/reservations/31730074722493?display=MXGWVFMT3&amp;reservation_id=31730074722493", "MXGWVFMT3")</f>
        <v>MXGWVFMT3</v>
      </c>
      <c r="B5019" t="s">
        <v>1607</v>
      </c>
      <c r="C5019">
        <v>250.2</v>
      </c>
      <c r="D5019">
        <v>271.95999999999998</v>
      </c>
      <c r="E5019">
        <v>271.97000000000003</v>
      </c>
      <c r="F5019">
        <v>-0.01</v>
      </c>
    </row>
    <row r="5020" spans="1:6" x14ac:dyDescent="0.3">
      <c r="A5020" t="str">
        <f>HYPERLINK("https://us2.cloudbeds.com/connect/10074733072513#/reservations/31734185062647?display=MXK5WDVUB&amp;reservation_id=31734185062647", "MXK5WDVUB")</f>
        <v>MXK5WDVUB</v>
      </c>
      <c r="B5020" t="s">
        <v>1643</v>
      </c>
      <c r="C5020">
        <v>106.27</v>
      </c>
      <c r="D5020">
        <v>115.51</v>
      </c>
      <c r="E5020">
        <v>115.52</v>
      </c>
      <c r="F5020">
        <v>-0.01</v>
      </c>
    </row>
    <row r="5021" spans="1:6" x14ac:dyDescent="0.3">
      <c r="A5021" t="str">
        <f>HYPERLINK("https://us2.cloudbeds.com/connect/10074733072513#/reservations/31734314082517?display=MXK9974FC&amp;reservation_id=31734314082517", "MXK9974FC")</f>
        <v>MXK9974FC</v>
      </c>
      <c r="B5021" t="s">
        <v>1643</v>
      </c>
      <c r="C5021">
        <v>129.6</v>
      </c>
      <c r="D5021">
        <v>140.87</v>
      </c>
      <c r="E5021">
        <v>140.88</v>
      </c>
      <c r="F5021">
        <v>-0.01</v>
      </c>
    </row>
    <row r="5022" spans="1:6" x14ac:dyDescent="0.3">
      <c r="A5022" t="str">
        <f>HYPERLINK("https://us2.cloudbeds.com/connect/10074733072513#/reservations/31732076749040?display=MXXX3Y137&amp;reservation_id=31732076749040", "MXXX3Y137")</f>
        <v>MXXX3Y137</v>
      </c>
      <c r="B5022" t="s">
        <v>1591</v>
      </c>
      <c r="C5022">
        <v>103.2</v>
      </c>
      <c r="D5022">
        <v>112.17</v>
      </c>
      <c r="E5022">
        <v>112.18</v>
      </c>
      <c r="F5022">
        <v>-0.01</v>
      </c>
    </row>
    <row r="5023" spans="1:6" x14ac:dyDescent="0.3">
      <c r="A5023" t="str">
        <f>HYPERLINK("https://us2.cloudbeds.com/connect/10074733072513#/reservations/31734124769499?display=MXK4EJ7A8&amp;reservation_id=31734124769499", "MXK4EJ7A8")</f>
        <v>MXK4EJ7A8</v>
      </c>
      <c r="B5023" t="s">
        <v>1643</v>
      </c>
      <c r="C5023">
        <v>106.27</v>
      </c>
      <c r="D5023">
        <v>115.51</v>
      </c>
      <c r="E5023">
        <v>115.52</v>
      </c>
      <c r="F5023">
        <v>-0.01</v>
      </c>
    </row>
    <row r="5024" spans="1:6" x14ac:dyDescent="0.3">
      <c r="A5024" t="str">
        <f>HYPERLINK("https://us2.cloudbeds.com/connect/10074733072513#/reservations/31733594341597?display=MXJNTA9BF&amp;reservation_id=31733594341597", "MXJNTA9BF")</f>
        <v>MXJNTA9BF</v>
      </c>
      <c r="B5024" t="s">
        <v>1651</v>
      </c>
      <c r="C5024">
        <v>282.39999999999998</v>
      </c>
      <c r="D5024">
        <v>306.95999999999998</v>
      </c>
      <c r="E5024">
        <v>306.97000000000003</v>
      </c>
      <c r="F5024">
        <v>-0.01</v>
      </c>
    </row>
    <row r="5025" spans="1:6" x14ac:dyDescent="0.3">
      <c r="A5025" t="str">
        <f>HYPERLINK("https://us2.cloudbeds.com/connect/10074733072513#/reservations/31729903861897?display=MXGSJD839&amp;reservation_id=31729903861897", "MXGSJD839")</f>
        <v>MXGSJD839</v>
      </c>
      <c r="B5025" t="s">
        <v>1324</v>
      </c>
      <c r="C5025">
        <v>170.1</v>
      </c>
      <c r="D5025">
        <v>184.89</v>
      </c>
      <c r="E5025">
        <v>184.9</v>
      </c>
      <c r="F5025">
        <v>-0.01</v>
      </c>
    </row>
    <row r="5026" spans="1:6" x14ac:dyDescent="0.3">
      <c r="A5026" t="str">
        <f>HYPERLINK("https://us2.cloudbeds.com/connect/10074733072513#/reservations/31729919152346?display=MXGSW9NU6&amp;reservation_id=31729919152346", "MXGSW9NU6")</f>
        <v>MXGSW9NU6</v>
      </c>
      <c r="B5026" t="s">
        <v>1324</v>
      </c>
      <c r="C5026">
        <v>304.2</v>
      </c>
      <c r="D5026">
        <v>330.66</v>
      </c>
      <c r="E5026">
        <v>330.67</v>
      </c>
      <c r="F5026">
        <v>-0.01</v>
      </c>
    </row>
    <row r="5027" spans="1:6" x14ac:dyDescent="0.3">
      <c r="A5027" t="str">
        <f>HYPERLINK("https://us2.cloudbeds.com/connect/10074733072513#/reservations/31731981885597?display=MXXFMYAGE&amp;reservation_id=31731981885597", "MXXFMYAGE")</f>
        <v>MXXFMYAGE</v>
      </c>
      <c r="B5027" t="s">
        <v>1577</v>
      </c>
      <c r="C5027">
        <v>113.65</v>
      </c>
      <c r="D5027">
        <v>123.53</v>
      </c>
      <c r="E5027">
        <v>123.54</v>
      </c>
      <c r="F5027">
        <v>-0.01</v>
      </c>
    </row>
    <row r="5028" spans="1:6" x14ac:dyDescent="0.3">
      <c r="A5028" t="str">
        <f>HYPERLINK("https://us2.cloudbeds.com/connect/10074733072513#/reservations/31731929895070?display=MXXEBQJVU&amp;reservation_id=31731929895070", "MXXEBQJVU")</f>
        <v>MXXEBQJVU</v>
      </c>
      <c r="B5028" t="s">
        <v>1577</v>
      </c>
      <c r="C5028">
        <v>106.27</v>
      </c>
      <c r="D5028">
        <v>115.51</v>
      </c>
      <c r="E5028">
        <v>115.52</v>
      </c>
      <c r="F5028">
        <v>-0.01</v>
      </c>
    </row>
    <row r="5029" spans="1:6" x14ac:dyDescent="0.3">
      <c r="A5029" t="str">
        <f>HYPERLINK("https://us2.cloudbeds.com/connect/10074733072513#/reservations/31730080608478?display=MXH03EFR9&amp;reservation_id=31730080608478", "MXH03EFR9")</f>
        <v>MXH03EFR9</v>
      </c>
      <c r="B5029" t="s">
        <v>1591</v>
      </c>
      <c r="C5029">
        <v>103.2</v>
      </c>
      <c r="D5029">
        <v>112.17</v>
      </c>
      <c r="E5029">
        <v>112.18</v>
      </c>
      <c r="F5029">
        <v>-0.01</v>
      </c>
    </row>
    <row r="5030" spans="1:6" x14ac:dyDescent="0.3">
      <c r="A5030" t="str">
        <f>HYPERLINK("https://us2.cloudbeds.com/connect/10074733072513#/reservations/31731941306511?display=MXXEYE4Q5&amp;reservation_id=31731941306511", "MXXEYE4Q5")</f>
        <v>MXXEYE4Q5</v>
      </c>
      <c r="B5030" t="s">
        <v>1577</v>
      </c>
      <c r="C5030">
        <v>113.65</v>
      </c>
      <c r="D5030">
        <v>123.53</v>
      </c>
      <c r="E5030">
        <v>123.54</v>
      </c>
      <c r="F5030">
        <v>-0.01</v>
      </c>
    </row>
    <row r="5031" spans="1:6" x14ac:dyDescent="0.3">
      <c r="A5031" t="str">
        <f>HYPERLINK("https://us2.cloudbeds.com/connect/10074733072513#/reservations/31733815828638?display=MXJTX2G1W&amp;reservation_id=31733815828638", "MXJTX2G1W")</f>
        <v>MXJTX2G1W</v>
      </c>
      <c r="B5031" t="s">
        <v>1577</v>
      </c>
      <c r="C5031">
        <v>129.6</v>
      </c>
      <c r="D5031">
        <v>140.87</v>
      </c>
      <c r="E5031">
        <v>140.88</v>
      </c>
      <c r="F5031">
        <v>-0.01</v>
      </c>
    </row>
    <row r="5032" spans="1:6" x14ac:dyDescent="0.3">
      <c r="A5032" t="str">
        <f>HYPERLINK("https://us2.cloudbeds.com/connect/10074733072513#/reservations/31731919618177?display=MXXE34KVU&amp;reservation_id=31731919618177", "MXXE34KVU")</f>
        <v>MXXE34KVU</v>
      </c>
      <c r="B5032" t="s">
        <v>1577</v>
      </c>
      <c r="C5032">
        <v>106.27</v>
      </c>
      <c r="D5032">
        <v>115.51</v>
      </c>
      <c r="E5032">
        <v>115.52</v>
      </c>
      <c r="F5032">
        <v>-0.01</v>
      </c>
    </row>
    <row r="5033" spans="1:6" x14ac:dyDescent="0.3">
      <c r="A5033" t="str">
        <f>HYPERLINK("https://us2.cloudbeds.com/connect/10074733072513#/reservations/31730963239118?display=MXHMYMW9A&amp;reservation_id=31730963239118", "MXHMYMW9A")</f>
        <v>MXHMYMW9A</v>
      </c>
      <c r="B5033" t="s">
        <v>1371</v>
      </c>
      <c r="C5033">
        <v>430.2</v>
      </c>
      <c r="D5033">
        <v>467.62</v>
      </c>
      <c r="E5033">
        <v>467.63</v>
      </c>
      <c r="F5033">
        <v>-0.01</v>
      </c>
    </row>
    <row r="5034" spans="1:6" x14ac:dyDescent="0.3">
      <c r="A5034" t="str">
        <f>HYPERLINK("https://us2.cloudbeds.com/connect/10074733072513#/reservations/31733223555213?display=MXJEDYJWE&amp;reservation_id=31733223555213", "MXJEDYJWE")</f>
        <v>MXJEDYJWE</v>
      </c>
      <c r="B5034" t="s">
        <v>1572</v>
      </c>
      <c r="C5034">
        <v>359.16</v>
      </c>
      <c r="D5034">
        <v>390.4</v>
      </c>
      <c r="E5034">
        <v>390.41</v>
      </c>
      <c r="F5034">
        <v>-0.01</v>
      </c>
    </row>
    <row r="5035" spans="1:6" x14ac:dyDescent="0.3">
      <c r="A5035" t="str">
        <f>HYPERLINK("https://us2.cloudbeds.com/connect/10074733072513#/reservations/31728303423617?display=MXFKMSMQJ&amp;reservation_id=31728303423617", "MXFKMSMQJ")</f>
        <v>MXFKMSMQJ</v>
      </c>
      <c r="B5035" t="s">
        <v>1604</v>
      </c>
      <c r="C5035">
        <v>278.95999999999998</v>
      </c>
      <c r="D5035">
        <v>303.22000000000003</v>
      </c>
      <c r="E5035">
        <v>303.23</v>
      </c>
      <c r="F5035">
        <v>-0.01</v>
      </c>
    </row>
    <row r="5036" spans="1:6" x14ac:dyDescent="0.3">
      <c r="A5036" t="str">
        <f>HYPERLINK("https://us2.cloudbeds.com/connect/10074733072513#/reservations/31729695580406?display=MXGN8PGMV&amp;reservation_id=31729695580406", "MXGN8PGMV")</f>
        <v>MXGN8PGMV</v>
      </c>
      <c r="B5036" t="s">
        <v>1371</v>
      </c>
      <c r="C5036">
        <v>376.2</v>
      </c>
      <c r="D5036">
        <v>408.92</v>
      </c>
      <c r="E5036">
        <v>408.93</v>
      </c>
      <c r="F5036">
        <v>-0.01</v>
      </c>
    </row>
    <row r="5037" spans="1:6" x14ac:dyDescent="0.3">
      <c r="A5037" t="str">
        <f>HYPERLINK("https://us2.cloudbeds.com/connect/10074733072513#/reservations/31728430145679?display=MXFNUNUB2&amp;reservation_id=31728430145679", "MXFNUNUB2")</f>
        <v>MXFNUNUB2</v>
      </c>
      <c r="B5037" t="s">
        <v>1618</v>
      </c>
      <c r="C5037">
        <v>212.54</v>
      </c>
      <c r="D5037">
        <v>231.02</v>
      </c>
      <c r="E5037">
        <v>231.03</v>
      </c>
      <c r="F5037">
        <v>-0.01</v>
      </c>
    </row>
    <row r="5038" spans="1:6" x14ac:dyDescent="0.3">
      <c r="A5038" t="str">
        <f>HYPERLINK("https://us2.cloudbeds.com/connect/10074733072513#/reservations/31731482013874?display=MXX2U4YFF&amp;reservation_id=31731482013874", "MXX2U4YFF")</f>
        <v>MXX2U4YFF</v>
      </c>
      <c r="B5038" t="s">
        <v>1618</v>
      </c>
      <c r="C5038">
        <v>113.65</v>
      </c>
      <c r="D5038">
        <v>123.53</v>
      </c>
      <c r="E5038">
        <v>123.54</v>
      </c>
      <c r="F5038">
        <v>-0.01</v>
      </c>
    </row>
    <row r="5039" spans="1:6" x14ac:dyDescent="0.3">
      <c r="A5039" t="str">
        <f>HYPERLINK("https://us2.cloudbeds.com/connect/10074733072513#/reservations/31728476033258?display=MXFP3DQMP&amp;reservation_id=31728476033258", "MXFP3DQMP")</f>
        <v>MXFP3DQMP</v>
      </c>
      <c r="B5039" t="s">
        <v>1618</v>
      </c>
      <c r="C5039">
        <v>106.27</v>
      </c>
      <c r="D5039">
        <v>115.51</v>
      </c>
      <c r="E5039">
        <v>115.52</v>
      </c>
      <c r="F5039">
        <v>-0.01</v>
      </c>
    </row>
    <row r="5040" spans="1:6" x14ac:dyDescent="0.3">
      <c r="A5040" t="str">
        <f>HYPERLINK("https://us2.cloudbeds.com/connect/10074733072513#/reservations/31731446710422?display=MXX20C97T&amp;reservation_id=31731446710422", "MXX20C97T")</f>
        <v>MXX20C97T</v>
      </c>
      <c r="B5040" t="s">
        <v>1618</v>
      </c>
      <c r="C5040">
        <v>129.6</v>
      </c>
      <c r="D5040">
        <v>140.87</v>
      </c>
      <c r="E5040">
        <v>140.88</v>
      </c>
      <c r="F5040">
        <v>-0.01</v>
      </c>
    </row>
    <row r="5041" spans="1:6" x14ac:dyDescent="0.3">
      <c r="A5041" t="str">
        <f>HYPERLINK("https://us2.cloudbeds.com/connect/10074733072513#/reservations/31732542300290?display=MXXU06MHS&amp;reservation_id=31732542300290", "MXXU06MHS")</f>
        <v>MXXU06MHS</v>
      </c>
      <c r="B5041" t="s">
        <v>1604</v>
      </c>
      <c r="C5041">
        <v>456.3</v>
      </c>
      <c r="D5041">
        <v>495.99</v>
      </c>
      <c r="E5041">
        <v>496</v>
      </c>
      <c r="F5041">
        <v>-0.01</v>
      </c>
    </row>
    <row r="5042" spans="1:6" x14ac:dyDescent="0.3">
      <c r="A5042" t="str">
        <f>HYPERLINK("https://us2.cloudbeds.com/connect/10074733072513#/reservations/31731750961290?display=MXX9PUGQ5&amp;reservation_id=31731750961290", "MXX9PUGQ5")</f>
        <v>MXX9PUGQ5</v>
      </c>
      <c r="B5042" t="s">
        <v>1573</v>
      </c>
      <c r="C5042">
        <v>143.66</v>
      </c>
      <c r="D5042">
        <v>156.15</v>
      </c>
      <c r="E5042">
        <v>156.16</v>
      </c>
      <c r="F5042">
        <v>-0.01</v>
      </c>
    </row>
    <row r="5043" spans="1:6" x14ac:dyDescent="0.3">
      <c r="A5043" t="str">
        <f>HYPERLINK("https://us2.cloudbeds.com/connect/10074733072513#/reservations/31735039729873?display=MXKRR3BA6&amp;reservation_id=31735039729873", "MXKRR3BA6")</f>
        <v>MXKRR3BA6</v>
      </c>
      <c r="B5043" t="s">
        <v>1651</v>
      </c>
      <c r="C5043">
        <v>376.2</v>
      </c>
      <c r="D5043">
        <v>408.92</v>
      </c>
      <c r="E5043">
        <v>408.93</v>
      </c>
      <c r="F5043">
        <v>-0.01</v>
      </c>
    </row>
    <row r="5044" spans="1:6" x14ac:dyDescent="0.3">
      <c r="A5044" t="str">
        <f>HYPERLINK("https://us2.cloudbeds.com/connect/10074733072513#/reservations/31730876010701?display=MXHKE4NNV&amp;reservation_id=31730876010701", "MXHKE4NNV")</f>
        <v>MXHKE4NNV</v>
      </c>
      <c r="B5044" t="s">
        <v>1660</v>
      </c>
      <c r="C5044">
        <v>129.6</v>
      </c>
      <c r="D5044">
        <v>140.87</v>
      </c>
      <c r="E5044">
        <v>140.88</v>
      </c>
      <c r="F5044">
        <v>-0.01</v>
      </c>
    </row>
    <row r="5045" spans="1:6" x14ac:dyDescent="0.3">
      <c r="A5045" t="str">
        <f>HYPERLINK("https://us2.cloudbeds.com/connect/10074733072513#/reservations/31730886230179?display=MXHKMP303&amp;reservation_id=31730886230179", "MXHKMP303")</f>
        <v>MXHKMP303</v>
      </c>
      <c r="B5045" t="s">
        <v>1660</v>
      </c>
      <c r="C5045">
        <v>154.24</v>
      </c>
      <c r="D5045">
        <v>167.65</v>
      </c>
      <c r="E5045">
        <v>167.66</v>
      </c>
      <c r="F5045">
        <v>-0.01</v>
      </c>
    </row>
    <row r="5046" spans="1:6" x14ac:dyDescent="0.3">
      <c r="A5046" t="str">
        <f>HYPERLINK("https://us2.cloudbeds.com/connect/10074733072513#/reservations/31732558303419?display=MXXUDMWQ5&amp;reservation_id=31732558303419", "MXXUDMWQ5")</f>
        <v>MXXUDMWQ5</v>
      </c>
      <c r="B5046" t="s">
        <v>1604</v>
      </c>
      <c r="C5046">
        <v>170.1</v>
      </c>
      <c r="D5046">
        <v>184.89</v>
      </c>
      <c r="E5046">
        <v>184.9</v>
      </c>
      <c r="F5046">
        <v>-0.01</v>
      </c>
    </row>
    <row r="5047" spans="1:6" x14ac:dyDescent="0.3">
      <c r="A5047" t="str">
        <f>HYPERLINK("https://us2.cloudbeds.com/connect/10074733072513#/reservations/31730946171040?display=MXHM7A13R&amp;reservation_id=31730946171040", "MXHM7A13R")</f>
        <v>MXHM7A13R</v>
      </c>
      <c r="B5047" t="s">
        <v>1371</v>
      </c>
      <c r="C5047">
        <v>143.66</v>
      </c>
      <c r="D5047">
        <v>156.15</v>
      </c>
      <c r="E5047">
        <v>156.16</v>
      </c>
      <c r="F5047">
        <v>-0.01</v>
      </c>
    </row>
    <row r="5048" spans="1:6" x14ac:dyDescent="0.3">
      <c r="A5048" t="str">
        <f>HYPERLINK("https://us2.cloudbeds.com/connect/10074733072513#/reservations/31719501598940?display=MX8QPUV5M&amp;reservation_id=31719501598940", "MX8QPUV5M")</f>
        <v>MX8QPUV5M</v>
      </c>
      <c r="B5048" t="s">
        <v>1666</v>
      </c>
      <c r="C5048">
        <v>134.1</v>
      </c>
      <c r="D5048">
        <v>145.76</v>
      </c>
      <c r="E5048">
        <v>145.77000000000001</v>
      </c>
      <c r="F5048">
        <v>-0.01</v>
      </c>
    </row>
    <row r="5049" spans="1:6" x14ac:dyDescent="0.3">
      <c r="A5049" t="str">
        <f>HYPERLINK("https://us2.cloudbeds.com/connect/10074733072513#/reservations/31729768382682?display=MXGP45B3H&amp;reservation_id=31729768382682", "MXGP45B3H")</f>
        <v>MXGP45B3H</v>
      </c>
      <c r="B5049" t="s">
        <v>1651</v>
      </c>
      <c r="C5049">
        <v>143.66</v>
      </c>
      <c r="D5049">
        <v>156.15</v>
      </c>
      <c r="E5049">
        <v>156.16</v>
      </c>
      <c r="F5049">
        <v>-0.01</v>
      </c>
    </row>
    <row r="5050" spans="1:6" x14ac:dyDescent="0.3">
      <c r="A5050" t="str">
        <f>HYPERLINK("https://us2.cloudbeds.com/connect/10074733072513#/reservations/31732204413152?display=MXXYC9FMY&amp;reservation_id=31732204413152", "MXXYC9FMY")</f>
        <v>MXXYC9FMY</v>
      </c>
      <c r="B5050" t="s">
        <v>1607</v>
      </c>
      <c r="C5050">
        <v>612.9</v>
      </c>
      <c r="D5050">
        <v>666.21</v>
      </c>
      <c r="E5050">
        <v>666.22</v>
      </c>
      <c r="F5050">
        <v>-0.01</v>
      </c>
    </row>
    <row r="5051" spans="1:6" x14ac:dyDescent="0.3">
      <c r="A5051" t="str">
        <f>HYPERLINK("https://us2.cloudbeds.com/connect/10074733072513#/reservations/31730845954247?display=MXHJYQBMA&amp;reservation_id=31730845954247", "MXHJYQBMA")</f>
        <v>MXHJYQBMA</v>
      </c>
      <c r="B5051" t="s">
        <v>1528</v>
      </c>
      <c r="C5051">
        <v>129.6</v>
      </c>
      <c r="D5051">
        <v>140.87</v>
      </c>
      <c r="E5051">
        <v>140.88</v>
      </c>
      <c r="F5051">
        <v>-0.01</v>
      </c>
    </row>
    <row r="5052" spans="1:6" x14ac:dyDescent="0.3">
      <c r="A5052" t="str">
        <f>HYPERLINK("https://us2.cloudbeds.com/connect/10074733072513#/reservations/31730984980612?display=MXHN70VUF&amp;reservation_id=31730984980612", "MXHN70VUF")</f>
        <v>MXHN70VUF</v>
      </c>
      <c r="B5052" t="s">
        <v>1412</v>
      </c>
      <c r="C5052">
        <v>515.95000000000005</v>
      </c>
      <c r="D5052">
        <v>560.83000000000004</v>
      </c>
      <c r="E5052">
        <v>560.84</v>
      </c>
      <c r="F5052">
        <v>-0.01</v>
      </c>
    </row>
    <row r="5053" spans="1:6" x14ac:dyDescent="0.3">
      <c r="A5053" t="str">
        <f>HYPERLINK("https://us2.cloudbeds.com/connect/10074733072513#/reservations/31732300066963?display=MXXNQV620&amp;reservation_id=31732300066963", "MXXNQV620")</f>
        <v>MXXNQV620</v>
      </c>
      <c r="B5053" t="s">
        <v>1371</v>
      </c>
      <c r="C5053">
        <v>224.1</v>
      </c>
      <c r="D5053">
        <v>243.59</v>
      </c>
      <c r="E5053">
        <v>243.6</v>
      </c>
      <c r="F5053">
        <v>-0.01</v>
      </c>
    </row>
    <row r="5054" spans="1:6" x14ac:dyDescent="0.3">
      <c r="A5054" t="str">
        <f>HYPERLINK("https://us2.cloudbeds.com/connect/10074733072513#/reservations/31731637743825?display=MXX6TF25T&amp;reservation_id=31731637743825", "MXX6TF25T")</f>
        <v>MXX6TF25T</v>
      </c>
      <c r="B5054" t="s">
        <v>1669</v>
      </c>
      <c r="C5054">
        <v>129.6</v>
      </c>
      <c r="D5054">
        <v>140.87</v>
      </c>
      <c r="E5054">
        <v>140.88</v>
      </c>
      <c r="F5054">
        <v>-0.01</v>
      </c>
    </row>
    <row r="5055" spans="1:6" x14ac:dyDescent="0.3">
      <c r="A5055" t="str">
        <f>HYPERLINK("https://us2.cloudbeds.com/connect/10074733072513#/reservations/31731264008320?display=MXHUBA70C&amp;reservation_id=31731264008320", "MXHUBA70C")</f>
        <v>MXHUBA70C</v>
      </c>
      <c r="B5055" t="s">
        <v>1659</v>
      </c>
      <c r="C5055">
        <v>304.2</v>
      </c>
      <c r="D5055">
        <v>330.66</v>
      </c>
      <c r="E5055">
        <v>330.67</v>
      </c>
      <c r="F5055">
        <v>-0.01</v>
      </c>
    </row>
    <row r="5056" spans="1:6" x14ac:dyDescent="0.3">
      <c r="A5056" t="str">
        <f>HYPERLINK("https://us2.cloudbeds.com/connect/10074733072513#/reservations/31734772928663?display=MXKY046Q1&amp;reservation_id=31734772928663", "MXKY046Q1")</f>
        <v>MXKY046Q1</v>
      </c>
      <c r="B5056" t="s">
        <v>1644</v>
      </c>
      <c r="C5056">
        <v>285.36</v>
      </c>
      <c r="D5056">
        <v>310.18</v>
      </c>
      <c r="E5056">
        <v>310.19</v>
      </c>
      <c r="F5056">
        <v>-0.01</v>
      </c>
    </row>
    <row r="5057" spans="1:6" x14ac:dyDescent="0.3">
      <c r="A5057" t="str">
        <f>HYPERLINK("https://us2.cloudbeds.com/connect/10074733072513#/reservations/31726445584597?display=MXE679J6F&amp;reservation_id=31726445584597", "MXE679J6F")</f>
        <v>MXE679J6F</v>
      </c>
      <c r="B5057" t="s">
        <v>1560</v>
      </c>
      <c r="C5057">
        <v>304.2</v>
      </c>
      <c r="D5057">
        <v>330.66</v>
      </c>
      <c r="E5057">
        <v>330.67</v>
      </c>
      <c r="F5057">
        <v>-0.01</v>
      </c>
    </row>
    <row r="5058" spans="1:6" x14ac:dyDescent="0.3">
      <c r="A5058" t="str">
        <f>HYPERLINK("https://us2.cloudbeds.com/connect/10074733072513#/reservations/31729661550810?display=MXGMD2J72&amp;reservation_id=31729661550810", "MXGMD2J72")</f>
        <v>MXGMD2J72</v>
      </c>
      <c r="B5058" t="s">
        <v>1444</v>
      </c>
      <c r="C5058">
        <v>170.1</v>
      </c>
      <c r="D5058">
        <v>184.89</v>
      </c>
      <c r="E5058">
        <v>184.9</v>
      </c>
      <c r="F5058">
        <v>-0.01</v>
      </c>
    </row>
    <row r="5059" spans="1:6" x14ac:dyDescent="0.3">
      <c r="A5059" t="str">
        <f>HYPERLINK("https://us2.cloudbeds.com/connect/10074733072513#/reservations/31727815962834?display=MXF87RCDM&amp;reservation_id=31727815962834", "MXF87RCDM")</f>
        <v>MXF87RCDM</v>
      </c>
      <c r="B5059" t="s">
        <v>1573</v>
      </c>
      <c r="C5059">
        <v>376.2</v>
      </c>
      <c r="D5059">
        <v>408.92</v>
      </c>
      <c r="E5059">
        <v>408.93</v>
      </c>
      <c r="F5059">
        <v>-0.01</v>
      </c>
    </row>
    <row r="5060" spans="1:6" x14ac:dyDescent="0.3">
      <c r="A5060" t="str">
        <f>HYPERLINK("https://us2.cloudbeds.com/connect/10074733072513#/reservations/31731611611296?display=MXX67DTC2&amp;reservation_id=31731611611296", "MXX67DTC2")</f>
        <v>MXX67DTC2</v>
      </c>
      <c r="B5060" t="s">
        <v>1669</v>
      </c>
      <c r="C5060">
        <v>106.27</v>
      </c>
      <c r="D5060">
        <v>115.51</v>
      </c>
      <c r="E5060">
        <v>115.52</v>
      </c>
      <c r="F5060">
        <v>-0.01</v>
      </c>
    </row>
    <row r="5061" spans="1:6" x14ac:dyDescent="0.3">
      <c r="A5061" t="str">
        <f>HYPERLINK("https://us2.cloudbeds.com/connect/10074733072513#/reservations/31732278493402?display=MXXN8ZSKZ&amp;reservation_id=31732278493402", "MXXN8ZSKZ")</f>
        <v>MXXN8ZSKZ</v>
      </c>
      <c r="B5061" t="s">
        <v>1607</v>
      </c>
      <c r="C5061">
        <v>129.6</v>
      </c>
      <c r="D5061">
        <v>140.87</v>
      </c>
      <c r="E5061">
        <v>140.88</v>
      </c>
      <c r="F5061">
        <v>-0.01</v>
      </c>
    </row>
    <row r="5062" spans="1:6" x14ac:dyDescent="0.3">
      <c r="A5062" t="str">
        <f>HYPERLINK("https://us2.cloudbeds.com/connect/10074733072513#/reservations/31729639628946?display=MXGYRJXV5&amp;reservation_id=31729639628946", "MXGYRJXV5")</f>
        <v>MXGYRJXV5</v>
      </c>
      <c r="B5062" t="s">
        <v>1444</v>
      </c>
      <c r="C5062">
        <v>546.29999999999995</v>
      </c>
      <c r="D5062">
        <v>593.82000000000005</v>
      </c>
      <c r="E5062">
        <v>593.83000000000004</v>
      </c>
      <c r="F5062">
        <v>-0.01</v>
      </c>
    </row>
    <row r="5063" spans="1:6" x14ac:dyDescent="0.3">
      <c r="A5063" t="str">
        <f>HYPERLINK("https://us2.cloudbeds.com/connect/10074733072513#/reservations/31734576083187?display=MXKFW4MPK&amp;reservation_id=31734576083187", "MXKFW4MPK")</f>
        <v>MXKFW4MPK</v>
      </c>
      <c r="B5063" t="s">
        <v>1646</v>
      </c>
      <c r="C5063">
        <v>212.54</v>
      </c>
      <c r="D5063">
        <v>231.02</v>
      </c>
      <c r="E5063">
        <v>231.03</v>
      </c>
      <c r="F5063">
        <v>-0.01</v>
      </c>
    </row>
    <row r="5064" spans="1:6" x14ac:dyDescent="0.3">
      <c r="A5064" t="str">
        <f>HYPERLINK("https://us2.cloudbeds.com/connect/10074733072513#/reservations/31734758580357?display=MXKKY0V3T&amp;reservation_id=31734758580357", "MXKKY0V3T")</f>
        <v>MXKKY0V3T</v>
      </c>
      <c r="B5064" t="s">
        <v>1644</v>
      </c>
      <c r="C5064">
        <v>106.27</v>
      </c>
      <c r="D5064">
        <v>115.51</v>
      </c>
      <c r="E5064">
        <v>115.52</v>
      </c>
      <c r="F5064">
        <v>-0.01</v>
      </c>
    </row>
    <row r="5065" spans="1:6" x14ac:dyDescent="0.3">
      <c r="A5065" t="str">
        <f>HYPERLINK("https://us2.cloudbeds.com/connect/10074733072513#/reservations/31731271229580?display=MXHUHD8QK&amp;reservation_id=31731271229580", "MXHUHD8QK")</f>
        <v>MXHUHD8QK</v>
      </c>
      <c r="B5065" t="s">
        <v>1671</v>
      </c>
      <c r="C5065">
        <v>306.33999999999997</v>
      </c>
      <c r="D5065">
        <v>332.98</v>
      </c>
      <c r="E5065">
        <v>332.99</v>
      </c>
      <c r="F5065">
        <v>-0.01</v>
      </c>
    </row>
    <row r="5066" spans="1:6" x14ac:dyDescent="0.3">
      <c r="A5066" t="str">
        <f>HYPERLINK("https://us2.cloudbeds.com/connect/10074733072513#/reservations/31728629539036?display=MXFT0SB00&amp;reservation_id=31728629539036", "MXFT0SB00")</f>
        <v>MXFT0SB00</v>
      </c>
      <c r="B5066" t="s">
        <v>1644</v>
      </c>
      <c r="C5066">
        <v>106.27</v>
      </c>
      <c r="D5066">
        <v>115.51</v>
      </c>
      <c r="E5066">
        <v>115.52</v>
      </c>
      <c r="F5066">
        <v>-0.01</v>
      </c>
    </row>
    <row r="5067" spans="1:6" x14ac:dyDescent="0.3">
      <c r="A5067" t="str">
        <f>HYPERLINK("https://us2.cloudbeds.com/connect/10074733072513#/reservations/31726144999649?display=MXDVHRBVM&amp;reservation_id=31726144999649", "MXDVHRBVM")</f>
        <v>MXDVHRBVM</v>
      </c>
      <c r="B5067" t="s">
        <v>1624</v>
      </c>
      <c r="C5067">
        <v>304.2</v>
      </c>
      <c r="D5067">
        <v>330.66</v>
      </c>
      <c r="E5067">
        <v>330.67</v>
      </c>
      <c r="F5067">
        <v>-0.01</v>
      </c>
    </row>
    <row r="5068" spans="1:6" x14ac:dyDescent="0.3">
      <c r="A5068" t="str">
        <f>HYPERLINK("https://us2.cloudbeds.com/connect/10074733072513#/reservations/31729639633052?display=MXGYRJMNJ&amp;reservation_id=31729639633052", "MXGYRJMNJ")</f>
        <v>MXGYRJMNJ</v>
      </c>
      <c r="B5068" t="s">
        <v>1672</v>
      </c>
      <c r="C5068">
        <v>253.86</v>
      </c>
      <c r="D5068">
        <v>275.94</v>
      </c>
      <c r="E5068">
        <v>275.95</v>
      </c>
      <c r="F5068">
        <v>-0.01</v>
      </c>
    </row>
    <row r="5069" spans="1:6" x14ac:dyDescent="0.3">
      <c r="A5069" t="str">
        <f>HYPERLINK("https://us2.cloudbeds.com/connect/10074733072513#/reservations/31734695403674?display=MXKJ0ZVKV&amp;reservation_id=31734695403674", "MXKJ0ZVKV")</f>
        <v>MXKJ0ZVKV</v>
      </c>
      <c r="B5069" t="s">
        <v>1646</v>
      </c>
      <c r="C5069">
        <v>106.27</v>
      </c>
      <c r="D5069">
        <v>115.51</v>
      </c>
      <c r="E5069">
        <v>115.52</v>
      </c>
      <c r="F5069">
        <v>-0.01</v>
      </c>
    </row>
    <row r="5070" spans="1:6" x14ac:dyDescent="0.3">
      <c r="A5070" t="str">
        <f>HYPERLINK("https://us2.cloudbeds.com/connect/10074733072513#/reservations/31734516048007?display=MXKEEH41Z&amp;reservation_id=31734516048007", "MXKEEH41Z")</f>
        <v>MXKEEH41Z</v>
      </c>
      <c r="B5070" t="s">
        <v>1646</v>
      </c>
      <c r="C5070">
        <v>106.27</v>
      </c>
      <c r="D5070">
        <v>115.51</v>
      </c>
      <c r="E5070">
        <v>115.52</v>
      </c>
      <c r="F5070">
        <v>-0.01</v>
      </c>
    </row>
    <row r="5071" spans="1:6" x14ac:dyDescent="0.3">
      <c r="A5071" t="str">
        <f>HYPERLINK("https://us2.cloudbeds.com/connect/10074733072513#/reservations/31732306866400?display=MXXNWMCQX&amp;reservation_id=31732306866400", "MXXNWMCQX")</f>
        <v>MXXNWMCQX</v>
      </c>
      <c r="B5071" t="s">
        <v>1646</v>
      </c>
      <c r="C5071">
        <v>129.6</v>
      </c>
      <c r="D5071">
        <v>140.87</v>
      </c>
      <c r="E5071">
        <v>140.88</v>
      </c>
      <c r="F5071">
        <v>-0.01</v>
      </c>
    </row>
    <row r="5072" spans="1:6" x14ac:dyDescent="0.3">
      <c r="A5072" t="str">
        <f>HYPERLINK("https://us2.cloudbeds.com/connect/10074733072513#/reservations/31728273928434?display=MXFJUWV55&amp;reservation_id=31728273928434", "MXFJUWV55")</f>
        <v>MXFJUWV55</v>
      </c>
      <c r="B5072" t="s">
        <v>1625</v>
      </c>
      <c r="C5072">
        <v>1393.2</v>
      </c>
      <c r="D5072">
        <v>1514.4</v>
      </c>
      <c r="E5072">
        <v>1514.41</v>
      </c>
      <c r="F5072">
        <v>-0.01</v>
      </c>
    </row>
    <row r="5073" spans="1:6" x14ac:dyDescent="0.3">
      <c r="A5073" t="str">
        <f>HYPERLINK("https://us2.cloudbeds.com/connect/10074733072513#/reservations/31731815117018?display=MXXBE0ZA4&amp;reservation_id=31731815117018", "MXXBE0ZA4")</f>
        <v>MXXBE0ZA4</v>
      </c>
      <c r="B5073" t="s">
        <v>1676</v>
      </c>
      <c r="C5073">
        <v>500.4</v>
      </c>
      <c r="D5073">
        <v>543.91999999999996</v>
      </c>
      <c r="E5073">
        <v>543.92999999999995</v>
      </c>
      <c r="F5073">
        <v>-0.01</v>
      </c>
    </row>
    <row r="5074" spans="1:6" x14ac:dyDescent="0.3">
      <c r="A5074" t="str">
        <f>HYPERLINK("https://us2.cloudbeds.com/connect/10074733072513#/reservations/31730127478993?display=MXH19VNPU&amp;reservation_id=31730127478993", "MXH19VNPU")</f>
        <v>MXH19VNPU</v>
      </c>
      <c r="B5074" t="s">
        <v>1662</v>
      </c>
      <c r="C5074">
        <v>129.6</v>
      </c>
      <c r="D5074">
        <v>140.87</v>
      </c>
      <c r="E5074">
        <v>140.88</v>
      </c>
      <c r="F5074">
        <v>-0.01</v>
      </c>
    </row>
    <row r="5075" spans="1:6" x14ac:dyDescent="0.3">
      <c r="A5075" t="str">
        <f>HYPERLINK("https://us2.cloudbeds.com/connect/10074733072513#/reservations/31731792474324?display=MXXARUM3T&amp;reservation_id=31731792474324", "MXXARUM3T")</f>
        <v>MXXARUM3T</v>
      </c>
      <c r="B5075" t="s">
        <v>1573</v>
      </c>
      <c r="C5075">
        <v>376.2</v>
      </c>
      <c r="D5075">
        <v>408.92</v>
      </c>
      <c r="E5075">
        <v>408.93</v>
      </c>
      <c r="F5075">
        <v>-0.01</v>
      </c>
    </row>
    <row r="5076" spans="1:6" x14ac:dyDescent="0.3">
      <c r="A5076" t="str">
        <f>HYPERLINK("https://us2.cloudbeds.com/connect/10074733072513#/reservations/31731605475496?display=MXX62850Z&amp;reservation_id=31731605475496", "MXX62850Z")</f>
        <v>MXX62850Z</v>
      </c>
      <c r="B5076" t="s">
        <v>1664</v>
      </c>
      <c r="C5076">
        <v>144.1</v>
      </c>
      <c r="D5076">
        <v>156.63</v>
      </c>
      <c r="E5076">
        <v>156.63999999999999</v>
      </c>
      <c r="F5076">
        <v>-0.01</v>
      </c>
    </row>
    <row r="5077" spans="1:6" x14ac:dyDescent="0.3">
      <c r="A5077" t="str">
        <f>HYPERLINK("https://us2.cloudbeds.com/connect/10074733072513#/reservations/31733270565089?display=MXJFK9NU4&amp;reservation_id=31733270565089", "MXJFK9NU4")</f>
        <v>MXJFK9NU4</v>
      </c>
      <c r="B5077" t="s">
        <v>1572</v>
      </c>
      <c r="C5077">
        <v>376.2</v>
      </c>
      <c r="D5077">
        <v>408.92</v>
      </c>
      <c r="E5077">
        <v>408.93</v>
      </c>
      <c r="F5077">
        <v>-0.01</v>
      </c>
    </row>
    <row r="5078" spans="1:6" x14ac:dyDescent="0.3">
      <c r="A5078" t="str">
        <f>HYPERLINK("https://us2.cloudbeds.com/connect/10074733072513#/reservations/31726295322759?display=MXE2CJANE&amp;reservation_id=31726295322759", "MXE2CJANE")</f>
        <v>MXE2CJANE</v>
      </c>
      <c r="B5078" t="s">
        <v>1662</v>
      </c>
      <c r="C5078">
        <v>212.54</v>
      </c>
      <c r="D5078">
        <v>231.02</v>
      </c>
      <c r="E5078">
        <v>231.03</v>
      </c>
      <c r="F5078">
        <v>-0.01</v>
      </c>
    </row>
    <row r="5079" spans="1:6" x14ac:dyDescent="0.3">
      <c r="A5079" t="str">
        <f>HYPERLINK("https://us2.cloudbeds.com/connect/10074733072513#/reservations/31731293712545?display=MXHV3BTAJ&amp;reservation_id=31731293712545", "MXHV3BTAJ")</f>
        <v>MXHV3BTAJ</v>
      </c>
      <c r="B5079" t="s">
        <v>1659</v>
      </c>
      <c r="C5079">
        <v>170.1</v>
      </c>
      <c r="D5079">
        <v>184.89</v>
      </c>
      <c r="E5079">
        <v>184.9</v>
      </c>
      <c r="F5079">
        <v>-0.01</v>
      </c>
    </row>
    <row r="5080" spans="1:6" x14ac:dyDescent="0.3">
      <c r="A5080" t="str">
        <f>HYPERLINK("https://us2.cloudbeds.com/connect/10074733072513#/reservations/31733953171655?display=MXK01T8HJ&amp;reservation_id=31733953171655", "MXK01T8HJ")</f>
        <v>MXK01T8HJ</v>
      </c>
      <c r="B5080" t="s">
        <v>1673</v>
      </c>
      <c r="C5080">
        <v>129.6</v>
      </c>
      <c r="D5080">
        <v>140.87</v>
      </c>
      <c r="E5080">
        <v>140.88</v>
      </c>
      <c r="F5080">
        <v>-0.01</v>
      </c>
    </row>
    <row r="5081" spans="1:6" x14ac:dyDescent="0.3">
      <c r="A5081" t="str">
        <f>HYPERLINK("https://us2.cloudbeds.com/connect/10074733072513#/reservations/31733891412204?display=MXJVFQNF2&amp;reservation_id=31733891412204", "MXJVFQNF2")</f>
        <v>MXJVFQNF2</v>
      </c>
      <c r="B5081" t="s">
        <v>1673</v>
      </c>
      <c r="C5081">
        <v>106.27</v>
      </c>
      <c r="D5081">
        <v>115.51</v>
      </c>
      <c r="E5081">
        <v>115.52</v>
      </c>
      <c r="F5081">
        <v>-0.01</v>
      </c>
    </row>
    <row r="5082" spans="1:6" x14ac:dyDescent="0.3">
      <c r="A5082" t="str">
        <f>HYPERLINK("https://us2.cloudbeds.com/connect/10074733072513#/reservations/31726238388363?display=MXE0UJ1BN&amp;reservation_id=31726238388363", "MXE0UJ1BN")</f>
        <v>MXE0UJ1BN</v>
      </c>
      <c r="B5082" t="s">
        <v>1662</v>
      </c>
      <c r="C5082">
        <v>129.6</v>
      </c>
      <c r="D5082">
        <v>140.87</v>
      </c>
      <c r="E5082">
        <v>140.88</v>
      </c>
      <c r="F5082">
        <v>-0.01</v>
      </c>
    </row>
    <row r="5083" spans="1:6" x14ac:dyDescent="0.3">
      <c r="A5083" t="str">
        <f>HYPERLINK("https://us2.cloudbeds.com/connect/10074733072513#/reservations/31733844463770?display=MXJU979V8&amp;reservation_id=31733844463770", "MXJU979V8")</f>
        <v>MXJU979V8</v>
      </c>
      <c r="B5083" t="s">
        <v>1673</v>
      </c>
      <c r="C5083">
        <v>106.27</v>
      </c>
      <c r="D5083">
        <v>115.51</v>
      </c>
      <c r="E5083">
        <v>115.52</v>
      </c>
      <c r="F5083">
        <v>-0.01</v>
      </c>
    </row>
    <row r="5084" spans="1:6" x14ac:dyDescent="0.3">
      <c r="A5084" t="str">
        <f>HYPERLINK("https://us2.cloudbeds.com/connect/10074733072513#/reservations/31730060124388?display=MXGWJ5FR9&amp;reservation_id=31730060124388", "MXGWJ5FR9")</f>
        <v>MXGWJ5FR9</v>
      </c>
      <c r="B5084" t="s">
        <v>1501</v>
      </c>
      <c r="C5084">
        <v>143.65</v>
      </c>
      <c r="D5084">
        <v>156.13999999999999</v>
      </c>
      <c r="E5084">
        <v>156.15</v>
      </c>
      <c r="F5084">
        <v>-0.01</v>
      </c>
    </row>
    <row r="5085" spans="1:6" x14ac:dyDescent="0.3">
      <c r="A5085" t="str">
        <f>HYPERLINK("https://us2.cloudbeds.com/connect/10074733072513#/reservations/31733866729609?display=MXJURWT2Y&amp;reservation_id=31733866729609", "MXJURWT2Y")</f>
        <v>MXJURWT2Y</v>
      </c>
      <c r="B5085" t="s">
        <v>1673</v>
      </c>
      <c r="C5085">
        <v>106.27</v>
      </c>
      <c r="D5085">
        <v>115.51</v>
      </c>
      <c r="E5085">
        <v>115.52</v>
      </c>
      <c r="F5085">
        <v>-0.01</v>
      </c>
    </row>
    <row r="5086" spans="1:6" x14ac:dyDescent="0.3">
      <c r="A5086" t="str">
        <f>HYPERLINK("https://us2.cloudbeds.com/connect/10074733072513#/reservations/31732294078660?display=MXXNYTX59&amp;reservation_id=31732294078660", "MXXNYTX59")</f>
        <v>MXXNYTX59</v>
      </c>
      <c r="B5086" t="s">
        <v>1674</v>
      </c>
      <c r="C5086">
        <v>129.6</v>
      </c>
      <c r="D5086">
        <v>140.87</v>
      </c>
      <c r="E5086">
        <v>140.88</v>
      </c>
      <c r="F5086">
        <v>-0.01</v>
      </c>
    </row>
    <row r="5087" spans="1:6" x14ac:dyDescent="0.3">
      <c r="A5087" t="str">
        <f>HYPERLINK("https://us2.cloudbeds.com/connect/10074733072513#/reservations/31732381896864?display=MXXPTV79W&amp;reservation_id=31732381896864", "MXXPTV79W")</f>
        <v>MXXPTV79W</v>
      </c>
      <c r="B5087" t="s">
        <v>1674</v>
      </c>
      <c r="C5087">
        <v>129.6</v>
      </c>
      <c r="D5087">
        <v>140.87</v>
      </c>
      <c r="E5087">
        <v>140.88</v>
      </c>
      <c r="F5087">
        <v>-0.01</v>
      </c>
    </row>
    <row r="5088" spans="1:6" x14ac:dyDescent="0.3">
      <c r="A5088" t="str">
        <f>HYPERLINK("https://us2.cloudbeds.com/connect/10074733072513#/reservations/31728577552575?display=MXFRN0Z6N&amp;reservation_id=31728577552575", "MXFRN0Z6N")</f>
        <v>MXFRN0Z6N</v>
      </c>
      <c r="B5088" t="s">
        <v>1519</v>
      </c>
      <c r="C5088">
        <v>170.1</v>
      </c>
      <c r="D5088">
        <v>184.89</v>
      </c>
      <c r="E5088">
        <v>184.9</v>
      </c>
      <c r="F5088">
        <v>-0.01</v>
      </c>
    </row>
    <row r="5089" spans="1:6" x14ac:dyDescent="0.3">
      <c r="A5089" t="str">
        <f>HYPERLINK("https://us2.cloudbeds.com/connect/10074733072513#/reservations/31728555335900?display=MXFR49H74&amp;reservation_id=31728555335900", "MXFR49H74")</f>
        <v>MXFR49H74</v>
      </c>
      <c r="B5089" t="s">
        <v>1519</v>
      </c>
      <c r="C5089">
        <v>170.1</v>
      </c>
      <c r="D5089">
        <v>184.89</v>
      </c>
      <c r="E5089">
        <v>184.9</v>
      </c>
      <c r="F5089">
        <v>-0.01</v>
      </c>
    </row>
    <row r="5090" spans="1:6" x14ac:dyDescent="0.3">
      <c r="A5090" t="str">
        <f>HYPERLINK("https://us2.cloudbeds.com/connect/10074733072513#/reservations/31725772411084?display=MXDM0YHN3&amp;reservation_id=31725772411084", "MXDM0YHN3")</f>
        <v>MXDM0YHN3</v>
      </c>
      <c r="B5090" t="s">
        <v>1674</v>
      </c>
      <c r="C5090">
        <v>129.6</v>
      </c>
      <c r="D5090">
        <v>140.87</v>
      </c>
      <c r="E5090">
        <v>140.88</v>
      </c>
      <c r="F5090">
        <v>-0.01</v>
      </c>
    </row>
    <row r="5091" spans="1:6" x14ac:dyDescent="0.3">
      <c r="A5091" t="str">
        <f>HYPERLINK("https://us2.cloudbeds.com/connect/10074733072513#/reservations/31728529260758?display=MXFQF9V3A&amp;reservation_id=31728529260758", "MXFQF9V3A")</f>
        <v>MXFQF9V3A</v>
      </c>
      <c r="B5091" t="s">
        <v>1519</v>
      </c>
      <c r="C5091">
        <v>170.1</v>
      </c>
      <c r="D5091">
        <v>184.89</v>
      </c>
      <c r="E5091">
        <v>184.9</v>
      </c>
      <c r="F5091">
        <v>-0.01</v>
      </c>
    </row>
    <row r="5092" spans="1:6" x14ac:dyDescent="0.3">
      <c r="A5092" t="str">
        <f>HYPERLINK("https://us2.cloudbeds.com/connect/10074733072513#/reservations/31729960186020?display=MXGU0TX1T&amp;reservation_id=31729960186020", "MXGU0TX1T")</f>
        <v>MXGU0TX1T</v>
      </c>
      <c r="B5092" t="s">
        <v>1519</v>
      </c>
      <c r="C5092">
        <v>170.1</v>
      </c>
      <c r="D5092">
        <v>184.89</v>
      </c>
      <c r="E5092">
        <v>184.9</v>
      </c>
      <c r="F5092">
        <v>-0.01</v>
      </c>
    </row>
    <row r="5093" spans="1:6" x14ac:dyDescent="0.3">
      <c r="A5093" t="str">
        <f>HYPERLINK("https://us2.cloudbeds.com/connect/10074733072513#/reservations/31728904315016?display=MXG31XCHS&amp;reservation_id=31728904315016", "MXG31XCHS")</f>
        <v>MXG31XCHS</v>
      </c>
      <c r="B5093" t="s">
        <v>1667</v>
      </c>
      <c r="C5093">
        <v>273.54000000000002</v>
      </c>
      <c r="D5093">
        <v>297.33</v>
      </c>
      <c r="E5093">
        <v>297.33999999999997</v>
      </c>
      <c r="F5093">
        <v>-0.01</v>
      </c>
    </row>
    <row r="5094" spans="1:6" x14ac:dyDescent="0.3">
      <c r="A5094" t="str">
        <f>HYPERLINK("https://us2.cloudbeds.com/connect/10074733072513#/reservations/31732326891662?display=MXXZGXKFY&amp;reservation_id=31732326891662", "MXXZGXKFY")</f>
        <v>MXXZGXKFY</v>
      </c>
      <c r="B5094" t="s">
        <v>1674</v>
      </c>
      <c r="C5094">
        <v>129.6</v>
      </c>
      <c r="D5094">
        <v>140.87</v>
      </c>
      <c r="E5094">
        <v>140.88</v>
      </c>
      <c r="F5094">
        <v>-0.01</v>
      </c>
    </row>
    <row r="5095" spans="1:6" x14ac:dyDescent="0.3">
      <c r="A5095" t="str">
        <f>HYPERLINK("https://us2.cloudbeds.com/connect/10074733072513#/reservations/31732336836836?display=MXXZZVBSJ&amp;reservation_id=31732336836836", "MXXZZVBSJ")</f>
        <v>MXXZZVBSJ</v>
      </c>
      <c r="B5095" t="s">
        <v>1674</v>
      </c>
      <c r="C5095">
        <v>106.27</v>
      </c>
      <c r="D5095">
        <v>115.51</v>
      </c>
      <c r="E5095">
        <v>115.52</v>
      </c>
      <c r="F5095">
        <v>-0.01</v>
      </c>
    </row>
    <row r="5096" spans="1:6" x14ac:dyDescent="0.3">
      <c r="A5096" t="str">
        <f>HYPERLINK("https://us2.cloudbeds.com/connect/10074733072513#/reservations/31732347965625?display=MXXP1B14K&amp;reservation_id=31732347965625", "MXXP1B14K")</f>
        <v>MXXP1B14K</v>
      </c>
      <c r="B5096" t="s">
        <v>1674</v>
      </c>
      <c r="C5096">
        <v>113.65</v>
      </c>
      <c r="D5096">
        <v>123.53</v>
      </c>
      <c r="E5096">
        <v>123.54</v>
      </c>
      <c r="F5096">
        <v>-0.01</v>
      </c>
    </row>
    <row r="5097" spans="1:6" x14ac:dyDescent="0.3">
      <c r="A5097" t="str">
        <f>HYPERLINK("https://us2.cloudbeds.com/connect/10074733072513#/reservations/31725741756670?display=MXDY7QHXE&amp;reservation_id=31725741756670", "MXDY7QHXE")</f>
        <v>MXDY7QHXE</v>
      </c>
      <c r="B5097" t="s">
        <v>1674</v>
      </c>
      <c r="C5097">
        <v>106.27</v>
      </c>
      <c r="D5097">
        <v>115.51</v>
      </c>
      <c r="E5097">
        <v>115.52</v>
      </c>
      <c r="F5097">
        <v>-0.01</v>
      </c>
    </row>
    <row r="5098" spans="1:6" x14ac:dyDescent="0.3">
      <c r="A5098" t="str">
        <f>HYPERLINK("https://us2.cloudbeds.com/connect/10074733072513#/reservations/31728386543865?display=MXFMQVKUW&amp;reservation_id=31728386543865", "MXFMQVKUW")</f>
        <v>MXFMQVKUW</v>
      </c>
      <c r="B5098" t="s">
        <v>1665</v>
      </c>
      <c r="C5098">
        <v>106.27</v>
      </c>
      <c r="D5098">
        <v>115.51</v>
      </c>
      <c r="E5098">
        <v>115.52</v>
      </c>
      <c r="F5098">
        <v>-0.01</v>
      </c>
    </row>
    <row r="5099" spans="1:6" x14ac:dyDescent="0.3">
      <c r="A5099" t="str">
        <f>HYPERLINK("https://us2.cloudbeds.com/connect/10074733072513#/reservations/31730074722435?display=MXGWVFMRB&amp;reservation_id=31730074722435", "MXGWVFMRB")</f>
        <v>MXGWVFMRB</v>
      </c>
      <c r="B5099" t="s">
        <v>1665</v>
      </c>
      <c r="C5099">
        <v>129.6</v>
      </c>
      <c r="D5099">
        <v>140.87</v>
      </c>
      <c r="E5099">
        <v>140.88</v>
      </c>
      <c r="F5099">
        <v>-0.01</v>
      </c>
    </row>
    <row r="5100" spans="1:6" x14ac:dyDescent="0.3">
      <c r="A5100" t="str">
        <f>HYPERLINK("https://us2.cloudbeds.com/connect/10074733072513#/reservations/31728313561314?display=MXFKVDPWH&amp;reservation_id=31728313561314", "MXFKVDPWH")</f>
        <v>MXFKVDPWH</v>
      </c>
      <c r="B5100" t="s">
        <v>1665</v>
      </c>
      <c r="C5100">
        <v>106.27</v>
      </c>
      <c r="D5100">
        <v>115.51</v>
      </c>
      <c r="E5100">
        <v>115.52</v>
      </c>
      <c r="F5100">
        <v>-0.01</v>
      </c>
    </row>
    <row r="5101" spans="1:6" x14ac:dyDescent="0.3">
      <c r="A5101" t="str">
        <f>HYPERLINK("https://us2.cloudbeds.com/connect/10074733072513#/reservations/31728342356107?display=MXFYMN1G0&amp;reservation_id=31728342356107", "MXFYMN1G0")</f>
        <v>MXFYMN1G0</v>
      </c>
      <c r="B5101" t="s">
        <v>1665</v>
      </c>
      <c r="C5101">
        <v>129.6</v>
      </c>
      <c r="D5101">
        <v>140.87</v>
      </c>
      <c r="E5101">
        <v>140.88</v>
      </c>
      <c r="F5101">
        <v>-0.01</v>
      </c>
    </row>
    <row r="5102" spans="1:6" x14ac:dyDescent="0.3">
      <c r="A5102" t="str">
        <f>HYPERLINK("https://us2.cloudbeds.com/connect/10074733072513#/reservations/31726664933529?display=MXEBR89HQ&amp;reservation_id=31726664933529", "MXEBR89HQ")</f>
        <v>MXEBR89HQ</v>
      </c>
      <c r="B5102" t="s">
        <v>1659</v>
      </c>
      <c r="C5102">
        <v>264.2</v>
      </c>
      <c r="D5102">
        <v>287.18</v>
      </c>
      <c r="E5102">
        <v>287.19</v>
      </c>
      <c r="F5102">
        <v>-0.01</v>
      </c>
    </row>
    <row r="5103" spans="1:6" x14ac:dyDescent="0.3">
      <c r="A5103" t="str">
        <f>HYPERLINK("https://us2.cloudbeds.com/connect/10074733072513#/reservations/31734270517474?display=MXK85FSRX&amp;reservation_id=31734270517474", "MXK85FSRX")</f>
        <v>MXK85FSRX</v>
      </c>
      <c r="B5103" t="s">
        <v>1625</v>
      </c>
      <c r="C5103">
        <v>376.2</v>
      </c>
      <c r="D5103">
        <v>408.92</v>
      </c>
      <c r="E5103">
        <v>408.93</v>
      </c>
      <c r="F5103">
        <v>-0.01</v>
      </c>
    </row>
    <row r="5104" spans="1:6" x14ac:dyDescent="0.3">
      <c r="A5104" t="str">
        <f>HYPERLINK("https://us2.cloudbeds.com/connect/10074733072513#/reservations/31716006703324?display=MX63FVAKU&amp;reservation_id=31716006703324", "MX63FVAKU")</f>
        <v>MX63FVAKU</v>
      </c>
      <c r="B5104" t="s">
        <v>1666</v>
      </c>
      <c r="C5104">
        <v>134.1</v>
      </c>
      <c r="D5104">
        <v>145.76</v>
      </c>
      <c r="E5104">
        <v>145.77000000000001</v>
      </c>
      <c r="F5104">
        <v>-0.01</v>
      </c>
    </row>
    <row r="5105" spans="1:6" x14ac:dyDescent="0.3">
      <c r="A5105" t="str">
        <f>HYPERLINK("https://us2.cloudbeds.com/connect/10074733072513#/reservations/31729585873122?display=MXGKF8ZCZ&amp;reservation_id=31729585873122", "MXGKF8ZCZ")</f>
        <v>MXGKF8ZCZ</v>
      </c>
      <c r="B5105" t="s">
        <v>1444</v>
      </c>
      <c r="C5105">
        <v>170.1</v>
      </c>
      <c r="D5105">
        <v>184.89</v>
      </c>
      <c r="E5105">
        <v>184.9</v>
      </c>
      <c r="F5105">
        <v>-0.01</v>
      </c>
    </row>
    <row r="5106" spans="1:6" x14ac:dyDescent="0.3">
      <c r="A5106" t="str">
        <f>HYPERLINK("https://us2.cloudbeds.com/connect/10074733072513#/reservations/31730876014784?display=MXHKE4NPG&amp;reservation_id=31730876014784", "MXHKE4NPG")</f>
        <v>MXHKE4NPG</v>
      </c>
      <c r="B5106" t="s">
        <v>1629</v>
      </c>
      <c r="C5106">
        <v>103.2</v>
      </c>
      <c r="D5106">
        <v>112.17</v>
      </c>
      <c r="E5106">
        <v>112.18</v>
      </c>
      <c r="F5106">
        <v>-0.01</v>
      </c>
    </row>
    <row r="5107" spans="1:6" x14ac:dyDescent="0.3">
      <c r="A5107" t="str">
        <f>HYPERLINK("https://us2.cloudbeds.com/connect/10074733072513#/reservations/31725447409882?display=MXDDNJTYR&amp;reservation_id=31725447409882", "MXDDNJTYR")</f>
        <v>MXDDNJTYR</v>
      </c>
      <c r="B5107" t="s">
        <v>1623</v>
      </c>
      <c r="C5107">
        <v>375.3</v>
      </c>
      <c r="D5107">
        <v>407.94</v>
      </c>
      <c r="E5107">
        <v>407.95</v>
      </c>
      <c r="F5107">
        <v>-0.01</v>
      </c>
    </row>
    <row r="5108" spans="1:6" x14ac:dyDescent="0.3">
      <c r="A5108" t="str">
        <f>HYPERLINK("https://us2.cloudbeds.com/connect/10074733072513#/reservations/31718340968587?display=MX7U48MTU&amp;reservation_id=31718340968587", "MX7U48MTU")</f>
        <v>MX7U48MTU</v>
      </c>
      <c r="B5108" t="s">
        <v>1666</v>
      </c>
      <c r="C5108">
        <v>268.2</v>
      </c>
      <c r="D5108">
        <v>291.52</v>
      </c>
      <c r="E5108">
        <v>291.52999999999997</v>
      </c>
      <c r="F5108">
        <v>-0.01</v>
      </c>
    </row>
    <row r="5109" spans="1:6" x14ac:dyDescent="0.3">
      <c r="A5109" t="str">
        <f>HYPERLINK("https://us2.cloudbeds.com/connect/10074733072513#/reservations/31730507149480?display=MXHB03K66&amp;reservation_id=31730507149480", "MXHB03K66")</f>
        <v>MXHB03K66</v>
      </c>
      <c r="B5109" t="s">
        <v>1501</v>
      </c>
      <c r="C5109">
        <v>129.6</v>
      </c>
      <c r="D5109">
        <v>140.87</v>
      </c>
      <c r="E5109">
        <v>140.88</v>
      </c>
      <c r="F5109">
        <v>-0.01</v>
      </c>
    </row>
    <row r="5110" spans="1:6" x14ac:dyDescent="0.3">
      <c r="A5110" t="str">
        <f>HYPERLINK("https://us2.cloudbeds.com/connect/10074733072513#/reservations/31730002841802?display=MXGV3SGZB&amp;reservation_id=31730002841802", "MXGV3SGZB")</f>
        <v>MXGV3SGZB</v>
      </c>
      <c r="B5110" t="s">
        <v>1623</v>
      </c>
      <c r="C5110">
        <v>129.6</v>
      </c>
      <c r="D5110">
        <v>140.87</v>
      </c>
      <c r="E5110">
        <v>140.88</v>
      </c>
      <c r="F5110">
        <v>-0.01</v>
      </c>
    </row>
    <row r="5111" spans="1:6" x14ac:dyDescent="0.3">
      <c r="A5111" t="str">
        <f>HYPERLINK("https://us2.cloudbeds.com/connect/10074733072513#/reservations/31728756183258?display=MXFW8YD1N&amp;reservation_id=31728756183258", "MXFW8YD1N")</f>
        <v>MXFW8YD1N</v>
      </c>
      <c r="B5111" t="s">
        <v>1675</v>
      </c>
      <c r="C5111">
        <v>385.23</v>
      </c>
      <c r="D5111">
        <v>418.74</v>
      </c>
      <c r="E5111">
        <v>418.75</v>
      </c>
      <c r="F5111">
        <v>-0.01</v>
      </c>
    </row>
    <row r="5112" spans="1:6" x14ac:dyDescent="0.3">
      <c r="A5112" t="str">
        <f>HYPERLINK("https://us2.cloudbeds.com/connect/10074733072513#/reservations/31729402134670?display=MXGFPAV6U&amp;reservation_id=31729402134670", "MXGFPAV6U")</f>
        <v>MXGFPAV6U</v>
      </c>
      <c r="B5112" t="s">
        <v>1623</v>
      </c>
      <c r="C5112">
        <v>106.27</v>
      </c>
      <c r="D5112">
        <v>115.51</v>
      </c>
      <c r="E5112">
        <v>115.52</v>
      </c>
      <c r="F5112">
        <v>-0.01</v>
      </c>
    </row>
    <row r="5113" spans="1:6" x14ac:dyDescent="0.3">
      <c r="A5113" t="str">
        <f>HYPERLINK("https://us2.cloudbeds.com/connect/10074733072513#/reservations/31728624767135?display=MXFSTRX2V&amp;reservation_id=31728624767135", "MXFSTRX2V")</f>
        <v>MXFSTRX2V</v>
      </c>
      <c r="B5113" t="s">
        <v>1675</v>
      </c>
      <c r="C5113">
        <v>259.2</v>
      </c>
      <c r="D5113">
        <v>281.74</v>
      </c>
      <c r="E5113">
        <v>281.75</v>
      </c>
      <c r="F5113">
        <v>-0.01</v>
      </c>
    </row>
    <row r="5114" spans="1:6" x14ac:dyDescent="0.3">
      <c r="A5114" t="str">
        <f>HYPERLINK("https://us2.cloudbeds.com/connect/10074733072513#/reservations/31730486276349?display=MXHAFGPV2&amp;reservation_id=31730486276349", "MXHAFGPV2")</f>
        <v>MXHAFGPV2</v>
      </c>
      <c r="B5114" t="s">
        <v>1680</v>
      </c>
      <c r="C5114">
        <v>170.1</v>
      </c>
      <c r="D5114">
        <v>184.89</v>
      </c>
      <c r="E5114">
        <v>184.9</v>
      </c>
      <c r="F5114">
        <v>-0.01</v>
      </c>
    </row>
    <row r="5115" spans="1:6" x14ac:dyDescent="0.3">
      <c r="A5115" t="str">
        <f>HYPERLINK("https://us2.cloudbeds.com/connect/10074733072513#/reservations/31725360922805?display=MXDBGM8SA&amp;reservation_id=31725360922805", "MXDBGM8SA")</f>
        <v>MXDBGM8SA</v>
      </c>
      <c r="B5115" t="s">
        <v>1675</v>
      </c>
      <c r="C5115">
        <v>129.6</v>
      </c>
      <c r="D5115">
        <v>140.87</v>
      </c>
      <c r="E5115">
        <v>140.88</v>
      </c>
      <c r="F5115">
        <v>-0.01</v>
      </c>
    </row>
    <row r="5116" spans="1:6" x14ac:dyDescent="0.3">
      <c r="A5116" t="str">
        <f>HYPERLINK("https://us2.cloudbeds.com/connect/10074733072513#/reservations/31730409341063?display=MXH8GKV9P&amp;reservation_id=31730409341063", "MXH8GKV9P")</f>
        <v>MXH8GKV9P</v>
      </c>
      <c r="B5116" t="s">
        <v>1519</v>
      </c>
      <c r="C5116">
        <v>376.2</v>
      </c>
      <c r="D5116">
        <v>408.92</v>
      </c>
      <c r="E5116">
        <v>408.93</v>
      </c>
      <c r="F5116">
        <v>-0.01</v>
      </c>
    </row>
    <row r="5117" spans="1:6" x14ac:dyDescent="0.3">
      <c r="A5117" t="str">
        <f>HYPERLINK("https://us2.cloudbeds.com/connect/10074733072513#/reservations/31725363728525?display=MXDBJ1B94&amp;reservation_id=31725363728525", "MXDBJ1B94")</f>
        <v>MXDBJ1B94</v>
      </c>
      <c r="B5117" t="s">
        <v>1675</v>
      </c>
      <c r="C5117">
        <v>259.2</v>
      </c>
      <c r="D5117">
        <v>281.74</v>
      </c>
      <c r="E5117">
        <v>281.75</v>
      </c>
      <c r="F5117">
        <v>-0.01</v>
      </c>
    </row>
    <row r="5118" spans="1:6" x14ac:dyDescent="0.3">
      <c r="A5118" t="str">
        <f>HYPERLINK("https://us2.cloudbeds.com/connect/10074733072513#/reservations/31728937189628?display=MXG3T95E7&amp;reservation_id=31728937189628", "MXG3T95E7")</f>
        <v>MXG3T95E7</v>
      </c>
      <c r="B5118" t="s">
        <v>1675</v>
      </c>
      <c r="C5118">
        <v>129.6</v>
      </c>
      <c r="D5118">
        <v>140.87</v>
      </c>
      <c r="E5118">
        <v>140.88</v>
      </c>
      <c r="F5118">
        <v>-0.01</v>
      </c>
    </row>
    <row r="5119" spans="1:6" x14ac:dyDescent="0.3">
      <c r="A5119" t="str">
        <f>HYPERLINK("https://us2.cloudbeds.com/connect/10074733072513#/reservations/31730858041543?display=MXHJVWN40&amp;reservation_id=31730858041543", "MXHJVWN40")</f>
        <v>MXHJVWN40</v>
      </c>
      <c r="B5119" t="s">
        <v>1629</v>
      </c>
      <c r="C5119">
        <v>228.6</v>
      </c>
      <c r="D5119">
        <v>248.48</v>
      </c>
      <c r="E5119">
        <v>248.49</v>
      </c>
      <c r="F5119">
        <v>-0.01</v>
      </c>
    </row>
    <row r="5120" spans="1:6" x14ac:dyDescent="0.3">
      <c r="A5120" t="str">
        <f>HYPERLINK("https://us2.cloudbeds.com/connect/10074733072513#/reservations/31730834428110?display=MXHJC2KHE&amp;reservation_id=31730834428110", "MXHJC2KHE")</f>
        <v>MXHJC2KHE</v>
      </c>
      <c r="B5120" t="s">
        <v>1629</v>
      </c>
      <c r="C5120">
        <v>201.47</v>
      </c>
      <c r="D5120">
        <v>218.99</v>
      </c>
      <c r="E5120">
        <v>219</v>
      </c>
      <c r="F5120">
        <v>-0.01</v>
      </c>
    </row>
    <row r="5121" spans="1:6" x14ac:dyDescent="0.3">
      <c r="A5121" t="str">
        <f>HYPERLINK("https://us2.cloudbeds.com/connect/10074733072513#/reservations/31728886280338?display=MXG2JBHPF&amp;reservation_id=31728886280338", "MXG2JBHPF")</f>
        <v>MXG2JBHPF</v>
      </c>
      <c r="B5121" t="s">
        <v>1675</v>
      </c>
      <c r="C5121">
        <v>106.27</v>
      </c>
      <c r="D5121">
        <v>115.51</v>
      </c>
      <c r="E5121">
        <v>115.52</v>
      </c>
      <c r="F5121">
        <v>-0.01</v>
      </c>
    </row>
    <row r="5122" spans="1:6" x14ac:dyDescent="0.3">
      <c r="A5122" t="str">
        <f>HYPERLINK("https://us2.cloudbeds.com/connect/10074733072513#/reservations/31728895971560?display=MXG2RH6VS&amp;reservation_id=31728895971560", "MXG2RH6VS")</f>
        <v>MXG2RH6VS</v>
      </c>
      <c r="B5122" t="s">
        <v>1675</v>
      </c>
      <c r="C5122">
        <v>129.6</v>
      </c>
      <c r="D5122">
        <v>140.87</v>
      </c>
      <c r="E5122">
        <v>140.88</v>
      </c>
      <c r="F5122">
        <v>-0.01</v>
      </c>
    </row>
    <row r="5123" spans="1:6" x14ac:dyDescent="0.3">
      <c r="A5123" t="str">
        <f>HYPERLINK("https://us2.cloudbeds.com/connect/10074733072513#/reservations/31726655017162?display=MXEBXTBJJ&amp;reservation_id=31726655017162", "MXEBXTBJJ")</f>
        <v>MXEBXTBJJ</v>
      </c>
      <c r="B5123" t="s">
        <v>1659</v>
      </c>
      <c r="C5123">
        <v>278.95999999999998</v>
      </c>
      <c r="D5123">
        <v>303.22000000000003</v>
      </c>
      <c r="E5123">
        <v>303.23</v>
      </c>
      <c r="F5123">
        <v>-0.01</v>
      </c>
    </row>
    <row r="5124" spans="1:6" x14ac:dyDescent="0.3">
      <c r="A5124" t="str">
        <f>HYPERLINK("https://us2.cloudbeds.com/connect/10074733072513#/reservations/31729707118801?display=MXGNXGJ39&amp;reservation_id=31729707118801", "MXGNXGJ39")</f>
        <v>MXGNXGJ39</v>
      </c>
      <c r="B5124" t="s">
        <v>1629</v>
      </c>
      <c r="C5124">
        <v>134.1</v>
      </c>
      <c r="D5124">
        <v>145.76</v>
      </c>
      <c r="E5124">
        <v>145.77000000000001</v>
      </c>
      <c r="F5124">
        <v>-0.01</v>
      </c>
    </row>
    <row r="5125" spans="1:6" x14ac:dyDescent="0.3">
      <c r="A5125" t="str">
        <f>HYPERLINK("https://us2.cloudbeds.com/connect/10074733072513#/reservations/31729576276191?display=MXGK75MPN&amp;reservation_id=31729576276191", "MXGK75MPN")</f>
        <v>MXGK75MPN</v>
      </c>
      <c r="B5125" t="s">
        <v>1444</v>
      </c>
      <c r="C5125">
        <v>170.1</v>
      </c>
      <c r="D5125">
        <v>184.89</v>
      </c>
      <c r="E5125">
        <v>184.9</v>
      </c>
      <c r="F5125">
        <v>-0.01</v>
      </c>
    </row>
    <row r="5126" spans="1:6" x14ac:dyDescent="0.3">
      <c r="A5126" t="str">
        <f>HYPERLINK("https://us2.cloudbeds.com/connect/10074733072513#/reservations/31725748416722?display=MXDYDDSA7&amp;reservation_id=31725748416722", "MXDYDDSA7")</f>
        <v>MXDYDDSA7</v>
      </c>
      <c r="B5126" t="s">
        <v>1670</v>
      </c>
      <c r="C5126">
        <v>170.1</v>
      </c>
      <c r="D5126">
        <v>184.89</v>
      </c>
      <c r="E5126">
        <v>184.9</v>
      </c>
      <c r="F5126">
        <v>-0.01</v>
      </c>
    </row>
    <row r="5127" spans="1:6" x14ac:dyDescent="0.3">
      <c r="A5127" t="str">
        <f>HYPERLINK("https://us2.cloudbeds.com/connect/10074733072513#/reservations/31729136406766?display=MXG8W8M96&amp;reservation_id=31729136406766", "MXG8W8M96")</f>
        <v>MXG8W8M96</v>
      </c>
      <c r="B5127" t="s">
        <v>1593</v>
      </c>
      <c r="C5127">
        <v>474.3</v>
      </c>
      <c r="D5127">
        <v>515.54999999999995</v>
      </c>
      <c r="E5127">
        <v>515.55999999999995</v>
      </c>
      <c r="F5127">
        <v>-0.01</v>
      </c>
    </row>
    <row r="5128" spans="1:6" x14ac:dyDescent="0.3">
      <c r="A5128" t="str">
        <f>HYPERLINK("https://us2.cloudbeds.com/connect/10074733072513#/reservations/31724083937473?display=MXCBST8T3&amp;reservation_id=31724083937473", "MXCBST8T3")</f>
        <v>MXCBST8T3</v>
      </c>
      <c r="B5128" t="s">
        <v>1652</v>
      </c>
      <c r="C5128">
        <v>546.29999999999995</v>
      </c>
      <c r="D5128">
        <v>593.82000000000005</v>
      </c>
      <c r="E5128">
        <v>593.83000000000004</v>
      </c>
      <c r="F5128">
        <v>-0.01</v>
      </c>
    </row>
    <row r="5129" spans="1:6" x14ac:dyDescent="0.3">
      <c r="A5129" t="str">
        <f>HYPERLINK("https://us2.cloudbeds.com/connect/10074733072513#/reservations/31730524614835?display=MXHBERK5C&amp;reservation_id=31730524614835", "MXHBERK5C")</f>
        <v>MXHBERK5C</v>
      </c>
      <c r="B5129" t="s">
        <v>1444</v>
      </c>
      <c r="C5129">
        <v>376.2</v>
      </c>
      <c r="D5129">
        <v>408.92</v>
      </c>
      <c r="E5129">
        <v>408.93</v>
      </c>
      <c r="F5129">
        <v>-0.01</v>
      </c>
    </row>
    <row r="5130" spans="1:6" x14ac:dyDescent="0.3">
      <c r="A5130" t="str">
        <f>HYPERLINK("https://us2.cloudbeds.com/connect/10074733072513#/reservations/31727537496271?display=MXF140KU0&amp;reservation_id=31727537496271", "MXF140KU0")</f>
        <v>MXF140KU0</v>
      </c>
      <c r="B5130" t="s">
        <v>1670</v>
      </c>
      <c r="C5130">
        <v>154.24</v>
      </c>
      <c r="D5130">
        <v>167.65</v>
      </c>
      <c r="E5130">
        <v>167.66</v>
      </c>
      <c r="F5130">
        <v>-0.01</v>
      </c>
    </row>
    <row r="5131" spans="1:6" x14ac:dyDescent="0.3">
      <c r="A5131" t="str">
        <f>HYPERLINK("https://us2.cloudbeds.com/connect/10074733072513#/reservations/31727953510623?display=MXFBZQRUH&amp;reservation_id=31727953510623", "MXFBZQRUH")</f>
        <v>MXFBZQRUH</v>
      </c>
      <c r="B5131" t="s">
        <v>1678</v>
      </c>
      <c r="C5131">
        <v>134.1</v>
      </c>
      <c r="D5131">
        <v>145.76</v>
      </c>
      <c r="E5131">
        <v>145.77000000000001</v>
      </c>
      <c r="F5131">
        <v>-0.01</v>
      </c>
    </row>
    <row r="5132" spans="1:6" x14ac:dyDescent="0.3">
      <c r="A5132" t="str">
        <f>HYPERLINK("https://us2.cloudbeds.com/connect/10074733072513#/reservations/31727568371896?display=MXF1U1Q60&amp;reservation_id=31727568371896", "MXF1U1Q60")</f>
        <v>MXF1U1Q60</v>
      </c>
      <c r="B5132" t="s">
        <v>1670</v>
      </c>
      <c r="C5132">
        <v>170.1</v>
      </c>
      <c r="D5132">
        <v>184.89</v>
      </c>
      <c r="E5132">
        <v>184.9</v>
      </c>
      <c r="F5132">
        <v>-0.01</v>
      </c>
    </row>
    <row r="5133" spans="1:6" x14ac:dyDescent="0.3">
      <c r="A5133" t="str">
        <f>HYPERLINK("https://us2.cloudbeds.com/connect/10074733072513#/reservations/31730447753353?display=MXH9G0R9X&amp;reservation_id=31730447753353", "MXH9G0R9X")</f>
        <v>MXH9G0R9X</v>
      </c>
      <c r="B5133" t="s">
        <v>1519</v>
      </c>
      <c r="C5133">
        <v>224.1</v>
      </c>
      <c r="D5133">
        <v>243.59</v>
      </c>
      <c r="E5133">
        <v>243.6</v>
      </c>
      <c r="F5133">
        <v>-0.01</v>
      </c>
    </row>
    <row r="5134" spans="1:6" x14ac:dyDescent="0.3">
      <c r="A5134" t="str">
        <f>HYPERLINK("https://us2.cloudbeds.com/connect/10074733072513#/reservations/31726154399879?display=MXDVPZUV4&amp;reservation_id=31726154399879", "MXDVPZUV4")</f>
        <v>MXDVPZUV4</v>
      </c>
      <c r="B5134" t="s">
        <v>1624</v>
      </c>
      <c r="C5134">
        <v>143.19999999999999</v>
      </c>
      <c r="D5134">
        <v>155.65</v>
      </c>
      <c r="E5134">
        <v>155.66</v>
      </c>
      <c r="F5134">
        <v>-0.01</v>
      </c>
    </row>
    <row r="5135" spans="1:6" x14ac:dyDescent="0.3">
      <c r="A5135" t="str">
        <f>HYPERLINK("https://us2.cloudbeds.com/connect/10074733072513#/reservations/31725743329473?display=MXDY949R5&amp;reservation_id=31725743329473", "MXDY949R5")</f>
        <v>MXDY949R5</v>
      </c>
      <c r="B5135" t="s">
        <v>1670</v>
      </c>
      <c r="C5135">
        <v>154.24</v>
      </c>
      <c r="D5135">
        <v>167.65</v>
      </c>
      <c r="E5135">
        <v>167.66</v>
      </c>
      <c r="F5135">
        <v>-0.01</v>
      </c>
    </row>
    <row r="5136" spans="1:6" x14ac:dyDescent="0.3">
      <c r="A5136" t="str">
        <f>HYPERLINK("https://us2.cloudbeds.com/connect/10074733072513#/reservations/31721170874529?display=MXA3EGWVE&amp;reservation_id=31721170874529", "MXA3EGWVE")</f>
        <v>MXA3EGWVE</v>
      </c>
      <c r="B5136" t="s">
        <v>1668</v>
      </c>
      <c r="C5136">
        <v>494.7</v>
      </c>
      <c r="D5136">
        <v>537.73</v>
      </c>
      <c r="E5136">
        <v>537.74</v>
      </c>
      <c r="F5136">
        <v>-0.01</v>
      </c>
    </row>
    <row r="5137" spans="1:6" x14ac:dyDescent="0.3">
      <c r="A5137" t="str">
        <f>HYPERLINK("https://us2.cloudbeds.com/connect/10074733072513#/reservations/31728824840397?display=MXG10HT32&amp;reservation_id=31728824840397", "MXG10HT32")</f>
        <v>MXG10HT32</v>
      </c>
      <c r="B5137" t="s">
        <v>1588</v>
      </c>
      <c r="C5137">
        <v>500.4</v>
      </c>
      <c r="D5137">
        <v>543.91999999999996</v>
      </c>
      <c r="E5137">
        <v>543.92999999999995</v>
      </c>
      <c r="F5137">
        <v>-0.01</v>
      </c>
    </row>
    <row r="5138" spans="1:6" x14ac:dyDescent="0.3">
      <c r="A5138" t="str">
        <f>HYPERLINK("https://us2.cloudbeds.com/connect/10074733072513#/reservations/31724028383401?display=MXCAF1D1C&amp;reservation_id=31724028383401", "MXCAF1D1C")</f>
        <v>MXCAF1D1C</v>
      </c>
      <c r="B5138" t="s">
        <v>1635</v>
      </c>
      <c r="C5138">
        <v>150.22</v>
      </c>
      <c r="D5138">
        <v>163.28</v>
      </c>
      <c r="E5138">
        <v>163.29</v>
      </c>
      <c r="F5138">
        <v>-0.01</v>
      </c>
    </row>
    <row r="5139" spans="1:6" x14ac:dyDescent="0.3">
      <c r="A5139" t="str">
        <f>HYPERLINK("https://us2.cloudbeds.com/connect/10074733072513#/reservations/31724037570737?display=MXCAMQ1HG&amp;reservation_id=31724037570737", "MXCAMQ1HG")</f>
        <v>MXCAMQ1HG</v>
      </c>
      <c r="B5139" t="s">
        <v>1635</v>
      </c>
      <c r="C5139">
        <v>143.66</v>
      </c>
      <c r="D5139">
        <v>156.15</v>
      </c>
      <c r="E5139">
        <v>156.16</v>
      </c>
      <c r="F5139">
        <v>-0.01</v>
      </c>
    </row>
    <row r="5140" spans="1:6" x14ac:dyDescent="0.3">
      <c r="A5140" t="str">
        <f>HYPERLINK("https://us2.cloudbeds.com/connect/10074733072513#/reservations/31727486251224?display=MXEWQQYUQ&amp;reservation_id=31727486251224", "MXEWQQYUQ")</f>
        <v>MXEWQQYUQ</v>
      </c>
      <c r="B5140" t="s">
        <v>1698</v>
      </c>
      <c r="C5140">
        <v>366.04</v>
      </c>
      <c r="D5140">
        <v>397.88</v>
      </c>
      <c r="E5140">
        <v>397.89</v>
      </c>
      <c r="F5140">
        <v>-0.01</v>
      </c>
    </row>
    <row r="5141" spans="1:6" x14ac:dyDescent="0.3">
      <c r="A5141" t="str">
        <f>HYPERLINK("https://us2.cloudbeds.com/connect/10074733072513#/reservations/31730438582425?display=MXH989KSY&amp;reservation_id=31730438582425", "MXH989KSY")</f>
        <v>MXH989KSY</v>
      </c>
      <c r="B5141" t="s">
        <v>1635</v>
      </c>
      <c r="C5141">
        <v>224.1</v>
      </c>
      <c r="D5141">
        <v>243.59</v>
      </c>
      <c r="E5141">
        <v>243.6</v>
      </c>
      <c r="F5141">
        <v>-0.01</v>
      </c>
    </row>
    <row r="5142" spans="1:6" x14ac:dyDescent="0.3">
      <c r="A5142" t="str">
        <f>HYPERLINK("https://us2.cloudbeds.com/connect/10074733072513#/reservations/31729319362702?display=MXGDYHMTF&amp;reservation_id=31729319362702", "MXGDYHMTF")</f>
        <v>MXGDYHMTF</v>
      </c>
      <c r="B5142" t="s">
        <v>1694</v>
      </c>
      <c r="C5142">
        <v>134.1</v>
      </c>
      <c r="D5142">
        <v>145.76</v>
      </c>
      <c r="E5142">
        <v>145.77000000000001</v>
      </c>
      <c r="F5142">
        <v>-0.01</v>
      </c>
    </row>
    <row r="5143" spans="1:6" x14ac:dyDescent="0.3">
      <c r="A5143" t="str">
        <f>HYPERLINK("https://us2.cloudbeds.com/connect/10074733072513#/reservations/31727480725677?display=MXEWM4TVW&amp;reservation_id=31727480725677", "MXEWM4TVW")</f>
        <v>MXEWM4TVW</v>
      </c>
      <c r="B5143" t="s">
        <v>1641</v>
      </c>
      <c r="C5143">
        <v>134.1</v>
      </c>
      <c r="D5143">
        <v>145.76</v>
      </c>
      <c r="E5143">
        <v>145.77000000000001</v>
      </c>
      <c r="F5143">
        <v>-0.01</v>
      </c>
    </row>
    <row r="5144" spans="1:6" x14ac:dyDescent="0.3">
      <c r="A5144" t="str">
        <f>HYPERLINK("https://us2.cloudbeds.com/connect/10074733072513#/reservations/31729251324094?display=MXGBU5DRF&amp;reservation_id=31729251324094", "MXGBU5DRF")</f>
        <v>MXGBU5DRF</v>
      </c>
      <c r="B5144" t="s">
        <v>1641</v>
      </c>
      <c r="C5144">
        <v>122.18</v>
      </c>
      <c r="D5144">
        <v>132.80000000000001</v>
      </c>
      <c r="E5144">
        <v>132.81</v>
      </c>
      <c r="F5144">
        <v>-0.01</v>
      </c>
    </row>
    <row r="5145" spans="1:6" x14ac:dyDescent="0.3">
      <c r="A5145" t="str">
        <f>HYPERLINK("https://us2.cloudbeds.com/connect/10074733072513#/reservations/31727689166987?display=MXF4WU34A&amp;reservation_id=31727689166987", "MXF4WU34A")</f>
        <v>MXF4WU34A</v>
      </c>
      <c r="B5145" t="s">
        <v>1641</v>
      </c>
      <c r="C5145">
        <v>134.1</v>
      </c>
      <c r="D5145">
        <v>145.76</v>
      </c>
      <c r="E5145">
        <v>145.77000000000001</v>
      </c>
      <c r="F5145">
        <v>-0.01</v>
      </c>
    </row>
    <row r="5146" spans="1:6" x14ac:dyDescent="0.3">
      <c r="A5146" t="str">
        <f>HYPERLINK("https://us2.cloudbeds.com/connect/10074733072513#/reservations/31722901627023?display=MXBEYUZBN&amp;reservation_id=31722901627023", "MXBEYUZBN")</f>
        <v>MXBEYUZBN</v>
      </c>
      <c r="B5146" t="s">
        <v>1694</v>
      </c>
      <c r="C5146">
        <v>134.1</v>
      </c>
      <c r="D5146">
        <v>145.76</v>
      </c>
      <c r="E5146">
        <v>145.77000000000001</v>
      </c>
      <c r="F5146">
        <v>-0.01</v>
      </c>
    </row>
    <row r="5147" spans="1:6" x14ac:dyDescent="0.3">
      <c r="A5147" t="str">
        <f>HYPERLINK("https://us2.cloudbeds.com/connect/10074733072513#/reservations/31722951471257?display=MXBFUVZ01&amp;reservation_id=31722951471257", "MXBFUVZ01")</f>
        <v>MXBFUVZ01</v>
      </c>
      <c r="B5147" t="s">
        <v>1694</v>
      </c>
      <c r="C5147">
        <v>170.1</v>
      </c>
      <c r="D5147">
        <v>184.89</v>
      </c>
      <c r="E5147">
        <v>184.9</v>
      </c>
      <c r="F5147">
        <v>-0.01</v>
      </c>
    </row>
    <row r="5148" spans="1:6" x14ac:dyDescent="0.3">
      <c r="A5148" t="str">
        <f>HYPERLINK("https://us2.cloudbeds.com/connect/10074733072513#/reservations/31729661546711?display=MXGMD2FES&amp;reservation_id=31729661546711", "MXGMD2FES")</f>
        <v>MXGMD2FES</v>
      </c>
      <c r="B5148" t="s">
        <v>1672</v>
      </c>
      <c r="C5148">
        <v>384.3</v>
      </c>
      <c r="D5148">
        <v>417.72</v>
      </c>
      <c r="E5148">
        <v>417.73</v>
      </c>
      <c r="F5148">
        <v>-0.01</v>
      </c>
    </row>
    <row r="5149" spans="1:6" x14ac:dyDescent="0.3">
      <c r="A5149" t="str">
        <f>HYPERLINK("https://us2.cloudbeds.com/connect/10074733072513#/reservations/31729589010618?display=MXGKHU1FE&amp;reservation_id=31729589010618", "MXGKHU1FE")</f>
        <v>MXGKHU1FE</v>
      </c>
      <c r="B5149" t="s">
        <v>1672</v>
      </c>
      <c r="C5149">
        <v>250.2</v>
      </c>
      <c r="D5149">
        <v>271.95999999999998</v>
      </c>
      <c r="E5149">
        <v>271.97000000000003</v>
      </c>
      <c r="F5149">
        <v>-0.01</v>
      </c>
    </row>
    <row r="5150" spans="1:6" x14ac:dyDescent="0.3">
      <c r="A5150" t="str">
        <f>HYPERLINK("https://us2.cloudbeds.com/connect/10074733072513#/reservations/31729347657977?display=MXGECD1N1&amp;reservation_id=31729347657977", "MXGECD1N1")</f>
        <v>MXGECD1N1</v>
      </c>
      <c r="B5150" t="s">
        <v>1694</v>
      </c>
      <c r="C5150">
        <v>134.1</v>
      </c>
      <c r="D5150">
        <v>145.76</v>
      </c>
      <c r="E5150">
        <v>145.77000000000001</v>
      </c>
      <c r="F5150">
        <v>-0.01</v>
      </c>
    </row>
    <row r="5151" spans="1:6" x14ac:dyDescent="0.3">
      <c r="A5151" t="str">
        <f>HYPERLINK("https://us2.cloudbeds.com/connect/10074733072513#/reservations/31729270538374?display=MXGCDC2QC&amp;reservation_id=31729270538374", "MXGCDC2QC")</f>
        <v>MXGCDC2QC</v>
      </c>
      <c r="B5151" t="s">
        <v>1655</v>
      </c>
      <c r="C5151">
        <v>134.1</v>
      </c>
      <c r="D5151">
        <v>145.76</v>
      </c>
      <c r="E5151">
        <v>145.77000000000001</v>
      </c>
      <c r="F5151">
        <v>-0.01</v>
      </c>
    </row>
    <row r="5152" spans="1:6" x14ac:dyDescent="0.3">
      <c r="A5152" t="str">
        <f>HYPERLINK("https://us2.cloudbeds.com/connect/10074733072513#/reservations/31728205349110?display=MXFX65KXR&amp;reservation_id=31728205349110", "MXFX65KXR")</f>
        <v>MXFX65KXR</v>
      </c>
      <c r="B5152" t="s">
        <v>1655</v>
      </c>
      <c r="C5152">
        <v>134.1</v>
      </c>
      <c r="D5152">
        <v>145.76</v>
      </c>
      <c r="E5152">
        <v>145.77000000000001</v>
      </c>
      <c r="F5152">
        <v>-0.01</v>
      </c>
    </row>
    <row r="5153" spans="1:6" x14ac:dyDescent="0.3">
      <c r="A5153" t="str">
        <f>HYPERLINK("https://us2.cloudbeds.com/connect/10074733072513#/reservations/31729140576463?display=MXG92PN6Y&amp;reservation_id=31729140576463", "MXG92PN6Y")</f>
        <v>MXG92PN6Y</v>
      </c>
      <c r="B5153" t="s">
        <v>1593</v>
      </c>
      <c r="C5153">
        <v>304.2</v>
      </c>
      <c r="D5153">
        <v>330.66</v>
      </c>
      <c r="E5153">
        <v>330.67</v>
      </c>
      <c r="F5153">
        <v>-0.01</v>
      </c>
    </row>
    <row r="5154" spans="1:6" x14ac:dyDescent="0.3">
      <c r="A5154" t="str">
        <f>HYPERLINK("https://us2.cloudbeds.com/connect/10074733072513#/reservations/31733125746907?display=MXJBU5V6B&amp;reservation_id=31733125746907", "MXJBU5V6B")</f>
        <v>MXJBU5V6B</v>
      </c>
      <c r="B5154" t="s">
        <v>1655</v>
      </c>
      <c r="C5154">
        <v>134.1</v>
      </c>
      <c r="D5154">
        <v>145.76</v>
      </c>
      <c r="E5154">
        <v>145.77000000000001</v>
      </c>
      <c r="F5154">
        <v>-0.01</v>
      </c>
    </row>
    <row r="5155" spans="1:6" x14ac:dyDescent="0.3">
      <c r="A5155" t="str">
        <f>HYPERLINK("https://us2.cloudbeds.com/connect/10074733072513#/reservations/31725871689888?display=MXDZXC3QN&amp;reservation_id=31725871689888", "MXDZXC3QN")</f>
        <v>MXDZXC3QN</v>
      </c>
      <c r="B5155" t="s">
        <v>1672</v>
      </c>
      <c r="C5155">
        <v>134.1</v>
      </c>
      <c r="D5155">
        <v>145.76</v>
      </c>
      <c r="E5155">
        <v>145.77000000000001</v>
      </c>
      <c r="F5155">
        <v>-0.01</v>
      </c>
    </row>
    <row r="5156" spans="1:6" x14ac:dyDescent="0.3">
      <c r="A5156" t="str">
        <f>HYPERLINK("https://us2.cloudbeds.com/connect/10074733072513#/reservations/31733166252227?display=MXJCVB25A&amp;reservation_id=31733166252227", "MXJCVB25A")</f>
        <v>MXJCVB25A</v>
      </c>
      <c r="B5156" t="s">
        <v>1672</v>
      </c>
      <c r="C5156">
        <v>170.1</v>
      </c>
      <c r="D5156">
        <v>184.89</v>
      </c>
      <c r="E5156">
        <v>184.9</v>
      </c>
      <c r="F5156">
        <v>-0.01</v>
      </c>
    </row>
    <row r="5157" spans="1:6" x14ac:dyDescent="0.3">
      <c r="A5157" t="str">
        <f>HYPERLINK("https://us2.cloudbeds.com/connect/10074733072513#/reservations/31727241744590?display=MXEQXKTUS&amp;reservation_id=31727241744590", "MXEQXKTUS")</f>
        <v>MXEQXKTUS</v>
      </c>
      <c r="B5157" t="s">
        <v>1652</v>
      </c>
      <c r="C5157">
        <v>304.2</v>
      </c>
      <c r="D5157">
        <v>330.66</v>
      </c>
      <c r="E5157">
        <v>330.67</v>
      </c>
      <c r="F5157">
        <v>-0.01</v>
      </c>
    </row>
    <row r="5158" spans="1:6" x14ac:dyDescent="0.3">
      <c r="A5158" t="str">
        <f>HYPERLINK("https://us2.cloudbeds.com/connect/10074733072513#/reservations/31730453139595?display=MXH9KXNB0&amp;reservation_id=31730453139595", "MXH9KXNB0")</f>
        <v>MXH9KXNB0</v>
      </c>
      <c r="B5158" t="s">
        <v>1593</v>
      </c>
      <c r="C5158">
        <v>117.42</v>
      </c>
      <c r="D5158">
        <v>127.63</v>
      </c>
      <c r="E5158">
        <v>127.64</v>
      </c>
      <c r="F5158">
        <v>-0.01</v>
      </c>
    </row>
    <row r="5159" spans="1:6" x14ac:dyDescent="0.3">
      <c r="A5159" t="str">
        <f>HYPERLINK("https://us2.cloudbeds.com/connect/10074733072513#/reservations/31724945006723?display=MXD0SVQ2M&amp;reservation_id=31724945006723", "MXD0SVQ2M")</f>
        <v>MXD0SVQ2M</v>
      </c>
      <c r="B5159" t="s">
        <v>1705</v>
      </c>
      <c r="C5159">
        <v>258</v>
      </c>
      <c r="D5159">
        <v>280.44</v>
      </c>
      <c r="E5159">
        <v>280.45</v>
      </c>
      <c r="F5159">
        <v>-0.01</v>
      </c>
    </row>
    <row r="5160" spans="1:6" x14ac:dyDescent="0.3">
      <c r="A5160" t="str">
        <f>HYPERLINK("https://us2.cloudbeds.com/connect/10074733072513#/reservations/31729617494173?display=MXGY8UY5F&amp;reservation_id=31729617494173", "MXGY8UY5F")</f>
        <v>MXGY8UY5F</v>
      </c>
      <c r="B5160" t="s">
        <v>1672</v>
      </c>
      <c r="C5160">
        <v>134.1</v>
      </c>
      <c r="D5160">
        <v>145.76</v>
      </c>
      <c r="E5160">
        <v>145.77000000000001</v>
      </c>
      <c r="F5160">
        <v>-0.01</v>
      </c>
    </row>
    <row r="5161" spans="1:6" x14ac:dyDescent="0.3">
      <c r="A5161" t="str">
        <f>HYPERLINK("https://us2.cloudbeds.com/connect/10074733072513#/reservations/31714470076565?display=MX4U77DPM&amp;reservation_id=31714470076565", "MX4U77DPM")</f>
        <v>MX4U77DPM</v>
      </c>
      <c r="B5161" t="s">
        <v>1711</v>
      </c>
      <c r="C5161">
        <v>376.2</v>
      </c>
      <c r="D5161">
        <v>408.92</v>
      </c>
      <c r="E5161">
        <v>408.93</v>
      </c>
      <c r="F5161">
        <v>-0.01</v>
      </c>
    </row>
    <row r="5162" spans="1:6" x14ac:dyDescent="0.3">
      <c r="A5162" t="str">
        <f>HYPERLINK("https://us2.cloudbeds.com/connect/10074733072513#/reservations/31728365465787?display=MXFM963GB&amp;reservation_id=31728365465787", "MXFM963GB")</f>
        <v>MXFM963GB</v>
      </c>
      <c r="B5162" t="s">
        <v>1685</v>
      </c>
      <c r="C5162">
        <v>134.1</v>
      </c>
      <c r="D5162">
        <v>145.76</v>
      </c>
      <c r="E5162">
        <v>145.77000000000001</v>
      </c>
      <c r="F5162">
        <v>-0.01</v>
      </c>
    </row>
    <row r="5163" spans="1:6" x14ac:dyDescent="0.3">
      <c r="A5163" t="str">
        <f>HYPERLINK("https://us2.cloudbeds.com/connect/10074733072513#/reservations/31730252705993?display=MXH4GXBEG&amp;reservation_id=31730252705993", "MXH4GXBEG")</f>
        <v>MXH4GXBEG</v>
      </c>
      <c r="B5163" t="s">
        <v>1688</v>
      </c>
      <c r="C5163">
        <v>270.83999999999997</v>
      </c>
      <c r="D5163">
        <v>294.39</v>
      </c>
      <c r="E5163">
        <v>294.39999999999998</v>
      </c>
      <c r="F5163">
        <v>-0.01</v>
      </c>
    </row>
    <row r="5164" spans="1:6" x14ac:dyDescent="0.3">
      <c r="A5164" t="str">
        <f>HYPERLINK("https://us2.cloudbeds.com/connect/10074733072513#/reservations/31729143496913?display=MXG957VW4&amp;reservation_id=31729143496913", "MXG957VW4")</f>
        <v>MXG957VW4</v>
      </c>
      <c r="B5164" t="s">
        <v>1685</v>
      </c>
      <c r="C5164">
        <v>103.2</v>
      </c>
      <c r="D5164">
        <v>112.17</v>
      </c>
      <c r="E5164">
        <v>112.18</v>
      </c>
      <c r="F5164">
        <v>-0.01</v>
      </c>
    </row>
    <row r="5165" spans="1:6" x14ac:dyDescent="0.3">
      <c r="A5165" t="str">
        <f>HYPERLINK("https://us2.cloudbeds.com/connect/10074733072513#/reservations/31732341625034?display=MXXZSWJZG&amp;reservation_id=31732341625034", "MXXZSWJZG")</f>
        <v>MXXZSWJZG</v>
      </c>
      <c r="B5165" t="s">
        <v>1688</v>
      </c>
      <c r="C5165">
        <v>103.2</v>
      </c>
      <c r="D5165">
        <v>112.17</v>
      </c>
      <c r="E5165">
        <v>112.18</v>
      </c>
      <c r="F5165">
        <v>-0.01</v>
      </c>
    </row>
    <row r="5166" spans="1:6" x14ac:dyDescent="0.3">
      <c r="A5166" t="str">
        <f>HYPERLINK("https://us2.cloudbeds.com/connect/10074733072513#/reservations/31723788132549?display=MXC4AF20H&amp;reservation_id=31723788132549", "MXC4AF20H")</f>
        <v>MXC4AF20H</v>
      </c>
      <c r="B5166" t="s">
        <v>1698</v>
      </c>
      <c r="C5166">
        <v>264.2</v>
      </c>
      <c r="D5166">
        <v>287.18</v>
      </c>
      <c r="E5166">
        <v>287.19</v>
      </c>
      <c r="F5166">
        <v>-0.01</v>
      </c>
    </row>
    <row r="5167" spans="1:6" x14ac:dyDescent="0.3">
      <c r="A5167" t="str">
        <f>HYPERLINK("https://us2.cloudbeds.com/connect/10074733072513#/reservations/31729374540000?display=MXGF222ZQ&amp;reservation_id=31729374540000", "MXGF222ZQ")</f>
        <v>MXGF222ZQ</v>
      </c>
      <c r="B5167" t="s">
        <v>1710</v>
      </c>
      <c r="C5167">
        <v>197.78</v>
      </c>
      <c r="D5167">
        <v>214.98</v>
      </c>
      <c r="E5167">
        <v>214.99</v>
      </c>
      <c r="F5167">
        <v>-0.01</v>
      </c>
    </row>
    <row r="5168" spans="1:6" x14ac:dyDescent="0.3">
      <c r="A5168" t="str">
        <f>HYPERLINK("https://us2.cloudbeds.com/connect/10074733072513#/reservations/31726199005391?display=MXDWUC50A&amp;reservation_id=31726199005391", "MXDWUC50A")</f>
        <v>MXDWUC50A</v>
      </c>
      <c r="B5168" t="s">
        <v>1681</v>
      </c>
      <c r="C5168">
        <v>134.1</v>
      </c>
      <c r="D5168">
        <v>145.76</v>
      </c>
      <c r="E5168">
        <v>145.77000000000001</v>
      </c>
      <c r="F5168">
        <v>-0.01</v>
      </c>
    </row>
    <row r="5169" spans="1:6" x14ac:dyDescent="0.3">
      <c r="A5169" t="str">
        <f>HYPERLINK("https://us2.cloudbeds.com/connect/10074733072513#/reservations/31726858817759?display=MXEGPZDAG&amp;reservation_id=31726858817759", "MXEGPZDAG")</f>
        <v>MXEGPZDAG</v>
      </c>
      <c r="B5169" t="s">
        <v>1560</v>
      </c>
      <c r="C5169">
        <v>117.42</v>
      </c>
      <c r="D5169">
        <v>127.63</v>
      </c>
      <c r="E5169">
        <v>127.64</v>
      </c>
      <c r="F5169">
        <v>-0.01</v>
      </c>
    </row>
    <row r="5170" spans="1:6" x14ac:dyDescent="0.3">
      <c r="A5170" t="str">
        <f>HYPERLINK("https://us2.cloudbeds.com/connect/10074733072513#/reservations/31724895260867?display=MXCWK0HPG&amp;reservation_id=31724895260867", "MXCWK0HPG")</f>
        <v>MXCWK0HPG</v>
      </c>
      <c r="B5170" t="s">
        <v>1705</v>
      </c>
      <c r="C5170">
        <v>103.2</v>
      </c>
      <c r="D5170">
        <v>112.17</v>
      </c>
      <c r="E5170">
        <v>112.18</v>
      </c>
      <c r="F5170">
        <v>-0.01</v>
      </c>
    </row>
    <row r="5171" spans="1:6" x14ac:dyDescent="0.3">
      <c r="A5171" t="str">
        <f>HYPERLINK("https://us2.cloudbeds.com/connect/10074733072513#/reservations/31721020612773?display=MX9WJQZHT&amp;reservation_id=31721020612773", "MX9WJQZHT")</f>
        <v>MX9WJQZHT</v>
      </c>
      <c r="B5171" t="s">
        <v>1654</v>
      </c>
      <c r="C5171">
        <v>304.2</v>
      </c>
      <c r="D5171">
        <v>330.66</v>
      </c>
      <c r="E5171">
        <v>330.67</v>
      </c>
      <c r="F5171">
        <v>-0.01</v>
      </c>
    </row>
    <row r="5172" spans="1:6" x14ac:dyDescent="0.3">
      <c r="A5172" t="str">
        <f>HYPERLINK("https://us2.cloudbeds.com/connect/10074733072513#/reservations/31729317785735?display=MXGDK6QQJ&amp;reservation_id=31729317785735", "MXGDK6QQJ")</f>
        <v>MXGDK6QQJ</v>
      </c>
      <c r="B5172" t="s">
        <v>1710</v>
      </c>
      <c r="C5172">
        <v>134.1</v>
      </c>
      <c r="D5172">
        <v>145.76</v>
      </c>
      <c r="E5172">
        <v>145.77000000000001</v>
      </c>
      <c r="F5172">
        <v>-0.01</v>
      </c>
    </row>
    <row r="5173" spans="1:6" x14ac:dyDescent="0.3">
      <c r="A5173" t="str">
        <f>HYPERLINK("https://us2.cloudbeds.com/connect/10074733072513#/reservations/31728553001177?display=MXFR2AX9T&amp;reservation_id=31728553001177", "MXFR2AX9T")</f>
        <v>MXFR2AX9T</v>
      </c>
      <c r="B5173" t="s">
        <v>1710</v>
      </c>
      <c r="C5173">
        <v>134.1</v>
      </c>
      <c r="D5173">
        <v>145.76</v>
      </c>
      <c r="E5173">
        <v>145.77000000000001</v>
      </c>
      <c r="F5173">
        <v>-0.01</v>
      </c>
    </row>
    <row r="5174" spans="1:6" x14ac:dyDescent="0.3">
      <c r="A5174" t="str">
        <f>HYPERLINK("https://us2.cloudbeds.com/connect/10074733072513#/reservations/31726420091067?display=MXE5XQ658&amp;reservation_id=31726420091067", "MXE5XQ658")</f>
        <v>MXE5XQ658</v>
      </c>
      <c r="B5174" t="s">
        <v>1695</v>
      </c>
      <c r="C5174">
        <v>134.1</v>
      </c>
      <c r="D5174">
        <v>145.76</v>
      </c>
      <c r="E5174">
        <v>145.77000000000001</v>
      </c>
      <c r="F5174">
        <v>-0.01</v>
      </c>
    </row>
    <row r="5175" spans="1:6" x14ac:dyDescent="0.3">
      <c r="A5175" t="str">
        <f>HYPERLINK("https://us2.cloudbeds.com/connect/10074733072513#/reservations/31728574701720?display=MXFRKKDB5&amp;reservation_id=31728574701720", "MXFRKKDB5")</f>
        <v>MXFRKKDB5</v>
      </c>
      <c r="B5175" t="s">
        <v>1710</v>
      </c>
      <c r="C5175">
        <v>134.1</v>
      </c>
      <c r="D5175">
        <v>145.76</v>
      </c>
      <c r="E5175">
        <v>145.77000000000001</v>
      </c>
      <c r="F5175">
        <v>-0.01</v>
      </c>
    </row>
    <row r="5176" spans="1:6" x14ac:dyDescent="0.3">
      <c r="A5176" t="str">
        <f>HYPERLINK("https://us2.cloudbeds.com/connect/10074733072513#/reservations/31727729680598?display=MXF612ENG&amp;reservation_id=31727729680598", "MXF612ENG")</f>
        <v>MXF612ENG</v>
      </c>
      <c r="B5176" t="s">
        <v>1560</v>
      </c>
      <c r="C5176">
        <v>117.42</v>
      </c>
      <c r="D5176">
        <v>127.63</v>
      </c>
      <c r="E5176">
        <v>127.64</v>
      </c>
      <c r="F5176">
        <v>-0.01</v>
      </c>
    </row>
    <row r="5177" spans="1:6" x14ac:dyDescent="0.3">
      <c r="A5177" t="str">
        <f>HYPERLINK("https://us2.cloudbeds.com/connect/10074733072513#/reservations/31727446630605?display=MXEVQD5BW&amp;reservation_id=31727446630605", "MXEVQD5BW")</f>
        <v>MXEVQD5BW</v>
      </c>
      <c r="B5177" t="s">
        <v>1652</v>
      </c>
      <c r="C5177">
        <v>143.66</v>
      </c>
      <c r="D5177">
        <v>156.15</v>
      </c>
      <c r="E5177">
        <v>156.16</v>
      </c>
      <c r="F5177">
        <v>-0.01</v>
      </c>
    </row>
    <row r="5178" spans="1:6" x14ac:dyDescent="0.3">
      <c r="A5178" t="str">
        <f>HYPERLINK("https://us2.cloudbeds.com/connect/10074733072513#/reservations/31726810898571?display=MXEFXAWCT&amp;reservation_id=31726810898571", "MXEFXAWCT")</f>
        <v>MXEFXAWCT</v>
      </c>
      <c r="B5178" t="s">
        <v>1716</v>
      </c>
      <c r="C5178">
        <v>250.2</v>
      </c>
      <c r="D5178">
        <v>271.95999999999998</v>
      </c>
      <c r="E5178">
        <v>271.97000000000003</v>
      </c>
      <c r="F5178">
        <v>-0.01</v>
      </c>
    </row>
    <row r="5179" spans="1:6" x14ac:dyDescent="0.3">
      <c r="A5179" t="str">
        <f>HYPERLINK("https://us2.cloudbeds.com/connect/10074733072513#/reservations/31724907544727?display=MXCWUCBNM&amp;reservation_id=31724907544727", "MXCWUCBNM")</f>
        <v>MXCWUCBNM</v>
      </c>
      <c r="B5179" t="s">
        <v>1705</v>
      </c>
      <c r="C5179">
        <v>304.2</v>
      </c>
      <c r="D5179">
        <v>330.66</v>
      </c>
      <c r="E5179">
        <v>330.67</v>
      </c>
      <c r="F5179">
        <v>-0.01</v>
      </c>
    </row>
    <row r="5180" spans="1:6" x14ac:dyDescent="0.3">
      <c r="A5180" t="str">
        <f>HYPERLINK("https://us2.cloudbeds.com/connect/10074733072513#/reservations/31726465474735?display=MXE6Z21PU&amp;reservation_id=31726465474735", "MXE6Z21PU")</f>
        <v>MXE6Z21PU</v>
      </c>
      <c r="B5180" t="s">
        <v>1695</v>
      </c>
      <c r="C5180">
        <v>250.2</v>
      </c>
      <c r="D5180">
        <v>271.95999999999998</v>
      </c>
      <c r="E5180">
        <v>271.97000000000003</v>
      </c>
      <c r="F5180">
        <v>-0.01</v>
      </c>
    </row>
    <row r="5181" spans="1:6" x14ac:dyDescent="0.3">
      <c r="A5181" t="str">
        <f>HYPERLINK("https://us2.cloudbeds.com/connect/10074733072513#/reservations/31725077033148?display=MXD489KFA&amp;reservation_id=31725077033148", "MXD489KFA")</f>
        <v>MXD489KFA</v>
      </c>
      <c r="B5181" t="s">
        <v>1718</v>
      </c>
      <c r="C5181">
        <v>134.1</v>
      </c>
      <c r="D5181">
        <v>145.76</v>
      </c>
      <c r="E5181">
        <v>145.77000000000001</v>
      </c>
      <c r="F5181">
        <v>-0.01</v>
      </c>
    </row>
    <row r="5182" spans="1:6" x14ac:dyDescent="0.3">
      <c r="A5182" t="str">
        <f>HYPERLINK("https://us2.cloudbeds.com/connect/10074733072513#/reservations/31720334340317?display=MX9F246KS&amp;reservation_id=31720334340317", "MX9F246KS")</f>
        <v>MX9F246KS</v>
      </c>
      <c r="B5182" t="s">
        <v>1724</v>
      </c>
      <c r="C5182">
        <v>103.2</v>
      </c>
      <c r="D5182">
        <v>112.17</v>
      </c>
      <c r="E5182">
        <v>112.18</v>
      </c>
      <c r="F5182">
        <v>-0.01</v>
      </c>
    </row>
    <row r="5183" spans="1:6" x14ac:dyDescent="0.3">
      <c r="A5183" t="str">
        <f>HYPERLINK("https://us2.cloudbeds.com/connect/10074733072513#/reservations/31728428953758?display=MXFNTNZR7&amp;reservation_id=31728428953758", "MXFNTNZR7")</f>
        <v>MXFNTNZR7</v>
      </c>
      <c r="B5183" t="s">
        <v>1696</v>
      </c>
      <c r="C5183">
        <v>134.1</v>
      </c>
      <c r="D5183">
        <v>145.76</v>
      </c>
      <c r="E5183">
        <v>145.77000000000001</v>
      </c>
      <c r="F5183">
        <v>-0.01</v>
      </c>
    </row>
    <row r="5184" spans="1:6" x14ac:dyDescent="0.3">
      <c r="A5184" t="str">
        <f>HYPERLINK("https://us2.cloudbeds.com/connect/10074733072513#/reservations/31726928638110?display=MXEXXK8GN&amp;reservation_id=31726928638110", "MXEXXK8GN")</f>
        <v>MXEXXK8GN</v>
      </c>
      <c r="B5184" t="s">
        <v>1385</v>
      </c>
      <c r="C5184">
        <v>250.2</v>
      </c>
      <c r="D5184">
        <v>271.95999999999998</v>
      </c>
      <c r="E5184">
        <v>271.97000000000003</v>
      </c>
      <c r="F5184">
        <v>-0.01</v>
      </c>
    </row>
    <row r="5185" spans="1:6" x14ac:dyDescent="0.3">
      <c r="A5185" t="str">
        <f>HYPERLINK("https://us2.cloudbeds.com/connect/10074733072513#/reservations/31729160208517?display=MXG9JAWQC&amp;reservation_id=31729160208517", "MXG9JAWQC")</f>
        <v>MXG9JAWQC</v>
      </c>
      <c r="B5185" t="s">
        <v>1385</v>
      </c>
      <c r="C5185">
        <v>384.3</v>
      </c>
      <c r="D5185">
        <v>417.72</v>
      </c>
      <c r="E5185">
        <v>417.73</v>
      </c>
      <c r="F5185">
        <v>-0.01</v>
      </c>
    </row>
    <row r="5186" spans="1:6" x14ac:dyDescent="0.3">
      <c r="A5186" t="str">
        <f>HYPERLINK("https://us2.cloudbeds.com/connect/10074733072513#/reservations/31728999645369?display=MXG5FV2TE&amp;reservation_id=31728999645369", "MXG5FV2TE")</f>
        <v>MXG5FV2TE</v>
      </c>
      <c r="B5186" t="s">
        <v>1702</v>
      </c>
      <c r="C5186">
        <v>1944</v>
      </c>
      <c r="D5186">
        <v>2113.12</v>
      </c>
      <c r="E5186">
        <v>2113.13</v>
      </c>
      <c r="F5186">
        <v>-0.01</v>
      </c>
    </row>
    <row r="5187" spans="1:6" x14ac:dyDescent="0.3">
      <c r="A5187" t="str">
        <f>HYPERLINK("https://us2.cloudbeds.com/connect/10074733072513#/reservations/31727870492843?display=MXF9KQZT7&amp;reservation_id=31727870492843", "MXF9KQZT7")</f>
        <v>MXF9KQZT7</v>
      </c>
      <c r="B5187" t="s">
        <v>1645</v>
      </c>
      <c r="C5187">
        <v>134.1</v>
      </c>
      <c r="D5187">
        <v>145.76</v>
      </c>
      <c r="E5187">
        <v>145.77000000000001</v>
      </c>
      <c r="F5187">
        <v>-0.01</v>
      </c>
    </row>
    <row r="5188" spans="1:6" x14ac:dyDescent="0.3">
      <c r="A5188" t="str">
        <f>HYPERLINK("https://us2.cloudbeds.com/connect/10074733072513#/reservations/31723678376136?display=MXC1GTUJK&amp;reservation_id=31723678376136", "MXC1GTUJK")</f>
        <v>MXC1GTUJK</v>
      </c>
      <c r="B5188" t="s">
        <v>1720</v>
      </c>
      <c r="C5188">
        <v>134.1</v>
      </c>
      <c r="D5188">
        <v>145.76</v>
      </c>
      <c r="E5188">
        <v>145.77000000000001</v>
      </c>
      <c r="F5188">
        <v>-0.01</v>
      </c>
    </row>
    <row r="5189" spans="1:6" x14ac:dyDescent="0.3">
      <c r="A5189" t="str">
        <f>HYPERLINK("https://us2.cloudbeds.com/connect/10074733072513#/reservations/31726668652740?display=MXEBUCPQ5&amp;reservation_id=31726668652740", "MXEBUCPQ5")</f>
        <v>MXEBUCPQ5</v>
      </c>
      <c r="B5189" t="s">
        <v>1720</v>
      </c>
      <c r="C5189">
        <v>127.2</v>
      </c>
      <c r="D5189">
        <v>138.26</v>
      </c>
      <c r="E5189">
        <v>138.27000000000001</v>
      </c>
      <c r="F5189">
        <v>-0.01</v>
      </c>
    </row>
    <row r="5190" spans="1:6" x14ac:dyDescent="0.3">
      <c r="A5190" t="str">
        <f>HYPERLINK("https://us2.cloudbeds.com/connect/10074733072513#/reservations/31727049298113?display=MXEYYBQDE&amp;reservation_id=31727049298113", "MXEYYBQDE")</f>
        <v>MXEYYBQDE</v>
      </c>
      <c r="B5190" t="s">
        <v>1677</v>
      </c>
      <c r="C5190">
        <v>304.2</v>
      </c>
      <c r="D5190">
        <v>330.66</v>
      </c>
      <c r="E5190">
        <v>330.67</v>
      </c>
      <c r="F5190">
        <v>-0.01</v>
      </c>
    </row>
    <row r="5191" spans="1:6" x14ac:dyDescent="0.3">
      <c r="A5191" t="str">
        <f>HYPERLINK("https://us2.cloudbeds.com/connect/10074733072513#/reservations/31727152636116?display=MXEZ9GAW2&amp;reservation_id=31727152636116", "MXEZ9GAW2")</f>
        <v>MXEZ9GAW2</v>
      </c>
      <c r="B5191" t="s">
        <v>1709</v>
      </c>
      <c r="C5191">
        <v>103.2</v>
      </c>
      <c r="D5191">
        <v>112.17</v>
      </c>
      <c r="E5191">
        <v>112.18</v>
      </c>
      <c r="F5191">
        <v>-0.01</v>
      </c>
    </row>
    <row r="5192" spans="1:6" x14ac:dyDescent="0.3">
      <c r="A5192" t="str">
        <f>HYPERLINK("https://us2.cloudbeds.com/connect/10074733072513#/reservations/31728789708935?display=MXG03U9QA&amp;reservation_id=31728789708935", "MXG03U9QA")</f>
        <v>MXG03U9QA</v>
      </c>
      <c r="B5192" t="s">
        <v>1702</v>
      </c>
      <c r="C5192">
        <v>134.1</v>
      </c>
      <c r="D5192">
        <v>145.76</v>
      </c>
      <c r="E5192">
        <v>145.77000000000001</v>
      </c>
      <c r="F5192">
        <v>-0.01</v>
      </c>
    </row>
    <row r="5193" spans="1:6" x14ac:dyDescent="0.3">
      <c r="A5193" t="str">
        <f>HYPERLINK("https://us2.cloudbeds.com/connect/10074733072513#/reservations/31726493790444?display=MXE7EUWBN&amp;reservation_id=31726493790444", "MXE7EUWBN")</f>
        <v>MXE7EUWBN</v>
      </c>
      <c r="B5193" t="s">
        <v>1703</v>
      </c>
      <c r="C5193">
        <v>286.66000000000003</v>
      </c>
      <c r="D5193">
        <v>311.58999999999997</v>
      </c>
      <c r="E5193">
        <v>311.60000000000002</v>
      </c>
      <c r="F5193">
        <v>-0.01</v>
      </c>
    </row>
    <row r="5194" spans="1:6" x14ac:dyDescent="0.3">
      <c r="A5194" t="str">
        <f>HYPERLINK("https://us2.cloudbeds.com/connect/10074733072513#/reservations/31728225951891?display=MXFXNHUXH&amp;reservation_id=31728225951891", "MXFXNHUXH")</f>
        <v>MXFXNHUXH</v>
      </c>
      <c r="B5194" t="s">
        <v>1702</v>
      </c>
      <c r="C5194">
        <v>134.1</v>
      </c>
      <c r="D5194">
        <v>145.76</v>
      </c>
      <c r="E5194">
        <v>145.77000000000001</v>
      </c>
      <c r="F5194">
        <v>-0.01</v>
      </c>
    </row>
    <row r="5195" spans="1:6" x14ac:dyDescent="0.3">
      <c r="A5195" t="str">
        <f>HYPERLINK("https://us2.cloudbeds.com/connect/10074733072513#/reservations/31728204501173?display=MXFX5F0UP&amp;reservation_id=31728204501173", "MXFX5F0UP")</f>
        <v>MXFX5F0UP</v>
      </c>
      <c r="B5195" t="s">
        <v>1702</v>
      </c>
      <c r="C5195">
        <v>134.1</v>
      </c>
      <c r="D5195">
        <v>145.76</v>
      </c>
      <c r="E5195">
        <v>145.77000000000001</v>
      </c>
      <c r="F5195">
        <v>-0.01</v>
      </c>
    </row>
    <row r="5196" spans="1:6" x14ac:dyDescent="0.3">
      <c r="A5196" t="str">
        <f>HYPERLINK("https://us2.cloudbeds.com/connect/10074733072513#/reservations/31714445357234?display=MX4TJCXM1&amp;reservation_id=31714445357234", "MX4TJCXM1")</f>
        <v>MX4TJCXM1</v>
      </c>
      <c r="B5196" t="s">
        <v>1729</v>
      </c>
      <c r="C5196">
        <v>288.2</v>
      </c>
      <c r="D5196">
        <v>313.26</v>
      </c>
      <c r="E5196">
        <v>313.27</v>
      </c>
      <c r="F5196">
        <v>-0.01</v>
      </c>
    </row>
    <row r="5197" spans="1:6" x14ac:dyDescent="0.3">
      <c r="A5197" t="str">
        <f>HYPERLINK("https://us2.cloudbeds.com/connect/10074733072513#/reservations/31726501183691?display=MXE7Y5NCG&amp;reservation_id=31726501183691", "MXE7Y5NCG")</f>
        <v>MXE7Y5NCG</v>
      </c>
      <c r="B5197" t="s">
        <v>1703</v>
      </c>
      <c r="C5197">
        <v>250.2</v>
      </c>
      <c r="D5197">
        <v>271.95999999999998</v>
      </c>
      <c r="E5197">
        <v>271.97000000000003</v>
      </c>
      <c r="F5197">
        <v>-0.01</v>
      </c>
    </row>
    <row r="5198" spans="1:6" x14ac:dyDescent="0.3">
      <c r="A5198" t="str">
        <f>HYPERLINK("https://us2.cloudbeds.com/connect/10074733072513#/reservations/31727128051845?display=MXENYP7T5&amp;reservation_id=31727128051845", "MXENYP7T5")</f>
        <v>MXENYP7T5</v>
      </c>
      <c r="B5198" t="s">
        <v>1677</v>
      </c>
      <c r="C5198">
        <v>208.6</v>
      </c>
      <c r="D5198">
        <v>226.74</v>
      </c>
      <c r="E5198">
        <v>226.75</v>
      </c>
      <c r="F5198">
        <v>-0.01</v>
      </c>
    </row>
    <row r="5199" spans="1:6" x14ac:dyDescent="0.3">
      <c r="A5199" t="str">
        <f>HYPERLINK("https://us2.cloudbeds.com/connect/10074733072513#/reservations/31721002873073?display=MX9W4S3Y7&amp;reservation_id=31721002873073", "MX9W4S3Y7")</f>
        <v>MX9W4S3Y7</v>
      </c>
      <c r="B5199" t="s">
        <v>1654</v>
      </c>
      <c r="C5199">
        <v>170.1</v>
      </c>
      <c r="D5199">
        <v>184.89</v>
      </c>
      <c r="E5199">
        <v>184.9</v>
      </c>
      <c r="F5199">
        <v>-0.01</v>
      </c>
    </row>
    <row r="5200" spans="1:6" x14ac:dyDescent="0.3">
      <c r="A5200" t="str">
        <f>HYPERLINK("https://us2.cloudbeds.com/connect/10074733072513#/reservations/31725862670530?display=MXDZAP4XR&amp;reservation_id=31725862670530", "MXDZAP4XR")</f>
        <v>MXDZAP4XR</v>
      </c>
      <c r="B5200" t="s">
        <v>1722</v>
      </c>
      <c r="C5200">
        <v>183.06</v>
      </c>
      <c r="D5200">
        <v>198.98</v>
      </c>
      <c r="E5200">
        <v>198.99</v>
      </c>
      <c r="F5200">
        <v>-0.01</v>
      </c>
    </row>
    <row r="5201" spans="1:6" x14ac:dyDescent="0.3">
      <c r="A5201" t="str">
        <f>HYPERLINK("https://us2.cloudbeds.com/connect/10074733072513#/reservations/31726879387859?display=MXEHA2Q9S&amp;reservation_id=31726879387859", "MXEHA2Q9S")</f>
        <v>MXEHA2Q9S</v>
      </c>
      <c r="B5201" t="s">
        <v>1385</v>
      </c>
      <c r="C5201">
        <v>571.94000000000005</v>
      </c>
      <c r="D5201">
        <v>621.69000000000005</v>
      </c>
      <c r="E5201">
        <v>621.70000000000005</v>
      </c>
      <c r="F5201">
        <v>-0.01</v>
      </c>
    </row>
    <row r="5202" spans="1:6" x14ac:dyDescent="0.3">
      <c r="A5202" t="str">
        <f>HYPERLINK("https://us2.cloudbeds.com/connect/10074733072513#/reservations/31725508677831?display=MXDF98PDB&amp;reservation_id=31725508677831", "MXDF98PDB")</f>
        <v>MXDF98PDB</v>
      </c>
      <c r="B5202" t="s">
        <v>1653</v>
      </c>
      <c r="C5202">
        <v>154.24</v>
      </c>
      <c r="D5202">
        <v>167.65</v>
      </c>
      <c r="E5202">
        <v>167.66</v>
      </c>
      <c r="F5202">
        <v>-0.01</v>
      </c>
    </row>
    <row r="5203" spans="1:6" x14ac:dyDescent="0.3">
      <c r="A5203" t="str">
        <f>HYPERLINK("https://us2.cloudbeds.com/connect/10074733072513#/reservations/31727824511231?display=MXF8F1861&amp;reservation_id=31727824511231", "MXF8F1861")</f>
        <v>MXF8F1861</v>
      </c>
      <c r="B5203" t="s">
        <v>1704</v>
      </c>
      <c r="C5203">
        <v>380.8</v>
      </c>
      <c r="D5203">
        <v>413.92</v>
      </c>
      <c r="E5203">
        <v>413.93</v>
      </c>
      <c r="F5203">
        <v>-0.01</v>
      </c>
    </row>
    <row r="5204" spans="1:6" x14ac:dyDescent="0.3">
      <c r="A5204" t="str">
        <f>HYPERLINK("https://us2.cloudbeds.com/connect/10074733072513#/reservations/31727002419362?display=MXEKERAT7&amp;reservation_id=31727002419362", "MXEKERAT7")</f>
        <v>MXEKERAT7</v>
      </c>
      <c r="B5204" t="s">
        <v>1719</v>
      </c>
      <c r="C5204">
        <v>134.1</v>
      </c>
      <c r="D5204">
        <v>145.76</v>
      </c>
      <c r="E5204">
        <v>145.77000000000001</v>
      </c>
      <c r="F5204">
        <v>-0.01</v>
      </c>
    </row>
    <row r="5205" spans="1:6" x14ac:dyDescent="0.3">
      <c r="A5205" t="str">
        <f>HYPERLINK("https://us2.cloudbeds.com/connect/10074733072513#/reservations/31724298637460?display=MXCHBUK7A&amp;reservation_id=31724298637460", "MXCHBUK7A")</f>
        <v>MXCHBUK7A</v>
      </c>
      <c r="B5205" t="s">
        <v>1738</v>
      </c>
      <c r="C5205">
        <v>375.3</v>
      </c>
      <c r="D5205">
        <v>407.94</v>
      </c>
      <c r="E5205">
        <v>407.95</v>
      </c>
      <c r="F5205">
        <v>-0.01</v>
      </c>
    </row>
    <row r="5206" spans="1:6" x14ac:dyDescent="0.3">
      <c r="A5206" t="str">
        <f>HYPERLINK("https://us2.cloudbeds.com/connect/10074733072513#/reservations/31726988812520?display=MXEK3BN2M&amp;reservation_id=31726988812520", "MXEK3BN2M")</f>
        <v>MXEK3BN2M</v>
      </c>
      <c r="B5206" t="s">
        <v>1719</v>
      </c>
      <c r="C5206">
        <v>134.1</v>
      </c>
      <c r="D5206">
        <v>145.76</v>
      </c>
      <c r="E5206">
        <v>145.77000000000001</v>
      </c>
      <c r="F5206">
        <v>-0.01</v>
      </c>
    </row>
    <row r="5207" spans="1:6" x14ac:dyDescent="0.3">
      <c r="A5207" t="str">
        <f>HYPERLINK("https://us2.cloudbeds.com/connect/10074733072513#/reservations/31727782351031?display=MXF7CG2J7&amp;reservation_id=31727782351031", "MXF7CG2J7")</f>
        <v>MXF7CG2J7</v>
      </c>
      <c r="B5207" t="s">
        <v>1704</v>
      </c>
      <c r="C5207">
        <v>134.1</v>
      </c>
      <c r="D5207">
        <v>145.76</v>
      </c>
      <c r="E5207">
        <v>145.77000000000001</v>
      </c>
      <c r="F5207">
        <v>-0.01</v>
      </c>
    </row>
    <row r="5208" spans="1:6" x14ac:dyDescent="0.3">
      <c r="A5208" t="str">
        <f>HYPERLINK("https://us2.cloudbeds.com/connect/10074733072513#/reservations/31727971045560?display=MXFC6JPQ8&amp;reservation_id=31727971045560", "MXFC6JPQ8")</f>
        <v>MXFC6JPQ8</v>
      </c>
      <c r="B5208" t="s">
        <v>1719</v>
      </c>
      <c r="C5208">
        <v>134.1</v>
      </c>
      <c r="D5208">
        <v>145.76</v>
      </c>
      <c r="E5208">
        <v>145.77000000000001</v>
      </c>
      <c r="F5208">
        <v>-0.01</v>
      </c>
    </row>
    <row r="5209" spans="1:6" x14ac:dyDescent="0.3">
      <c r="A5209" t="str">
        <f>HYPERLINK("https://us2.cloudbeds.com/connect/10074733072513#/reservations/31727801286808?display=MXF7SEWQY&amp;reservation_id=31727801286808", "MXF7SEWQY")</f>
        <v>MXF7SEWQY</v>
      </c>
      <c r="B5209" t="s">
        <v>1704</v>
      </c>
      <c r="C5209">
        <v>134.1</v>
      </c>
      <c r="D5209">
        <v>145.76</v>
      </c>
      <c r="E5209">
        <v>145.77000000000001</v>
      </c>
      <c r="F5209">
        <v>-0.01</v>
      </c>
    </row>
    <row r="5210" spans="1:6" x14ac:dyDescent="0.3">
      <c r="A5210" t="str">
        <f>HYPERLINK("https://us2.cloudbeds.com/connect/10074733072513#/reservations/31726852595897?display=MXEGKG8V7&amp;reservation_id=31726852595897", "MXEGKG8V7")</f>
        <v>MXEGKG8V7</v>
      </c>
      <c r="B5210" t="s">
        <v>1385</v>
      </c>
      <c r="C5210">
        <v>264.2</v>
      </c>
      <c r="D5210">
        <v>287.18</v>
      </c>
      <c r="E5210">
        <v>287.19</v>
      </c>
      <c r="F5210">
        <v>-0.01</v>
      </c>
    </row>
    <row r="5211" spans="1:6" x14ac:dyDescent="0.3">
      <c r="A5211" t="str">
        <f>HYPERLINK("https://us2.cloudbeds.com/connect/10074733072513#/reservations/31727943069827?display=MXFBG0ADP&amp;reservation_id=31727943069827", "MXFBG0ADP")</f>
        <v>MXFBG0ADP</v>
      </c>
      <c r="B5211" t="s">
        <v>1704</v>
      </c>
      <c r="C5211">
        <v>134.1</v>
      </c>
      <c r="D5211">
        <v>145.76</v>
      </c>
      <c r="E5211">
        <v>145.77000000000001</v>
      </c>
      <c r="F5211">
        <v>-0.01</v>
      </c>
    </row>
    <row r="5212" spans="1:6" x14ac:dyDescent="0.3">
      <c r="A5212" t="str">
        <f>HYPERLINK("https://us2.cloudbeds.com/connect/10074733072513#/reservations/31726947746015?display=MXEJ1NVQ4&amp;reservation_id=31726947746015", "MXEJ1NVQ4")</f>
        <v>MXEJ1NVQ4</v>
      </c>
      <c r="B5212" t="s">
        <v>1385</v>
      </c>
      <c r="C5212">
        <v>304.2</v>
      </c>
      <c r="D5212">
        <v>330.66</v>
      </c>
      <c r="E5212">
        <v>330.67</v>
      </c>
      <c r="F5212">
        <v>-0.01</v>
      </c>
    </row>
    <row r="5213" spans="1:6" x14ac:dyDescent="0.3">
      <c r="A5213" t="str">
        <f>HYPERLINK("https://us2.cloudbeds.com/connect/10074733072513#/reservations/31718063509716?display=MX7N19WZB&amp;reservation_id=31718063509716", "MX7N19WZB")</f>
        <v>MX7N19WZB</v>
      </c>
      <c r="B5213" t="s">
        <v>1627</v>
      </c>
      <c r="C5213">
        <v>268.2</v>
      </c>
      <c r="D5213">
        <v>291.52</v>
      </c>
      <c r="E5213">
        <v>291.52999999999997</v>
      </c>
      <c r="F5213">
        <v>-0.01</v>
      </c>
    </row>
    <row r="5214" spans="1:6" x14ac:dyDescent="0.3">
      <c r="A5214" t="str">
        <f>HYPERLINK("https://us2.cloudbeds.com/connect/10074733072513#/reservations/31727239905408?display=MXEQ5V528&amp;reservation_id=31727239905408", "MXEQ5V528")</f>
        <v>MXEQ5V528</v>
      </c>
      <c r="B5214" t="s">
        <v>1741</v>
      </c>
      <c r="C5214">
        <v>250.2</v>
      </c>
      <c r="D5214">
        <v>271.95999999999998</v>
      </c>
      <c r="E5214">
        <v>271.97000000000003</v>
      </c>
      <c r="F5214">
        <v>-0.01</v>
      </c>
    </row>
    <row r="5215" spans="1:6" x14ac:dyDescent="0.3">
      <c r="A5215" t="str">
        <f>HYPERLINK("https://us2.cloudbeds.com/connect/10074733072513#/reservations/31714274947236?display=MX4P7MYYN&amp;reservation_id=31714274947236", "MX4P7MYYN")</f>
        <v>MX4P7MYYN</v>
      </c>
      <c r="B5215" t="s">
        <v>1690</v>
      </c>
      <c r="C5215">
        <v>412.2</v>
      </c>
      <c r="D5215">
        <v>448.05</v>
      </c>
      <c r="E5215">
        <v>448.06</v>
      </c>
      <c r="F5215">
        <v>-0.01</v>
      </c>
    </row>
    <row r="5216" spans="1:6" x14ac:dyDescent="0.3">
      <c r="A5216" t="str">
        <f>HYPERLINK("https://us2.cloudbeds.com/connect/10074733072513#/reservations/31719215124651?display=MX8JFCCCK&amp;reservation_id=31719215124651", "MX8JFCCCK")</f>
        <v>MX8JFCCCK</v>
      </c>
      <c r="B5216" t="s">
        <v>1736</v>
      </c>
      <c r="C5216">
        <v>268.2</v>
      </c>
      <c r="D5216">
        <v>291.52</v>
      </c>
      <c r="E5216">
        <v>291.52999999999997</v>
      </c>
      <c r="F5216">
        <v>-0.01</v>
      </c>
    </row>
    <row r="5217" spans="1:6" x14ac:dyDescent="0.3">
      <c r="A5217" t="str">
        <f>HYPERLINK("https://us2.cloudbeds.com/connect/10074733072513#/reservations/31725688111343?display=MXDJSXPFG&amp;reservation_id=31725688111343", "MXDJSXPFG")</f>
        <v>MXDJSXPFG</v>
      </c>
      <c r="B5217" t="s">
        <v>1511</v>
      </c>
      <c r="C5217">
        <v>268.2</v>
      </c>
      <c r="D5217">
        <v>291.52</v>
      </c>
      <c r="E5217">
        <v>291.52999999999997</v>
      </c>
      <c r="F5217">
        <v>-0.01</v>
      </c>
    </row>
    <row r="5218" spans="1:6" x14ac:dyDescent="0.3">
      <c r="A5218" t="str">
        <f>HYPERLINK("https://us2.cloudbeds.com/connect/10074733072513#/reservations/31722284548296?display=MXAVTJK7B&amp;reservation_id=31722284548296", "MXAVTJK7B")</f>
        <v>MXAVTJK7B</v>
      </c>
      <c r="B5218" t="s">
        <v>1736</v>
      </c>
      <c r="C5218">
        <v>134.1</v>
      </c>
      <c r="D5218">
        <v>145.76</v>
      </c>
      <c r="E5218">
        <v>145.77000000000001</v>
      </c>
      <c r="F5218">
        <v>-0.01</v>
      </c>
    </row>
    <row r="5219" spans="1:6" x14ac:dyDescent="0.3">
      <c r="A5219" t="str">
        <f>HYPERLINK("https://us2.cloudbeds.com/connect/10074733072513#/reservations/31725595164869?display=MXDHG6D5M&amp;reservation_id=31725595164869", "MXDHG6D5M")</f>
        <v>MXDHG6D5M</v>
      </c>
      <c r="B5219" t="s">
        <v>1677</v>
      </c>
      <c r="C5219">
        <v>208.6</v>
      </c>
      <c r="D5219">
        <v>226.74</v>
      </c>
      <c r="E5219">
        <v>226.75</v>
      </c>
      <c r="F5219">
        <v>-0.01</v>
      </c>
    </row>
    <row r="5220" spans="1:6" x14ac:dyDescent="0.3">
      <c r="A5220" t="str">
        <f>HYPERLINK("https://us2.cloudbeds.com/connect/10074733072513#/reservations/31727065297148?display=MXEM1RWTM&amp;reservation_id=31727065297148", "MXEM1RWTM")</f>
        <v>MXEM1RWTM</v>
      </c>
      <c r="B5220" t="s">
        <v>1677</v>
      </c>
      <c r="C5220">
        <v>208.6</v>
      </c>
      <c r="D5220">
        <v>226.74</v>
      </c>
      <c r="E5220">
        <v>226.75</v>
      </c>
      <c r="F5220">
        <v>-0.01</v>
      </c>
    </row>
    <row r="5221" spans="1:6" x14ac:dyDescent="0.3">
      <c r="A5221" t="str">
        <f>HYPERLINK("https://us2.cloudbeds.com/connect/10074733072513#/reservations/31717647241380?display=MX7CD9NGB&amp;reservation_id=31717647241380", "MX7CD9NGB")</f>
        <v>MX7CD9NGB</v>
      </c>
      <c r="B5221" t="s">
        <v>1742</v>
      </c>
      <c r="C5221">
        <v>264.2</v>
      </c>
      <c r="D5221">
        <v>287.18</v>
      </c>
      <c r="E5221">
        <v>287.19</v>
      </c>
      <c r="F5221">
        <v>-0.01</v>
      </c>
    </row>
    <row r="5222" spans="1:6" x14ac:dyDescent="0.3">
      <c r="A5222" t="str">
        <f>HYPERLINK("https://us2.cloudbeds.com/connect/10074733072513#/reservations/31724937912453?display=MXD0MWCJQ&amp;reservation_id=31724937912453", "MXD0MWCJQ")</f>
        <v>MXD0MWCJQ</v>
      </c>
      <c r="B5222" t="s">
        <v>1750</v>
      </c>
      <c r="C5222">
        <v>103.2</v>
      </c>
      <c r="D5222">
        <v>112.17</v>
      </c>
      <c r="E5222">
        <v>112.18</v>
      </c>
      <c r="F5222">
        <v>-0.01</v>
      </c>
    </row>
    <row r="5223" spans="1:6" x14ac:dyDescent="0.3">
      <c r="A5223" t="str">
        <f>HYPERLINK("https://us2.cloudbeds.com/connect/10074733072513#/reservations/31726035214489?display=MXDSZ8E4Y&amp;reservation_id=31726035214489", "MXDSZ8E4Y")</f>
        <v>MXDSZ8E4Y</v>
      </c>
      <c r="B5223" t="s">
        <v>1751</v>
      </c>
      <c r="C5223">
        <v>143.65</v>
      </c>
      <c r="D5223">
        <v>156.13999999999999</v>
      </c>
      <c r="E5223">
        <v>156.15</v>
      </c>
      <c r="F5223">
        <v>-0.01</v>
      </c>
    </row>
    <row r="5224" spans="1:6" x14ac:dyDescent="0.3">
      <c r="A5224" t="str">
        <f>HYPERLINK("https://us2.cloudbeds.com/connect/10074733072513#/reservations/31722622185636?display=MXB7H9SMT&amp;reservation_id=31722622185636", "MXB7H9SMT")</f>
        <v>MXB7H9SMT</v>
      </c>
      <c r="B5224" t="s">
        <v>1699</v>
      </c>
      <c r="C5224">
        <v>154.24</v>
      </c>
      <c r="D5224">
        <v>167.65</v>
      </c>
      <c r="E5224">
        <v>167.66</v>
      </c>
      <c r="F5224">
        <v>-0.01</v>
      </c>
    </row>
    <row r="5225" spans="1:6" x14ac:dyDescent="0.3">
      <c r="A5225" t="str">
        <f>HYPERLINK("https://us2.cloudbeds.com/connect/10074733072513#/reservations/31721880178835?display=MXAYXKEDA&amp;reservation_id=31721880178835", "MXAYXKEDA")</f>
        <v>MXAYXKEDA</v>
      </c>
      <c r="B5225" t="s">
        <v>1692</v>
      </c>
      <c r="C5225">
        <v>250.2</v>
      </c>
      <c r="D5225">
        <v>271.95999999999998</v>
      </c>
      <c r="E5225">
        <v>271.97000000000003</v>
      </c>
      <c r="F5225">
        <v>-0.01</v>
      </c>
    </row>
    <row r="5226" spans="1:6" x14ac:dyDescent="0.3">
      <c r="A5226" t="str">
        <f>HYPERLINK("https://us2.cloudbeds.com/connect/10074733072513#/reservations/31726081839305?display=MXDTUXRFS&amp;reservation_id=31726081839305", "MXDTUXRFS")</f>
        <v>MXDTUXRFS</v>
      </c>
      <c r="B5226" t="s">
        <v>1751</v>
      </c>
      <c r="C5226">
        <v>143.65</v>
      </c>
      <c r="D5226">
        <v>156.13999999999999</v>
      </c>
      <c r="E5226">
        <v>156.15</v>
      </c>
      <c r="F5226">
        <v>-0.01</v>
      </c>
    </row>
    <row r="5227" spans="1:6" x14ac:dyDescent="0.3">
      <c r="A5227" t="str">
        <f>HYPERLINK("https://us2.cloudbeds.com/connect/10074733072513#/reservations/31726022398183?display=MXDSDEQ8Z&amp;reservation_id=31726022398183", "MXDSDEQ8Z")</f>
        <v>MXDSDEQ8Z</v>
      </c>
      <c r="B5227" t="s">
        <v>1751</v>
      </c>
      <c r="C5227">
        <v>143.65</v>
      </c>
      <c r="D5227">
        <v>156.13999999999999</v>
      </c>
      <c r="E5227">
        <v>156.15</v>
      </c>
      <c r="F5227">
        <v>-0.01</v>
      </c>
    </row>
    <row r="5228" spans="1:6" x14ac:dyDescent="0.3">
      <c r="A5228" t="str">
        <f>HYPERLINK("https://us2.cloudbeds.com/connect/10074733072513#/reservations/31725475319939?display=MXDEE4DWM&amp;reservation_id=31725475319939", "MXDEE4DWM")</f>
        <v>MXDEE4DWM</v>
      </c>
      <c r="B5228" t="s">
        <v>1692</v>
      </c>
      <c r="C5228">
        <v>250.2</v>
      </c>
      <c r="D5228">
        <v>271.95999999999998</v>
      </c>
      <c r="E5228">
        <v>271.97000000000003</v>
      </c>
      <c r="F5228">
        <v>-0.01</v>
      </c>
    </row>
    <row r="5229" spans="1:6" x14ac:dyDescent="0.3">
      <c r="A5229" t="str">
        <f>HYPERLINK("https://us2.cloudbeds.com/connect/10074733072513#/reservations/31725359698082?display=MXDBFY67G&amp;reservation_id=31725359698082", "MXDBFY67G")</f>
        <v>MXDBFY67G</v>
      </c>
      <c r="B5229" t="s">
        <v>1609</v>
      </c>
      <c r="C5229">
        <v>134.1</v>
      </c>
      <c r="D5229">
        <v>145.76</v>
      </c>
      <c r="E5229">
        <v>145.77000000000001</v>
      </c>
      <c r="F5229">
        <v>-0.01</v>
      </c>
    </row>
    <row r="5230" spans="1:6" x14ac:dyDescent="0.3">
      <c r="A5230" t="str">
        <f>HYPERLINK("https://us2.cloudbeds.com/connect/10074733072513#/reservations/31725534679265?display=MXDFV69RJ&amp;reservation_id=31725534679265", "MXDFV69RJ")</f>
        <v>MXDFV69RJ</v>
      </c>
      <c r="B5230" t="s">
        <v>1692</v>
      </c>
      <c r="C5230">
        <v>122.18</v>
      </c>
      <c r="D5230">
        <v>132.80000000000001</v>
      </c>
      <c r="E5230">
        <v>132.81</v>
      </c>
      <c r="F5230">
        <v>-0.01</v>
      </c>
    </row>
    <row r="5231" spans="1:6" x14ac:dyDescent="0.3">
      <c r="A5231" t="str">
        <f>HYPERLINK("https://us2.cloudbeds.com/connect/10074733072513#/reservations/31726824763621?display=MXEFU0Q9U&amp;reservation_id=31726824763621", "MXEFU0Q9U")</f>
        <v>MXEFU0Q9U</v>
      </c>
      <c r="B5231" t="s">
        <v>1692</v>
      </c>
      <c r="C5231">
        <v>250.2</v>
      </c>
      <c r="D5231">
        <v>271.95999999999998</v>
      </c>
      <c r="E5231">
        <v>271.97000000000003</v>
      </c>
      <c r="F5231">
        <v>-0.01</v>
      </c>
    </row>
    <row r="5232" spans="1:6" x14ac:dyDescent="0.3">
      <c r="A5232" t="str">
        <f>HYPERLINK("https://us2.cloudbeds.com/connect/10074733072513#/reservations/31726870954221?display=MXEH2W3U2&amp;reservation_id=31726870954221", "MXEH2W3U2")</f>
        <v>MXEH2W3U2</v>
      </c>
      <c r="B5232" t="s">
        <v>1692</v>
      </c>
      <c r="C5232">
        <v>268.2</v>
      </c>
      <c r="D5232">
        <v>291.52</v>
      </c>
      <c r="E5232">
        <v>291.52999999999997</v>
      </c>
      <c r="F5232">
        <v>-0.01</v>
      </c>
    </row>
    <row r="5233" spans="1:6" x14ac:dyDescent="0.3">
      <c r="A5233" t="str">
        <f>HYPERLINK("https://us2.cloudbeds.com/connect/10074733072513#/reservations/31727149482176?display=MXENWXP38&amp;reservation_id=31727149482176", "MXENWXP38")</f>
        <v>MXENWXP38</v>
      </c>
      <c r="B5233" t="s">
        <v>1738</v>
      </c>
      <c r="C5233">
        <v>197.78</v>
      </c>
      <c r="D5233">
        <v>214.98</v>
      </c>
      <c r="E5233">
        <v>214.99</v>
      </c>
      <c r="F5233">
        <v>-0.01</v>
      </c>
    </row>
    <row r="5234" spans="1:6" x14ac:dyDescent="0.3">
      <c r="A5234" t="str">
        <f>HYPERLINK("https://us2.cloudbeds.com/connect/10074733072513#/reservations/31722905530561?display=MXBEP7BSZ&amp;reservation_id=31722905530561", "MXBEP7BSZ")</f>
        <v>MXBEP7BSZ</v>
      </c>
      <c r="B5234" t="s">
        <v>1735</v>
      </c>
      <c r="C5234">
        <v>87.2</v>
      </c>
      <c r="D5234">
        <v>94.78</v>
      </c>
      <c r="E5234">
        <v>94.79</v>
      </c>
      <c r="F5234">
        <v>-0.01</v>
      </c>
    </row>
    <row r="5235" spans="1:6" x14ac:dyDescent="0.3">
      <c r="A5235" t="str">
        <f>HYPERLINK("https://us2.cloudbeds.com/connect/10074733072513#/reservations/31724480348366?display=MXCM04WXD&amp;reservation_id=31724480348366", "MXCM04WXD")</f>
        <v>MXCM04WXD</v>
      </c>
      <c r="B5235" t="s">
        <v>1755</v>
      </c>
      <c r="C5235">
        <v>134.1</v>
      </c>
      <c r="D5235">
        <v>145.76</v>
      </c>
      <c r="E5235">
        <v>145.77000000000001</v>
      </c>
      <c r="F5235">
        <v>-0.01</v>
      </c>
    </row>
    <row r="5236" spans="1:6" x14ac:dyDescent="0.3">
      <c r="A5236" t="str">
        <f>HYPERLINK("https://us2.cloudbeds.com/connect/10074733072513#/reservations/31724532809869?display=MXCNBCQXU&amp;reservation_id=31724532809869", "MXCNBCQXU")</f>
        <v>MXCNBCQXU</v>
      </c>
      <c r="B5236" t="s">
        <v>1745</v>
      </c>
      <c r="C5236">
        <v>103.2</v>
      </c>
      <c r="D5236">
        <v>112.17</v>
      </c>
      <c r="E5236">
        <v>112.18</v>
      </c>
      <c r="F5236">
        <v>-0.01</v>
      </c>
    </row>
    <row r="5237" spans="1:6" x14ac:dyDescent="0.3">
      <c r="A5237" t="str">
        <f>HYPERLINK("https://us2.cloudbeds.com/connect/10074733072513#/reservations/31726120157397?display=MXDUTT2W5&amp;reservation_id=31726120157397", "MXDUTT2W5")</f>
        <v>MXDUTT2W5</v>
      </c>
      <c r="B5237" t="s">
        <v>1756</v>
      </c>
      <c r="C5237">
        <v>313.2</v>
      </c>
      <c r="D5237">
        <v>340.44</v>
      </c>
      <c r="E5237">
        <v>340.45</v>
      </c>
      <c r="F5237">
        <v>-0.01</v>
      </c>
    </row>
    <row r="5238" spans="1:6" x14ac:dyDescent="0.3">
      <c r="A5238" t="str">
        <f>HYPERLINK("https://us2.cloudbeds.com/connect/10074733072513#/reservations/31725041185013?display=MXD3B232A&amp;reservation_id=31725041185013", "MXD3B232A")</f>
        <v>MXD3B232A</v>
      </c>
      <c r="B5238" t="s">
        <v>1754</v>
      </c>
      <c r="C5238">
        <v>264.2</v>
      </c>
      <c r="D5238">
        <v>287.18</v>
      </c>
      <c r="E5238">
        <v>287.19</v>
      </c>
      <c r="F5238">
        <v>-0.01</v>
      </c>
    </row>
    <row r="5239" spans="1:6" x14ac:dyDescent="0.3">
      <c r="A5239" t="str">
        <f>HYPERLINK("https://us2.cloudbeds.com/connect/10074733072513#/reservations/31724225638597?display=MXCFGCA9X&amp;reservation_id=31724225638597", "MXCFGCA9X")</f>
        <v>MXCFGCA9X</v>
      </c>
      <c r="B5239" t="s">
        <v>1757</v>
      </c>
      <c r="C5239">
        <v>196.2</v>
      </c>
      <c r="D5239">
        <v>213.26</v>
      </c>
      <c r="E5239">
        <v>213.27</v>
      </c>
      <c r="F5239">
        <v>-0.01</v>
      </c>
    </row>
    <row r="5240" spans="1:6" x14ac:dyDescent="0.3">
      <c r="A5240" t="str">
        <f>HYPERLINK("https://us2.cloudbeds.com/connect/10074733072513#/reservations/31725820100838?display=MXDN7SXV5&amp;reservation_id=31725820100838", "MXDN7SXV5")</f>
        <v>MXDN7SXV5</v>
      </c>
      <c r="B5240" t="s">
        <v>1748</v>
      </c>
      <c r="C5240">
        <v>87.2</v>
      </c>
      <c r="D5240">
        <v>94.78</v>
      </c>
      <c r="E5240">
        <v>94.79</v>
      </c>
      <c r="F5240">
        <v>-0.01</v>
      </c>
    </row>
    <row r="5241" spans="1:6" x14ac:dyDescent="0.3">
      <c r="A5241" t="str">
        <f>HYPERLINK("https://us2.cloudbeds.com/connect/10074733072513#/reservations/31725832663188?display=MXDNXF4KE&amp;reservation_id=31725832663188", "MXDNXF4KE")</f>
        <v>MXDNXF4KE</v>
      </c>
      <c r="B5241" t="s">
        <v>1757</v>
      </c>
      <c r="C5241">
        <v>87.2</v>
      </c>
      <c r="D5241">
        <v>94.78</v>
      </c>
      <c r="E5241">
        <v>94.79</v>
      </c>
      <c r="F5241">
        <v>-0.01</v>
      </c>
    </row>
    <row r="5242" spans="1:6" x14ac:dyDescent="0.3">
      <c r="A5242" t="str">
        <f>HYPERLINK("https://us2.cloudbeds.com/connect/10074733072513#/reservations/31725282615551?display=MXD9GY8C7&amp;reservation_id=31725282615551", "MXD9GY8C7")</f>
        <v>MXD9GY8C7</v>
      </c>
      <c r="B5242" t="s">
        <v>1754</v>
      </c>
      <c r="C5242">
        <v>268.2</v>
      </c>
      <c r="D5242">
        <v>291.52</v>
      </c>
      <c r="E5242">
        <v>291.52999999999997</v>
      </c>
      <c r="F5242">
        <v>-0.01</v>
      </c>
    </row>
    <row r="5243" spans="1:6" x14ac:dyDescent="0.3">
      <c r="A5243" t="str">
        <f>HYPERLINK("https://us2.cloudbeds.com/connect/10074733072513#/reservations/31725223714960?display=MXD7WW8GR&amp;reservation_id=31725223714960", "MXD7WW8GR")</f>
        <v>MXD7WW8GR</v>
      </c>
      <c r="B5243" t="s">
        <v>1754</v>
      </c>
      <c r="C5243">
        <v>250.2</v>
      </c>
      <c r="D5243">
        <v>271.95999999999998</v>
      </c>
      <c r="E5243">
        <v>271.97000000000003</v>
      </c>
      <c r="F5243">
        <v>-0.01</v>
      </c>
    </row>
    <row r="5244" spans="1:6" x14ac:dyDescent="0.3">
      <c r="A5244" t="str">
        <f>HYPERLINK("https://us2.cloudbeds.com/connect/10074733072513#/reservations/31727232528579?display=MXEQASF3P&amp;reservation_id=31727232528579", "MXEQASF3P")</f>
        <v>MXEQASF3P</v>
      </c>
      <c r="B5244" t="s">
        <v>1756</v>
      </c>
      <c r="C5244">
        <v>250.2</v>
      </c>
      <c r="D5244">
        <v>271.95999999999998</v>
      </c>
      <c r="E5244">
        <v>271.97000000000003</v>
      </c>
      <c r="F5244">
        <v>-0.01</v>
      </c>
    </row>
    <row r="5245" spans="1:6" x14ac:dyDescent="0.3">
      <c r="A5245" t="str">
        <f>HYPERLINK("https://us2.cloudbeds.com/connect/10074733072513#/reservations/31718040772824?display=MX7MF4A1K&amp;reservation_id=31718040772824", "MX7MF4A1K")</f>
        <v>MX7MF4A1K</v>
      </c>
      <c r="B5245" t="s">
        <v>1627</v>
      </c>
      <c r="C5245">
        <v>304.2</v>
      </c>
      <c r="D5245">
        <v>330.66</v>
      </c>
      <c r="E5245">
        <v>330.67</v>
      </c>
      <c r="F5245">
        <v>-0.01</v>
      </c>
    </row>
    <row r="5246" spans="1:6" x14ac:dyDescent="0.3">
      <c r="A5246" t="str">
        <f>HYPERLINK("https://us2.cloudbeds.com/connect/10074733072513#/reservations/31719783825634?display=MX90WUAGZ&amp;reservation_id=31719783825634", "MX90WUAGZ")</f>
        <v>MX90WUAGZ</v>
      </c>
      <c r="B5246" t="s">
        <v>1754</v>
      </c>
      <c r="C5246">
        <v>268.2</v>
      </c>
      <c r="D5246">
        <v>291.52</v>
      </c>
      <c r="E5246">
        <v>291.52999999999997</v>
      </c>
      <c r="F5246">
        <v>-0.01</v>
      </c>
    </row>
    <row r="5247" spans="1:6" x14ac:dyDescent="0.3">
      <c r="A5247" t="str">
        <f>HYPERLINK("https://us2.cloudbeds.com/connect/10074733072513#/reservations/31727320211650?display=MXESXQC5X&amp;reservation_id=31727320211650", "MXESXQC5X")</f>
        <v>MXESXQC5X</v>
      </c>
      <c r="B5247" t="s">
        <v>1753</v>
      </c>
      <c r="C5247">
        <v>250.2</v>
      </c>
      <c r="D5247">
        <v>271.95999999999998</v>
      </c>
      <c r="E5247">
        <v>271.97000000000003</v>
      </c>
      <c r="F5247">
        <v>-0.01</v>
      </c>
    </row>
    <row r="5248" spans="1:6" x14ac:dyDescent="0.3">
      <c r="A5248" t="str">
        <f>HYPERLINK("https://us2.cloudbeds.com/connect/10074733072513#/reservations/31725401014479?display=MXDCHFSWH&amp;reservation_id=31725401014479", "MXDCHFSWH")</f>
        <v>MXDCHFSWH</v>
      </c>
      <c r="B5248" t="s">
        <v>1764</v>
      </c>
      <c r="C5248">
        <v>285.60000000000002</v>
      </c>
      <c r="D5248">
        <v>310.44</v>
      </c>
      <c r="E5248">
        <v>310.45</v>
      </c>
      <c r="F5248">
        <v>-0.01</v>
      </c>
    </row>
    <row r="5249" spans="1:6" x14ac:dyDescent="0.3">
      <c r="A5249" t="str">
        <f>HYPERLINK("https://us2.cloudbeds.com/connect/10074733072513#/reservations/31725550604486?display=MXDGBKEX1&amp;reservation_id=31725550604486", "MXDGBKEX1")</f>
        <v>MXDGBKEX1</v>
      </c>
      <c r="B5249" t="s">
        <v>1761</v>
      </c>
      <c r="C5249">
        <v>134.1</v>
      </c>
      <c r="D5249">
        <v>145.76</v>
      </c>
      <c r="E5249">
        <v>145.77000000000001</v>
      </c>
      <c r="F5249">
        <v>-0.01</v>
      </c>
    </row>
    <row r="5250" spans="1:6" x14ac:dyDescent="0.3">
      <c r="A5250" t="str">
        <f>HYPERLINK("https://us2.cloudbeds.com/connect/10074733072513#/reservations/31724138033339?display=MXCD8GXMP&amp;reservation_id=31724138033339", "MXCD8GXMP")</f>
        <v>MXCD8GXMP</v>
      </c>
      <c r="B5250" t="s">
        <v>1734</v>
      </c>
      <c r="C5250">
        <v>571.20000000000005</v>
      </c>
      <c r="D5250">
        <v>620.88</v>
      </c>
      <c r="E5250">
        <v>620.89</v>
      </c>
      <c r="F5250">
        <v>-0.01</v>
      </c>
    </row>
    <row r="5251" spans="1:6" x14ac:dyDescent="0.3">
      <c r="A5251" t="str">
        <f>HYPERLINK("https://us2.cloudbeds.com/connect/10074733072513#/reservations/31725209919636?display=MXD7YBCKN&amp;reservation_id=31725209919636", "MXD7YBCKN")</f>
        <v>MXD7YBCKN</v>
      </c>
      <c r="B5251" t="s">
        <v>1754</v>
      </c>
      <c r="C5251">
        <v>250.2</v>
      </c>
      <c r="D5251">
        <v>271.95999999999998</v>
      </c>
      <c r="E5251">
        <v>271.97000000000003</v>
      </c>
      <c r="F5251">
        <v>-0.01</v>
      </c>
    </row>
    <row r="5252" spans="1:6" x14ac:dyDescent="0.3">
      <c r="A5252" t="str">
        <f>HYPERLINK("https://us2.cloudbeds.com/connect/10074733072513#/reservations/31725100703981?display=MXD4S89PD&amp;reservation_id=31725100703981", "MXD4S89PD")</f>
        <v>MXD4S89PD</v>
      </c>
      <c r="B5252" t="s">
        <v>1754</v>
      </c>
      <c r="C5252">
        <v>268.2</v>
      </c>
      <c r="D5252">
        <v>291.52</v>
      </c>
      <c r="E5252">
        <v>291.52999999999997</v>
      </c>
      <c r="F5252">
        <v>-0.01</v>
      </c>
    </row>
    <row r="5253" spans="1:6" x14ac:dyDescent="0.3">
      <c r="A5253" t="str">
        <f>HYPERLINK("https://us2.cloudbeds.com/connect/10074733072513#/reservations/31725072019614?display=MXD4423M5&amp;reservation_id=31725072019614", "MXD4423M5")</f>
        <v>MXD4423M5</v>
      </c>
      <c r="B5253" t="s">
        <v>1754</v>
      </c>
      <c r="C5253">
        <v>268.2</v>
      </c>
      <c r="D5253">
        <v>291.52</v>
      </c>
      <c r="E5253">
        <v>291.52999999999997</v>
      </c>
      <c r="F5253">
        <v>-0.01</v>
      </c>
    </row>
    <row r="5254" spans="1:6" x14ac:dyDescent="0.3">
      <c r="A5254" t="str">
        <f>HYPERLINK("https://us2.cloudbeds.com/connect/10074733072513#/reservations/31726575546537?display=MXE9HSVR2&amp;reservation_id=31726575546537", "MXE9HSVR2")</f>
        <v>MXE9HSVR2</v>
      </c>
      <c r="B5254" t="s">
        <v>1766</v>
      </c>
      <c r="C5254">
        <v>714.6</v>
      </c>
      <c r="D5254">
        <v>776.76</v>
      </c>
      <c r="E5254">
        <v>776.77</v>
      </c>
      <c r="F5254">
        <v>-0.01</v>
      </c>
    </row>
    <row r="5255" spans="1:6" x14ac:dyDescent="0.3">
      <c r="A5255" t="str">
        <f>HYPERLINK("https://us2.cloudbeds.com/connect/10074733072513#/reservations/31726145003744?display=MXDVHRFNP&amp;reservation_id=31726145003744", "MXDVHRFNP")</f>
        <v>MXDVHRFNP</v>
      </c>
      <c r="B5255" t="s">
        <v>1756</v>
      </c>
      <c r="C5255">
        <v>500.4</v>
      </c>
      <c r="D5255">
        <v>543.91999999999996</v>
      </c>
      <c r="E5255">
        <v>543.92999999999995</v>
      </c>
      <c r="F5255">
        <v>-0.01</v>
      </c>
    </row>
    <row r="5256" spans="1:6" x14ac:dyDescent="0.3">
      <c r="A5256" t="str">
        <f>HYPERLINK("https://us2.cloudbeds.com/connect/10074733072513#/reservations/31723394191488?display=MXBR88VKE&amp;reservation_id=31723394191488", "MXBR88VKE")</f>
        <v>MXBR88VKE</v>
      </c>
      <c r="B5256" t="s">
        <v>1752</v>
      </c>
      <c r="C5256">
        <v>134.1</v>
      </c>
      <c r="D5256">
        <v>145.76</v>
      </c>
      <c r="E5256">
        <v>145.77000000000001</v>
      </c>
      <c r="F5256">
        <v>-0.01</v>
      </c>
    </row>
    <row r="5257" spans="1:6" x14ac:dyDescent="0.3">
      <c r="A5257" t="str">
        <f>HYPERLINK("https://us2.cloudbeds.com/connect/10074733072513#/reservations/31720656724125?display=MX9N9W065&amp;reservation_id=31720656724125", "MX9N9W065")</f>
        <v>MX9N9W065</v>
      </c>
      <c r="B5257" t="s">
        <v>1770</v>
      </c>
      <c r="C5257">
        <v>134.1</v>
      </c>
      <c r="D5257">
        <v>145.76</v>
      </c>
      <c r="E5257">
        <v>145.77000000000001</v>
      </c>
      <c r="F5257">
        <v>-0.01</v>
      </c>
    </row>
    <row r="5258" spans="1:6" x14ac:dyDescent="0.3">
      <c r="A5258" t="str">
        <f>HYPERLINK("https://us2.cloudbeds.com/connect/10074733072513#/reservations/31724969951390?display=MXD1GWU3M&amp;reservation_id=31724969951390", "MXD1GWU3M")</f>
        <v>MXD1GWU3M</v>
      </c>
      <c r="B5258" t="s">
        <v>1759</v>
      </c>
      <c r="C5258">
        <v>250.2</v>
      </c>
      <c r="D5258">
        <v>271.95999999999998</v>
      </c>
      <c r="E5258">
        <v>271.97000000000003</v>
      </c>
      <c r="F5258">
        <v>-0.01</v>
      </c>
    </row>
    <row r="5259" spans="1:6" x14ac:dyDescent="0.3">
      <c r="A5259" t="str">
        <f>HYPERLINK("https://us2.cloudbeds.com/connect/10074733072513#/reservations/31720429756633?display=MX9HGJ9UC&amp;reservation_id=31720429756633", "MX9HGJ9UC")</f>
        <v>MX9HGJ9UC</v>
      </c>
      <c r="B5259" t="s">
        <v>1776</v>
      </c>
      <c r="C5259">
        <v>134.1</v>
      </c>
      <c r="D5259">
        <v>145.76</v>
      </c>
      <c r="E5259">
        <v>145.77000000000001</v>
      </c>
      <c r="F5259">
        <v>-0.01</v>
      </c>
    </row>
    <row r="5260" spans="1:6" x14ac:dyDescent="0.3">
      <c r="A5260" t="str">
        <f>HYPERLINK("https://us2.cloudbeds.com/connect/10074733072513#/reservations/31725025427651?display=MXD2UPKGG&amp;reservation_id=31725025427651", "MXD2UPKGG")</f>
        <v>MXD2UPKGG</v>
      </c>
      <c r="B5260" t="s">
        <v>1759</v>
      </c>
      <c r="C5260">
        <v>127.2</v>
      </c>
      <c r="D5260">
        <v>138.26</v>
      </c>
      <c r="E5260">
        <v>138.27000000000001</v>
      </c>
      <c r="F5260">
        <v>-0.01</v>
      </c>
    </row>
    <row r="5261" spans="1:6" x14ac:dyDescent="0.3">
      <c r="A5261" t="str">
        <f>HYPERLINK("https://us2.cloudbeds.com/connect/10074733072513#/reservations/31726629454016?display=MXEAUATUS&amp;reservation_id=31726629454016", "MXEAUATUS")</f>
        <v>MXEAUATUS</v>
      </c>
      <c r="B5261" t="s">
        <v>1766</v>
      </c>
      <c r="C5261">
        <v>268.2</v>
      </c>
      <c r="D5261">
        <v>291.52</v>
      </c>
      <c r="E5261">
        <v>291.52999999999997</v>
      </c>
      <c r="F5261">
        <v>-0.01</v>
      </c>
    </row>
    <row r="5262" spans="1:6" x14ac:dyDescent="0.3">
      <c r="A5262" t="str">
        <f>HYPERLINK("https://us2.cloudbeds.com/connect/10074733072513#/reservations/31725273940134?display=MXD99ARVQ&amp;reservation_id=31725273940134", "MXD99ARVQ")</f>
        <v>MXD99ARVQ</v>
      </c>
      <c r="B5262" t="s">
        <v>1754</v>
      </c>
      <c r="C5262">
        <v>208.6</v>
      </c>
      <c r="D5262">
        <v>226.74</v>
      </c>
      <c r="E5262">
        <v>226.75</v>
      </c>
      <c r="F5262">
        <v>-0.01</v>
      </c>
    </row>
    <row r="5263" spans="1:6" x14ac:dyDescent="0.3">
      <c r="A5263" t="str">
        <f>HYPERLINK("https://us2.cloudbeds.com/connect/10074733072513#/reservations/31725032943770?display=MXD343PBM&amp;reservation_id=31725032943770", "MXD343PBM")</f>
        <v>MXD343PBM</v>
      </c>
      <c r="B5263" t="s">
        <v>1759</v>
      </c>
      <c r="C5263">
        <v>118.15</v>
      </c>
      <c r="D5263">
        <v>128.41999999999999</v>
      </c>
      <c r="E5263">
        <v>128.43</v>
      </c>
      <c r="F5263">
        <v>-0.01</v>
      </c>
    </row>
    <row r="5264" spans="1:6" x14ac:dyDescent="0.3">
      <c r="A5264" t="str">
        <f>HYPERLINK("https://us2.cloudbeds.com/connect/10074733072513#/reservations/31726512513154?display=MXE7UNVUX&amp;reservation_id=31726512513154", "MXE7UNVUX")</f>
        <v>MXE7UNVUX</v>
      </c>
      <c r="B5264" t="s">
        <v>1777</v>
      </c>
      <c r="C5264">
        <v>87.2</v>
      </c>
      <c r="D5264">
        <v>94.78</v>
      </c>
      <c r="E5264">
        <v>94.79</v>
      </c>
      <c r="F5264">
        <v>-0.01</v>
      </c>
    </row>
    <row r="5265" spans="1:6" x14ac:dyDescent="0.3">
      <c r="A5265" t="str">
        <f>HYPERLINK("https://us2.cloudbeds.com/connect/10074733072513#/reservations/31725245292682?display=MXD8X5MP6&amp;reservation_id=31725245292682", "MXD8X5MP6")</f>
        <v>MXD8X5MP6</v>
      </c>
      <c r="B5265" t="s">
        <v>1754</v>
      </c>
      <c r="C5265">
        <v>170.1</v>
      </c>
      <c r="D5265">
        <v>184.89</v>
      </c>
      <c r="E5265">
        <v>184.9</v>
      </c>
      <c r="F5265">
        <v>-0.01</v>
      </c>
    </row>
    <row r="5266" spans="1:6" x14ac:dyDescent="0.3">
      <c r="A5266" t="str">
        <f>HYPERLINK("https://us2.cloudbeds.com/connect/10074733072513#/reservations/31724962095307?display=MXD1ACA2X&amp;reservation_id=31724962095307", "MXD1ACA2X")</f>
        <v>MXD1ACA2X</v>
      </c>
      <c r="B5266" t="s">
        <v>1759</v>
      </c>
      <c r="C5266">
        <v>118.15</v>
      </c>
      <c r="D5266">
        <v>128.41999999999999</v>
      </c>
      <c r="E5266">
        <v>128.43</v>
      </c>
      <c r="F5266">
        <v>-0.01</v>
      </c>
    </row>
    <row r="5267" spans="1:6" x14ac:dyDescent="0.3">
      <c r="A5267" t="str">
        <f>HYPERLINK("https://us2.cloudbeds.com/connect/10074733072513#/reservations/31723439186165?display=MXBSD73ZY&amp;reservation_id=31723439186165", "MXBSD73ZY")</f>
        <v>MXBSD73ZY</v>
      </c>
      <c r="B5267" t="s">
        <v>1725</v>
      </c>
      <c r="C5267">
        <v>268.2</v>
      </c>
      <c r="D5267">
        <v>291.52</v>
      </c>
      <c r="E5267">
        <v>291.52999999999997</v>
      </c>
      <c r="F5267">
        <v>-0.01</v>
      </c>
    </row>
    <row r="5268" spans="1:6" x14ac:dyDescent="0.3">
      <c r="A5268" t="str">
        <f>HYPERLINK("https://us2.cloudbeds.com/connect/10074733072513#/reservations/31720354410632?display=MX9FJ1MM7&amp;reservation_id=31720354410632", "MX9FJ1MM7")</f>
        <v>MX9FJ1MM7</v>
      </c>
      <c r="B5268" t="s">
        <v>1775</v>
      </c>
      <c r="C5268">
        <v>103.2</v>
      </c>
      <c r="D5268">
        <v>112.17</v>
      </c>
      <c r="E5268">
        <v>112.18</v>
      </c>
      <c r="F5268">
        <v>-0.01</v>
      </c>
    </row>
    <row r="5269" spans="1:6" x14ac:dyDescent="0.3">
      <c r="A5269" t="str">
        <f>HYPERLINK("https://us2.cloudbeds.com/connect/10074733072513#/reservations/31725774934163?display=MXDM2PZJ1&amp;reservation_id=31725774934163", "MXDM2PZJ1")</f>
        <v>MXDM2PZJ1</v>
      </c>
      <c r="B5269" t="s">
        <v>1783</v>
      </c>
      <c r="C5269">
        <v>87.2</v>
      </c>
      <c r="D5269">
        <v>94.78</v>
      </c>
      <c r="E5269">
        <v>94.79</v>
      </c>
      <c r="F5269">
        <v>-0.01</v>
      </c>
    </row>
    <row r="5270" spans="1:6" x14ac:dyDescent="0.3">
      <c r="A5270" t="str">
        <f>HYPERLINK("https://us2.cloudbeds.com/connect/10074733072513#/reservations/31718816563360?display=MX8999R1Z&amp;reservation_id=31718816563360", "MX8999R1Z")</f>
        <v>MX8999R1Z</v>
      </c>
      <c r="B5270" t="s">
        <v>1786</v>
      </c>
      <c r="C5270">
        <v>268.2</v>
      </c>
      <c r="D5270">
        <v>291.52</v>
      </c>
      <c r="E5270">
        <v>291.52999999999997</v>
      </c>
      <c r="F5270">
        <v>-0.01</v>
      </c>
    </row>
    <row r="5271" spans="1:6" x14ac:dyDescent="0.3">
      <c r="A5271" t="str">
        <f>HYPERLINK("https://us2.cloudbeds.com/connect/10074733072513#/reservations/31721511813316?display=MXAC5041R&amp;reservation_id=31721511813316", "MXAC5041R")</f>
        <v>MXAC5041R</v>
      </c>
      <c r="B5271" t="s">
        <v>1786</v>
      </c>
      <c r="C5271">
        <v>134.1</v>
      </c>
      <c r="D5271">
        <v>145.76</v>
      </c>
      <c r="E5271">
        <v>145.77000000000001</v>
      </c>
      <c r="F5271">
        <v>-0.01</v>
      </c>
    </row>
    <row r="5272" spans="1:6" x14ac:dyDescent="0.3">
      <c r="A5272" t="str">
        <f>HYPERLINK("https://us2.cloudbeds.com/connect/10074733072513#/reservations/31723445649629?display=MXBSXYVW7&amp;reservation_id=31723445649629", "MXBSXYVW7")</f>
        <v>MXBSXYVW7</v>
      </c>
      <c r="B5272" t="s">
        <v>1725</v>
      </c>
      <c r="C5272">
        <v>250.2</v>
      </c>
      <c r="D5272">
        <v>271.95999999999998</v>
      </c>
      <c r="E5272">
        <v>271.97000000000003</v>
      </c>
      <c r="F5272">
        <v>-0.01</v>
      </c>
    </row>
    <row r="5273" spans="1:6" x14ac:dyDescent="0.3">
      <c r="A5273" t="str">
        <f>HYPERLINK("https://us2.cloudbeds.com/connect/10074733072513#/reservations/31721580535966?display=MXADTVE8C&amp;reservation_id=31721580535966", "MXADTVE8C")</f>
        <v>MXADTVE8C</v>
      </c>
      <c r="B5273" t="s">
        <v>1786</v>
      </c>
      <c r="C5273">
        <v>134.1</v>
      </c>
      <c r="D5273">
        <v>145.76</v>
      </c>
      <c r="E5273">
        <v>145.77000000000001</v>
      </c>
      <c r="F5273">
        <v>-0.01</v>
      </c>
    </row>
    <row r="5274" spans="1:6" x14ac:dyDescent="0.3">
      <c r="A5274" t="str">
        <f>HYPERLINK("https://us2.cloudbeds.com/connect/10074733072513#/reservations/31718284558492?display=MX7SMN003&amp;reservation_id=31718284558492", "MX7SMN003")</f>
        <v>MX7SMN003</v>
      </c>
      <c r="B5274" t="s">
        <v>1666</v>
      </c>
      <c r="C5274">
        <v>508.8</v>
      </c>
      <c r="D5274">
        <v>553.05999999999995</v>
      </c>
      <c r="E5274">
        <v>553.07000000000005</v>
      </c>
      <c r="F5274">
        <v>-0.01</v>
      </c>
    </row>
    <row r="5275" spans="1:6" x14ac:dyDescent="0.3">
      <c r="A5275" t="str">
        <f>HYPERLINK("https://us2.cloudbeds.com/connect/10074733072513#/reservations/31718845534347?display=MX8A0NWBE&amp;reservation_id=31718845534347", "MX8A0NWBE")</f>
        <v>MX8A0NWBE</v>
      </c>
      <c r="B5275" t="s">
        <v>1758</v>
      </c>
      <c r="C5275">
        <v>366.3</v>
      </c>
      <c r="D5275">
        <v>398.16</v>
      </c>
      <c r="E5275">
        <v>398.17</v>
      </c>
      <c r="F5275">
        <v>-0.01</v>
      </c>
    </row>
    <row r="5276" spans="1:6" x14ac:dyDescent="0.3">
      <c r="A5276" t="str">
        <f>HYPERLINK("https://us2.cloudbeds.com/connect/10074733072513#/reservations/31721491488911?display=MXABKSXMP&amp;reservation_id=31721491488911", "MXABKSXMP")</f>
        <v>MXABKSXMP</v>
      </c>
      <c r="B5276" t="s">
        <v>1785</v>
      </c>
      <c r="C5276">
        <v>134.1</v>
      </c>
      <c r="D5276">
        <v>145.76</v>
      </c>
      <c r="E5276">
        <v>145.77000000000001</v>
      </c>
      <c r="F5276">
        <v>-0.01</v>
      </c>
    </row>
    <row r="5277" spans="1:6" x14ac:dyDescent="0.3">
      <c r="A5277" t="str">
        <f>HYPERLINK("https://us2.cloudbeds.com/connect/10074733072513#/reservations/31725129781433?display=MXD5JPDRA&amp;reservation_id=31725129781433", "MXD5JPDRA")</f>
        <v>MXD5JPDRA</v>
      </c>
      <c r="B5277" t="s">
        <v>1427</v>
      </c>
      <c r="C5277">
        <v>304.2</v>
      </c>
      <c r="D5277">
        <v>330.66</v>
      </c>
      <c r="E5277">
        <v>330.67</v>
      </c>
      <c r="F5277">
        <v>-0.01</v>
      </c>
    </row>
    <row r="5278" spans="1:6" x14ac:dyDescent="0.3">
      <c r="A5278" t="str">
        <f>HYPERLINK("https://us2.cloudbeds.com/connect/10074733072513#/reservations/31723744764049?display=MXC36T8SX&amp;reservation_id=31723744764049", "MXC36T8SX")</f>
        <v>MXC36T8SX</v>
      </c>
      <c r="B5278" t="s">
        <v>1780</v>
      </c>
      <c r="C5278">
        <v>103.2</v>
      </c>
      <c r="D5278">
        <v>112.17</v>
      </c>
      <c r="E5278">
        <v>112.18</v>
      </c>
      <c r="F5278">
        <v>-0.01</v>
      </c>
    </row>
    <row r="5279" spans="1:6" x14ac:dyDescent="0.3">
      <c r="A5279" t="str">
        <f>HYPERLINK("https://us2.cloudbeds.com/connect/10074733072513#/reservations/31722742173871?display=MXBAJFNZ0&amp;reservation_id=31722742173871", "MXBAJFNZ0")</f>
        <v>MXBAJFNZ0</v>
      </c>
      <c r="B5279" t="s">
        <v>1789</v>
      </c>
      <c r="C5279">
        <v>196.2</v>
      </c>
      <c r="D5279">
        <v>213.26</v>
      </c>
      <c r="E5279">
        <v>213.27</v>
      </c>
      <c r="F5279">
        <v>-0.01</v>
      </c>
    </row>
    <row r="5280" spans="1:6" x14ac:dyDescent="0.3">
      <c r="A5280" t="str">
        <f>HYPERLINK("https://us2.cloudbeds.com/connect/10074733072513#/reservations/31722795319498?display=MXBBV9XVX&amp;reservation_id=31722795319498", "MXBBV9XVX")</f>
        <v>MXBBV9XVX</v>
      </c>
      <c r="B5280" t="s">
        <v>1780</v>
      </c>
      <c r="C5280">
        <v>87.2</v>
      </c>
      <c r="D5280">
        <v>94.78</v>
      </c>
      <c r="E5280">
        <v>94.79</v>
      </c>
      <c r="F5280">
        <v>-0.01</v>
      </c>
    </row>
    <row r="5281" spans="1:6" x14ac:dyDescent="0.3">
      <c r="A5281" t="str">
        <f>HYPERLINK("https://us2.cloudbeds.com/connect/10074733072513#/reservations/31724220661952?display=MXCEVX691&amp;reservation_id=31724220661952", "MXCEVX691")</f>
        <v>MXCEVX691</v>
      </c>
      <c r="B5281" t="s">
        <v>1789</v>
      </c>
      <c r="C5281">
        <v>196.2</v>
      </c>
      <c r="D5281">
        <v>213.26</v>
      </c>
      <c r="E5281">
        <v>213.27</v>
      </c>
      <c r="F5281">
        <v>-0.01</v>
      </c>
    </row>
    <row r="5282" spans="1:6" x14ac:dyDescent="0.3">
      <c r="A5282" t="str">
        <f>HYPERLINK("https://us2.cloudbeds.com/connect/10074733072513#/reservations/31724228751506?display=MXCFXWUQ4&amp;reservation_id=31724228751506", "MXCFXWUQ4")</f>
        <v>MXCFXWUQ4</v>
      </c>
      <c r="B5282" t="s">
        <v>1789</v>
      </c>
      <c r="C5282">
        <v>196.2</v>
      </c>
      <c r="D5282">
        <v>213.26</v>
      </c>
      <c r="E5282">
        <v>213.27</v>
      </c>
      <c r="F5282">
        <v>-0.01</v>
      </c>
    </row>
    <row r="5283" spans="1:6" x14ac:dyDescent="0.3">
      <c r="A5283" t="str">
        <f>HYPERLINK("https://us2.cloudbeds.com/connect/10074733072513#/reservations/31724406874253?display=MXCK46F74&amp;reservation_id=31724406874253", "MXCK46F74")</f>
        <v>MXCK46F74</v>
      </c>
      <c r="B5283" t="s">
        <v>1648</v>
      </c>
      <c r="C5283">
        <v>312.89999999999998</v>
      </c>
      <c r="D5283">
        <v>340.11</v>
      </c>
      <c r="E5283">
        <v>340.12</v>
      </c>
      <c r="F5283">
        <v>-0.01</v>
      </c>
    </row>
    <row r="5284" spans="1:6" x14ac:dyDescent="0.3">
      <c r="A5284" t="str">
        <f>HYPERLINK("https://us2.cloudbeds.com/connect/10074733072513#/reservations/31725158326401?display=MXD6ARNUB&amp;reservation_id=31725158326401", "MXD6ARNUB")</f>
        <v>MXD6ARNUB</v>
      </c>
      <c r="B5284" t="s">
        <v>1427</v>
      </c>
      <c r="C5284">
        <v>278.95999999999998</v>
      </c>
      <c r="D5284">
        <v>303.22000000000003</v>
      </c>
      <c r="E5284">
        <v>303.23</v>
      </c>
      <c r="F5284">
        <v>-0.01</v>
      </c>
    </row>
    <row r="5285" spans="1:6" x14ac:dyDescent="0.3">
      <c r="A5285" t="str">
        <f>HYPERLINK("https://us2.cloudbeds.com/connect/10074733072513#/reservations/31721915601061?display=MXAMFG3N3&amp;reservation_id=31721915601061", "MXAMFG3N3")</f>
        <v>MXAMFG3N3</v>
      </c>
      <c r="B5285" t="s">
        <v>1782</v>
      </c>
      <c r="C5285">
        <v>87.2</v>
      </c>
      <c r="D5285">
        <v>94.78</v>
      </c>
      <c r="E5285">
        <v>94.79</v>
      </c>
      <c r="F5285">
        <v>-0.01</v>
      </c>
    </row>
    <row r="5286" spans="1:6" x14ac:dyDescent="0.3">
      <c r="A5286" t="str">
        <f>HYPERLINK("https://us2.cloudbeds.com/connect/10074733072513#/reservations/31724353814697?display=MXCXPF00Q&amp;reservation_id=31724353814697", "MXCXPF00Q")</f>
        <v>MXCXPF00Q</v>
      </c>
      <c r="B5286" t="s">
        <v>1758</v>
      </c>
      <c r="C5286">
        <v>366.3</v>
      </c>
      <c r="D5286">
        <v>398.16</v>
      </c>
      <c r="E5286">
        <v>398.17</v>
      </c>
      <c r="F5286">
        <v>-0.01</v>
      </c>
    </row>
    <row r="5287" spans="1:6" x14ac:dyDescent="0.3">
      <c r="A5287" t="str">
        <f>HYPERLINK("https://us2.cloudbeds.com/connect/10074733072513#/reservations/31714455736523?display=MX4TS4CMV&amp;reservation_id=31714455736523", "MX4TS4CMV")</f>
        <v>MX4TS4CMV</v>
      </c>
      <c r="B5287" t="s">
        <v>1729</v>
      </c>
      <c r="C5287">
        <v>144.1</v>
      </c>
      <c r="D5287">
        <v>156.63</v>
      </c>
      <c r="E5287">
        <v>156.63999999999999</v>
      </c>
      <c r="F5287">
        <v>-0.01</v>
      </c>
    </row>
    <row r="5288" spans="1:6" x14ac:dyDescent="0.3">
      <c r="A5288" t="str">
        <f>HYPERLINK("https://us2.cloudbeds.com/connect/10074733072513#/reservations/31718969610463?display=MX8D6BJ5Z&amp;reservation_id=31718969610463", "MX8D6BJ5Z")</f>
        <v>MX8D6BJ5Z</v>
      </c>
      <c r="B5288" t="s">
        <v>1715</v>
      </c>
      <c r="C5288">
        <v>250.2</v>
      </c>
      <c r="D5288">
        <v>271.95999999999998</v>
      </c>
      <c r="E5288">
        <v>271.97000000000003</v>
      </c>
      <c r="F5288">
        <v>-0.01</v>
      </c>
    </row>
    <row r="5289" spans="1:6" x14ac:dyDescent="0.3">
      <c r="A5289" t="str">
        <f>HYPERLINK("https://us2.cloudbeds.com/connect/10074733072513#/reservations/31723466879150?display=MXBT3XNG1&amp;reservation_id=31723466879150", "MXBT3XNG1")</f>
        <v>MXBT3XNG1</v>
      </c>
      <c r="B5289" t="s">
        <v>1792</v>
      </c>
      <c r="C5289">
        <v>375.3</v>
      </c>
      <c r="D5289">
        <v>407.94</v>
      </c>
      <c r="E5289">
        <v>407.95</v>
      </c>
      <c r="F5289">
        <v>-0.01</v>
      </c>
    </row>
    <row r="5290" spans="1:6" x14ac:dyDescent="0.3">
      <c r="A5290" t="str">
        <f>HYPERLINK("https://us2.cloudbeds.com/connect/10074733072513#/reservations/31720612602008?display=MX9M5P80A&amp;reservation_id=31720612602008", "MX9M5P80A")</f>
        <v>MX9M5P80A</v>
      </c>
      <c r="B5290" t="s">
        <v>1792</v>
      </c>
      <c r="C5290">
        <v>375.3</v>
      </c>
      <c r="D5290">
        <v>407.94</v>
      </c>
      <c r="E5290">
        <v>407.95</v>
      </c>
      <c r="F5290">
        <v>-0.01</v>
      </c>
    </row>
    <row r="5291" spans="1:6" x14ac:dyDescent="0.3">
      <c r="A5291" t="str">
        <f>HYPERLINK("https://us2.cloudbeds.com/connect/10074733072513#/reservations/31718387994817?display=MX7VAU8S6&amp;reservation_id=31718387994817", "MX7VAU8S6")</f>
        <v>MX7VAU8S6</v>
      </c>
      <c r="B5291" t="s">
        <v>1666</v>
      </c>
      <c r="C5291">
        <v>134.1</v>
      </c>
      <c r="D5291">
        <v>145.76</v>
      </c>
      <c r="E5291">
        <v>145.77000000000001</v>
      </c>
      <c r="F5291">
        <v>-0.01</v>
      </c>
    </row>
    <row r="5292" spans="1:6" x14ac:dyDescent="0.3">
      <c r="A5292" t="str">
        <f>HYPERLINK("https://us2.cloudbeds.com/connect/10074733072513#/reservations/31718967152773?display=MX8D496B9&amp;reservation_id=31718967152773", "MX8D496B9")</f>
        <v>MX8D496B9</v>
      </c>
      <c r="B5292" t="s">
        <v>1666</v>
      </c>
      <c r="C5292">
        <v>134.1</v>
      </c>
      <c r="D5292">
        <v>145.76</v>
      </c>
      <c r="E5292">
        <v>145.77000000000001</v>
      </c>
      <c r="F5292">
        <v>-0.01</v>
      </c>
    </row>
    <row r="5293" spans="1:6" x14ac:dyDescent="0.3">
      <c r="A5293" t="str">
        <f>HYPERLINK("https://us2.cloudbeds.com/connect/10074733072513#/reservations/31723133640909?display=MXBKJXSJH&amp;reservation_id=31723133640909", "MXBKJXSJH")</f>
        <v>MXBKJXSJH</v>
      </c>
      <c r="B5293" t="s">
        <v>1793</v>
      </c>
      <c r="C5293">
        <v>730.42</v>
      </c>
      <c r="D5293">
        <v>793.96</v>
      </c>
      <c r="E5293">
        <v>793.97</v>
      </c>
      <c r="F5293">
        <v>-0.01</v>
      </c>
    </row>
    <row r="5294" spans="1:6" x14ac:dyDescent="0.3">
      <c r="A5294" t="str">
        <f>HYPERLINK("https://us2.cloudbeds.com/connect/10074733072513#/reservations/31702248079557?display=MHSEUAB0W&amp;reservation_id=31702248079557", "MHSEUAB0W")</f>
        <v>MHSEUAB0W</v>
      </c>
      <c r="B5294" t="s">
        <v>1796</v>
      </c>
      <c r="C5294">
        <v>134.1</v>
      </c>
      <c r="D5294">
        <v>145.76</v>
      </c>
      <c r="E5294">
        <v>145.77000000000001</v>
      </c>
      <c r="F5294">
        <v>-0.01</v>
      </c>
    </row>
    <row r="5295" spans="1:6" x14ac:dyDescent="0.3">
      <c r="A5295" t="str">
        <f>HYPERLINK("https://us2.cloudbeds.com/connect/10074733072513#/reservations/31720157315295?display=MX9AHS778&amp;reservation_id=31720157315295", "MX9AHS778")</f>
        <v>MX9AHS778</v>
      </c>
      <c r="B5295" t="s">
        <v>1799</v>
      </c>
      <c r="C5295">
        <v>250.2</v>
      </c>
      <c r="D5295">
        <v>271.95999999999998</v>
      </c>
      <c r="E5295">
        <v>271.97000000000003</v>
      </c>
      <c r="F5295">
        <v>-0.01</v>
      </c>
    </row>
    <row r="5296" spans="1:6" x14ac:dyDescent="0.3">
      <c r="A5296" t="str">
        <f>HYPERLINK("https://us2.cloudbeds.com/connect/10074733072513#/reservations/31718732181666?display=MX8744PXN&amp;reservation_id=31718732181666", "MX8744PXN")</f>
        <v>MX8744PXN</v>
      </c>
      <c r="B5296" t="s">
        <v>1798</v>
      </c>
      <c r="C5296">
        <v>500.4</v>
      </c>
      <c r="D5296">
        <v>543.91999999999996</v>
      </c>
      <c r="E5296">
        <v>543.92999999999995</v>
      </c>
      <c r="F5296">
        <v>-0.01</v>
      </c>
    </row>
    <row r="5297" spans="1:6" x14ac:dyDescent="0.3">
      <c r="A5297" t="str">
        <f>HYPERLINK("https://us2.cloudbeds.com/connect/10074733072513#/reservations/31721238278375?display=MXA55BK47&amp;reservation_id=31721238278375", "MXA55BK47")</f>
        <v>MXA55BK47</v>
      </c>
      <c r="B5297" t="s">
        <v>1800</v>
      </c>
      <c r="C5297">
        <v>174.4</v>
      </c>
      <c r="D5297">
        <v>189.56</v>
      </c>
      <c r="E5297">
        <v>189.57</v>
      </c>
      <c r="F5297">
        <v>-0.01</v>
      </c>
    </row>
    <row r="5298" spans="1:6" x14ac:dyDescent="0.3">
      <c r="A5298" t="str">
        <f>HYPERLINK("https://us2.cloudbeds.com/connect/10074733072513#/reservations/31724846268556?display=MXCVBN8E0&amp;reservation_id=31724846268556", "MXCVBN8E0")</f>
        <v>MXCVBN8E0</v>
      </c>
      <c r="B5298" t="s">
        <v>1752</v>
      </c>
      <c r="C5298">
        <v>90.1</v>
      </c>
      <c r="D5298">
        <v>97.93</v>
      </c>
      <c r="E5298">
        <v>97.94</v>
      </c>
      <c r="F5298">
        <v>-0.01</v>
      </c>
    </row>
    <row r="5299" spans="1:6" x14ac:dyDescent="0.3">
      <c r="A5299" t="str">
        <f>HYPERLINK("https://us2.cloudbeds.com/connect/10074733072513#/reservations/31720587194521?display=MX9YHB7WF&amp;reservation_id=31720587194521", "MX9YHB7WF")</f>
        <v>MX9YHB7WF</v>
      </c>
      <c r="B5299" t="s">
        <v>1742</v>
      </c>
      <c r="C5299">
        <v>134.1</v>
      </c>
      <c r="D5299">
        <v>145.76</v>
      </c>
      <c r="E5299">
        <v>145.77000000000001</v>
      </c>
      <c r="F5299">
        <v>-0.01</v>
      </c>
    </row>
    <row r="5300" spans="1:6" x14ac:dyDescent="0.3">
      <c r="A5300" t="str">
        <f>HYPERLINK("https://us2.cloudbeds.com/connect/10074733072513#/reservations/31721285447840?display=MXA6C45JV&amp;reservation_id=31721285447840", "MXA6C45JV")</f>
        <v>MXA6C45JV</v>
      </c>
      <c r="B5300" t="s">
        <v>1801</v>
      </c>
      <c r="C5300">
        <v>87.2</v>
      </c>
      <c r="D5300">
        <v>94.78</v>
      </c>
      <c r="E5300">
        <v>94.79</v>
      </c>
      <c r="F5300">
        <v>-0.01</v>
      </c>
    </row>
    <row r="5301" spans="1:6" x14ac:dyDescent="0.3">
      <c r="A5301" t="str">
        <f>HYPERLINK("https://us2.cloudbeds.com/connect/10074733072513#/reservations/31723561275522?display=MXBVH5E65&amp;reservation_id=31723561275522", "MXBVH5E65")</f>
        <v>MXBVH5E65</v>
      </c>
      <c r="B5301" t="s">
        <v>1800</v>
      </c>
      <c r="C5301">
        <v>87.2</v>
      </c>
      <c r="D5301">
        <v>94.78</v>
      </c>
      <c r="E5301">
        <v>94.79</v>
      </c>
      <c r="F5301">
        <v>-0.01</v>
      </c>
    </row>
    <row r="5302" spans="1:6" x14ac:dyDescent="0.3">
      <c r="A5302" t="str">
        <f>HYPERLINK("https://us2.cloudbeds.com/connect/10074733072513#/reservations/31718816559281?display=MX8999NA4&amp;reservation_id=31718816559281", "MX8999NA4")</f>
        <v>MX8999NA4</v>
      </c>
      <c r="B5302" t="s">
        <v>1787</v>
      </c>
      <c r="C5302">
        <v>196.2</v>
      </c>
      <c r="D5302">
        <v>213.26</v>
      </c>
      <c r="E5302">
        <v>213.27</v>
      </c>
      <c r="F5302">
        <v>-0.01</v>
      </c>
    </row>
    <row r="5303" spans="1:6" x14ac:dyDescent="0.3">
      <c r="A5303" t="str">
        <f>HYPERLINK("https://us2.cloudbeds.com/connect/10074733072513#/reservations/31721295765756?display=MXA6KR992&amp;reservation_id=31721295765756", "MXA6KR992")</f>
        <v>MXA6KR992</v>
      </c>
      <c r="B5303" t="s">
        <v>1801</v>
      </c>
      <c r="C5303">
        <v>87.2</v>
      </c>
      <c r="D5303">
        <v>94.78</v>
      </c>
      <c r="E5303">
        <v>94.79</v>
      </c>
      <c r="F5303">
        <v>-0.01</v>
      </c>
    </row>
    <row r="5304" spans="1:6" x14ac:dyDescent="0.3">
      <c r="A5304" t="str">
        <f>HYPERLINK("https://us2.cloudbeds.com/connect/10074733072513#/reservations/31723074166957?display=MXBJ2DU7X&amp;reservation_id=31723074166957", "MXBJ2DU7X")</f>
        <v>MXBJ2DU7X</v>
      </c>
      <c r="B5304" t="s">
        <v>1793</v>
      </c>
      <c r="C5304">
        <v>196.2</v>
      </c>
      <c r="D5304">
        <v>213.26</v>
      </c>
      <c r="E5304">
        <v>213.27</v>
      </c>
      <c r="F5304">
        <v>-0.01</v>
      </c>
    </row>
    <row r="5305" spans="1:6" x14ac:dyDescent="0.3">
      <c r="A5305" t="str">
        <f>HYPERLINK("https://us2.cloudbeds.com/connect/10074733072513#/reservations/31722296262818?display=MXAW6FJBS&amp;reservation_id=31722296262818", "MXAW6FJBS")</f>
        <v>MXAW6FJBS</v>
      </c>
      <c r="B5305" t="s">
        <v>1804</v>
      </c>
      <c r="C5305">
        <v>268.2</v>
      </c>
      <c r="D5305">
        <v>291.52</v>
      </c>
      <c r="E5305">
        <v>291.52999999999997</v>
      </c>
      <c r="F5305">
        <v>-0.01</v>
      </c>
    </row>
    <row r="5306" spans="1:6" x14ac:dyDescent="0.3">
      <c r="A5306" t="str">
        <f>HYPERLINK("https://us2.cloudbeds.com/connect/10074733072513#/reservations/31722571276446?display=MXB67C845&amp;reservation_id=31722571276446", "MXB67C845")</f>
        <v>MXB67C845</v>
      </c>
      <c r="B5306" t="s">
        <v>1803</v>
      </c>
      <c r="C5306">
        <v>182.36</v>
      </c>
      <c r="D5306">
        <v>198.22</v>
      </c>
      <c r="E5306">
        <v>198.23</v>
      </c>
      <c r="F5306">
        <v>-0.01</v>
      </c>
    </row>
    <row r="5307" spans="1:6" x14ac:dyDescent="0.3">
      <c r="A5307" t="str">
        <f>HYPERLINK("https://us2.cloudbeds.com/connect/10074733072513#/reservations/31722643779801?display=MXB82GP1H&amp;reservation_id=31722643779801", "MXB82GP1H")</f>
        <v>MXB82GP1H</v>
      </c>
      <c r="B5307" t="s">
        <v>1803</v>
      </c>
      <c r="C5307">
        <v>250.2</v>
      </c>
      <c r="D5307">
        <v>271.95999999999998</v>
      </c>
      <c r="E5307">
        <v>271.97000000000003</v>
      </c>
      <c r="F5307">
        <v>-0.01</v>
      </c>
    </row>
    <row r="5308" spans="1:6" x14ac:dyDescent="0.3">
      <c r="A5308" t="str">
        <f>HYPERLINK("https://us2.cloudbeds.com/connect/10074733072513#/reservations/31720562532560?display=MX9KTHWXA&amp;reservation_id=31720562532560", "MX9KTHWXA")</f>
        <v>MX9KTHWXA</v>
      </c>
      <c r="B5308" t="s">
        <v>1808</v>
      </c>
      <c r="C5308">
        <v>196.2</v>
      </c>
      <c r="D5308">
        <v>213.26</v>
      </c>
      <c r="E5308">
        <v>213.27</v>
      </c>
      <c r="F5308">
        <v>-0.01</v>
      </c>
    </row>
    <row r="5309" spans="1:6" x14ac:dyDescent="0.3">
      <c r="A5309" t="str">
        <f>HYPERLINK("https://us2.cloudbeds.com/connect/10074733072513#/reservations/31720509034651?display=MX9JHEARX&amp;reservation_id=31720509034651", "MX9JHEARX")</f>
        <v>MX9JHEARX</v>
      </c>
      <c r="B5309" t="s">
        <v>1810</v>
      </c>
      <c r="C5309">
        <v>196.2</v>
      </c>
      <c r="D5309">
        <v>213.26</v>
      </c>
      <c r="E5309">
        <v>213.27</v>
      </c>
      <c r="F5309">
        <v>-0.01</v>
      </c>
    </row>
    <row r="5310" spans="1:6" x14ac:dyDescent="0.3">
      <c r="A5310" t="str">
        <f>HYPERLINK("https://us2.cloudbeds.com/connect/10074733072513#/reservations/31722793881810?display=MXBBU2XP2&amp;reservation_id=31722793881810", "MXBBU2XP2")</f>
        <v>MXBBU2XP2</v>
      </c>
      <c r="B5310" t="s">
        <v>1811</v>
      </c>
      <c r="C5310">
        <v>259.2</v>
      </c>
      <c r="D5310">
        <v>281.74</v>
      </c>
      <c r="E5310">
        <v>281.75</v>
      </c>
      <c r="F5310">
        <v>-0.01</v>
      </c>
    </row>
    <row r="5311" spans="1:6" x14ac:dyDescent="0.3">
      <c r="A5311" t="str">
        <f>HYPERLINK("https://us2.cloudbeds.com/connect/10074733072513#/reservations/31723030548611?display=MXBHVY5YG&amp;reservation_id=31723030548611", "MXBHVY5YG")</f>
        <v>MXBHVY5YG</v>
      </c>
      <c r="B5311" t="s">
        <v>1813</v>
      </c>
      <c r="C5311">
        <v>134.1</v>
      </c>
      <c r="D5311">
        <v>145.76</v>
      </c>
      <c r="E5311">
        <v>145.77000000000001</v>
      </c>
      <c r="F5311">
        <v>-0.01</v>
      </c>
    </row>
    <row r="5312" spans="1:6" x14ac:dyDescent="0.3">
      <c r="A5312" t="str">
        <f>HYPERLINK("https://us2.cloudbeds.com/connect/10074733072513#/reservations/31720441450645?display=MX9HQEN7C&amp;reservation_id=31720441450645", "MX9HQEN7C")</f>
        <v>MX9HQEN7C</v>
      </c>
      <c r="B5312" t="s">
        <v>1773</v>
      </c>
      <c r="C5312">
        <v>375.3</v>
      </c>
      <c r="D5312">
        <v>407.94</v>
      </c>
      <c r="E5312">
        <v>407.95</v>
      </c>
      <c r="F5312">
        <v>-0.01</v>
      </c>
    </row>
    <row r="5313" spans="1:6" x14ac:dyDescent="0.3">
      <c r="A5313" t="str">
        <f>HYPERLINK("https://us2.cloudbeds.com/connect/10074733072513#/reservations/31721965912234?display=MXANZU343&amp;reservation_id=31721965912234", "MXANZU343")</f>
        <v>MXANZU343</v>
      </c>
      <c r="B5313" t="s">
        <v>1773</v>
      </c>
      <c r="C5313">
        <v>268.2</v>
      </c>
      <c r="D5313">
        <v>291.52</v>
      </c>
      <c r="E5313">
        <v>291.52999999999997</v>
      </c>
      <c r="F5313">
        <v>-0.01</v>
      </c>
    </row>
    <row r="5314" spans="1:6" x14ac:dyDescent="0.3">
      <c r="A5314" t="str">
        <f>HYPERLINK("https://us2.cloudbeds.com/connect/10074733072513#/reservations/31720763445490?display=MX9Q0VMJU&amp;reservation_id=31720763445490", "MX9Q0VMJU")</f>
        <v>MX9Q0VMJU</v>
      </c>
      <c r="B5314" t="s">
        <v>1802</v>
      </c>
      <c r="C5314">
        <v>268.2</v>
      </c>
      <c r="D5314">
        <v>291.52</v>
      </c>
      <c r="E5314">
        <v>291.52999999999997</v>
      </c>
      <c r="F5314">
        <v>-0.01</v>
      </c>
    </row>
    <row r="5315" spans="1:6" x14ac:dyDescent="0.3">
      <c r="A5315" t="str">
        <f>HYPERLINK("https://us2.cloudbeds.com/connect/10074733072513#/reservations/31722498318582?display=MXB4BS2RQ&amp;reservation_id=31722498318582", "MXB4BS2RQ")</f>
        <v>MXB4BS2RQ</v>
      </c>
      <c r="B5315" t="s">
        <v>1802</v>
      </c>
      <c r="C5315">
        <v>268.2</v>
      </c>
      <c r="D5315">
        <v>291.52</v>
      </c>
      <c r="E5315">
        <v>291.52999999999997</v>
      </c>
      <c r="F5315">
        <v>-0.01</v>
      </c>
    </row>
    <row r="5316" spans="1:6" x14ac:dyDescent="0.3">
      <c r="A5316" t="str">
        <f>HYPERLINK("https://us2.cloudbeds.com/connect/10074733072513#/reservations/31720188084474?display=MX9BAQDZK&amp;reservation_id=31720188084474", "MX9BAQDZK")</f>
        <v>MX9BAQDZK</v>
      </c>
      <c r="B5316" t="s">
        <v>1799</v>
      </c>
      <c r="C5316">
        <v>343.2</v>
      </c>
      <c r="D5316">
        <v>373.05</v>
      </c>
      <c r="E5316">
        <v>373.06</v>
      </c>
      <c r="F5316">
        <v>-0.01</v>
      </c>
    </row>
    <row r="5317" spans="1:6" x14ac:dyDescent="0.3">
      <c r="A5317" t="str">
        <f>HYPERLINK("https://us2.cloudbeds.com/connect/10074733072513#/reservations/31722274820291?display=MXAVYCU8A&amp;reservation_id=31722274820291", "MXAVYCU8A")</f>
        <v>MXAVYCU8A</v>
      </c>
      <c r="B5317" t="s">
        <v>1804</v>
      </c>
      <c r="C5317">
        <v>375.3</v>
      </c>
      <c r="D5317">
        <v>407.94</v>
      </c>
      <c r="E5317">
        <v>407.95</v>
      </c>
      <c r="F5317">
        <v>-0.01</v>
      </c>
    </row>
    <row r="5318" spans="1:6" x14ac:dyDescent="0.3">
      <c r="A5318" t="str">
        <f>HYPERLINK("https://us2.cloudbeds.com/connect/10074733072513#/reservations/31723160502507?display=MXBY97ATB&amp;reservation_id=31723160502507", "MXBY97ATB")</f>
        <v>MXBY97ATB</v>
      </c>
      <c r="B5318" t="s">
        <v>1812</v>
      </c>
      <c r="C5318">
        <v>103.2</v>
      </c>
      <c r="D5318">
        <v>112.17</v>
      </c>
      <c r="E5318">
        <v>112.18</v>
      </c>
      <c r="F5318">
        <v>-0.01</v>
      </c>
    </row>
    <row r="5319" spans="1:6" x14ac:dyDescent="0.3">
      <c r="A5319" t="str">
        <f>HYPERLINK("https://us2.cloudbeds.com/connect/10074733072513#/reservations/31722269933787?display=MXAVH8V3E&amp;reservation_id=31722269933787", "MXAVH8V3E")</f>
        <v>MXAVH8V3E</v>
      </c>
      <c r="B5319" t="s">
        <v>1804</v>
      </c>
      <c r="C5319">
        <v>268.2</v>
      </c>
      <c r="D5319">
        <v>291.52</v>
      </c>
      <c r="E5319">
        <v>291.52999999999997</v>
      </c>
      <c r="F5319">
        <v>-0.01</v>
      </c>
    </row>
    <row r="5320" spans="1:6" x14ac:dyDescent="0.3">
      <c r="A5320" t="str">
        <f>HYPERLINK("https://us2.cloudbeds.com/connect/10074733072513#/reservations/31723612663941?display=MXBWRGCQW&amp;reservation_id=31723612663941", "MXBWRGCQW")</f>
        <v>MXBWRGCQW</v>
      </c>
      <c r="B5320" t="s">
        <v>1809</v>
      </c>
      <c r="C5320">
        <v>304.2</v>
      </c>
      <c r="D5320">
        <v>330.66</v>
      </c>
      <c r="E5320">
        <v>330.67</v>
      </c>
      <c r="F5320">
        <v>-0.01</v>
      </c>
    </row>
    <row r="5321" spans="1:6" x14ac:dyDescent="0.3">
      <c r="A5321" t="str">
        <f>HYPERLINK("https://us2.cloudbeds.com/connect/10074733072513#/reservations/31722234118332?display=MXAUK2ANK&amp;reservation_id=31722234118332", "MXAUK2ANK")</f>
        <v>MXAUK2ANK</v>
      </c>
      <c r="B5321" t="s">
        <v>1804</v>
      </c>
      <c r="C5321">
        <v>268.2</v>
      </c>
      <c r="D5321">
        <v>291.52</v>
      </c>
      <c r="E5321">
        <v>291.52999999999997</v>
      </c>
      <c r="F5321">
        <v>-0.01</v>
      </c>
    </row>
    <row r="5322" spans="1:6" x14ac:dyDescent="0.3">
      <c r="A5322" t="str">
        <f>HYPERLINK("https://us2.cloudbeds.com/connect/10074733072513#/reservations/31722029768926?display=MXAPCP01C&amp;reservation_id=31722029768926", "MXAPCP01C")</f>
        <v>MXAPCP01C</v>
      </c>
      <c r="B5322" t="s">
        <v>1797</v>
      </c>
      <c r="C5322">
        <v>87.2</v>
      </c>
      <c r="D5322">
        <v>94.78</v>
      </c>
      <c r="E5322">
        <v>94.79</v>
      </c>
      <c r="F5322">
        <v>-0.01</v>
      </c>
    </row>
    <row r="5323" spans="1:6" x14ac:dyDescent="0.3">
      <c r="A5323" t="str">
        <f>HYPERLINK("https://us2.cloudbeds.com/connect/10074733072513#/reservations/31723517141221?display=MXBUCVAR3&amp;reservation_id=31723517141221", "MXBUCVAR3")</f>
        <v>MXBUCVAR3</v>
      </c>
      <c r="B5323" t="s">
        <v>1797</v>
      </c>
      <c r="C5323">
        <v>87.2</v>
      </c>
      <c r="D5323">
        <v>94.78</v>
      </c>
      <c r="E5323">
        <v>94.79</v>
      </c>
      <c r="F5323">
        <v>-0.01</v>
      </c>
    </row>
    <row r="5324" spans="1:6" x14ac:dyDescent="0.3">
      <c r="A5324" t="str">
        <f>HYPERLINK("https://us2.cloudbeds.com/connect/10074733072513#/reservations/31721812091056?display=MXAJR6Q69&amp;reservation_id=31721812091056", "MXAJR6Q69")</f>
        <v>MXAJR6Q69</v>
      </c>
      <c r="B5324" t="s">
        <v>1827</v>
      </c>
      <c r="C5324">
        <v>196.2</v>
      </c>
      <c r="D5324">
        <v>213.26</v>
      </c>
      <c r="E5324">
        <v>213.27</v>
      </c>
      <c r="F5324">
        <v>-0.01</v>
      </c>
    </row>
    <row r="5325" spans="1:6" x14ac:dyDescent="0.3">
      <c r="A5325" t="str">
        <f>HYPERLINK("https://us2.cloudbeds.com/connect/10074733072513#/reservations/31723979366539?display=MXC96NE4U&amp;reservation_id=31723979366539", "MXC96NE4U")</f>
        <v>MXC96NE4U</v>
      </c>
      <c r="B5325" t="s">
        <v>1827</v>
      </c>
      <c r="C5325">
        <v>196.2</v>
      </c>
      <c r="D5325">
        <v>213.26</v>
      </c>
      <c r="E5325">
        <v>213.27</v>
      </c>
      <c r="F5325">
        <v>-0.01</v>
      </c>
    </row>
    <row r="5326" spans="1:6" x14ac:dyDescent="0.3">
      <c r="A5326" t="str">
        <f>HYPERLINK("https://us2.cloudbeds.com/connect/10074733072513#/reservations/31723612688571?display=MXBWRH2E3&amp;reservation_id=31723612688571", "MXBWRH2E3")</f>
        <v>MXBWRH2E3</v>
      </c>
      <c r="B5326" t="s">
        <v>1784</v>
      </c>
      <c r="C5326">
        <v>84.15</v>
      </c>
      <c r="D5326">
        <v>91.46</v>
      </c>
      <c r="E5326">
        <v>91.47</v>
      </c>
      <c r="F5326">
        <v>-0.01</v>
      </c>
    </row>
    <row r="5327" spans="1:6" x14ac:dyDescent="0.3">
      <c r="A5327" t="str">
        <f>HYPERLINK("https://us2.cloudbeds.com/connect/10074733072513#/reservations/31723996160142?display=MXC9KSZ8W&amp;reservation_id=31723996160142", "MXC9KSZ8W")</f>
        <v>MXC9KSZ8W</v>
      </c>
      <c r="B5327" t="s">
        <v>1828</v>
      </c>
      <c r="C5327">
        <v>84.15</v>
      </c>
      <c r="D5327">
        <v>91.46</v>
      </c>
      <c r="E5327">
        <v>91.47</v>
      </c>
      <c r="F5327">
        <v>-0.01</v>
      </c>
    </row>
    <row r="5328" spans="1:6" x14ac:dyDescent="0.3">
      <c r="A5328" t="str">
        <f>HYPERLINK("https://us2.cloudbeds.com/connect/10074733072513#/reservations/31719638507745?display=MX8U9CKUB&amp;reservation_id=31719638507745", "MX8U9CKUB")</f>
        <v>MX8U9CKUB</v>
      </c>
      <c r="B5328" t="s">
        <v>1830</v>
      </c>
      <c r="C5328">
        <v>87.2</v>
      </c>
      <c r="D5328">
        <v>94.78</v>
      </c>
      <c r="E5328">
        <v>94.79</v>
      </c>
      <c r="F5328">
        <v>-0.01</v>
      </c>
    </row>
    <row r="5329" spans="1:6" x14ac:dyDescent="0.3">
      <c r="A5329" t="str">
        <f>HYPERLINK("https://us2.cloudbeds.com/connect/10074733072513#/reservations/31721468260491?display=MXAB196Y8&amp;reservation_id=31721468260491", "MXAB196Y8")</f>
        <v>MXAB196Y8</v>
      </c>
      <c r="B5329" t="s">
        <v>1809</v>
      </c>
      <c r="C5329">
        <v>134.1</v>
      </c>
      <c r="D5329">
        <v>145.76</v>
      </c>
      <c r="E5329">
        <v>145.77000000000001</v>
      </c>
      <c r="F5329">
        <v>-0.01</v>
      </c>
    </row>
    <row r="5330" spans="1:6" x14ac:dyDescent="0.3">
      <c r="A5330" t="str">
        <f>HYPERLINK("https://us2.cloudbeds.com/connect/10074733072513#/reservations/31718762647768?display=MX87TRHPT&amp;reservation_id=31718762647768", "MX87TRHPT")</f>
        <v>MX87TRHPT</v>
      </c>
      <c r="B5330" t="s">
        <v>1798</v>
      </c>
      <c r="C5330">
        <v>134.1</v>
      </c>
      <c r="D5330">
        <v>145.76</v>
      </c>
      <c r="E5330">
        <v>145.77000000000001</v>
      </c>
      <c r="F5330">
        <v>-0.01</v>
      </c>
    </row>
    <row r="5331" spans="1:6" x14ac:dyDescent="0.3">
      <c r="A5331" t="str">
        <f>HYPERLINK("https://us2.cloudbeds.com/connect/10074733072513#/reservations/31717741527243?display=MX7EQQBNN&amp;reservation_id=31717741527243", "MX7EQQBNN")</f>
        <v>MX7EQQBNN</v>
      </c>
      <c r="B5331" t="s">
        <v>1835</v>
      </c>
      <c r="C5331">
        <v>134.1</v>
      </c>
      <c r="D5331">
        <v>145.76</v>
      </c>
      <c r="E5331">
        <v>145.77000000000001</v>
      </c>
      <c r="F5331">
        <v>-0.01</v>
      </c>
    </row>
    <row r="5332" spans="1:6" x14ac:dyDescent="0.3">
      <c r="A5332" t="str">
        <f>HYPERLINK("https://us2.cloudbeds.com/connect/10074733072513#/reservations/31722437800130?display=MXB2QR2BA&amp;reservation_id=31722437800130", "MXB2QR2BA")</f>
        <v>MXB2QR2BA</v>
      </c>
      <c r="B5332" t="s">
        <v>1802</v>
      </c>
      <c r="C5332">
        <v>134.1</v>
      </c>
      <c r="D5332">
        <v>145.76</v>
      </c>
      <c r="E5332">
        <v>145.77000000000001</v>
      </c>
      <c r="F5332">
        <v>-0.01</v>
      </c>
    </row>
    <row r="5333" spans="1:6" x14ac:dyDescent="0.3">
      <c r="A5333" t="str">
        <f>HYPERLINK("https://us2.cloudbeds.com/connect/10074733072513#/reservations/31720742056175?display=MX9PFUGBS&amp;reservation_id=31720742056175", "MX9PFUGBS")</f>
        <v>MX9PFUGBS</v>
      </c>
      <c r="B5333" t="s">
        <v>1802</v>
      </c>
      <c r="C5333">
        <v>250.2</v>
      </c>
      <c r="D5333">
        <v>271.95999999999998</v>
      </c>
      <c r="E5333">
        <v>271.97000000000003</v>
      </c>
      <c r="F5333">
        <v>-0.01</v>
      </c>
    </row>
    <row r="5334" spans="1:6" x14ac:dyDescent="0.3">
      <c r="A5334" t="str">
        <f>HYPERLINK("https://us2.cloudbeds.com/connect/10074733072513#/reservations/31720313139337?display=MX9EH88AU&amp;reservation_id=31720313139337", "MX9EH88AU")</f>
        <v>MX9EH88AU</v>
      </c>
      <c r="B5334" t="s">
        <v>1836</v>
      </c>
      <c r="C5334">
        <v>134.1</v>
      </c>
      <c r="D5334">
        <v>145.76</v>
      </c>
      <c r="E5334">
        <v>145.77000000000001</v>
      </c>
      <c r="F5334">
        <v>-0.01</v>
      </c>
    </row>
    <row r="5335" spans="1:6" x14ac:dyDescent="0.3">
      <c r="A5335" t="str">
        <f>HYPERLINK("https://us2.cloudbeds.com/connect/10074733072513#/reservations/31722239267039?display=MXAUZDJY1&amp;reservation_id=31722239267039", "MXAUZDJY1")</f>
        <v>MXAUZDJY1</v>
      </c>
      <c r="B5335" t="s">
        <v>1804</v>
      </c>
      <c r="C5335">
        <v>134.1</v>
      </c>
      <c r="D5335">
        <v>145.76</v>
      </c>
      <c r="E5335">
        <v>145.77000000000001</v>
      </c>
      <c r="F5335">
        <v>-0.01</v>
      </c>
    </row>
    <row r="5336" spans="1:6" x14ac:dyDescent="0.3">
      <c r="A5336" t="str">
        <f>HYPERLINK("https://us2.cloudbeds.com/connect/10074733072513#/reservations/31723391738047?display=MXBR66QCU&amp;reservation_id=31723391738047", "MXBR66QCU")</f>
        <v>MXBR66QCU</v>
      </c>
      <c r="B5336" t="s">
        <v>1837</v>
      </c>
      <c r="C5336">
        <v>84.15</v>
      </c>
      <c r="D5336">
        <v>91.46</v>
      </c>
      <c r="E5336">
        <v>91.47</v>
      </c>
      <c r="F5336">
        <v>-0.01</v>
      </c>
    </row>
    <row r="5337" spans="1:6" x14ac:dyDescent="0.3">
      <c r="A5337" t="str">
        <f>HYPERLINK("https://us2.cloudbeds.com/connect/10074733072513#/reservations/31718451396759?display=MX7WVCH65&amp;reservation_id=31718451396759", "MX7WVCH65")</f>
        <v>MX7WVCH65</v>
      </c>
      <c r="B5337" t="s">
        <v>1819</v>
      </c>
      <c r="C5337">
        <v>250.2</v>
      </c>
      <c r="D5337">
        <v>271.95999999999998</v>
      </c>
      <c r="E5337">
        <v>271.97000000000003</v>
      </c>
      <c r="F5337">
        <v>-0.01</v>
      </c>
    </row>
    <row r="5338" spans="1:6" x14ac:dyDescent="0.3">
      <c r="A5338" t="str">
        <f>HYPERLINK("https://us2.cloudbeds.com/connect/10074733072513#/reservations/31723121619107?display=MXBK9EB9G&amp;reservation_id=31723121619107", "MXBK9EB9G")</f>
        <v>MXBK9EB9G</v>
      </c>
      <c r="B5338" t="s">
        <v>1839</v>
      </c>
      <c r="C5338">
        <v>445.5</v>
      </c>
      <c r="D5338">
        <v>484.25</v>
      </c>
      <c r="E5338">
        <v>484.26</v>
      </c>
      <c r="F5338">
        <v>-0.01</v>
      </c>
    </row>
    <row r="5339" spans="1:6" x14ac:dyDescent="0.3">
      <c r="A5339" t="str">
        <f>HYPERLINK("https://us2.cloudbeds.com/connect/10074733072513#/reservations/31723268972678?display=MXBZ1MM67&amp;reservation_id=31723268972678", "MXBZ1MM67")</f>
        <v>MXBZ1MM67</v>
      </c>
      <c r="B5339" t="s">
        <v>1819</v>
      </c>
      <c r="C5339">
        <v>268.2</v>
      </c>
      <c r="D5339">
        <v>291.52</v>
      </c>
      <c r="E5339">
        <v>291.52999999999997</v>
      </c>
      <c r="F5339">
        <v>-0.01</v>
      </c>
    </row>
    <row r="5340" spans="1:6" x14ac:dyDescent="0.3">
      <c r="A5340" t="str">
        <f>HYPERLINK("https://us2.cloudbeds.com/connect/10074733072513#/reservations/31723507245236?display=MXBU4JVJP&amp;reservation_id=31723507245236", "MXBU4JVJP")</f>
        <v>MXBU4JVJP</v>
      </c>
      <c r="B5340" t="s">
        <v>1802</v>
      </c>
      <c r="C5340">
        <v>134.1</v>
      </c>
      <c r="D5340">
        <v>145.76</v>
      </c>
      <c r="E5340">
        <v>145.77000000000001</v>
      </c>
      <c r="F5340">
        <v>-0.01</v>
      </c>
    </row>
    <row r="5341" spans="1:6" x14ac:dyDescent="0.3">
      <c r="A5341" t="str">
        <f>HYPERLINK("https://us2.cloudbeds.com/connect/10074733072513#/reservations/31719119270018?display=MX8H0X2JP&amp;reservation_id=31719119270018", "MX8H0X2JP")</f>
        <v>MX8H0X2JP</v>
      </c>
      <c r="B5341" t="s">
        <v>1742</v>
      </c>
      <c r="C5341">
        <v>254.4</v>
      </c>
      <c r="D5341">
        <v>276.52</v>
      </c>
      <c r="E5341">
        <v>276.52999999999997</v>
      </c>
      <c r="F5341">
        <v>-0.01</v>
      </c>
    </row>
    <row r="5342" spans="1:6" x14ac:dyDescent="0.3">
      <c r="A5342" t="str">
        <f>HYPERLINK("https://us2.cloudbeds.com/connect/10074733072513#/reservations/31719650615517?display=MX8UJJX5H&amp;reservation_id=31719650615517", "MX8UJJX5H")</f>
        <v>MX8UJJX5H</v>
      </c>
      <c r="B5342" t="s">
        <v>1819</v>
      </c>
      <c r="C5342">
        <v>250.2</v>
      </c>
      <c r="D5342">
        <v>271.95999999999998</v>
      </c>
      <c r="E5342">
        <v>271.97000000000003</v>
      </c>
      <c r="F5342">
        <v>-0.01</v>
      </c>
    </row>
    <row r="5343" spans="1:6" x14ac:dyDescent="0.3">
      <c r="A5343" t="str">
        <f>HYPERLINK("https://us2.cloudbeds.com/connect/10074733072513#/reservations/31721227579532?display=MXA4TATYS&amp;reservation_id=31721227579532", "MXA4TATYS")</f>
        <v>MXA4TATYS</v>
      </c>
      <c r="B5343" t="s">
        <v>1840</v>
      </c>
      <c r="C5343">
        <v>134.1</v>
      </c>
      <c r="D5343">
        <v>145.76</v>
      </c>
      <c r="E5343">
        <v>145.77000000000001</v>
      </c>
      <c r="F5343">
        <v>-0.01</v>
      </c>
    </row>
    <row r="5344" spans="1:6" x14ac:dyDescent="0.3">
      <c r="A5344" t="str">
        <f>HYPERLINK("https://us2.cloudbeds.com/connect/10074733072513#/reservations/31719187558616?display=MX8XP4A77&amp;reservation_id=31719187558616", "MX8XP4A77")</f>
        <v>MX8XP4A77</v>
      </c>
      <c r="B5344" t="s">
        <v>1742</v>
      </c>
      <c r="C5344">
        <v>134.1</v>
      </c>
      <c r="D5344">
        <v>145.76</v>
      </c>
      <c r="E5344">
        <v>145.77000000000001</v>
      </c>
      <c r="F5344">
        <v>-0.01</v>
      </c>
    </row>
    <row r="5345" spans="1:6" x14ac:dyDescent="0.3">
      <c r="A5345" t="str">
        <f>HYPERLINK("https://us2.cloudbeds.com/connect/10074733072513#/reservations/31723305435359?display=MXBZWE9TV&amp;reservation_id=31723305435359", "MXBZWE9TV")</f>
        <v>MXBZWE9TV</v>
      </c>
      <c r="B5345" t="s">
        <v>1819</v>
      </c>
      <c r="C5345">
        <v>250.2</v>
      </c>
      <c r="D5345">
        <v>271.95999999999998</v>
      </c>
      <c r="E5345">
        <v>271.97000000000003</v>
      </c>
      <c r="F5345">
        <v>-0.01</v>
      </c>
    </row>
    <row r="5346" spans="1:6" x14ac:dyDescent="0.3">
      <c r="A5346" t="str">
        <f>HYPERLINK("https://us2.cloudbeds.com/connect/10074733072513#/reservations/31718150754523?display=MX7P8SNBC&amp;reservation_id=31718150754523", "MX7P8SNBC")</f>
        <v>MX7P8SNBC</v>
      </c>
      <c r="B5346" t="s">
        <v>1819</v>
      </c>
      <c r="C5346">
        <v>250.2</v>
      </c>
      <c r="D5346">
        <v>271.95999999999998</v>
      </c>
      <c r="E5346">
        <v>271.97000000000003</v>
      </c>
      <c r="F5346">
        <v>-0.01</v>
      </c>
    </row>
    <row r="5347" spans="1:6" x14ac:dyDescent="0.3">
      <c r="A5347" t="str">
        <f>HYPERLINK("https://us2.cloudbeds.com/connect/10074733072513#/reservations/31723289202839?display=MXBZXZK0D&amp;reservation_id=31723289202839", "MXBZXZK0D")</f>
        <v>MXBZXZK0D</v>
      </c>
      <c r="B5347" t="s">
        <v>1819</v>
      </c>
      <c r="C5347">
        <v>250.2</v>
      </c>
      <c r="D5347">
        <v>271.95999999999998</v>
      </c>
      <c r="E5347">
        <v>271.97000000000003</v>
      </c>
      <c r="F5347">
        <v>-0.01</v>
      </c>
    </row>
    <row r="5348" spans="1:6" x14ac:dyDescent="0.3">
      <c r="A5348" t="str">
        <f>HYPERLINK("https://us2.cloudbeds.com/connect/10074733072513#/reservations/31718338592930?display=MX7U28JD9&amp;reservation_id=31718338592930", "MX7U28JD9")</f>
        <v>MX7U28JD9</v>
      </c>
      <c r="B5348" t="s">
        <v>1772</v>
      </c>
      <c r="C5348">
        <v>144.1</v>
      </c>
      <c r="D5348">
        <v>156.63</v>
      </c>
      <c r="E5348">
        <v>156.63999999999999</v>
      </c>
      <c r="F5348">
        <v>-0.01</v>
      </c>
    </row>
    <row r="5349" spans="1:6" x14ac:dyDescent="0.3">
      <c r="A5349" t="str">
        <f>HYPERLINK("https://us2.cloudbeds.com/connect/10074733072513#/reservations/31714675142866?display=MX52F4MP0&amp;reservation_id=31714675142866", "MX52F4MP0")</f>
        <v>MX52F4MP0</v>
      </c>
      <c r="B5349" t="s">
        <v>1816</v>
      </c>
      <c r="C5349">
        <v>170.1</v>
      </c>
      <c r="D5349">
        <v>184.89</v>
      </c>
      <c r="E5349">
        <v>184.9</v>
      </c>
      <c r="F5349">
        <v>-0.01</v>
      </c>
    </row>
    <row r="5350" spans="1:6" x14ac:dyDescent="0.3">
      <c r="A5350" t="str">
        <f>HYPERLINK("https://us2.cloudbeds.com/connect/10074733072513#/reservations/31718398537918?display=MX7VJQY8S&amp;reservation_id=31718398537918", "MX7VJQY8S")</f>
        <v>MX7VJQY8S</v>
      </c>
      <c r="B5350" t="s">
        <v>1819</v>
      </c>
      <c r="C5350">
        <v>134.1</v>
      </c>
      <c r="D5350">
        <v>145.76</v>
      </c>
      <c r="E5350">
        <v>145.77000000000001</v>
      </c>
      <c r="F5350">
        <v>-0.01</v>
      </c>
    </row>
    <row r="5351" spans="1:6" x14ac:dyDescent="0.3">
      <c r="A5351" t="str">
        <f>HYPERLINK("https://us2.cloudbeds.com/connect/10074733072513#/reservations/31723515654346?display=MXBUBMVF9&amp;reservation_id=31723515654346", "MXBUBMVF9")</f>
        <v>MXBUBMVF9</v>
      </c>
      <c r="B5351" t="s">
        <v>1802</v>
      </c>
      <c r="C5351">
        <v>122.18</v>
      </c>
      <c r="D5351">
        <v>132.80000000000001</v>
      </c>
      <c r="E5351">
        <v>132.81</v>
      </c>
      <c r="F5351">
        <v>-0.01</v>
      </c>
    </row>
    <row r="5352" spans="1:6" x14ac:dyDescent="0.3">
      <c r="A5352" t="str">
        <f>HYPERLINK("https://us2.cloudbeds.com/connect/10074733072513#/reservations/31719152009386?display=MX8HS539R&amp;reservation_id=31719152009386", "MX8HS539R")</f>
        <v>MX8HS539R</v>
      </c>
      <c r="B5352" t="s">
        <v>1742</v>
      </c>
      <c r="C5352">
        <v>268.2</v>
      </c>
      <c r="D5352">
        <v>291.52</v>
      </c>
      <c r="E5352">
        <v>291.52999999999997</v>
      </c>
      <c r="F5352">
        <v>-0.01</v>
      </c>
    </row>
    <row r="5353" spans="1:6" x14ac:dyDescent="0.3">
      <c r="A5353" t="str">
        <f>HYPERLINK("https://us2.cloudbeds.com/connect/10074733072513#/reservations/31718658236635?display=MX857Q4Q6&amp;reservation_id=31718658236635", "MX857Q4Q6")</f>
        <v>MX857Q4Q6</v>
      </c>
      <c r="B5353" t="s">
        <v>1773</v>
      </c>
      <c r="C5353">
        <v>208.6</v>
      </c>
      <c r="D5353">
        <v>226.74</v>
      </c>
      <c r="E5353">
        <v>226.75</v>
      </c>
      <c r="F5353">
        <v>-0.01</v>
      </c>
    </row>
    <row r="5354" spans="1:6" x14ac:dyDescent="0.3">
      <c r="A5354" t="str">
        <f>HYPERLINK("https://us2.cloudbeds.com/connect/10074733072513#/reservations/31720513802453?display=MX9JYEWWD&amp;reservation_id=31720513802453", "MX9JYEWWD")</f>
        <v>MX9JYEWWD</v>
      </c>
      <c r="B5354" t="s">
        <v>1742</v>
      </c>
      <c r="C5354">
        <v>134.1</v>
      </c>
      <c r="D5354">
        <v>145.76</v>
      </c>
      <c r="E5354">
        <v>145.77000000000001</v>
      </c>
      <c r="F5354">
        <v>-0.01</v>
      </c>
    </row>
    <row r="5355" spans="1:6" x14ac:dyDescent="0.3">
      <c r="A5355" t="str">
        <f>HYPERLINK("https://us2.cloudbeds.com/connect/10074733072513#/reservations/31720869580980?display=MX9SZF20T&amp;reservation_id=31720869580980", "MX9SZF20T")</f>
        <v>MX9SZF20T</v>
      </c>
      <c r="B5355" t="s">
        <v>1849</v>
      </c>
      <c r="C5355">
        <v>312.89999999999998</v>
      </c>
      <c r="D5355">
        <v>340.11</v>
      </c>
      <c r="E5355">
        <v>340.12</v>
      </c>
      <c r="F5355">
        <v>-0.01</v>
      </c>
    </row>
    <row r="5356" spans="1:6" x14ac:dyDescent="0.3">
      <c r="A5356" t="str">
        <f>HYPERLINK("https://us2.cloudbeds.com/connect/10074733072513#/reservations/31721181945994?display=MXA3NS2JC&amp;reservation_id=31721181945994", "MXA3NS2JC")</f>
        <v>MXA3NS2JC</v>
      </c>
      <c r="B5356" t="s">
        <v>1851</v>
      </c>
      <c r="C5356">
        <v>250.2</v>
      </c>
      <c r="D5356">
        <v>271.95999999999998</v>
      </c>
      <c r="E5356">
        <v>271.97000000000003</v>
      </c>
      <c r="F5356">
        <v>-0.01</v>
      </c>
    </row>
    <row r="5357" spans="1:6" x14ac:dyDescent="0.3">
      <c r="A5357" t="str">
        <f>HYPERLINK("https://us2.cloudbeds.com/connect/10074733072513#/reservations/31717698900106?display=MX7DNS6B9&amp;reservation_id=31717698900106", "MX7DNS6B9")</f>
        <v>MX7DNS6B9</v>
      </c>
      <c r="B5357" t="s">
        <v>1742</v>
      </c>
      <c r="C5357">
        <v>134.1</v>
      </c>
      <c r="D5357">
        <v>145.76</v>
      </c>
      <c r="E5357">
        <v>145.77000000000001</v>
      </c>
      <c r="F5357">
        <v>-0.01</v>
      </c>
    </row>
    <row r="5358" spans="1:6" x14ac:dyDescent="0.3">
      <c r="A5358" t="str">
        <f>HYPERLINK("https://us2.cloudbeds.com/connect/10074733072513#/reservations/31720482865290?display=MX9XSC46K&amp;reservation_id=31720482865290", "MX9XSC46K")</f>
        <v>MX9XSC46K</v>
      </c>
      <c r="B5358" t="s">
        <v>1742</v>
      </c>
      <c r="C5358">
        <v>268.2</v>
      </c>
      <c r="D5358">
        <v>291.52</v>
      </c>
      <c r="E5358">
        <v>291.52999999999997</v>
      </c>
      <c r="F5358">
        <v>-0.01</v>
      </c>
    </row>
    <row r="5359" spans="1:6" x14ac:dyDescent="0.3">
      <c r="A5359" t="str">
        <f>HYPERLINK("https://us2.cloudbeds.com/connect/10074733072513#/reservations/31722805481645?display=MXBC6SBJD&amp;reservation_id=31722805481645", "MXBC6SBJD")</f>
        <v>MXBC6SBJD</v>
      </c>
      <c r="B5359" t="s">
        <v>1835</v>
      </c>
      <c r="C5359">
        <v>134.1</v>
      </c>
      <c r="D5359">
        <v>145.76</v>
      </c>
      <c r="E5359">
        <v>145.77000000000001</v>
      </c>
      <c r="F5359">
        <v>-0.01</v>
      </c>
    </row>
    <row r="5360" spans="1:6" x14ac:dyDescent="0.3">
      <c r="A5360" t="str">
        <f>HYPERLINK("https://us2.cloudbeds.com/connect/10074733072513#/reservations/31717684846809?display=MX7DC04XQ&amp;reservation_id=31717684846809", "MX7DC04XQ")</f>
        <v>MX7DC04XQ</v>
      </c>
      <c r="B5360" t="s">
        <v>1742</v>
      </c>
      <c r="C5360">
        <v>134.1</v>
      </c>
      <c r="D5360">
        <v>145.76</v>
      </c>
      <c r="E5360">
        <v>145.77000000000001</v>
      </c>
      <c r="F5360">
        <v>-0.01</v>
      </c>
    </row>
    <row r="5361" spans="1:6" x14ac:dyDescent="0.3">
      <c r="A5361" t="str">
        <f>HYPERLINK("https://us2.cloudbeds.com/connect/10074733072513#/reservations/31722010448035?display=MXAZTFC5R&amp;reservation_id=31722010448035", "MXAZTFC5R")</f>
        <v>MXAZTFC5R</v>
      </c>
      <c r="B5361" t="s">
        <v>1852</v>
      </c>
      <c r="C5361">
        <v>500.4</v>
      </c>
      <c r="D5361">
        <v>543.91999999999996</v>
      </c>
      <c r="E5361">
        <v>543.92999999999995</v>
      </c>
      <c r="F5361">
        <v>-0.01</v>
      </c>
    </row>
    <row r="5362" spans="1:6" x14ac:dyDescent="0.3">
      <c r="A5362" t="str">
        <f>HYPERLINK("https://us2.cloudbeds.com/connect/10074733072513#/reservations/31716835201182?display=MX6ZYXGCK&amp;reservation_id=31716835201182", "MX6ZYXGCK")</f>
        <v>MX6ZYXGCK</v>
      </c>
      <c r="B5362" t="s">
        <v>1743</v>
      </c>
      <c r="C5362">
        <v>250.2</v>
      </c>
      <c r="D5362">
        <v>271.95999999999998</v>
      </c>
      <c r="E5362">
        <v>271.97000000000003</v>
      </c>
      <c r="F5362">
        <v>-0.01</v>
      </c>
    </row>
    <row r="5363" spans="1:6" x14ac:dyDescent="0.3">
      <c r="A5363" t="str">
        <f>HYPERLINK("https://us2.cloudbeds.com/connect/10074733072513#/reservations/31717706768605?display=MX7DUG4PY&amp;reservation_id=31717706768605", "MX7DUG4PY")</f>
        <v>MX7DUG4PY</v>
      </c>
      <c r="B5363" t="s">
        <v>1742</v>
      </c>
      <c r="C5363">
        <v>170.1</v>
      </c>
      <c r="D5363">
        <v>184.89</v>
      </c>
      <c r="E5363">
        <v>184.9</v>
      </c>
      <c r="F5363">
        <v>-0.01</v>
      </c>
    </row>
    <row r="5364" spans="1:6" x14ac:dyDescent="0.3">
      <c r="A5364" t="str">
        <f>HYPERLINK("https://us2.cloudbeds.com/connect/10074733072513#/reservations/31723229347976?display=MXBN191SM&amp;reservation_id=31723229347976", "MXBN191SM")</f>
        <v>MXBN191SM</v>
      </c>
      <c r="B5364" t="s">
        <v>1819</v>
      </c>
      <c r="C5364">
        <v>134.1</v>
      </c>
      <c r="D5364">
        <v>145.76</v>
      </c>
      <c r="E5364">
        <v>145.77000000000001</v>
      </c>
      <c r="F5364">
        <v>-0.01</v>
      </c>
    </row>
    <row r="5365" spans="1:6" x14ac:dyDescent="0.3">
      <c r="A5365" t="str">
        <f>HYPERLINK("https://us2.cloudbeds.com/connect/10074733072513#/reservations/31717671977169?display=MX7D150NN&amp;reservation_id=31717671977169", "MX7D150NN")</f>
        <v>MX7D150NN</v>
      </c>
      <c r="B5365" t="s">
        <v>1854</v>
      </c>
      <c r="C5365">
        <v>134.1</v>
      </c>
      <c r="D5365">
        <v>145.76</v>
      </c>
      <c r="E5365">
        <v>145.77000000000001</v>
      </c>
      <c r="F5365">
        <v>-0.01</v>
      </c>
    </row>
    <row r="5366" spans="1:6" x14ac:dyDescent="0.3">
      <c r="A5366" t="str">
        <f>HYPERLINK("https://us2.cloudbeds.com/connect/10074733072513#/reservations/31718295273650?display=MX7SVZ5ES&amp;reservation_id=31718295273650", "MX7SVZ5ES")</f>
        <v>MX7SVZ5ES</v>
      </c>
      <c r="B5366" t="s">
        <v>1772</v>
      </c>
      <c r="C5366">
        <v>268.2</v>
      </c>
      <c r="D5366">
        <v>291.52</v>
      </c>
      <c r="E5366">
        <v>291.52999999999997</v>
      </c>
      <c r="F5366">
        <v>-0.01</v>
      </c>
    </row>
    <row r="5367" spans="1:6" x14ac:dyDescent="0.3">
      <c r="A5367" t="str">
        <f>HYPERLINK("https://us2.cloudbeds.com/connect/10074733072513#/reservations/31715307450618?display=MX5XKAJ9W&amp;reservation_id=31715307450618", "MX5XKAJ9W")</f>
        <v>MX5XKAJ9W</v>
      </c>
      <c r="B5367" t="s">
        <v>1857</v>
      </c>
      <c r="C5367">
        <v>304.2</v>
      </c>
      <c r="D5367">
        <v>330.66</v>
      </c>
      <c r="E5367">
        <v>330.67</v>
      </c>
      <c r="F5367">
        <v>-0.01</v>
      </c>
    </row>
    <row r="5368" spans="1:6" x14ac:dyDescent="0.3">
      <c r="A5368" t="str">
        <f>HYPERLINK("https://us2.cloudbeds.com/connect/10074733072513#/reservations/31719311683767?display=MX8YUQ92E&amp;reservation_id=31719311683767", "MX8YUQ92E")</f>
        <v>MX8YUQ92E</v>
      </c>
      <c r="B5368" t="s">
        <v>1804</v>
      </c>
      <c r="C5368">
        <v>268.2</v>
      </c>
      <c r="D5368">
        <v>291.52</v>
      </c>
      <c r="E5368">
        <v>291.52999999999997</v>
      </c>
      <c r="F5368">
        <v>-0.01</v>
      </c>
    </row>
    <row r="5369" spans="1:6" x14ac:dyDescent="0.3">
      <c r="A5369" t="str">
        <f>HYPERLINK("https://us2.cloudbeds.com/connect/10074733072513#/reservations/31717728604379?display=MX7EFTZWP&amp;reservation_id=31717728604379", "MX7EFTZWP")</f>
        <v>MX7EFTZWP</v>
      </c>
      <c r="B5369" t="s">
        <v>1835</v>
      </c>
      <c r="C5369">
        <v>134.1</v>
      </c>
      <c r="D5369">
        <v>145.76</v>
      </c>
      <c r="E5369">
        <v>145.77000000000001</v>
      </c>
      <c r="F5369">
        <v>-0.01</v>
      </c>
    </row>
    <row r="5370" spans="1:6" x14ac:dyDescent="0.3">
      <c r="A5370" t="str">
        <f>HYPERLINK("https://us2.cloudbeds.com/connect/10074733072513#/reservations/31719671464122?display=MX8V45MTE&amp;reservation_id=31719671464122", "MX8V45MTE")</f>
        <v>MX8V45MTE</v>
      </c>
      <c r="B5370" t="s">
        <v>1819</v>
      </c>
      <c r="C5370">
        <v>250.2</v>
      </c>
      <c r="D5370">
        <v>271.95999999999998</v>
      </c>
      <c r="E5370">
        <v>271.97000000000003</v>
      </c>
      <c r="F5370">
        <v>-0.01</v>
      </c>
    </row>
    <row r="5371" spans="1:6" x14ac:dyDescent="0.3">
      <c r="A5371" t="str">
        <f>HYPERLINK("https://us2.cloudbeds.com/connect/10074733072513#/reservations/31711702110390?display=MX2PG6MCQ&amp;reservation_id=31711702110390", "MX2PG6MCQ")</f>
        <v>MX2PG6MCQ</v>
      </c>
      <c r="B5371" t="s">
        <v>1860</v>
      </c>
      <c r="C5371">
        <v>170.1</v>
      </c>
      <c r="D5371">
        <v>184.89</v>
      </c>
      <c r="E5371">
        <v>184.9</v>
      </c>
      <c r="F5371">
        <v>-0.01</v>
      </c>
    </row>
    <row r="5372" spans="1:6" x14ac:dyDescent="0.3">
      <c r="A5372" t="str">
        <f>HYPERLINK("https://us2.cloudbeds.com/connect/10074733072513#/reservations/31723128328378?display=MXBKF317Z&amp;reservation_id=31723128328378", "MXBKF317Z")</f>
        <v>MXBKF317Z</v>
      </c>
      <c r="B5372" t="s">
        <v>1778</v>
      </c>
      <c r="C5372">
        <v>84.15</v>
      </c>
      <c r="D5372">
        <v>91.46</v>
      </c>
      <c r="E5372">
        <v>91.47</v>
      </c>
      <c r="F5372">
        <v>-0.01</v>
      </c>
    </row>
    <row r="5373" spans="1:6" x14ac:dyDescent="0.3">
      <c r="A5373" t="str">
        <f>HYPERLINK("https://us2.cloudbeds.com/connect/10074733072513#/reservations/31720255844569?display=MX9D1UV1R&amp;reservation_id=31720255844569", "MX9D1UV1R")</f>
        <v>MX9D1UV1R</v>
      </c>
      <c r="B5373" t="s">
        <v>1861</v>
      </c>
      <c r="C5373">
        <v>267.3</v>
      </c>
      <c r="D5373">
        <v>290.55</v>
      </c>
      <c r="E5373">
        <v>290.56</v>
      </c>
      <c r="F5373">
        <v>-0.01</v>
      </c>
    </row>
    <row r="5374" spans="1:6" x14ac:dyDescent="0.3">
      <c r="A5374" t="str">
        <f>HYPERLINK("https://us2.cloudbeds.com/connect/10074733072513#/reservations/31719609721024?display=MX8TX3G49&amp;reservation_id=31719609721024", "MX8TX3G49")</f>
        <v>MX8TX3G49</v>
      </c>
      <c r="B5374" t="s">
        <v>1804</v>
      </c>
      <c r="C5374">
        <v>134.1</v>
      </c>
      <c r="D5374">
        <v>145.76</v>
      </c>
      <c r="E5374">
        <v>145.77000000000001</v>
      </c>
      <c r="F5374">
        <v>-0.01</v>
      </c>
    </row>
    <row r="5375" spans="1:6" x14ac:dyDescent="0.3">
      <c r="A5375" t="str">
        <f>HYPERLINK("https://us2.cloudbeds.com/connect/10074733072513#/reservations/31721373647027?display=MXA8KGEJJ&amp;reservation_id=31721373647027", "MXA8KGEJJ")</f>
        <v>MXA8KGEJJ</v>
      </c>
      <c r="B5375" t="s">
        <v>1836</v>
      </c>
      <c r="C5375">
        <v>134.1</v>
      </c>
      <c r="D5375">
        <v>145.76</v>
      </c>
      <c r="E5375">
        <v>145.77000000000001</v>
      </c>
      <c r="F5375">
        <v>-0.01</v>
      </c>
    </row>
    <row r="5376" spans="1:6" x14ac:dyDescent="0.3">
      <c r="A5376" t="str">
        <f>HYPERLINK("https://us2.cloudbeds.com/connect/10074733072513#/reservations/31716821696663?display=MX6ZA5NHP&amp;reservation_id=31716821696663", "MX6ZA5NHP")</f>
        <v>MX6ZA5NHP</v>
      </c>
      <c r="B5376" t="s">
        <v>1729</v>
      </c>
      <c r="C5376">
        <v>268.2</v>
      </c>
      <c r="D5376">
        <v>291.52</v>
      </c>
      <c r="E5376">
        <v>291.52999999999997</v>
      </c>
      <c r="F5376">
        <v>-0.01</v>
      </c>
    </row>
    <row r="5377" spans="1:6" x14ac:dyDescent="0.3">
      <c r="A5377" t="str">
        <f>HYPERLINK("https://us2.cloudbeds.com/connect/10074733072513#/reservations/31711729967338?display=MX2Q6MRMZ&amp;reservation_id=31711729967338", "MX2Q6MRMZ")</f>
        <v>MX2Q6MRMZ</v>
      </c>
      <c r="B5377" t="s">
        <v>1860</v>
      </c>
      <c r="C5377">
        <v>196.2</v>
      </c>
      <c r="D5377">
        <v>213.26</v>
      </c>
      <c r="E5377">
        <v>213.27</v>
      </c>
      <c r="F5377">
        <v>-0.01</v>
      </c>
    </row>
    <row r="5378" spans="1:6" x14ac:dyDescent="0.3">
      <c r="A5378" t="str">
        <f>HYPERLINK("https://us2.cloudbeds.com/connect/10074733072513#/reservations/31717728600286?display=MX7EFTY7Z&amp;reservation_id=31717728600286", "MX7EFTY7Z")</f>
        <v>MX7EFTY7Z</v>
      </c>
      <c r="B5378" t="s">
        <v>1854</v>
      </c>
      <c r="C5378">
        <v>134.1</v>
      </c>
      <c r="D5378">
        <v>145.76</v>
      </c>
      <c r="E5378">
        <v>145.77000000000001</v>
      </c>
      <c r="F5378">
        <v>-0.01</v>
      </c>
    </row>
    <row r="5379" spans="1:6" x14ac:dyDescent="0.3">
      <c r="A5379" t="str">
        <f>HYPERLINK("https://us2.cloudbeds.com/connect/10074733072513#/reservations/31719393845453?display=MX8Z12HWG&amp;reservation_id=31719393845453", "MX8Z12HWG")</f>
        <v>MX8Z12HWG</v>
      </c>
      <c r="B5379" t="s">
        <v>1860</v>
      </c>
      <c r="C5379">
        <v>134.1</v>
      </c>
      <c r="D5379">
        <v>145.76</v>
      </c>
      <c r="E5379">
        <v>145.77000000000001</v>
      </c>
      <c r="F5379">
        <v>-0.01</v>
      </c>
    </row>
    <row r="5380" spans="1:6" x14ac:dyDescent="0.3">
      <c r="A5380" t="str">
        <f>HYPERLINK("https://us2.cloudbeds.com/connect/10074733072513#/reservations/31719403061415?display=MX8Z8RWP0&amp;reservation_id=31719403061415", "MX8Z8RWP0")</f>
        <v>MX8Z8RWP0</v>
      </c>
      <c r="B5380" t="s">
        <v>1860</v>
      </c>
      <c r="C5380">
        <v>134.1</v>
      </c>
      <c r="D5380">
        <v>145.76</v>
      </c>
      <c r="E5380">
        <v>145.77000000000001</v>
      </c>
      <c r="F5380">
        <v>-0.01</v>
      </c>
    </row>
    <row r="5381" spans="1:6" x14ac:dyDescent="0.3">
      <c r="A5381" t="str">
        <f>HYPERLINK("https://us2.cloudbeds.com/connect/10074733072513#/reservations/31718338588848?display=MX7U28FYK&amp;reservation_id=31718338588848", "MX7U28FYK")</f>
        <v>MX7U28FYK</v>
      </c>
      <c r="B5381" t="s">
        <v>1865</v>
      </c>
      <c r="C5381">
        <v>250.2</v>
      </c>
      <c r="D5381">
        <v>271.95999999999998</v>
      </c>
      <c r="E5381">
        <v>271.97000000000003</v>
      </c>
      <c r="F5381">
        <v>-0.01</v>
      </c>
    </row>
    <row r="5382" spans="1:6" x14ac:dyDescent="0.3">
      <c r="A5382" t="str">
        <f>HYPERLINK("https://us2.cloudbeds.com/connect/10074733072513#/reservations/31718461825207?display=MX8075NBZ&amp;reservation_id=31718461825207", "MX8075NBZ")</f>
        <v>MX8075NBZ</v>
      </c>
      <c r="B5382" t="s">
        <v>1858</v>
      </c>
      <c r="C5382">
        <v>87.2</v>
      </c>
      <c r="D5382">
        <v>94.78</v>
      </c>
      <c r="E5382">
        <v>94.79</v>
      </c>
      <c r="F5382">
        <v>-0.01</v>
      </c>
    </row>
    <row r="5383" spans="1:6" x14ac:dyDescent="0.3">
      <c r="A5383" t="str">
        <f>HYPERLINK("https://us2.cloudbeds.com/connect/10074733072513#/reservations/31719419359450?display=MX8ZMJGQU&amp;reservation_id=31719419359450", "MX8ZMJGQU")</f>
        <v>MX8ZMJGQU</v>
      </c>
      <c r="B5383" t="s">
        <v>1860</v>
      </c>
      <c r="C5383">
        <v>134.1</v>
      </c>
      <c r="D5383">
        <v>145.76</v>
      </c>
      <c r="E5383">
        <v>145.77000000000001</v>
      </c>
      <c r="F5383">
        <v>-0.01</v>
      </c>
    </row>
    <row r="5384" spans="1:6" x14ac:dyDescent="0.3">
      <c r="A5384" t="str">
        <f>HYPERLINK("https://us2.cloudbeds.com/connect/10074733072513#/reservations/31718535164053?display=MX8230FG0&amp;reservation_id=31718535164053", "MX8230FG0")</f>
        <v>MX8230FG0</v>
      </c>
      <c r="B5384" t="s">
        <v>1760</v>
      </c>
      <c r="C5384">
        <v>268.2</v>
      </c>
      <c r="D5384">
        <v>291.52</v>
      </c>
      <c r="E5384">
        <v>291.52999999999997</v>
      </c>
      <c r="F5384">
        <v>-0.01</v>
      </c>
    </row>
    <row r="5385" spans="1:6" x14ac:dyDescent="0.3">
      <c r="A5385" t="str">
        <f>HYPERLINK("https://us2.cloudbeds.com/connect/10074733072513#/reservations/31719754158326?display=MX907TPQD&amp;reservation_id=31719754158326", "MX907TPQD")</f>
        <v>MX907TPQD</v>
      </c>
      <c r="B5385" t="s">
        <v>1836</v>
      </c>
      <c r="C5385">
        <v>134.1</v>
      </c>
      <c r="D5385">
        <v>145.76</v>
      </c>
      <c r="E5385">
        <v>145.77000000000001</v>
      </c>
      <c r="F5385">
        <v>-0.01</v>
      </c>
    </row>
    <row r="5386" spans="1:6" x14ac:dyDescent="0.3">
      <c r="A5386" t="str">
        <f>HYPERLINK("https://us2.cloudbeds.com/connect/10074733072513#/reservations/31715334566032?display=MX5JA63M6&amp;reservation_id=31715334566032", "MX5JA63M6")</f>
        <v>MX5JA63M6</v>
      </c>
      <c r="B5386" t="s">
        <v>1857</v>
      </c>
      <c r="C5386">
        <v>134.1</v>
      </c>
      <c r="D5386">
        <v>145.76</v>
      </c>
      <c r="E5386">
        <v>145.77000000000001</v>
      </c>
      <c r="F5386">
        <v>-0.01</v>
      </c>
    </row>
    <row r="5387" spans="1:6" x14ac:dyDescent="0.3">
      <c r="A5387" t="str">
        <f>HYPERLINK("https://us2.cloudbeds.com/connect/10074733072513#/reservations/31721325199491?display=MXA7CYAGE&amp;reservation_id=31721325199491", "MXA7CYAGE")</f>
        <v>MXA7CYAGE</v>
      </c>
      <c r="B5387" t="s">
        <v>1836</v>
      </c>
      <c r="C5387">
        <v>134.1</v>
      </c>
      <c r="D5387">
        <v>145.76</v>
      </c>
      <c r="E5387">
        <v>145.77000000000001</v>
      </c>
      <c r="F5387">
        <v>-0.01</v>
      </c>
    </row>
    <row r="5388" spans="1:6" x14ac:dyDescent="0.3">
      <c r="A5388" t="str">
        <f>HYPERLINK("https://us2.cloudbeds.com/connect/10074733072513#/reservations/31721398464755?display=MXA98E11U&amp;reservation_id=31721398464755", "MXA98E11U")</f>
        <v>MXA98E11U</v>
      </c>
      <c r="B5388" t="s">
        <v>1836</v>
      </c>
      <c r="C5388">
        <v>143.65</v>
      </c>
      <c r="D5388">
        <v>156.13999999999999</v>
      </c>
      <c r="E5388">
        <v>156.15</v>
      </c>
      <c r="F5388">
        <v>-0.01</v>
      </c>
    </row>
    <row r="5389" spans="1:6" x14ac:dyDescent="0.3">
      <c r="A5389" t="str">
        <f>HYPERLINK("https://us2.cloudbeds.com/connect/10074733072513#/reservations/31717937049743?display=MX7JQM1SV&amp;reservation_id=31717937049743", "MX7JQM1SV")</f>
        <v>MX7JQM1SV</v>
      </c>
      <c r="B5389" t="s">
        <v>1869</v>
      </c>
      <c r="C5389">
        <v>89.38</v>
      </c>
      <c r="D5389">
        <v>97.15</v>
      </c>
      <c r="E5389">
        <v>97.16</v>
      </c>
      <c r="F5389">
        <v>-0.01</v>
      </c>
    </row>
    <row r="5390" spans="1:6" x14ac:dyDescent="0.3">
      <c r="A5390" t="str">
        <f>HYPERLINK("https://us2.cloudbeds.com/connect/10074733072513#/reservations/31720296657038?display=MX9E3BK2A&amp;reservation_id=31720296657038", "MX9E3BK2A")</f>
        <v>MX9E3BK2A</v>
      </c>
      <c r="B5390" t="s">
        <v>1836</v>
      </c>
      <c r="C5390">
        <v>143.65</v>
      </c>
      <c r="D5390">
        <v>156.13999999999999</v>
      </c>
      <c r="E5390">
        <v>156.15</v>
      </c>
      <c r="F5390">
        <v>-0.01</v>
      </c>
    </row>
    <row r="5391" spans="1:6" x14ac:dyDescent="0.3">
      <c r="A5391" t="str">
        <f>HYPERLINK("https://us2.cloudbeds.com/connect/10074733072513#/reservations/31717560484066?display=MX7A64XHR&amp;reservation_id=31717560484066", "MX7A64XHR")</f>
        <v>MX7A64XHR</v>
      </c>
      <c r="B5391" t="s">
        <v>1768</v>
      </c>
      <c r="C5391">
        <v>376.2</v>
      </c>
      <c r="D5391">
        <v>408.92</v>
      </c>
      <c r="E5391">
        <v>408.93</v>
      </c>
      <c r="F5391">
        <v>-0.01</v>
      </c>
    </row>
    <row r="5392" spans="1:6" x14ac:dyDescent="0.3">
      <c r="A5392" t="str">
        <f>HYPERLINK("https://us2.cloudbeds.com/connect/10074733072513#/reservations/31721915605154?display=MXAMFG7F4&amp;reservation_id=31721915605154", "MXAMFG7F4")</f>
        <v>MXAMFG7F4</v>
      </c>
      <c r="B5392" t="s">
        <v>1836</v>
      </c>
      <c r="C5392">
        <v>134.1</v>
      </c>
      <c r="D5392">
        <v>145.76</v>
      </c>
      <c r="E5392">
        <v>145.77000000000001</v>
      </c>
      <c r="F5392">
        <v>-0.01</v>
      </c>
    </row>
    <row r="5393" spans="1:6" x14ac:dyDescent="0.3">
      <c r="A5393" t="str">
        <f>HYPERLINK("https://us2.cloudbeds.com/connect/10074733072513#/reservations/31720313143433?display=MX9EH8C31&amp;reservation_id=31720313143433", "MX9EH8C31")</f>
        <v>MX9EH8C31</v>
      </c>
      <c r="B5393" t="s">
        <v>1836</v>
      </c>
      <c r="C5393">
        <v>143.65</v>
      </c>
      <c r="D5393">
        <v>156.13999999999999</v>
      </c>
      <c r="E5393">
        <v>156.15</v>
      </c>
      <c r="F5393">
        <v>-0.01</v>
      </c>
    </row>
    <row r="5394" spans="1:6" x14ac:dyDescent="0.3">
      <c r="A5394" t="str">
        <f>HYPERLINK("https://us2.cloudbeds.com/connect/10074733072513#/reservations/31721060733155?display=MXA0KY511&amp;reservation_id=31721060733155", "MXA0KY511")</f>
        <v>MXA0KY511</v>
      </c>
      <c r="B5394" t="s">
        <v>1870</v>
      </c>
      <c r="C5394">
        <v>87.2</v>
      </c>
      <c r="D5394">
        <v>94.78</v>
      </c>
      <c r="E5394">
        <v>94.79</v>
      </c>
      <c r="F5394">
        <v>-0.01</v>
      </c>
    </row>
    <row r="5395" spans="1:6" x14ac:dyDescent="0.3">
      <c r="A5395" t="str">
        <f>HYPERLINK("https://us2.cloudbeds.com/connect/10074733072513#/reservations/31721199546564?display=MXA45MRNW&amp;reservation_id=31721199546564", "MXA45MRNW")</f>
        <v>MXA45MRNW</v>
      </c>
      <c r="B5395" t="s">
        <v>1851</v>
      </c>
      <c r="C5395">
        <v>300.36</v>
      </c>
      <c r="D5395">
        <v>326.48</v>
      </c>
      <c r="E5395">
        <v>326.49</v>
      </c>
      <c r="F5395">
        <v>-0.01</v>
      </c>
    </row>
    <row r="5396" spans="1:6" x14ac:dyDescent="0.3">
      <c r="A5396" t="str">
        <f>HYPERLINK("https://us2.cloudbeds.com/connect/10074733072513#/reservations/31721578594458?display=MXADSADDQ&amp;reservation_id=31721578594458", "MXADSADDQ")</f>
        <v>MXADSADDQ</v>
      </c>
      <c r="B5396" t="s">
        <v>1869</v>
      </c>
      <c r="C5396">
        <v>190.4</v>
      </c>
      <c r="D5396">
        <v>206.95</v>
      </c>
      <c r="E5396">
        <v>206.96</v>
      </c>
      <c r="F5396">
        <v>-0.01</v>
      </c>
    </row>
    <row r="5397" spans="1:6" x14ac:dyDescent="0.3">
      <c r="A5397" t="str">
        <f>HYPERLINK("https://us2.cloudbeds.com/connect/10074733072513#/reservations/31717853683843?display=MX7HMC95X&amp;reservation_id=31717853683843", "MX7HMC95X")</f>
        <v>MX7HMC95X</v>
      </c>
      <c r="B5397" t="s">
        <v>1869</v>
      </c>
      <c r="C5397">
        <v>196.2</v>
      </c>
      <c r="D5397">
        <v>213.26</v>
      </c>
      <c r="E5397">
        <v>213.27</v>
      </c>
      <c r="F5397">
        <v>-0.01</v>
      </c>
    </row>
    <row r="5398" spans="1:6" x14ac:dyDescent="0.3">
      <c r="A5398" t="str">
        <f>HYPERLINK("https://us2.cloudbeds.com/connect/10074733072513#/reservations/31720294744312?display=MX9E1ZCYU&amp;reservation_id=31720294744312", "MX9E1ZCYU")</f>
        <v>MX9E1ZCYU</v>
      </c>
      <c r="B5398" t="s">
        <v>1836</v>
      </c>
      <c r="C5398">
        <v>117.42</v>
      </c>
      <c r="D5398">
        <v>127.63</v>
      </c>
      <c r="E5398">
        <v>127.64</v>
      </c>
      <c r="F5398">
        <v>-0.01</v>
      </c>
    </row>
    <row r="5399" spans="1:6" x14ac:dyDescent="0.3">
      <c r="A5399" t="str">
        <f>HYPERLINK("https://us2.cloudbeds.com/connect/10074733072513#/reservations/31720420892874?display=MX9H93YXK&amp;reservation_id=31720420892874", "MX9H93YXK")</f>
        <v>MX9H93YXK</v>
      </c>
      <c r="B5399" t="s">
        <v>1773</v>
      </c>
      <c r="C5399">
        <v>250.2</v>
      </c>
      <c r="D5399">
        <v>271.95999999999998</v>
      </c>
      <c r="E5399">
        <v>271.97000000000003</v>
      </c>
      <c r="F5399">
        <v>-0.01</v>
      </c>
    </row>
    <row r="5400" spans="1:6" x14ac:dyDescent="0.3">
      <c r="A5400" t="str">
        <f>HYPERLINK("https://us2.cloudbeds.com/connect/10074733072513#/reservations/31720545546467?display=MX9KF7AM7&amp;reservation_id=31720545546467", "MX9KF7AM7")</f>
        <v>MX9KF7AM7</v>
      </c>
      <c r="B5400" t="s">
        <v>1872</v>
      </c>
      <c r="C5400">
        <v>259.2</v>
      </c>
      <c r="D5400">
        <v>281.74</v>
      </c>
      <c r="E5400">
        <v>281.75</v>
      </c>
      <c r="F5400">
        <v>-0.01</v>
      </c>
    </row>
    <row r="5401" spans="1:6" x14ac:dyDescent="0.3">
      <c r="A5401" t="str">
        <f>HYPERLINK("https://us2.cloudbeds.com/connect/10074733072513#/reservations/31720879427771?display=MX9SWP22G&amp;reservation_id=31720879427771", "MX9SWP22G")</f>
        <v>MX9SWP22G</v>
      </c>
      <c r="B5401" t="s">
        <v>1840</v>
      </c>
      <c r="C5401">
        <v>250.2</v>
      </c>
      <c r="D5401">
        <v>271.95999999999998</v>
      </c>
      <c r="E5401">
        <v>271.97000000000003</v>
      </c>
      <c r="F5401">
        <v>-0.01</v>
      </c>
    </row>
    <row r="5402" spans="1:6" x14ac:dyDescent="0.3">
      <c r="A5402" t="str">
        <f>HYPERLINK("https://us2.cloudbeds.com/connect/10074733072513#/reservations/31720399020240?display=MX9GNM0GH&amp;reservation_id=31720399020240", "MX9GNM0GH")</f>
        <v>MX9GNM0GH</v>
      </c>
      <c r="B5402" t="s">
        <v>1773</v>
      </c>
      <c r="C5402">
        <v>304.2</v>
      </c>
      <c r="D5402">
        <v>330.66</v>
      </c>
      <c r="E5402">
        <v>330.67</v>
      </c>
      <c r="F5402">
        <v>-0.01</v>
      </c>
    </row>
    <row r="5403" spans="1:6" x14ac:dyDescent="0.3">
      <c r="A5403" t="str">
        <f>HYPERLINK("https://us2.cloudbeds.com/connect/10074733072513#/reservations/31712873574551?display=MX3ME0D1P&amp;reservation_id=31712873574551", "MX3ME0D1P")</f>
        <v>MX3ME0D1P</v>
      </c>
      <c r="B5403" t="s">
        <v>1850</v>
      </c>
      <c r="C5403">
        <v>170.1</v>
      </c>
      <c r="D5403">
        <v>184.89</v>
      </c>
      <c r="E5403">
        <v>184.9</v>
      </c>
      <c r="F5403">
        <v>-0.01</v>
      </c>
    </row>
    <row r="5404" spans="1:6" x14ac:dyDescent="0.3">
      <c r="A5404" t="str">
        <f>HYPERLINK("https://us2.cloudbeds.com/connect/10074733072513#/reservations/31718924194006?display=MX8C11QEF&amp;reservation_id=31718924194006", "MX8C11QEF")</f>
        <v>MX8C11QEF</v>
      </c>
      <c r="B5404" t="s">
        <v>1715</v>
      </c>
      <c r="C5404">
        <v>474.3</v>
      </c>
      <c r="D5404">
        <v>515.54999999999995</v>
      </c>
      <c r="E5404">
        <v>515.55999999999995</v>
      </c>
      <c r="F5404">
        <v>-0.01</v>
      </c>
    </row>
    <row r="5405" spans="1:6" x14ac:dyDescent="0.3">
      <c r="A5405" t="str">
        <f>HYPERLINK("https://us2.cloudbeds.com/connect/10074733072513#/reservations/31720973856909?display=MX9VDCMSH&amp;reservation_id=31720973856909", "MX9VDCMSH")</f>
        <v>MX9VDCMSH</v>
      </c>
      <c r="B5405" t="s">
        <v>1869</v>
      </c>
      <c r="C5405">
        <v>118.15</v>
      </c>
      <c r="D5405">
        <v>128.41999999999999</v>
      </c>
      <c r="E5405">
        <v>128.43</v>
      </c>
      <c r="F5405">
        <v>-0.01</v>
      </c>
    </row>
    <row r="5406" spans="1:6" x14ac:dyDescent="0.3">
      <c r="A5406" t="str">
        <f>HYPERLINK("https://us2.cloudbeds.com/connect/10074733072513#/reservations/31720847769754?display=MX9S624BY&amp;reservation_id=31720847769754", "MX9S624BY")</f>
        <v>MX9S624BY</v>
      </c>
      <c r="B5406" t="s">
        <v>1840</v>
      </c>
      <c r="C5406">
        <v>250.2</v>
      </c>
      <c r="D5406">
        <v>271.95999999999998</v>
      </c>
      <c r="E5406">
        <v>271.97000000000003</v>
      </c>
      <c r="F5406">
        <v>-0.01</v>
      </c>
    </row>
    <row r="5407" spans="1:6" x14ac:dyDescent="0.3">
      <c r="A5407" t="str">
        <f>HYPERLINK("https://us2.cloudbeds.com/connect/10074733072513#/reservations/31712850501767?display=MX3YRXBUG&amp;reservation_id=31712850501767", "MX3YRXBUG")</f>
        <v>MX3YRXBUG</v>
      </c>
      <c r="B5407" t="s">
        <v>1850</v>
      </c>
      <c r="C5407">
        <v>384.3</v>
      </c>
      <c r="D5407">
        <v>417.72</v>
      </c>
      <c r="E5407">
        <v>417.73</v>
      </c>
      <c r="F5407">
        <v>-0.01</v>
      </c>
    </row>
    <row r="5408" spans="1:6" x14ac:dyDescent="0.3">
      <c r="A5408" t="str">
        <f>HYPERLINK("https://us2.cloudbeds.com/connect/10074733072513#/reservations/31715847803099?display=MX5WDVMZJ&amp;reservation_id=31715847803099", "MX5WDVMZJ")</f>
        <v>MX5WDVMZJ</v>
      </c>
      <c r="B5408" t="s">
        <v>1768</v>
      </c>
      <c r="C5408">
        <v>376.2</v>
      </c>
      <c r="D5408">
        <v>408.92</v>
      </c>
      <c r="E5408">
        <v>408.93</v>
      </c>
      <c r="F5408">
        <v>-0.01</v>
      </c>
    </row>
    <row r="5409" spans="1:6" x14ac:dyDescent="0.3">
      <c r="A5409" t="str">
        <f>HYPERLINK("https://us2.cloudbeds.com/connect/10074733072513#/reservations/31716569882781?display=MX6HSRKG2&amp;reservation_id=31716569882781", "MX6HSRKG2")</f>
        <v>MX6HSRKG2</v>
      </c>
      <c r="B5409" t="s">
        <v>1879</v>
      </c>
      <c r="C5409">
        <v>134.1</v>
      </c>
      <c r="D5409">
        <v>145.76</v>
      </c>
      <c r="E5409">
        <v>145.77000000000001</v>
      </c>
      <c r="F5409">
        <v>-0.01</v>
      </c>
    </row>
    <row r="5410" spans="1:6" x14ac:dyDescent="0.3">
      <c r="A5410" t="str">
        <f>HYPERLINK("https://us2.cloudbeds.com/connect/10074733072513#/reservations/31722001571985?display=MXAZYWCHK&amp;reservation_id=31722001571985", "MXAZYWCHK")</f>
        <v>MXAZYWCHK</v>
      </c>
      <c r="B5410" t="s">
        <v>1773</v>
      </c>
      <c r="C5410">
        <v>268.2</v>
      </c>
      <c r="D5410">
        <v>291.52</v>
      </c>
      <c r="E5410">
        <v>291.52999999999997</v>
      </c>
      <c r="F5410">
        <v>-0.01</v>
      </c>
    </row>
    <row r="5411" spans="1:6" x14ac:dyDescent="0.3">
      <c r="A5411" t="str">
        <f>HYPERLINK("https://us2.cloudbeds.com/connect/10074733072513#/reservations/31711319044335?display=MX2FN69UH&amp;reservation_id=31711319044335", "MX2FN69UH")</f>
        <v>MX2FN69UH</v>
      </c>
      <c r="B5411" t="s">
        <v>1880</v>
      </c>
      <c r="C5411">
        <v>396.2</v>
      </c>
      <c r="D5411">
        <v>430.66</v>
      </c>
      <c r="E5411">
        <v>430.67</v>
      </c>
      <c r="F5411">
        <v>-0.01</v>
      </c>
    </row>
    <row r="5412" spans="1:6" x14ac:dyDescent="0.3">
      <c r="A5412" t="str">
        <f>HYPERLINK("https://us2.cloudbeds.com/connect/10074733072513#/reservations/31719512088818?display=MX8R1PRZP&amp;reservation_id=31719512088818", "MX8R1PRZP")</f>
        <v>MX8R1PRZP</v>
      </c>
      <c r="B5412" t="s">
        <v>1851</v>
      </c>
      <c r="C5412">
        <v>118.15</v>
      </c>
      <c r="D5412">
        <v>128.41999999999999</v>
      </c>
      <c r="E5412">
        <v>128.43</v>
      </c>
      <c r="F5412">
        <v>-0.01</v>
      </c>
    </row>
    <row r="5413" spans="1:6" x14ac:dyDescent="0.3">
      <c r="A5413" t="str">
        <f>HYPERLINK("https://us2.cloudbeds.com/connect/10074733072513#/reservations/31720819138780?display=MX9REUE9C&amp;reservation_id=31720819138780", "MX9REUE9C")</f>
        <v>MX9REUE9C</v>
      </c>
      <c r="B5413" t="s">
        <v>1849</v>
      </c>
      <c r="C5413">
        <v>196.2</v>
      </c>
      <c r="D5413">
        <v>213.26</v>
      </c>
      <c r="E5413">
        <v>213.27</v>
      </c>
      <c r="F5413">
        <v>-0.01</v>
      </c>
    </row>
    <row r="5414" spans="1:6" x14ac:dyDescent="0.3">
      <c r="A5414" t="str">
        <f>HYPERLINK("https://us2.cloudbeds.com/connect/10074733072513#/reservations/31720352804995?display=MX9FHN08X&amp;reservation_id=31720352804995", "MX9FHN08X")</f>
        <v>MX9FHN08X</v>
      </c>
      <c r="B5414" t="s">
        <v>1773</v>
      </c>
      <c r="C5414">
        <v>474.3</v>
      </c>
      <c r="D5414">
        <v>515.54999999999995</v>
      </c>
      <c r="E5414">
        <v>515.55999999999995</v>
      </c>
      <c r="F5414">
        <v>-0.01</v>
      </c>
    </row>
    <row r="5415" spans="1:6" x14ac:dyDescent="0.3">
      <c r="A5415" t="str">
        <f>HYPERLINK("https://us2.cloudbeds.com/connect/10074733072513#/reservations/31716907663537?display=MX6QGYSYX&amp;reservation_id=31716907663537", "MX6QGYSYX")</f>
        <v>MX6QGYSYX</v>
      </c>
      <c r="B5415" t="s">
        <v>1877</v>
      </c>
      <c r="C5415">
        <v>259.2</v>
      </c>
      <c r="D5415">
        <v>281.74</v>
      </c>
      <c r="E5415">
        <v>281.75</v>
      </c>
      <c r="F5415">
        <v>-0.01</v>
      </c>
    </row>
    <row r="5416" spans="1:6" x14ac:dyDescent="0.3">
      <c r="A5416" t="str">
        <f>HYPERLINK("https://us2.cloudbeds.com/connect/10074733072513#/reservations/31716635803831?display=MX6JXDW1Y&amp;reservation_id=31716635803831", "MX6JXDW1Y")</f>
        <v>MX6JXDW1Y</v>
      </c>
      <c r="B5416" t="s">
        <v>1879</v>
      </c>
      <c r="C5416">
        <v>240.74</v>
      </c>
      <c r="D5416">
        <v>261.67</v>
      </c>
      <c r="E5416">
        <v>261.68</v>
      </c>
      <c r="F5416">
        <v>-0.01</v>
      </c>
    </row>
    <row r="5417" spans="1:6" x14ac:dyDescent="0.3">
      <c r="A5417" t="str">
        <f>HYPERLINK("https://us2.cloudbeds.com/connect/10074733072513#/reservations/31716620595417?display=MX6J5JPXK&amp;reservation_id=31716620595417", "MX6J5JPXK")</f>
        <v>MX6J5JPXK</v>
      </c>
      <c r="B5417" t="s">
        <v>1879</v>
      </c>
      <c r="C5417">
        <v>240.74</v>
      </c>
      <c r="D5417">
        <v>261.67</v>
      </c>
      <c r="E5417">
        <v>261.68</v>
      </c>
      <c r="F5417">
        <v>-0.01</v>
      </c>
    </row>
    <row r="5418" spans="1:6" x14ac:dyDescent="0.3">
      <c r="A5418" t="str">
        <f>HYPERLINK("https://us2.cloudbeds.com/connect/10074733072513#/reservations/31723006509281?display=MXBHBC7VV&amp;reservation_id=31723006509281", "MXBHBC7VV")</f>
        <v>MXBHBC7VV</v>
      </c>
      <c r="B5418" t="s">
        <v>1885</v>
      </c>
      <c r="C5418">
        <v>174.4</v>
      </c>
      <c r="D5418">
        <v>189.56</v>
      </c>
      <c r="E5418">
        <v>189.57</v>
      </c>
      <c r="F5418">
        <v>-0.01</v>
      </c>
    </row>
    <row r="5419" spans="1:6" x14ac:dyDescent="0.3">
      <c r="A5419" t="str">
        <f>HYPERLINK("https://us2.cloudbeds.com/connect/10074733072513#/reservations/31721641701535?display=MXAFFHEWF&amp;reservation_id=31721641701535", "MXAFFHEWF")</f>
        <v>MXAFFHEWF</v>
      </c>
      <c r="B5419" t="s">
        <v>1866</v>
      </c>
      <c r="C5419">
        <v>134.1</v>
      </c>
      <c r="D5419">
        <v>145.76</v>
      </c>
      <c r="E5419">
        <v>145.77000000000001</v>
      </c>
      <c r="F5419">
        <v>-0.01</v>
      </c>
    </row>
    <row r="5420" spans="1:6" x14ac:dyDescent="0.3">
      <c r="A5420" t="str">
        <f>HYPERLINK("https://us2.cloudbeds.com/connect/10074733072513#/reservations/31722325176452?display=MXAWUS4WJ&amp;reservation_id=31722325176452", "MXAWUS4WJ")</f>
        <v>MXAWUS4WJ</v>
      </c>
      <c r="B5420" t="s">
        <v>1867</v>
      </c>
      <c r="C5420">
        <v>196.2</v>
      </c>
      <c r="D5420">
        <v>213.26</v>
      </c>
      <c r="E5420">
        <v>213.27</v>
      </c>
      <c r="F5420">
        <v>-0.01</v>
      </c>
    </row>
    <row r="5421" spans="1:6" x14ac:dyDescent="0.3">
      <c r="A5421" t="str">
        <f>HYPERLINK("https://us2.cloudbeds.com/connect/10074733072513#/reservations/31721688133858?display=MXAGYMGXX&amp;reservation_id=31721688133858", "MXAGYMGXX")</f>
        <v>MXAGYMGXX</v>
      </c>
      <c r="B5421" t="s">
        <v>1798</v>
      </c>
      <c r="C5421">
        <v>268.2</v>
      </c>
      <c r="D5421">
        <v>291.52</v>
      </c>
      <c r="E5421">
        <v>291.52999999999997</v>
      </c>
      <c r="F5421">
        <v>-0.01</v>
      </c>
    </row>
    <row r="5422" spans="1:6" x14ac:dyDescent="0.3">
      <c r="A5422" t="str">
        <f>HYPERLINK("https://us2.cloudbeds.com/connect/10074733072513#/reservations/31716368629985?display=MX6CZ4FBG&amp;reservation_id=31716368629985", "MX6CZ4FBG")</f>
        <v>MX6CZ4FBG</v>
      </c>
      <c r="B5422" t="s">
        <v>1882</v>
      </c>
      <c r="C5422">
        <v>268.2</v>
      </c>
      <c r="D5422">
        <v>291.52</v>
      </c>
      <c r="E5422">
        <v>291.52999999999997</v>
      </c>
      <c r="F5422">
        <v>-0.01</v>
      </c>
    </row>
    <row r="5423" spans="1:6" x14ac:dyDescent="0.3">
      <c r="A5423" t="str">
        <f>HYPERLINK("https://us2.cloudbeds.com/connect/10074733072513#/reservations/31720371904738?display=MX9G0QG1Y&amp;reservation_id=31720371904738", "MX9G0QG1Y")</f>
        <v>MX9G0QG1Y</v>
      </c>
      <c r="B5423" t="s">
        <v>1773</v>
      </c>
      <c r="C5423">
        <v>304.2</v>
      </c>
      <c r="D5423">
        <v>330.66</v>
      </c>
      <c r="E5423">
        <v>330.67</v>
      </c>
      <c r="F5423">
        <v>-0.01</v>
      </c>
    </row>
    <row r="5424" spans="1:6" x14ac:dyDescent="0.3">
      <c r="A5424" t="str">
        <f>HYPERLINK("https://us2.cloudbeds.com/connect/10074733072513#/reservations/31719522562266?display=MX8RAK97W&amp;reservation_id=31719522562266", "MX8RAK97W")</f>
        <v>MX8RAK97W</v>
      </c>
      <c r="B5424" t="s">
        <v>1851</v>
      </c>
      <c r="C5424">
        <v>250.2</v>
      </c>
      <c r="D5424">
        <v>271.95999999999998</v>
      </c>
      <c r="E5424">
        <v>271.97000000000003</v>
      </c>
      <c r="F5424">
        <v>-0.01</v>
      </c>
    </row>
    <row r="5425" spans="1:6" x14ac:dyDescent="0.3">
      <c r="A5425" t="str">
        <f>HYPERLINK("https://us2.cloudbeds.com/connect/10074733072513#/reservations/31716584849559?display=MX6X8F32Q&amp;reservation_id=31716584849559", "MX6X8F32Q")</f>
        <v>MX6X8F32Q</v>
      </c>
      <c r="B5425" t="s">
        <v>1887</v>
      </c>
      <c r="C5425">
        <v>134.1</v>
      </c>
      <c r="D5425">
        <v>145.76</v>
      </c>
      <c r="E5425">
        <v>145.77000000000001</v>
      </c>
      <c r="F5425">
        <v>-0.01</v>
      </c>
    </row>
    <row r="5426" spans="1:6" x14ac:dyDescent="0.3">
      <c r="A5426" t="str">
        <f>HYPERLINK("https://us2.cloudbeds.com/connect/10074733072513#/reservations/31718073163957?display=MX7N9EKW3&amp;reservation_id=31718073163957", "MX7N9EKW3")</f>
        <v>MX7N9EKW3</v>
      </c>
      <c r="B5426" t="s">
        <v>1862</v>
      </c>
      <c r="C5426">
        <v>170.1</v>
      </c>
      <c r="D5426">
        <v>184.89</v>
      </c>
      <c r="E5426">
        <v>184.9</v>
      </c>
      <c r="F5426">
        <v>-0.01</v>
      </c>
    </row>
    <row r="5427" spans="1:6" x14ac:dyDescent="0.3">
      <c r="A5427" t="str">
        <f>HYPERLINK("https://us2.cloudbeds.com/connect/10074733072513#/reservations/31720923312383?display=MX9U3P757&amp;reservation_id=31720923312383", "MX9U3P757")</f>
        <v>MX9U3P757</v>
      </c>
      <c r="B5427" t="s">
        <v>1840</v>
      </c>
      <c r="C5427">
        <v>182.36</v>
      </c>
      <c r="D5427">
        <v>198.22</v>
      </c>
      <c r="E5427">
        <v>198.23</v>
      </c>
      <c r="F5427">
        <v>-0.01</v>
      </c>
    </row>
    <row r="5428" spans="1:6" x14ac:dyDescent="0.3">
      <c r="A5428" t="str">
        <f>HYPERLINK("https://us2.cloudbeds.com/connect/10074733072513#/reservations/31718550253709?display=MX82FZBUA&amp;reservation_id=31718550253709", "MX82FZBUA")</f>
        <v>MX82FZBUA</v>
      </c>
      <c r="B5428" t="s">
        <v>1844</v>
      </c>
      <c r="C5428">
        <v>536.4</v>
      </c>
      <c r="D5428">
        <v>583.05999999999995</v>
      </c>
      <c r="E5428">
        <v>583.07000000000005</v>
      </c>
      <c r="F5428">
        <v>-0.01</v>
      </c>
    </row>
    <row r="5429" spans="1:6" x14ac:dyDescent="0.3">
      <c r="A5429" t="str">
        <f>HYPERLINK("https://us2.cloudbeds.com/connect/10074733072513#/reservations/31718584475794?display=MX83BJY56&amp;reservation_id=31718584475794", "MX83BJY56")</f>
        <v>MX83BJY56</v>
      </c>
      <c r="B5429" t="s">
        <v>1871</v>
      </c>
      <c r="C5429">
        <v>144.1</v>
      </c>
      <c r="D5429">
        <v>156.63</v>
      </c>
      <c r="E5429">
        <v>156.63999999999999</v>
      </c>
      <c r="F5429">
        <v>-0.01</v>
      </c>
    </row>
    <row r="5430" spans="1:6" x14ac:dyDescent="0.3">
      <c r="A5430" t="str">
        <f>HYPERLINK("https://us2.cloudbeds.com/connect/10074733072513#/reservations/31717178929314?display=MX70ED7SK&amp;reservation_id=31717178929314", "MX70ED7SK")</f>
        <v>MX70ED7SK</v>
      </c>
      <c r="B5430" t="s">
        <v>1865</v>
      </c>
      <c r="C5430">
        <v>87.2</v>
      </c>
      <c r="D5430">
        <v>94.78</v>
      </c>
      <c r="E5430">
        <v>94.79</v>
      </c>
      <c r="F5430">
        <v>-0.01</v>
      </c>
    </row>
    <row r="5431" spans="1:6" x14ac:dyDescent="0.3">
      <c r="A5431" t="str">
        <f>HYPERLINK("https://us2.cloudbeds.com/connect/10074733072513#/reservations/31722733871313?display=MXBACFMNB&amp;reservation_id=31722733871313", "MXBACFMNB")</f>
        <v>MXBACFMNB</v>
      </c>
      <c r="B5431" t="s">
        <v>1885</v>
      </c>
      <c r="C5431">
        <v>196.2</v>
      </c>
      <c r="D5431">
        <v>213.26</v>
      </c>
      <c r="E5431">
        <v>213.27</v>
      </c>
      <c r="F5431">
        <v>-0.01</v>
      </c>
    </row>
    <row r="5432" spans="1:6" x14ac:dyDescent="0.3">
      <c r="A5432" t="str">
        <f>HYPERLINK("https://us2.cloudbeds.com/connect/10074733072513#/reservations/31719070814411?display=MX8FPMZ31&amp;reservation_id=31719070814411", "MX8FPMZ31")</f>
        <v>MX8FPMZ31</v>
      </c>
      <c r="B5432" t="s">
        <v>1888</v>
      </c>
      <c r="C5432">
        <v>196.2</v>
      </c>
      <c r="D5432">
        <v>213.26</v>
      </c>
      <c r="E5432">
        <v>213.27</v>
      </c>
      <c r="F5432">
        <v>-0.01</v>
      </c>
    </row>
    <row r="5433" spans="1:6" x14ac:dyDescent="0.3">
      <c r="A5433" t="str">
        <f>HYPERLINK("https://us2.cloudbeds.com/connect/10074733072513#/reservations/31717257920673?display=MX72F09X5&amp;reservation_id=31717257920673", "MX72F09X5")</f>
        <v>MX72F09X5</v>
      </c>
      <c r="B5433" t="s">
        <v>1889</v>
      </c>
      <c r="C5433">
        <v>384.3</v>
      </c>
      <c r="D5433">
        <v>417.72</v>
      </c>
      <c r="E5433">
        <v>417.73</v>
      </c>
      <c r="F5433">
        <v>-0.01</v>
      </c>
    </row>
    <row r="5434" spans="1:6" x14ac:dyDescent="0.3">
      <c r="A5434" t="str">
        <f>HYPERLINK("https://us2.cloudbeds.com/connect/10074733072513#/reservations/31718661714154?display=MX85ANU3X&amp;reservation_id=31718661714154", "MX85ANU3X")</f>
        <v>MX85ANU3X</v>
      </c>
      <c r="B5434" t="s">
        <v>1768</v>
      </c>
      <c r="C5434">
        <v>430.2</v>
      </c>
      <c r="D5434">
        <v>467.62</v>
      </c>
      <c r="E5434">
        <v>467.63</v>
      </c>
      <c r="F5434">
        <v>-0.01</v>
      </c>
    </row>
    <row r="5435" spans="1:6" x14ac:dyDescent="0.3">
      <c r="A5435" t="str">
        <f>HYPERLINK("https://us2.cloudbeds.com/connect/10074733072513#/reservations/31715649839245?display=MX5RC11ZU&amp;reservation_id=31715649839245", "MX5RC11ZU")</f>
        <v>MX5RC11ZU</v>
      </c>
      <c r="B5435" t="s">
        <v>1844</v>
      </c>
      <c r="C5435">
        <v>250.2</v>
      </c>
      <c r="D5435">
        <v>271.95999999999998</v>
      </c>
      <c r="E5435">
        <v>271.97000000000003</v>
      </c>
      <c r="F5435">
        <v>-0.01</v>
      </c>
    </row>
    <row r="5436" spans="1:6" x14ac:dyDescent="0.3">
      <c r="A5436" t="str">
        <f>HYPERLINK("https://us2.cloudbeds.com/connect/10074733072513#/reservations/31719180804230?display=MX8XJEBRZ&amp;reservation_id=31719180804230", "MX8XJEBRZ")</f>
        <v>MX8XJEBRZ</v>
      </c>
      <c r="B5436" t="s">
        <v>1844</v>
      </c>
      <c r="C5436">
        <v>134.1</v>
      </c>
      <c r="D5436">
        <v>145.76</v>
      </c>
      <c r="E5436">
        <v>145.77000000000001</v>
      </c>
      <c r="F5436">
        <v>-0.01</v>
      </c>
    </row>
    <row r="5437" spans="1:6" x14ac:dyDescent="0.3">
      <c r="A5437" t="str">
        <f>HYPERLINK("https://us2.cloudbeds.com/connect/10074733072513#/reservations/31716601843959?display=MX6XMPWJK&amp;reservation_id=31716601843959", "MX6XMPWJK")</f>
        <v>MX6XMPWJK</v>
      </c>
      <c r="B5437" t="s">
        <v>1879</v>
      </c>
      <c r="C5437">
        <v>441.45</v>
      </c>
      <c r="D5437">
        <v>479.85</v>
      </c>
      <c r="E5437">
        <v>479.86</v>
      </c>
      <c r="F5437">
        <v>-0.01</v>
      </c>
    </row>
    <row r="5438" spans="1:6" x14ac:dyDescent="0.3">
      <c r="A5438" t="str">
        <f>HYPERLINK("https://us2.cloudbeds.com/connect/10074733072513#/reservations/31724813525148?display=MXCUH340H&amp;reservation_id=31724813525148", "MXCUH340H")</f>
        <v>MXCUH340H</v>
      </c>
      <c r="B5438" t="s">
        <v>1760</v>
      </c>
      <c r="C5438">
        <v>264.2</v>
      </c>
      <c r="D5438">
        <v>287.18</v>
      </c>
      <c r="E5438">
        <v>287.19</v>
      </c>
      <c r="F5438">
        <v>-0.01</v>
      </c>
    </row>
    <row r="5439" spans="1:6" x14ac:dyDescent="0.3">
      <c r="A5439" t="str">
        <f>HYPERLINK("https://us2.cloudbeds.com/connect/10074733072513#/reservations/31719013478590?display=MX8EAB93U&amp;reservation_id=31719013478590", "MX8EAB93U")</f>
        <v>MX8EAB93U</v>
      </c>
      <c r="B5439" t="s">
        <v>1877</v>
      </c>
      <c r="C5439">
        <v>87.2</v>
      </c>
      <c r="D5439">
        <v>94.78</v>
      </c>
      <c r="E5439">
        <v>94.79</v>
      </c>
      <c r="F5439">
        <v>-0.01</v>
      </c>
    </row>
    <row r="5440" spans="1:6" x14ac:dyDescent="0.3">
      <c r="A5440" t="str">
        <f>HYPERLINK("https://us2.cloudbeds.com/connect/10074733072513#/reservations/31722678173922?display=MXB8VGR8K&amp;reservation_id=31722678173922", "MXB8VGR8K")</f>
        <v>MXB8VGR8K</v>
      </c>
      <c r="B5440" t="s">
        <v>1888</v>
      </c>
      <c r="C5440">
        <v>87.2</v>
      </c>
      <c r="D5440">
        <v>94.78</v>
      </c>
      <c r="E5440">
        <v>94.79</v>
      </c>
      <c r="F5440">
        <v>-0.01</v>
      </c>
    </row>
    <row r="5441" spans="1:6" x14ac:dyDescent="0.3">
      <c r="A5441" t="str">
        <f>HYPERLINK("https://us2.cloudbeds.com/connect/10074733072513#/reservations/31716934070484?display=MX6R5UMF2&amp;reservation_id=31716934070484", "MX6R5UMF2")</f>
        <v>MX6R5UMF2</v>
      </c>
      <c r="B5441" t="s">
        <v>1850</v>
      </c>
      <c r="C5441">
        <v>558</v>
      </c>
      <c r="D5441">
        <v>606.54</v>
      </c>
      <c r="E5441">
        <v>606.54999999999995</v>
      </c>
      <c r="F5441">
        <v>-0.01</v>
      </c>
    </row>
    <row r="5442" spans="1:6" x14ac:dyDescent="0.3">
      <c r="A5442" t="str">
        <f>HYPERLINK("https://us2.cloudbeds.com/connect/10074733072513#/reservations/31721257672926?display=MXA5YN9KT&amp;reservation_id=31721257672926", "MXA5YN9KT")</f>
        <v>MXA5YN9KT</v>
      </c>
      <c r="B5442" t="s">
        <v>1840</v>
      </c>
      <c r="C5442">
        <v>134.1</v>
      </c>
      <c r="D5442">
        <v>145.76</v>
      </c>
      <c r="E5442">
        <v>145.77000000000001</v>
      </c>
      <c r="F5442">
        <v>-0.01</v>
      </c>
    </row>
    <row r="5443" spans="1:6" x14ac:dyDescent="0.3">
      <c r="A5443" t="str">
        <f>HYPERLINK("https://us2.cloudbeds.com/connect/10074733072513#/reservations/31715894292676?display=MX60K5ATY&amp;reservation_id=31715894292676", "MX60K5ATY")</f>
        <v>MX60K5ATY</v>
      </c>
      <c r="B5443" t="s">
        <v>1768</v>
      </c>
      <c r="C5443">
        <v>396.2</v>
      </c>
      <c r="D5443">
        <v>430.66</v>
      </c>
      <c r="E5443">
        <v>430.67</v>
      </c>
      <c r="F5443">
        <v>-0.01</v>
      </c>
    </row>
    <row r="5444" spans="1:6" x14ac:dyDescent="0.3">
      <c r="A5444" t="str">
        <f>HYPERLINK("https://us2.cloudbeds.com/connect/10074733072513#/reservations/31721712148674?display=MXAH8UZZ8&amp;reservation_id=31721712148674", "MXAH8UZZ8")</f>
        <v>MXAH8UZZ8</v>
      </c>
      <c r="B5444" t="s">
        <v>1874</v>
      </c>
      <c r="C5444">
        <v>294.3</v>
      </c>
      <c r="D5444">
        <v>319.89</v>
      </c>
      <c r="E5444">
        <v>319.89999999999998</v>
      </c>
      <c r="F5444">
        <v>-0.01</v>
      </c>
    </row>
    <row r="5445" spans="1:6" x14ac:dyDescent="0.3">
      <c r="A5445" t="str">
        <f>HYPERLINK("https://us2.cloudbeds.com/connect/10074733072513#/reservations/31719797305567?display=MX91B9DPX&amp;reservation_id=31719797305567", "MX91B9DPX")</f>
        <v>MX91B9DPX</v>
      </c>
      <c r="B5445" t="s">
        <v>1879</v>
      </c>
      <c r="C5445">
        <v>197.78</v>
      </c>
      <c r="D5445">
        <v>214.98</v>
      </c>
      <c r="E5445">
        <v>214.99</v>
      </c>
      <c r="F5445">
        <v>-0.01</v>
      </c>
    </row>
    <row r="5446" spans="1:6" x14ac:dyDescent="0.3">
      <c r="A5446" t="str">
        <f>HYPERLINK("https://us2.cloudbeds.com/connect/10074733072513#/reservations/31711862636794?display=MX2TJXXX6&amp;reservation_id=31711862636794", "MX2TJXXX6")</f>
        <v>MX2TJXXX6</v>
      </c>
      <c r="B5446" t="s">
        <v>1884</v>
      </c>
      <c r="C5446">
        <v>196.2</v>
      </c>
      <c r="D5446">
        <v>213.26</v>
      </c>
      <c r="E5446">
        <v>213.27</v>
      </c>
      <c r="F5446">
        <v>-0.01</v>
      </c>
    </row>
    <row r="5447" spans="1:6" x14ac:dyDescent="0.3">
      <c r="A5447" t="str">
        <f>HYPERLINK("https://us2.cloudbeds.com/connect/10074733072513#/reservations/31718017122556?display=MX7YS66KR&amp;reservation_id=31718017122556", "MX7YS66KR")</f>
        <v>MX7YS66KR</v>
      </c>
      <c r="B5447" t="s">
        <v>1875</v>
      </c>
      <c r="C5447">
        <v>134.1</v>
      </c>
      <c r="D5447">
        <v>145.76</v>
      </c>
      <c r="E5447">
        <v>145.77000000000001</v>
      </c>
      <c r="F5447">
        <v>-0.01</v>
      </c>
    </row>
    <row r="5448" spans="1:6" x14ac:dyDescent="0.3">
      <c r="A5448" t="str">
        <f>HYPERLINK("https://us2.cloudbeds.com/connect/10074733072513#/reservations/31719852863647?display=MX92P4D9Z&amp;reservation_id=31719852863647", "MX92P4D9Z")</f>
        <v>MX92P4D9Z</v>
      </c>
      <c r="B5448" t="s">
        <v>1874</v>
      </c>
      <c r="C5448">
        <v>103.2</v>
      </c>
      <c r="D5448">
        <v>112.17</v>
      </c>
      <c r="E5448">
        <v>112.18</v>
      </c>
      <c r="F5448">
        <v>-0.01</v>
      </c>
    </row>
    <row r="5449" spans="1:6" x14ac:dyDescent="0.3">
      <c r="A5449" t="str">
        <f>HYPERLINK("https://us2.cloudbeds.com/connect/10074733072513#/reservations/31720910971070?display=MX9TQBQF1&amp;reservation_id=31720910971070", "MX9TQBQF1")</f>
        <v>MX9TQBQF1</v>
      </c>
      <c r="B5449" t="s">
        <v>1898</v>
      </c>
      <c r="C5449">
        <v>134.1</v>
      </c>
      <c r="D5449">
        <v>145.76</v>
      </c>
      <c r="E5449">
        <v>145.77000000000001</v>
      </c>
      <c r="F5449">
        <v>-0.01</v>
      </c>
    </row>
    <row r="5450" spans="1:6" x14ac:dyDescent="0.3">
      <c r="A5450" t="str">
        <f>HYPERLINK("https://us2.cloudbeds.com/connect/10074733072513#/reservations/31715968426238?display=MX62GM6Q7&amp;reservation_id=31715968426238", "MX62GM6Q7")</f>
        <v>MX62GM6Q7</v>
      </c>
      <c r="B5450" t="s">
        <v>1887</v>
      </c>
      <c r="C5450">
        <v>268.2</v>
      </c>
      <c r="D5450">
        <v>291.52</v>
      </c>
      <c r="E5450">
        <v>291.52999999999997</v>
      </c>
      <c r="F5450">
        <v>-0.01</v>
      </c>
    </row>
    <row r="5451" spans="1:6" x14ac:dyDescent="0.3">
      <c r="A5451" t="str">
        <f>HYPERLINK("https://us2.cloudbeds.com/connect/10074733072513#/reservations/31719383879855?display=MX8NPM7RM&amp;reservation_id=31719383879855", "MX8NPM7RM")</f>
        <v>MX8NPM7RM</v>
      </c>
      <c r="B5451" t="s">
        <v>1887</v>
      </c>
      <c r="C5451">
        <v>234.84</v>
      </c>
      <c r="D5451">
        <v>255.26</v>
      </c>
      <c r="E5451">
        <v>255.27</v>
      </c>
      <c r="F5451">
        <v>-0.01</v>
      </c>
    </row>
    <row r="5452" spans="1:6" x14ac:dyDescent="0.3">
      <c r="A5452" t="str">
        <f>HYPERLINK("https://us2.cloudbeds.com/connect/10074733072513#/reservations/31716412682462?display=MX6DS99J1&amp;reservation_id=31716412682462", "MX6DS99J1")</f>
        <v>MX6DS99J1</v>
      </c>
      <c r="B5452" t="s">
        <v>1862</v>
      </c>
      <c r="C5452">
        <v>376.2</v>
      </c>
      <c r="D5452">
        <v>408.92</v>
      </c>
      <c r="E5452">
        <v>408.93</v>
      </c>
      <c r="F5452">
        <v>-0.01</v>
      </c>
    </row>
    <row r="5453" spans="1:6" x14ac:dyDescent="0.3">
      <c r="A5453" t="str">
        <f>HYPERLINK("https://us2.cloudbeds.com/connect/10074733072513#/reservations/31713846964355?display=MX4E9QD8G&amp;reservation_id=31713846964355", "MX4E9QD8G")</f>
        <v>MX4E9QD8G</v>
      </c>
      <c r="B5453" t="s">
        <v>1690</v>
      </c>
      <c r="C5453">
        <v>260.10000000000002</v>
      </c>
      <c r="D5453">
        <v>282.72000000000003</v>
      </c>
      <c r="E5453">
        <v>282.73</v>
      </c>
      <c r="F5453">
        <v>-0.01</v>
      </c>
    </row>
    <row r="5454" spans="1:6" x14ac:dyDescent="0.3">
      <c r="A5454" t="str">
        <f>HYPERLINK("https://us2.cloudbeds.com/connect/10074733072513#/reservations/31720404496520?display=MX9GS9D7D&amp;reservation_id=31720404496520", "MX9GS9D7D")</f>
        <v>MX9GS9D7D</v>
      </c>
      <c r="B5454" t="s">
        <v>1776</v>
      </c>
      <c r="C5454">
        <v>134.1</v>
      </c>
      <c r="D5454">
        <v>145.76</v>
      </c>
      <c r="E5454">
        <v>145.77000000000001</v>
      </c>
      <c r="F5454">
        <v>-0.01</v>
      </c>
    </row>
    <row r="5455" spans="1:6" x14ac:dyDescent="0.3">
      <c r="A5455" t="str">
        <f>HYPERLINK("https://us2.cloudbeds.com/connect/10074733072513#/reservations/31720961613982?display=MX9V320GZ&amp;reservation_id=31720961613982", "MX9V320GZ")</f>
        <v>MX9V320GZ</v>
      </c>
      <c r="B5455" t="s">
        <v>1898</v>
      </c>
      <c r="C5455">
        <v>294.3</v>
      </c>
      <c r="D5455">
        <v>319.89</v>
      </c>
      <c r="E5455">
        <v>319.89999999999998</v>
      </c>
      <c r="F5455">
        <v>-0.01</v>
      </c>
    </row>
    <row r="5456" spans="1:6" x14ac:dyDescent="0.3">
      <c r="A5456" t="str">
        <f>HYPERLINK("https://us2.cloudbeds.com/connect/10074733072513#/reservations/31717381443732?display=MX75K5GH5&amp;reservation_id=31717381443732", "MX75K5GH5")</f>
        <v>MX75K5GH5</v>
      </c>
      <c r="B5456" t="s">
        <v>1897</v>
      </c>
      <c r="C5456">
        <v>196.2</v>
      </c>
      <c r="D5456">
        <v>213.26</v>
      </c>
      <c r="E5456">
        <v>213.27</v>
      </c>
      <c r="F5456">
        <v>-0.01</v>
      </c>
    </row>
    <row r="5457" spans="1:6" x14ac:dyDescent="0.3">
      <c r="A5457" t="str">
        <f>HYPERLINK("https://us2.cloudbeds.com/connect/10074733072513#/reservations/31717412880613?display=MX76DM95S&amp;reservation_id=31717412880613", "MX76DM95S")</f>
        <v>MX76DM95S</v>
      </c>
      <c r="B5457" t="s">
        <v>1897</v>
      </c>
      <c r="C5457">
        <v>87.2</v>
      </c>
      <c r="D5457">
        <v>94.78</v>
      </c>
      <c r="E5457">
        <v>94.79</v>
      </c>
      <c r="F5457">
        <v>-0.01</v>
      </c>
    </row>
    <row r="5458" spans="1:6" x14ac:dyDescent="0.3">
      <c r="A5458" t="str">
        <f>HYPERLINK("https://us2.cloudbeds.com/connect/10074733072513#/reservations/31712890900679?display=MX3MSKH5V&amp;reservation_id=31712890900679", "MX3MSKH5V")</f>
        <v>MX3MSKH5V</v>
      </c>
      <c r="B5458" t="s">
        <v>1850</v>
      </c>
      <c r="C5458">
        <v>259.2</v>
      </c>
      <c r="D5458">
        <v>281.74</v>
      </c>
      <c r="E5458">
        <v>281.75</v>
      </c>
      <c r="F5458">
        <v>-0.01</v>
      </c>
    </row>
    <row r="5459" spans="1:6" x14ac:dyDescent="0.3">
      <c r="A5459" t="str">
        <f>HYPERLINK("https://us2.cloudbeds.com/connect/10074733072513#/reservations/31715662627021?display=MX5RMQTE9&amp;reservation_id=31715662627021", "MX5RMQTE9")</f>
        <v>MX5RMQTE9</v>
      </c>
      <c r="B5459" t="s">
        <v>1844</v>
      </c>
      <c r="C5459">
        <v>250.2</v>
      </c>
      <c r="D5459">
        <v>271.95999999999998</v>
      </c>
      <c r="E5459">
        <v>271.97000000000003</v>
      </c>
      <c r="F5459">
        <v>-0.01</v>
      </c>
    </row>
    <row r="5460" spans="1:6" x14ac:dyDescent="0.3">
      <c r="A5460" t="str">
        <f>HYPERLINK("https://us2.cloudbeds.com/connect/10074733072513#/reservations/31719739396323?display=MX8WSF07W&amp;reservation_id=31719739396323", "MX8WSF07W")</f>
        <v>MX8WSF07W</v>
      </c>
      <c r="B5460" t="s">
        <v>1884</v>
      </c>
      <c r="C5460">
        <v>196.2</v>
      </c>
      <c r="D5460">
        <v>213.26</v>
      </c>
      <c r="E5460">
        <v>213.27</v>
      </c>
      <c r="F5460">
        <v>-0.01</v>
      </c>
    </row>
    <row r="5461" spans="1:6" x14ac:dyDescent="0.3">
      <c r="A5461" t="str">
        <f>HYPERLINK("https://us2.cloudbeds.com/connect/10074733072513#/reservations/31717853687940?display=MX7HMCCUN&amp;reservation_id=31717853687940", "MX7HMCCUN")</f>
        <v>MX7HMCCUN</v>
      </c>
      <c r="B5461" t="s">
        <v>1902</v>
      </c>
      <c r="C5461">
        <v>304.2</v>
      </c>
      <c r="D5461">
        <v>330.66</v>
      </c>
      <c r="E5461">
        <v>330.67</v>
      </c>
      <c r="F5461">
        <v>-0.01</v>
      </c>
    </row>
    <row r="5462" spans="1:6" x14ac:dyDescent="0.3">
      <c r="A5462" t="str">
        <f>HYPERLINK("https://us2.cloudbeds.com/connect/10074733072513#/reservations/31718625939652?display=MX84DXEAZ&amp;reservation_id=31718625939652", "MX84DXEAZ")</f>
        <v>MX84DXEAZ</v>
      </c>
      <c r="B5462" t="s">
        <v>1768</v>
      </c>
      <c r="C5462">
        <v>154.24</v>
      </c>
      <c r="D5462">
        <v>167.65</v>
      </c>
      <c r="E5462">
        <v>167.66</v>
      </c>
      <c r="F5462">
        <v>-0.01</v>
      </c>
    </row>
    <row r="5463" spans="1:6" x14ac:dyDescent="0.3">
      <c r="A5463" t="str">
        <f>HYPERLINK("https://us2.cloudbeds.com/connect/10074733072513#/reservations/31717847732372?display=MX7HHBM2V&amp;reservation_id=31717847732372", "MX7HHBM2V")</f>
        <v>MX7HHBM2V</v>
      </c>
      <c r="B5463" t="s">
        <v>1902</v>
      </c>
      <c r="C5463">
        <v>304.2</v>
      </c>
      <c r="D5463">
        <v>330.66</v>
      </c>
      <c r="E5463">
        <v>330.67</v>
      </c>
      <c r="F5463">
        <v>-0.01</v>
      </c>
    </row>
    <row r="5464" spans="1:6" x14ac:dyDescent="0.3">
      <c r="A5464" t="str">
        <f>HYPERLINK("https://us2.cloudbeds.com/connect/10074733072513#/reservations/31715831177384?display=MX5VWV1Q1&amp;reservation_id=31715831177384", "MX5VWV1Q1")</f>
        <v>MX5VWV1Q1</v>
      </c>
      <c r="B5464" t="s">
        <v>1846</v>
      </c>
      <c r="C5464">
        <v>224.1</v>
      </c>
      <c r="D5464">
        <v>243.59</v>
      </c>
      <c r="E5464">
        <v>243.6</v>
      </c>
      <c r="F5464">
        <v>-0.01</v>
      </c>
    </row>
    <row r="5465" spans="1:6" x14ac:dyDescent="0.3">
      <c r="A5465" t="str">
        <f>HYPERLINK("https://us2.cloudbeds.com/connect/10074733072513#/reservations/31718694641878?display=MX865G5PC&amp;reservation_id=31718694641878", "MX865G5PC")</f>
        <v>MX865G5PC</v>
      </c>
      <c r="B5465" t="s">
        <v>1873</v>
      </c>
      <c r="C5465">
        <v>250.2</v>
      </c>
      <c r="D5465">
        <v>271.95999999999998</v>
      </c>
      <c r="E5465">
        <v>271.97000000000003</v>
      </c>
      <c r="F5465">
        <v>-0.01</v>
      </c>
    </row>
    <row r="5466" spans="1:6" x14ac:dyDescent="0.3">
      <c r="A5466" t="str">
        <f>HYPERLINK("https://us2.cloudbeds.com/connect/10074733072513#/reservations/31715685667027?display=MX5S980F9&amp;reservation_id=31715685667027", "MX5S980F9")</f>
        <v>MX5S980F9</v>
      </c>
      <c r="B5466" t="s">
        <v>1844</v>
      </c>
      <c r="C5466">
        <v>375.3</v>
      </c>
      <c r="D5466">
        <v>407.94</v>
      </c>
      <c r="E5466">
        <v>407.95</v>
      </c>
      <c r="F5466">
        <v>-0.01</v>
      </c>
    </row>
    <row r="5467" spans="1:6" x14ac:dyDescent="0.3">
      <c r="A5467" t="str">
        <f>HYPERLINK("https://us2.cloudbeds.com/connect/10074733072513#/reservations/31716761252043?display=MX6MP6ZRK&amp;reservation_id=31716761252043", "MX6MP6ZRK")</f>
        <v>MX6MP6ZRK</v>
      </c>
      <c r="B5467" t="s">
        <v>1743</v>
      </c>
      <c r="C5467">
        <v>196.2</v>
      </c>
      <c r="D5467">
        <v>213.26</v>
      </c>
      <c r="E5467">
        <v>213.27</v>
      </c>
      <c r="F5467">
        <v>-0.01</v>
      </c>
    </row>
    <row r="5468" spans="1:6" x14ac:dyDescent="0.3">
      <c r="A5468" t="str">
        <f>HYPERLINK("https://us2.cloudbeds.com/connect/10074733072513#/reservations/31717189304481?display=MX70N4V3K&amp;reservation_id=31717189304481", "MX70N4V3K")</f>
        <v>MX70N4V3K</v>
      </c>
      <c r="B5468" t="s">
        <v>1854</v>
      </c>
      <c r="C5468">
        <v>122.18</v>
      </c>
      <c r="D5468">
        <v>132.80000000000001</v>
      </c>
      <c r="E5468">
        <v>132.81</v>
      </c>
      <c r="F5468">
        <v>-0.01</v>
      </c>
    </row>
    <row r="5469" spans="1:6" x14ac:dyDescent="0.3">
      <c r="A5469" t="str">
        <f>HYPERLINK("https://us2.cloudbeds.com/connect/10074733072513#/reservations/31720674799795?display=MX9NP6WJZ&amp;reservation_id=31720674799795", "MX9NP6WJZ")</f>
        <v>MX9NP6WJZ</v>
      </c>
      <c r="B5469" t="s">
        <v>1876</v>
      </c>
      <c r="C5469">
        <v>87.2</v>
      </c>
      <c r="D5469">
        <v>94.78</v>
      </c>
      <c r="E5469">
        <v>94.79</v>
      </c>
      <c r="F5469">
        <v>-0.01</v>
      </c>
    </row>
    <row r="5470" spans="1:6" x14ac:dyDescent="0.3">
      <c r="A5470" t="str">
        <f>HYPERLINK("https://us2.cloudbeds.com/connect/10074733072513#/reservations/31717936804024?display=MX7JQF77U&amp;reservation_id=31717936804024", "MX7JQF77U")</f>
        <v>MX7JQF77U</v>
      </c>
      <c r="B5470" t="s">
        <v>1776</v>
      </c>
      <c r="C5470">
        <v>134.1</v>
      </c>
      <c r="D5470">
        <v>145.76</v>
      </c>
      <c r="E5470">
        <v>145.77000000000001</v>
      </c>
      <c r="F5470">
        <v>-0.01</v>
      </c>
    </row>
    <row r="5471" spans="1:6" x14ac:dyDescent="0.3">
      <c r="A5471" t="str">
        <f>HYPERLINK("https://us2.cloudbeds.com/connect/10074733072513#/reservations/31718753484937?display=MX87M3XQC&amp;reservation_id=31718753484937", "MX87M3XQC")</f>
        <v>MX87M3XQC</v>
      </c>
      <c r="B5471" t="s">
        <v>1873</v>
      </c>
      <c r="C5471">
        <v>122.18</v>
      </c>
      <c r="D5471">
        <v>132.80000000000001</v>
      </c>
      <c r="E5471">
        <v>132.81</v>
      </c>
      <c r="F5471">
        <v>-0.01</v>
      </c>
    </row>
    <row r="5472" spans="1:6" x14ac:dyDescent="0.3">
      <c r="A5472" t="str">
        <f>HYPERLINK("https://us2.cloudbeds.com/connect/10074733072513#/reservations/31717975953626?display=MX7KQFK9G&amp;reservation_id=31717975953626", "MX7KQFK9G")</f>
        <v>MX7KQFK9G</v>
      </c>
      <c r="B5472" t="s">
        <v>1776</v>
      </c>
      <c r="C5472">
        <v>208.6</v>
      </c>
      <c r="D5472">
        <v>226.74</v>
      </c>
      <c r="E5472">
        <v>226.75</v>
      </c>
      <c r="F5472">
        <v>-0.01</v>
      </c>
    </row>
    <row r="5473" spans="1:6" x14ac:dyDescent="0.3">
      <c r="A5473" t="str">
        <f>HYPERLINK("https://us2.cloudbeds.com/connect/10074733072513#/reservations/31720412553374?display=MX9H22JKG&amp;reservation_id=31720412553374", "MX9H22JKG")</f>
        <v>MX9H22JKG</v>
      </c>
      <c r="B5473" t="s">
        <v>1776</v>
      </c>
      <c r="C5473">
        <v>254.4</v>
      </c>
      <c r="D5473">
        <v>276.52</v>
      </c>
      <c r="E5473">
        <v>276.52999999999997</v>
      </c>
      <c r="F5473">
        <v>-0.01</v>
      </c>
    </row>
    <row r="5474" spans="1:6" x14ac:dyDescent="0.3">
      <c r="A5474" t="str">
        <f>HYPERLINK("https://us2.cloudbeds.com/connect/10074733072513#/reservations/31717005238406?display=MX6SWV12Z&amp;reservation_id=31717005238406", "MX6SWV12Z")</f>
        <v>MX6SWV12Z</v>
      </c>
      <c r="B5474" t="s">
        <v>1743</v>
      </c>
      <c r="C5474">
        <v>134.1</v>
      </c>
      <c r="D5474">
        <v>145.76</v>
      </c>
      <c r="E5474">
        <v>145.77000000000001</v>
      </c>
      <c r="F5474">
        <v>-0.01</v>
      </c>
    </row>
    <row r="5475" spans="1:6" x14ac:dyDescent="0.3">
      <c r="A5475" t="str">
        <f>HYPERLINK("https://us2.cloudbeds.com/connect/10074733072513#/reservations/31713009856684?display=MX3PTUYBC&amp;reservation_id=31713009856684", "MX3PTUYBC")</f>
        <v>MX3PTUYBC</v>
      </c>
      <c r="B5475" t="s">
        <v>1711</v>
      </c>
      <c r="C5475">
        <v>224.1</v>
      </c>
      <c r="D5475">
        <v>243.59</v>
      </c>
      <c r="E5475">
        <v>243.6</v>
      </c>
      <c r="F5475">
        <v>-0.01</v>
      </c>
    </row>
    <row r="5476" spans="1:6" x14ac:dyDescent="0.3">
      <c r="A5476" t="str">
        <f>HYPERLINK("https://us2.cloudbeds.com/connect/10074733072513#/reservations/31721213026504?display=MXA4H1V00&amp;reservation_id=31721213026504", "MXA4H1V00")</f>
        <v>MXA4H1V00</v>
      </c>
      <c r="B5476" t="s">
        <v>1863</v>
      </c>
      <c r="C5476">
        <v>285.60000000000002</v>
      </c>
      <c r="D5476">
        <v>310.44</v>
      </c>
      <c r="E5476">
        <v>310.45</v>
      </c>
      <c r="F5476">
        <v>-0.01</v>
      </c>
    </row>
    <row r="5477" spans="1:6" x14ac:dyDescent="0.3">
      <c r="A5477" t="str">
        <f>HYPERLINK("https://us2.cloudbeds.com/connect/10074733072513#/reservations/31713021743317?display=MX3Q6VDHC&amp;reservation_id=31713021743317", "MX3Q6VDHC")</f>
        <v>MX3Q6VDHC</v>
      </c>
      <c r="B5477" t="s">
        <v>1711</v>
      </c>
      <c r="C5477">
        <v>224.1</v>
      </c>
      <c r="D5477">
        <v>243.59</v>
      </c>
      <c r="E5477">
        <v>243.6</v>
      </c>
      <c r="F5477">
        <v>-0.01</v>
      </c>
    </row>
    <row r="5478" spans="1:6" x14ac:dyDescent="0.3">
      <c r="A5478" t="str">
        <f>HYPERLINK("https://us2.cloudbeds.com/connect/10074733072513#/reservations/31713014694143?display=MX3Q108F1&amp;reservation_id=31713014694143", "MX3Q108F1")</f>
        <v>MX3Q108F1</v>
      </c>
      <c r="B5478" t="s">
        <v>1711</v>
      </c>
      <c r="C5478">
        <v>224.1</v>
      </c>
      <c r="D5478">
        <v>243.59</v>
      </c>
      <c r="E5478">
        <v>243.6</v>
      </c>
      <c r="F5478">
        <v>-0.01</v>
      </c>
    </row>
    <row r="5479" spans="1:6" x14ac:dyDescent="0.3">
      <c r="A5479" t="str">
        <f>HYPERLINK("https://us2.cloudbeds.com/connect/10074733072513#/reservations/31719327830203?display=MX8MBDXUC&amp;reservation_id=31719327830203", "MX8MBDXUC")</f>
        <v>MX8MBDXUC</v>
      </c>
      <c r="B5479" t="s">
        <v>1850</v>
      </c>
      <c r="C5479">
        <v>208.6</v>
      </c>
      <c r="D5479">
        <v>226.74</v>
      </c>
      <c r="E5479">
        <v>226.75</v>
      </c>
      <c r="F5479">
        <v>-0.01</v>
      </c>
    </row>
    <row r="5480" spans="1:6" x14ac:dyDescent="0.3">
      <c r="A5480" t="str">
        <f>HYPERLINK("https://us2.cloudbeds.com/connect/10074733072513#/reservations/31712704225439?display=MX3X3707G&amp;reservation_id=31712704225439", "MX3X3707G")</f>
        <v>MX3X3707G</v>
      </c>
      <c r="B5480" t="s">
        <v>1781</v>
      </c>
      <c r="C5480">
        <v>167.2</v>
      </c>
      <c r="D5480">
        <v>181.74</v>
      </c>
      <c r="E5480">
        <v>181.75</v>
      </c>
      <c r="F5480">
        <v>-0.01</v>
      </c>
    </row>
    <row r="5481" spans="1:6" x14ac:dyDescent="0.3">
      <c r="A5481" t="str">
        <f>HYPERLINK("https://us2.cloudbeds.com/connect/10074733072513#/reservations/31719039115518?display=MX8EVVYRH&amp;reservation_id=31719039115518", "MX8EVVYRH")</f>
        <v>MX8EVVYRH</v>
      </c>
      <c r="B5481" t="s">
        <v>1891</v>
      </c>
      <c r="C5481">
        <v>285.60000000000002</v>
      </c>
      <c r="D5481">
        <v>310.44</v>
      </c>
      <c r="E5481">
        <v>310.45</v>
      </c>
      <c r="F5481">
        <v>-0.01</v>
      </c>
    </row>
    <row r="5482" spans="1:6" x14ac:dyDescent="0.3">
      <c r="A5482" t="str">
        <f>HYPERLINK("https://us2.cloudbeds.com/connect/10074733072513#/reservations/31716804825293?display=MX6NSV804&amp;reservation_id=31716804825293", "MX6NSV804")</f>
        <v>MX6NSV804</v>
      </c>
      <c r="B5482" t="s">
        <v>1743</v>
      </c>
      <c r="C5482">
        <v>134.1</v>
      </c>
      <c r="D5482">
        <v>145.76</v>
      </c>
      <c r="E5482">
        <v>145.77000000000001</v>
      </c>
      <c r="F5482">
        <v>-0.01</v>
      </c>
    </row>
    <row r="5483" spans="1:6" x14ac:dyDescent="0.3">
      <c r="A5483" t="str">
        <f>HYPERLINK("https://us2.cloudbeds.com/connect/10074733072513#/reservations/31720156463273?display=MX9AH4GRD&amp;reservation_id=31720156463273", "MX9AH4GRD")</f>
        <v>MX9AH4GRD</v>
      </c>
      <c r="B5483" t="s">
        <v>1863</v>
      </c>
      <c r="C5483">
        <v>134.1</v>
      </c>
      <c r="D5483">
        <v>145.76</v>
      </c>
      <c r="E5483">
        <v>145.77000000000001</v>
      </c>
      <c r="F5483">
        <v>-0.01</v>
      </c>
    </row>
    <row r="5484" spans="1:6" x14ac:dyDescent="0.3">
      <c r="A5484" t="str">
        <f>HYPERLINK("https://us2.cloudbeds.com/connect/10074733072513#/reservations/31717749158110?display=MX7F07MV3&amp;reservation_id=31717749158110", "MX7F07MV3")</f>
        <v>MX7F07MV3</v>
      </c>
      <c r="B5484" t="s">
        <v>1911</v>
      </c>
      <c r="C5484">
        <v>500.4</v>
      </c>
      <c r="D5484">
        <v>543.91999999999996</v>
      </c>
      <c r="E5484">
        <v>543.92999999999995</v>
      </c>
      <c r="F5484">
        <v>-0.01</v>
      </c>
    </row>
    <row r="5485" spans="1:6" x14ac:dyDescent="0.3">
      <c r="A5485" t="str">
        <f>HYPERLINK("https://us2.cloudbeds.com/connect/10074733072513#/reservations/31717796483307?display=MX7G74JDW&amp;reservation_id=31717796483307", "MX7G74JDW")</f>
        <v>MX7G74JDW</v>
      </c>
      <c r="B5485" t="s">
        <v>1863</v>
      </c>
      <c r="C5485">
        <v>196.2</v>
      </c>
      <c r="D5485">
        <v>213.26</v>
      </c>
      <c r="E5485">
        <v>213.27</v>
      </c>
      <c r="F5485">
        <v>-0.01</v>
      </c>
    </row>
    <row r="5486" spans="1:6" x14ac:dyDescent="0.3">
      <c r="A5486" t="str">
        <f>HYPERLINK("https://us2.cloudbeds.com/connect/10074733072513#/reservations/31720095785179?display=MX98VW1Z9&amp;reservation_id=31720095785179", "MX98VW1Z9")</f>
        <v>MX98VW1Z9</v>
      </c>
      <c r="B5486" t="s">
        <v>1863</v>
      </c>
      <c r="C5486">
        <v>89.38</v>
      </c>
      <c r="D5486">
        <v>97.15</v>
      </c>
      <c r="E5486">
        <v>97.16</v>
      </c>
      <c r="F5486">
        <v>-0.01</v>
      </c>
    </row>
    <row r="5487" spans="1:6" x14ac:dyDescent="0.3">
      <c r="A5487" t="str">
        <f>HYPERLINK("https://us2.cloudbeds.com/connect/10074733072513#/reservations/31716021092536?display=MX63S2NSY&amp;reservation_id=31716021092536", "MX63S2NSY")</f>
        <v>MX63S2NSY</v>
      </c>
      <c r="B5487" t="s">
        <v>1887</v>
      </c>
      <c r="C5487">
        <v>212.54</v>
      </c>
      <c r="D5487">
        <v>231.02</v>
      </c>
      <c r="E5487">
        <v>231.03</v>
      </c>
      <c r="F5487">
        <v>-0.01</v>
      </c>
    </row>
    <row r="5488" spans="1:6" x14ac:dyDescent="0.3">
      <c r="A5488" t="str">
        <f>HYPERLINK("https://us2.cloudbeds.com/connect/10074733072513#/reservations/31717695471790?display=MX7DKVQ6U&amp;reservation_id=31717695471790", "MX7DKVQ6U")</f>
        <v>MX7DKVQ6U</v>
      </c>
      <c r="B5488" t="s">
        <v>1854</v>
      </c>
      <c r="C5488">
        <v>122.18</v>
      </c>
      <c r="D5488">
        <v>132.80000000000001</v>
      </c>
      <c r="E5488">
        <v>132.81</v>
      </c>
      <c r="F5488">
        <v>-0.01</v>
      </c>
    </row>
    <row r="5489" spans="1:6" x14ac:dyDescent="0.3">
      <c r="A5489" t="str">
        <f>HYPERLINK("https://us2.cloudbeds.com/connect/10074733072513#/reservations/31716044214401?display=MX64EJ427&amp;reservation_id=31716044214401", "MX64EJ427")</f>
        <v>MX64EJ427</v>
      </c>
      <c r="B5489" t="s">
        <v>1887</v>
      </c>
      <c r="C5489">
        <v>250.2</v>
      </c>
      <c r="D5489">
        <v>271.95999999999998</v>
      </c>
      <c r="E5489">
        <v>271.97000000000003</v>
      </c>
      <c r="F5489">
        <v>-0.01</v>
      </c>
    </row>
    <row r="5490" spans="1:6" x14ac:dyDescent="0.3">
      <c r="A5490" t="str">
        <f>HYPERLINK("https://us2.cloudbeds.com/connect/10074733072513#/reservations/31716080181393?display=MX65BTVK2&amp;reservation_id=31716080181393", "MX65BTVK2")</f>
        <v>MX65BTVK2</v>
      </c>
      <c r="B5490" t="s">
        <v>1729</v>
      </c>
      <c r="C5490">
        <v>134.1</v>
      </c>
      <c r="D5490">
        <v>145.76</v>
      </c>
      <c r="E5490">
        <v>145.77000000000001</v>
      </c>
      <c r="F5490">
        <v>-0.01</v>
      </c>
    </row>
    <row r="5491" spans="1:6" x14ac:dyDescent="0.3">
      <c r="A5491" t="str">
        <f>HYPERLINK("https://us2.cloudbeds.com/connect/10074733072513#/reservations/31719590768797?display=MX8T247GX&amp;reservation_id=31719590768797", "MX8T247GX")</f>
        <v>MX8T247GX</v>
      </c>
      <c r="B5491" t="s">
        <v>1779</v>
      </c>
      <c r="C5491">
        <v>196.2</v>
      </c>
      <c r="D5491">
        <v>213.26</v>
      </c>
      <c r="E5491">
        <v>213.27</v>
      </c>
      <c r="F5491">
        <v>-0.01</v>
      </c>
    </row>
    <row r="5492" spans="1:6" x14ac:dyDescent="0.3">
      <c r="A5492" t="str">
        <f>HYPERLINK("https://us2.cloudbeds.com/connect/10074733072513#/reservations/31712898777250?display=MX3N28N0U&amp;reservation_id=31712898777250", "MX3N28N0U")</f>
        <v>MX3N28N0U</v>
      </c>
      <c r="B5492" t="s">
        <v>1850</v>
      </c>
      <c r="C5492">
        <v>134.1</v>
      </c>
      <c r="D5492">
        <v>145.76</v>
      </c>
      <c r="E5492">
        <v>145.77000000000001</v>
      </c>
      <c r="F5492">
        <v>-0.01</v>
      </c>
    </row>
    <row r="5493" spans="1:6" x14ac:dyDescent="0.3">
      <c r="A5493" t="str">
        <f>HYPERLINK("https://us2.cloudbeds.com/connect/10074733072513#/reservations/31718425202890?display=MX7W99Y1X&amp;reservation_id=31718425202890", "MX7W99Y1X")</f>
        <v>MX7W99Y1X</v>
      </c>
      <c r="B5493" t="s">
        <v>1918</v>
      </c>
      <c r="C5493">
        <v>250.2</v>
      </c>
      <c r="D5493">
        <v>271.95999999999998</v>
      </c>
      <c r="E5493">
        <v>271.97000000000003</v>
      </c>
      <c r="F5493">
        <v>-0.01</v>
      </c>
    </row>
    <row r="5494" spans="1:6" x14ac:dyDescent="0.3">
      <c r="A5494" t="str">
        <f>HYPERLINK("https://us2.cloudbeds.com/connect/10074733072513#/reservations/31719349600480?display=MX8MTPBWZ&amp;reservation_id=31719349600480", "MX8MTPBWZ")</f>
        <v>MX8MTPBWZ</v>
      </c>
      <c r="B5494" t="s">
        <v>1850</v>
      </c>
      <c r="C5494">
        <v>134.1</v>
      </c>
      <c r="D5494">
        <v>145.76</v>
      </c>
      <c r="E5494">
        <v>145.77000000000001</v>
      </c>
      <c r="F5494">
        <v>-0.01</v>
      </c>
    </row>
    <row r="5495" spans="1:6" x14ac:dyDescent="0.3">
      <c r="A5495" t="str">
        <f>HYPERLINK("https://us2.cloudbeds.com/connect/10074733072513#/reservations/31717497082104?display=MX78XMA68&amp;reservation_id=31717497082104", "MX78XMA68")</f>
        <v>MX78XMA68</v>
      </c>
      <c r="B5495" t="s">
        <v>1779</v>
      </c>
      <c r="C5495">
        <v>174.4</v>
      </c>
      <c r="D5495">
        <v>189.56</v>
      </c>
      <c r="E5495">
        <v>189.57</v>
      </c>
      <c r="F5495">
        <v>-0.01</v>
      </c>
    </row>
    <row r="5496" spans="1:6" x14ac:dyDescent="0.3">
      <c r="A5496" t="str">
        <f>HYPERLINK("https://us2.cloudbeds.com/connect/10074733072513#/reservations/31714590994589?display=MX50A64K7&amp;reservation_id=31714590994589", "MX50A64K7")</f>
        <v>MX50A64K7</v>
      </c>
      <c r="B5496" t="s">
        <v>1862</v>
      </c>
      <c r="C5496">
        <v>170.1</v>
      </c>
      <c r="D5496">
        <v>184.89</v>
      </c>
      <c r="E5496">
        <v>184.9</v>
      </c>
      <c r="F5496">
        <v>-0.01</v>
      </c>
    </row>
    <row r="5497" spans="1:6" x14ac:dyDescent="0.3">
      <c r="A5497" t="str">
        <f>HYPERLINK("https://us2.cloudbeds.com/connect/10074733072513#/reservations/31716498739367?display=MX6G1RVC1&amp;reservation_id=31716498739367", "MX6G1RVC1")</f>
        <v>MX6G1RVC1</v>
      </c>
      <c r="B5497" t="s">
        <v>1922</v>
      </c>
      <c r="C5497">
        <v>294.3</v>
      </c>
      <c r="D5497">
        <v>319.89</v>
      </c>
      <c r="E5497">
        <v>319.89999999999998</v>
      </c>
      <c r="F5497">
        <v>-0.01</v>
      </c>
    </row>
    <row r="5498" spans="1:6" x14ac:dyDescent="0.3">
      <c r="A5498" t="str">
        <f>HYPERLINK("https://us2.cloudbeds.com/connect/10074733072513#/reservations/31714271035645?display=MX4P4CQZY&amp;reservation_id=31714271035645", "MX4P4CQZY")</f>
        <v>MX4P4CQZY</v>
      </c>
      <c r="B5498" t="s">
        <v>1661</v>
      </c>
      <c r="C5498">
        <v>412.2</v>
      </c>
      <c r="D5498">
        <v>448.05</v>
      </c>
      <c r="E5498">
        <v>448.06</v>
      </c>
      <c r="F5498">
        <v>-0.01</v>
      </c>
    </row>
    <row r="5499" spans="1:6" x14ac:dyDescent="0.3">
      <c r="A5499" t="str">
        <f>HYPERLINK("https://us2.cloudbeds.com/connect/10074733072513#/reservations/31719450153153?display=MX8PFXCSE&amp;reservation_id=31719450153153", "MX8PFXCSE")</f>
        <v>MX8PFXCSE</v>
      </c>
      <c r="B5499" t="s">
        <v>1921</v>
      </c>
      <c r="C5499">
        <v>174.4</v>
      </c>
      <c r="D5499">
        <v>189.56</v>
      </c>
      <c r="E5499">
        <v>189.57</v>
      </c>
      <c r="F5499">
        <v>-0.01</v>
      </c>
    </row>
    <row r="5500" spans="1:6" x14ac:dyDescent="0.3">
      <c r="A5500" t="str">
        <f>HYPERLINK("https://us2.cloudbeds.com/connect/10074733072513#/reservations/31713247154377?display=MX3VW0QXX&amp;reservation_id=31713247154377", "MX3VW0QXX")</f>
        <v>MX3VW0QXX</v>
      </c>
      <c r="B5500" t="s">
        <v>1711</v>
      </c>
      <c r="C5500">
        <v>448.2</v>
      </c>
      <c r="D5500">
        <v>487.18</v>
      </c>
      <c r="E5500">
        <v>487.19</v>
      </c>
      <c r="F5500">
        <v>-0.01</v>
      </c>
    </row>
    <row r="5501" spans="1:6" x14ac:dyDescent="0.3">
      <c r="A5501" t="str">
        <f>HYPERLINK("https://us2.cloudbeds.com/connect/10074733072513#/reservations/31715198017699?display=MX5FR1EUU&amp;reservation_id=31715198017699", "MX5FR1EUU")</f>
        <v>MX5FR1EUU</v>
      </c>
      <c r="B5501" t="s">
        <v>1925</v>
      </c>
      <c r="C5501">
        <v>334.4</v>
      </c>
      <c r="D5501">
        <v>363.48</v>
      </c>
      <c r="E5501">
        <v>363.49</v>
      </c>
      <c r="F5501">
        <v>-0.01</v>
      </c>
    </row>
    <row r="5502" spans="1:6" x14ac:dyDescent="0.3">
      <c r="A5502" t="str">
        <f>HYPERLINK("https://us2.cloudbeds.com/connect/10074733072513#/reservations/31717679214723?display=MX7D78DPH&amp;reservation_id=31717679214723", "MX7D78DPH")</f>
        <v>MX7D78DPH</v>
      </c>
      <c r="B5502" t="s">
        <v>1854</v>
      </c>
      <c r="C5502">
        <v>170.1</v>
      </c>
      <c r="D5502">
        <v>184.89</v>
      </c>
      <c r="E5502">
        <v>184.9</v>
      </c>
      <c r="F5502">
        <v>-0.01</v>
      </c>
    </row>
    <row r="5503" spans="1:6" x14ac:dyDescent="0.3">
      <c r="A5503" t="str">
        <f>HYPERLINK("https://us2.cloudbeds.com/connect/10074733072513#/reservations/31718925111547?display=MX8C1RAWN&amp;reservation_id=31718925111547", "MX8C1RAWN")</f>
        <v>MX8C1RAWN</v>
      </c>
      <c r="B5503" t="s">
        <v>1915</v>
      </c>
      <c r="C5503">
        <v>196.2</v>
      </c>
      <c r="D5503">
        <v>213.26</v>
      </c>
      <c r="E5503">
        <v>213.27</v>
      </c>
      <c r="F5503">
        <v>-0.01</v>
      </c>
    </row>
    <row r="5504" spans="1:6" x14ac:dyDescent="0.3">
      <c r="A5504" t="str">
        <f>HYPERLINK("https://us2.cloudbeds.com/connect/10074733072513#/reservations/31718284554393?display=MX7SMMT7T&amp;reservation_id=31718284554393", "MX7SMMT7T")</f>
        <v>MX7SMMT7T</v>
      </c>
      <c r="B5504" t="s">
        <v>1918</v>
      </c>
      <c r="C5504">
        <v>174.4</v>
      </c>
      <c r="D5504">
        <v>189.56</v>
      </c>
      <c r="E5504">
        <v>189.57</v>
      </c>
      <c r="F5504">
        <v>-0.01</v>
      </c>
    </row>
    <row r="5505" spans="1:6" x14ac:dyDescent="0.3">
      <c r="A5505" t="str">
        <f>HYPERLINK("https://us2.cloudbeds.com/connect/10074733072513#/reservations/31718309114066?display=MX7TAD9ZD&amp;reservation_id=31718309114066", "MX7TAD9ZD")</f>
        <v>MX7TAD9ZD</v>
      </c>
      <c r="B5505" t="s">
        <v>1918</v>
      </c>
      <c r="C5505">
        <v>196.2</v>
      </c>
      <c r="D5505">
        <v>213.26</v>
      </c>
      <c r="E5505">
        <v>213.27</v>
      </c>
      <c r="F5505">
        <v>-0.01</v>
      </c>
    </row>
    <row r="5506" spans="1:6" x14ac:dyDescent="0.3">
      <c r="A5506" t="str">
        <f>HYPERLINK("https://us2.cloudbeds.com/connect/10074733072513#/reservations/31718441865419?display=MX7WNB9QD&amp;reservation_id=31718441865419", "MX7WNB9QD")</f>
        <v>MX7WNB9QD</v>
      </c>
      <c r="B5506" t="s">
        <v>1891</v>
      </c>
      <c r="C5506">
        <v>134.1</v>
      </c>
      <c r="D5506">
        <v>145.76</v>
      </c>
      <c r="E5506">
        <v>145.77000000000001</v>
      </c>
      <c r="F5506">
        <v>-0.01</v>
      </c>
    </row>
    <row r="5507" spans="1:6" x14ac:dyDescent="0.3">
      <c r="A5507" t="str">
        <f>HYPERLINK("https://us2.cloudbeds.com/connect/10074733072513#/reservations/31718319145207?display=MX7TXSE2C&amp;reservation_id=31718319145207", "MX7TXSE2C")</f>
        <v>MX7TXSE2C</v>
      </c>
      <c r="B5507" t="s">
        <v>1666</v>
      </c>
      <c r="C5507">
        <v>250.2</v>
      </c>
      <c r="D5507">
        <v>271.95999999999998</v>
      </c>
      <c r="E5507">
        <v>271.97000000000003</v>
      </c>
      <c r="F5507">
        <v>-0.01</v>
      </c>
    </row>
    <row r="5508" spans="1:6" x14ac:dyDescent="0.3">
      <c r="A5508" t="str">
        <f>HYPERLINK("https://us2.cloudbeds.com/connect/10074733072513#/reservations/31719393849544?display=MX8Z12YZF&amp;reservation_id=31719393849544", "MX8Z12YZF")</f>
        <v>MX8Z12YZF</v>
      </c>
      <c r="B5508" t="s">
        <v>1887</v>
      </c>
      <c r="C5508">
        <v>259.2</v>
      </c>
      <c r="D5508">
        <v>281.74</v>
      </c>
      <c r="E5508">
        <v>281.75</v>
      </c>
      <c r="F5508">
        <v>-0.01</v>
      </c>
    </row>
    <row r="5509" spans="1:6" x14ac:dyDescent="0.3">
      <c r="A5509" t="str">
        <f>HYPERLINK("https://us2.cloudbeds.com/connect/10074733072513#/reservations/31716652941448?display=MX6JWSS2C&amp;reservation_id=31716652941448", "MX6JWSS2C")</f>
        <v>MX6JWSS2C</v>
      </c>
      <c r="B5509" t="s">
        <v>1913</v>
      </c>
      <c r="C5509">
        <v>196.2</v>
      </c>
      <c r="D5509">
        <v>213.26</v>
      </c>
      <c r="E5509">
        <v>213.27</v>
      </c>
      <c r="F5509">
        <v>-0.01</v>
      </c>
    </row>
    <row r="5510" spans="1:6" x14ac:dyDescent="0.3">
      <c r="A5510" t="str">
        <f>HYPERLINK("https://us2.cloudbeds.com/connect/10074733072513#/reservations/31715726258366?display=MX5TAFHDS&amp;reservation_id=31715726258366", "MX5TAFHDS")</f>
        <v>MX5TAFHDS</v>
      </c>
      <c r="B5510" t="s">
        <v>1846</v>
      </c>
      <c r="C5510">
        <v>474.3</v>
      </c>
      <c r="D5510">
        <v>515.54999999999995</v>
      </c>
      <c r="E5510">
        <v>515.55999999999995</v>
      </c>
      <c r="F5510">
        <v>-0.01</v>
      </c>
    </row>
    <row r="5511" spans="1:6" x14ac:dyDescent="0.3">
      <c r="A5511" t="str">
        <f>HYPERLINK("https://us2.cloudbeds.com/connect/10074733072513#/reservations/31716557144296?display=MX6HX352C&amp;reservation_id=31716557144296", "MX6HX352C")</f>
        <v>MX6HX352C</v>
      </c>
      <c r="B5511" t="s">
        <v>1887</v>
      </c>
      <c r="C5511">
        <v>259.2</v>
      </c>
      <c r="D5511">
        <v>281.74</v>
      </c>
      <c r="E5511">
        <v>281.75</v>
      </c>
      <c r="F5511">
        <v>-0.01</v>
      </c>
    </row>
    <row r="5512" spans="1:6" x14ac:dyDescent="0.3">
      <c r="A5512" t="str">
        <f>HYPERLINK("https://us2.cloudbeds.com/connect/10074733072513#/reservations/31716662018274?display=MX6K7HE2N&amp;reservation_id=31716662018274", "MX6K7HE2N")</f>
        <v>MX6K7HE2N</v>
      </c>
      <c r="B5512" t="s">
        <v>1913</v>
      </c>
      <c r="C5512">
        <v>103.2</v>
      </c>
      <c r="D5512">
        <v>112.17</v>
      </c>
      <c r="E5512">
        <v>112.18</v>
      </c>
      <c r="F5512">
        <v>-0.01</v>
      </c>
    </row>
    <row r="5513" spans="1:6" x14ac:dyDescent="0.3">
      <c r="A5513" t="str">
        <f>HYPERLINK("https://us2.cloudbeds.com/connect/10074733072513#/reservations/31718913228970?display=MX8BZQMHY&amp;reservation_id=31718913228970", "MX8BZQMHY")</f>
        <v>MX8BZQMHY</v>
      </c>
      <c r="B5513" t="s">
        <v>1915</v>
      </c>
      <c r="C5513">
        <v>134.1</v>
      </c>
      <c r="D5513">
        <v>145.76</v>
      </c>
      <c r="E5513">
        <v>145.77000000000001</v>
      </c>
      <c r="F5513">
        <v>-0.01</v>
      </c>
    </row>
    <row r="5514" spans="1:6" x14ac:dyDescent="0.3">
      <c r="A5514" t="str">
        <f>HYPERLINK("https://us2.cloudbeds.com/connect/10074733072513#/reservations/31718930993305?display=MX8C6Q01R&amp;reservation_id=31718930993305", "MX8C6Q01R")</f>
        <v>MX8C6Q01R</v>
      </c>
      <c r="B5514" t="s">
        <v>1915</v>
      </c>
      <c r="C5514">
        <v>134.1</v>
      </c>
      <c r="D5514">
        <v>145.76</v>
      </c>
      <c r="E5514">
        <v>145.77000000000001</v>
      </c>
      <c r="F5514">
        <v>-0.01</v>
      </c>
    </row>
    <row r="5515" spans="1:6" x14ac:dyDescent="0.3">
      <c r="A5515" t="str">
        <f>HYPERLINK("https://us2.cloudbeds.com/connect/10074733072513#/reservations/31718108000472?display=MX7Z5R0E2&amp;reservation_id=31718108000472", "MX7Z5R0E2")</f>
        <v>MX7Z5R0E2</v>
      </c>
      <c r="B5515" t="s">
        <v>1896</v>
      </c>
      <c r="C5515">
        <v>250.2</v>
      </c>
      <c r="D5515">
        <v>271.95999999999998</v>
      </c>
      <c r="E5515">
        <v>271.97000000000003</v>
      </c>
      <c r="F5515">
        <v>-0.01</v>
      </c>
    </row>
    <row r="5516" spans="1:6" x14ac:dyDescent="0.3">
      <c r="A5516" t="str">
        <f>HYPERLINK("https://us2.cloudbeds.com/connect/10074733072513#/reservations/31717647245459?display=MX7CD9R7V&amp;reservation_id=31717647245459", "MX7CD9R7V")</f>
        <v>MX7CD9R7V</v>
      </c>
      <c r="B5516" t="s">
        <v>1887</v>
      </c>
      <c r="C5516">
        <v>268.2</v>
      </c>
      <c r="D5516">
        <v>291.52</v>
      </c>
      <c r="E5516">
        <v>291.52999999999997</v>
      </c>
      <c r="F5516">
        <v>-0.01</v>
      </c>
    </row>
    <row r="5517" spans="1:6" x14ac:dyDescent="0.3">
      <c r="A5517" t="str">
        <f>HYPERLINK("https://us2.cloudbeds.com/connect/10074733072513#/reservations/31715881013454?display=MX608VQUW&amp;reservation_id=31715881013454", "MX608VQUW")</f>
        <v>MX608VQUW</v>
      </c>
      <c r="B5517" t="s">
        <v>1925</v>
      </c>
      <c r="C5517">
        <v>170.1</v>
      </c>
      <c r="D5517">
        <v>184.89</v>
      </c>
      <c r="E5517">
        <v>184.9</v>
      </c>
      <c r="F5517">
        <v>-0.01</v>
      </c>
    </row>
    <row r="5518" spans="1:6" x14ac:dyDescent="0.3">
      <c r="A5518" t="str">
        <f>HYPERLINK("https://us2.cloudbeds.com/connect/10074733072513#/reservations/31716561481931?display=MX6HYZS6S&amp;reservation_id=31716561481931", "MX6HYZS6S")</f>
        <v>MX6HYZS6S</v>
      </c>
      <c r="B5518" t="s">
        <v>1887</v>
      </c>
      <c r="C5518">
        <v>134.1</v>
      </c>
      <c r="D5518">
        <v>145.76</v>
      </c>
      <c r="E5518">
        <v>145.77000000000001</v>
      </c>
      <c r="F5518">
        <v>-0.01</v>
      </c>
    </row>
    <row r="5519" spans="1:6" x14ac:dyDescent="0.3">
      <c r="A5519" t="str">
        <f>HYPERLINK("https://us2.cloudbeds.com/connect/10074733072513#/reservations/31716596592834?display=MX6XXBSKK&amp;reservation_id=31716596592834", "MX6XXBSKK")</f>
        <v>MX6XXBSKK</v>
      </c>
      <c r="B5519" t="s">
        <v>1887</v>
      </c>
      <c r="C5519">
        <v>134.1</v>
      </c>
      <c r="D5519">
        <v>145.76</v>
      </c>
      <c r="E5519">
        <v>145.77000000000001</v>
      </c>
      <c r="F5519">
        <v>-0.01</v>
      </c>
    </row>
    <row r="5520" spans="1:6" x14ac:dyDescent="0.3">
      <c r="A5520" t="str">
        <f>HYPERLINK("https://us2.cloudbeds.com/connect/10074733072513#/reservations/31719307817188?display=MX8YRHMGB&amp;reservation_id=31719307817188", "MX8YRHMGB")</f>
        <v>MX8YRHMGB</v>
      </c>
      <c r="B5520" t="s">
        <v>1931</v>
      </c>
      <c r="C5520">
        <v>89.38</v>
      </c>
      <c r="D5520">
        <v>97.15</v>
      </c>
      <c r="E5520">
        <v>97.16</v>
      </c>
      <c r="F5520">
        <v>-0.01</v>
      </c>
    </row>
    <row r="5521" spans="1:6" x14ac:dyDescent="0.3">
      <c r="A5521" t="str">
        <f>HYPERLINK("https://us2.cloudbeds.com/connect/10074733072513#/reservations/31716717920461?display=MX6YYYWJC&amp;reservation_id=31716717920461", "MX6YYYWJC")</f>
        <v>MX6YYYWJC</v>
      </c>
      <c r="B5521" t="s">
        <v>1846</v>
      </c>
      <c r="C5521">
        <v>224.1</v>
      </c>
      <c r="D5521">
        <v>243.59</v>
      </c>
      <c r="E5521">
        <v>243.6</v>
      </c>
      <c r="F5521">
        <v>-0.01</v>
      </c>
    </row>
    <row r="5522" spans="1:6" x14ac:dyDescent="0.3">
      <c r="A5522" t="str">
        <f>HYPERLINK("https://us2.cloudbeds.com/connect/10074733072513#/reservations/31713758625956?display=MX4C1A8EA&amp;reservation_id=31713758625956", "MX4C1A8EA")</f>
        <v>MX4C1A8EA</v>
      </c>
      <c r="B5522" t="s">
        <v>1853</v>
      </c>
      <c r="C5522">
        <v>376.2</v>
      </c>
      <c r="D5522">
        <v>408.92</v>
      </c>
      <c r="E5522">
        <v>408.93</v>
      </c>
      <c r="F5522">
        <v>-0.01</v>
      </c>
    </row>
    <row r="5523" spans="1:6" x14ac:dyDescent="0.3">
      <c r="A5523" t="str">
        <f>HYPERLINK("https://us2.cloudbeds.com/connect/10074733072513#/reservations/31715175825605?display=MX5F8AUH7&amp;reservation_id=31715175825605", "MX5F8AUH7")</f>
        <v>MX5F8AUH7</v>
      </c>
      <c r="B5523" t="s">
        <v>1925</v>
      </c>
      <c r="C5523">
        <v>170.1</v>
      </c>
      <c r="D5523">
        <v>184.89</v>
      </c>
      <c r="E5523">
        <v>184.9</v>
      </c>
      <c r="F5523">
        <v>-0.01</v>
      </c>
    </row>
    <row r="5524" spans="1:6" x14ac:dyDescent="0.3">
      <c r="A5524" t="str">
        <f>HYPERLINK("https://us2.cloudbeds.com/connect/10074733072513#/reservations/31713379807374?display=MX42BT2AB&amp;reservation_id=31713379807374", "MX42BT2AB")</f>
        <v>MX42BT2AB</v>
      </c>
      <c r="B5524" t="s">
        <v>1853</v>
      </c>
      <c r="C5524">
        <v>376.2</v>
      </c>
      <c r="D5524">
        <v>408.92</v>
      </c>
      <c r="E5524">
        <v>408.93</v>
      </c>
      <c r="F5524">
        <v>-0.01</v>
      </c>
    </row>
    <row r="5525" spans="1:6" x14ac:dyDescent="0.3">
      <c r="A5525" t="str">
        <f>HYPERLINK("https://us2.cloudbeds.com/connect/10074733072513#/reservations/31715741782269?display=MX5TNXGK5&amp;reservation_id=31715741782269", "MX5TNXGK5")</f>
        <v>MX5TNXGK5</v>
      </c>
      <c r="B5525" t="s">
        <v>1731</v>
      </c>
      <c r="C5525">
        <v>564.29999999999995</v>
      </c>
      <c r="D5525">
        <v>613.38</v>
      </c>
      <c r="E5525">
        <v>613.39</v>
      </c>
      <c r="F5525">
        <v>-0.01</v>
      </c>
    </row>
    <row r="5526" spans="1:6" x14ac:dyDescent="0.3">
      <c r="A5526" t="str">
        <f>HYPERLINK("https://us2.cloudbeds.com/connect/10074733072513#/reservations/31714324697227?display=MX4QGY0P6&amp;reservation_id=31714324697227", "MX4QGY0P6")</f>
        <v>MX4QGY0P6</v>
      </c>
      <c r="B5526" t="s">
        <v>1731</v>
      </c>
      <c r="C5526">
        <v>376.2</v>
      </c>
      <c r="D5526">
        <v>408.92</v>
      </c>
      <c r="E5526">
        <v>408.93</v>
      </c>
      <c r="F5526">
        <v>-0.01</v>
      </c>
    </row>
    <row r="5527" spans="1:6" x14ac:dyDescent="0.3">
      <c r="A5527" t="str">
        <f>HYPERLINK("https://us2.cloudbeds.com/connect/10074733072513#/reservations/31713076523217?display=MX3RK4ZFB&amp;reservation_id=31713076523217", "MX3RK4ZFB")</f>
        <v>MX3RK4ZFB</v>
      </c>
      <c r="B5527" t="s">
        <v>1936</v>
      </c>
      <c r="C5527">
        <v>170.1</v>
      </c>
      <c r="D5527">
        <v>184.89</v>
      </c>
      <c r="E5527">
        <v>184.9</v>
      </c>
      <c r="F5527">
        <v>-0.01</v>
      </c>
    </row>
    <row r="5528" spans="1:6" x14ac:dyDescent="0.3">
      <c r="A5528" t="str">
        <f>HYPERLINK("https://us2.cloudbeds.com/connect/10074733072513#/reservations/31715491442911?display=MX5NAFEJ0&amp;reservation_id=31715491442911", "MX5NAFEJ0")</f>
        <v>MX5NAFEJ0</v>
      </c>
      <c r="B5528" t="s">
        <v>1729</v>
      </c>
      <c r="C5528">
        <v>117.42</v>
      </c>
      <c r="D5528">
        <v>127.63</v>
      </c>
      <c r="E5528">
        <v>127.64</v>
      </c>
      <c r="F5528">
        <v>-0.01</v>
      </c>
    </row>
    <row r="5529" spans="1:6" x14ac:dyDescent="0.3">
      <c r="A5529" t="str">
        <f>HYPERLINK("https://us2.cloudbeds.com/connect/10074733072513#/reservations/31714846769368?display=MX56RSES3&amp;reservation_id=31714846769368", "MX56RSES3")</f>
        <v>MX56RSES3</v>
      </c>
      <c r="B5529" t="s">
        <v>1938</v>
      </c>
      <c r="C5529">
        <v>273.54000000000002</v>
      </c>
      <c r="D5529">
        <v>297.33</v>
      </c>
      <c r="E5529">
        <v>297.33999999999997</v>
      </c>
      <c r="F5529">
        <v>-0.01</v>
      </c>
    </row>
    <row r="5530" spans="1:6" x14ac:dyDescent="0.3">
      <c r="A5530" t="str">
        <f>HYPERLINK("https://us2.cloudbeds.com/connect/10074733072513#/reservations/31717626998999?display=MX7BT7EES&amp;reservation_id=31717626998999", "MX7BT7EES")</f>
        <v>MX7BT7EES</v>
      </c>
      <c r="B5530" t="s">
        <v>1932</v>
      </c>
      <c r="C5530">
        <v>224</v>
      </c>
      <c r="D5530">
        <v>243.48</v>
      </c>
      <c r="E5530">
        <v>243.49</v>
      </c>
      <c r="F5530">
        <v>-0.01</v>
      </c>
    </row>
    <row r="5531" spans="1:6" x14ac:dyDescent="0.3">
      <c r="A5531" t="str">
        <f>HYPERLINK("https://us2.cloudbeds.com/connect/10074733072513#/reservations/31715817865345?display=MX5VYNKMU&amp;reservation_id=31715817865345", "MX5VYNKMU")</f>
        <v>MX5VYNKMU</v>
      </c>
      <c r="B5531" t="s">
        <v>1846</v>
      </c>
      <c r="C5531">
        <v>170.1</v>
      </c>
      <c r="D5531">
        <v>184.89</v>
      </c>
      <c r="E5531">
        <v>184.9</v>
      </c>
      <c r="F5531">
        <v>-0.01</v>
      </c>
    </row>
    <row r="5532" spans="1:6" x14ac:dyDescent="0.3">
      <c r="A5532" t="str">
        <f>HYPERLINK("https://us2.cloudbeds.com/connect/10074733072513#/reservations/31715658125543?display=MX5RJ0KRS&amp;reservation_id=31715658125543", "MX5RJ0KRS")</f>
        <v>MX5RJ0KRS</v>
      </c>
      <c r="B5532" t="s">
        <v>1816</v>
      </c>
      <c r="C5532">
        <v>537.29999999999995</v>
      </c>
      <c r="D5532">
        <v>584.04</v>
      </c>
      <c r="E5532">
        <v>584.04999999999995</v>
      </c>
      <c r="F5532">
        <v>-0.01</v>
      </c>
    </row>
    <row r="5533" spans="1:6" x14ac:dyDescent="0.3">
      <c r="A5533" t="str">
        <f>HYPERLINK("https://us2.cloudbeds.com/connect/10074733072513#/reservations/31716278317270?display=MX6ADWCXX&amp;reservation_id=31716278317270", "MX6ADWCXX")</f>
        <v>MX6ADWCXX</v>
      </c>
      <c r="B5533" t="s">
        <v>1923</v>
      </c>
      <c r="C5533">
        <v>385.2</v>
      </c>
      <c r="D5533">
        <v>418.7</v>
      </c>
      <c r="E5533">
        <v>418.71</v>
      </c>
      <c r="F5533">
        <v>-0.01</v>
      </c>
    </row>
    <row r="5534" spans="1:6" x14ac:dyDescent="0.3">
      <c r="A5534" t="str">
        <f>HYPERLINK("https://us2.cloudbeds.com/connect/10074733072513#/reservations/31718141800577?display=MX7P1AX5M&amp;reservation_id=31718141800577", "MX7P1AX5M")</f>
        <v>MX7P1AX5M</v>
      </c>
      <c r="B5534" t="s">
        <v>1862</v>
      </c>
      <c r="C5534">
        <v>376.2</v>
      </c>
      <c r="D5534">
        <v>408.92</v>
      </c>
      <c r="E5534">
        <v>408.93</v>
      </c>
      <c r="F5534">
        <v>-0.01</v>
      </c>
    </row>
    <row r="5535" spans="1:6" x14ac:dyDescent="0.3">
      <c r="A5535" t="str">
        <f>HYPERLINK("https://us2.cloudbeds.com/connect/10074733072513#/reservations/31715087130869?display=MX5CWHSFV&amp;reservation_id=31715087130869", "MX5CWHSFV")</f>
        <v>MX5CWHSFV</v>
      </c>
      <c r="B5535" t="s">
        <v>1768</v>
      </c>
      <c r="C5535">
        <v>150.22</v>
      </c>
      <c r="D5535">
        <v>163.28</v>
      </c>
      <c r="E5535">
        <v>163.29</v>
      </c>
      <c r="F5535">
        <v>-0.01</v>
      </c>
    </row>
    <row r="5536" spans="1:6" x14ac:dyDescent="0.3">
      <c r="A5536" t="str">
        <f>HYPERLINK("https://us2.cloudbeds.com/connect/10074733072513#/reservations/31720530661579?display=MX9K2M490&amp;reservation_id=31720530661579", "MX9K2M490")</f>
        <v>MX9K2M490</v>
      </c>
      <c r="B5536" t="s">
        <v>1919</v>
      </c>
      <c r="C5536">
        <v>134.1</v>
      </c>
      <c r="D5536">
        <v>145.76</v>
      </c>
      <c r="E5536">
        <v>145.77000000000001</v>
      </c>
      <c r="F5536">
        <v>-0.01</v>
      </c>
    </row>
    <row r="5537" spans="1:6" x14ac:dyDescent="0.3">
      <c r="A5537" t="str">
        <f>HYPERLINK("https://us2.cloudbeds.com/connect/10074733072513#/reservations/31715434033313?display=MX5YS1US7&amp;reservation_id=31715434033313", "MX5YS1US7")</f>
        <v>MX5YS1US7</v>
      </c>
      <c r="B5537" t="s">
        <v>1941</v>
      </c>
      <c r="C5537">
        <v>273.54000000000002</v>
      </c>
      <c r="D5537">
        <v>297.33</v>
      </c>
      <c r="E5537">
        <v>297.33999999999997</v>
      </c>
      <c r="F5537">
        <v>-0.01</v>
      </c>
    </row>
    <row r="5538" spans="1:6" x14ac:dyDescent="0.3">
      <c r="A5538" t="str">
        <f>HYPERLINK("https://us2.cloudbeds.com/connect/10074733072513#/reservations/31714916548823?display=MX58KN5G1&amp;reservation_id=31714916548823", "MX58KN5G1")</f>
        <v>MX58KN5G1</v>
      </c>
      <c r="B5538" t="s">
        <v>1942</v>
      </c>
      <c r="C5538">
        <v>250.2</v>
      </c>
      <c r="D5538">
        <v>271.95999999999998</v>
      </c>
      <c r="E5538">
        <v>271.97000000000003</v>
      </c>
      <c r="F5538">
        <v>-0.01</v>
      </c>
    </row>
    <row r="5539" spans="1:6" x14ac:dyDescent="0.3">
      <c r="A5539" t="str">
        <f>HYPERLINK("https://us2.cloudbeds.com/connect/10074733072513#/reservations/31716300071088?display=MX6AWANH5&amp;reservation_id=31716300071088", "MX6AWANH5")</f>
        <v>MX6AWANH5</v>
      </c>
      <c r="B5539" t="s">
        <v>1943</v>
      </c>
      <c r="C5539">
        <v>304.2</v>
      </c>
      <c r="D5539">
        <v>330.66</v>
      </c>
      <c r="E5539">
        <v>330.67</v>
      </c>
      <c r="F5539">
        <v>-0.01</v>
      </c>
    </row>
    <row r="5540" spans="1:6" x14ac:dyDescent="0.3">
      <c r="A5540" t="str">
        <f>HYPERLINK("https://us2.cloudbeds.com/connect/10074733072513#/reservations/31713608016027?display=MX486AAA2&amp;reservation_id=31713608016027", "MX486AAA2")</f>
        <v>MX486AAA2</v>
      </c>
      <c r="B5540" t="s">
        <v>1944</v>
      </c>
      <c r="C5540">
        <v>170.1</v>
      </c>
      <c r="D5540">
        <v>184.89</v>
      </c>
      <c r="E5540">
        <v>184.9</v>
      </c>
      <c r="F5540">
        <v>-0.01</v>
      </c>
    </row>
    <row r="5541" spans="1:6" x14ac:dyDescent="0.3">
      <c r="A5541" t="str">
        <f>HYPERLINK("https://us2.cloudbeds.com/connect/10074733072513#/reservations/31714633990393?display=MX51DEXHC&amp;reservation_id=31714633990393", "MX51DEXHC")</f>
        <v>MX51DEXHC</v>
      </c>
      <c r="B5541" t="s">
        <v>1937</v>
      </c>
      <c r="C5541">
        <v>254.4</v>
      </c>
      <c r="D5541">
        <v>276.52</v>
      </c>
      <c r="E5541">
        <v>276.52999999999997</v>
      </c>
      <c r="F5541">
        <v>-0.01</v>
      </c>
    </row>
    <row r="5542" spans="1:6" x14ac:dyDescent="0.3">
      <c r="A5542" t="str">
        <f>HYPERLINK("https://us2.cloudbeds.com/connect/10074733072513#/reservations/31716324688033?display=MX6BK2NK5&amp;reservation_id=31716324688033", "MX6BK2NK5")</f>
        <v>MX6BK2NK5</v>
      </c>
      <c r="B5542" t="s">
        <v>1846</v>
      </c>
      <c r="C5542">
        <v>170.1</v>
      </c>
      <c r="D5542">
        <v>184.89</v>
      </c>
      <c r="E5542">
        <v>184.9</v>
      </c>
      <c r="F5542">
        <v>-0.01</v>
      </c>
    </row>
    <row r="5543" spans="1:6" x14ac:dyDescent="0.3">
      <c r="A5543" t="str">
        <f>HYPERLINK("https://us2.cloudbeds.com/connect/10074733072513#/reservations/31718960754825?display=MX8CVT592&amp;reservation_id=31718960754825", "MX8CVT592")</f>
        <v>MX8CVT592</v>
      </c>
      <c r="B5543" t="s">
        <v>1945</v>
      </c>
      <c r="C5543">
        <v>182.36</v>
      </c>
      <c r="D5543">
        <v>198.22</v>
      </c>
      <c r="E5543">
        <v>198.23</v>
      </c>
      <c r="F5543">
        <v>-0.01</v>
      </c>
    </row>
    <row r="5544" spans="1:6" x14ac:dyDescent="0.3">
      <c r="A5544" t="str">
        <f>HYPERLINK("https://us2.cloudbeds.com/connect/10074733072513#/reservations/31715125420177?display=MX5DVRAX0&amp;reservation_id=31715125420177", "MX5DVRAX0")</f>
        <v>MX5DVRAX0</v>
      </c>
      <c r="B5544" t="s">
        <v>1923</v>
      </c>
      <c r="C5544">
        <v>170.1</v>
      </c>
      <c r="D5544">
        <v>184.89</v>
      </c>
      <c r="E5544">
        <v>184.9</v>
      </c>
      <c r="F5544">
        <v>-0.01</v>
      </c>
    </row>
    <row r="5545" spans="1:6" x14ac:dyDescent="0.3">
      <c r="A5545" t="str">
        <f>HYPERLINK("https://us2.cloudbeds.com/connect/10074733072513#/reservations/31718913450115?display=MX8BZWRK0&amp;reservation_id=31718913450115", "MX8BZWRK0")</f>
        <v>MX8BZWRK0</v>
      </c>
      <c r="B5545" t="s">
        <v>1715</v>
      </c>
      <c r="C5545">
        <v>134.1</v>
      </c>
      <c r="D5545">
        <v>145.76</v>
      </c>
      <c r="E5545">
        <v>145.77000000000001</v>
      </c>
      <c r="F5545">
        <v>-0.01</v>
      </c>
    </row>
    <row r="5546" spans="1:6" x14ac:dyDescent="0.3">
      <c r="A5546" t="str">
        <f>HYPERLINK("https://us2.cloudbeds.com/connect/10074733072513#/reservations/31717146022067?display=MX6WJYX0A&amp;reservation_id=31717146022067", "MX6WJYX0A")</f>
        <v>MX6WJYX0A</v>
      </c>
      <c r="B5546" t="s">
        <v>1940</v>
      </c>
      <c r="C5546">
        <v>134.1</v>
      </c>
      <c r="D5546">
        <v>145.76</v>
      </c>
      <c r="E5546">
        <v>145.77000000000001</v>
      </c>
      <c r="F5546">
        <v>-0.01</v>
      </c>
    </row>
    <row r="5547" spans="1:6" x14ac:dyDescent="0.3">
      <c r="A5547" t="str">
        <f>HYPERLINK("https://us2.cloudbeds.com/connect/10074733072513#/reservations/31716238299331?display=MX69D7R4Z&amp;reservation_id=31716238299331", "MX69D7R4Z")</f>
        <v>MX69D7R4Z</v>
      </c>
      <c r="B5547" t="s">
        <v>1923</v>
      </c>
      <c r="C5547">
        <v>163.18</v>
      </c>
      <c r="D5547">
        <v>177.37</v>
      </c>
      <c r="E5547">
        <v>177.38</v>
      </c>
      <c r="F5547">
        <v>-0.01</v>
      </c>
    </row>
    <row r="5548" spans="1:6" x14ac:dyDescent="0.3">
      <c r="A5548" t="str">
        <f>HYPERLINK("https://us2.cloudbeds.com/connect/10074733072513#/reservations/31718910066921?display=MX8BM4MTW&amp;reservation_id=31718910066921", "MX8BM4MTW")</f>
        <v>MX8BM4MTW</v>
      </c>
      <c r="B5548" t="s">
        <v>1715</v>
      </c>
      <c r="C5548">
        <v>134.1</v>
      </c>
      <c r="D5548">
        <v>145.76</v>
      </c>
      <c r="E5548">
        <v>145.77000000000001</v>
      </c>
      <c r="F5548">
        <v>-0.01</v>
      </c>
    </row>
    <row r="5549" spans="1:6" x14ac:dyDescent="0.3">
      <c r="A5549" t="str">
        <f>HYPERLINK("https://us2.cloudbeds.com/connect/10074733072513#/reservations/31718881427703?display=MX8AUWP8T&amp;reservation_id=31718881427703", "MX8AUWP8T")</f>
        <v>MX8AUWP8T</v>
      </c>
      <c r="B5549" t="s">
        <v>1945</v>
      </c>
      <c r="C5549">
        <v>196.2</v>
      </c>
      <c r="D5549">
        <v>213.26</v>
      </c>
      <c r="E5549">
        <v>213.27</v>
      </c>
      <c r="F5549">
        <v>-0.01</v>
      </c>
    </row>
    <row r="5550" spans="1:6" x14ac:dyDescent="0.3">
      <c r="A5550" t="str">
        <f>HYPERLINK("https://us2.cloudbeds.com/connect/10074733072513#/reservations/31717188899001?display=MX70MQYPB&amp;reservation_id=31717188899001", "MX70MQYPB")</f>
        <v>MX70MQYPB</v>
      </c>
      <c r="B5550" t="s">
        <v>1940</v>
      </c>
      <c r="C5550">
        <v>196.2</v>
      </c>
      <c r="D5550">
        <v>213.26</v>
      </c>
      <c r="E5550">
        <v>213.27</v>
      </c>
      <c r="F5550">
        <v>-0.01</v>
      </c>
    </row>
    <row r="5551" spans="1:6" x14ac:dyDescent="0.3">
      <c r="A5551" t="str">
        <f>HYPERLINK("https://us2.cloudbeds.com/connect/10074733072513#/reservations/31715469922501?display=MX5MPAJVC&amp;reservation_id=31715469922501", "MX5MPAJVC")</f>
        <v>MX5MPAJVC</v>
      </c>
      <c r="B5551" t="s">
        <v>1941</v>
      </c>
      <c r="C5551">
        <v>196.2</v>
      </c>
      <c r="D5551">
        <v>213.26</v>
      </c>
      <c r="E5551">
        <v>213.27</v>
      </c>
      <c r="F5551">
        <v>-0.01</v>
      </c>
    </row>
    <row r="5552" spans="1:6" x14ac:dyDescent="0.3">
      <c r="A5552" t="str">
        <f>HYPERLINK("https://us2.cloudbeds.com/connect/10074733072513#/reservations/31714551869660?display=MX4WA6E7A&amp;reservation_id=31714551869660", "MX4WA6E7A")</f>
        <v>MX4WA6E7A</v>
      </c>
      <c r="B5552" t="s">
        <v>1941</v>
      </c>
      <c r="C5552">
        <v>196.2</v>
      </c>
      <c r="D5552">
        <v>213.26</v>
      </c>
      <c r="E5552">
        <v>213.27</v>
      </c>
      <c r="F5552">
        <v>-0.01</v>
      </c>
    </row>
    <row r="5553" spans="1:6" x14ac:dyDescent="0.3">
      <c r="A5553" t="str">
        <f>HYPERLINK("https://us2.cloudbeds.com/connect/10074733072513#/reservations/31715914330353?display=MX6141TVV&amp;reservation_id=31715914330353", "MX6141TVV")</f>
        <v>MX6141TVV</v>
      </c>
      <c r="B5553" t="s">
        <v>1768</v>
      </c>
      <c r="C5553">
        <v>716.4</v>
      </c>
      <c r="D5553">
        <v>778.72</v>
      </c>
      <c r="E5553">
        <v>778.73</v>
      </c>
      <c r="F5553">
        <v>-0.01</v>
      </c>
    </row>
    <row r="5554" spans="1:6" x14ac:dyDescent="0.3">
      <c r="A5554" t="str">
        <f>HYPERLINK("https://us2.cloudbeds.com/connect/10074733072513#/reservations/31718925111491?display=MX8C1RAV1&amp;reservation_id=31718925111491", "MX8C1RAV1")</f>
        <v>MX8C1RAV1</v>
      </c>
      <c r="B5554" t="s">
        <v>1945</v>
      </c>
      <c r="C5554">
        <v>223.2</v>
      </c>
      <c r="D5554">
        <v>242.61</v>
      </c>
      <c r="E5554">
        <v>242.62</v>
      </c>
      <c r="F5554">
        <v>-0.01</v>
      </c>
    </row>
    <row r="5555" spans="1:6" x14ac:dyDescent="0.3">
      <c r="A5555" t="str">
        <f>HYPERLINK("https://us2.cloudbeds.com/connect/10074733072513#/reservations/31717945000163?display=MX7K0C9HP&amp;reservation_id=31717945000163", "MX7K0C9HP")</f>
        <v>MX7K0C9HP</v>
      </c>
      <c r="B5555" t="s">
        <v>1923</v>
      </c>
      <c r="C5555">
        <v>170.1</v>
      </c>
      <c r="D5555">
        <v>184.89</v>
      </c>
      <c r="E5555">
        <v>184.9</v>
      </c>
      <c r="F5555">
        <v>-0.01</v>
      </c>
    </row>
    <row r="5556" spans="1:6" x14ac:dyDescent="0.3">
      <c r="A5556" t="str">
        <f>HYPERLINK("https://us2.cloudbeds.com/connect/10074733072513#/reservations/31712986398974?display=MX3PA4TZM&amp;reservation_id=31712986398974", "MX3PA4TZM")</f>
        <v>MX3PA4TZM</v>
      </c>
      <c r="B5556" t="s">
        <v>1940</v>
      </c>
      <c r="C5556">
        <v>103.2</v>
      </c>
      <c r="D5556">
        <v>112.17</v>
      </c>
      <c r="E5556">
        <v>112.18</v>
      </c>
      <c r="F5556">
        <v>-0.01</v>
      </c>
    </row>
    <row r="5557" spans="1:6" x14ac:dyDescent="0.3">
      <c r="A5557" t="str">
        <f>HYPERLINK("https://us2.cloudbeds.com/connect/10074733072513#/reservations/31715517018361?display=MX5NW13RY&amp;reservation_id=31715517018361", "MX5NW13RY")</f>
        <v>MX5NW13RY</v>
      </c>
      <c r="B5557" t="s">
        <v>1950</v>
      </c>
      <c r="C5557">
        <v>196.2</v>
      </c>
      <c r="D5557">
        <v>213.26</v>
      </c>
      <c r="E5557">
        <v>213.27</v>
      </c>
      <c r="F5557">
        <v>-0.01</v>
      </c>
    </row>
    <row r="5558" spans="1:6" x14ac:dyDescent="0.3">
      <c r="A5558" t="str">
        <f>HYPERLINK("https://us2.cloudbeds.com/connect/10074733072513#/reservations/31715473887409?display=MX5MSYUR3&amp;reservation_id=31715473887409", "MX5MSYUR3")</f>
        <v>MX5MSYUR3</v>
      </c>
      <c r="B5558" t="s">
        <v>1950</v>
      </c>
      <c r="C5558">
        <v>253.86</v>
      </c>
      <c r="D5558">
        <v>275.94</v>
      </c>
      <c r="E5558">
        <v>275.95</v>
      </c>
      <c r="F5558">
        <v>-0.01</v>
      </c>
    </row>
    <row r="5559" spans="1:6" x14ac:dyDescent="0.3">
      <c r="A5559" t="str">
        <f>HYPERLINK("https://us2.cloudbeds.com/connect/10074733072513#/reservations/31718949540056?display=MX8CME31J&amp;reservation_id=31718949540056", "MX8CME31J")</f>
        <v>MX8CME31J</v>
      </c>
      <c r="B5559" t="s">
        <v>1945</v>
      </c>
      <c r="C5559">
        <v>134.1</v>
      </c>
      <c r="D5559">
        <v>145.76</v>
      </c>
      <c r="E5559">
        <v>145.77000000000001</v>
      </c>
      <c r="F5559">
        <v>-0.01</v>
      </c>
    </row>
    <row r="5560" spans="1:6" x14ac:dyDescent="0.3">
      <c r="A5560" t="str">
        <f>HYPERLINK("https://us2.cloudbeds.com/connect/10074733072513#/reservations/31715365183731?display=MX5K30338&amp;reservation_id=31715365183731", "MX5K30338")</f>
        <v>MX5K30338</v>
      </c>
      <c r="B5560" t="s">
        <v>1950</v>
      </c>
      <c r="C5560">
        <v>253.86</v>
      </c>
      <c r="D5560">
        <v>275.94</v>
      </c>
      <c r="E5560">
        <v>275.95</v>
      </c>
      <c r="F5560">
        <v>-0.01</v>
      </c>
    </row>
    <row r="5561" spans="1:6" x14ac:dyDescent="0.3">
      <c r="A5561" t="str">
        <f>HYPERLINK("https://us2.cloudbeds.com/connect/10074733072513#/reservations/31715607883973?display=MX5Q9YJB1&amp;reservation_id=31715607883973", "MX5Q9YJB1")</f>
        <v>MX5Q9YJB1</v>
      </c>
      <c r="B5561" t="s">
        <v>1950</v>
      </c>
      <c r="C5561">
        <v>253.86</v>
      </c>
      <c r="D5561">
        <v>275.94</v>
      </c>
      <c r="E5561">
        <v>275.95</v>
      </c>
      <c r="F5561">
        <v>-0.01</v>
      </c>
    </row>
    <row r="5562" spans="1:6" x14ac:dyDescent="0.3">
      <c r="A5562" t="str">
        <f>HYPERLINK("https://us2.cloudbeds.com/connect/10074733072513#/reservations/31716317737169?display=MX6BE79QV&amp;reservation_id=31716317737169", "MX6BE79QV")</f>
        <v>MX6BE79QV</v>
      </c>
      <c r="B5562" t="s">
        <v>1923</v>
      </c>
      <c r="C5562">
        <v>170.1</v>
      </c>
      <c r="D5562">
        <v>184.89</v>
      </c>
      <c r="E5562">
        <v>184.9</v>
      </c>
      <c r="F5562">
        <v>-0.01</v>
      </c>
    </row>
    <row r="5563" spans="1:6" x14ac:dyDescent="0.3">
      <c r="A5563" t="str">
        <f>HYPERLINK("https://us2.cloudbeds.com/connect/10074733072513#/reservations/31715240931558?display=MX5GU7JJT&amp;reservation_id=31715240931558", "MX5GU7JJT")</f>
        <v>MX5GU7JJT</v>
      </c>
      <c r="B5563" t="s">
        <v>1902</v>
      </c>
      <c r="C5563">
        <v>134.1</v>
      </c>
      <c r="D5563">
        <v>145.76</v>
      </c>
      <c r="E5563">
        <v>145.77000000000001</v>
      </c>
      <c r="F5563">
        <v>-0.01</v>
      </c>
    </row>
    <row r="5564" spans="1:6" x14ac:dyDescent="0.3">
      <c r="A5564" t="str">
        <f>HYPERLINK("https://us2.cloudbeds.com/connect/10074733072513#/reservations/31716160237731?display=MX67DDY7N&amp;reservation_id=31716160237731", "MX67DDY7N")</f>
        <v>MX67DDY7N</v>
      </c>
      <c r="B5564" t="s">
        <v>1953</v>
      </c>
      <c r="C5564">
        <v>540.4</v>
      </c>
      <c r="D5564">
        <v>587.4</v>
      </c>
      <c r="E5564">
        <v>587.41</v>
      </c>
      <c r="F5564">
        <v>-0.01</v>
      </c>
    </row>
    <row r="5565" spans="1:6" x14ac:dyDescent="0.3">
      <c r="A5565" t="str">
        <f>HYPERLINK("https://us2.cloudbeds.com/connect/10074733072513#/reservations/31715808264399?display=MX5VDKFD5&amp;reservation_id=31715808264399", "MX5VDKFD5")</f>
        <v>MX5VDKFD5</v>
      </c>
      <c r="B5565" t="s">
        <v>1880</v>
      </c>
      <c r="C5565">
        <v>170.1</v>
      </c>
      <c r="D5565">
        <v>184.89</v>
      </c>
      <c r="E5565">
        <v>184.9</v>
      </c>
      <c r="F5565">
        <v>-0.01</v>
      </c>
    </row>
    <row r="5566" spans="1:6" x14ac:dyDescent="0.3">
      <c r="A5566" t="str">
        <f>HYPERLINK("https://us2.cloudbeds.com/connect/10074733072513#/reservations/31717499257052?display=MX78KGRCP&amp;reservation_id=31717499257052", "MX78KGRCP")</f>
        <v>MX78KGRCP</v>
      </c>
      <c r="B5566" t="s">
        <v>1816</v>
      </c>
      <c r="C5566">
        <v>170.1</v>
      </c>
      <c r="D5566">
        <v>184.89</v>
      </c>
      <c r="E5566">
        <v>184.9</v>
      </c>
      <c r="F5566">
        <v>-0.01</v>
      </c>
    </row>
    <row r="5567" spans="1:6" x14ac:dyDescent="0.3">
      <c r="A5567" t="str">
        <f>HYPERLINK("https://us2.cloudbeds.com/connect/10074733072513#/reservations/31711364923527?display=MX2GSSVJ2&amp;reservation_id=31711364923527", "MX2GSSVJ2")</f>
        <v>MX2GSSVJ2</v>
      </c>
      <c r="B5567" t="s">
        <v>1880</v>
      </c>
      <c r="C5567">
        <v>170.1</v>
      </c>
      <c r="D5567">
        <v>184.89</v>
      </c>
      <c r="E5567">
        <v>184.9</v>
      </c>
      <c r="F5567">
        <v>-0.01</v>
      </c>
    </row>
    <row r="5568" spans="1:6" x14ac:dyDescent="0.3">
      <c r="A5568" t="str">
        <f>HYPERLINK("https://us2.cloudbeds.com/connect/10074733072513#/reservations/31715838480599?display=MX5W6394J&amp;reservation_id=31715838480599", "MX5W6394J")</f>
        <v>MX5W6394J</v>
      </c>
      <c r="B5568" t="s">
        <v>1880</v>
      </c>
      <c r="C5568">
        <v>170.1</v>
      </c>
      <c r="D5568">
        <v>184.89</v>
      </c>
      <c r="E5568">
        <v>184.9</v>
      </c>
      <c r="F5568">
        <v>-0.01</v>
      </c>
    </row>
    <row r="5569" spans="1:6" x14ac:dyDescent="0.3">
      <c r="A5569" t="str">
        <f>HYPERLINK("https://us2.cloudbeds.com/connect/10074733072513#/reservations/31715832008834?display=MX5W0Y69G&amp;reservation_id=31715832008834", "MX5W0Y69G")</f>
        <v>MX5W0Y69G</v>
      </c>
      <c r="B5569" t="s">
        <v>1880</v>
      </c>
      <c r="C5569">
        <v>170.1</v>
      </c>
      <c r="D5569">
        <v>184.89</v>
      </c>
      <c r="E5569">
        <v>184.9</v>
      </c>
      <c r="F5569">
        <v>-0.01</v>
      </c>
    </row>
    <row r="5570" spans="1:6" x14ac:dyDescent="0.3">
      <c r="A5570" t="str">
        <f>HYPERLINK("https://us2.cloudbeds.com/connect/10074733072513#/reservations/31711311454426?display=MX2FGQ3A9&amp;reservation_id=31711311454426", "MX2FGQ3A9")</f>
        <v>MX2FGQ3A9</v>
      </c>
      <c r="B5570" t="s">
        <v>1880</v>
      </c>
      <c r="C5570">
        <v>170.1</v>
      </c>
      <c r="D5570">
        <v>184.89</v>
      </c>
      <c r="E5570">
        <v>184.9</v>
      </c>
      <c r="F5570">
        <v>-0.01</v>
      </c>
    </row>
    <row r="5571" spans="1:6" x14ac:dyDescent="0.3">
      <c r="A5571" t="str">
        <f>HYPERLINK("https://us2.cloudbeds.com/connect/10074733072513#/reservations/31716006707417?display=MX63FVECV&amp;reservation_id=31716006707417", "MX63FVECV")</f>
        <v>MX63FVECV</v>
      </c>
      <c r="B5571" t="s">
        <v>1925</v>
      </c>
      <c r="C5571">
        <v>154.24</v>
      </c>
      <c r="D5571">
        <v>167.65</v>
      </c>
      <c r="E5571">
        <v>167.66</v>
      </c>
      <c r="F5571">
        <v>-0.01</v>
      </c>
    </row>
    <row r="5572" spans="1:6" x14ac:dyDescent="0.3">
      <c r="A5572" t="str">
        <f>HYPERLINK("https://us2.cloudbeds.com/connect/10074733072513#/reservations/31713656479969?display=MX49E5TFC&amp;reservation_id=31713656479969", "MX49E5TFC")</f>
        <v>MX49E5TFC</v>
      </c>
      <c r="B5572" t="s">
        <v>1902</v>
      </c>
      <c r="C5572">
        <v>134.1</v>
      </c>
      <c r="D5572">
        <v>145.76</v>
      </c>
      <c r="E5572">
        <v>145.77000000000001</v>
      </c>
      <c r="F5572">
        <v>-0.01</v>
      </c>
    </row>
    <row r="5573" spans="1:6" x14ac:dyDescent="0.3">
      <c r="A5573" t="str">
        <f>HYPERLINK("https://us2.cloudbeds.com/connect/10074733072513#/reservations/31715521732757?display=MX5Z309V4&amp;reservation_id=31715521732757", "MX5Z309V4")</f>
        <v>MX5Z309V4</v>
      </c>
      <c r="B5573" t="s">
        <v>1950</v>
      </c>
      <c r="C5573">
        <v>143.19999999999999</v>
      </c>
      <c r="D5573">
        <v>155.65</v>
      </c>
      <c r="E5573">
        <v>155.66</v>
      </c>
      <c r="F5573">
        <v>-0.01</v>
      </c>
    </row>
    <row r="5574" spans="1:6" x14ac:dyDescent="0.3">
      <c r="A5574" t="str">
        <f>HYPERLINK("https://us2.cloudbeds.com/connect/10074733072513#/reservations/31716533006490?display=MX6GUZFVN&amp;reservation_id=31716533006490", "MX6GUZFVN")</f>
        <v>MX6GUZFVN</v>
      </c>
      <c r="B5574" t="s">
        <v>1954</v>
      </c>
      <c r="C5574">
        <v>170.1</v>
      </c>
      <c r="D5574">
        <v>184.89</v>
      </c>
      <c r="E5574">
        <v>184.9</v>
      </c>
      <c r="F5574">
        <v>-0.01</v>
      </c>
    </row>
    <row r="5575" spans="1:6" x14ac:dyDescent="0.3">
      <c r="A5575" t="str">
        <f>HYPERLINK("https://us2.cloudbeds.com/connect/10074733072513#/reservations/31716032565473?display=MX644ZW5D&amp;reservation_id=31716032565473", "MX644ZW5D")</f>
        <v>MX644ZW5D</v>
      </c>
      <c r="B5575" t="s">
        <v>1951</v>
      </c>
      <c r="C5575">
        <v>500.4</v>
      </c>
      <c r="D5575">
        <v>543.91999999999996</v>
      </c>
      <c r="E5575">
        <v>543.92999999999995</v>
      </c>
      <c r="F5575">
        <v>-0.01</v>
      </c>
    </row>
    <row r="5576" spans="1:6" x14ac:dyDescent="0.3">
      <c r="A5576" t="str">
        <f>HYPERLINK("https://us2.cloudbeds.com/connect/10074733072513#/reservations/31715222388928?display=MX5GEJGMR&amp;reservation_id=31715222388928", "MX5GEJGMR")</f>
        <v>MX5GEJGMR</v>
      </c>
      <c r="B5576" t="s">
        <v>1949</v>
      </c>
      <c r="C5576">
        <v>134.1</v>
      </c>
      <c r="D5576">
        <v>145.76</v>
      </c>
      <c r="E5576">
        <v>145.77000000000001</v>
      </c>
      <c r="F5576">
        <v>-0.01</v>
      </c>
    </row>
    <row r="5577" spans="1:6" x14ac:dyDescent="0.3">
      <c r="A5577" t="str">
        <f>HYPERLINK("https://us2.cloudbeds.com/connect/10074733072513#/reservations/31715096662147?display=MX5D7J2QX&amp;reservation_id=31715096662147", "MX5D7J2QX")</f>
        <v>MX5D7J2QX</v>
      </c>
      <c r="B5577" t="s">
        <v>1880</v>
      </c>
      <c r="C5577">
        <v>170.1</v>
      </c>
      <c r="D5577">
        <v>184.89</v>
      </c>
      <c r="E5577">
        <v>184.9</v>
      </c>
      <c r="F5577">
        <v>-0.01</v>
      </c>
    </row>
    <row r="5578" spans="1:6" x14ac:dyDescent="0.3">
      <c r="A5578" t="str">
        <f>HYPERLINK("https://us2.cloudbeds.com/connect/10074733072513#/reservations/31702604284137?display=MHSZ0M8A5&amp;reservation_id=31702604284137", "MHSZ0M8A5")</f>
        <v>MHSZ0M8A5</v>
      </c>
      <c r="B5578" t="s">
        <v>1917</v>
      </c>
      <c r="C5578">
        <v>170.1</v>
      </c>
      <c r="D5578">
        <v>184.89</v>
      </c>
      <c r="E5578">
        <v>184.9</v>
      </c>
      <c r="F5578">
        <v>-0.01</v>
      </c>
    </row>
    <row r="5579" spans="1:6" x14ac:dyDescent="0.3">
      <c r="A5579" t="str">
        <f>HYPERLINK("https://us2.cloudbeds.com/connect/10074733072513#/reservations/31716259250305?display=MX69UTQSZ&amp;reservation_id=31716259250305", "MX69UTQSZ")</f>
        <v>MX69UTQSZ</v>
      </c>
      <c r="B5579" t="s">
        <v>1914</v>
      </c>
      <c r="C5579">
        <v>170.1</v>
      </c>
      <c r="D5579">
        <v>184.89</v>
      </c>
      <c r="E5579">
        <v>184.9</v>
      </c>
      <c r="F5579">
        <v>-0.01</v>
      </c>
    </row>
    <row r="5580" spans="1:6" x14ac:dyDescent="0.3">
      <c r="A5580" t="str">
        <f>HYPERLINK("https://us2.cloudbeds.com/connect/10074733072513#/reservations/31716441170082?display=MX6EJA008&amp;reservation_id=31716441170082", "MX6EJA008")</f>
        <v>MX6EJA008</v>
      </c>
      <c r="B5580" t="s">
        <v>1954</v>
      </c>
      <c r="C5580">
        <v>170.1</v>
      </c>
      <c r="D5580">
        <v>184.89</v>
      </c>
      <c r="E5580">
        <v>184.9</v>
      </c>
      <c r="F5580">
        <v>-0.01</v>
      </c>
    </row>
    <row r="5581" spans="1:6" x14ac:dyDescent="0.3">
      <c r="A5581" t="str">
        <f>HYPERLINK("https://us2.cloudbeds.com/connect/10074733072513#/reservations/31716951269588?display=MX6RKE8V1&amp;reservation_id=31716951269588", "MX6RKE8V1")</f>
        <v>MX6RKE8V1</v>
      </c>
      <c r="B5581" t="s">
        <v>1949</v>
      </c>
      <c r="C5581">
        <v>134.1</v>
      </c>
      <c r="D5581">
        <v>145.76</v>
      </c>
      <c r="E5581">
        <v>145.77000000000001</v>
      </c>
      <c r="F5581">
        <v>-0.01</v>
      </c>
    </row>
    <row r="5582" spans="1:6" x14ac:dyDescent="0.3">
      <c r="A5582" t="str">
        <f>HYPERLINK("https://us2.cloudbeds.com/connect/10074733072513#/reservations/31711385669856?display=MX2HDC8CN&amp;reservation_id=31711385669856", "MX2HDC8CN")</f>
        <v>MX2HDC8CN</v>
      </c>
      <c r="B5582" t="s">
        <v>1539</v>
      </c>
      <c r="C5582">
        <v>376.2</v>
      </c>
      <c r="D5582">
        <v>408.92</v>
      </c>
      <c r="E5582">
        <v>408.93</v>
      </c>
      <c r="F5582">
        <v>-0.01</v>
      </c>
    </row>
    <row r="5583" spans="1:6" x14ac:dyDescent="0.3">
      <c r="A5583" t="str">
        <f>HYPERLINK("https://us2.cloudbeds.com/connect/10074733072513#/reservations/31714870845669?display=MX57F5DFW&amp;reservation_id=31714870845669", "MX57F5DFW")</f>
        <v>MX57F5DFW</v>
      </c>
      <c r="B5583" t="s">
        <v>1942</v>
      </c>
      <c r="C5583">
        <v>89.38</v>
      </c>
      <c r="D5583">
        <v>97.15</v>
      </c>
      <c r="E5583">
        <v>97.16</v>
      </c>
      <c r="F5583">
        <v>-0.01</v>
      </c>
    </row>
    <row r="5584" spans="1:6" x14ac:dyDescent="0.3">
      <c r="A5584" t="str">
        <f>HYPERLINK("https://us2.cloudbeds.com/connect/10074733072513#/reservations/31715838484678?display=MX5W63CT6&amp;reservation_id=31715838484678", "MX5W63CT6")</f>
        <v>MX5W63CT6</v>
      </c>
      <c r="B5584" t="s">
        <v>1914</v>
      </c>
      <c r="C5584">
        <v>234.84</v>
      </c>
      <c r="D5584">
        <v>255.26</v>
      </c>
      <c r="E5584">
        <v>255.27</v>
      </c>
      <c r="F5584">
        <v>-0.01</v>
      </c>
    </row>
    <row r="5585" spans="1:6" x14ac:dyDescent="0.3">
      <c r="A5585" t="str">
        <f>HYPERLINK("https://us2.cloudbeds.com/connect/10074733072513#/reservations/31712786706598?display=MX3K6P5GH&amp;reservation_id=31712786706598", "MX3K6P5GH")</f>
        <v>MX3K6P5GH</v>
      </c>
      <c r="B5585" t="s">
        <v>1927</v>
      </c>
      <c r="C5585">
        <v>170.1</v>
      </c>
      <c r="D5585">
        <v>184.89</v>
      </c>
      <c r="E5585">
        <v>184.9</v>
      </c>
      <c r="F5585">
        <v>-0.01</v>
      </c>
    </row>
    <row r="5586" spans="1:6" x14ac:dyDescent="0.3">
      <c r="A5586" t="str">
        <f>HYPERLINK("https://us2.cloudbeds.com/connect/10074733072513#/reservations/31713981399213?display=MX4HZ5882&amp;reservation_id=31713981399213", "MX4HZ5882")</f>
        <v>MX4HZ5882</v>
      </c>
      <c r="B5586" t="s">
        <v>1943</v>
      </c>
      <c r="C5586">
        <v>250.2</v>
      </c>
      <c r="D5586">
        <v>271.95999999999998</v>
      </c>
      <c r="E5586">
        <v>271.97000000000003</v>
      </c>
      <c r="F5586">
        <v>-0.01</v>
      </c>
    </row>
    <row r="5587" spans="1:6" x14ac:dyDescent="0.3">
      <c r="A5587" t="str">
        <f>HYPERLINK("https://us2.cloudbeds.com/connect/10074733072513#/reservations/31715782344896?display=MX5UC6QB1&amp;reservation_id=31715782344896", "MX5UC6QB1")</f>
        <v>MX5UC6QB1</v>
      </c>
      <c r="B5587" t="s">
        <v>1731</v>
      </c>
      <c r="C5587">
        <v>224.1</v>
      </c>
      <c r="D5587">
        <v>243.59</v>
      </c>
      <c r="E5587">
        <v>243.6</v>
      </c>
      <c r="F5587">
        <v>-0.01</v>
      </c>
    </row>
    <row r="5588" spans="1:6" x14ac:dyDescent="0.3">
      <c r="A5588" t="str">
        <f>HYPERLINK("https://us2.cloudbeds.com/connect/10074733072513#/reservations/31713998684376?display=MX4X5Z7ZT&amp;reservation_id=31713998684376", "MX4X5Z7ZT")</f>
        <v>MX4X5Z7ZT</v>
      </c>
      <c r="B5588" t="s">
        <v>1656</v>
      </c>
      <c r="C5588">
        <v>250.2</v>
      </c>
      <c r="D5588">
        <v>271.95999999999998</v>
      </c>
      <c r="E5588">
        <v>271.97000000000003</v>
      </c>
      <c r="F5588">
        <v>-0.01</v>
      </c>
    </row>
    <row r="5589" spans="1:6" x14ac:dyDescent="0.3">
      <c r="A5589" t="str">
        <f>HYPERLINK("https://us2.cloudbeds.com/connect/10074733072513#/reservations/31713822306438?display=MX4DM08HT&amp;reservation_id=31713822306438", "MX4DM08HT")</f>
        <v>MX4DM08HT</v>
      </c>
      <c r="B5589" t="s">
        <v>1935</v>
      </c>
      <c r="C5589">
        <v>134.1</v>
      </c>
      <c r="D5589">
        <v>145.76</v>
      </c>
      <c r="E5589">
        <v>145.77000000000001</v>
      </c>
      <c r="F5589">
        <v>-0.01</v>
      </c>
    </row>
    <row r="5590" spans="1:6" x14ac:dyDescent="0.3">
      <c r="A5590" t="str">
        <f>HYPERLINK("https://us2.cloudbeds.com/connect/10074733072513#/reservations/31714385137866?display=MX4S1JSQN&amp;reservation_id=31714385137866", "MX4S1JSQN")</f>
        <v>MX4S1JSQN</v>
      </c>
      <c r="B5590" t="s">
        <v>1953</v>
      </c>
      <c r="C5590">
        <v>134.1</v>
      </c>
      <c r="D5590">
        <v>145.76</v>
      </c>
      <c r="E5590">
        <v>145.77000000000001</v>
      </c>
      <c r="F5590">
        <v>-0.01</v>
      </c>
    </row>
    <row r="5591" spans="1:6" x14ac:dyDescent="0.3">
      <c r="A5591" t="str">
        <f>HYPERLINK("https://us2.cloudbeds.com/connect/10074733072513#/reservations/31716677582985?display=MX6KKYHZK&amp;reservation_id=31716677582985", "MX6KKYHZK")</f>
        <v>MX6KKYHZK</v>
      </c>
      <c r="B5591" t="s">
        <v>1958</v>
      </c>
      <c r="C5591">
        <v>134.1</v>
      </c>
      <c r="D5591">
        <v>145.76</v>
      </c>
      <c r="E5591">
        <v>145.77000000000001</v>
      </c>
      <c r="F5591">
        <v>-0.01</v>
      </c>
    </row>
    <row r="5592" spans="1:6" x14ac:dyDescent="0.3">
      <c r="A5592" t="str">
        <f>HYPERLINK("https://us2.cloudbeds.com/connect/10074733072513#/reservations/31714319315173?display=MX4QC38XY&amp;reservation_id=31714319315173", "MX4QC38XY")</f>
        <v>MX4QC38XY</v>
      </c>
      <c r="B5592" t="s">
        <v>1963</v>
      </c>
      <c r="C5592">
        <v>273.54000000000002</v>
      </c>
      <c r="D5592">
        <v>297.33</v>
      </c>
      <c r="E5592">
        <v>297.33999999999997</v>
      </c>
      <c r="F5592">
        <v>-0.01</v>
      </c>
    </row>
    <row r="5593" spans="1:6" x14ac:dyDescent="0.3">
      <c r="A5593" t="str">
        <f>HYPERLINK("https://us2.cloudbeds.com/connect/10074733072513#/reservations/31716269293796?display=MX6A6C9HV&amp;reservation_id=31716269293796", "MX6A6C9HV")</f>
        <v>MX6A6C9HV</v>
      </c>
      <c r="B5593" t="s">
        <v>1943</v>
      </c>
      <c r="C5593">
        <v>250.2</v>
      </c>
      <c r="D5593">
        <v>271.95999999999998</v>
      </c>
      <c r="E5593">
        <v>271.97000000000003</v>
      </c>
      <c r="F5593">
        <v>-0.01</v>
      </c>
    </row>
    <row r="5594" spans="1:6" x14ac:dyDescent="0.3">
      <c r="A5594" t="str">
        <f>HYPERLINK("https://us2.cloudbeds.com/connect/10074733072513#/reservations/31711415070969?display=MX2X55CYH&amp;reservation_id=31711415070969", "MX2X55CYH")</f>
        <v>MX2X55CYH</v>
      </c>
      <c r="B5594" t="s">
        <v>1927</v>
      </c>
      <c r="C5594">
        <v>278.95999999999998</v>
      </c>
      <c r="D5594">
        <v>303.22000000000003</v>
      </c>
      <c r="E5594">
        <v>303.23</v>
      </c>
      <c r="F5594">
        <v>-0.01</v>
      </c>
    </row>
    <row r="5595" spans="1:6" x14ac:dyDescent="0.3">
      <c r="A5595" t="str">
        <f>HYPERLINK("https://us2.cloudbeds.com/connect/10074733072513#/reservations/31717469761744?display=MX77SY2KX&amp;reservation_id=31717469761744", "MX77SY2KX")</f>
        <v>MX77SY2KX</v>
      </c>
      <c r="B5595" t="s">
        <v>1953</v>
      </c>
      <c r="C5595">
        <v>134.1</v>
      </c>
      <c r="D5595">
        <v>145.76</v>
      </c>
      <c r="E5595">
        <v>145.77000000000001</v>
      </c>
      <c r="F5595">
        <v>-0.01</v>
      </c>
    </row>
    <row r="5596" spans="1:6" x14ac:dyDescent="0.3">
      <c r="A5596" t="str">
        <f>HYPERLINK("https://us2.cloudbeds.com/connect/10074733072513#/reservations/31715141599360?display=MX5ECFDP3&amp;reservation_id=31715141599360", "MX5ECFDP3")</f>
        <v>MX5ECFDP3</v>
      </c>
      <c r="B5596" t="s">
        <v>1953</v>
      </c>
      <c r="C5596">
        <v>134.1</v>
      </c>
      <c r="D5596">
        <v>145.76</v>
      </c>
      <c r="E5596">
        <v>145.77000000000001</v>
      </c>
      <c r="F5596">
        <v>-0.01</v>
      </c>
    </row>
    <row r="5597" spans="1:6" x14ac:dyDescent="0.3">
      <c r="A5597" t="str">
        <f>HYPERLINK("https://us2.cloudbeds.com/connect/10074733072513#/reservations/31702476492954?display=MHSKZU912&amp;reservation_id=31702476492954", "MHSKZU912")</f>
        <v>MHSKZU912</v>
      </c>
      <c r="B5597" t="s">
        <v>1947</v>
      </c>
      <c r="C5597">
        <v>170.1</v>
      </c>
      <c r="D5597">
        <v>184.89</v>
      </c>
      <c r="E5597">
        <v>184.9</v>
      </c>
      <c r="F5597">
        <v>-0.01</v>
      </c>
    </row>
    <row r="5598" spans="1:6" x14ac:dyDescent="0.3">
      <c r="A5598" t="str">
        <f>HYPERLINK("https://us2.cloudbeds.com/connect/10074733072513#/reservations/31716088873173?display=MX65J7R1B&amp;reservation_id=31716088873173", "MX65J7R1B")</f>
        <v>MX65J7R1B</v>
      </c>
      <c r="B5598" t="s">
        <v>1951</v>
      </c>
      <c r="C5598">
        <v>212.54</v>
      </c>
      <c r="D5598">
        <v>231.02</v>
      </c>
      <c r="E5598">
        <v>231.03</v>
      </c>
      <c r="F5598">
        <v>-0.01</v>
      </c>
    </row>
    <row r="5599" spans="1:6" x14ac:dyDescent="0.3">
      <c r="A5599" t="str">
        <f>HYPERLINK("https://us2.cloudbeds.com/connect/10074733072513#/reservations/31712797339779?display=MX3KFZ1M5&amp;reservation_id=31712797339779", "MX3KFZ1M5")</f>
        <v>MX3KFZ1M5</v>
      </c>
      <c r="B5599" t="s">
        <v>1927</v>
      </c>
      <c r="C5599">
        <v>170.1</v>
      </c>
      <c r="D5599">
        <v>184.89</v>
      </c>
      <c r="E5599">
        <v>184.9</v>
      </c>
      <c r="F5599">
        <v>-0.01</v>
      </c>
    </row>
    <row r="5600" spans="1:6" x14ac:dyDescent="0.3">
      <c r="A5600" t="str">
        <f>HYPERLINK("https://us2.cloudbeds.com/connect/10074733072513#/reservations/31713842540755?display=MX4E62A60&amp;reservation_id=31713842540755", "MX4E62A60")</f>
        <v>MX4E62A60</v>
      </c>
      <c r="B5600" t="s">
        <v>1935</v>
      </c>
      <c r="C5600">
        <v>182.36</v>
      </c>
      <c r="D5600">
        <v>198.22</v>
      </c>
      <c r="E5600">
        <v>198.23</v>
      </c>
      <c r="F5600">
        <v>-0.01</v>
      </c>
    </row>
    <row r="5601" spans="1:6" x14ac:dyDescent="0.3">
      <c r="A5601" t="str">
        <f>HYPERLINK("https://us2.cloudbeds.com/connect/10074733072513#/reservations/31716105302213?display=MX6602WD1&amp;reservation_id=31716105302213", "MX6602WD1")</f>
        <v>MX6602WD1</v>
      </c>
      <c r="B5601" t="s">
        <v>1951</v>
      </c>
      <c r="C5601">
        <v>212.54</v>
      </c>
      <c r="D5601">
        <v>231.02</v>
      </c>
      <c r="E5601">
        <v>231.03</v>
      </c>
      <c r="F5601">
        <v>-0.01</v>
      </c>
    </row>
    <row r="5602" spans="1:6" x14ac:dyDescent="0.3">
      <c r="A5602" t="str">
        <f>HYPERLINK("https://us2.cloudbeds.com/connect/10074733072513#/reservations/31712215634093?display=MX35K77M4&amp;reservation_id=31712215634093", "MX35K77M4")</f>
        <v>MX35K77M4</v>
      </c>
      <c r="B5602" t="s">
        <v>1967</v>
      </c>
      <c r="C5602">
        <v>375.3</v>
      </c>
      <c r="D5602">
        <v>407.94</v>
      </c>
      <c r="E5602">
        <v>407.95</v>
      </c>
      <c r="F5602">
        <v>-0.01</v>
      </c>
    </row>
    <row r="5603" spans="1:6" x14ac:dyDescent="0.3">
      <c r="A5603" t="str">
        <f>HYPERLINK("https://us2.cloudbeds.com/connect/10074733072513#/reservations/31715607879894?display=MX5Q9YFJE&amp;reservation_id=31715607879894", "MX5Q9YFJE")</f>
        <v>MX5Q9YFJE</v>
      </c>
      <c r="B5603" t="s">
        <v>1901</v>
      </c>
      <c r="C5603">
        <v>333.6</v>
      </c>
      <c r="D5603">
        <v>362.61</v>
      </c>
      <c r="E5603">
        <v>362.62</v>
      </c>
      <c r="F5603">
        <v>-0.01</v>
      </c>
    </row>
    <row r="5604" spans="1:6" x14ac:dyDescent="0.3">
      <c r="A5604" t="str">
        <f>HYPERLINK("https://us2.cloudbeds.com/connect/10074733072513#/reservations/31714397036781?display=MX4SBKW8T&amp;reservation_id=31714397036781", "MX4SBKW8T")</f>
        <v>MX4SBKW8T</v>
      </c>
      <c r="B5604" t="s">
        <v>1953</v>
      </c>
      <c r="C5604">
        <v>122.18</v>
      </c>
      <c r="D5604">
        <v>132.80000000000001</v>
      </c>
      <c r="E5604">
        <v>132.81</v>
      </c>
      <c r="F5604">
        <v>-0.01</v>
      </c>
    </row>
    <row r="5605" spans="1:6" x14ac:dyDescent="0.3">
      <c r="A5605" t="str">
        <f>HYPERLINK("https://us2.cloudbeds.com/connect/10074733072513#/reservations/31711616950441?display=MX2NACW89&amp;reservation_id=31711616950441", "MX2NACW89")</f>
        <v>MX2NACW89</v>
      </c>
      <c r="B5605" t="s">
        <v>1910</v>
      </c>
      <c r="C5605">
        <v>170.1</v>
      </c>
      <c r="D5605">
        <v>184.89</v>
      </c>
      <c r="E5605">
        <v>184.9</v>
      </c>
      <c r="F5605">
        <v>-0.01</v>
      </c>
    </row>
    <row r="5606" spans="1:6" x14ac:dyDescent="0.3">
      <c r="A5606" t="str">
        <f>HYPERLINK("https://us2.cloudbeds.com/connect/10074733072513#/reservations/31717337759909?display=MX74GAUQV&amp;reservation_id=31717337759909", "MX74GAUQV")</f>
        <v>MX74GAUQV</v>
      </c>
      <c r="B5606" t="s">
        <v>1954</v>
      </c>
      <c r="C5606">
        <v>170.1</v>
      </c>
      <c r="D5606">
        <v>184.89</v>
      </c>
      <c r="E5606">
        <v>184.9</v>
      </c>
      <c r="F5606">
        <v>-0.01</v>
      </c>
    </row>
    <row r="5607" spans="1:6" x14ac:dyDescent="0.3">
      <c r="A5607" t="str">
        <f>HYPERLINK("https://us2.cloudbeds.com/connect/10074733072513#/reservations/31715397980295?display=MX5KUYNAH&amp;reservation_id=31715397980295", "MX5KUYNAH")</f>
        <v>MX5KUYNAH</v>
      </c>
      <c r="B5607" t="s">
        <v>1878</v>
      </c>
      <c r="C5607">
        <v>170.1</v>
      </c>
      <c r="D5607">
        <v>184.89</v>
      </c>
      <c r="E5607">
        <v>184.9</v>
      </c>
      <c r="F5607">
        <v>-0.01</v>
      </c>
    </row>
    <row r="5608" spans="1:6" x14ac:dyDescent="0.3">
      <c r="A5608" t="str">
        <f>HYPERLINK("https://us2.cloudbeds.com/connect/10074733072513#/reservations/31715876024461?display=MX604ZWMC&amp;reservation_id=31715876024461", "MX604ZWMC")</f>
        <v>MX604ZWMC</v>
      </c>
      <c r="B5608" t="s">
        <v>1954</v>
      </c>
      <c r="C5608">
        <v>170.1</v>
      </c>
      <c r="D5608">
        <v>184.89</v>
      </c>
      <c r="E5608">
        <v>184.9</v>
      </c>
      <c r="F5608">
        <v>-0.01</v>
      </c>
    </row>
    <row r="5609" spans="1:6" x14ac:dyDescent="0.3">
      <c r="A5609" t="str">
        <f>HYPERLINK("https://us2.cloudbeds.com/connect/10074733072513#/reservations/31715609542856?display=MX5QB1ZY7&amp;reservation_id=31715609542856", "MX5QB1ZY7")</f>
        <v>MX5QB1ZY7</v>
      </c>
      <c r="B5609" t="s">
        <v>1816</v>
      </c>
      <c r="C5609">
        <v>167.2</v>
      </c>
      <c r="D5609">
        <v>181.74</v>
      </c>
      <c r="E5609">
        <v>181.75</v>
      </c>
      <c r="F5609">
        <v>-0.01</v>
      </c>
    </row>
    <row r="5610" spans="1:6" x14ac:dyDescent="0.3">
      <c r="A5610" t="str">
        <f>HYPERLINK("https://us2.cloudbeds.com/connect/10074733072513#/reservations/31713433809031?display=MX43ZDZK6&amp;reservation_id=31713433809031", "MX43ZDZK6")</f>
        <v>MX43ZDZK6</v>
      </c>
      <c r="B5610" t="s">
        <v>1853</v>
      </c>
      <c r="C5610">
        <v>430.2</v>
      </c>
      <c r="D5610">
        <v>467.62</v>
      </c>
      <c r="E5610">
        <v>467.63</v>
      </c>
      <c r="F5610">
        <v>-0.01</v>
      </c>
    </row>
    <row r="5611" spans="1:6" x14ac:dyDescent="0.3">
      <c r="A5611" t="str">
        <f>HYPERLINK("https://us2.cloudbeds.com/connect/10074733072513#/reservations/31711672099007?display=MX2ZNTXNV&amp;reservation_id=31711672099007", "MX2ZNTXNV")</f>
        <v>MX2ZNTXNV</v>
      </c>
      <c r="B5611" t="s">
        <v>1910</v>
      </c>
      <c r="C5611">
        <v>465.3</v>
      </c>
      <c r="D5611">
        <v>505.77</v>
      </c>
      <c r="E5611">
        <v>505.78</v>
      </c>
      <c r="F5611">
        <v>-0.01</v>
      </c>
    </row>
    <row r="5612" spans="1:6" x14ac:dyDescent="0.3">
      <c r="A5612" t="str">
        <f>HYPERLINK("https://us2.cloudbeds.com/connect/10074733072513#/reservations/31715767746776?display=MX5UCF04D&amp;reservation_id=31715767746776", "MX5UCF04D")</f>
        <v>MX5UCF04D</v>
      </c>
      <c r="B5612" t="s">
        <v>1933</v>
      </c>
      <c r="C5612">
        <v>273.54000000000002</v>
      </c>
      <c r="D5612">
        <v>297.33</v>
      </c>
      <c r="E5612">
        <v>297.33999999999997</v>
      </c>
      <c r="F5612">
        <v>-0.01</v>
      </c>
    </row>
    <row r="5613" spans="1:6" x14ac:dyDescent="0.3">
      <c r="A5613" t="str">
        <f>HYPERLINK("https://us2.cloudbeds.com/connect/10074733072513#/reservations/31715787653269?display=MX5UT7UZF&amp;reservation_id=31715787653269", "MX5UT7UZF")</f>
        <v>MX5UT7UZF</v>
      </c>
      <c r="B5613" t="s">
        <v>1933</v>
      </c>
      <c r="C5613">
        <v>273.54000000000002</v>
      </c>
      <c r="D5613">
        <v>297.33</v>
      </c>
      <c r="E5613">
        <v>297.33999999999997</v>
      </c>
      <c r="F5613">
        <v>-0.01</v>
      </c>
    </row>
    <row r="5614" spans="1:6" x14ac:dyDescent="0.3">
      <c r="A5614" t="str">
        <f>HYPERLINK("https://us2.cloudbeds.com/connect/10074733072513#/reservations/31713229877411?display=MX3VHF1J4&amp;reservation_id=31713229877411", "MX3VHF1J4")</f>
        <v>MX3VHF1J4</v>
      </c>
      <c r="B5614" t="s">
        <v>1933</v>
      </c>
      <c r="C5614">
        <v>273.54000000000002</v>
      </c>
      <c r="D5614">
        <v>297.33</v>
      </c>
      <c r="E5614">
        <v>297.33999999999997</v>
      </c>
      <c r="F5614">
        <v>-0.01</v>
      </c>
    </row>
    <row r="5615" spans="1:6" x14ac:dyDescent="0.3">
      <c r="A5615" t="str">
        <f>HYPERLINK("https://us2.cloudbeds.com/connect/10074733072513#/reservations/31713215463558?display=MX3V59VNN&amp;reservation_id=31713215463558", "MX3V59VNN")</f>
        <v>MX3V59VNN</v>
      </c>
      <c r="B5615" t="s">
        <v>1933</v>
      </c>
      <c r="C5615">
        <v>273.54000000000002</v>
      </c>
      <c r="D5615">
        <v>297.33</v>
      </c>
      <c r="E5615">
        <v>297.33999999999997</v>
      </c>
      <c r="F5615">
        <v>-0.01</v>
      </c>
    </row>
    <row r="5616" spans="1:6" x14ac:dyDescent="0.3">
      <c r="A5616" t="str">
        <f>HYPERLINK("https://us2.cloudbeds.com/connect/10074733072513#/reservations/31714452488418?display=MX4TPD01H&amp;reservation_id=31714452488418", "MX4TPD01H")</f>
        <v>MX4TPD01H</v>
      </c>
      <c r="B5616" t="s">
        <v>1711</v>
      </c>
      <c r="C5616">
        <v>170.1</v>
      </c>
      <c r="D5616">
        <v>184.89</v>
      </c>
      <c r="E5616">
        <v>184.9</v>
      </c>
      <c r="F5616">
        <v>-0.01</v>
      </c>
    </row>
    <row r="5617" spans="1:6" x14ac:dyDescent="0.3">
      <c r="A5617" t="str">
        <f>HYPERLINK("https://us2.cloudbeds.com/connect/10074733072513#/reservations/31716214587569?display=MX68Q808G&amp;reservation_id=31716214587569", "MX68Q808G")</f>
        <v>MX68Q808G</v>
      </c>
      <c r="B5617" t="s">
        <v>1967</v>
      </c>
      <c r="C5617">
        <v>250.2</v>
      </c>
      <c r="D5617">
        <v>271.95999999999998</v>
      </c>
      <c r="E5617">
        <v>271.97000000000003</v>
      </c>
      <c r="F5617">
        <v>-0.01</v>
      </c>
    </row>
    <row r="5618" spans="1:6" x14ac:dyDescent="0.3">
      <c r="A5618" t="str">
        <f>HYPERLINK("https://us2.cloudbeds.com/connect/10074733072513#/reservations/31716222750860?display=MX69045CV&amp;reservation_id=31716222750860", "MX69045CV")</f>
        <v>MX69045CV</v>
      </c>
      <c r="B5618" t="s">
        <v>1967</v>
      </c>
      <c r="C5618">
        <v>250.2</v>
      </c>
      <c r="D5618">
        <v>271.95999999999998</v>
      </c>
      <c r="E5618">
        <v>271.97000000000003</v>
      </c>
      <c r="F5618">
        <v>-0.01</v>
      </c>
    </row>
    <row r="5619" spans="1:6" x14ac:dyDescent="0.3">
      <c r="A5619" t="str">
        <f>HYPERLINK("https://us2.cloudbeds.com/connect/10074733072513#/reservations/31716243296403?display=MX69HESR5&amp;reservation_id=31716243296403", "MX69HESR5")</f>
        <v>MX69HESR5</v>
      </c>
      <c r="B5619" t="s">
        <v>1967</v>
      </c>
      <c r="C5619">
        <v>250.2</v>
      </c>
      <c r="D5619">
        <v>271.95999999999998</v>
      </c>
      <c r="E5619">
        <v>271.97000000000003</v>
      </c>
      <c r="F5619">
        <v>-0.01</v>
      </c>
    </row>
    <row r="5620" spans="1:6" x14ac:dyDescent="0.3">
      <c r="A5620" t="str">
        <f>HYPERLINK("https://us2.cloudbeds.com/connect/10074733072513#/reservations/31714215846036?display=MX4NNS2J8&amp;reservation_id=31714215846036", "MX4NNS2J8")</f>
        <v>MX4NNS2J8</v>
      </c>
      <c r="B5620" t="s">
        <v>1935</v>
      </c>
      <c r="C5620">
        <v>134.1</v>
      </c>
      <c r="D5620">
        <v>145.76</v>
      </c>
      <c r="E5620">
        <v>145.77000000000001</v>
      </c>
      <c r="F5620">
        <v>-0.01</v>
      </c>
    </row>
    <row r="5621" spans="1:6" x14ac:dyDescent="0.3">
      <c r="A5621" t="str">
        <f>HYPERLINK("https://us2.cloudbeds.com/connect/10074733072513#/reservations/31714191519968?display=MX4N3B5JM&amp;reservation_id=31714191519968", "MX4N3B5JM")</f>
        <v>MX4N3B5JM</v>
      </c>
      <c r="B5621" t="s">
        <v>1920</v>
      </c>
      <c r="C5621">
        <v>274.2</v>
      </c>
      <c r="D5621">
        <v>298.05</v>
      </c>
      <c r="E5621">
        <v>298.06</v>
      </c>
      <c r="F5621">
        <v>-0.01</v>
      </c>
    </row>
    <row r="5622" spans="1:6" x14ac:dyDescent="0.3">
      <c r="A5622" t="str">
        <f>HYPERLINK("https://us2.cloudbeds.com/connect/10074733072513#/reservations/31713353748634?display=MX41MTV8X&amp;reservation_id=31713353748634", "MX41MTV8X")</f>
        <v>MX41MTV8X</v>
      </c>
      <c r="B5622" t="s">
        <v>1933</v>
      </c>
      <c r="C5622">
        <v>134.1</v>
      </c>
      <c r="D5622">
        <v>145.76</v>
      </c>
      <c r="E5622">
        <v>145.77000000000001</v>
      </c>
      <c r="F5622">
        <v>-0.01</v>
      </c>
    </row>
    <row r="5623" spans="1:6" x14ac:dyDescent="0.3">
      <c r="A5623" t="str">
        <f>HYPERLINK("https://us2.cloudbeds.com/connect/10074733072513#/reservations/31713311871213?display=MX40KJYAQ&amp;reservation_id=31713311871213", "MX40KJYAQ")</f>
        <v>MX40KJYAQ</v>
      </c>
      <c r="B5623" t="s">
        <v>1711</v>
      </c>
      <c r="C5623">
        <v>170.1</v>
      </c>
      <c r="D5623">
        <v>184.89</v>
      </c>
      <c r="E5623">
        <v>184.9</v>
      </c>
      <c r="F5623">
        <v>-0.01</v>
      </c>
    </row>
    <row r="5624" spans="1:6" x14ac:dyDescent="0.3">
      <c r="A5624" t="str">
        <f>HYPERLINK("https://us2.cloudbeds.com/connect/10074733072513#/reservations/31713935094007?display=MX4GX3ZD0&amp;reservation_id=31713935094007", "MX4GX3ZD0")</f>
        <v>MX4GX3ZD0</v>
      </c>
      <c r="B5624" t="s">
        <v>1943</v>
      </c>
      <c r="C5624">
        <v>134.1</v>
      </c>
      <c r="D5624">
        <v>145.76</v>
      </c>
      <c r="E5624">
        <v>145.77000000000001</v>
      </c>
      <c r="F5624">
        <v>-0.01</v>
      </c>
    </row>
    <row r="5625" spans="1:6" x14ac:dyDescent="0.3">
      <c r="A5625" t="str">
        <f>HYPERLINK("https://us2.cloudbeds.com/connect/10074733072513#/reservations/31713846968466?display=MX4E9QH12&amp;reservation_id=31713846968466", "MX4E9QH12")</f>
        <v>MX4E9QH12</v>
      </c>
      <c r="B5625" t="s">
        <v>1690</v>
      </c>
      <c r="C5625">
        <v>376.2</v>
      </c>
      <c r="D5625">
        <v>408.92</v>
      </c>
      <c r="E5625">
        <v>408.93</v>
      </c>
      <c r="F5625">
        <v>-0.01</v>
      </c>
    </row>
    <row r="5626" spans="1:6" x14ac:dyDescent="0.3">
      <c r="A5626" t="str">
        <f>HYPERLINK("https://us2.cloudbeds.com/connect/10074733072513#/reservations/31713894392008?display=MX4FGQ4R3&amp;reservation_id=31713894392008", "MX4FGQ4R3")</f>
        <v>MX4FGQ4R3</v>
      </c>
      <c r="B5626" t="s">
        <v>1731</v>
      </c>
      <c r="C5626">
        <v>448.2</v>
      </c>
      <c r="D5626">
        <v>487.18</v>
      </c>
      <c r="E5626">
        <v>487.19</v>
      </c>
      <c r="F5626">
        <v>-0.01</v>
      </c>
    </row>
    <row r="5627" spans="1:6" x14ac:dyDescent="0.3">
      <c r="A5627" t="str">
        <f>HYPERLINK("https://us2.cloudbeds.com/connect/10074733072513#/reservations/31712884314325?display=MX3MN283F&amp;reservation_id=31712884314325", "MX3MN283F")</f>
        <v>MX3MN283F</v>
      </c>
      <c r="B5627" t="s">
        <v>1661</v>
      </c>
      <c r="C5627">
        <v>154.24</v>
      </c>
      <c r="D5627">
        <v>167.65</v>
      </c>
      <c r="E5627">
        <v>167.66</v>
      </c>
      <c r="F5627">
        <v>-0.01</v>
      </c>
    </row>
    <row r="5628" spans="1:6" x14ac:dyDescent="0.3">
      <c r="A5628" t="str">
        <f>HYPERLINK("https://us2.cloudbeds.com/connect/10074733072513#/reservations/31714043408622?display=MX4JAEZS2&amp;reservation_id=31714043408622", "MX4JAEZS2")</f>
        <v>MX4JAEZS2</v>
      </c>
      <c r="B5628" t="s">
        <v>1781</v>
      </c>
      <c r="C5628">
        <v>762.9</v>
      </c>
      <c r="D5628">
        <v>829.26</v>
      </c>
      <c r="E5628">
        <v>829.27</v>
      </c>
      <c r="F5628">
        <v>-0.01</v>
      </c>
    </row>
    <row r="5629" spans="1:6" x14ac:dyDescent="0.3">
      <c r="A5629" t="str">
        <f>HYPERLINK("https://us2.cloudbeds.com/connect/10074733072513#/reservations/31712892448936?display=MX3MTUJTR&amp;reservation_id=31712892448936", "MX3MTUJTR")</f>
        <v>MX3MTUJTR</v>
      </c>
      <c r="B5629" t="s">
        <v>1661</v>
      </c>
      <c r="C5629">
        <v>154.24</v>
      </c>
      <c r="D5629">
        <v>167.65</v>
      </c>
      <c r="E5629">
        <v>167.66</v>
      </c>
      <c r="F5629">
        <v>-0.01</v>
      </c>
    </row>
    <row r="5630" spans="1:6" x14ac:dyDescent="0.3">
      <c r="A5630" t="str">
        <f>HYPERLINK("https://us2.cloudbeds.com/connect/10074733072513#/reservations/31714496807072?display=MX4UTP7N1&amp;reservation_id=31714496807072", "MX4UTP7N1")</f>
        <v>MX4UTP7N1</v>
      </c>
      <c r="B5630" t="s">
        <v>1711</v>
      </c>
      <c r="C5630">
        <v>150.22</v>
      </c>
      <c r="D5630">
        <v>163.28</v>
      </c>
      <c r="E5630">
        <v>163.29</v>
      </c>
      <c r="F5630">
        <v>-0.01</v>
      </c>
    </row>
    <row r="5631" spans="1:6" x14ac:dyDescent="0.3">
      <c r="A5631" t="str">
        <f>HYPERLINK("https://us2.cloudbeds.com/connect/10074733072513#/reservations/31712496623813?display=MX3CQ5644&amp;reservation_id=31712496623813", "MX3CQ5644")</f>
        <v>MX3CQ5644</v>
      </c>
      <c r="B5631" t="s">
        <v>1882</v>
      </c>
      <c r="C5631">
        <v>448.2</v>
      </c>
      <c r="D5631">
        <v>487.18</v>
      </c>
      <c r="E5631">
        <v>487.19</v>
      </c>
      <c r="F5631">
        <v>-0.01</v>
      </c>
    </row>
    <row r="5632" spans="1:6" x14ac:dyDescent="0.3">
      <c r="A5632" t="str">
        <f>HYPERLINK("https://us2.cloudbeds.com/connect/10074733072513#/reservations/31710903066865?display=MX252E3PY&amp;reservation_id=31710903066865", "MX252E3PY")</f>
        <v>MX252E3PY</v>
      </c>
      <c r="B5632" t="s">
        <v>1697</v>
      </c>
      <c r="C5632">
        <v>278.95999999999998</v>
      </c>
      <c r="D5632">
        <v>303.22000000000003</v>
      </c>
      <c r="E5632">
        <v>303.23</v>
      </c>
      <c r="F5632">
        <v>-0.01</v>
      </c>
    </row>
    <row r="5633" spans="1:6" x14ac:dyDescent="0.3">
      <c r="A5633" t="str">
        <f>HYPERLINK("https://us2.cloudbeds.com/connect/10074733072513#/reservations/31713920999577?display=MX4G67HS2&amp;reservation_id=31713920999577", "MX4G67HS2")</f>
        <v>MX4G67HS2</v>
      </c>
      <c r="B5633" t="s">
        <v>1943</v>
      </c>
      <c r="C5633">
        <v>268.2</v>
      </c>
      <c r="D5633">
        <v>291.52</v>
      </c>
      <c r="E5633">
        <v>291.52999999999997</v>
      </c>
      <c r="F5633">
        <v>-0.01</v>
      </c>
    </row>
    <row r="5634" spans="1:6" x14ac:dyDescent="0.3">
      <c r="A5634" t="str">
        <f>HYPERLINK("https://us2.cloudbeds.com/connect/10074733072513#/reservations/31711724728571?display=MX2Q29227&amp;reservation_id=31711724728571", "MX2Q29227")</f>
        <v>MX2Q29227</v>
      </c>
      <c r="B5634" t="s">
        <v>1971</v>
      </c>
      <c r="C5634">
        <v>894.6</v>
      </c>
      <c r="D5634">
        <v>972.42</v>
      </c>
      <c r="E5634">
        <v>972.43</v>
      </c>
      <c r="F5634">
        <v>-0.01</v>
      </c>
    </row>
    <row r="5635" spans="1:6" x14ac:dyDescent="0.3">
      <c r="A5635" t="str">
        <f>HYPERLINK("https://us2.cloudbeds.com/connect/10074733072513#/reservations/31713946386577?display=MX4GRKW23&amp;reservation_id=31713946386577", "MX4GRKW23")</f>
        <v>MX4GRKW23</v>
      </c>
      <c r="B5635" t="s">
        <v>1943</v>
      </c>
      <c r="C5635">
        <v>134.1</v>
      </c>
      <c r="D5635">
        <v>145.76</v>
      </c>
      <c r="E5635">
        <v>145.77000000000001</v>
      </c>
      <c r="F5635">
        <v>-0.01</v>
      </c>
    </row>
    <row r="5636" spans="1:6" x14ac:dyDescent="0.3">
      <c r="A5636" t="str">
        <f>HYPERLINK("https://us2.cloudbeds.com/connect/10074733072513#/reservations/31714206531834?display=MX4NFWTJN&amp;reservation_id=31714206531834", "MX4NFWTJN")</f>
        <v>MX4NFWTJN</v>
      </c>
      <c r="B5636" t="s">
        <v>1661</v>
      </c>
      <c r="C5636">
        <v>376.2</v>
      </c>
      <c r="D5636">
        <v>408.92</v>
      </c>
      <c r="E5636">
        <v>408.93</v>
      </c>
      <c r="F5636">
        <v>-0.01</v>
      </c>
    </row>
    <row r="5637" spans="1:6" x14ac:dyDescent="0.3">
      <c r="A5637" t="str">
        <f>HYPERLINK("https://us2.cloudbeds.com/connect/10074733072513#/reservations/31700870594752?display=MHRCEBW4Z&amp;reservation_id=31700870594752", "MHRCEBW4Z")</f>
        <v>MHRCEBW4Z</v>
      </c>
      <c r="B5637" t="s">
        <v>1788</v>
      </c>
      <c r="C5637">
        <v>170.1</v>
      </c>
      <c r="D5637">
        <v>184.89</v>
      </c>
      <c r="E5637">
        <v>184.9</v>
      </c>
      <c r="F5637">
        <v>-0.01</v>
      </c>
    </row>
    <row r="5638" spans="1:6" x14ac:dyDescent="0.3">
      <c r="A5638" t="str">
        <f>HYPERLINK("https://us2.cloudbeds.com/connect/10074733072513#/reservations/31711570100389?display=MX2M3TA2Z&amp;reservation_id=31711570100389", "MX2M3TA2Z")</f>
        <v>MX2M3TA2Z</v>
      </c>
      <c r="B5638" t="s">
        <v>1972</v>
      </c>
      <c r="C5638">
        <v>375.3</v>
      </c>
      <c r="D5638">
        <v>407.94</v>
      </c>
      <c r="E5638">
        <v>407.95</v>
      </c>
      <c r="F5638">
        <v>-0.01</v>
      </c>
    </row>
    <row r="5639" spans="1:6" x14ac:dyDescent="0.3">
      <c r="A5639" t="str">
        <f>HYPERLINK("https://us2.cloudbeds.com/connect/10074733072513#/reservations/31712718475475?display=MX3XF7HYP&amp;reservation_id=31712718475475", "MX3XF7HYP")</f>
        <v>MX3XF7HYP</v>
      </c>
      <c r="B5639" t="s">
        <v>1781</v>
      </c>
      <c r="C5639">
        <v>154.24</v>
      </c>
      <c r="D5639">
        <v>167.65</v>
      </c>
      <c r="E5639">
        <v>167.66</v>
      </c>
      <c r="F5639">
        <v>-0.01</v>
      </c>
    </row>
    <row r="5640" spans="1:6" x14ac:dyDescent="0.3">
      <c r="A5640" t="str">
        <f>HYPERLINK("https://us2.cloudbeds.com/connect/10074733072513#/reservations/31712733175945?display=MX3XRKJNX&amp;reservation_id=31712733175945", "MX3XRKJNX")</f>
        <v>MX3XRKJNX</v>
      </c>
      <c r="B5640" t="s">
        <v>1539</v>
      </c>
      <c r="C5640">
        <v>154.24</v>
      </c>
      <c r="D5640">
        <v>167.65</v>
      </c>
      <c r="E5640">
        <v>167.66</v>
      </c>
      <c r="F5640">
        <v>-0.01</v>
      </c>
    </row>
    <row r="5641" spans="1:6" x14ac:dyDescent="0.3">
      <c r="A5641" t="str">
        <f>HYPERLINK("https://us2.cloudbeds.com/connect/10074733072513#/reservations/31711945605277?display=MX2VNH9AZ&amp;reservation_id=31711945605277", "MX2VNH9AZ")</f>
        <v>MX2VNH9AZ</v>
      </c>
      <c r="B5641" t="s">
        <v>1905</v>
      </c>
      <c r="C5641">
        <v>264.2</v>
      </c>
      <c r="D5641">
        <v>287.18</v>
      </c>
      <c r="E5641">
        <v>287.19</v>
      </c>
      <c r="F5641">
        <v>-0.01</v>
      </c>
    </row>
    <row r="5642" spans="1:6" x14ac:dyDescent="0.3">
      <c r="A5642" t="str">
        <f>HYPERLINK("https://us2.cloudbeds.com/connect/10074733072513#/reservations/31715326591223?display=MX5J3F6KA&amp;reservation_id=31715326591223", "MX5J3F6KA")</f>
        <v>MX5J3F6KA</v>
      </c>
      <c r="B5642" t="s">
        <v>1878</v>
      </c>
      <c r="C5642">
        <v>319.45999999999998</v>
      </c>
      <c r="D5642">
        <v>347.24</v>
      </c>
      <c r="E5642">
        <v>347.25</v>
      </c>
      <c r="F5642">
        <v>-0.01</v>
      </c>
    </row>
    <row r="5643" spans="1:6" x14ac:dyDescent="0.3">
      <c r="A5643" t="str">
        <f>HYPERLINK("https://us2.cloudbeds.com/connect/10074733072513#/reservations/31715426402506?display=MX5YYKJMY&amp;reservation_id=31715426402506", "MX5YYKJMY")</f>
        <v>MX5YYKJMY</v>
      </c>
      <c r="B5643" t="s">
        <v>1878</v>
      </c>
      <c r="C5643">
        <v>170.1</v>
      </c>
      <c r="D5643">
        <v>184.89</v>
      </c>
      <c r="E5643">
        <v>184.9</v>
      </c>
      <c r="F5643">
        <v>-0.01</v>
      </c>
    </row>
    <row r="5644" spans="1:6" x14ac:dyDescent="0.3">
      <c r="A5644" t="str">
        <f>HYPERLINK("https://us2.cloudbeds.com/connect/10074733072513#/reservations/31713002791124?display=MX3PNW17G&amp;reservation_id=31713002791124", "MX3PNW17G")</f>
        <v>MX3PNW17G</v>
      </c>
      <c r="B5644" t="s">
        <v>1976</v>
      </c>
      <c r="C5644">
        <v>134.1</v>
      </c>
      <c r="D5644">
        <v>145.76</v>
      </c>
      <c r="E5644">
        <v>145.77000000000001</v>
      </c>
      <c r="F5644">
        <v>-0.01</v>
      </c>
    </row>
    <row r="5645" spans="1:6" x14ac:dyDescent="0.3">
      <c r="A5645" t="str">
        <f>HYPERLINK("https://us2.cloudbeds.com/connect/10074733072513#/reservations/31712153878740?display=MX3414QBQ&amp;reservation_id=31712153878740", "MX3414QBQ")</f>
        <v>MX3414QBQ</v>
      </c>
      <c r="B5645" t="s">
        <v>1973</v>
      </c>
      <c r="C5645">
        <v>263.3</v>
      </c>
      <c r="D5645">
        <v>286.2</v>
      </c>
      <c r="E5645">
        <v>286.20999999999998</v>
      </c>
      <c r="F5645">
        <v>-0.01</v>
      </c>
    </row>
    <row r="5646" spans="1:6" x14ac:dyDescent="0.3">
      <c r="A5646" t="str">
        <f>HYPERLINK("https://us2.cloudbeds.com/connect/10074733072513#/reservations/31713169805505?display=MX3TWQF4B&amp;reservation_id=31713169805505", "MX3TWQF4B")</f>
        <v>MX3TWQF4B</v>
      </c>
      <c r="B5646" t="s">
        <v>1975</v>
      </c>
      <c r="C5646">
        <v>170.1</v>
      </c>
      <c r="D5646">
        <v>184.89</v>
      </c>
      <c r="E5646">
        <v>184.9</v>
      </c>
      <c r="F5646">
        <v>-0.01</v>
      </c>
    </row>
    <row r="5647" spans="1:6" x14ac:dyDescent="0.3">
      <c r="A5647" t="str">
        <f>HYPERLINK("https://us2.cloudbeds.com/connect/10074733072513#/reservations/31713132044509?display=MX3T0VN6Z&amp;reservation_id=31713132044509", "MX3T0VN6Z")</f>
        <v>MX3T0VN6Z</v>
      </c>
      <c r="B5647" t="s">
        <v>1975</v>
      </c>
      <c r="C5647">
        <v>134.1</v>
      </c>
      <c r="D5647">
        <v>145.76</v>
      </c>
      <c r="E5647">
        <v>145.77000000000001</v>
      </c>
      <c r="F5647">
        <v>-0.01</v>
      </c>
    </row>
    <row r="5648" spans="1:6" x14ac:dyDescent="0.3">
      <c r="A5648" t="str">
        <f>HYPERLINK("https://us2.cloudbeds.com/connect/10074733072513#/reservations/31713143615729?display=MX3TANMZP&amp;reservation_id=31713143615729", "MX3TANMZP")</f>
        <v>MX3TANMZP</v>
      </c>
      <c r="B5648" t="s">
        <v>1975</v>
      </c>
      <c r="C5648">
        <v>134.1</v>
      </c>
      <c r="D5648">
        <v>145.76</v>
      </c>
      <c r="E5648">
        <v>145.77000000000001</v>
      </c>
      <c r="F5648">
        <v>-0.01</v>
      </c>
    </row>
    <row r="5649" spans="1:6" x14ac:dyDescent="0.3">
      <c r="A5649" t="str">
        <f>HYPERLINK("https://us2.cloudbeds.com/connect/10074733072513#/reservations/31713106030746?display=MX3SC0RET&amp;reservation_id=31713106030746", "MX3SC0RET")</f>
        <v>MX3SC0RET</v>
      </c>
      <c r="B5649" t="s">
        <v>1975</v>
      </c>
      <c r="C5649">
        <v>134.1</v>
      </c>
      <c r="D5649">
        <v>145.76</v>
      </c>
      <c r="E5649">
        <v>145.77000000000001</v>
      </c>
      <c r="F5649">
        <v>-0.01</v>
      </c>
    </row>
    <row r="5650" spans="1:6" x14ac:dyDescent="0.3">
      <c r="A5650" t="str">
        <f>HYPERLINK("https://us2.cloudbeds.com/connect/10074733072513#/reservations/31713458004179?display=MX44BR0CG&amp;reservation_id=31713458004179", "MX44BR0CG")</f>
        <v>MX44BR0CG</v>
      </c>
      <c r="B5650" t="s">
        <v>1952</v>
      </c>
      <c r="C5650">
        <v>268.2</v>
      </c>
      <c r="D5650">
        <v>291.52</v>
      </c>
      <c r="E5650">
        <v>291.52999999999997</v>
      </c>
      <c r="F5650">
        <v>-0.01</v>
      </c>
    </row>
    <row r="5651" spans="1:6" x14ac:dyDescent="0.3">
      <c r="A5651" t="str">
        <f>HYPERLINK("https://us2.cloudbeds.com/connect/10074733072513#/reservations/31712112435331?display=MX32W6XVU&amp;reservation_id=31712112435331", "MX32W6XVU")</f>
        <v>MX32W6XVU</v>
      </c>
      <c r="B5651" t="s">
        <v>1973</v>
      </c>
      <c r="C5651">
        <v>662.4</v>
      </c>
      <c r="D5651">
        <v>720.02</v>
      </c>
      <c r="E5651">
        <v>720.03</v>
      </c>
      <c r="F5651">
        <v>-0.01</v>
      </c>
    </row>
    <row r="5652" spans="1:6" x14ac:dyDescent="0.3">
      <c r="A5652" t="str">
        <f>HYPERLINK("https://us2.cloudbeds.com/connect/10074733072513#/reservations/31714758881464?display=MX54JZRN9&amp;reservation_id=31714758881464", "MX54JZRN9")</f>
        <v>MX54JZRN9</v>
      </c>
      <c r="B5652" t="s">
        <v>1973</v>
      </c>
      <c r="C5652">
        <v>122.18</v>
      </c>
      <c r="D5652">
        <v>132.80000000000001</v>
      </c>
      <c r="E5652">
        <v>132.81</v>
      </c>
      <c r="F5652">
        <v>-0.01</v>
      </c>
    </row>
    <row r="5653" spans="1:6" x14ac:dyDescent="0.3">
      <c r="A5653" t="str">
        <f>HYPERLINK("https://us2.cloudbeds.com/connect/10074733072513#/reservations/31712151290041?display=MX33VVP7C&amp;reservation_id=31712151290041", "MX33VVP7C")</f>
        <v>MX33VVP7C</v>
      </c>
      <c r="B5653" t="s">
        <v>1973</v>
      </c>
      <c r="C5653">
        <v>134.1</v>
      </c>
      <c r="D5653">
        <v>145.76</v>
      </c>
      <c r="E5653">
        <v>145.77000000000001</v>
      </c>
      <c r="F5653">
        <v>-0.01</v>
      </c>
    </row>
    <row r="5654" spans="1:6" x14ac:dyDescent="0.3">
      <c r="A5654" t="str">
        <f>HYPERLINK("https://us2.cloudbeds.com/connect/10074733072513#/reservations/31712166641916?display=MX34BTVEN&amp;reservation_id=31712166641916", "MX34BTVEN")</f>
        <v>MX34BTVEN</v>
      </c>
      <c r="B5654" t="s">
        <v>1973</v>
      </c>
      <c r="C5654">
        <v>134.1</v>
      </c>
      <c r="D5654">
        <v>145.76</v>
      </c>
      <c r="E5654">
        <v>145.77000000000001</v>
      </c>
      <c r="F5654">
        <v>-0.01</v>
      </c>
    </row>
    <row r="5655" spans="1:6" x14ac:dyDescent="0.3">
      <c r="A5655" t="str">
        <f>HYPERLINK("https://us2.cloudbeds.com/connect/10074733072513#/reservations/31712906174677?display=MX3N8GHTC&amp;reservation_id=31712906174677", "MX3N8GHTC")</f>
        <v>MX3N8GHTC</v>
      </c>
      <c r="B5655" t="s">
        <v>1661</v>
      </c>
      <c r="C5655">
        <v>224.1</v>
      </c>
      <c r="D5655">
        <v>243.59</v>
      </c>
      <c r="E5655">
        <v>243.6</v>
      </c>
      <c r="F5655">
        <v>-0.01</v>
      </c>
    </row>
    <row r="5656" spans="1:6" x14ac:dyDescent="0.3">
      <c r="A5656" t="str">
        <f>HYPERLINK("https://us2.cloudbeds.com/connect/10074733072513#/reservations/31711138865382?display=MX2B38XB8&amp;reservation_id=31711138865382", "MX2B38XB8")</f>
        <v>MX2B38XB8</v>
      </c>
      <c r="B5656" t="s">
        <v>1979</v>
      </c>
      <c r="C5656">
        <v>250.2</v>
      </c>
      <c r="D5656">
        <v>271.95999999999998</v>
      </c>
      <c r="E5656">
        <v>271.97000000000003</v>
      </c>
      <c r="F5656">
        <v>-0.01</v>
      </c>
    </row>
    <row r="5657" spans="1:6" x14ac:dyDescent="0.3">
      <c r="A5657" t="str">
        <f>HYPERLINK("https://us2.cloudbeds.com/connect/10074733072513#/reservations/31713492988099?display=MX458AG69&amp;reservation_id=31713492988099", "MX458AG69")</f>
        <v>MX458AG69</v>
      </c>
      <c r="B5657" t="s">
        <v>1946</v>
      </c>
      <c r="C5657">
        <v>134.1</v>
      </c>
      <c r="D5657">
        <v>145.76</v>
      </c>
      <c r="E5657">
        <v>145.77000000000001</v>
      </c>
      <c r="F5657">
        <v>-0.01</v>
      </c>
    </row>
    <row r="5658" spans="1:6" x14ac:dyDescent="0.3">
      <c r="A5658" t="str">
        <f>HYPERLINK("https://us2.cloudbeds.com/connect/10074733072513#/reservations/31713475911892?display=MX44QUAXF&amp;reservation_id=31713475911892", "MX44QUAXF")</f>
        <v>MX44QUAXF</v>
      </c>
      <c r="B5658" t="s">
        <v>1946</v>
      </c>
      <c r="C5658">
        <v>134.1</v>
      </c>
      <c r="D5658">
        <v>145.76</v>
      </c>
      <c r="E5658">
        <v>145.77000000000001</v>
      </c>
      <c r="F5658">
        <v>-0.01</v>
      </c>
    </row>
    <row r="5659" spans="1:6" x14ac:dyDescent="0.3">
      <c r="A5659" t="str">
        <f>HYPERLINK("https://us2.cloudbeds.com/connect/10074733072513#/reservations/31713440706786?display=MX43U7MY2&amp;reservation_id=31713440706786", "MX43U7MY2")</f>
        <v>MX43U7MY2</v>
      </c>
      <c r="B5659" t="s">
        <v>1946</v>
      </c>
      <c r="C5659">
        <v>134.1</v>
      </c>
      <c r="D5659">
        <v>145.76</v>
      </c>
      <c r="E5659">
        <v>145.77000000000001</v>
      </c>
      <c r="F5659">
        <v>-0.01</v>
      </c>
    </row>
    <row r="5660" spans="1:6" x14ac:dyDescent="0.3">
      <c r="A5660" t="str">
        <f>HYPERLINK("https://us2.cloudbeds.com/connect/10074733072513#/reservations/31714062237908?display=MX4JQAN9G&amp;reservation_id=31714062237908", "MX4JQAN9G")</f>
        <v>MX4JQAN9G</v>
      </c>
      <c r="B5660" t="s">
        <v>1946</v>
      </c>
      <c r="C5660">
        <v>134.1</v>
      </c>
      <c r="D5660">
        <v>145.76</v>
      </c>
      <c r="E5660">
        <v>145.77000000000001</v>
      </c>
      <c r="F5660">
        <v>-0.01</v>
      </c>
    </row>
    <row r="5661" spans="1:6" x14ac:dyDescent="0.3">
      <c r="A5661" t="str">
        <f>HYPERLINK("https://us2.cloudbeds.com/connect/10074733072513#/reservations/31714464411808?display=MX4U2EPWC&amp;reservation_id=31714464411808", "MX4U2EPWC")</f>
        <v>MX4U2EPWC</v>
      </c>
      <c r="B5661" t="s">
        <v>1924</v>
      </c>
      <c r="C5661">
        <v>154.24</v>
      </c>
      <c r="D5661">
        <v>167.65</v>
      </c>
      <c r="E5661">
        <v>167.66</v>
      </c>
      <c r="F5661">
        <v>-0.01</v>
      </c>
    </row>
    <row r="5662" spans="1:6" x14ac:dyDescent="0.3">
      <c r="A5662" t="str">
        <f>HYPERLINK("https://us2.cloudbeds.com/connect/10074733072513#/reservations/31715289854102?display=MX5X5FUT7&amp;reservation_id=31715289854102", "MX5X5FUT7")</f>
        <v>MX5X5FUT7</v>
      </c>
      <c r="B5662" t="s">
        <v>1878</v>
      </c>
      <c r="C5662">
        <v>170.1</v>
      </c>
      <c r="D5662">
        <v>184.89</v>
      </c>
      <c r="E5662">
        <v>184.9</v>
      </c>
      <c r="F5662">
        <v>-0.01</v>
      </c>
    </row>
    <row r="5663" spans="1:6" x14ac:dyDescent="0.3">
      <c r="A5663" t="str">
        <f>HYPERLINK("https://us2.cloudbeds.com/connect/10074733072513#/reservations/31713554563292?display=MX46R7U27&amp;reservation_id=31713554563292", "MX46R7U27")</f>
        <v>MX46R7U27</v>
      </c>
      <c r="B5663" t="s">
        <v>1966</v>
      </c>
      <c r="C5663">
        <v>90.1</v>
      </c>
      <c r="D5663">
        <v>97.93</v>
      </c>
      <c r="E5663">
        <v>97.94</v>
      </c>
      <c r="F5663">
        <v>-0.01</v>
      </c>
    </row>
    <row r="5664" spans="1:6" x14ac:dyDescent="0.3">
      <c r="A5664" t="str">
        <f>HYPERLINK("https://us2.cloudbeds.com/connect/10074733072513#/reservations/31714348630268?display=MX4R3QWRR&amp;reservation_id=31714348630268", "MX4R3QWRR")</f>
        <v>MX4R3QWRR</v>
      </c>
      <c r="B5664" t="s">
        <v>1980</v>
      </c>
      <c r="C5664">
        <v>250.2</v>
      </c>
      <c r="D5664">
        <v>271.95999999999998</v>
      </c>
      <c r="E5664">
        <v>271.97000000000003</v>
      </c>
      <c r="F5664">
        <v>-0.01</v>
      </c>
    </row>
    <row r="5665" spans="1:6" x14ac:dyDescent="0.3">
      <c r="A5665" t="str">
        <f>HYPERLINK("https://us2.cloudbeds.com/connect/10074733072513#/reservations/31712267026575?display=MX36UXA12&amp;reservation_id=31712267026575", "MX36UXA12")</f>
        <v>MX36UXA12</v>
      </c>
      <c r="B5665" t="s">
        <v>1829</v>
      </c>
      <c r="C5665">
        <v>154.24</v>
      </c>
      <c r="D5665">
        <v>167.65</v>
      </c>
      <c r="E5665">
        <v>167.66</v>
      </c>
      <c r="F5665">
        <v>-0.01</v>
      </c>
    </row>
    <row r="5666" spans="1:6" x14ac:dyDescent="0.3">
      <c r="A5666" t="str">
        <f>HYPERLINK("https://us2.cloudbeds.com/connect/10074733072513#/reservations/31714999496899?display=MX5AZYAH3&amp;reservation_id=31714999496899", "MX5AZYAH3")</f>
        <v>MX5AZYAH3</v>
      </c>
      <c r="B5666" t="s">
        <v>1936</v>
      </c>
      <c r="C5666">
        <v>143.66</v>
      </c>
      <c r="D5666">
        <v>156.15</v>
      </c>
      <c r="E5666">
        <v>156.16</v>
      </c>
      <c r="F5666">
        <v>-0.01</v>
      </c>
    </row>
    <row r="5667" spans="1:6" x14ac:dyDescent="0.3">
      <c r="A5667" t="str">
        <f>HYPERLINK("https://us2.cloudbeds.com/connect/10074733072513#/reservations/31701805002898?display=MHS3JN2DX&amp;reservation_id=31701805002898", "MHS3JN2DX")</f>
        <v>MHS3JN2DX</v>
      </c>
      <c r="B5667" t="s">
        <v>1984</v>
      </c>
      <c r="C5667">
        <v>134.1</v>
      </c>
      <c r="D5667">
        <v>145.76</v>
      </c>
      <c r="E5667">
        <v>145.77000000000001</v>
      </c>
      <c r="F5667">
        <v>-0.01</v>
      </c>
    </row>
    <row r="5668" spans="1:6" x14ac:dyDescent="0.3">
      <c r="A5668" t="str">
        <f>HYPERLINK("https://us2.cloudbeds.com/connect/10074733072513#/reservations/31711832600751?display=MX2SR7P85&amp;reservation_id=31711832600751", "MX2SR7P85")</f>
        <v>MX2SR7P85</v>
      </c>
      <c r="B5668" t="s">
        <v>1974</v>
      </c>
      <c r="C5668">
        <v>134.1</v>
      </c>
      <c r="D5668">
        <v>145.76</v>
      </c>
      <c r="E5668">
        <v>145.77000000000001</v>
      </c>
      <c r="F5668">
        <v>-0.01</v>
      </c>
    </row>
    <row r="5669" spans="1:6" x14ac:dyDescent="0.3">
      <c r="A5669" t="str">
        <f>HYPERLINK("https://us2.cloudbeds.com/connect/10074733072513#/reservations/31702824800495?display=MHSTYKEM1&amp;reservation_id=31702824800495", "MHSTYKEM1")</f>
        <v>MHSTYKEM1</v>
      </c>
      <c r="B5669" t="s">
        <v>1985</v>
      </c>
      <c r="C5669">
        <v>456.3</v>
      </c>
      <c r="D5669">
        <v>495.99</v>
      </c>
      <c r="E5669">
        <v>496</v>
      </c>
      <c r="F5669">
        <v>-0.01</v>
      </c>
    </row>
    <row r="5670" spans="1:6" x14ac:dyDescent="0.3">
      <c r="A5670" t="str">
        <f>HYPERLINK("https://us2.cloudbeds.com/connect/10074733072513#/reservations/31711633555603?display=MX2NZD1B0&amp;reservation_id=31711633555603", "MX2NZD1B0")</f>
        <v>MX2NZD1B0</v>
      </c>
      <c r="B5670" t="s">
        <v>1948</v>
      </c>
      <c r="C5670">
        <v>250.2</v>
      </c>
      <c r="D5670">
        <v>271.95999999999998</v>
      </c>
      <c r="E5670">
        <v>271.97000000000003</v>
      </c>
      <c r="F5670">
        <v>-0.01</v>
      </c>
    </row>
    <row r="5671" spans="1:6" x14ac:dyDescent="0.3">
      <c r="A5671" t="str">
        <f>HYPERLINK("https://us2.cloudbeds.com/connect/10074733072513#/reservations/31715257180386?display=MX5HAUZFK&amp;reservation_id=31715257180386", "MX5HAUZFK")</f>
        <v>MX5HAUZFK</v>
      </c>
      <c r="B5671" t="s">
        <v>1895</v>
      </c>
      <c r="C5671">
        <v>250.2</v>
      </c>
      <c r="D5671">
        <v>271.95999999999998</v>
      </c>
      <c r="E5671">
        <v>271.97000000000003</v>
      </c>
      <c r="F5671">
        <v>-0.01</v>
      </c>
    </row>
    <row r="5672" spans="1:6" x14ac:dyDescent="0.3">
      <c r="A5672" t="str">
        <f>HYPERLINK("https://us2.cloudbeds.com/connect/10074733072513#/reservations/31713523679391?display=MX4616H6E&amp;reservation_id=31713523679391", "MX4616H6E")</f>
        <v>MX4616H6E</v>
      </c>
      <c r="B5672" t="s">
        <v>1952</v>
      </c>
      <c r="C5672">
        <v>134.1</v>
      </c>
      <c r="D5672">
        <v>145.76</v>
      </c>
      <c r="E5672">
        <v>145.77000000000001</v>
      </c>
      <c r="F5672">
        <v>-0.01</v>
      </c>
    </row>
    <row r="5673" spans="1:6" x14ac:dyDescent="0.3">
      <c r="A5673" t="str">
        <f>HYPERLINK("https://us2.cloudbeds.com/connect/10074733072513#/reservations/31713400279264?display=MX42T4Z3Y&amp;reservation_id=31713400279264", "MX42T4Z3Y")</f>
        <v>MX42T4Z3Y</v>
      </c>
      <c r="B5673" t="s">
        <v>1539</v>
      </c>
      <c r="C5673">
        <v>143.66</v>
      </c>
      <c r="D5673">
        <v>156.15</v>
      </c>
      <c r="E5673">
        <v>156.16</v>
      </c>
      <c r="F5673">
        <v>-0.01</v>
      </c>
    </row>
    <row r="5674" spans="1:6" x14ac:dyDescent="0.3">
      <c r="A5674" t="str">
        <f>HYPERLINK("https://us2.cloudbeds.com/connect/10074733072513#/reservations/31710832050377?display=MX238HW6S&amp;reservation_id=31710832050377", "MX238HW6S")</f>
        <v>MX238HW6S</v>
      </c>
      <c r="B5674" t="s">
        <v>1697</v>
      </c>
      <c r="C5674">
        <v>250.2</v>
      </c>
      <c r="D5674">
        <v>271.95999999999998</v>
      </c>
      <c r="E5674">
        <v>271.97000000000003</v>
      </c>
      <c r="F5674">
        <v>-0.01</v>
      </c>
    </row>
    <row r="5675" spans="1:6" x14ac:dyDescent="0.3">
      <c r="A5675" t="str">
        <f>HYPERLINK("https://us2.cloudbeds.com/connect/10074733072513#/reservations/31711679312100?display=MX2ZTW9AH&amp;reservation_id=31711679312100", "MX2ZTW9AH")</f>
        <v>MX2ZTW9AH</v>
      </c>
      <c r="B5675" t="s">
        <v>1948</v>
      </c>
      <c r="C5675">
        <v>208.6</v>
      </c>
      <c r="D5675">
        <v>226.74</v>
      </c>
      <c r="E5675">
        <v>226.75</v>
      </c>
      <c r="F5675">
        <v>-0.01</v>
      </c>
    </row>
    <row r="5676" spans="1:6" x14ac:dyDescent="0.3">
      <c r="A5676" t="str">
        <f>HYPERLINK("https://us2.cloudbeds.com/connect/10074733072513#/reservations/31712141344980?display=MX33NJ0UT&amp;reservation_id=31712141344980", "MX33NJ0UT")</f>
        <v>MX33NJ0UT</v>
      </c>
      <c r="B5676" t="s">
        <v>1965</v>
      </c>
      <c r="C5676">
        <v>338.48</v>
      </c>
      <c r="D5676">
        <v>367.92</v>
      </c>
      <c r="E5676">
        <v>367.93</v>
      </c>
      <c r="F5676">
        <v>-0.01</v>
      </c>
    </row>
    <row r="5677" spans="1:6" x14ac:dyDescent="0.3">
      <c r="A5677" t="str">
        <f>HYPERLINK("https://us2.cloudbeds.com/connect/10074733072513#/reservations/31712060752099?display=MX31YKDKC&amp;reservation_id=31712060752099", "MX31YKDKC")</f>
        <v>MX31YKDKC</v>
      </c>
      <c r="B5677" t="s">
        <v>1965</v>
      </c>
      <c r="C5677">
        <v>338.48</v>
      </c>
      <c r="D5677">
        <v>367.92</v>
      </c>
      <c r="E5677">
        <v>367.93</v>
      </c>
      <c r="F5677">
        <v>-0.01</v>
      </c>
    </row>
    <row r="5678" spans="1:6" x14ac:dyDescent="0.3">
      <c r="A5678" t="str">
        <f>HYPERLINK("https://us2.cloudbeds.com/connect/10074733072513#/reservations/31711940866199?display=MX2VJHDXA&amp;reservation_id=31711940866199", "MX2VJHDXA")</f>
        <v>MX2VJHDXA</v>
      </c>
      <c r="B5678" t="s">
        <v>1965</v>
      </c>
      <c r="C5678">
        <v>338.48</v>
      </c>
      <c r="D5678">
        <v>367.92</v>
      </c>
      <c r="E5678">
        <v>367.93</v>
      </c>
      <c r="F5678">
        <v>-0.01</v>
      </c>
    </row>
    <row r="5679" spans="1:6" x14ac:dyDescent="0.3">
      <c r="A5679" t="str">
        <f>HYPERLINK("https://us2.cloudbeds.com/connect/10074733072513#/reservations/31711605821641?display=MX2N109VU&amp;reservation_id=31711605821641", "MX2N109VU")</f>
        <v>MX2N109VU</v>
      </c>
      <c r="B5679" t="s">
        <v>1948</v>
      </c>
      <c r="C5679">
        <v>170.1</v>
      </c>
      <c r="D5679">
        <v>184.89</v>
      </c>
      <c r="E5679">
        <v>184.9</v>
      </c>
      <c r="F5679">
        <v>-0.01</v>
      </c>
    </row>
    <row r="5680" spans="1:6" x14ac:dyDescent="0.3">
      <c r="A5680" t="str">
        <f>HYPERLINK("https://us2.cloudbeds.com/connect/10074733072513#/reservations/31701820309647?display=MHS3WK06E&amp;reservation_id=31701820309647", "MHS3WK06E")</f>
        <v>MHS3WK06E</v>
      </c>
      <c r="B5680" t="s">
        <v>1988</v>
      </c>
      <c r="C5680">
        <v>250.2</v>
      </c>
      <c r="D5680">
        <v>271.95999999999998</v>
      </c>
      <c r="E5680">
        <v>271.97000000000003</v>
      </c>
      <c r="F5680">
        <v>-0.01</v>
      </c>
    </row>
    <row r="5681" spans="1:6" x14ac:dyDescent="0.3">
      <c r="A5681" t="str">
        <f>HYPERLINK("https://us2.cloudbeds.com/connect/10074733072513#/reservations/31711344865525?display=MX2GBVQRR&amp;reservation_id=31711344865525", "MX2GBVQRR")</f>
        <v>MX2GBVQRR</v>
      </c>
      <c r="B5681" t="s">
        <v>1539</v>
      </c>
      <c r="C5681">
        <v>154.24</v>
      </c>
      <c r="D5681">
        <v>167.65</v>
      </c>
      <c r="E5681">
        <v>167.66</v>
      </c>
      <c r="F5681">
        <v>-0.01</v>
      </c>
    </row>
    <row r="5682" spans="1:6" x14ac:dyDescent="0.3">
      <c r="A5682" t="str">
        <f>HYPERLINK("https://us2.cloudbeds.com/connect/10074733072513#/reservations/31711339880603?display=MX2G7P3AJ&amp;reservation_id=31711339880603", "MX2G7P3AJ")</f>
        <v>MX2G7P3AJ</v>
      </c>
      <c r="B5682" t="s">
        <v>1539</v>
      </c>
      <c r="C5682">
        <v>154.24</v>
      </c>
      <c r="D5682">
        <v>167.65</v>
      </c>
      <c r="E5682">
        <v>167.66</v>
      </c>
      <c r="F5682">
        <v>-0.01</v>
      </c>
    </row>
    <row r="5683" spans="1:6" x14ac:dyDescent="0.3">
      <c r="A5683" t="str">
        <f>HYPERLINK("https://us2.cloudbeds.com/connect/10074733072513#/reservations/31714621825196?display=MX51361X1&amp;reservation_id=31714621825196", "MX51361X1")</f>
        <v>MX51361X1</v>
      </c>
      <c r="B5683" t="s">
        <v>1539</v>
      </c>
      <c r="C5683">
        <v>154.24</v>
      </c>
      <c r="D5683">
        <v>167.65</v>
      </c>
      <c r="E5683">
        <v>167.66</v>
      </c>
      <c r="F5683">
        <v>-0.01</v>
      </c>
    </row>
    <row r="5684" spans="1:6" x14ac:dyDescent="0.3">
      <c r="A5684" t="str">
        <f>HYPERLINK("https://us2.cloudbeds.com/connect/10074733072513#/reservations/31713366814936?display=MX420UHN3&amp;reservation_id=31713366814936", "MX420UHN3")</f>
        <v>MX420UHN3</v>
      </c>
      <c r="B5684" t="s">
        <v>1539</v>
      </c>
      <c r="C5684">
        <v>224.1</v>
      </c>
      <c r="D5684">
        <v>243.59</v>
      </c>
      <c r="E5684">
        <v>243.6</v>
      </c>
      <c r="F5684">
        <v>-0.01</v>
      </c>
    </row>
    <row r="5685" spans="1:6" x14ac:dyDescent="0.3">
      <c r="A5685" t="str">
        <f>HYPERLINK("https://us2.cloudbeds.com/connect/10074733072513#/reservations/31714166182040?display=MX4MEW3EM&amp;reservation_id=31714166182040", "MX4MEW3EM")</f>
        <v>MX4MEW3EM</v>
      </c>
      <c r="B5685" t="s">
        <v>1920</v>
      </c>
      <c r="C5685">
        <v>134.1</v>
      </c>
      <c r="D5685">
        <v>145.76</v>
      </c>
      <c r="E5685">
        <v>145.77000000000001</v>
      </c>
      <c r="F5685">
        <v>-0.01</v>
      </c>
    </row>
    <row r="5686" spans="1:6" x14ac:dyDescent="0.3">
      <c r="A5686" t="str">
        <f>HYPERLINK("https://us2.cloudbeds.com/connect/10074733072513#/reservations/31712485826815?display=MX3CH1ZHC&amp;reservation_id=31712485826815", "MX3CH1ZHC")</f>
        <v>MX3CH1ZHC</v>
      </c>
      <c r="B5686" t="s">
        <v>1920</v>
      </c>
      <c r="C5686">
        <v>134.1</v>
      </c>
      <c r="D5686">
        <v>145.76</v>
      </c>
      <c r="E5686">
        <v>145.77000000000001</v>
      </c>
      <c r="F5686">
        <v>-0.01</v>
      </c>
    </row>
    <row r="5687" spans="1:6" x14ac:dyDescent="0.3">
      <c r="A5687" t="str">
        <f>HYPERLINK("https://us2.cloudbeds.com/connect/10074733072513#/reservations/31711786737868?display=MX2RYXXXR&amp;reservation_id=31711786737868", "MX2RYXXXR")</f>
        <v>MX2RYXXXR</v>
      </c>
      <c r="B5687" t="s">
        <v>1991</v>
      </c>
      <c r="C5687">
        <v>134.1</v>
      </c>
      <c r="D5687">
        <v>145.76</v>
      </c>
      <c r="E5687">
        <v>145.77000000000001</v>
      </c>
      <c r="F5687">
        <v>-0.01</v>
      </c>
    </row>
    <row r="5688" spans="1:6" x14ac:dyDescent="0.3">
      <c r="A5688" t="str">
        <f>HYPERLINK("https://us2.cloudbeds.com/connect/10074733072513#/reservations/31712393003220?display=MX3A4PQ25&amp;reservation_id=31712393003220", "MX3A4PQ25")</f>
        <v>MX3A4PQ25</v>
      </c>
      <c r="B5688" t="s">
        <v>1829</v>
      </c>
      <c r="C5688">
        <v>154.24</v>
      </c>
      <c r="D5688">
        <v>167.65</v>
      </c>
      <c r="E5688">
        <v>167.66</v>
      </c>
      <c r="F5688">
        <v>-0.01</v>
      </c>
    </row>
    <row r="5689" spans="1:6" x14ac:dyDescent="0.3">
      <c r="A5689" t="str">
        <f>HYPERLINK("https://us2.cloudbeds.com/connect/10074733072513#/reservations/31713797058708?display=MX4D0NN75&amp;reservation_id=31713797058708", "MX4D0NN75")</f>
        <v>MX4D0NN75</v>
      </c>
      <c r="B5689" t="s">
        <v>1989</v>
      </c>
      <c r="C5689">
        <v>170.1</v>
      </c>
      <c r="D5689">
        <v>184.89</v>
      </c>
      <c r="E5689">
        <v>184.9</v>
      </c>
      <c r="F5689">
        <v>-0.01</v>
      </c>
    </row>
    <row r="5690" spans="1:6" x14ac:dyDescent="0.3">
      <c r="A5690" t="str">
        <f>HYPERLINK("https://us2.cloudbeds.com/connect/10074733072513#/reservations/31711796150463?display=MX2RTGFTW&amp;reservation_id=31711796150463", "MX2RTGFTW")</f>
        <v>MX2RTGFTW</v>
      </c>
      <c r="B5690" t="s">
        <v>1965</v>
      </c>
      <c r="C5690">
        <v>380.8</v>
      </c>
      <c r="D5690">
        <v>413.92</v>
      </c>
      <c r="E5690">
        <v>413.93</v>
      </c>
      <c r="F5690">
        <v>-0.01</v>
      </c>
    </row>
    <row r="5691" spans="1:6" x14ac:dyDescent="0.3">
      <c r="A5691" t="str">
        <f>HYPERLINK("https://us2.cloudbeds.com/connect/10074733072513#/reservations/31711919468753?display=MX2V1FWRS&amp;reservation_id=31711919468753", "MX2V1FWRS")</f>
        <v>MX2V1FWRS</v>
      </c>
      <c r="B5691" t="s">
        <v>1966</v>
      </c>
      <c r="C5691">
        <v>134.1</v>
      </c>
      <c r="D5691">
        <v>145.76</v>
      </c>
      <c r="E5691">
        <v>145.77000000000001</v>
      </c>
      <c r="F5691">
        <v>-0.01</v>
      </c>
    </row>
    <row r="5692" spans="1:6" x14ac:dyDescent="0.3">
      <c r="A5692" t="str">
        <f>HYPERLINK("https://us2.cloudbeds.com/connect/10074733072513#/reservations/31711991410887?display=MX2WT4TDH&amp;reservation_id=31711991410887", "MX2WT4TDH")</f>
        <v>MX2WT4TDH</v>
      </c>
      <c r="B5692" t="s">
        <v>1965</v>
      </c>
      <c r="C5692">
        <v>380.8</v>
      </c>
      <c r="D5692">
        <v>413.92</v>
      </c>
      <c r="E5692">
        <v>413.93</v>
      </c>
      <c r="F5692">
        <v>-0.01</v>
      </c>
    </row>
    <row r="5693" spans="1:6" x14ac:dyDescent="0.3">
      <c r="A5693" t="str">
        <f>HYPERLINK("https://us2.cloudbeds.com/connect/10074733072513#/reservations/31712080560285?display=MX325AJVE&amp;reservation_id=31712080560285", "MX325AJVE")</f>
        <v>MX325AJVE</v>
      </c>
      <c r="B5693" t="s">
        <v>1965</v>
      </c>
      <c r="C5693">
        <v>280.10000000000002</v>
      </c>
      <c r="D5693">
        <v>304.45999999999998</v>
      </c>
      <c r="E5693">
        <v>304.47000000000003</v>
      </c>
      <c r="F5693">
        <v>-0.01</v>
      </c>
    </row>
    <row r="5694" spans="1:6" x14ac:dyDescent="0.3">
      <c r="A5694" t="str">
        <f>HYPERLINK("https://us2.cloudbeds.com/connect/10074733072513#/reservations/31713218658530?display=MX3V7WSJ1&amp;reservation_id=31713218658530", "MX3V7WSJ1")</f>
        <v>MX3V7WSJ1</v>
      </c>
      <c r="B5694" t="s">
        <v>1991</v>
      </c>
      <c r="C5694">
        <v>304.2</v>
      </c>
      <c r="D5694">
        <v>330.66</v>
      </c>
      <c r="E5694">
        <v>330.67</v>
      </c>
      <c r="F5694">
        <v>-0.01</v>
      </c>
    </row>
    <row r="5695" spans="1:6" x14ac:dyDescent="0.3">
      <c r="A5695" t="str">
        <f>HYPERLINK("https://us2.cloudbeds.com/connect/10074733072513#/reservations/31713485177013?display=MX451Z4FN&amp;reservation_id=31713485177013", "MX451Z4FN")</f>
        <v>MX451Z4FN</v>
      </c>
      <c r="B5695" t="s">
        <v>1986</v>
      </c>
      <c r="C5695">
        <v>134.1</v>
      </c>
      <c r="D5695">
        <v>145.76</v>
      </c>
      <c r="E5695">
        <v>145.77000000000001</v>
      </c>
      <c r="F5695">
        <v>-0.01</v>
      </c>
    </row>
    <row r="5696" spans="1:6" x14ac:dyDescent="0.3">
      <c r="A5696" t="str">
        <f>HYPERLINK("https://us2.cloudbeds.com/connect/10074733072513#/reservations/31712008704242?display=MX30AZ3EJ&amp;reservation_id=31712008704242", "MX30AZ3EJ")</f>
        <v>MX30AZ3EJ</v>
      </c>
      <c r="B5696" t="s">
        <v>1944</v>
      </c>
      <c r="C5696">
        <v>170.1</v>
      </c>
      <c r="D5696">
        <v>184.89</v>
      </c>
      <c r="E5696">
        <v>184.9</v>
      </c>
      <c r="F5696">
        <v>-0.01</v>
      </c>
    </row>
    <row r="5697" spans="1:6" x14ac:dyDescent="0.3">
      <c r="A5697" t="str">
        <f>HYPERLINK("https://us2.cloudbeds.com/connect/10074733072513#/reservations/31713041117410?display=MX3QN9H83&amp;reservation_id=31713041117410", "MX3QN9H83")</f>
        <v>MX3QN9H83</v>
      </c>
      <c r="B5697" t="s">
        <v>1661</v>
      </c>
      <c r="C5697">
        <v>154.24</v>
      </c>
      <c r="D5697">
        <v>167.65</v>
      </c>
      <c r="E5697">
        <v>167.66</v>
      </c>
      <c r="F5697">
        <v>-0.01</v>
      </c>
    </row>
    <row r="5698" spans="1:6" x14ac:dyDescent="0.3">
      <c r="A5698" t="str">
        <f>HYPERLINK("https://us2.cloudbeds.com/connect/10074733072513#/reservations/31711835492504?display=MX2STM7M1&amp;reservation_id=31711835492504", "MX2STM7M1")</f>
        <v>MX2STM7M1</v>
      </c>
      <c r="B5698" t="s">
        <v>1991</v>
      </c>
      <c r="C5698">
        <v>285.60000000000002</v>
      </c>
      <c r="D5698">
        <v>310.44</v>
      </c>
      <c r="E5698">
        <v>310.45</v>
      </c>
      <c r="F5698">
        <v>-0.01</v>
      </c>
    </row>
    <row r="5699" spans="1:6" x14ac:dyDescent="0.3">
      <c r="A5699" t="str">
        <f>HYPERLINK("https://us2.cloudbeds.com/connect/10074733072513#/reservations/31711762694319?display=MX2R19H0E&amp;reservation_id=31711762694319", "MX2R19H0E")</f>
        <v>MX2R19H0E</v>
      </c>
      <c r="B5699" t="s">
        <v>1944</v>
      </c>
      <c r="C5699">
        <v>376.2</v>
      </c>
      <c r="D5699">
        <v>408.92</v>
      </c>
      <c r="E5699">
        <v>408.93</v>
      </c>
      <c r="F5699">
        <v>-0.01</v>
      </c>
    </row>
    <row r="5700" spans="1:6" x14ac:dyDescent="0.3">
      <c r="A5700" t="str">
        <f>HYPERLINK("https://us2.cloudbeds.com/connect/10074733072513#/reservations/31711312982262?display=MX2FX2K9B&amp;reservation_id=31711312982262", "MX2FX2K9B")</f>
        <v>MX2FX2K9B</v>
      </c>
      <c r="B5700" t="s">
        <v>1994</v>
      </c>
      <c r="C5700">
        <v>134.1</v>
      </c>
      <c r="D5700">
        <v>145.76</v>
      </c>
      <c r="E5700">
        <v>145.77000000000001</v>
      </c>
      <c r="F5700">
        <v>-0.01</v>
      </c>
    </row>
    <row r="5701" spans="1:6" x14ac:dyDescent="0.3">
      <c r="A5701" t="str">
        <f>HYPERLINK("https://us2.cloudbeds.com/connect/10074733072513#/reservations/31711815835805?display=MX2SD38EG&amp;reservation_id=31711815835805", "MX2SD38EG")</f>
        <v>MX2SD38EG</v>
      </c>
      <c r="B5701" t="s">
        <v>1991</v>
      </c>
      <c r="C5701">
        <v>285.60000000000002</v>
      </c>
      <c r="D5701">
        <v>310.44</v>
      </c>
      <c r="E5701">
        <v>310.45</v>
      </c>
      <c r="F5701">
        <v>-0.01</v>
      </c>
    </row>
    <row r="5702" spans="1:6" x14ac:dyDescent="0.3">
      <c r="A5702" t="str">
        <f>HYPERLINK("https://us2.cloudbeds.com/connect/10074733072513#/reservations/31711998755029?display=MX302B8B9&amp;reservation_id=31711998755029", "MX302B8B9")</f>
        <v>MX302B8B9</v>
      </c>
      <c r="B5702" t="s">
        <v>1944</v>
      </c>
      <c r="C5702">
        <v>376.2</v>
      </c>
      <c r="D5702">
        <v>408.92</v>
      </c>
      <c r="E5702">
        <v>408.93</v>
      </c>
      <c r="F5702">
        <v>-0.01</v>
      </c>
    </row>
    <row r="5703" spans="1:6" x14ac:dyDescent="0.3">
      <c r="A5703" t="str">
        <f>HYPERLINK("https://us2.cloudbeds.com/connect/10074733072513#/reservations/31713393160413?display=MX42N4Y1T&amp;reservation_id=31713393160413", "MX42N4Y1T")</f>
        <v>MX42N4Y1T</v>
      </c>
      <c r="B5703" t="s">
        <v>1649</v>
      </c>
      <c r="C5703">
        <v>474.3</v>
      </c>
      <c r="D5703">
        <v>515.54999999999995</v>
      </c>
      <c r="E5703">
        <v>515.55999999999995</v>
      </c>
      <c r="F5703">
        <v>-0.01</v>
      </c>
    </row>
    <row r="5704" spans="1:6" x14ac:dyDescent="0.3">
      <c r="A5704" t="str">
        <f>HYPERLINK("https://us2.cloudbeds.com/connect/10074733072513#/reservations/31712826470615?display=MX3Y79YZP&amp;reservation_id=31712826470615", "MX3Y79YZP")</f>
        <v>MX3Y79YZP</v>
      </c>
      <c r="B5704" t="s">
        <v>1979</v>
      </c>
      <c r="C5704">
        <v>103.2</v>
      </c>
      <c r="D5704">
        <v>112.17</v>
      </c>
      <c r="E5704">
        <v>112.18</v>
      </c>
      <c r="F5704">
        <v>-0.01</v>
      </c>
    </row>
    <row r="5705" spans="1:6" x14ac:dyDescent="0.3">
      <c r="A5705" t="str">
        <f>HYPERLINK("https://us2.cloudbeds.com/connect/10074733072513#/reservations/31711031672966?display=MX28BSPC7&amp;reservation_id=31711031672966", "MX28BSPC7")</f>
        <v>MX28BSPC7</v>
      </c>
      <c r="B5705" t="s">
        <v>1990</v>
      </c>
      <c r="C5705">
        <v>134.1</v>
      </c>
      <c r="D5705">
        <v>145.76</v>
      </c>
      <c r="E5705">
        <v>145.77000000000001</v>
      </c>
      <c r="F5705">
        <v>-0.01</v>
      </c>
    </row>
    <row r="5706" spans="1:6" x14ac:dyDescent="0.3">
      <c r="A5706" t="str">
        <f>HYPERLINK("https://us2.cloudbeds.com/connect/10074733072513#/reservations/31711273115866?display=MX2EHF90Z&amp;reservation_id=31711273115866", "MX2EHF90Z")</f>
        <v>MX2EHF90Z</v>
      </c>
      <c r="B5706" t="s">
        <v>1979</v>
      </c>
      <c r="C5706">
        <v>103.2</v>
      </c>
      <c r="D5706">
        <v>112.17</v>
      </c>
      <c r="E5706">
        <v>112.18</v>
      </c>
      <c r="F5706">
        <v>-0.01</v>
      </c>
    </row>
    <row r="5707" spans="1:6" x14ac:dyDescent="0.3">
      <c r="A5707" t="str">
        <f>HYPERLINK("https://us2.cloudbeds.com/connect/10074733072513#/reservations/31713289978075?display=MX4024EEC&amp;reservation_id=31713289978075", "MX4024EEC")</f>
        <v>MX4024EEC</v>
      </c>
      <c r="B5707" t="s">
        <v>1991</v>
      </c>
      <c r="C5707">
        <v>250.2</v>
      </c>
      <c r="D5707">
        <v>271.95999999999998</v>
      </c>
      <c r="E5707">
        <v>271.97000000000003</v>
      </c>
      <c r="F5707">
        <v>-0.01</v>
      </c>
    </row>
    <row r="5708" spans="1:6" x14ac:dyDescent="0.3">
      <c r="A5708" t="str">
        <f>HYPERLINK("https://us2.cloudbeds.com/connect/10074733072513#/reservations/31711031677066?display=MX28BST4F&amp;reservation_id=31711031677066", "MX28BST4F")</f>
        <v>MX28BST4F</v>
      </c>
      <c r="B5708" t="s">
        <v>1993</v>
      </c>
      <c r="C5708">
        <v>167.2</v>
      </c>
      <c r="D5708">
        <v>181.74</v>
      </c>
      <c r="E5708">
        <v>181.75</v>
      </c>
      <c r="F5708">
        <v>-0.01</v>
      </c>
    </row>
    <row r="5709" spans="1:6" x14ac:dyDescent="0.3">
      <c r="A5709" t="str">
        <f>HYPERLINK("https://us2.cloudbeds.com/connect/10074733072513#/reservations/31711739072646?display=MX2QEC6S5&amp;reservation_id=31711739072646", "MX2QEC6S5")</f>
        <v>MX2QEC6S5</v>
      </c>
      <c r="B5709" t="s">
        <v>1991</v>
      </c>
      <c r="C5709">
        <v>376.2</v>
      </c>
      <c r="D5709">
        <v>408.92</v>
      </c>
      <c r="E5709">
        <v>408.93</v>
      </c>
      <c r="F5709">
        <v>-0.01</v>
      </c>
    </row>
    <row r="5710" spans="1:6" x14ac:dyDescent="0.3">
      <c r="A5710" t="str">
        <f>HYPERLINK("https://us2.cloudbeds.com/connect/10074733072513#/reservations/31711827284163?display=MX2SMZR5E&amp;reservation_id=31711827284163", "MX2SMZR5E")</f>
        <v>MX2SMZR5E</v>
      </c>
      <c r="B5710" t="s">
        <v>1991</v>
      </c>
      <c r="C5710">
        <v>134.1</v>
      </c>
      <c r="D5710">
        <v>145.76</v>
      </c>
      <c r="E5710">
        <v>145.77000000000001</v>
      </c>
      <c r="F5710">
        <v>-0.01</v>
      </c>
    </row>
    <row r="5711" spans="1:6" x14ac:dyDescent="0.3">
      <c r="A5711" t="str">
        <f>HYPERLINK("https://us2.cloudbeds.com/connect/10074733072513#/reservations/31711889486062?display=MX2U96MHF&amp;reservation_id=31711889486062", "MX2U96MHF")</f>
        <v>MX2U96MHF</v>
      </c>
      <c r="B5711" t="s">
        <v>1966</v>
      </c>
      <c r="C5711">
        <v>154.24</v>
      </c>
      <c r="D5711">
        <v>167.65</v>
      </c>
      <c r="E5711">
        <v>167.66</v>
      </c>
      <c r="F5711">
        <v>-0.01</v>
      </c>
    </row>
    <row r="5712" spans="1:6" x14ac:dyDescent="0.3">
      <c r="A5712" t="str">
        <f>HYPERLINK("https://us2.cloudbeds.com/connect/10074733072513#/reservations/31712006963334?display=MX3098YQQ&amp;reservation_id=31712006963334", "MX3098YQQ")</f>
        <v>MX3098YQQ</v>
      </c>
      <c r="B5712" t="s">
        <v>1991</v>
      </c>
      <c r="C5712">
        <v>134.1</v>
      </c>
      <c r="D5712">
        <v>145.76</v>
      </c>
      <c r="E5712">
        <v>145.77000000000001</v>
      </c>
      <c r="F5712">
        <v>-0.01</v>
      </c>
    </row>
    <row r="5713" spans="1:6" x14ac:dyDescent="0.3">
      <c r="A5713" t="str">
        <f>HYPERLINK("https://us2.cloudbeds.com/connect/10074733072513#/reservations/31711650754761?display=MX2Z5TKSK&amp;reservation_id=31711650754761", "MX2Z5TKSK")</f>
        <v>MX2Z5TKSK</v>
      </c>
      <c r="B5713" t="s">
        <v>1948</v>
      </c>
      <c r="C5713">
        <v>154.24</v>
      </c>
      <c r="D5713">
        <v>167.65</v>
      </c>
      <c r="E5713">
        <v>167.66</v>
      </c>
      <c r="F5713">
        <v>-0.01</v>
      </c>
    </row>
    <row r="5714" spans="1:6" x14ac:dyDescent="0.3">
      <c r="A5714" t="str">
        <f>HYPERLINK("https://us2.cloudbeds.com/connect/10074733072513#/reservations/31711773552786?display=MX2RAEM1T&amp;reservation_id=31711773552786", "MX2RAEM1T")</f>
        <v>MX2RAEM1T</v>
      </c>
      <c r="B5714" t="s">
        <v>1991</v>
      </c>
      <c r="C5714">
        <v>134.1</v>
      </c>
      <c r="D5714">
        <v>145.76</v>
      </c>
      <c r="E5714">
        <v>145.77000000000001</v>
      </c>
      <c r="F5714">
        <v>-0.01</v>
      </c>
    </row>
    <row r="5715" spans="1:6" x14ac:dyDescent="0.3">
      <c r="A5715" t="str">
        <f>HYPERLINK("https://us2.cloudbeds.com/connect/10074733072513#/reservations/31711633559703?display=MX2NZD538&amp;reservation_id=31711633559703", "MX2NZD538")</f>
        <v>MX2NZD538</v>
      </c>
      <c r="B5715" t="s">
        <v>1948</v>
      </c>
      <c r="C5715">
        <v>154.24</v>
      </c>
      <c r="D5715">
        <v>167.65</v>
      </c>
      <c r="E5715">
        <v>167.66</v>
      </c>
      <c r="F5715">
        <v>-0.01</v>
      </c>
    </row>
    <row r="5716" spans="1:6" x14ac:dyDescent="0.3">
      <c r="A5716" t="str">
        <f>HYPERLINK("https://us2.cloudbeds.com/connect/10074733072513#/reservations/31711928504550?display=MX2V93E5T&amp;reservation_id=31711928504550", "MX2V93E5T")</f>
        <v>MX2V93E5T</v>
      </c>
      <c r="B5716" t="s">
        <v>1966</v>
      </c>
      <c r="C5716">
        <v>163.18</v>
      </c>
      <c r="D5716">
        <v>177.37</v>
      </c>
      <c r="E5716">
        <v>177.38</v>
      </c>
      <c r="F5716">
        <v>-0.01</v>
      </c>
    </row>
    <row r="5717" spans="1:6" x14ac:dyDescent="0.3">
      <c r="A5717" t="str">
        <f>HYPERLINK("https://us2.cloudbeds.com/connect/10074733072513#/reservations/31713243906286?display=MX3VT9DUX&amp;reservation_id=31713243906286", "MX3VT9DUX")</f>
        <v>MX3VT9DUX</v>
      </c>
      <c r="B5717" t="s">
        <v>1991</v>
      </c>
      <c r="C5717">
        <v>134.1</v>
      </c>
      <c r="D5717">
        <v>145.76</v>
      </c>
      <c r="E5717">
        <v>145.77000000000001</v>
      </c>
      <c r="F5717">
        <v>-0.01</v>
      </c>
    </row>
    <row r="5718" spans="1:6" x14ac:dyDescent="0.3">
      <c r="A5718" t="str">
        <f>HYPERLINK("https://us2.cloudbeds.com/connect/10074733072513#/reservations/31711895281801?display=MX2UE2VJU&amp;reservation_id=31711895281801", "MX2UE2VJU")</f>
        <v>MX2UE2VJU</v>
      </c>
      <c r="B5718" t="s">
        <v>1991</v>
      </c>
      <c r="C5718">
        <v>170.1</v>
      </c>
      <c r="D5718">
        <v>184.89</v>
      </c>
      <c r="E5718">
        <v>184.9</v>
      </c>
      <c r="F5718">
        <v>-0.01</v>
      </c>
    </row>
    <row r="5719" spans="1:6" x14ac:dyDescent="0.3">
      <c r="A5719" t="str">
        <f>HYPERLINK("https://us2.cloudbeds.com/connect/10074733072513#/reservations/31711919472843?display=MX2V1G3JQ&amp;reservation_id=31711919472843", "MX2V1G3JQ")</f>
        <v>MX2V1G3JQ</v>
      </c>
      <c r="B5719" t="s">
        <v>1991</v>
      </c>
      <c r="C5719">
        <v>170.1</v>
      </c>
      <c r="D5719">
        <v>184.89</v>
      </c>
      <c r="E5719">
        <v>184.9</v>
      </c>
      <c r="F5719">
        <v>-0.01</v>
      </c>
    </row>
    <row r="5720" spans="1:6" x14ac:dyDescent="0.3">
      <c r="A5720" t="str">
        <f>HYPERLINK("https://us2.cloudbeds.com/connect/10074733072513#/reservations/31711025918144?display=MX27UX7AH&amp;reservation_id=31711025918144", "MX27UX7AH")</f>
        <v>MX27UX7AH</v>
      </c>
      <c r="B5720" t="s">
        <v>1987</v>
      </c>
      <c r="C5720">
        <v>380.8</v>
      </c>
      <c r="D5720">
        <v>413.92</v>
      </c>
      <c r="E5720">
        <v>413.93</v>
      </c>
      <c r="F5720">
        <v>-0.01</v>
      </c>
    </row>
    <row r="5721" spans="1:6" x14ac:dyDescent="0.3">
      <c r="A5721" t="str">
        <f>HYPERLINK("https://us2.cloudbeds.com/connect/10074733072513#/reservations/31711015710878?display=MX27VDJQJ&amp;reservation_id=31711015710878", "MX27VDJQJ")</f>
        <v>MX27VDJQJ</v>
      </c>
      <c r="B5721" t="s">
        <v>1990</v>
      </c>
      <c r="C5721">
        <v>134.1</v>
      </c>
      <c r="D5721">
        <v>145.76</v>
      </c>
      <c r="E5721">
        <v>145.77000000000001</v>
      </c>
      <c r="F5721">
        <v>-0.01</v>
      </c>
    </row>
    <row r="5722" spans="1:6" x14ac:dyDescent="0.3">
      <c r="A5722" t="str">
        <f>HYPERLINK("https://us2.cloudbeds.com/connect/10074733072513#/reservations/31711039357178?display=MX28XBJJ4&amp;reservation_id=31711039357178", "MX28XBJJ4")</f>
        <v>MX28XBJJ4</v>
      </c>
      <c r="B5722" t="s">
        <v>1987</v>
      </c>
      <c r="C5722">
        <v>134.1</v>
      </c>
      <c r="D5722">
        <v>145.76</v>
      </c>
      <c r="E5722">
        <v>145.77000000000001</v>
      </c>
      <c r="F5722">
        <v>-0.01</v>
      </c>
    </row>
    <row r="5723" spans="1:6" x14ac:dyDescent="0.3">
      <c r="A5723" t="str">
        <f>HYPERLINK("https://us2.cloudbeds.com/connect/10074733072513#/reservations/31711421304978?display=MX2XADS5T&amp;reservation_id=31711421304978", "MX2XADS5T")</f>
        <v>MX2XADS5T</v>
      </c>
      <c r="B5723" t="s">
        <v>1990</v>
      </c>
      <c r="C5723">
        <v>134.1</v>
      </c>
      <c r="D5723">
        <v>145.76</v>
      </c>
      <c r="E5723">
        <v>145.77000000000001</v>
      </c>
      <c r="F5723">
        <v>-0.01</v>
      </c>
    </row>
    <row r="5724" spans="1:6" x14ac:dyDescent="0.3">
      <c r="A5724" t="str">
        <f>HYPERLINK("https://us2.cloudbeds.com/connect/10074733072513#/reservations/31710938271936?display=MX25JRPUF&amp;reservation_id=31710938271936", "MX25JRPUF")</f>
        <v>MX25JRPUF</v>
      </c>
      <c r="B5724" t="s">
        <v>1697</v>
      </c>
      <c r="C5724">
        <v>448.2</v>
      </c>
      <c r="D5724">
        <v>487.18</v>
      </c>
      <c r="E5724">
        <v>487.19</v>
      </c>
      <c r="F5724">
        <v>-0.01</v>
      </c>
    </row>
    <row r="5725" spans="1:6" x14ac:dyDescent="0.3">
      <c r="A5725" t="str">
        <f>HYPERLINK("https://us2.cloudbeds.com/connect/10074733072513#/reservations/31711302320342?display=MX2F92UNS&amp;reservation_id=31711302320342", "MX2F92UNS")</f>
        <v>MX2F92UNS</v>
      </c>
      <c r="B5725" t="s">
        <v>1994</v>
      </c>
      <c r="C5725">
        <v>134.1</v>
      </c>
      <c r="D5725">
        <v>145.76</v>
      </c>
      <c r="E5725">
        <v>145.77000000000001</v>
      </c>
      <c r="F5725">
        <v>-0.01</v>
      </c>
    </row>
    <row r="5726" spans="1:6" x14ac:dyDescent="0.3">
      <c r="A5726" t="str">
        <f>HYPERLINK("https://us2.cloudbeds.com/connect/10074733072513#/reservations/31711467647135?display=MX2JGGCVM&amp;reservation_id=31711467647135", "MX2JGGCVM")</f>
        <v>MX2JGGCVM</v>
      </c>
      <c r="B5726" t="s">
        <v>1996</v>
      </c>
      <c r="C5726">
        <v>285.60000000000002</v>
      </c>
      <c r="D5726">
        <v>310.44</v>
      </c>
      <c r="E5726">
        <v>310.45</v>
      </c>
      <c r="F5726">
        <v>-0.01</v>
      </c>
    </row>
    <row r="5727" spans="1:6" x14ac:dyDescent="0.3">
      <c r="A5727" t="str">
        <f>HYPERLINK("https://us2.cloudbeds.com/connect/10074733072513#/reservations/31711256690847?display=MX2E3K7BT&amp;reservation_id=31711256690847", "MX2E3K7BT")</f>
        <v>MX2E3K7BT</v>
      </c>
      <c r="B5727" t="s">
        <v>1995</v>
      </c>
      <c r="C5727">
        <v>208.6</v>
      </c>
      <c r="D5727">
        <v>226.74</v>
      </c>
      <c r="E5727">
        <v>226.75</v>
      </c>
      <c r="F5727">
        <v>-0.01</v>
      </c>
    </row>
    <row r="5728" spans="1:6" x14ac:dyDescent="0.3">
      <c r="A5728" t="str">
        <f>HYPERLINK("https://us2.cloudbeds.com/connect/10074733072513#/reservations/31711292928131?display=MX2F15J3D&amp;reservation_id=31711292928131", "MX2F15J3D")</f>
        <v>MX2F15J3D</v>
      </c>
      <c r="B5728" t="s">
        <v>1994</v>
      </c>
      <c r="C5728">
        <v>134.1</v>
      </c>
      <c r="D5728">
        <v>145.76</v>
      </c>
      <c r="E5728">
        <v>145.77000000000001</v>
      </c>
      <c r="F5728">
        <v>-0.01</v>
      </c>
    </row>
    <row r="5729" spans="1:6" x14ac:dyDescent="0.3">
      <c r="A5729" t="str">
        <f>HYPERLINK("https://us2.cloudbeds.com/connect/10074733072513#/reservations/31711694774479?display=MX2PA0X0F&amp;reservation_id=31711694774479", "MX2PA0X0F")</f>
        <v>MX2PA0X0F</v>
      </c>
      <c r="B5729" t="s">
        <v>1996</v>
      </c>
      <c r="C5729">
        <v>268.2</v>
      </c>
      <c r="D5729">
        <v>291.52</v>
      </c>
      <c r="E5729">
        <v>291.52999999999997</v>
      </c>
      <c r="F5729">
        <v>-0.01</v>
      </c>
    </row>
    <row r="5730" spans="1:6" x14ac:dyDescent="0.3">
      <c r="A5730" t="str">
        <f>HYPERLINK("https://us2.cloudbeds.com/connect/10074733072513#/reservations/31711468663016?display=MX2JHBYQV&amp;reservation_id=31711468663016", "MX2JHBYQV")</f>
        <v>MX2JHBYQV</v>
      </c>
      <c r="B5730" t="s">
        <v>1993</v>
      </c>
      <c r="C5730">
        <v>154.24</v>
      </c>
      <c r="D5730">
        <v>167.65</v>
      </c>
      <c r="E5730">
        <v>167.66</v>
      </c>
      <c r="F5730">
        <v>-0.01</v>
      </c>
    </row>
    <row r="5731" spans="1:6" x14ac:dyDescent="0.3">
      <c r="A5731" t="str">
        <f>HYPERLINK("https://us2.cloudbeds.com/connect/10074733072513#/reservations/31711569977479?display=MX2M3PT76&amp;reservation_id=31711569977479", "MX2M3PT76")</f>
        <v>MX2M3PT76</v>
      </c>
      <c r="B5731" t="s">
        <v>1996</v>
      </c>
      <c r="C5731">
        <v>134.1</v>
      </c>
      <c r="D5731">
        <v>145.76</v>
      </c>
      <c r="E5731">
        <v>145.77000000000001</v>
      </c>
      <c r="F5731">
        <v>-0.01</v>
      </c>
    </row>
    <row r="5732" spans="1:6" x14ac:dyDescent="0.3">
      <c r="A5732" t="str">
        <f>HYPERLINK("https://us2.cloudbeds.com/connect/10074733072513#/reservations/31702222446836?display=MHSE8N25S&amp;reservation_id=31702222446836", "MHSE8N25S")</f>
        <v>MHSE8N25S</v>
      </c>
      <c r="B5732" t="s">
        <v>1981</v>
      </c>
      <c r="C5732">
        <v>170.1</v>
      </c>
      <c r="D5732">
        <v>184.89</v>
      </c>
      <c r="E5732">
        <v>184.9</v>
      </c>
      <c r="F5732">
        <v>-0.01</v>
      </c>
    </row>
    <row r="5733" spans="1:6" x14ac:dyDescent="0.3">
      <c r="A5733" t="str">
        <f>HYPERLINK("https://us2.cloudbeds.com/connect/10074733072513#/reservations/31711162228939?display=MX2BMVMFR&amp;reservation_id=31711162228939", "MX2BMVMFR")</f>
        <v>MX2BMVMFR</v>
      </c>
      <c r="B5733" t="s">
        <v>1995</v>
      </c>
      <c r="C5733">
        <v>122.18</v>
      </c>
      <c r="D5733">
        <v>132.80000000000001</v>
      </c>
      <c r="E5733">
        <v>132.81</v>
      </c>
      <c r="F5733">
        <v>-0.01</v>
      </c>
    </row>
    <row r="5734" spans="1:6" x14ac:dyDescent="0.3">
      <c r="A5734" t="str">
        <f>HYPERLINK("https://us2.cloudbeds.com/connect/10074733072513#/reservations/31711148716186?display=MX2BBXM2F&amp;reservation_id=31711148716186", "MX2BBXM2F")</f>
        <v>MX2BBXM2F</v>
      </c>
      <c r="B5734" t="s">
        <v>1995</v>
      </c>
      <c r="C5734">
        <v>122.18</v>
      </c>
      <c r="D5734">
        <v>132.80000000000001</v>
      </c>
      <c r="E5734">
        <v>132.81</v>
      </c>
      <c r="F5734">
        <v>-0.01</v>
      </c>
    </row>
    <row r="5735" spans="1:6" x14ac:dyDescent="0.3">
      <c r="A5735" t="str">
        <f>HYPERLINK("https://us2.cloudbeds.com/connect/10074733072513#/reservations/31711434911881?display=MX2XYTG19&amp;reservation_id=31711434911881", "MX2XYTG19")</f>
        <v>MX2XYTG19</v>
      </c>
      <c r="B5735" t="s">
        <v>1996</v>
      </c>
      <c r="C5735">
        <v>134.1</v>
      </c>
      <c r="D5735">
        <v>145.76</v>
      </c>
      <c r="E5735">
        <v>145.77000000000001</v>
      </c>
      <c r="F5735">
        <v>-0.01</v>
      </c>
    </row>
    <row r="5736" spans="1:6" x14ac:dyDescent="0.3">
      <c r="A5736" t="str">
        <f>HYPERLINK("https://us2.cloudbeds.com/connect/10074733072513#/reservations/31711229935838?display=MX2DE1NV1&amp;reservation_id=31711229935838", "MX2DE1NV1")</f>
        <v>MX2DE1NV1</v>
      </c>
      <c r="B5736" t="s">
        <v>2000</v>
      </c>
      <c r="C5736">
        <v>134.1</v>
      </c>
      <c r="D5736">
        <v>145.76</v>
      </c>
      <c r="E5736">
        <v>145.77000000000001</v>
      </c>
      <c r="F5736">
        <v>-0.01</v>
      </c>
    </row>
    <row r="5737" spans="1:6" x14ac:dyDescent="0.3">
      <c r="A5737" t="str">
        <f>HYPERLINK("https://us2.cloudbeds.com/connect/10074733072513#/reservations/31702200438922?display=MHSDN4YTC&amp;reservation_id=31702200438922", "MHSDN4YTC")</f>
        <v>MHSDN4YTC</v>
      </c>
      <c r="B5737" t="s">
        <v>1984</v>
      </c>
      <c r="C5737">
        <v>134.1</v>
      </c>
      <c r="D5737">
        <v>145.76</v>
      </c>
      <c r="E5737">
        <v>145.77000000000001</v>
      </c>
      <c r="F5737">
        <v>-0.01</v>
      </c>
    </row>
    <row r="5738" spans="1:6" x14ac:dyDescent="0.3">
      <c r="A5738" t="str">
        <f>HYPERLINK("https://us2.cloudbeds.com/connect/10074733072513#/reservations/31711566090468?display=MX2M0GNSV&amp;reservation_id=31711566090468", "MX2M0GNSV")</f>
        <v>MX2M0GNSV</v>
      </c>
      <c r="B5738" t="s">
        <v>1987</v>
      </c>
      <c r="C5738">
        <v>134.1</v>
      </c>
      <c r="D5738">
        <v>145.76</v>
      </c>
      <c r="E5738">
        <v>145.77000000000001</v>
      </c>
      <c r="F5738">
        <v>-0.01</v>
      </c>
    </row>
    <row r="5739" spans="1:6" x14ac:dyDescent="0.3">
      <c r="A5739" t="str">
        <f>HYPERLINK("https://us2.cloudbeds.com/connect/10074733072513#/reservations/31702314184845?display=MHSGK1QPH&amp;reservation_id=31702314184845", "MHSGK1QPH")</f>
        <v>MHSGK1QPH</v>
      </c>
      <c r="B5739" t="s">
        <v>2001</v>
      </c>
      <c r="C5739">
        <v>348</v>
      </c>
      <c r="D5739">
        <v>378.27</v>
      </c>
      <c r="E5739">
        <v>378.28</v>
      </c>
      <c r="F5739">
        <v>-0.01</v>
      </c>
    </row>
    <row r="5740" spans="1:6" x14ac:dyDescent="0.3">
      <c r="A5740" t="str">
        <f>HYPERLINK("https://us2.cloudbeds.com/connect/10074733072513#/reservations/31711188222086?display=MX2CBSW9V&amp;reservation_id=31711188222086", "MX2CBSW9V")</f>
        <v>MX2CBSW9V</v>
      </c>
      <c r="B5740" t="s">
        <v>2000</v>
      </c>
      <c r="C5740">
        <v>278.8</v>
      </c>
      <c r="D5740">
        <v>303.05</v>
      </c>
      <c r="E5740">
        <v>303.06</v>
      </c>
      <c r="F5740">
        <v>-0.01</v>
      </c>
    </row>
    <row r="5741" spans="1:6" x14ac:dyDescent="0.3">
      <c r="A5741" t="str">
        <f>HYPERLINK("https://us2.cloudbeds.com/connect/10074733072513#/reservations/31710842060967?display=MX23GWHM2&amp;reservation_id=31710842060967", "MX23GWHM2")</f>
        <v>MX23GWHM2</v>
      </c>
      <c r="B5741" t="s">
        <v>1990</v>
      </c>
      <c r="C5741">
        <v>134.1</v>
      </c>
      <c r="D5741">
        <v>145.76</v>
      </c>
      <c r="E5741">
        <v>145.77000000000001</v>
      </c>
      <c r="F5741">
        <v>-0.01</v>
      </c>
    </row>
    <row r="5742" spans="1:6" x14ac:dyDescent="0.3">
      <c r="A5742" t="str">
        <f>HYPERLINK("https://us2.cloudbeds.com/connect/10074733072513#/reservations/31710944342172?display=MX2647YQH&amp;reservation_id=31710944342172", "MX2647YQH")</f>
        <v>MX2647YQH</v>
      </c>
      <c r="B5742" t="s">
        <v>2000</v>
      </c>
      <c r="C5742">
        <v>278.8</v>
      </c>
      <c r="D5742">
        <v>303.05</v>
      </c>
      <c r="E5742">
        <v>303.06</v>
      </c>
      <c r="F5742">
        <v>-0.01</v>
      </c>
    </row>
    <row r="5743" spans="1:6" x14ac:dyDescent="0.3">
      <c r="A5743" t="str">
        <f>HYPERLINK("https://us2.cloudbeds.com/connect/10074733072513#/reservations/31703161524431?display=MHT58X9CM&amp;reservation_id=31703161524431", "MHT58X9CM")</f>
        <v>MHT58X9CM</v>
      </c>
      <c r="B5743" t="s">
        <v>1947</v>
      </c>
      <c r="C5743">
        <v>170.1</v>
      </c>
      <c r="D5743">
        <v>184.89</v>
      </c>
      <c r="E5743">
        <v>184.9</v>
      </c>
      <c r="F5743">
        <v>-0.01</v>
      </c>
    </row>
    <row r="5744" spans="1:6" x14ac:dyDescent="0.3">
      <c r="A5744" t="str">
        <f>HYPERLINK("https://us2.cloudbeds.com/connect/10074733072513#/reservations/31711006019786?display=MX27N7UZ4&amp;reservation_id=31711006019786", "MX27N7UZ4")</f>
        <v>MX27N7UZ4</v>
      </c>
      <c r="B5744" t="s">
        <v>1990</v>
      </c>
      <c r="C5744">
        <v>134.1</v>
      </c>
      <c r="D5744">
        <v>145.76</v>
      </c>
      <c r="E5744">
        <v>145.77000000000001</v>
      </c>
      <c r="F5744">
        <v>-0.01</v>
      </c>
    </row>
    <row r="5745" spans="1:6" x14ac:dyDescent="0.3">
      <c r="A5745" t="str">
        <f>HYPERLINK("https://us2.cloudbeds.com/connect/10074733072513#/reservations/31701391593698?display=MHRQ13BY1&amp;reservation_id=31701391593698", "MHRQ13BY1")</f>
        <v>MHRQ13BY1</v>
      </c>
      <c r="B5745" t="s">
        <v>2003</v>
      </c>
      <c r="C5745">
        <v>285.60000000000002</v>
      </c>
      <c r="D5745">
        <v>310.44</v>
      </c>
      <c r="E5745">
        <v>310.45</v>
      </c>
      <c r="F5745">
        <v>-0.01</v>
      </c>
    </row>
    <row r="5746" spans="1:6" x14ac:dyDescent="0.3">
      <c r="A5746" t="str">
        <f>HYPERLINK("https://us2.cloudbeds.com/connect/10074733072513#/reservations/31702426525871?display=MHSJFPSJ1&amp;reservation_id=31702426525871", "MHSJFPSJ1")</f>
        <v>MHSJFPSJ1</v>
      </c>
      <c r="B5746" t="s">
        <v>1947</v>
      </c>
      <c r="C5746">
        <v>376.2</v>
      </c>
      <c r="D5746">
        <v>408.92</v>
      </c>
      <c r="E5746">
        <v>408.93</v>
      </c>
      <c r="F5746">
        <v>-0.01</v>
      </c>
    </row>
    <row r="5747" spans="1:6" x14ac:dyDescent="0.3">
      <c r="A5747" t="str">
        <f>HYPERLINK("https://us2.cloudbeds.com/connect/10074733072513#/reservations/31702650503365?display=MHSP6YC6R&amp;reservation_id=31702650503365", "MHSP6YC6R")</f>
        <v>MHSP6YC6R</v>
      </c>
      <c r="B5747" t="s">
        <v>1947</v>
      </c>
      <c r="C5747">
        <v>376.2</v>
      </c>
      <c r="D5747">
        <v>408.92</v>
      </c>
      <c r="E5747">
        <v>408.93</v>
      </c>
      <c r="F5747">
        <v>-0.01</v>
      </c>
    </row>
    <row r="5748" spans="1:6" x14ac:dyDescent="0.3">
      <c r="A5748" t="str">
        <f>HYPERLINK("https://us2.cloudbeds.com/connect/10074733072513#/reservations/31711146438853?display=MX2B9Y9SC&amp;reservation_id=31711146438853", "MX2B9Y9SC")</f>
        <v>MX2B9Y9SC</v>
      </c>
      <c r="B5748" t="s">
        <v>1997</v>
      </c>
      <c r="C5748">
        <v>134.1</v>
      </c>
      <c r="D5748">
        <v>145.76</v>
      </c>
      <c r="E5748">
        <v>145.77000000000001</v>
      </c>
      <c r="F5748">
        <v>-0.01</v>
      </c>
    </row>
    <row r="5749" spans="1:6" x14ac:dyDescent="0.3">
      <c r="A5749" t="str">
        <f>HYPERLINK("https://us2.cloudbeds.com/connect/10074733072513#/reservations/31702458851526?display=MHSKA1CCB&amp;reservation_id=31702458851526", "MHSKA1CCB")</f>
        <v>MHSKA1CCB</v>
      </c>
      <c r="B5749" t="s">
        <v>1947</v>
      </c>
      <c r="C5749">
        <v>456.3</v>
      </c>
      <c r="D5749">
        <v>495.99</v>
      </c>
      <c r="E5749">
        <v>496</v>
      </c>
      <c r="F5749">
        <v>-0.01</v>
      </c>
    </row>
    <row r="5750" spans="1:6" x14ac:dyDescent="0.3">
      <c r="A5750" t="str">
        <f>HYPERLINK("https://us2.cloudbeds.com/connect/10074733072513#/reservations/31702502514826?display=MHSYDSC7Y&amp;reservation_id=31702502514826", "MHSYDSC7Y")</f>
        <v>MHSYDSC7Y</v>
      </c>
      <c r="B5750" t="s">
        <v>1988</v>
      </c>
      <c r="C5750">
        <v>134.1</v>
      </c>
      <c r="D5750">
        <v>145.76</v>
      </c>
      <c r="E5750">
        <v>145.77000000000001</v>
      </c>
      <c r="F5750">
        <v>-0.01</v>
      </c>
    </row>
    <row r="5751" spans="1:6" x14ac:dyDescent="0.3">
      <c r="A5751" t="str">
        <f>HYPERLINK("https://us2.cloudbeds.com/connect/10074733072513#/reservations/31701775159476?display=MHS2RHKWE&amp;reservation_id=31701775159476", "MHS2RHKWE")</f>
        <v>MHS2RHKWE</v>
      </c>
      <c r="B5751" t="s">
        <v>1988</v>
      </c>
      <c r="C5751">
        <v>117.42</v>
      </c>
      <c r="D5751">
        <v>127.63</v>
      </c>
      <c r="E5751">
        <v>127.64</v>
      </c>
      <c r="F5751">
        <v>-0.01</v>
      </c>
    </row>
    <row r="5752" spans="1:6" x14ac:dyDescent="0.3">
      <c r="A5752" t="str">
        <f>HYPERLINK("https://us2.cloudbeds.com/connect/10074733072513#/reservations/31702884487347?display=MHSV5VAHH&amp;reservation_id=31702884487347", "MHSV5VAHH")</f>
        <v>MHSV5VAHH</v>
      </c>
      <c r="B5752" t="s">
        <v>1981</v>
      </c>
      <c r="C5752">
        <v>170.1</v>
      </c>
      <c r="D5752">
        <v>184.89</v>
      </c>
      <c r="E5752">
        <v>184.9</v>
      </c>
      <c r="F5752">
        <v>-0.01</v>
      </c>
    </row>
    <row r="5753" spans="1:6" x14ac:dyDescent="0.3">
      <c r="A5753" t="str">
        <f>HYPERLINK("https://us2.cloudbeds.com/connect/10074733072513#/reservations/31702988767365?display=MHT0RT242&amp;reservation_id=31702988767365", "MHT0RT242")</f>
        <v>MHT0RT242</v>
      </c>
      <c r="B5753" t="s">
        <v>1886</v>
      </c>
      <c r="C5753">
        <v>170.1</v>
      </c>
      <c r="D5753">
        <v>184.89</v>
      </c>
      <c r="E5753">
        <v>184.9</v>
      </c>
      <c r="F5753">
        <v>-0.01</v>
      </c>
    </row>
    <row r="5754" spans="1:6" x14ac:dyDescent="0.3">
      <c r="A5754" t="str">
        <f>HYPERLINK("https://us2.cloudbeds.com/connect/10074733072513#/reservations/31702212133078?display=MHSE002AZ&amp;reservation_id=31702212133078", "MHSE002AZ")</f>
        <v>MHSE002AZ</v>
      </c>
      <c r="B5754" t="s">
        <v>1981</v>
      </c>
      <c r="C5754">
        <v>334.4</v>
      </c>
      <c r="D5754">
        <v>363.48</v>
      </c>
      <c r="E5754">
        <v>363.49</v>
      </c>
      <c r="F5754">
        <v>-0.01</v>
      </c>
    </row>
    <row r="5755" spans="1:6" x14ac:dyDescent="0.3">
      <c r="A5755" t="str">
        <f>HYPERLINK("https://us2.cloudbeds.com/connect/10074733072513#/reservations/31702042808463?display=MHS9M7BWQ&amp;reservation_id=31702042808463", "MHS9M7BWQ")</f>
        <v>MHS9M7BWQ</v>
      </c>
      <c r="B5755" t="s">
        <v>1970</v>
      </c>
      <c r="C5755">
        <v>309.95999999999998</v>
      </c>
      <c r="D5755">
        <v>336.92</v>
      </c>
      <c r="E5755">
        <v>336.93</v>
      </c>
      <c r="F5755">
        <v>-0.01</v>
      </c>
    </row>
    <row r="5756" spans="1:6" x14ac:dyDescent="0.3">
      <c r="A5756" t="str">
        <f>HYPERLINK("https://us2.cloudbeds.com/connect/10074733072513#/reservations/31702199488667?display=MHSDMB79P&amp;reservation_id=31702199488667", "MHSDMB79P")</f>
        <v>MHSDMB79P</v>
      </c>
      <c r="B5756" t="s">
        <v>1981</v>
      </c>
      <c r="C5756">
        <v>170.1</v>
      </c>
      <c r="D5756">
        <v>184.89</v>
      </c>
      <c r="E5756">
        <v>184.9</v>
      </c>
      <c r="F5756">
        <v>-0.01</v>
      </c>
    </row>
    <row r="5757" spans="1:6" x14ac:dyDescent="0.3">
      <c r="A5757" t="str">
        <f>HYPERLINK("https://us2.cloudbeds.com/connect/10074733072513#/reservations/31702228136072?display=MHSEDGCEV&amp;reservation_id=31702228136072", "MHSEDGCEV")</f>
        <v>MHSEDGCEV</v>
      </c>
      <c r="B5757" t="s">
        <v>1981</v>
      </c>
      <c r="C5757">
        <v>170.1</v>
      </c>
      <c r="D5757">
        <v>184.89</v>
      </c>
      <c r="E5757">
        <v>184.9</v>
      </c>
      <c r="F5757">
        <v>-0.01</v>
      </c>
    </row>
    <row r="5758" spans="1:6" x14ac:dyDescent="0.3">
      <c r="A5758" t="str">
        <f>HYPERLINK("https://us2.cloudbeds.com/connect/10074733072513#/reservations/31702767333560?display=MHSS65B9P&amp;reservation_id=31702767333560", "MHSS65B9P")</f>
        <v>MHSS65B9P</v>
      </c>
      <c r="B5758" t="s">
        <v>2004</v>
      </c>
      <c r="C5758">
        <v>285.60000000000002</v>
      </c>
      <c r="D5758">
        <v>310.44</v>
      </c>
      <c r="E5758">
        <v>310.45</v>
      </c>
      <c r="F5758">
        <v>-0.01</v>
      </c>
    </row>
    <row r="5759" spans="1:6" x14ac:dyDescent="0.3">
      <c r="A5759" t="str">
        <f>HYPERLINK("https://us2.cloudbeds.com/connect/10074733072513#/reservations/31702792949977?display=MHSSRP55R&amp;reservation_id=31702792949977", "MHSSRP55R")</f>
        <v>MHSSRP55R</v>
      </c>
      <c r="B5759" t="s">
        <v>2004</v>
      </c>
      <c r="C5759">
        <v>250.2</v>
      </c>
      <c r="D5759">
        <v>271.95999999999998</v>
      </c>
      <c r="E5759">
        <v>271.97000000000003</v>
      </c>
      <c r="F5759">
        <v>-0.01</v>
      </c>
    </row>
    <row r="5760" spans="1:6" x14ac:dyDescent="0.3">
      <c r="A5760" t="str">
        <f>HYPERLINK("https://us2.cloudbeds.com/connect/10074733072513#/reservations/31702374256797?display=MHSX4ND8N&amp;reservation_id=31702374256797", "MHSX4ND8N")</f>
        <v>MHSX4ND8N</v>
      </c>
      <c r="B5760" t="s">
        <v>2007</v>
      </c>
      <c r="C5760">
        <v>103.2</v>
      </c>
      <c r="D5760">
        <v>112.17</v>
      </c>
      <c r="E5760">
        <v>112.18</v>
      </c>
      <c r="F5760">
        <v>-0.01</v>
      </c>
    </row>
    <row r="5761" spans="1:6" x14ac:dyDescent="0.3">
      <c r="A5761" t="str">
        <f>HYPERLINK("https://us2.cloudbeds.com/connect/10074733072513#/reservations/31700958159058?display=MHREVKD10&amp;reservation_id=31700958159058", "MHREVKD10")</f>
        <v>MHREVKD10</v>
      </c>
      <c r="B5761" t="s">
        <v>2008</v>
      </c>
      <c r="C5761">
        <v>170.1</v>
      </c>
      <c r="D5761">
        <v>184.89</v>
      </c>
      <c r="E5761">
        <v>184.9</v>
      </c>
      <c r="F5761">
        <v>-0.01</v>
      </c>
    </row>
    <row r="5762" spans="1:6" x14ac:dyDescent="0.3">
      <c r="A5762" t="str">
        <f>HYPERLINK("https://us2.cloudbeds.com/connect/10074733072513#/reservations/31702419210443?display=MHSJ9KA0D&amp;reservation_id=31702419210443", "MHSJ9KA0D")</f>
        <v>MHSJ9KA0D</v>
      </c>
      <c r="B5762" t="s">
        <v>2008</v>
      </c>
      <c r="C5762">
        <v>134.1</v>
      </c>
      <c r="D5762">
        <v>145.76</v>
      </c>
      <c r="E5762">
        <v>145.77000000000001</v>
      </c>
      <c r="F5762">
        <v>-0.01</v>
      </c>
    </row>
    <row r="5763" spans="1:6" x14ac:dyDescent="0.3">
      <c r="A5763" t="str">
        <f>HYPERLINK("https://us2.cloudbeds.com/connect/10074733072513#/reservations/31702792945895?display=MHSSRP1E4&amp;reservation_id=31702792945895", "MHSSRP1E4")</f>
        <v>MHSSRP1E4</v>
      </c>
      <c r="B5763" t="s">
        <v>2008</v>
      </c>
      <c r="C5763">
        <v>134.1</v>
      </c>
      <c r="D5763">
        <v>145.76</v>
      </c>
      <c r="E5763">
        <v>145.77000000000001</v>
      </c>
      <c r="F5763">
        <v>-0.01</v>
      </c>
    </row>
    <row r="5764" spans="1:6" x14ac:dyDescent="0.3">
      <c r="A5764" t="str">
        <f>HYPERLINK("https://us2.cloudbeds.com/connect/10074733072513#/reservations/31702401945743?display=MHSXS1T9M&amp;reservation_id=31702401945743", "MHSXS1T9M")</f>
        <v>MHSXS1T9M</v>
      </c>
      <c r="B5764" t="s">
        <v>2008</v>
      </c>
      <c r="C5764">
        <v>134.1</v>
      </c>
      <c r="D5764">
        <v>145.76</v>
      </c>
      <c r="E5764">
        <v>145.77000000000001</v>
      </c>
      <c r="F5764">
        <v>-0.01</v>
      </c>
    </row>
    <row r="5765" spans="1:6" x14ac:dyDescent="0.3">
      <c r="A5765" t="str">
        <f>HYPERLINK("https://us2.cloudbeds.com/connect/10074733072513#/reservations/31702730186949?display=MHSR7RMHT&amp;reservation_id=31702730186949", "MHSR7RMHT")</f>
        <v>MHSR7RMHT</v>
      </c>
      <c r="B5765" t="s">
        <v>2004</v>
      </c>
      <c r="C5765">
        <v>134.1</v>
      </c>
      <c r="D5765">
        <v>145.76</v>
      </c>
      <c r="E5765">
        <v>145.77000000000001</v>
      </c>
      <c r="F5765">
        <v>-0.01</v>
      </c>
    </row>
    <row r="5766" spans="1:6" x14ac:dyDescent="0.3">
      <c r="A5766" t="str">
        <f>HYPERLINK("https://us2.cloudbeds.com/connect/10074733072513#/reservations/31702305308832?display=MHSGCXR5D&amp;reservation_id=31702305308832", "MHSGCXR5D")</f>
        <v>MHSGCXR5D</v>
      </c>
      <c r="B5766" t="s">
        <v>2005</v>
      </c>
      <c r="C5766">
        <v>134.1</v>
      </c>
      <c r="D5766">
        <v>145.76</v>
      </c>
      <c r="E5766">
        <v>145.77000000000001</v>
      </c>
      <c r="F5766">
        <v>-0.01</v>
      </c>
    </row>
    <row r="5767" spans="1:6" x14ac:dyDescent="0.3">
      <c r="A5767" t="str">
        <f>HYPERLINK("https://us2.cloudbeds.com/connect/10074733072513#/reservations/31702023696544?display=MHS963X0Z&amp;reservation_id=31702023696544", "MHS963X0Z")</f>
        <v>MHS963X0Z</v>
      </c>
      <c r="B5767" t="s">
        <v>1970</v>
      </c>
      <c r="C5767">
        <v>405.6</v>
      </c>
      <c r="D5767">
        <v>440.88</v>
      </c>
      <c r="E5767">
        <v>440.89</v>
      </c>
      <c r="F5767">
        <v>-0.01</v>
      </c>
    </row>
    <row r="5768" spans="1:6" x14ac:dyDescent="0.3">
      <c r="A5768" t="str">
        <f>HYPERLINK("https://us2.cloudbeds.com/connect/10074733072513#/reservations/31701878235338?display=MHS5FESRD&amp;reservation_id=31701878235338", "MHS5FESRD")</f>
        <v>MHS5FESRD</v>
      </c>
      <c r="B5768" t="s">
        <v>2010</v>
      </c>
      <c r="C5768">
        <v>170.1</v>
      </c>
      <c r="D5768">
        <v>184.89</v>
      </c>
      <c r="E5768">
        <v>184.9</v>
      </c>
      <c r="F5768">
        <v>-0.01</v>
      </c>
    </row>
    <row r="5769" spans="1:6" x14ac:dyDescent="0.3">
      <c r="A5769" t="str">
        <f>HYPERLINK("https://us2.cloudbeds.com/connect/10074733072513#/reservations/31703007330500?display=MHT1AHK5A&amp;reservation_id=31703007330500", "MHT1AHK5A")</f>
        <v>MHT1AHK5A</v>
      </c>
      <c r="B5769" t="s">
        <v>2002</v>
      </c>
      <c r="C5769">
        <v>130.1</v>
      </c>
      <c r="D5769">
        <v>141.41</v>
      </c>
      <c r="E5769">
        <v>141.41999999999999</v>
      </c>
      <c r="F5769">
        <v>-0.01</v>
      </c>
    </row>
    <row r="5770" spans="1:6" x14ac:dyDescent="0.3">
      <c r="A5770" t="str">
        <f>HYPERLINK("https://us2.cloudbeds.com/connect/10074733072513#/reservations/31703028318340?display=MHT1S7KZF&amp;reservation_id=31703028318340", "MHT1S7KZF")</f>
        <v>MHT1S7KZF</v>
      </c>
      <c r="B5770" t="s">
        <v>1912</v>
      </c>
      <c r="C5770">
        <v>304.2</v>
      </c>
      <c r="D5770">
        <v>330.66</v>
      </c>
      <c r="E5770">
        <v>330.67</v>
      </c>
      <c r="F5770">
        <v>-0.01</v>
      </c>
    </row>
    <row r="5771" spans="1:6" x14ac:dyDescent="0.3">
      <c r="A5771" t="str">
        <f>HYPERLINK("https://us2.cloudbeds.com/connect/10074733072513#/reservations/31702102327524?display=MHSB6DXPN&amp;reservation_id=31702102327524", "MHSB6DXPN")</f>
        <v>MHSB6DXPN</v>
      </c>
      <c r="B5771" t="s">
        <v>2011</v>
      </c>
      <c r="C5771">
        <v>103.2</v>
      </c>
      <c r="D5771">
        <v>112.17</v>
      </c>
      <c r="E5771">
        <v>112.18</v>
      </c>
      <c r="F5771">
        <v>-0.01</v>
      </c>
    </row>
    <row r="5772" spans="1:6" x14ac:dyDescent="0.3">
      <c r="A5772" t="str">
        <f>HYPERLINK("https://us2.cloudbeds.com/connect/10074733072513#/reservations/31702668275906?display=MHSPYKU8M&amp;reservation_id=31702668275906", "MHSPYKU8M")</f>
        <v>MHSPYKU8M</v>
      </c>
      <c r="B5772" t="s">
        <v>1947</v>
      </c>
      <c r="C5772">
        <v>150.22</v>
      </c>
      <c r="D5772">
        <v>163.28</v>
      </c>
      <c r="E5772">
        <v>163.29</v>
      </c>
      <c r="F5772">
        <v>-0.01</v>
      </c>
    </row>
    <row r="5773" spans="1:6" x14ac:dyDescent="0.3">
      <c r="A5773" t="str">
        <f>HYPERLINK("https://us2.cloudbeds.com/connect/10074733072513#/reservations/31702698205393?display=MHSQDSZNR&amp;reservation_id=31702698205393", "MHSQDSZNR")</f>
        <v>MHSQDSZNR</v>
      </c>
      <c r="B5773" t="s">
        <v>2002</v>
      </c>
      <c r="C5773">
        <v>170.1</v>
      </c>
      <c r="D5773">
        <v>184.89</v>
      </c>
      <c r="E5773">
        <v>184.9</v>
      </c>
      <c r="F5773">
        <v>-0.01</v>
      </c>
    </row>
    <row r="5774" spans="1:6" x14ac:dyDescent="0.3">
      <c r="A5774" t="str">
        <f>HYPERLINK("https://us2.cloudbeds.com/connect/10074733072513#/reservations/31703095189663?display=MHT3XKDU6&amp;reservation_id=31703095189663", "MHT3XKDU6")</f>
        <v>MHT3XKDU6</v>
      </c>
      <c r="B5774" t="s">
        <v>1912</v>
      </c>
      <c r="C5774">
        <v>103.2</v>
      </c>
      <c r="D5774">
        <v>112.17</v>
      </c>
      <c r="E5774">
        <v>112.18</v>
      </c>
      <c r="F5774">
        <v>-0.01</v>
      </c>
    </row>
    <row r="5775" spans="1:6" x14ac:dyDescent="0.3">
      <c r="A5775" t="str">
        <f>HYPERLINK("https://us2.cloudbeds.com/connect/10074733072513#/reservations/31701664379130?display=MHS0040A8&amp;reservation_id=31701664379130", "MHS0040A8")</f>
        <v>MHS0040A8</v>
      </c>
      <c r="B5775" t="s">
        <v>1964</v>
      </c>
      <c r="C5775">
        <v>170.1</v>
      </c>
      <c r="D5775">
        <v>184.89</v>
      </c>
      <c r="E5775">
        <v>184.9</v>
      </c>
      <c r="F5775">
        <v>-0.01</v>
      </c>
    </row>
    <row r="5776" spans="1:6" x14ac:dyDescent="0.3">
      <c r="A5776" t="str">
        <f>HYPERLINK("https://us2.cloudbeds.com/connect/10074733072513#/reservations/31701693886655?display=MHS0P039M&amp;reservation_id=31701693886655", "MHS0P039M")</f>
        <v>MHS0P039M</v>
      </c>
      <c r="B5776" t="s">
        <v>1964</v>
      </c>
      <c r="C5776">
        <v>170.1</v>
      </c>
      <c r="D5776">
        <v>184.89</v>
      </c>
      <c r="E5776">
        <v>184.9</v>
      </c>
      <c r="F5776">
        <v>-0.01</v>
      </c>
    </row>
    <row r="5777" spans="1:6" x14ac:dyDescent="0.3">
      <c r="A5777" t="str">
        <f>HYPERLINK("https://us2.cloudbeds.com/connect/10074733072513#/reservations/31701664887007?display=MHS00X4MF&amp;reservation_id=31701664887007", "MHS00X4MF")</f>
        <v>MHS00X4MF</v>
      </c>
      <c r="B5777" t="s">
        <v>1916</v>
      </c>
      <c r="C5777">
        <v>304.2</v>
      </c>
      <c r="D5777">
        <v>330.66</v>
      </c>
      <c r="E5777">
        <v>330.67</v>
      </c>
      <c r="F5777">
        <v>-0.01</v>
      </c>
    </row>
    <row r="5778" spans="1:6" x14ac:dyDescent="0.3">
      <c r="A5778" t="str">
        <f>HYPERLINK("https://us2.cloudbeds.com/connect/10074733072513#/reservations/31702463172769?display=MHSKDMKF3&amp;reservation_id=31702463172769", "MHSKDMKF3")</f>
        <v>MHSKDMKF3</v>
      </c>
      <c r="B5778" t="s">
        <v>1970</v>
      </c>
      <c r="C5778">
        <v>302.39999999999998</v>
      </c>
      <c r="D5778">
        <v>328.7</v>
      </c>
      <c r="E5778">
        <v>328.71</v>
      </c>
      <c r="F5778">
        <v>-0.01</v>
      </c>
    </row>
    <row r="5779" spans="1:6" x14ac:dyDescent="0.3">
      <c r="A5779" t="str">
        <f>HYPERLINK("https://us2.cloudbeds.com/connect/10074733072513#/reservations/31703087706240?display=MHT35RJJM&amp;reservation_id=31703087706240", "MHT35RJJM")</f>
        <v>MHT35RJJM</v>
      </c>
      <c r="B5779" t="s">
        <v>2012</v>
      </c>
      <c r="C5779">
        <v>103.2</v>
      </c>
      <c r="D5779">
        <v>112.17</v>
      </c>
      <c r="E5779">
        <v>112.18</v>
      </c>
      <c r="F5779">
        <v>-0.01</v>
      </c>
    </row>
    <row r="5780" spans="1:6" x14ac:dyDescent="0.3">
      <c r="A5780" t="str">
        <f>HYPERLINK("https://us2.cloudbeds.com/connect/10074733072513#/reservations/31702015262918?display=MHS8VWSYA&amp;reservation_id=31702015262918", "MHS8VWSYA")</f>
        <v>MHS8VWSYA</v>
      </c>
      <c r="B5780" t="s">
        <v>1970</v>
      </c>
      <c r="C5780">
        <v>278.95999999999998</v>
      </c>
      <c r="D5780">
        <v>303.22000000000003</v>
      </c>
      <c r="E5780">
        <v>303.23</v>
      </c>
      <c r="F5780">
        <v>-0.01</v>
      </c>
    </row>
    <row r="5781" spans="1:6" x14ac:dyDescent="0.3">
      <c r="A5781" t="str">
        <f>HYPERLINK("https://us2.cloudbeds.com/connect/10074733072513#/reservations/31700826824900?display=MHRBJSRB1&amp;reservation_id=31700826824900", "MHRBJSRB1")</f>
        <v>MHRBJSRB1</v>
      </c>
      <c r="B5781" t="s">
        <v>1788</v>
      </c>
      <c r="C5781">
        <v>170.1</v>
      </c>
      <c r="D5781">
        <v>184.89</v>
      </c>
      <c r="E5781">
        <v>184.9</v>
      </c>
      <c r="F5781">
        <v>-0.01</v>
      </c>
    </row>
    <row r="5782" spans="1:6" x14ac:dyDescent="0.3">
      <c r="A5782" t="str">
        <f>HYPERLINK("https://us2.cloudbeds.com/connect/10074733072513#/reservations/31701972140180?display=MHS7SKU5M&amp;reservation_id=31701972140180", "MHS7SKU5M")</f>
        <v>MHS7SKU5M</v>
      </c>
      <c r="B5782" t="s">
        <v>1970</v>
      </c>
      <c r="C5782">
        <v>170.1</v>
      </c>
      <c r="D5782">
        <v>184.89</v>
      </c>
      <c r="E5782">
        <v>184.9</v>
      </c>
      <c r="F5782">
        <v>-0.01</v>
      </c>
    </row>
    <row r="5783" spans="1:6" x14ac:dyDescent="0.3">
      <c r="A5783" t="str">
        <f>HYPERLINK("https://us2.cloudbeds.com/connect/10074733072513#/reservations/31703036260510?display=MHT21UKR9&amp;reservation_id=31703036260510", "MHT21UKR9")</f>
        <v>MHT21UKR9</v>
      </c>
      <c r="B5783" t="s">
        <v>2013</v>
      </c>
      <c r="C5783">
        <v>456.3</v>
      </c>
      <c r="D5783">
        <v>495.99</v>
      </c>
      <c r="E5783">
        <v>496</v>
      </c>
      <c r="F5783">
        <v>-0.01</v>
      </c>
    </row>
    <row r="5784" spans="1:6" x14ac:dyDescent="0.3">
      <c r="A5784" t="str">
        <f>HYPERLINK("https://us2.cloudbeds.com/connect/10074733072513#/reservations/31701679866005?display=MHS0D5VGG&amp;reservation_id=31701679866005", "MHS0D5VGG")</f>
        <v>MHS0D5VGG</v>
      </c>
      <c r="B5784" t="s">
        <v>1916</v>
      </c>
      <c r="C5784">
        <v>154.24</v>
      </c>
      <c r="D5784">
        <v>167.65</v>
      </c>
      <c r="E5784">
        <v>167.66</v>
      </c>
      <c r="F5784">
        <v>-0.01</v>
      </c>
    </row>
    <row r="5785" spans="1:6" x14ac:dyDescent="0.3">
      <c r="A5785" t="str">
        <f>HYPERLINK("https://us2.cloudbeds.com/connect/10074733072513#/reservations/31703107674259?display=MHT3T4R69&amp;reservation_id=31703107674259", "MHT3T4R69")</f>
        <v>MHT3T4R69</v>
      </c>
      <c r="B5785" t="s">
        <v>2012</v>
      </c>
      <c r="C5785">
        <v>134.1</v>
      </c>
      <c r="D5785">
        <v>145.76</v>
      </c>
      <c r="E5785">
        <v>145.77000000000001</v>
      </c>
      <c r="F5785">
        <v>-0.01</v>
      </c>
    </row>
    <row r="5786" spans="1:6" x14ac:dyDescent="0.3">
      <c r="A5786" t="str">
        <f>HYPERLINK("https://us2.cloudbeds.com/connect/10074733072513#/reservations/31701402198144?display=MHRQ1WWXK&amp;reservation_id=31701402198144", "MHRQ1WWXK")</f>
        <v>MHRQ1WWXK</v>
      </c>
      <c r="B5786" t="s">
        <v>1796</v>
      </c>
      <c r="C5786">
        <v>500.4</v>
      </c>
      <c r="D5786">
        <v>543.91999999999996</v>
      </c>
      <c r="E5786">
        <v>543.92999999999995</v>
      </c>
      <c r="F5786">
        <v>-0.01</v>
      </c>
    </row>
    <row r="5787" spans="1:6" x14ac:dyDescent="0.3">
      <c r="A5787" t="str">
        <f>HYPERLINK("https://us2.cloudbeds.com/connect/10074733072513#/reservations/31701668106456?display=MHS038Z0H&amp;reservation_id=31701668106456", "MHS038Z0H")</f>
        <v>MHS038Z0H</v>
      </c>
      <c r="B5787" t="s">
        <v>1964</v>
      </c>
      <c r="C5787">
        <v>170.1</v>
      </c>
      <c r="D5787">
        <v>184.89</v>
      </c>
      <c r="E5787">
        <v>184.9</v>
      </c>
      <c r="F5787">
        <v>-0.01</v>
      </c>
    </row>
    <row r="5788" spans="1:6" x14ac:dyDescent="0.3">
      <c r="A5788" t="str">
        <f>HYPERLINK("https://us2.cloudbeds.com/connect/10074733072513#/reservations/31701581807818?display=MHRUTGB89&amp;reservation_id=31701581807818", "MHRUTGB89")</f>
        <v>MHRUTGB89</v>
      </c>
      <c r="B5788" t="s">
        <v>1970</v>
      </c>
      <c r="C5788">
        <v>278.95999999999998</v>
      </c>
      <c r="D5788">
        <v>303.22000000000003</v>
      </c>
      <c r="E5788">
        <v>303.23</v>
      </c>
      <c r="F5788">
        <v>-0.01</v>
      </c>
    </row>
    <row r="5789" spans="1:6" x14ac:dyDescent="0.3">
      <c r="A5789" t="str">
        <f>HYPERLINK("https://us2.cloudbeds.com/connect/10074733072513#/reservations/31702001111254?display=MHS8K22X0&amp;reservation_id=31702001111254", "MHS8K22X0")</f>
        <v>MHS8K22X0</v>
      </c>
      <c r="B5789" t="s">
        <v>1970</v>
      </c>
      <c r="C5789">
        <v>170.1</v>
      </c>
      <c r="D5789">
        <v>184.89</v>
      </c>
      <c r="E5789">
        <v>184.9</v>
      </c>
      <c r="F5789">
        <v>-0.01</v>
      </c>
    </row>
    <row r="5790" spans="1:6" x14ac:dyDescent="0.3">
      <c r="A5790" t="str">
        <f>HYPERLINK("https://us2.cloudbeds.com/connect/10074733072513#/reservations/31700894216346?display=MHRDAN342&amp;reservation_id=31700894216346", "MHRDAN342")</f>
        <v>MHRDAN342</v>
      </c>
      <c r="B5790" t="s">
        <v>2015</v>
      </c>
      <c r="C5790">
        <v>432.14</v>
      </c>
      <c r="D5790">
        <v>469.73</v>
      </c>
      <c r="E5790">
        <v>469.74</v>
      </c>
      <c r="F5790">
        <v>-0.01</v>
      </c>
    </row>
    <row r="5791" spans="1:6" x14ac:dyDescent="0.3">
      <c r="A5791" t="str">
        <f>HYPERLINK("https://us2.cloudbeds.com/connect/10074733072513#/reservations/31701689094379?display=MHS0KVZM6&amp;reservation_id=31701689094379", "MHS0KVZM6")</f>
        <v>MHS0KVZM6</v>
      </c>
      <c r="B5791" t="s">
        <v>1916</v>
      </c>
      <c r="C5791">
        <v>170.1</v>
      </c>
      <c r="D5791">
        <v>184.89</v>
      </c>
      <c r="E5791">
        <v>184.9</v>
      </c>
      <c r="F5791">
        <v>-0.01</v>
      </c>
    </row>
    <row r="5792" spans="1:6" x14ac:dyDescent="0.3">
      <c r="A5792" t="str">
        <f>HYPERLINK("https://us2.cloudbeds.com/connect/10074733072513#/reservations/31702023700628?display=MHS963YPG&amp;reservation_id=31702023700628", "MHS963YPG")</f>
        <v>MHS963YPG</v>
      </c>
      <c r="B5792" t="s">
        <v>1917</v>
      </c>
      <c r="C5792">
        <v>170.1</v>
      </c>
      <c r="D5792">
        <v>184.89</v>
      </c>
      <c r="E5792">
        <v>184.9</v>
      </c>
      <c r="F5792">
        <v>-0.01</v>
      </c>
    </row>
    <row r="5793" spans="1:6" x14ac:dyDescent="0.3">
      <c r="A5793" t="str">
        <f>HYPERLINK("https://us2.cloudbeds.com/connect/10074733072513#/reservations/31702103867542?display=MHSB7NDUU&amp;reservation_id=31702103867542", "MHSB7NDUU")</f>
        <v>MHSB7NDUU</v>
      </c>
      <c r="B5793" t="s">
        <v>2011</v>
      </c>
      <c r="C5793">
        <v>103.2</v>
      </c>
      <c r="D5793">
        <v>112.17</v>
      </c>
      <c r="E5793">
        <v>112.18</v>
      </c>
      <c r="F5793">
        <v>-0.01</v>
      </c>
    </row>
    <row r="5794" spans="1:6" x14ac:dyDescent="0.3">
      <c r="A5794" t="str">
        <f>HYPERLINK("https://us2.cloudbeds.com/connect/10074733072513#/reservations/31701419520193?display=MHRQZYEQF&amp;reservation_id=31701419520193", "MHRQZYEQF")</f>
        <v>MHRQZYEQF</v>
      </c>
      <c r="B5794" t="s">
        <v>1796</v>
      </c>
      <c r="C5794">
        <v>304.2</v>
      </c>
      <c r="D5794">
        <v>330.66</v>
      </c>
      <c r="E5794">
        <v>330.67</v>
      </c>
      <c r="F5794">
        <v>-0.01</v>
      </c>
    </row>
    <row r="5795" spans="1:6" x14ac:dyDescent="0.3">
      <c r="A5795" t="str">
        <f>HYPERLINK("https://us2.cloudbeds.com/connect/10074733072513#/reservations/31702296875200?display=MHSG5F12Y&amp;reservation_id=31702296875200", "MHSG5F12Y")</f>
        <v>MHSG5F12Y</v>
      </c>
      <c r="B5795" t="s">
        <v>1796</v>
      </c>
      <c r="C5795">
        <v>304.2</v>
      </c>
      <c r="D5795">
        <v>330.66</v>
      </c>
      <c r="E5795">
        <v>330.67</v>
      </c>
      <c r="F5795">
        <v>-0.01</v>
      </c>
    </row>
    <row r="5796" spans="1:6" x14ac:dyDescent="0.3">
      <c r="A5796" t="str">
        <f>HYPERLINK("https://us2.cloudbeds.com/connect/10074733072513#/reservations/31701264367843?display=MHRMPR3G3&amp;reservation_id=31701264367843", "MHRMPR3G3")</f>
        <v>MHRMPR3G3</v>
      </c>
      <c r="B5796" t="s">
        <v>2010</v>
      </c>
      <c r="C5796">
        <v>348</v>
      </c>
      <c r="D5796">
        <v>378.27</v>
      </c>
      <c r="E5796">
        <v>378.28</v>
      </c>
      <c r="F5796">
        <v>-0.01</v>
      </c>
    </row>
    <row r="5797" spans="1:6" x14ac:dyDescent="0.3">
      <c r="A5797" t="str">
        <f>HYPERLINK("https://us2.cloudbeds.com/connect/10074733072513#/reservations/31702641234093?display=MHSZVREFQ&amp;reservation_id=31702641234093", "MHSZVREFQ")</f>
        <v>MHSZVREFQ</v>
      </c>
      <c r="B5797" t="s">
        <v>2011</v>
      </c>
      <c r="C5797">
        <v>134.1</v>
      </c>
      <c r="D5797">
        <v>145.76</v>
      </c>
      <c r="E5797">
        <v>145.77000000000001</v>
      </c>
      <c r="F5797">
        <v>-0.01</v>
      </c>
    </row>
    <row r="5798" spans="1:6" x14ac:dyDescent="0.3">
      <c r="A5798" t="str">
        <f>HYPERLINK("https://us2.cloudbeds.com/connect/10074733072513#/reservations/31701147234499?display=MHRJQ1N0R&amp;reservation_id=31701147234499", "MHRJQ1N0R")</f>
        <v>MHRJQ1N0R</v>
      </c>
      <c r="B5798" t="s">
        <v>1999</v>
      </c>
      <c r="C5798">
        <v>208.6</v>
      </c>
      <c r="D5798">
        <v>226.74</v>
      </c>
      <c r="E5798">
        <v>226.75</v>
      </c>
      <c r="F5798">
        <v>-0.01</v>
      </c>
    </row>
    <row r="5799" spans="1:6" x14ac:dyDescent="0.3">
      <c r="A5799" t="str">
        <f>HYPERLINK("https://us2.cloudbeds.com/connect/10074733072513#/reservations/31702267551917?display=MHSFDZ5WG&amp;reservation_id=31702267551917", "MHSFDZ5WG")</f>
        <v>MHSFDZ5WG</v>
      </c>
      <c r="B5799" t="s">
        <v>1796</v>
      </c>
      <c r="C5799">
        <v>170.1</v>
      </c>
      <c r="D5799">
        <v>184.89</v>
      </c>
      <c r="E5799">
        <v>184.9</v>
      </c>
      <c r="F5799">
        <v>-0.01</v>
      </c>
    </row>
    <row r="5800" spans="1:6" x14ac:dyDescent="0.3">
      <c r="A5800" t="str">
        <f>HYPERLINK("https://us2.cloudbeds.com/connect/10074733072513#/reservations/31702257975513?display=MHSF5YN7E&amp;reservation_id=31702257975513", "MHSF5YN7E")</f>
        <v>MHSF5YN7E</v>
      </c>
      <c r="B5800" t="s">
        <v>1796</v>
      </c>
      <c r="C5800">
        <v>134.1</v>
      </c>
      <c r="D5800">
        <v>145.76</v>
      </c>
      <c r="E5800">
        <v>145.77000000000001</v>
      </c>
      <c r="F5800">
        <v>-0.01</v>
      </c>
    </row>
    <row r="5801" spans="1:6" x14ac:dyDescent="0.3">
      <c r="A5801" t="str">
        <f>HYPERLINK("https://us2.cloudbeds.com/connect/10074733072513#/reservations/31702224629947?display=MHSEAHQSZ&amp;reservation_id=31702224629947", "MHSEAHQSZ")</f>
        <v>MHSEAHQSZ</v>
      </c>
      <c r="B5801" t="s">
        <v>1796</v>
      </c>
      <c r="C5801">
        <v>134.1</v>
      </c>
      <c r="D5801">
        <v>145.76</v>
      </c>
      <c r="E5801">
        <v>145.77000000000001</v>
      </c>
      <c r="F5801">
        <v>-0.01</v>
      </c>
    </row>
    <row r="5802" spans="1:6" x14ac:dyDescent="0.3">
      <c r="A5802" t="str">
        <f>HYPERLINK("https://us2.cloudbeds.com/connect/10074733072513#/reservations/31701457023200?display=MHRRN90R7&amp;reservation_id=31701457023200", "MHRRN90R7")</f>
        <v>MHRRN90R7</v>
      </c>
      <c r="B5802" t="s">
        <v>1796</v>
      </c>
      <c r="C5802">
        <v>134.1</v>
      </c>
      <c r="D5802">
        <v>145.76</v>
      </c>
      <c r="E5802">
        <v>145.77000000000001</v>
      </c>
      <c r="F5802">
        <v>-0.01</v>
      </c>
    </row>
    <row r="5803" spans="1:6" x14ac:dyDescent="0.3">
      <c r="A5803" t="str">
        <f>HYPERLINK("https://us2.cloudbeds.com/connect/10074733072513#/reservations/31701905944713?display=MHS65QUKE&amp;reservation_id=31701905944713", "MHS65QUKE")</f>
        <v>MHS65QUKE</v>
      </c>
      <c r="B5803" t="s">
        <v>2010</v>
      </c>
      <c r="C5803">
        <v>280.10000000000002</v>
      </c>
      <c r="D5803">
        <v>304.45999999999998</v>
      </c>
      <c r="E5803">
        <v>304.47000000000003</v>
      </c>
      <c r="F5803">
        <v>-0.01</v>
      </c>
    </row>
    <row r="5804" spans="1:6" x14ac:dyDescent="0.3">
      <c r="A5804" t="str">
        <f>HYPERLINK("https://us2.cloudbeds.com/connect/10074733072513#/reservations/31702638674078?display=MHSZTM6MJ&amp;reservation_id=31702638674078", "MHSZTM6MJ")</f>
        <v>MHSZTM6MJ</v>
      </c>
      <c r="B5804" t="s">
        <v>1917</v>
      </c>
      <c r="C5804">
        <v>170.1</v>
      </c>
      <c r="D5804">
        <v>184.89</v>
      </c>
      <c r="E5804">
        <v>184.9</v>
      </c>
      <c r="F5804">
        <v>-0.01</v>
      </c>
    </row>
    <row r="5805" spans="1:6" x14ac:dyDescent="0.3">
      <c r="A5805" t="str">
        <f>HYPERLINK("https://us2.cloudbeds.com/connect/10074733072513#/reservations/31701917130999?display=MHS6F86MQ&amp;reservation_id=31701917130999", "MHS6F86MQ")</f>
        <v>MHS6F86MQ</v>
      </c>
      <c r="B5805" t="s">
        <v>2010</v>
      </c>
      <c r="C5805">
        <v>384.3</v>
      </c>
      <c r="D5805">
        <v>417.72</v>
      </c>
      <c r="E5805">
        <v>417.73</v>
      </c>
      <c r="F5805">
        <v>-0.01</v>
      </c>
    </row>
    <row r="5806" spans="1:6" x14ac:dyDescent="0.3">
      <c r="A5806" t="str">
        <f>HYPERLINK("https://us2.cloudbeds.com/connect/10074733072513#/reservations/31701509353612?display=MHRT1D6F9&amp;reservation_id=31701509353612", "MHRT1D6F9")</f>
        <v>MHRT1D6F9</v>
      </c>
      <c r="B5806" t="s">
        <v>2019</v>
      </c>
      <c r="C5806">
        <v>268.2</v>
      </c>
      <c r="D5806">
        <v>291.52</v>
      </c>
      <c r="E5806">
        <v>291.52999999999997</v>
      </c>
      <c r="F5806">
        <v>-0.01</v>
      </c>
    </row>
    <row r="5807" spans="1:6" x14ac:dyDescent="0.3">
      <c r="A5807" t="str">
        <f>HYPERLINK("https://us2.cloudbeds.com/connect/10074733072513#/reservations/31700835881182?display=MHRBRGRFR&amp;reservation_id=31700835881182", "MHRBRGRFR")</f>
        <v>MHRBRGRFR</v>
      </c>
      <c r="B5807" t="s">
        <v>1788</v>
      </c>
      <c r="C5807">
        <v>170.1</v>
      </c>
      <c r="D5807">
        <v>184.89</v>
      </c>
      <c r="E5807">
        <v>184.9</v>
      </c>
      <c r="F5807">
        <v>-0.01</v>
      </c>
    </row>
    <row r="5808" spans="1:6" x14ac:dyDescent="0.3">
      <c r="A5808" t="str">
        <f>HYPERLINK("https://us2.cloudbeds.com/connect/10074733072513#/reservations/31702799532227?display=MHST0AAFV&amp;reservation_id=31702799532227", "MHST0AAFV")</f>
        <v>MHST0AAFV</v>
      </c>
      <c r="B5808" t="s">
        <v>2023</v>
      </c>
      <c r="C5808">
        <v>89.38</v>
      </c>
      <c r="D5808">
        <v>97.15</v>
      </c>
      <c r="E5808">
        <v>97.16</v>
      </c>
      <c r="F5808">
        <v>-0.01</v>
      </c>
    </row>
    <row r="5809" spans="1:6" x14ac:dyDescent="0.3">
      <c r="A5809" t="str">
        <f>HYPERLINK("https://us2.cloudbeds.com/connect/10074733072513#/reservations/31701224497401?display=MHRYP6YGT&amp;reservation_id=31701224497401", "MHRYP6YGT")</f>
        <v>MHRYP6YGT</v>
      </c>
      <c r="B5809" t="s">
        <v>2010</v>
      </c>
      <c r="C5809">
        <v>247.3</v>
      </c>
      <c r="D5809">
        <v>268.81</v>
      </c>
      <c r="E5809">
        <v>268.82</v>
      </c>
      <c r="F5809">
        <v>-0.01</v>
      </c>
    </row>
    <row r="5810" spans="1:6" x14ac:dyDescent="0.3">
      <c r="A5810" t="str">
        <f>HYPERLINK("https://us2.cloudbeds.com/connect/10074733072513#/reservations/31701148766394?display=MHRJRBANT&amp;reservation_id=31701148766394", "MHRJRBANT")</f>
        <v>MHRJRBANT</v>
      </c>
      <c r="B5810" t="s">
        <v>2023</v>
      </c>
      <c r="C5810">
        <v>89.38</v>
      </c>
      <c r="D5810">
        <v>97.15</v>
      </c>
      <c r="E5810">
        <v>97.16</v>
      </c>
      <c r="F5810">
        <v>-0.01</v>
      </c>
    </row>
    <row r="5811" spans="1:6" x14ac:dyDescent="0.3">
      <c r="A5811" t="str">
        <f>HYPERLINK("https://us2.cloudbeds.com/connect/10074733072513#/reservations/31701096882401?display=MHRXGJJ0M&amp;reservation_id=31701096882401", "MHRXGJJ0M")</f>
        <v>MHRXGJJ0M</v>
      </c>
      <c r="B5811" t="s">
        <v>1999</v>
      </c>
      <c r="C5811">
        <v>592.34</v>
      </c>
      <c r="D5811">
        <v>643.86</v>
      </c>
      <c r="E5811">
        <v>643.87</v>
      </c>
      <c r="F5811">
        <v>-0.01</v>
      </c>
    </row>
    <row r="5812" spans="1:6" x14ac:dyDescent="0.3">
      <c r="A5812" t="str">
        <f>HYPERLINK("https://us2.cloudbeds.com/connect/10074733072513#/reservations/31701604651188?display=MHRVFZWNK&amp;reservation_id=31701604651188", "MHRVFZWNK")</f>
        <v>MHRVFZWNK</v>
      </c>
      <c r="B5812" t="s">
        <v>2018</v>
      </c>
      <c r="C5812">
        <v>87.2</v>
      </c>
      <c r="D5812">
        <v>94.78</v>
      </c>
      <c r="E5812">
        <v>94.79</v>
      </c>
      <c r="F5812">
        <v>-0.01</v>
      </c>
    </row>
    <row r="5813" spans="1:6" x14ac:dyDescent="0.3">
      <c r="A5813" t="str">
        <f>HYPERLINK("https://us2.cloudbeds.com/connect/10074733072513#/reservations/31701534093471?display=MHRTM8KDW&amp;reservation_id=31701534093471", "MHRTM8KDW")</f>
        <v>MHRTM8KDW</v>
      </c>
      <c r="B5813" t="s">
        <v>2019</v>
      </c>
      <c r="C5813">
        <v>182.36</v>
      </c>
      <c r="D5813">
        <v>198.22</v>
      </c>
      <c r="E5813">
        <v>198.23</v>
      </c>
      <c r="F5813">
        <v>-0.01</v>
      </c>
    </row>
    <row r="5814" spans="1:6" x14ac:dyDescent="0.3">
      <c r="A5814" t="str">
        <f>HYPERLINK("https://us2.cloudbeds.com/connect/10074733072513#/reservations/31701930414237?display=MHS6QERB5&amp;reservation_id=31701930414237", "MHS6QERB5")</f>
        <v>MHS6QERB5</v>
      </c>
      <c r="B5814" t="s">
        <v>1833</v>
      </c>
      <c r="C5814">
        <v>264.2</v>
      </c>
      <c r="D5814">
        <v>287.18</v>
      </c>
      <c r="E5814">
        <v>287.19</v>
      </c>
      <c r="F5814">
        <v>-0.01</v>
      </c>
    </row>
    <row r="5815" spans="1:6" x14ac:dyDescent="0.3">
      <c r="A5815" t="str">
        <f>HYPERLINK("https://us2.cloudbeds.com/connect/10074733072513#/reservations/31701937799360?display=MHS6WM76J&amp;reservation_id=31701937799360", "MHS6WM76J")</f>
        <v>MHS6WM76J</v>
      </c>
      <c r="B5815" t="s">
        <v>1833</v>
      </c>
      <c r="C5815">
        <v>264.2</v>
      </c>
      <c r="D5815">
        <v>287.18</v>
      </c>
      <c r="E5815">
        <v>287.19</v>
      </c>
      <c r="F5815">
        <v>-0.01</v>
      </c>
    </row>
    <row r="5816" spans="1:6" x14ac:dyDescent="0.3">
      <c r="A5816" t="str">
        <f>HYPERLINK("https://us2.cloudbeds.com/connect/10074733072513#/reservations/31701547716754?display=MHRU0ZNAZ&amp;reservation_id=31701547716754", "MHRU0ZNAZ")</f>
        <v>MHRU0ZNAZ</v>
      </c>
      <c r="B5816" t="s">
        <v>1833</v>
      </c>
      <c r="C5816">
        <v>254.4</v>
      </c>
      <c r="D5816">
        <v>276.52</v>
      </c>
      <c r="E5816">
        <v>276.52999999999997</v>
      </c>
      <c r="F5816">
        <v>-0.01</v>
      </c>
    </row>
    <row r="5817" spans="1:6" x14ac:dyDescent="0.3">
      <c r="A5817" t="str">
        <f>HYPERLINK("https://us2.cloudbeds.com/connect/10074733072513#/reservations/31701517516985?display=MHRT89BM7&amp;reservation_id=31701517516985", "MHRT89BM7")</f>
        <v>MHRT89BM7</v>
      </c>
      <c r="B5817" t="s">
        <v>2019</v>
      </c>
      <c r="C5817">
        <v>76.16</v>
      </c>
      <c r="D5817">
        <v>82.78</v>
      </c>
      <c r="E5817">
        <v>82.79</v>
      </c>
      <c r="F5817">
        <v>-0.01</v>
      </c>
    </row>
    <row r="5818" spans="1:6" x14ac:dyDescent="0.3">
      <c r="A5818" t="str">
        <f>HYPERLINK("https://us2.cloudbeds.com/connect/10074733072513#/reservations/31700939161832?display=MHREFJPCG&amp;reservation_id=31700939161832", "MHREFJPCG")</f>
        <v>MHREFJPCG</v>
      </c>
      <c r="B5818" t="s">
        <v>2024</v>
      </c>
      <c r="C5818">
        <v>196.2</v>
      </c>
      <c r="D5818">
        <v>213.26</v>
      </c>
      <c r="E5818">
        <v>213.27</v>
      </c>
      <c r="F5818">
        <v>-0.01</v>
      </c>
    </row>
    <row r="5819" spans="1:6" x14ac:dyDescent="0.3">
      <c r="A5819" t="str">
        <f>HYPERLINK("https://us2.cloudbeds.com/connect/10074733072513#/reservations/31702248083648?display=MHSEUAB2P&amp;reservation_id=31702248083648", "MHSEUAB2P")</f>
        <v>MHSEUAB2P</v>
      </c>
      <c r="B5819" t="s">
        <v>1984</v>
      </c>
      <c r="C5819">
        <v>87.2</v>
      </c>
      <c r="D5819">
        <v>94.78</v>
      </c>
      <c r="E5819">
        <v>94.79</v>
      </c>
      <c r="F5819">
        <v>-0.01</v>
      </c>
    </row>
    <row r="5820" spans="1:6" x14ac:dyDescent="0.3">
      <c r="A5820" t="str">
        <f>HYPERLINK("https://us2.cloudbeds.com/connect/10074733072513#/reservations/31701079945427?display=MHRX2A981&amp;reservation_id=31701079945427", "MHRX2A981")</f>
        <v>MHRX2A981</v>
      </c>
      <c r="B5820" t="s">
        <v>2024</v>
      </c>
      <c r="C5820">
        <v>268.2</v>
      </c>
      <c r="D5820">
        <v>291.52</v>
      </c>
      <c r="E5820">
        <v>291.52999999999997</v>
      </c>
      <c r="F5820">
        <v>-0.01</v>
      </c>
    </row>
    <row r="5821" spans="1:6" x14ac:dyDescent="0.3">
      <c r="A5821" t="str">
        <f>HYPERLINK("https://us2.cloudbeds.com/connect/10074733072513#/reservations/31700861939850?display=MHRCGFVFE&amp;reservation_id=31700861939850", "MHRCGFVFE")</f>
        <v>MHRCGFVFE</v>
      </c>
      <c r="B5821" t="s">
        <v>2024</v>
      </c>
      <c r="C5821">
        <v>89.38</v>
      </c>
      <c r="D5821">
        <v>97.15</v>
      </c>
      <c r="E5821">
        <v>97.16</v>
      </c>
      <c r="F5821">
        <v>-0.01</v>
      </c>
    </row>
    <row r="5822" spans="1:6" x14ac:dyDescent="0.3">
      <c r="A5822" t="str">
        <f>HYPERLINK("https://us2.cloudbeds.com/connect/10074733072513#/reservations/31701742686430?display=MHS2050RZ&amp;reservation_id=31701742686430", "MHS2050RZ")</f>
        <v>MHS2050RZ</v>
      </c>
      <c r="B5822" t="s">
        <v>2024</v>
      </c>
      <c r="C5822">
        <v>134.1</v>
      </c>
      <c r="D5822">
        <v>145.76</v>
      </c>
      <c r="E5822">
        <v>145.77000000000001</v>
      </c>
      <c r="F5822">
        <v>-0.01</v>
      </c>
    </row>
    <row r="5823" spans="1:6" x14ac:dyDescent="0.3">
      <c r="A5823" t="str">
        <f>HYPERLINK("https://us2.cloudbeds.com/connect/10074733072513#/reservations/31701130522758?display=MHRJBVM2E&amp;reservation_id=31701130522758", "MHRJBVM2E")</f>
        <v>MHRJBVM2E</v>
      </c>
      <c r="B5823" t="s">
        <v>1999</v>
      </c>
      <c r="C5823">
        <v>280.10000000000002</v>
      </c>
      <c r="D5823">
        <v>304.45999999999998</v>
      </c>
      <c r="E5823">
        <v>304.47000000000003</v>
      </c>
      <c r="F5823">
        <v>-0.01</v>
      </c>
    </row>
    <row r="5824" spans="1:6" x14ac:dyDescent="0.3">
      <c r="A5824" t="str">
        <f>HYPERLINK("https://us2.cloudbeds.com/connect/10074733072513#/reservations/31701258190992?display=MHRMKK7EQ&amp;reservation_id=31701258190992", "MHRMKK7EQ")</f>
        <v>MHRMKK7EQ</v>
      </c>
      <c r="B5824" t="s">
        <v>2027</v>
      </c>
      <c r="C5824">
        <v>134.1</v>
      </c>
      <c r="D5824">
        <v>145.76</v>
      </c>
      <c r="E5824">
        <v>145.77000000000001</v>
      </c>
      <c r="F5824">
        <v>-0.01</v>
      </c>
    </row>
    <row r="5825" spans="1:6" x14ac:dyDescent="0.3">
      <c r="A5825" t="str">
        <f>HYPERLINK("https://us2.cloudbeds.com/connect/10074733072513#/reservations/31700794478723?display=MHRAPJZMS&amp;reservation_id=31700794478723", "MHRAPJZMS")</f>
        <v>MHRAPJZMS</v>
      </c>
      <c r="B5825" t="s">
        <v>2015</v>
      </c>
      <c r="C5825">
        <v>89.38</v>
      </c>
      <c r="D5825">
        <v>97.15</v>
      </c>
      <c r="E5825">
        <v>97.16</v>
      </c>
      <c r="F5825">
        <v>-0.01</v>
      </c>
    </row>
    <row r="5826" spans="1:6" x14ac:dyDescent="0.3">
      <c r="A5826" t="str">
        <f>HYPERLINK("https://us2.cloudbeds.com/connect/10074733072513#/reservations/31700921311372?display=MHRE0X1PF&amp;reservation_id=31700921311372", "MHRE0X1PF")</f>
        <v>MHRE0X1PF</v>
      </c>
      <c r="B5826" t="s">
        <v>2015</v>
      </c>
      <c r="C5826">
        <v>87.2</v>
      </c>
      <c r="D5826">
        <v>94.78</v>
      </c>
      <c r="E5826">
        <v>94.79</v>
      </c>
      <c r="F5826">
        <v>-0.01</v>
      </c>
    </row>
    <row r="5827" spans="1:6" x14ac:dyDescent="0.3">
      <c r="A5827" t="str">
        <f>HYPERLINK("https://us2.cloudbeds.com/connect/10074733072513#/reservations/31701079687309?display=MHRX23379&amp;reservation_id=31701079687309", "MHRX23379")</f>
        <v>MHRX23379</v>
      </c>
      <c r="B5827" t="s">
        <v>2025</v>
      </c>
      <c r="C5827">
        <v>268.2</v>
      </c>
      <c r="D5827">
        <v>291.52</v>
      </c>
      <c r="E5827">
        <v>291.52999999999997</v>
      </c>
      <c r="F5827">
        <v>-0.01</v>
      </c>
    </row>
    <row r="5828" spans="1:6" x14ac:dyDescent="0.3">
      <c r="A5828" t="str">
        <f>HYPERLINK("https://us2.cloudbeds.com/connect/10074733072513#/reservations/31700969611444?display=MHRF892F0&amp;reservation_id=31700969611444", "MHRF892F0")</f>
        <v>MHRF892F0</v>
      </c>
      <c r="B5828" t="s">
        <v>2026</v>
      </c>
      <c r="C5828">
        <v>588.6</v>
      </c>
      <c r="D5828">
        <v>639.79999999999995</v>
      </c>
      <c r="E5828">
        <v>639.80999999999995</v>
      </c>
      <c r="F5828">
        <v>-0.01</v>
      </c>
    </row>
    <row r="5829" spans="1:6" x14ac:dyDescent="0.3">
      <c r="A5829" t="str">
        <f>HYPERLINK("https://us2.cloudbeds.com/connect/10074733072513#/reservations/31701235601540?display=MHRM1XY4V&amp;reservation_id=31701235601540", "MHRM1XY4V")</f>
        <v>MHRM1XY4V</v>
      </c>
      <c r="B5829" t="s">
        <v>2021</v>
      </c>
      <c r="C5829">
        <v>196.2</v>
      </c>
      <c r="D5829">
        <v>213.26</v>
      </c>
      <c r="E5829">
        <v>213.27</v>
      </c>
      <c r="F5829">
        <v>-0.01</v>
      </c>
    </row>
    <row r="5830" spans="1:6" x14ac:dyDescent="0.3">
      <c r="A5830" t="str">
        <f>HYPERLINK("https://us2.cloudbeds.com/connect/10074733072513#/reservations/31700760068263?display=MHR9TJ7FK&amp;reservation_id=31700760068263", "MHR9TJ7FK")</f>
        <v>MHR9TJ7FK</v>
      </c>
      <c r="B5830" t="s">
        <v>2021</v>
      </c>
      <c r="C5830">
        <v>196.2</v>
      </c>
      <c r="D5830">
        <v>213.26</v>
      </c>
      <c r="E5830">
        <v>213.27</v>
      </c>
      <c r="F5830">
        <v>-0.01</v>
      </c>
    </row>
    <row r="5831" spans="1:6" x14ac:dyDescent="0.3">
      <c r="A5831" t="str">
        <f>HYPERLINK("https://us2.cloudbeds.com/connect/10074733072513#/reservations/31700777189539?display=MHRAB0YG6&amp;reservation_id=31700777189539", "MHRAB0YG6")</f>
        <v>MHRAB0YG6</v>
      </c>
      <c r="B5831" t="s">
        <v>2017</v>
      </c>
      <c r="C5831">
        <v>160.1</v>
      </c>
      <c r="D5831">
        <v>174.02</v>
      </c>
      <c r="E5831">
        <v>174.03</v>
      </c>
      <c r="F5831">
        <v>-0.01</v>
      </c>
    </row>
    <row r="5832" spans="1:6" x14ac:dyDescent="0.3">
      <c r="A5832" t="str">
        <f>HYPERLINK("https://us2.cloudbeds.com/connect/10074733072513#/reservations/31701007257758?display=MHRG70Y2D&amp;reservation_id=31701007257758", "MHRG70Y2D")</f>
        <v>MHRG70Y2D</v>
      </c>
      <c r="B5832" t="s">
        <v>2017</v>
      </c>
      <c r="C5832">
        <v>268.2</v>
      </c>
      <c r="D5832">
        <v>291.52</v>
      </c>
      <c r="E5832">
        <v>291.52999999999997</v>
      </c>
      <c r="F5832">
        <v>-0.01</v>
      </c>
    </row>
    <row r="5833" spans="1:6" x14ac:dyDescent="0.3">
      <c r="A5833" t="str">
        <f>HYPERLINK("https://us2.cloudbeds.com/connect/10074733072513#/reservations/30646070153450?display=YQ2Y43KFP&amp;reservation_id=30646070153450", "YQ2Y43KFP")</f>
        <v>YQ2Y43KFP</v>
      </c>
      <c r="B5833" t="s">
        <v>13</v>
      </c>
      <c r="C5833">
        <v>179</v>
      </c>
      <c r="D5833">
        <v>194.58</v>
      </c>
      <c r="E5833">
        <v>194.57</v>
      </c>
      <c r="F5833">
        <v>0.01</v>
      </c>
    </row>
    <row r="5834" spans="1:6" x14ac:dyDescent="0.3">
      <c r="A5834" t="str">
        <f>HYPERLINK("https://us2.cloudbeds.com/connect/10074733072513#/reservations/30646080217252?display=YQ2YCJYQF&amp;reservation_id=30646080217252", "YQ2YCJYQF")</f>
        <v>YQ2YCJYQF</v>
      </c>
      <c r="B5834" t="s">
        <v>20</v>
      </c>
      <c r="C5834">
        <v>149</v>
      </c>
      <c r="D5834">
        <v>161.97</v>
      </c>
      <c r="E5834">
        <v>161.96</v>
      </c>
      <c r="F5834">
        <v>0.01</v>
      </c>
    </row>
    <row r="5835" spans="1:6" x14ac:dyDescent="0.3">
      <c r="A5835" t="str">
        <f>HYPERLINK("https://us2.cloudbeds.com/connect/10074733072513#/reservations/30645962027171?display=YQ2XBURVS&amp;reservation_id=30645962027171", "YQ2XBURVS")</f>
        <v>YQ2XBURVS</v>
      </c>
      <c r="B5835" t="s">
        <v>27</v>
      </c>
      <c r="C5835">
        <v>159</v>
      </c>
      <c r="D5835">
        <v>172.84</v>
      </c>
      <c r="E5835">
        <v>172.83</v>
      </c>
      <c r="F5835">
        <v>0.01</v>
      </c>
    </row>
    <row r="5836" spans="1:6" x14ac:dyDescent="0.3">
      <c r="A5836" t="str">
        <f>HYPERLINK("https://us2.cloudbeds.com/connect/10074733072513#/reservations/30647562035421?display=YQ3Q83ECB&amp;reservation_id=30647562035421", "YQ3Q83ECB")</f>
        <v>YQ3Q83ECB</v>
      </c>
      <c r="B5836" t="s">
        <v>37</v>
      </c>
      <c r="C5836">
        <v>359.52</v>
      </c>
      <c r="D5836">
        <v>390.81</v>
      </c>
      <c r="E5836">
        <v>390.8</v>
      </c>
      <c r="F5836">
        <v>0.01</v>
      </c>
    </row>
    <row r="5837" spans="1:6" x14ac:dyDescent="0.3">
      <c r="A5837" t="str">
        <f>HYPERLINK("https://us2.cloudbeds.com/connect/10074733072513#/reservations/30646277120153?display=YQ2QDKPHT&amp;reservation_id=30646277120153", "YQ2QDKPHT")</f>
        <v>YQ2QDKPHT</v>
      </c>
      <c r="B5837" t="s">
        <v>39</v>
      </c>
      <c r="C5837">
        <v>129</v>
      </c>
      <c r="D5837">
        <v>140.22999999999999</v>
      </c>
      <c r="E5837">
        <v>140.22</v>
      </c>
      <c r="F5837">
        <v>0.01</v>
      </c>
    </row>
    <row r="5838" spans="1:6" x14ac:dyDescent="0.3">
      <c r="A5838" t="str">
        <f>HYPERLINK("https://us2.cloudbeds.com/connect/10074733072513#/reservations/30647717937329?display=YQ3U7XKWJ&amp;reservation_id=30647717937329", "YQ3U7XKWJ")</f>
        <v>YQ3U7XKWJ</v>
      </c>
      <c r="B5838" t="s">
        <v>51</v>
      </c>
      <c r="C5838">
        <v>109</v>
      </c>
      <c r="D5838">
        <v>118.49</v>
      </c>
      <c r="E5838">
        <v>118.48</v>
      </c>
      <c r="F5838">
        <v>0.01</v>
      </c>
    </row>
    <row r="5839" spans="1:6" x14ac:dyDescent="0.3">
      <c r="A5839" t="str">
        <f>HYPERLINK("https://us2.cloudbeds.com/connect/10074733072513#/reservations/30648745042063?display=YQ4NFYB6F&amp;reservation_id=30648745042063", "YQ4NFYB6F")</f>
        <v>YQ4NFYB6F</v>
      </c>
      <c r="B5839" t="s">
        <v>80</v>
      </c>
      <c r="C5839">
        <v>69.760000000000005</v>
      </c>
      <c r="D5839">
        <v>75.84</v>
      </c>
      <c r="E5839">
        <v>75.83</v>
      </c>
      <c r="F5839">
        <v>0.01</v>
      </c>
    </row>
    <row r="5840" spans="1:6" x14ac:dyDescent="0.3">
      <c r="A5840" t="str">
        <f>HYPERLINK("https://us2.cloudbeds.com/connect/10074733072513#/reservations/30650742345893?display=YQ68GR8YU&amp;reservation_id=30650742345893", "YQ68GR8YU")</f>
        <v>YQ68GR8YU</v>
      </c>
      <c r="B5840" t="s">
        <v>88</v>
      </c>
      <c r="C5840">
        <v>119</v>
      </c>
      <c r="D5840">
        <v>129.36000000000001</v>
      </c>
      <c r="E5840">
        <v>129.35</v>
      </c>
      <c r="F5840">
        <v>0.01</v>
      </c>
    </row>
    <row r="5841" spans="1:6" x14ac:dyDescent="0.3">
      <c r="A5841" t="str">
        <f>HYPERLINK("https://us2.cloudbeds.com/connect/10074733072513#/reservations/30647367385305?display=YQ3Y8W09V&amp;reservation_id=30647367385305", "YQ3Y8W09V")</f>
        <v>YQ3Y8W09V</v>
      </c>
      <c r="B5841" t="s">
        <v>87</v>
      </c>
      <c r="C5841">
        <v>82.56</v>
      </c>
      <c r="D5841">
        <v>89.75</v>
      </c>
      <c r="E5841">
        <v>89.74</v>
      </c>
      <c r="F5841">
        <v>0.01</v>
      </c>
    </row>
    <row r="5842" spans="1:6" x14ac:dyDescent="0.3">
      <c r="A5842" t="str">
        <f>HYPERLINK("https://us2.cloudbeds.com/connect/10074733072513#/reservations/30649499111598?display=YQ59ZGECE&amp;reservation_id=30649499111598", "YQ59ZGECE")</f>
        <v>YQ59ZGECE</v>
      </c>
      <c r="B5842" t="s">
        <v>96</v>
      </c>
      <c r="C5842">
        <v>129</v>
      </c>
      <c r="D5842">
        <v>140.22999999999999</v>
      </c>
      <c r="E5842">
        <v>140.22</v>
      </c>
      <c r="F5842">
        <v>0.01</v>
      </c>
    </row>
    <row r="5843" spans="1:6" x14ac:dyDescent="0.3">
      <c r="A5843" t="str">
        <f>HYPERLINK("https://us2.cloudbeds.com/connect/10074733072513#/reservations/30651389911196?display=YQ6P1SNQV&amp;reservation_id=30651389911196", "YQ6P1SNQV")</f>
        <v>YQ6P1SNQV</v>
      </c>
      <c r="B5843" t="s">
        <v>99</v>
      </c>
      <c r="C5843">
        <v>149</v>
      </c>
      <c r="D5843">
        <v>161.97</v>
      </c>
      <c r="E5843">
        <v>161.96</v>
      </c>
      <c r="F5843">
        <v>0.01</v>
      </c>
    </row>
    <row r="5844" spans="1:6" x14ac:dyDescent="0.3">
      <c r="A5844" t="str">
        <f>HYPERLINK("https://us2.cloudbeds.com/connect/10074733072513#/reservations/30650771214560?display=YQ6985J01&amp;reservation_id=30650771214560", "YQ6985J01")</f>
        <v>YQ6985J01</v>
      </c>
      <c r="B5844" t="s">
        <v>88</v>
      </c>
      <c r="C5844">
        <v>159</v>
      </c>
      <c r="D5844">
        <v>172.84</v>
      </c>
      <c r="E5844">
        <v>172.83</v>
      </c>
      <c r="F5844">
        <v>0.01</v>
      </c>
    </row>
    <row r="5845" spans="1:6" x14ac:dyDescent="0.3">
      <c r="A5845" t="str">
        <f>HYPERLINK("https://us2.cloudbeds.com/connect/10074733072513#/reservations/30650206224632?display=YQ5RQZTY4&amp;reservation_id=30650206224632", "YQ5RQZTY4")</f>
        <v>YQ5RQZTY4</v>
      </c>
      <c r="B5845" t="s">
        <v>132</v>
      </c>
      <c r="C5845">
        <v>70.63</v>
      </c>
      <c r="D5845">
        <v>76.78</v>
      </c>
      <c r="E5845">
        <v>76.77</v>
      </c>
      <c r="F5845">
        <v>0.01</v>
      </c>
    </row>
    <row r="5846" spans="1:6" x14ac:dyDescent="0.3">
      <c r="A5846" t="str">
        <f>HYPERLINK("https://us2.cloudbeds.com/connect/10074733072513#/reservations/30654997364910?display=YQ9X7PEG5&amp;reservation_id=30654997364910", "YQ9X7PEG5")</f>
        <v>YQ9X7PEG5</v>
      </c>
      <c r="B5846" t="s">
        <v>180</v>
      </c>
      <c r="C5846">
        <v>321.3</v>
      </c>
      <c r="D5846">
        <v>349.26</v>
      </c>
      <c r="E5846">
        <v>349.25</v>
      </c>
      <c r="F5846">
        <v>0.01</v>
      </c>
    </row>
    <row r="5847" spans="1:6" x14ac:dyDescent="0.3">
      <c r="A5847" t="str">
        <f>HYPERLINK("https://us2.cloudbeds.com/connect/10074733072513#/reservations/30652566278366?display=YQ7M3QSPV&amp;reservation_id=30652566278366", "YQ7M3QSPV")</f>
        <v>YQ7M3QSPV</v>
      </c>
      <c r="B5847" t="s">
        <v>186</v>
      </c>
      <c r="C5847">
        <v>321.3</v>
      </c>
      <c r="D5847">
        <v>349.26</v>
      </c>
      <c r="E5847">
        <v>349.25</v>
      </c>
      <c r="F5847">
        <v>0.01</v>
      </c>
    </row>
    <row r="5848" spans="1:6" x14ac:dyDescent="0.3">
      <c r="A5848" t="str">
        <f>HYPERLINK("https://us2.cloudbeds.com/connect/10074733072513#/reservations/30651699007634?display=YQ6WVGPUY&amp;reservation_id=30651699007634", "YQ6WVGPUY")</f>
        <v>YQ6WVGPUY</v>
      </c>
      <c r="B5848" t="s">
        <v>188</v>
      </c>
      <c r="C5848">
        <v>129</v>
      </c>
      <c r="D5848">
        <v>140.22999999999999</v>
      </c>
      <c r="E5848">
        <v>140.22</v>
      </c>
      <c r="F5848">
        <v>0.01</v>
      </c>
    </row>
    <row r="5849" spans="1:6" x14ac:dyDescent="0.3">
      <c r="A5849" t="str">
        <f>HYPERLINK("https://us2.cloudbeds.com/connect/10074733072513#/reservations/30652714594549?display=YQ7PTSWKZ&amp;reservation_id=30652714594549", "YQ7PTSWKZ")</f>
        <v>YQ7PTSWKZ</v>
      </c>
      <c r="B5849" t="s">
        <v>174</v>
      </c>
      <c r="C5849">
        <v>163.29</v>
      </c>
      <c r="D5849">
        <v>177.51</v>
      </c>
      <c r="E5849">
        <v>177.5</v>
      </c>
      <c r="F5849">
        <v>0.01</v>
      </c>
    </row>
    <row r="5850" spans="1:6" x14ac:dyDescent="0.3">
      <c r="A5850" t="str">
        <f>HYPERLINK("https://us2.cloudbeds.com/connect/10074733072513#/reservations/30653255233734?display=YQ86NP2BB&amp;reservation_id=30653255233734", "YQ86NP2BB")</f>
        <v>YQ86NP2BB</v>
      </c>
      <c r="B5850" t="s">
        <v>205</v>
      </c>
      <c r="C5850">
        <v>129</v>
      </c>
      <c r="D5850">
        <v>140.22999999999999</v>
      </c>
      <c r="E5850">
        <v>140.22</v>
      </c>
      <c r="F5850">
        <v>0.01</v>
      </c>
    </row>
    <row r="5851" spans="1:6" x14ac:dyDescent="0.3">
      <c r="A5851" t="str">
        <f>HYPERLINK("https://us2.cloudbeds.com/connect/10074733072513#/reservations/30654413385891?display=YQ93ABBV8&amp;reservation_id=30654413385891", "YQ93ABBV8")</f>
        <v>YQ93ABBV8</v>
      </c>
      <c r="B5851" t="s">
        <v>237</v>
      </c>
      <c r="C5851">
        <v>139</v>
      </c>
      <c r="D5851">
        <v>151.1</v>
      </c>
      <c r="E5851">
        <v>151.09</v>
      </c>
      <c r="F5851">
        <v>0.01</v>
      </c>
    </row>
    <row r="5852" spans="1:6" x14ac:dyDescent="0.3">
      <c r="A5852" t="str">
        <f>HYPERLINK("https://us2.cloudbeds.com/connect/10074733072513#/reservations/30652274241717?display=YQ7EYXH7H&amp;reservation_id=30652274241717", "YQ7EYXH7H")</f>
        <v>YQ7EYXH7H</v>
      </c>
      <c r="B5852" t="s">
        <v>155</v>
      </c>
      <c r="C5852">
        <v>70.63</v>
      </c>
      <c r="D5852">
        <v>76.78</v>
      </c>
      <c r="E5852">
        <v>76.77</v>
      </c>
      <c r="F5852">
        <v>0.01</v>
      </c>
    </row>
    <row r="5853" spans="1:6" x14ac:dyDescent="0.3">
      <c r="A5853" t="str">
        <f>HYPERLINK("https://us2.cloudbeds.com/connect/10074733072513#/reservations/30656114679976?display=YQADPUCFF&amp;reservation_id=30656114679976", "YQADPUCFF")</f>
        <v>YQADPUCFF</v>
      </c>
      <c r="B5853" t="s">
        <v>268</v>
      </c>
      <c r="C5853">
        <v>69</v>
      </c>
      <c r="D5853">
        <v>75.010000000000005</v>
      </c>
      <c r="E5853">
        <v>75</v>
      </c>
      <c r="F5853">
        <v>0.01</v>
      </c>
    </row>
    <row r="5854" spans="1:6" x14ac:dyDescent="0.3">
      <c r="A5854" t="str">
        <f>HYPERLINK("https://us2.cloudbeds.com/connect/10074733072513#/reservations/30655821447369?display=YQA69YZMT&amp;reservation_id=30655821447369", "YQA69YZMT")</f>
        <v>YQA69YZMT</v>
      </c>
      <c r="B5854" t="s">
        <v>335</v>
      </c>
      <c r="C5854">
        <v>278</v>
      </c>
      <c r="D5854">
        <v>302.2</v>
      </c>
      <c r="E5854">
        <v>302.19</v>
      </c>
      <c r="F5854">
        <v>0.01</v>
      </c>
    </row>
    <row r="5855" spans="1:6" x14ac:dyDescent="0.3">
      <c r="A5855" t="str">
        <f>HYPERLINK("https://us2.cloudbeds.com/connect/10074733072513#/reservations/30655833882820?display=YQA6K4PRZ&amp;reservation_id=30655833882820", "YQA6K4PRZ")</f>
        <v>YQA6K4PRZ</v>
      </c>
      <c r="B5855" t="s">
        <v>335</v>
      </c>
      <c r="C5855">
        <v>278</v>
      </c>
      <c r="D5855">
        <v>302.2</v>
      </c>
      <c r="E5855">
        <v>302.19</v>
      </c>
      <c r="F5855">
        <v>0.01</v>
      </c>
    </row>
    <row r="5856" spans="1:6" x14ac:dyDescent="0.3">
      <c r="A5856" t="str">
        <f>HYPERLINK("https://us2.cloudbeds.com/connect/10074733072513#/reservations/30659749978243?display=YQD7M9U20&amp;reservation_id=30659749978243", "YQD7M9U20")</f>
        <v>YQD7M9U20</v>
      </c>
      <c r="B5856" t="s">
        <v>362</v>
      </c>
      <c r="C5856">
        <v>318</v>
      </c>
      <c r="D5856">
        <v>345.68</v>
      </c>
      <c r="E5856">
        <v>345.67</v>
      </c>
      <c r="F5856">
        <v>0.01</v>
      </c>
    </row>
    <row r="5857" spans="1:6" x14ac:dyDescent="0.3">
      <c r="A5857" t="str">
        <f>HYPERLINK("https://us2.cloudbeds.com/connect/10074733072513#/reservations/30659381723382?display=YQCV8PMAQ&amp;reservation_id=30659381723382", "YQCV8PMAQ")</f>
        <v>YQCV8PMAQ</v>
      </c>
      <c r="B5857" t="s">
        <v>393</v>
      </c>
      <c r="C5857">
        <v>129</v>
      </c>
      <c r="D5857">
        <v>140.22999999999999</v>
      </c>
      <c r="E5857">
        <v>140.22</v>
      </c>
      <c r="F5857">
        <v>0.01</v>
      </c>
    </row>
    <row r="5858" spans="1:6" x14ac:dyDescent="0.3">
      <c r="A5858" t="str">
        <f>HYPERLINK("https://us2.cloudbeds.com/connect/10074733072513#/reservations/30659363713166?display=YQCUQJH0M&amp;reservation_id=30659363713166", "YQCUQJH0M")</f>
        <v>YQCUQJH0M</v>
      </c>
      <c r="B5858" t="s">
        <v>393</v>
      </c>
      <c r="C5858">
        <v>169</v>
      </c>
      <c r="D5858">
        <v>183.71</v>
      </c>
      <c r="E5858">
        <v>183.7</v>
      </c>
      <c r="F5858">
        <v>0.01</v>
      </c>
    </row>
    <row r="5859" spans="1:6" x14ac:dyDescent="0.3">
      <c r="A5859" t="str">
        <f>HYPERLINK("https://us2.cloudbeds.com/connect/10074733072513#/reservations/30660108366011?display=YQDGRGJ3D&amp;reservation_id=30660108366011", "YQDGRGJ3D")</f>
        <v>YQDGRGJ3D</v>
      </c>
      <c r="B5859" t="s">
        <v>406</v>
      </c>
      <c r="C5859">
        <v>298</v>
      </c>
      <c r="D5859">
        <v>323.94</v>
      </c>
      <c r="E5859">
        <v>323.93</v>
      </c>
      <c r="F5859">
        <v>0.01</v>
      </c>
    </row>
    <row r="5860" spans="1:6" x14ac:dyDescent="0.3">
      <c r="A5860" t="str">
        <f>HYPERLINK("https://us2.cloudbeds.com/connect/10074733072513#/reservations/30664029315200?display=YQGHR6XBY&amp;reservation_id=30664029315200", "YQGHR6XBY")</f>
        <v>YQGHR6XBY</v>
      </c>
      <c r="B5860" t="s">
        <v>489</v>
      </c>
      <c r="C5860">
        <v>141.26</v>
      </c>
      <c r="D5860">
        <v>153.56</v>
      </c>
      <c r="E5860">
        <v>153.55000000000001</v>
      </c>
      <c r="F5860">
        <v>0.01</v>
      </c>
    </row>
    <row r="5861" spans="1:6" x14ac:dyDescent="0.3">
      <c r="A5861" t="str">
        <f>HYPERLINK("https://us2.cloudbeds.com/connect/10074733072513#/reservations/30663430217933?display=YQG2NJ05S&amp;reservation_id=30663430217933", "YQG2NJ05S")</f>
        <v>YQG2NJ05S</v>
      </c>
      <c r="B5861" t="s">
        <v>490</v>
      </c>
      <c r="C5861">
        <v>99</v>
      </c>
      <c r="D5861">
        <v>107.62</v>
      </c>
      <c r="E5861">
        <v>107.61</v>
      </c>
      <c r="F5861">
        <v>0.01</v>
      </c>
    </row>
    <row r="5862" spans="1:6" x14ac:dyDescent="0.3">
      <c r="A5862" t="str">
        <f>HYPERLINK("https://us2.cloudbeds.com/connect/10074733072513#/reservations/30664126599376?display=YQGKGPRTR&amp;reservation_id=30664126599376", "YQGKGPRTR")</f>
        <v>YQGKGPRTR</v>
      </c>
      <c r="B5862" t="s">
        <v>529</v>
      </c>
      <c r="C5862">
        <v>238</v>
      </c>
      <c r="D5862">
        <v>258.72000000000003</v>
      </c>
      <c r="E5862">
        <v>258.70999999999998</v>
      </c>
      <c r="F5862">
        <v>0.01</v>
      </c>
    </row>
    <row r="5863" spans="1:6" x14ac:dyDescent="0.3">
      <c r="A5863" t="str">
        <f>HYPERLINK("https://us2.cloudbeds.com/connect/10074733072513#/reservations/30666609606900?display=YQXHVH692&amp;reservation_id=30666609606900", "YQXHVH692")</f>
        <v>YQXHVH692</v>
      </c>
      <c r="B5863" t="s">
        <v>543</v>
      </c>
      <c r="C5863">
        <v>256</v>
      </c>
      <c r="D5863">
        <v>278.27999999999997</v>
      </c>
      <c r="E5863">
        <v>278.27</v>
      </c>
      <c r="F5863">
        <v>0.01</v>
      </c>
    </row>
    <row r="5864" spans="1:6" x14ac:dyDescent="0.3">
      <c r="A5864" t="str">
        <f>HYPERLINK("https://us2.cloudbeds.com/connect/10074733072513#/reservations/30666701840602?display=YQXKA9Z1N&amp;reservation_id=30666701840602", "YQXKA9Z1N")</f>
        <v>YQXKA9Z1N</v>
      </c>
      <c r="B5864" t="s">
        <v>560</v>
      </c>
      <c r="C5864">
        <v>99</v>
      </c>
      <c r="D5864">
        <v>107.62</v>
      </c>
      <c r="E5864">
        <v>107.61</v>
      </c>
      <c r="F5864">
        <v>0.01</v>
      </c>
    </row>
    <row r="5865" spans="1:6" x14ac:dyDescent="0.3">
      <c r="A5865" t="str">
        <f>HYPERLINK("https://us2.cloudbeds.com/connect/10074733072513#/reservations/30667666686152?display=YQJBVSW9M&amp;reservation_id=30667666686152", "YQJBVSW9M")</f>
        <v>YQJBVSW9M</v>
      </c>
      <c r="B5865" t="s">
        <v>579</v>
      </c>
      <c r="C5865">
        <v>99</v>
      </c>
      <c r="D5865">
        <v>107.62</v>
      </c>
      <c r="E5865">
        <v>107.61</v>
      </c>
      <c r="F5865">
        <v>0.01</v>
      </c>
    </row>
    <row r="5866" spans="1:6" x14ac:dyDescent="0.3">
      <c r="A5866" t="str">
        <f>HYPERLINK("https://us2.cloudbeds.com/connect/10074733072513#/reservations/30668076818678?display=YQJMENH61&amp;reservation_id=30668076818678", "YQJMENH61")</f>
        <v>YQJMENH61</v>
      </c>
      <c r="B5866" t="s">
        <v>589</v>
      </c>
      <c r="C5866">
        <v>320</v>
      </c>
      <c r="D5866">
        <v>347.85</v>
      </c>
      <c r="E5866">
        <v>347.84</v>
      </c>
      <c r="F5866">
        <v>0.01</v>
      </c>
    </row>
    <row r="5867" spans="1:6" x14ac:dyDescent="0.3">
      <c r="A5867" t="str">
        <f>HYPERLINK("https://us2.cloudbeds.com/connect/10074733072513#/reservations/30667172057256?display=YQXWAQ6K8&amp;reservation_id=30667172057256", "YQXWAQ6K8")</f>
        <v>YQXWAQ6K8</v>
      </c>
      <c r="B5867" t="s">
        <v>616</v>
      </c>
      <c r="C5867">
        <v>120.6</v>
      </c>
      <c r="D5867">
        <v>131.1</v>
      </c>
      <c r="E5867">
        <v>131.09</v>
      </c>
      <c r="F5867">
        <v>0.01</v>
      </c>
    </row>
    <row r="5868" spans="1:6" x14ac:dyDescent="0.3">
      <c r="A5868" t="str">
        <f>HYPERLINK("https://us2.cloudbeds.com/connect/10074733072513#/reservations/30669686849728?display=YQKUE6275&amp;reservation_id=30669686849728", "YQKUE6275")</f>
        <v>YQKUE6275</v>
      </c>
      <c r="B5868" t="s">
        <v>642</v>
      </c>
      <c r="C5868">
        <v>144.5</v>
      </c>
      <c r="D5868">
        <v>157.08000000000001</v>
      </c>
      <c r="E5868">
        <v>157.07</v>
      </c>
      <c r="F5868">
        <v>0.01</v>
      </c>
    </row>
    <row r="5869" spans="1:6" x14ac:dyDescent="0.3">
      <c r="A5869" t="str">
        <f>HYPERLINK("https://us2.cloudbeds.com/connect/10074733072513#/reservations/30673249759451?display=YQNMKM7C1&amp;reservation_id=30673249759451", "YQNMKM7C1")</f>
        <v>YQNMKM7C1</v>
      </c>
      <c r="B5869" t="s">
        <v>703</v>
      </c>
      <c r="C5869">
        <v>192</v>
      </c>
      <c r="D5869">
        <v>208.71</v>
      </c>
      <c r="E5869">
        <v>208.7</v>
      </c>
      <c r="F5869">
        <v>0.01</v>
      </c>
    </row>
    <row r="5870" spans="1:6" x14ac:dyDescent="0.3">
      <c r="A5870" t="str">
        <f>HYPERLINK("https://us2.cloudbeds.com/connect/10074733072513#/reservations/30671229345953?display=YQM4007TJ&amp;reservation_id=30671229345953", "YQM4007TJ")</f>
        <v>YQM4007TJ</v>
      </c>
      <c r="B5870" t="s">
        <v>711</v>
      </c>
      <c r="C5870">
        <v>109</v>
      </c>
      <c r="D5870">
        <v>118.49</v>
      </c>
      <c r="E5870">
        <v>118.48</v>
      </c>
      <c r="F5870">
        <v>0.01</v>
      </c>
    </row>
    <row r="5871" spans="1:6" x14ac:dyDescent="0.3">
      <c r="A5871" t="str">
        <f>HYPERLINK("https://us2.cloudbeds.com/connect/10074733072513#/reservations/30672173953224?display=YQMS4HASA&amp;reservation_id=30672173953224", "YQMS4HASA")</f>
        <v>YQMS4HASA</v>
      </c>
      <c r="B5871" t="s">
        <v>721</v>
      </c>
      <c r="C5871">
        <v>69</v>
      </c>
      <c r="D5871">
        <v>75.010000000000005</v>
      </c>
      <c r="E5871">
        <v>75</v>
      </c>
      <c r="F5871">
        <v>0.01</v>
      </c>
    </row>
    <row r="5872" spans="1:6" x14ac:dyDescent="0.3">
      <c r="A5872" t="str">
        <f>HYPERLINK("https://us2.cloudbeds.com/connect/10074733072513#/reservations/30672995651759?display=YQNG4D9VV&amp;reservation_id=30672995651759", "YQNG4D9VV")</f>
        <v>YQNG4D9VV</v>
      </c>
      <c r="B5872" t="s">
        <v>715</v>
      </c>
      <c r="C5872">
        <v>218</v>
      </c>
      <c r="D5872">
        <v>236.98</v>
      </c>
      <c r="E5872">
        <v>236.97</v>
      </c>
      <c r="F5872">
        <v>0.01</v>
      </c>
    </row>
    <row r="5873" spans="1:6" x14ac:dyDescent="0.3">
      <c r="A5873" t="str">
        <f>HYPERLINK("https://us2.cloudbeds.com/connect/10074733072513#/reservations/30671072657596?display=YQYWWT53X&amp;reservation_id=30671072657596", "YQYWWT53X")</f>
        <v>YQYWWT53X</v>
      </c>
      <c r="B5873" t="s">
        <v>731</v>
      </c>
      <c r="C5873">
        <v>69</v>
      </c>
      <c r="D5873">
        <v>75.010000000000005</v>
      </c>
      <c r="E5873">
        <v>75</v>
      </c>
      <c r="F5873">
        <v>0.01</v>
      </c>
    </row>
    <row r="5874" spans="1:6" x14ac:dyDescent="0.3">
      <c r="A5874" t="str">
        <f>HYPERLINK("https://us2.cloudbeds.com/connect/10074733072513#/reservations/30674105925848?display=YQZBGKADA&amp;reservation_id=30674105925848", "YQZBGKADA")</f>
        <v>YQZBGKADA</v>
      </c>
      <c r="B5874" t="s">
        <v>768</v>
      </c>
      <c r="C5874">
        <v>129</v>
      </c>
      <c r="D5874">
        <v>140.22999999999999</v>
      </c>
      <c r="E5874">
        <v>140.22</v>
      </c>
      <c r="F5874">
        <v>0.01</v>
      </c>
    </row>
    <row r="5875" spans="1:6" x14ac:dyDescent="0.3">
      <c r="A5875" t="str">
        <f>HYPERLINK("https://us2.cloudbeds.com/connect/10074733072513#/reservations/30674577293517?display=YQZNX2QU2&amp;reservation_id=30674577293517", "YQZNX2QU2")</f>
        <v>YQZNX2QU2</v>
      </c>
      <c r="B5875" t="s">
        <v>748</v>
      </c>
      <c r="C5875">
        <v>99</v>
      </c>
      <c r="D5875">
        <v>107.62</v>
      </c>
      <c r="E5875">
        <v>107.61</v>
      </c>
      <c r="F5875">
        <v>0.01</v>
      </c>
    </row>
    <row r="5876" spans="1:6" x14ac:dyDescent="0.3">
      <c r="A5876" t="str">
        <f>HYPERLINK("https://us2.cloudbeds.com/connect/10074733072513#/reservations/30672937132225?display=YQNEY1U0Z&amp;reservation_id=30672937132225", "YQNEY1U0Z")</f>
        <v>YQNEY1U0Z</v>
      </c>
      <c r="B5876" t="s">
        <v>782</v>
      </c>
      <c r="C5876">
        <v>99</v>
      </c>
      <c r="D5876">
        <v>107.62</v>
      </c>
      <c r="E5876">
        <v>107.61</v>
      </c>
      <c r="F5876">
        <v>0.01</v>
      </c>
    </row>
    <row r="5877" spans="1:6" x14ac:dyDescent="0.3">
      <c r="A5877" t="str">
        <f>HYPERLINK("https://us2.cloudbeds.com/connect/10074733072513#/reservations/30679586582696?display=YQSJX1M4S&amp;reservation_id=30679586582696", "YQSJX1M4S")</f>
        <v>YQSJX1M4S</v>
      </c>
      <c r="B5877" t="s">
        <v>804</v>
      </c>
      <c r="C5877">
        <v>119</v>
      </c>
      <c r="D5877">
        <v>129.36000000000001</v>
      </c>
      <c r="E5877">
        <v>129.35</v>
      </c>
      <c r="F5877">
        <v>0.01</v>
      </c>
    </row>
    <row r="5878" spans="1:6" x14ac:dyDescent="0.3">
      <c r="A5878" t="str">
        <f>HYPERLINK("https://us2.cloudbeds.com/connect/10074733072513#/reservations/30679524589751?display=YQSHVPKYP&amp;reservation_id=30679524589751", "YQSHVPKYP")</f>
        <v>YQSHVPKYP</v>
      </c>
      <c r="B5878" t="s">
        <v>816</v>
      </c>
      <c r="C5878">
        <v>99</v>
      </c>
      <c r="D5878">
        <v>107.62</v>
      </c>
      <c r="E5878">
        <v>107.61</v>
      </c>
      <c r="F5878">
        <v>0.01</v>
      </c>
    </row>
    <row r="5879" spans="1:6" x14ac:dyDescent="0.3">
      <c r="A5879" t="str">
        <f>HYPERLINK("https://us2.cloudbeds.com/connect/10074733072513#/reservations/30677725933784?display=YQR503C9G&amp;reservation_id=30677725933784", "YQR503C9G")</f>
        <v>YQR503C9G</v>
      </c>
      <c r="B5879" t="s">
        <v>825</v>
      </c>
      <c r="C5879">
        <v>69.760000000000005</v>
      </c>
      <c r="D5879">
        <v>75.84</v>
      </c>
      <c r="E5879">
        <v>75.83</v>
      </c>
      <c r="F5879">
        <v>0.01</v>
      </c>
    </row>
    <row r="5880" spans="1:6" x14ac:dyDescent="0.3">
      <c r="A5880" t="str">
        <f>HYPERLINK("https://us2.cloudbeds.com/connect/10074733072513#/reservations/30677937529070?display=YQRADHAYS&amp;reservation_id=30677937529070", "YQRADHAYS")</f>
        <v>YQRADHAYS</v>
      </c>
      <c r="B5880" t="s">
        <v>848</v>
      </c>
      <c r="C5880">
        <v>109</v>
      </c>
      <c r="D5880">
        <v>118.49</v>
      </c>
      <c r="E5880">
        <v>118.48</v>
      </c>
      <c r="F5880">
        <v>0.01</v>
      </c>
    </row>
    <row r="5881" spans="1:6" x14ac:dyDescent="0.3">
      <c r="A5881" t="str">
        <f>HYPERLINK("https://us2.cloudbeds.com/connect/10074733072513#/reservations/30677888463000?display=YQR954WJ8&amp;reservation_id=30677888463000", "YQR954WJ8")</f>
        <v>YQR954WJ8</v>
      </c>
      <c r="B5881" t="s">
        <v>860</v>
      </c>
      <c r="C5881">
        <v>129</v>
      </c>
      <c r="D5881">
        <v>140.22999999999999</v>
      </c>
      <c r="E5881">
        <v>140.22</v>
      </c>
      <c r="F5881">
        <v>0.01</v>
      </c>
    </row>
    <row r="5882" spans="1:6" x14ac:dyDescent="0.3">
      <c r="A5882" t="str">
        <f>HYPERLINK("https://us2.cloudbeds.com/connect/10074733072513#/reservations/30677628424368?display=YQR2GT0VN&amp;reservation_id=30677628424368", "YQR2GT0VN")</f>
        <v>YQR2GT0VN</v>
      </c>
      <c r="B5882" t="s">
        <v>759</v>
      </c>
      <c r="C5882">
        <v>79</v>
      </c>
      <c r="D5882">
        <v>85.88</v>
      </c>
      <c r="E5882">
        <v>85.87</v>
      </c>
      <c r="F5882">
        <v>0.01</v>
      </c>
    </row>
    <row r="5883" spans="1:6" x14ac:dyDescent="0.3">
      <c r="A5883" t="str">
        <f>HYPERLINK("https://us2.cloudbeds.com/connect/10074733072513#/reservations/30677640532181?display=YQR2R2V84&amp;reservation_id=30677640532181", "YQR2R2V84")</f>
        <v>YQR2R2V84</v>
      </c>
      <c r="B5883" t="s">
        <v>759</v>
      </c>
      <c r="C5883">
        <v>149</v>
      </c>
      <c r="D5883">
        <v>161.97</v>
      </c>
      <c r="E5883">
        <v>161.96</v>
      </c>
      <c r="F5883">
        <v>0.01</v>
      </c>
    </row>
    <row r="5884" spans="1:6" x14ac:dyDescent="0.3">
      <c r="A5884" t="str">
        <f>HYPERLINK("https://us2.cloudbeds.com/connect/10074733072513#/reservations/30677069676687?display=YQQY7Z1MQ&amp;reservation_id=30677069676687", "YQQY7Z1MQ")</f>
        <v>YQQY7Z1MQ</v>
      </c>
      <c r="B5884" t="s">
        <v>829</v>
      </c>
      <c r="C5884">
        <v>338</v>
      </c>
      <c r="D5884">
        <v>367.42</v>
      </c>
      <c r="E5884">
        <v>367.41</v>
      </c>
      <c r="F5884">
        <v>0.01</v>
      </c>
    </row>
    <row r="5885" spans="1:6" x14ac:dyDescent="0.3">
      <c r="A5885" t="str">
        <f>HYPERLINK("https://us2.cloudbeds.com/connect/10074733072513#/reservations/30687605424309?display=YR1QEZP28&amp;reservation_id=30687605424309", "YR1QEZP28")</f>
        <v>YR1QEZP28</v>
      </c>
      <c r="B5885" t="s">
        <v>881</v>
      </c>
      <c r="C5885">
        <v>87.84</v>
      </c>
      <c r="D5885">
        <v>95.49</v>
      </c>
      <c r="E5885">
        <v>95.48</v>
      </c>
      <c r="F5885">
        <v>0.01</v>
      </c>
    </row>
    <row r="5886" spans="1:6" x14ac:dyDescent="0.3">
      <c r="A5886" t="str">
        <f>HYPERLINK("https://us2.cloudbeds.com/connect/10074733072513#/reservations/30683664679139?display=YQVZZQNKV&amp;reservation_id=30683664679139", "YQVZZQNKV")</f>
        <v>YQVZZQNKV</v>
      </c>
      <c r="B5886" t="s">
        <v>891</v>
      </c>
      <c r="C5886">
        <v>258</v>
      </c>
      <c r="D5886">
        <v>280.45999999999998</v>
      </c>
      <c r="E5886">
        <v>280.45</v>
      </c>
      <c r="F5886">
        <v>0.01</v>
      </c>
    </row>
    <row r="5887" spans="1:6" x14ac:dyDescent="0.3">
      <c r="A5887" t="str">
        <f>HYPERLINK("https://us2.cloudbeds.com/connect/10074733072513#/reservations/30676682879165?display=YQQBBXRNP&amp;reservation_id=30676682879165", "YQQBBXRNP")</f>
        <v>YQQBBXRNP</v>
      </c>
      <c r="B5887" t="s">
        <v>896</v>
      </c>
      <c r="C5887">
        <v>119</v>
      </c>
      <c r="D5887">
        <v>129.36000000000001</v>
      </c>
      <c r="E5887">
        <v>129.35</v>
      </c>
      <c r="F5887">
        <v>0.01</v>
      </c>
    </row>
    <row r="5888" spans="1:6" x14ac:dyDescent="0.3">
      <c r="A5888" t="str">
        <f>HYPERLINK("https://us2.cloudbeds.com/connect/10074733072513#/reservations/30687638589639?display=YR1R9NKU8&amp;reservation_id=30687638589639", "YR1R9NKU8")</f>
        <v>YR1R9NKU8</v>
      </c>
      <c r="B5888" t="s">
        <v>897</v>
      </c>
      <c r="C5888">
        <v>189</v>
      </c>
      <c r="D5888">
        <v>205.45</v>
      </c>
      <c r="E5888">
        <v>205.44</v>
      </c>
      <c r="F5888">
        <v>0.01</v>
      </c>
    </row>
    <row r="5889" spans="1:6" x14ac:dyDescent="0.3">
      <c r="A5889" t="str">
        <f>HYPERLINK("https://us2.cloudbeds.com/connect/10074733072513#/reservations/30686488109207?display=YR0UTJR1S&amp;reservation_id=30686488109207", "YR0UTJR1S")</f>
        <v>YR0UTJR1S</v>
      </c>
      <c r="B5889" t="s">
        <v>903</v>
      </c>
      <c r="C5889">
        <v>99</v>
      </c>
      <c r="D5889">
        <v>107.62</v>
      </c>
      <c r="E5889">
        <v>107.61</v>
      </c>
      <c r="F5889">
        <v>0.01</v>
      </c>
    </row>
    <row r="5890" spans="1:6" x14ac:dyDescent="0.3">
      <c r="A5890" t="str">
        <f>HYPERLINK("https://us2.cloudbeds.com/connect/10074733072513#/reservations/30688577020046?display=YR2X90RRA&amp;reservation_id=30688577020046", "YR2X90RRA")</f>
        <v>YR2X90RRA</v>
      </c>
      <c r="B5890" t="s">
        <v>832</v>
      </c>
      <c r="C5890">
        <v>139</v>
      </c>
      <c r="D5890">
        <v>151.1</v>
      </c>
      <c r="E5890">
        <v>151.09</v>
      </c>
      <c r="F5890">
        <v>0.01</v>
      </c>
    </row>
    <row r="5891" spans="1:6" x14ac:dyDescent="0.3">
      <c r="A5891" t="str">
        <f>HYPERLINK("https://us2.cloudbeds.com/connect/10074733072513#/reservations/30688428753138?display=YR2EG037N&amp;reservation_id=30688428753138", "YR2EG037N")</f>
        <v>YR2EG037N</v>
      </c>
      <c r="B5891" t="s">
        <v>792</v>
      </c>
      <c r="C5891">
        <v>139</v>
      </c>
      <c r="D5891">
        <v>151.1</v>
      </c>
      <c r="E5891">
        <v>151.09</v>
      </c>
      <c r="F5891">
        <v>0.01</v>
      </c>
    </row>
    <row r="5892" spans="1:6" x14ac:dyDescent="0.3">
      <c r="A5892" t="str">
        <f>HYPERLINK("https://us2.cloudbeds.com/connect/10074733072513#/reservations/30687199711384?display=YR1G2Y6J6&amp;reservation_id=30687199711384", "YR1G2Y6J6")</f>
        <v>YR1G2Y6J6</v>
      </c>
      <c r="B5892" t="s">
        <v>904</v>
      </c>
      <c r="C5892">
        <v>139</v>
      </c>
      <c r="D5892">
        <v>151.1</v>
      </c>
      <c r="E5892">
        <v>151.09</v>
      </c>
      <c r="F5892">
        <v>0.01</v>
      </c>
    </row>
    <row r="5893" spans="1:6" x14ac:dyDescent="0.3">
      <c r="A5893" t="str">
        <f>HYPERLINK("https://us2.cloudbeds.com/connect/10074733072513#/reservations/30688000389372?display=YR23HQ82H&amp;reservation_id=30688000389372", "YR23HQ82H")</f>
        <v>YR23HQ82H</v>
      </c>
      <c r="B5893" t="s">
        <v>826</v>
      </c>
      <c r="C5893">
        <v>209</v>
      </c>
      <c r="D5893">
        <v>227.19</v>
      </c>
      <c r="E5893">
        <v>227.18</v>
      </c>
      <c r="F5893">
        <v>0.01</v>
      </c>
    </row>
    <row r="5894" spans="1:6" x14ac:dyDescent="0.3">
      <c r="A5894" t="str">
        <f>HYPERLINK("https://us2.cloudbeds.com/connect/10074733072513#/reservations/30688171147459?display=YR27TPRZ0&amp;reservation_id=30688171147459", "YR27TPRZ0")</f>
        <v>YR27TPRZ0</v>
      </c>
      <c r="B5894" t="s">
        <v>799</v>
      </c>
      <c r="C5894">
        <v>322.2</v>
      </c>
      <c r="D5894">
        <v>350.24</v>
      </c>
      <c r="E5894">
        <v>350.23</v>
      </c>
      <c r="F5894">
        <v>0.01</v>
      </c>
    </row>
    <row r="5895" spans="1:6" x14ac:dyDescent="0.3">
      <c r="A5895" t="str">
        <f>HYPERLINK("https://us2.cloudbeds.com/connect/10074733072513#/reservations/30687071813824?display=YR1CGFMWH&amp;reservation_id=30687071813824", "YR1CGFMWH")</f>
        <v>YR1CGFMWH</v>
      </c>
      <c r="B5895" t="s">
        <v>905</v>
      </c>
      <c r="C5895">
        <v>378</v>
      </c>
      <c r="D5895">
        <v>410.9</v>
      </c>
      <c r="E5895">
        <v>410.89</v>
      </c>
      <c r="F5895">
        <v>0.01</v>
      </c>
    </row>
    <row r="5896" spans="1:6" x14ac:dyDescent="0.3">
      <c r="A5896" t="str">
        <f>HYPERLINK("https://us2.cloudbeds.com/connect/10074733072513#/reservations/30687508938891?display=YR1NWCU1N&amp;reservation_id=30687508938891", "YR1NWCU1N")</f>
        <v>YR1NWCU1N</v>
      </c>
      <c r="B5896" t="s">
        <v>875</v>
      </c>
      <c r="C5896">
        <v>129</v>
      </c>
      <c r="D5896">
        <v>140.22999999999999</v>
      </c>
      <c r="E5896">
        <v>140.22</v>
      </c>
      <c r="F5896">
        <v>0.01</v>
      </c>
    </row>
    <row r="5897" spans="1:6" x14ac:dyDescent="0.3">
      <c r="A5897" t="str">
        <f>HYPERLINK("https://us2.cloudbeds.com/connect/10074733072513#/reservations/30685898997979?display=YR0FRRUZF&amp;reservation_id=30685898997979", "YR0FRRUZF")</f>
        <v>YR0FRRUZF</v>
      </c>
      <c r="B5897" t="s">
        <v>832</v>
      </c>
      <c r="C5897">
        <v>144.5</v>
      </c>
      <c r="D5897">
        <v>157.08000000000001</v>
      </c>
      <c r="E5897">
        <v>157.07</v>
      </c>
      <c r="F5897">
        <v>0.01</v>
      </c>
    </row>
    <row r="5898" spans="1:6" x14ac:dyDescent="0.3">
      <c r="A5898" t="str">
        <f>HYPERLINK("https://us2.cloudbeds.com/connect/10074733072513#/reservations/30688041083016?display=YR24J3JW8&amp;reservation_id=30688041083016", "YR24J3JW8")</f>
        <v>YR24J3JW8</v>
      </c>
      <c r="B5898" t="s">
        <v>832</v>
      </c>
      <c r="C5898">
        <v>358</v>
      </c>
      <c r="D5898">
        <v>389.16</v>
      </c>
      <c r="E5898">
        <v>389.15</v>
      </c>
      <c r="F5898">
        <v>0.01</v>
      </c>
    </row>
    <row r="5899" spans="1:6" x14ac:dyDescent="0.3">
      <c r="A5899" t="str">
        <f>HYPERLINK("https://us2.cloudbeds.com/connect/10074733072513#/reservations/30686861799633?display=YR17ENA45&amp;reservation_id=30686861799633", "YR17ENA45")</f>
        <v>YR17ENA45</v>
      </c>
      <c r="B5899" t="s">
        <v>906</v>
      </c>
      <c r="C5899">
        <v>298</v>
      </c>
      <c r="D5899">
        <v>323.94</v>
      </c>
      <c r="E5899">
        <v>323.93</v>
      </c>
      <c r="F5899">
        <v>0.01</v>
      </c>
    </row>
    <row r="5900" spans="1:6" x14ac:dyDescent="0.3">
      <c r="A5900" t="str">
        <f>HYPERLINK("https://us2.cloudbeds.com/connect/10074733072513#/reservations/30687050297484?display=YR1C8YHZ8&amp;reservation_id=30687050297484", "YR1C8YHZ8")</f>
        <v>YR1C8YHZ8</v>
      </c>
      <c r="B5900" t="s">
        <v>905</v>
      </c>
      <c r="C5900">
        <v>378</v>
      </c>
      <c r="D5900">
        <v>410.9</v>
      </c>
      <c r="E5900">
        <v>410.89</v>
      </c>
      <c r="F5900">
        <v>0.01</v>
      </c>
    </row>
    <row r="5901" spans="1:6" x14ac:dyDescent="0.3">
      <c r="A5901" t="str">
        <f>HYPERLINK("https://us2.cloudbeds.com/connect/10074733072513#/reservations/30687704842434?display=YR1SWJ73N&amp;reservation_id=30687704842434", "YR1SWJ73N")</f>
        <v>YR1SWJ73N</v>
      </c>
      <c r="B5901" t="s">
        <v>908</v>
      </c>
      <c r="C5901">
        <v>298</v>
      </c>
      <c r="D5901">
        <v>323.94</v>
      </c>
      <c r="E5901">
        <v>323.93</v>
      </c>
      <c r="F5901">
        <v>0.01</v>
      </c>
    </row>
    <row r="5902" spans="1:6" x14ac:dyDescent="0.3">
      <c r="A5902" t="str">
        <f>HYPERLINK("https://us2.cloudbeds.com/connect/10074733072513#/reservations/30688041087110?display=YR24J3NZA&amp;reservation_id=30688041087110", "YR24J3NZA")</f>
        <v>YR24J3NZA</v>
      </c>
      <c r="B5902" t="s">
        <v>909</v>
      </c>
      <c r="C5902">
        <v>111.82</v>
      </c>
      <c r="D5902">
        <v>121.56</v>
      </c>
      <c r="E5902">
        <v>121.55</v>
      </c>
      <c r="F5902">
        <v>0.01</v>
      </c>
    </row>
    <row r="5903" spans="1:6" x14ac:dyDescent="0.3">
      <c r="A5903" t="str">
        <f>HYPERLINK("https://us2.cloudbeds.com/connect/10074733072513#/reservations/30688577024142?display=YR2X90VJE&amp;reservation_id=30688577024142", "YR2X90VJE")</f>
        <v>YR2X90VJE</v>
      </c>
      <c r="B5903" t="s">
        <v>832</v>
      </c>
      <c r="C5903">
        <v>149</v>
      </c>
      <c r="D5903">
        <v>161.97</v>
      </c>
      <c r="E5903">
        <v>161.96</v>
      </c>
      <c r="F5903">
        <v>0.01</v>
      </c>
    </row>
    <row r="5904" spans="1:6" x14ac:dyDescent="0.3">
      <c r="A5904" t="str">
        <f>HYPERLINK("https://us2.cloudbeds.com/connect/10074733072513#/reservations/30687693738201?display=YR1SN77CQ&amp;reservation_id=30687693738201", "YR1SN77CQ")</f>
        <v>YR1SN77CQ</v>
      </c>
      <c r="B5904" t="s">
        <v>908</v>
      </c>
      <c r="C5904">
        <v>139</v>
      </c>
      <c r="D5904">
        <v>151.1</v>
      </c>
      <c r="E5904">
        <v>151.09</v>
      </c>
      <c r="F5904">
        <v>0.01</v>
      </c>
    </row>
    <row r="5905" spans="1:6" x14ac:dyDescent="0.3">
      <c r="A5905" t="str">
        <f>HYPERLINK("https://us2.cloudbeds.com/connect/10074733072513#/reservations/30688287715553?display=YR2AT2H4G&amp;reservation_id=30688287715553", "YR2AT2H4G")</f>
        <v>YR2AT2H4G</v>
      </c>
      <c r="B5905" t="s">
        <v>894</v>
      </c>
      <c r="C5905">
        <v>139</v>
      </c>
      <c r="D5905">
        <v>151.1</v>
      </c>
      <c r="E5905">
        <v>151.09</v>
      </c>
      <c r="F5905">
        <v>0.01</v>
      </c>
    </row>
    <row r="5906" spans="1:6" x14ac:dyDescent="0.3">
      <c r="A5906" t="str">
        <f>HYPERLINK("https://us2.cloudbeds.com/connect/10074733072513#/reservations/30687540216053?display=YR1ZPP81G&amp;reservation_id=30687540216053", "YR1ZPP81G")</f>
        <v>YR1ZPP81G</v>
      </c>
      <c r="B5906" t="s">
        <v>911</v>
      </c>
      <c r="C5906">
        <v>169.36</v>
      </c>
      <c r="D5906">
        <v>184.1</v>
      </c>
      <c r="E5906">
        <v>184.09</v>
      </c>
      <c r="F5906">
        <v>0.01</v>
      </c>
    </row>
    <row r="5907" spans="1:6" x14ac:dyDescent="0.3">
      <c r="A5907" t="str">
        <f>HYPERLINK("https://us2.cloudbeds.com/connect/10074733072513#/reservations/30687307047100?display=YR1XR4W4Y&amp;reservation_id=30687307047100", "YR1XR4W4Y")</f>
        <v>YR1XR4W4Y</v>
      </c>
      <c r="B5907" t="s">
        <v>901</v>
      </c>
      <c r="C5907">
        <v>158</v>
      </c>
      <c r="D5907">
        <v>171.76</v>
      </c>
      <c r="E5907">
        <v>171.75</v>
      </c>
      <c r="F5907">
        <v>0.01</v>
      </c>
    </row>
    <row r="5908" spans="1:6" x14ac:dyDescent="0.3">
      <c r="A5908" t="str">
        <f>HYPERLINK("https://us2.cloudbeds.com/connect/10074733072513#/reservations/30688488415443?display=YR2G0A9XB&amp;reservation_id=30688488415443", "YR2G0A9XB")</f>
        <v>YR2G0A9XB</v>
      </c>
      <c r="B5908" t="s">
        <v>801</v>
      </c>
      <c r="C5908">
        <v>398</v>
      </c>
      <c r="D5908">
        <v>432.64</v>
      </c>
      <c r="E5908">
        <v>432.63</v>
      </c>
      <c r="F5908">
        <v>0.01</v>
      </c>
    </row>
    <row r="5909" spans="1:6" x14ac:dyDescent="0.3">
      <c r="A5909" t="str">
        <f>HYPERLINK("https://us2.cloudbeds.com/connect/10074733072513#/reservations/30687481286864?display=YR1N92EUG&amp;reservation_id=30687481286864", "YR1N92EUG")</f>
        <v>YR1N92EUG</v>
      </c>
      <c r="B5909" t="s">
        <v>911</v>
      </c>
      <c r="C5909">
        <v>79</v>
      </c>
      <c r="D5909">
        <v>85.88</v>
      </c>
      <c r="E5909">
        <v>85.87</v>
      </c>
      <c r="F5909">
        <v>0.01</v>
      </c>
    </row>
    <row r="5910" spans="1:6" x14ac:dyDescent="0.3">
      <c r="A5910" t="str">
        <f>HYPERLINK("https://us2.cloudbeds.com/connect/10074733072513#/reservations/30687472050388?display=YR1N19EA9&amp;reservation_id=30687472050388", "YR1N19EA9")</f>
        <v>YR1N19EA9</v>
      </c>
      <c r="B5910" t="s">
        <v>911</v>
      </c>
      <c r="C5910">
        <v>89</v>
      </c>
      <c r="D5910">
        <v>96.75</v>
      </c>
      <c r="E5910">
        <v>96.74</v>
      </c>
      <c r="F5910">
        <v>0.01</v>
      </c>
    </row>
    <row r="5911" spans="1:6" x14ac:dyDescent="0.3">
      <c r="A5911" t="str">
        <f>HYPERLINK("https://us2.cloudbeds.com/connect/10074733072513#/reservations/30688297246929?display=YR2B43ZX2&amp;reservation_id=30688297246929", "YR2B43ZX2")</f>
        <v>YR2B43ZX2</v>
      </c>
      <c r="B5911" t="s">
        <v>901</v>
      </c>
      <c r="C5911">
        <v>159</v>
      </c>
      <c r="D5911">
        <v>172.84</v>
      </c>
      <c r="E5911">
        <v>172.83</v>
      </c>
      <c r="F5911">
        <v>0.01</v>
      </c>
    </row>
    <row r="5912" spans="1:6" x14ac:dyDescent="0.3">
      <c r="A5912" t="str">
        <f>HYPERLINK("https://us2.cloudbeds.com/connect/10074733072513#/reservations/30687500558582?display=YR1NPANKV&amp;reservation_id=30687500558582", "YR1NPANKV")</f>
        <v>YR1NPANKV</v>
      </c>
      <c r="B5912" t="s">
        <v>911</v>
      </c>
      <c r="C5912">
        <v>139</v>
      </c>
      <c r="D5912">
        <v>151.1</v>
      </c>
      <c r="E5912">
        <v>151.09</v>
      </c>
      <c r="F5912">
        <v>0.01</v>
      </c>
    </row>
    <row r="5913" spans="1:6" x14ac:dyDescent="0.3">
      <c r="A5913" t="str">
        <f>HYPERLINK("https://us2.cloudbeds.com/connect/10074733072513#/reservations/30686688366769?display=YR130F99R&amp;reservation_id=30686688366769", "YR130F99R")</f>
        <v>YR130F99R</v>
      </c>
      <c r="B5913" t="s">
        <v>826</v>
      </c>
      <c r="C5913">
        <v>418</v>
      </c>
      <c r="D5913">
        <v>454.38</v>
      </c>
      <c r="E5913">
        <v>454.37</v>
      </c>
      <c r="F5913">
        <v>0.01</v>
      </c>
    </row>
    <row r="5914" spans="1:6" x14ac:dyDescent="0.3">
      <c r="A5914" t="str">
        <f>HYPERLINK("https://us2.cloudbeds.com/connect/10074733072513#/reservations/30688151818376?display=YR27DFWB7&amp;reservation_id=30688151818376", "YR27DFWB7")</f>
        <v>YR27DFWB7</v>
      </c>
      <c r="B5914" t="s">
        <v>799</v>
      </c>
      <c r="C5914">
        <v>219</v>
      </c>
      <c r="D5914">
        <v>238.06</v>
      </c>
      <c r="E5914">
        <v>238.05</v>
      </c>
      <c r="F5914">
        <v>0.01</v>
      </c>
    </row>
    <row r="5915" spans="1:6" x14ac:dyDescent="0.3">
      <c r="A5915" t="str">
        <f>HYPERLINK("https://us2.cloudbeds.com/connect/10074733072513#/reservations/30686661832864?display=YR12B2UU3&amp;reservation_id=30686661832864", "YR12B2UU3")</f>
        <v>YR12B2UU3</v>
      </c>
      <c r="B5915" t="s">
        <v>801</v>
      </c>
      <c r="C5915">
        <v>418</v>
      </c>
      <c r="D5915">
        <v>454.38</v>
      </c>
      <c r="E5915">
        <v>454.37</v>
      </c>
      <c r="F5915">
        <v>0.01</v>
      </c>
    </row>
    <row r="5916" spans="1:6" x14ac:dyDescent="0.3">
      <c r="A5916" t="str">
        <f>HYPERLINK("https://us2.cloudbeds.com/connect/10074733072513#/reservations/30687487221966?display=YR1NE2JW2&amp;reservation_id=30687487221966", "YR1NE2JW2")</f>
        <v>YR1NE2JW2</v>
      </c>
      <c r="B5916" t="s">
        <v>911</v>
      </c>
      <c r="C5916">
        <v>109</v>
      </c>
      <c r="D5916">
        <v>118.49</v>
      </c>
      <c r="E5916">
        <v>118.48</v>
      </c>
      <c r="F5916">
        <v>0.01</v>
      </c>
    </row>
    <row r="5917" spans="1:6" x14ac:dyDescent="0.3">
      <c r="A5917" t="str">
        <f>HYPERLINK("https://us2.cloudbeds.com/connect/10074733072513#/reservations/30687313871070?display=YR1XWTSDK&amp;reservation_id=30687313871070", "YR1XWTSDK")</f>
        <v>YR1XWTSDK</v>
      </c>
      <c r="B5917" t="s">
        <v>901</v>
      </c>
      <c r="C5917">
        <v>238</v>
      </c>
      <c r="D5917">
        <v>258.72000000000003</v>
      </c>
      <c r="E5917">
        <v>258.70999999999998</v>
      </c>
      <c r="F5917">
        <v>0.01</v>
      </c>
    </row>
    <row r="5918" spans="1:6" x14ac:dyDescent="0.3">
      <c r="A5918" t="str">
        <f>HYPERLINK("https://us2.cloudbeds.com/connect/10074733072513#/reservations/30688500408454?display=YR2GAE0DU&amp;reservation_id=30688500408454", "YR2GAE0DU")</f>
        <v>YR2GAE0DU</v>
      </c>
      <c r="B5918" t="s">
        <v>894</v>
      </c>
      <c r="C5918">
        <v>129</v>
      </c>
      <c r="D5918">
        <v>140.22999999999999</v>
      </c>
      <c r="E5918">
        <v>140.22</v>
      </c>
      <c r="F5918">
        <v>0.01</v>
      </c>
    </row>
    <row r="5919" spans="1:6" x14ac:dyDescent="0.3">
      <c r="A5919" t="str">
        <f>HYPERLINK("https://us2.cloudbeds.com/connect/10074733072513#/reservations/30686690947287?display=YR132Y2UB&amp;reservation_id=30686690947287", "YR132Y2UB")</f>
        <v>YR132Y2UB</v>
      </c>
      <c r="B5919" t="s">
        <v>858</v>
      </c>
      <c r="C5919">
        <v>141.55000000000001</v>
      </c>
      <c r="D5919">
        <v>153.87</v>
      </c>
      <c r="E5919">
        <v>153.86000000000001</v>
      </c>
      <c r="F5919">
        <v>0.01</v>
      </c>
    </row>
    <row r="5920" spans="1:6" x14ac:dyDescent="0.3">
      <c r="A5920" t="str">
        <f>HYPERLINK("https://us2.cloudbeds.com/connect/10074733072513#/reservations/30686673842368?display=YR12B31MB&amp;reservation_id=30686673842368", "YR12B31MB")</f>
        <v>YR12B31MB</v>
      </c>
      <c r="B5920" t="s">
        <v>801</v>
      </c>
      <c r="C5920">
        <v>378</v>
      </c>
      <c r="D5920">
        <v>410.9</v>
      </c>
      <c r="E5920">
        <v>410.89</v>
      </c>
      <c r="F5920">
        <v>0.01</v>
      </c>
    </row>
    <row r="5921" spans="1:6" x14ac:dyDescent="0.3">
      <c r="A5921" t="str">
        <f>HYPERLINK("https://us2.cloudbeds.com/connect/10074733072513#/reservations/30687515402465?display=YR1Z4RPCJ&amp;reservation_id=30687515402465", "YR1Z4RPCJ")</f>
        <v>YR1Z4RPCJ</v>
      </c>
      <c r="B5921" t="s">
        <v>875</v>
      </c>
      <c r="C5921">
        <v>139</v>
      </c>
      <c r="D5921">
        <v>151.1</v>
      </c>
      <c r="E5921">
        <v>151.09</v>
      </c>
      <c r="F5921">
        <v>0.01</v>
      </c>
    </row>
    <row r="5922" spans="1:6" x14ac:dyDescent="0.3">
      <c r="A5922" t="str">
        <f>HYPERLINK("https://us2.cloudbeds.com/connect/10074733072513#/reservations/30688507125905?display=YR2GG2UT1&amp;reservation_id=30688507125905", "YR2GG2UT1")</f>
        <v>YR2GG2UT1</v>
      </c>
      <c r="B5922" t="s">
        <v>801</v>
      </c>
      <c r="C5922">
        <v>199</v>
      </c>
      <c r="D5922">
        <v>216.32</v>
      </c>
      <c r="E5922">
        <v>216.31</v>
      </c>
      <c r="F5922">
        <v>0.01</v>
      </c>
    </row>
    <row r="5923" spans="1:6" x14ac:dyDescent="0.3">
      <c r="A5923" t="str">
        <f>HYPERLINK("https://us2.cloudbeds.com/connect/10074733072513#/reservations/30688514539750?display=YR2GMB7R0&amp;reservation_id=30688514539750", "YR2GMB7R0")</f>
        <v>YR2GMB7R0</v>
      </c>
      <c r="B5923" t="s">
        <v>801</v>
      </c>
      <c r="C5923">
        <v>149</v>
      </c>
      <c r="D5923">
        <v>161.97</v>
      </c>
      <c r="E5923">
        <v>161.96</v>
      </c>
      <c r="F5923">
        <v>0.01</v>
      </c>
    </row>
    <row r="5924" spans="1:6" x14ac:dyDescent="0.3">
      <c r="A5924" t="str">
        <f>HYPERLINK("https://us2.cloudbeds.com/connect/10074733072513#/reservations/30685407215831?display=YR0395C54&amp;reservation_id=30685407215831", "YR0395C54")</f>
        <v>YR0395C54</v>
      </c>
      <c r="B5924" t="s">
        <v>907</v>
      </c>
      <c r="C5924">
        <v>119</v>
      </c>
      <c r="D5924">
        <v>129.36000000000001</v>
      </c>
      <c r="E5924">
        <v>129.35</v>
      </c>
      <c r="F5924">
        <v>0.01</v>
      </c>
    </row>
    <row r="5925" spans="1:6" x14ac:dyDescent="0.3">
      <c r="A5925" t="str">
        <f>HYPERLINK("https://us2.cloudbeds.com/connect/10074733072513#/reservations/30688460112036?display=YR2F9EN9B&amp;reservation_id=30688460112036", "YR2F9EN9B")</f>
        <v>YR2F9EN9B</v>
      </c>
      <c r="B5925" t="s">
        <v>801</v>
      </c>
      <c r="C5925">
        <v>378</v>
      </c>
      <c r="D5925">
        <v>410.9</v>
      </c>
      <c r="E5925">
        <v>410.89</v>
      </c>
      <c r="F5925">
        <v>0.01</v>
      </c>
    </row>
    <row r="5926" spans="1:6" x14ac:dyDescent="0.3">
      <c r="A5926" t="str">
        <f>HYPERLINK("https://us2.cloudbeds.com/connect/10074733072513#/reservations/30687722680542?display=YR1TEKJCD&amp;reservation_id=30687722680542", "YR1TEKJCD")</f>
        <v>YR1TEKJCD</v>
      </c>
      <c r="B5926" t="s">
        <v>912</v>
      </c>
      <c r="C5926">
        <v>642.6</v>
      </c>
      <c r="D5926">
        <v>698.52</v>
      </c>
      <c r="E5926">
        <v>698.51</v>
      </c>
      <c r="F5926">
        <v>0.01</v>
      </c>
    </row>
    <row r="5927" spans="1:6" x14ac:dyDescent="0.3">
      <c r="A5927" t="str">
        <f>HYPERLINK("https://us2.cloudbeds.com/connect/10074733072513#/reservations/30687271170300?display=YR1HTTYDT&amp;reservation_id=30687271170300", "YR1HTTYDT")</f>
        <v>YR1HTTYDT</v>
      </c>
      <c r="B5927" t="s">
        <v>901</v>
      </c>
      <c r="C5927">
        <v>149</v>
      </c>
      <c r="D5927">
        <v>161.97</v>
      </c>
      <c r="E5927">
        <v>161.96</v>
      </c>
      <c r="F5927">
        <v>0.01</v>
      </c>
    </row>
    <row r="5928" spans="1:6" x14ac:dyDescent="0.3">
      <c r="A5928" t="str">
        <f>HYPERLINK("https://us2.cloudbeds.com/connect/10074733072513#/reservations/30687264039079?display=YR1HNT709&amp;reservation_id=30687264039079", "YR1HNT709")</f>
        <v>YR1HNT709</v>
      </c>
      <c r="B5928" t="s">
        <v>901</v>
      </c>
      <c r="C5928">
        <v>149</v>
      </c>
      <c r="D5928">
        <v>161.97</v>
      </c>
      <c r="E5928">
        <v>161.96</v>
      </c>
      <c r="F5928">
        <v>0.01</v>
      </c>
    </row>
    <row r="5929" spans="1:6" x14ac:dyDescent="0.3">
      <c r="A5929" t="str">
        <f>HYPERLINK("https://us2.cloudbeds.com/connect/10074733072513#/reservations/30687257256146?display=YR1HX5FDS&amp;reservation_id=30687257256146", "YR1HX5FDS")</f>
        <v>YR1HX5FDS</v>
      </c>
      <c r="B5929" t="s">
        <v>901</v>
      </c>
      <c r="C5929">
        <v>74.5</v>
      </c>
      <c r="D5929">
        <v>80.989999999999995</v>
      </c>
      <c r="E5929">
        <v>80.98</v>
      </c>
      <c r="F5929">
        <v>0.01</v>
      </c>
    </row>
    <row r="5930" spans="1:6" x14ac:dyDescent="0.3">
      <c r="A5930" t="str">
        <f>HYPERLINK("https://us2.cloudbeds.com/connect/10074733072513#/reservations/30687219925202?display=YR1GJMMD4&amp;reservation_id=30687219925202", "YR1GJMMD4")</f>
        <v>YR1GJMMD4</v>
      </c>
      <c r="B5930" t="s">
        <v>815</v>
      </c>
      <c r="C5930">
        <v>278</v>
      </c>
      <c r="D5930">
        <v>302.2</v>
      </c>
      <c r="E5930">
        <v>302.19</v>
      </c>
      <c r="F5930">
        <v>0.01</v>
      </c>
    </row>
    <row r="5931" spans="1:6" x14ac:dyDescent="0.3">
      <c r="A5931" t="str">
        <f>HYPERLINK("https://us2.cloudbeds.com/connect/10074733072513#/reservations/30688164585647?display=YR27Z8867&amp;reservation_id=30688164585647", "YR27Z8867")</f>
        <v>YR27Z8867</v>
      </c>
      <c r="B5931" t="s">
        <v>799</v>
      </c>
      <c r="C5931">
        <v>199</v>
      </c>
      <c r="D5931">
        <v>216.32</v>
      </c>
      <c r="E5931">
        <v>216.31</v>
      </c>
      <c r="F5931">
        <v>0.01</v>
      </c>
    </row>
    <row r="5932" spans="1:6" x14ac:dyDescent="0.3">
      <c r="A5932" t="str">
        <f>HYPERLINK("https://us2.cloudbeds.com/connect/10074733072513#/reservations/30684757008524?display=YQWJYTCUD&amp;reservation_id=30684757008524", "YQWJYTCUD")</f>
        <v>YQWJYTCUD</v>
      </c>
      <c r="B5932" t="s">
        <v>907</v>
      </c>
      <c r="C5932">
        <v>149</v>
      </c>
      <c r="D5932">
        <v>161.97</v>
      </c>
      <c r="E5932">
        <v>161.96</v>
      </c>
      <c r="F5932">
        <v>0.01</v>
      </c>
    </row>
    <row r="5933" spans="1:6" x14ac:dyDescent="0.3">
      <c r="A5933" t="str">
        <f>HYPERLINK("https://us2.cloudbeds.com/connect/10074733072513#/reservations/30688157544668?display=YR27XAAY7&amp;reservation_id=30688157544668", "YR27XAAY7")</f>
        <v>YR27XAAY7</v>
      </c>
      <c r="B5933" t="s">
        <v>799</v>
      </c>
      <c r="C5933">
        <v>199</v>
      </c>
      <c r="D5933">
        <v>216.32</v>
      </c>
      <c r="E5933">
        <v>216.31</v>
      </c>
      <c r="F5933">
        <v>0.01</v>
      </c>
    </row>
    <row r="5934" spans="1:6" x14ac:dyDescent="0.3">
      <c r="A5934" t="str">
        <f>HYPERLINK("https://us2.cloudbeds.com/connect/10074733072513#/reservations/30686400225507?display=YR0SYGAPE&amp;reservation_id=30686400225507", "YR0SYGAPE")</f>
        <v>YR0SYGAPE</v>
      </c>
      <c r="B5934" t="s">
        <v>913</v>
      </c>
      <c r="C5934">
        <v>536</v>
      </c>
      <c r="D5934">
        <v>582.64</v>
      </c>
      <c r="E5934">
        <v>582.63</v>
      </c>
      <c r="F5934">
        <v>0.01</v>
      </c>
    </row>
    <row r="5935" spans="1:6" x14ac:dyDescent="0.3">
      <c r="A5935" t="str">
        <f>HYPERLINK("https://us2.cloudbeds.com/connect/10074733072513#/reservations/30684757004418?display=YQWJYT94W&amp;reservation_id=30684757004418", "YQWJYT94W")</f>
        <v>YQWJYT94W</v>
      </c>
      <c r="B5935" t="s">
        <v>907</v>
      </c>
      <c r="C5935">
        <v>149</v>
      </c>
      <c r="D5935">
        <v>161.97</v>
      </c>
      <c r="E5935">
        <v>161.96</v>
      </c>
      <c r="F5935">
        <v>0.01</v>
      </c>
    </row>
    <row r="5936" spans="1:6" x14ac:dyDescent="0.3">
      <c r="A5936" t="str">
        <f>HYPERLINK("https://us2.cloudbeds.com/connect/10074733072513#/reservations/30688396476578?display=YR2DYPVH4&amp;reservation_id=30688396476578", "YR2DYPVH4")</f>
        <v>YR2DYPVH4</v>
      </c>
      <c r="B5936" t="s">
        <v>893</v>
      </c>
      <c r="C5936">
        <v>126.83</v>
      </c>
      <c r="D5936">
        <v>137.87</v>
      </c>
      <c r="E5936">
        <v>137.86000000000001</v>
      </c>
      <c r="F5936">
        <v>0.01</v>
      </c>
    </row>
    <row r="5937" spans="1:6" x14ac:dyDescent="0.3">
      <c r="A5937" t="str">
        <f>HYPERLINK("https://us2.cloudbeds.com/connect/10074733072513#/reservations/30683088928902?display=YQVA1AKC2&amp;reservation_id=30683088928902", "YQVA1AKC2")</f>
        <v>YQVA1AKC2</v>
      </c>
      <c r="B5937" t="s">
        <v>891</v>
      </c>
      <c r="C5937">
        <v>338</v>
      </c>
      <c r="D5937">
        <v>367.42</v>
      </c>
      <c r="E5937">
        <v>367.41</v>
      </c>
      <c r="F5937">
        <v>0.01</v>
      </c>
    </row>
    <row r="5938" spans="1:6" x14ac:dyDescent="0.3">
      <c r="A5938" t="str">
        <f>HYPERLINK("https://us2.cloudbeds.com/connect/10074733072513#/reservations/30687292379351?display=YR1XEPR4D&amp;reservation_id=30687292379351", "YR1XEPR4D")</f>
        <v>YR1XEPR4D</v>
      </c>
      <c r="B5938" t="s">
        <v>901</v>
      </c>
      <c r="C5938">
        <v>199</v>
      </c>
      <c r="D5938">
        <v>216.32</v>
      </c>
      <c r="E5938">
        <v>216.31</v>
      </c>
      <c r="F5938">
        <v>0.01</v>
      </c>
    </row>
    <row r="5939" spans="1:6" x14ac:dyDescent="0.3">
      <c r="A5939" t="str">
        <f>HYPERLINK("https://us2.cloudbeds.com/connect/10074733072513#/reservations/30687289012354?display=YR1XBV4A6&amp;reservation_id=30687289012354", "YR1XBV4A6")</f>
        <v>YR1XBV4A6</v>
      </c>
      <c r="B5939" t="s">
        <v>901</v>
      </c>
      <c r="C5939">
        <v>179</v>
      </c>
      <c r="D5939">
        <v>194.58</v>
      </c>
      <c r="E5939">
        <v>194.57</v>
      </c>
      <c r="F5939">
        <v>0.01</v>
      </c>
    </row>
    <row r="5940" spans="1:6" x14ac:dyDescent="0.3">
      <c r="A5940" t="str">
        <f>HYPERLINK("https://us2.cloudbeds.com/connect/10074733072513#/reservations/30687245140131?display=YR1H7VAJT&amp;reservation_id=30687245140131", "YR1H7VAJT")</f>
        <v>YR1H7VAJT</v>
      </c>
      <c r="B5940" t="s">
        <v>904</v>
      </c>
      <c r="C5940">
        <v>258</v>
      </c>
      <c r="D5940">
        <v>280.45999999999998</v>
      </c>
      <c r="E5940">
        <v>280.45</v>
      </c>
      <c r="F5940">
        <v>0.01</v>
      </c>
    </row>
    <row r="5941" spans="1:6" x14ac:dyDescent="0.3">
      <c r="A5941" t="str">
        <f>HYPERLINK("https://us2.cloudbeds.com/connect/10074733072513#/reservations/30688017158274?display=YR23VUSH2&amp;reservation_id=30688017158274", "YR23VUSH2")</f>
        <v>YR23VUSH2</v>
      </c>
      <c r="B5941" t="s">
        <v>826</v>
      </c>
      <c r="C5941">
        <v>209</v>
      </c>
      <c r="D5941">
        <v>227.19</v>
      </c>
      <c r="E5941">
        <v>227.18</v>
      </c>
      <c r="F5941">
        <v>0.01</v>
      </c>
    </row>
    <row r="5942" spans="1:6" x14ac:dyDescent="0.3">
      <c r="A5942" t="str">
        <f>HYPERLINK("https://us2.cloudbeds.com/connect/10074733072513#/reservations/30687207878897?display=YR1G9HFJJ&amp;reservation_id=30687207878897", "YR1G9HFJJ")</f>
        <v>YR1G9HFJJ</v>
      </c>
      <c r="B5942" t="s">
        <v>904</v>
      </c>
      <c r="C5942">
        <v>139</v>
      </c>
      <c r="D5942">
        <v>151.1</v>
      </c>
      <c r="E5942">
        <v>151.09</v>
      </c>
      <c r="F5942">
        <v>0.01</v>
      </c>
    </row>
    <row r="5943" spans="1:6" x14ac:dyDescent="0.3">
      <c r="A5943" t="str">
        <f>HYPERLINK("https://us2.cloudbeds.com/connect/10074733072513#/reservations/30687994577043?display=YR23CTGPB&amp;reservation_id=30687994577043", "YR23CTGPB")</f>
        <v>YR23CTGPB</v>
      </c>
      <c r="B5943" t="s">
        <v>909</v>
      </c>
      <c r="C5943">
        <v>79</v>
      </c>
      <c r="D5943">
        <v>85.88</v>
      </c>
      <c r="E5943">
        <v>85.87</v>
      </c>
      <c r="F5943">
        <v>0.01</v>
      </c>
    </row>
    <row r="5944" spans="1:6" x14ac:dyDescent="0.3">
      <c r="A5944" t="str">
        <f>HYPERLINK("https://us2.cloudbeds.com/connect/10074733072513#/reservations/30688527003797?display=YR2GWS27D&amp;reservation_id=30688527003797", "YR2GWS27D")</f>
        <v>YR2GWS27D</v>
      </c>
      <c r="B5944" t="s">
        <v>801</v>
      </c>
      <c r="C5944">
        <v>199</v>
      </c>
      <c r="D5944">
        <v>216.32</v>
      </c>
      <c r="E5944">
        <v>216.31</v>
      </c>
      <c r="F5944">
        <v>0.01</v>
      </c>
    </row>
    <row r="5945" spans="1:6" x14ac:dyDescent="0.3">
      <c r="A5945" t="str">
        <f>HYPERLINK("https://us2.cloudbeds.com/connect/10074733072513#/reservations/30688007397571?display=YR23NN8H6&amp;reservation_id=30688007397571", "YR23NN8H6")</f>
        <v>YR23NN8H6</v>
      </c>
      <c r="B5945" t="s">
        <v>909</v>
      </c>
      <c r="C5945">
        <v>129</v>
      </c>
      <c r="D5945">
        <v>140.22999999999999</v>
      </c>
      <c r="E5945">
        <v>140.22</v>
      </c>
      <c r="F5945">
        <v>0.01</v>
      </c>
    </row>
    <row r="5946" spans="1:6" x14ac:dyDescent="0.3">
      <c r="A5946" t="str">
        <f>HYPERLINK("https://us2.cloudbeds.com/connect/10074733072513#/reservations/30686988087483?display=YR1AM6EUN&amp;reservation_id=30686988087483", "YR1AM6EUN")</f>
        <v>YR1AM6EUN</v>
      </c>
      <c r="B5946" t="s">
        <v>915</v>
      </c>
      <c r="C5946">
        <v>258</v>
      </c>
      <c r="D5946">
        <v>280.45999999999998</v>
      </c>
      <c r="E5946">
        <v>280.45</v>
      </c>
      <c r="F5946">
        <v>0.01</v>
      </c>
    </row>
    <row r="5947" spans="1:6" x14ac:dyDescent="0.3">
      <c r="A5947" t="str">
        <f>HYPERLINK("https://us2.cloudbeds.com/connect/10074733072513#/reservations/30687184875679?display=YR1FN4CBC&amp;reservation_id=30687184875679", "YR1FN4CBC")</f>
        <v>YR1FN4CBC</v>
      </c>
      <c r="B5947" t="s">
        <v>688</v>
      </c>
      <c r="C5947">
        <v>238</v>
      </c>
      <c r="D5947">
        <v>258.72000000000003</v>
      </c>
      <c r="E5947">
        <v>258.70999999999998</v>
      </c>
      <c r="F5947">
        <v>0.01</v>
      </c>
    </row>
    <row r="5948" spans="1:6" x14ac:dyDescent="0.3">
      <c r="A5948" t="str">
        <f>HYPERLINK("https://us2.cloudbeds.com/connect/10074733072513#/reservations/30686146322568?display=YR0M5D3CW&amp;reservation_id=30686146322568", "YR0M5D3CW")</f>
        <v>YR0M5D3CW</v>
      </c>
      <c r="B5948" t="s">
        <v>916</v>
      </c>
      <c r="C5948">
        <v>256</v>
      </c>
      <c r="D5948">
        <v>278.27999999999997</v>
      </c>
      <c r="E5948">
        <v>278.27</v>
      </c>
      <c r="F5948">
        <v>0.01</v>
      </c>
    </row>
    <row r="5949" spans="1:6" x14ac:dyDescent="0.3">
      <c r="A5949" t="str">
        <f>HYPERLINK("https://us2.cloudbeds.com/connect/10074733072513#/reservations/30684225491105?display=YQW62N4FV&amp;reservation_id=30684225491105", "YQW62N4FV")</f>
        <v>YQW62N4FV</v>
      </c>
      <c r="B5949" t="s">
        <v>914</v>
      </c>
      <c r="C5949">
        <v>527</v>
      </c>
      <c r="D5949">
        <v>572.86</v>
      </c>
      <c r="E5949">
        <v>572.85</v>
      </c>
      <c r="F5949">
        <v>0.01</v>
      </c>
    </row>
    <row r="5950" spans="1:6" x14ac:dyDescent="0.3">
      <c r="A5950" t="str">
        <f>HYPERLINK("https://us2.cloudbeds.com/connect/10074733072513#/reservations/30687184879779?display=YR1FN4G3K&amp;reservation_id=30687184879779", "YR1FN4G3K")</f>
        <v>YR1FN4G3K</v>
      </c>
      <c r="B5950" t="s">
        <v>688</v>
      </c>
      <c r="C5950">
        <v>278</v>
      </c>
      <c r="D5950">
        <v>302.2</v>
      </c>
      <c r="E5950">
        <v>302.19</v>
      </c>
      <c r="F5950">
        <v>0.01</v>
      </c>
    </row>
    <row r="5951" spans="1:6" x14ac:dyDescent="0.3">
      <c r="A5951" t="str">
        <f>HYPERLINK("https://us2.cloudbeds.com/connect/10074733072513#/reservations/30687880818924?display=YR20FW0MK&amp;reservation_id=30687880818924", "YR20FW0MK")</f>
        <v>YR20FW0MK</v>
      </c>
      <c r="B5951" t="s">
        <v>910</v>
      </c>
      <c r="C5951">
        <v>79</v>
      </c>
      <c r="D5951">
        <v>85.88</v>
      </c>
      <c r="E5951">
        <v>85.87</v>
      </c>
      <c r="F5951">
        <v>0.01</v>
      </c>
    </row>
    <row r="5952" spans="1:6" x14ac:dyDescent="0.3">
      <c r="A5952" t="str">
        <f>HYPERLINK("https://us2.cloudbeds.com/connect/10074733072513#/reservations/30688061407368?display=YR253859N&amp;reservation_id=30688061407368", "YR253859N")</f>
        <v>YR253859N</v>
      </c>
      <c r="B5952" t="s">
        <v>909</v>
      </c>
      <c r="C5952">
        <v>111.82</v>
      </c>
      <c r="D5952">
        <v>121.56</v>
      </c>
      <c r="E5952">
        <v>121.55</v>
      </c>
      <c r="F5952">
        <v>0.01</v>
      </c>
    </row>
    <row r="5953" spans="1:6" x14ac:dyDescent="0.3">
      <c r="A5953" t="str">
        <f>HYPERLINK("https://us2.cloudbeds.com/connect/10074733072513#/reservations/30688319594716?display=YR2BMVJUZ&amp;reservation_id=30688319594716", "YR2BMVJUZ")</f>
        <v>YR2BMVJUZ</v>
      </c>
      <c r="B5953" t="s">
        <v>910</v>
      </c>
      <c r="C5953">
        <v>278</v>
      </c>
      <c r="D5953">
        <v>302.2</v>
      </c>
      <c r="E5953">
        <v>302.19</v>
      </c>
      <c r="F5953">
        <v>0.01</v>
      </c>
    </row>
    <row r="5954" spans="1:6" x14ac:dyDescent="0.3">
      <c r="A5954" t="str">
        <f>HYPERLINK("https://us2.cloudbeds.com/connect/10074733072513#/reservations/30687948517538?display=YR2271RHP&amp;reservation_id=30687948517538", "YR2271RHP")</f>
        <v>YR2271RHP</v>
      </c>
      <c r="B5954" t="s">
        <v>815</v>
      </c>
      <c r="C5954">
        <v>141.55000000000001</v>
      </c>
      <c r="D5954">
        <v>153.87</v>
      </c>
      <c r="E5954">
        <v>153.86000000000001</v>
      </c>
      <c r="F5954">
        <v>0.01</v>
      </c>
    </row>
    <row r="5955" spans="1:6" x14ac:dyDescent="0.3">
      <c r="A5955" t="str">
        <f>HYPERLINK("https://us2.cloudbeds.com/connect/10074733072513#/reservations/30683963170946?display=YQVWCGMQ7&amp;reservation_id=30683963170946", "YQVWCGMQ7")</f>
        <v>YQVWCGMQ7</v>
      </c>
      <c r="B5955" t="s">
        <v>917</v>
      </c>
      <c r="C5955">
        <v>338.72</v>
      </c>
      <c r="D5955">
        <v>368.2</v>
      </c>
      <c r="E5955">
        <v>368.19</v>
      </c>
      <c r="F5955">
        <v>0.01</v>
      </c>
    </row>
    <row r="5956" spans="1:6" x14ac:dyDescent="0.3">
      <c r="A5956" t="str">
        <f>HYPERLINK("https://us2.cloudbeds.com/connect/10074733072513#/reservations/30688102387868?display=YR264QGK1&amp;reservation_id=30688102387868", "YR264QGK1")</f>
        <v>YR264QGK1</v>
      </c>
      <c r="B5956" t="s">
        <v>909</v>
      </c>
      <c r="C5956">
        <v>87.84</v>
      </c>
      <c r="D5956">
        <v>95.49</v>
      </c>
      <c r="E5956">
        <v>95.48</v>
      </c>
      <c r="F5956">
        <v>0.01</v>
      </c>
    </row>
    <row r="5957" spans="1:6" x14ac:dyDescent="0.3">
      <c r="A5957" t="str">
        <f>HYPERLINK("https://us2.cloudbeds.com/connect/10074733072513#/reservations/30687916519554?display=YR21D2EKT&amp;reservation_id=30687916519554", "YR21D2EKT")</f>
        <v>YR21D2EKT</v>
      </c>
      <c r="B5957" t="s">
        <v>836</v>
      </c>
      <c r="C5957">
        <v>189</v>
      </c>
      <c r="D5957">
        <v>205.45</v>
      </c>
      <c r="E5957">
        <v>205.44</v>
      </c>
      <c r="F5957">
        <v>0.01</v>
      </c>
    </row>
    <row r="5958" spans="1:6" x14ac:dyDescent="0.3">
      <c r="A5958" t="str">
        <f>HYPERLINK("https://us2.cloudbeds.com/connect/10074733072513#/reservations/30688007401668?display=YR23NNC9B&amp;reservation_id=30688007401668", "YR23NNC9B")</f>
        <v>YR23NNC9B</v>
      </c>
      <c r="B5958" t="s">
        <v>909</v>
      </c>
      <c r="C5958">
        <v>139</v>
      </c>
      <c r="D5958">
        <v>151.1</v>
      </c>
      <c r="E5958">
        <v>151.09</v>
      </c>
      <c r="F5958">
        <v>0.01</v>
      </c>
    </row>
    <row r="5959" spans="1:6" x14ac:dyDescent="0.3">
      <c r="A5959" t="str">
        <f>HYPERLINK("https://us2.cloudbeds.com/connect/10074733072513#/reservations/30687868633265?display=YR205MUU7&amp;reservation_id=30687868633265", "YR205MUU7")</f>
        <v>YR205MUU7</v>
      </c>
      <c r="B5959" t="s">
        <v>688</v>
      </c>
      <c r="C5959">
        <v>238</v>
      </c>
      <c r="D5959">
        <v>258.72000000000003</v>
      </c>
      <c r="E5959">
        <v>258.70999999999998</v>
      </c>
      <c r="F5959">
        <v>0.01</v>
      </c>
    </row>
    <row r="5960" spans="1:6" x14ac:dyDescent="0.3">
      <c r="A5960" t="str">
        <f>HYPERLINK("https://us2.cloudbeds.com/connect/10074733072513#/reservations/30688340889828?display=YR2C7U5M5&amp;reservation_id=30688340889828", "YR2C7U5M5")</f>
        <v>YR2C7U5M5</v>
      </c>
      <c r="B5960" t="s">
        <v>910</v>
      </c>
      <c r="C5960">
        <v>141.55000000000001</v>
      </c>
      <c r="D5960">
        <v>153.87</v>
      </c>
      <c r="E5960">
        <v>153.86000000000001</v>
      </c>
      <c r="F5960">
        <v>0.01</v>
      </c>
    </row>
    <row r="5961" spans="1:6" x14ac:dyDescent="0.3">
      <c r="A5961" t="str">
        <f>HYPERLINK("https://us2.cloudbeds.com/connect/10074733072513#/reservations/30687917248734?display=YR21DMZ78&amp;reservation_id=30687917248734", "YR21DMZ78")</f>
        <v>YR21DMZ78</v>
      </c>
      <c r="B5961" t="s">
        <v>910</v>
      </c>
      <c r="C5961">
        <v>149</v>
      </c>
      <c r="D5961">
        <v>161.97</v>
      </c>
      <c r="E5961">
        <v>161.96</v>
      </c>
      <c r="F5961">
        <v>0.01</v>
      </c>
    </row>
    <row r="5962" spans="1:6" x14ac:dyDescent="0.3">
      <c r="A5962" t="str">
        <f>HYPERLINK("https://us2.cloudbeds.com/connect/10074733072513#/reservations/30687207645316?display=YR1G9AW3C&amp;reservation_id=30687207645316", "YR1G9AW3C")</f>
        <v>YR1G9AW3C</v>
      </c>
      <c r="B5962" t="s">
        <v>815</v>
      </c>
      <c r="C5962">
        <v>139</v>
      </c>
      <c r="D5962">
        <v>151.1</v>
      </c>
      <c r="E5962">
        <v>151.09</v>
      </c>
      <c r="F5962">
        <v>0.01</v>
      </c>
    </row>
    <row r="5963" spans="1:6" x14ac:dyDescent="0.3">
      <c r="A5963" t="str">
        <f>HYPERLINK("https://us2.cloudbeds.com/connect/10074733072513#/reservations/30687910256780?display=YR217Q5MR&amp;reservation_id=30687910256780", "YR217Q5MR")</f>
        <v>YR217Q5MR</v>
      </c>
      <c r="B5963" t="s">
        <v>910</v>
      </c>
      <c r="C5963">
        <v>149</v>
      </c>
      <c r="D5963">
        <v>161.97</v>
      </c>
      <c r="E5963">
        <v>161.96</v>
      </c>
      <c r="F5963">
        <v>0.01</v>
      </c>
    </row>
    <row r="5964" spans="1:6" x14ac:dyDescent="0.3">
      <c r="A5964" t="str">
        <f>HYPERLINK("https://us2.cloudbeds.com/connect/10074733072513#/reservations/30687885992065?display=YR20KAW1F&amp;reservation_id=30687885992065", "YR20KAW1F")</f>
        <v>YR20KAW1F</v>
      </c>
      <c r="B5964" t="s">
        <v>910</v>
      </c>
      <c r="C5964">
        <v>139</v>
      </c>
      <c r="D5964">
        <v>151.1</v>
      </c>
      <c r="E5964">
        <v>151.09</v>
      </c>
      <c r="F5964">
        <v>0.01</v>
      </c>
    </row>
    <row r="5965" spans="1:6" x14ac:dyDescent="0.3">
      <c r="A5965" t="str">
        <f>HYPERLINK("https://us2.cloudbeds.com/connect/10074733072513#/reservations/30687986983114?display=YR236G6F9&amp;reservation_id=30687986983114", "YR236G6F9")</f>
        <v>YR236G6F9</v>
      </c>
      <c r="B5965" t="s">
        <v>858</v>
      </c>
      <c r="C5965">
        <v>149</v>
      </c>
      <c r="D5965">
        <v>161.97</v>
      </c>
      <c r="E5965">
        <v>161.96</v>
      </c>
      <c r="F5965">
        <v>0.01</v>
      </c>
    </row>
    <row r="5966" spans="1:6" x14ac:dyDescent="0.3">
      <c r="A5966" t="str">
        <f>HYPERLINK("https://us2.cloudbeds.com/connect/10074733072513#/reservations/30685516914914?display=YR062YTUP&amp;reservation_id=30685516914914", "YR062YTUP")</f>
        <v>YR062YTUP</v>
      </c>
      <c r="B5966" t="s">
        <v>918</v>
      </c>
      <c r="C5966">
        <v>139</v>
      </c>
      <c r="D5966">
        <v>151.1</v>
      </c>
      <c r="E5966">
        <v>151.09</v>
      </c>
      <c r="F5966">
        <v>0.01</v>
      </c>
    </row>
    <row r="5967" spans="1:6" x14ac:dyDescent="0.3">
      <c r="A5967" t="str">
        <f>HYPERLINK("https://us2.cloudbeds.com/connect/10074733072513#/reservations/30687082180747?display=YR1D2HZ9Z&amp;reservation_id=30687082180747", "YR1D2HZ9Z")</f>
        <v>YR1D2HZ9Z</v>
      </c>
      <c r="B5967" t="s">
        <v>910</v>
      </c>
      <c r="C5967">
        <v>111.82</v>
      </c>
      <c r="D5967">
        <v>121.56</v>
      </c>
      <c r="E5967">
        <v>121.55</v>
      </c>
      <c r="F5967">
        <v>0.01</v>
      </c>
    </row>
    <row r="5968" spans="1:6" x14ac:dyDescent="0.3">
      <c r="A5968" t="str">
        <f>HYPERLINK("https://us2.cloudbeds.com/connect/10074733072513#/reservations/30687219921108?display=YR1GJMXY2&amp;reservation_id=30687219921108", "YR1GJMXY2")</f>
        <v>YR1GJMXY2</v>
      </c>
      <c r="B5968" t="s">
        <v>815</v>
      </c>
      <c r="C5968">
        <v>139</v>
      </c>
      <c r="D5968">
        <v>151.1</v>
      </c>
      <c r="E5968">
        <v>151.09</v>
      </c>
      <c r="F5968">
        <v>0.01</v>
      </c>
    </row>
    <row r="5969" spans="1:6" x14ac:dyDescent="0.3">
      <c r="A5969" t="str">
        <f>HYPERLINK("https://us2.cloudbeds.com/connect/10074733072513#/reservations/30687763767470?display=YR1UG8TDS&amp;reservation_id=30687763767470", "YR1UG8TDS")</f>
        <v>YR1UG8TDS</v>
      </c>
      <c r="B5969" t="s">
        <v>912</v>
      </c>
      <c r="C5969">
        <v>79</v>
      </c>
      <c r="D5969">
        <v>85.88</v>
      </c>
      <c r="E5969">
        <v>85.87</v>
      </c>
      <c r="F5969">
        <v>0.01</v>
      </c>
    </row>
    <row r="5970" spans="1:6" x14ac:dyDescent="0.3">
      <c r="A5970" t="str">
        <f>HYPERLINK("https://us2.cloudbeds.com/connect/10074733072513#/reservations/31680218710195?display=MHBD0XYNY&amp;reservation_id=31680218710195", "MHBD0XYNY")</f>
        <v>MHBD0XYNY</v>
      </c>
      <c r="B5970" t="s">
        <v>819</v>
      </c>
      <c r="C5970">
        <v>278</v>
      </c>
      <c r="D5970">
        <v>302.2</v>
      </c>
      <c r="E5970">
        <v>302.19</v>
      </c>
      <c r="F5970">
        <v>0.01</v>
      </c>
    </row>
    <row r="5971" spans="1:6" x14ac:dyDescent="0.3">
      <c r="A5971" t="str">
        <f>HYPERLINK("https://us2.cloudbeds.com/connect/10074733072513#/reservations/30687191277712?display=YR1FSHH5C&amp;reservation_id=30687191277712", "YR1FSHH5C")</f>
        <v>YR1FSHH5C</v>
      </c>
      <c r="B5971" t="s">
        <v>910</v>
      </c>
      <c r="C5971">
        <v>106.8</v>
      </c>
      <c r="D5971">
        <v>116.1</v>
      </c>
      <c r="E5971">
        <v>116.09</v>
      </c>
      <c r="F5971">
        <v>0.01</v>
      </c>
    </row>
    <row r="5972" spans="1:6" x14ac:dyDescent="0.3">
      <c r="A5972" t="str">
        <f>HYPERLINK("https://us2.cloudbeds.com/connect/10074733072513#/reservations/30685494567129?display=YR05GR1X5&amp;reservation_id=30685494567129", "YR05GR1X5")</f>
        <v>YR05GR1X5</v>
      </c>
      <c r="B5972" t="s">
        <v>875</v>
      </c>
      <c r="C5972">
        <v>278</v>
      </c>
      <c r="D5972">
        <v>302.2</v>
      </c>
      <c r="E5972">
        <v>302.19</v>
      </c>
      <c r="F5972">
        <v>0.01</v>
      </c>
    </row>
    <row r="5973" spans="1:6" x14ac:dyDescent="0.3">
      <c r="A5973" t="str">
        <f>HYPERLINK("https://us2.cloudbeds.com/connect/10074733072513#/reservations/30687383957755?display=YR1KQ045X&amp;reservation_id=30687383957755", "YR1KQ045X")</f>
        <v>YR1KQ045X</v>
      </c>
      <c r="B5973" t="s">
        <v>771</v>
      </c>
      <c r="C5973">
        <v>119</v>
      </c>
      <c r="D5973">
        <v>129.36000000000001</v>
      </c>
      <c r="E5973">
        <v>129.35</v>
      </c>
      <c r="F5973">
        <v>0.01</v>
      </c>
    </row>
    <row r="5974" spans="1:6" x14ac:dyDescent="0.3">
      <c r="A5974" t="str">
        <f>HYPERLINK("https://us2.cloudbeds.com/connect/10074733072513#/reservations/30687716188295?display=YR1T94UNM&amp;reservation_id=30687716188295", "YR1T94UNM")</f>
        <v>YR1T94UNM</v>
      </c>
      <c r="B5974" t="s">
        <v>912</v>
      </c>
      <c r="C5974">
        <v>139</v>
      </c>
      <c r="D5974">
        <v>151.1</v>
      </c>
      <c r="E5974">
        <v>151.09</v>
      </c>
      <c r="F5974">
        <v>0.01</v>
      </c>
    </row>
    <row r="5975" spans="1:6" x14ac:dyDescent="0.3">
      <c r="A5975" t="str">
        <f>HYPERLINK("https://us2.cloudbeds.com/connect/10074733072513#/reservations/30687279894685?display=YR1X48DQ6&amp;reservation_id=30687279894685", "YR1X48DQ6")</f>
        <v>YR1X48DQ6</v>
      </c>
      <c r="B5975" t="s">
        <v>895</v>
      </c>
      <c r="C5975">
        <v>376</v>
      </c>
      <c r="D5975">
        <v>408.72</v>
      </c>
      <c r="E5975">
        <v>408.71</v>
      </c>
      <c r="F5975">
        <v>0.01</v>
      </c>
    </row>
    <row r="5976" spans="1:6" x14ac:dyDescent="0.3">
      <c r="A5976" t="str">
        <f>HYPERLINK("https://us2.cloudbeds.com/connect/10074733072513#/reservations/30684890001566?display=YQWN213UJ&amp;reservation_id=30684890001566", "YQWN213UJ")</f>
        <v>YQWN213UJ</v>
      </c>
      <c r="B5976" t="s">
        <v>919</v>
      </c>
      <c r="C5976">
        <v>139</v>
      </c>
      <c r="D5976">
        <v>151.1</v>
      </c>
      <c r="E5976">
        <v>151.09</v>
      </c>
      <c r="F5976">
        <v>0.01</v>
      </c>
    </row>
    <row r="5977" spans="1:6" x14ac:dyDescent="0.3">
      <c r="A5977" t="str">
        <f>HYPERLINK("https://us2.cloudbeds.com/connect/10074733072513#/reservations/30684889997444?display=YQWN2104M&amp;reservation_id=30684889997444", "YQWN2104M")</f>
        <v>YQWN2104M</v>
      </c>
      <c r="B5977" t="s">
        <v>919</v>
      </c>
      <c r="C5977">
        <v>129</v>
      </c>
      <c r="D5977">
        <v>140.22999999999999</v>
      </c>
      <c r="E5977">
        <v>140.22</v>
      </c>
      <c r="F5977">
        <v>0.01</v>
      </c>
    </row>
    <row r="5978" spans="1:6" x14ac:dyDescent="0.3">
      <c r="A5978" t="str">
        <f>HYPERLINK("https://us2.cloudbeds.com/connect/10074733072513#/reservations/30687851671734?display=YR1WZCVJE&amp;reservation_id=30687851671734", "YR1WZCVJE")</f>
        <v>YR1WZCVJE</v>
      </c>
      <c r="B5978" t="s">
        <v>912</v>
      </c>
      <c r="C5978">
        <v>144.54</v>
      </c>
      <c r="D5978">
        <v>157.12</v>
      </c>
      <c r="E5978">
        <v>157.11000000000001</v>
      </c>
      <c r="F5978">
        <v>0.01</v>
      </c>
    </row>
    <row r="5979" spans="1:6" x14ac:dyDescent="0.3">
      <c r="A5979" t="str">
        <f>HYPERLINK("https://us2.cloudbeds.com/connect/10074733072513#/reservations/30687951220895?display=YR229B1VM&amp;reservation_id=30687951220895", "YR229B1VM")</f>
        <v>YR229B1VM</v>
      </c>
      <c r="B5979" t="s">
        <v>836</v>
      </c>
      <c r="C5979">
        <v>189</v>
      </c>
      <c r="D5979">
        <v>205.45</v>
      </c>
      <c r="E5979">
        <v>205.44</v>
      </c>
      <c r="F5979">
        <v>0.01</v>
      </c>
    </row>
    <row r="5980" spans="1:6" x14ac:dyDescent="0.3">
      <c r="A5980" t="str">
        <f>HYPERLINK("https://us2.cloudbeds.com/connect/10074733072513#/reservations/30686908387579?display=YR18KWMK3&amp;reservation_id=30686908387579", "YR18KWMK3")</f>
        <v>YR18KWMK3</v>
      </c>
      <c r="B5980" t="s">
        <v>921</v>
      </c>
      <c r="C5980">
        <v>189</v>
      </c>
      <c r="D5980">
        <v>205.45</v>
      </c>
      <c r="E5980">
        <v>205.44</v>
      </c>
      <c r="F5980">
        <v>0.01</v>
      </c>
    </row>
    <row r="5981" spans="1:6" x14ac:dyDescent="0.3">
      <c r="A5981" t="str">
        <f>HYPERLINK("https://us2.cloudbeds.com/connect/10074733072513#/reservations/30685616754920?display=YR08KS3CG&amp;reservation_id=30685616754920", "YR08KS3CG")</f>
        <v>YR08KS3CG</v>
      </c>
      <c r="B5981" t="s">
        <v>907</v>
      </c>
      <c r="C5981">
        <v>238</v>
      </c>
      <c r="D5981">
        <v>258.72000000000003</v>
      </c>
      <c r="E5981">
        <v>258.70999999999998</v>
      </c>
      <c r="F5981">
        <v>0.01</v>
      </c>
    </row>
    <row r="5982" spans="1:6" x14ac:dyDescent="0.3">
      <c r="A5982" t="str">
        <f>HYPERLINK("https://us2.cloudbeds.com/connect/10074733072513#/reservations/30687706927262?display=YR1T1B7XA&amp;reservation_id=30687706927262", "YR1T1B7XA")</f>
        <v>YR1T1B7XA</v>
      </c>
      <c r="B5982" t="s">
        <v>912</v>
      </c>
      <c r="C5982">
        <v>144.54</v>
      </c>
      <c r="D5982">
        <v>157.12</v>
      </c>
      <c r="E5982">
        <v>157.11000000000001</v>
      </c>
      <c r="F5982">
        <v>0.01</v>
      </c>
    </row>
    <row r="5983" spans="1:6" x14ac:dyDescent="0.3">
      <c r="A5983" t="str">
        <f>HYPERLINK("https://us2.cloudbeds.com/connect/10074733072513#/reservations/30687984959669?display=YR234PTCP&amp;reservation_id=30687984959669", "YR234PTCP")</f>
        <v>YR234PTCP</v>
      </c>
      <c r="B5983" t="s">
        <v>858</v>
      </c>
      <c r="C5983">
        <v>159</v>
      </c>
      <c r="D5983">
        <v>172.84</v>
      </c>
      <c r="E5983">
        <v>172.83</v>
      </c>
      <c r="F5983">
        <v>0.01</v>
      </c>
    </row>
    <row r="5984" spans="1:6" x14ac:dyDescent="0.3">
      <c r="A5984" t="str">
        <f>HYPERLINK("https://us2.cloudbeds.com/connect/10074733072513#/reservations/30688258687175?display=YR2A4JP4M&amp;reservation_id=30688258687175", "YR2A4JP4M")</f>
        <v>YR2A4JP4M</v>
      </c>
      <c r="B5984" t="s">
        <v>858</v>
      </c>
      <c r="C5984">
        <v>159</v>
      </c>
      <c r="D5984">
        <v>172.84</v>
      </c>
      <c r="E5984">
        <v>172.83</v>
      </c>
      <c r="F5984">
        <v>0.01</v>
      </c>
    </row>
    <row r="5985" spans="1:6" x14ac:dyDescent="0.3">
      <c r="A5985" t="str">
        <f>HYPERLINK("https://us2.cloudbeds.com/connect/10074733072513#/reservations/30687216328838?display=YR1GGYJVD&amp;reservation_id=30687216328838", "YR1GGYJVD")</f>
        <v>YR1GGYJVD</v>
      </c>
      <c r="B5985" t="s">
        <v>688</v>
      </c>
      <c r="C5985">
        <v>258</v>
      </c>
      <c r="D5985">
        <v>280.45999999999998</v>
      </c>
      <c r="E5985">
        <v>280.45</v>
      </c>
      <c r="F5985">
        <v>0.01</v>
      </c>
    </row>
    <row r="5986" spans="1:6" x14ac:dyDescent="0.3">
      <c r="A5986" t="str">
        <f>HYPERLINK("https://us2.cloudbeds.com/connect/10074733072513#/reservations/30684901462221?display=YQWNBN0V5&amp;reservation_id=30684901462221", "YQWNBN0V5")</f>
        <v>YQWNBN0V5</v>
      </c>
      <c r="B5986" t="s">
        <v>919</v>
      </c>
      <c r="C5986">
        <v>129</v>
      </c>
      <c r="D5986">
        <v>140.22999999999999</v>
      </c>
      <c r="E5986">
        <v>140.22</v>
      </c>
      <c r="F5986">
        <v>0.01</v>
      </c>
    </row>
    <row r="5987" spans="1:6" x14ac:dyDescent="0.3">
      <c r="A5987" t="str">
        <f>HYPERLINK("https://us2.cloudbeds.com/connect/10074733072513#/reservations/30687199715463?display=YR1G2YAAQ&amp;reservation_id=30687199715463", "YR1G2YAAQ")</f>
        <v>YR1G2YAAQ</v>
      </c>
      <c r="B5987" t="s">
        <v>688</v>
      </c>
      <c r="C5987">
        <v>238</v>
      </c>
      <c r="D5987">
        <v>258.72000000000003</v>
      </c>
      <c r="E5987">
        <v>258.70999999999998</v>
      </c>
      <c r="F5987">
        <v>0.01</v>
      </c>
    </row>
    <row r="5988" spans="1:6" x14ac:dyDescent="0.3">
      <c r="A5988" t="str">
        <f>HYPERLINK("https://us2.cloudbeds.com/connect/10074733072513#/reservations/30688242237642?display=YR29NZ0VW&amp;reservation_id=30688242237642", "YR29NZ0VW")</f>
        <v>YR29NZ0VW</v>
      </c>
      <c r="B5988" t="s">
        <v>858</v>
      </c>
      <c r="C5988">
        <v>79</v>
      </c>
      <c r="D5988">
        <v>85.88</v>
      </c>
      <c r="E5988">
        <v>85.87</v>
      </c>
      <c r="F5988">
        <v>0.01</v>
      </c>
    </row>
    <row r="5989" spans="1:6" x14ac:dyDescent="0.3">
      <c r="A5989" t="str">
        <f>HYPERLINK("https://us2.cloudbeds.com/connect/10074733072513#/reservations/30687300833410?display=YR1XYU290&amp;reservation_id=30687300833410", "YR1XYU290")</f>
        <v>YR1XYU290</v>
      </c>
      <c r="B5989" t="s">
        <v>899</v>
      </c>
      <c r="C5989">
        <v>79</v>
      </c>
      <c r="D5989">
        <v>85.88</v>
      </c>
      <c r="E5989">
        <v>85.87</v>
      </c>
      <c r="F5989">
        <v>0.01</v>
      </c>
    </row>
    <row r="5990" spans="1:6" x14ac:dyDescent="0.3">
      <c r="A5990" t="str">
        <f>HYPERLINK("https://us2.cloudbeds.com/connect/10074733072513#/reservations/30688335618243?display=YR2C3FFU5&amp;reservation_id=30688335618243", "YR2C3FFU5")</f>
        <v>YR2C3FFU5</v>
      </c>
      <c r="B5990" t="s">
        <v>868</v>
      </c>
      <c r="C5990">
        <v>189</v>
      </c>
      <c r="D5990">
        <v>205.45</v>
      </c>
      <c r="E5990">
        <v>205.44</v>
      </c>
      <c r="F5990">
        <v>0.01</v>
      </c>
    </row>
    <row r="5991" spans="1:6" x14ac:dyDescent="0.3">
      <c r="A5991" t="str">
        <f>HYPERLINK("https://us2.cloudbeds.com/connect/10074733072513#/reservations/30688217075848?display=YR292GSXB&amp;reservation_id=30688217075848", "YR292GSXB")</f>
        <v>YR292GSXB</v>
      </c>
      <c r="B5991" t="s">
        <v>836</v>
      </c>
      <c r="C5991">
        <v>189</v>
      </c>
      <c r="D5991">
        <v>205.45</v>
      </c>
      <c r="E5991">
        <v>205.44</v>
      </c>
      <c r="F5991">
        <v>0.01</v>
      </c>
    </row>
    <row r="5992" spans="1:6" x14ac:dyDescent="0.3">
      <c r="A5992" t="str">
        <f>HYPERLINK("https://us2.cloudbeds.com/connect/10074733072513#/reservations/30687951216800?display=YR229AV6J&amp;reservation_id=30687951216800", "YR229AV6J")</f>
        <v>YR229AV6J</v>
      </c>
      <c r="B5992" t="s">
        <v>858</v>
      </c>
      <c r="C5992">
        <v>159</v>
      </c>
      <c r="D5992">
        <v>172.84</v>
      </c>
      <c r="E5992">
        <v>172.83</v>
      </c>
      <c r="F5992">
        <v>0.01</v>
      </c>
    </row>
    <row r="5993" spans="1:6" x14ac:dyDescent="0.3">
      <c r="A5993" t="str">
        <f>HYPERLINK("https://us2.cloudbeds.com/connect/10074733072513#/reservations/30687964991722?display=YR22KV8BF&amp;reservation_id=30687964991722", "YR22KV8BF")</f>
        <v>YR22KV8BF</v>
      </c>
      <c r="B5993" t="s">
        <v>858</v>
      </c>
      <c r="C5993">
        <v>159</v>
      </c>
      <c r="D5993">
        <v>172.84</v>
      </c>
      <c r="E5993">
        <v>172.83</v>
      </c>
      <c r="F5993">
        <v>0.01</v>
      </c>
    </row>
    <row r="5994" spans="1:6" x14ac:dyDescent="0.3">
      <c r="A5994" t="str">
        <f>HYPERLINK("https://us2.cloudbeds.com/connect/10074733072513#/reservations/30688017162369?display=YR23VUW95&amp;reservation_id=30688017162369", "YR23VUW95")</f>
        <v>YR23VUW95</v>
      </c>
      <c r="B5994" t="s">
        <v>826</v>
      </c>
      <c r="C5994">
        <v>94.5</v>
      </c>
      <c r="D5994">
        <v>102.73</v>
      </c>
      <c r="E5994">
        <v>102.72</v>
      </c>
      <c r="F5994">
        <v>0.01</v>
      </c>
    </row>
    <row r="5995" spans="1:6" x14ac:dyDescent="0.3">
      <c r="A5995" t="str">
        <f>HYPERLINK("https://us2.cloudbeds.com/connect/10074733072513#/reservations/30684909588687?display=YQWNXX58N&amp;reservation_id=30684909588687", "YQWNXX58N")</f>
        <v>YQWNXX58N</v>
      </c>
      <c r="B5995" t="s">
        <v>919</v>
      </c>
      <c r="C5995">
        <v>129</v>
      </c>
      <c r="D5995">
        <v>140.22999999999999</v>
      </c>
      <c r="E5995">
        <v>140.22</v>
      </c>
      <c r="F5995">
        <v>0.01</v>
      </c>
    </row>
    <row r="5996" spans="1:6" x14ac:dyDescent="0.3">
      <c r="A5996" t="str">
        <f>HYPERLINK("https://us2.cloudbeds.com/connect/10074733072513#/reservations/30688024236186?display=YR244TQW8&amp;reservation_id=30688024236186", "YR244TQW8")</f>
        <v>YR244TQW8</v>
      </c>
      <c r="B5996" t="s">
        <v>826</v>
      </c>
      <c r="C5996">
        <v>189</v>
      </c>
      <c r="D5996">
        <v>205.45</v>
      </c>
      <c r="E5996">
        <v>205.44</v>
      </c>
      <c r="F5996">
        <v>0.01</v>
      </c>
    </row>
    <row r="5997" spans="1:6" x14ac:dyDescent="0.3">
      <c r="A5997" t="str">
        <f>HYPERLINK("https://us2.cloudbeds.com/connect/10074733072513#/reservations/30687899541729?display=YR20VP0BA&amp;reservation_id=30687899541729", "YR20VP0BA")</f>
        <v>YR20VP0BA</v>
      </c>
      <c r="B5997" t="s">
        <v>826</v>
      </c>
      <c r="C5997">
        <v>179</v>
      </c>
      <c r="D5997">
        <v>194.58</v>
      </c>
      <c r="E5997">
        <v>194.57</v>
      </c>
      <c r="F5997">
        <v>0.01</v>
      </c>
    </row>
    <row r="5998" spans="1:6" x14ac:dyDescent="0.3">
      <c r="A5998" t="str">
        <f>HYPERLINK("https://us2.cloudbeds.com/connect/10074733072513#/reservations/30687521878261?display=YR1ZA9VUR&amp;reservation_id=30687521878261", "YR1ZA9VUR")</f>
        <v>YR1ZA9VUR</v>
      </c>
      <c r="B5998" t="s">
        <v>875</v>
      </c>
      <c r="C5998">
        <v>129</v>
      </c>
      <c r="D5998">
        <v>140.22999999999999</v>
      </c>
      <c r="E5998">
        <v>140.22</v>
      </c>
      <c r="F5998">
        <v>0.01</v>
      </c>
    </row>
    <row r="5999" spans="1:6" x14ac:dyDescent="0.3">
      <c r="A5999" t="str">
        <f>HYPERLINK("https://us2.cloudbeds.com/connect/10074733072513#/reservations/30686940610785?display=YR19F5BAT&amp;reservation_id=30686940610785", "YR19F5BAT")</f>
        <v>YR19F5BAT</v>
      </c>
      <c r="B5999" t="s">
        <v>838</v>
      </c>
      <c r="C5999">
        <v>189</v>
      </c>
      <c r="D5999">
        <v>205.45</v>
      </c>
      <c r="E5999">
        <v>205.44</v>
      </c>
      <c r="F5999">
        <v>0.01</v>
      </c>
    </row>
    <row r="6000" spans="1:6" x14ac:dyDescent="0.3">
      <c r="A6000" t="str">
        <f>HYPERLINK("https://us2.cloudbeds.com/connect/10074733072513#/reservations/30687772446938?display=YR1UNJDX1&amp;reservation_id=30687772446938", "YR1UNJDX1")</f>
        <v>YR1UNJDX1</v>
      </c>
      <c r="B6000" t="s">
        <v>868</v>
      </c>
      <c r="C6000">
        <v>384</v>
      </c>
      <c r="D6000">
        <v>417.42</v>
      </c>
      <c r="E6000">
        <v>417.41</v>
      </c>
      <c r="F6000">
        <v>0.01</v>
      </c>
    </row>
    <row r="6001" spans="1:6" x14ac:dyDescent="0.3">
      <c r="A6001" t="str">
        <f>HYPERLINK("https://us2.cloudbeds.com/connect/10074733072513#/reservations/30686952902868?display=YR19PHCR8&amp;reservation_id=30686952902868", "YR19PHCR8")</f>
        <v>YR19PHCR8</v>
      </c>
      <c r="B6001" t="s">
        <v>838</v>
      </c>
      <c r="C6001">
        <v>159</v>
      </c>
      <c r="D6001">
        <v>172.84</v>
      </c>
      <c r="E6001">
        <v>172.83</v>
      </c>
      <c r="F6001">
        <v>0.01</v>
      </c>
    </row>
    <row r="6002" spans="1:6" x14ac:dyDescent="0.3">
      <c r="A6002" t="str">
        <f>HYPERLINK("https://us2.cloudbeds.com/connect/10074733072513#/reservations/30683062698236?display=YQV9C6NED&amp;reservation_id=30683062698236", "YQV9C6NED")</f>
        <v>YQV9C6NED</v>
      </c>
      <c r="B6002" t="s">
        <v>924</v>
      </c>
      <c r="C6002">
        <v>218</v>
      </c>
      <c r="D6002">
        <v>236.98</v>
      </c>
      <c r="E6002">
        <v>236.97</v>
      </c>
      <c r="F6002">
        <v>0.01</v>
      </c>
    </row>
    <row r="6003" spans="1:6" x14ac:dyDescent="0.3">
      <c r="A6003" t="str">
        <f>HYPERLINK("https://us2.cloudbeds.com/connect/10074733072513#/reservations/30686796705990?display=YR15PQWBH&amp;reservation_id=30686796705990", "YR15PQWBH")</f>
        <v>YR15PQWBH</v>
      </c>
      <c r="B6003" t="s">
        <v>879</v>
      </c>
      <c r="C6003">
        <v>320</v>
      </c>
      <c r="D6003">
        <v>347.85</v>
      </c>
      <c r="E6003">
        <v>347.84</v>
      </c>
      <c r="F6003">
        <v>0.01</v>
      </c>
    </row>
    <row r="6004" spans="1:6" x14ac:dyDescent="0.3">
      <c r="A6004" t="str">
        <f>HYPERLINK("https://us2.cloudbeds.com/connect/10074733072513#/reservations/30688319598811?display=YR2BMVNMR&amp;reservation_id=30688319598811", "YR2BMVNMR")</f>
        <v>YR2BMVNMR</v>
      </c>
      <c r="B6004" t="s">
        <v>868</v>
      </c>
      <c r="C6004">
        <v>94.5</v>
      </c>
      <c r="D6004">
        <v>102.73</v>
      </c>
      <c r="E6004">
        <v>102.72</v>
      </c>
      <c r="F6004">
        <v>0.01</v>
      </c>
    </row>
    <row r="6005" spans="1:6" x14ac:dyDescent="0.3">
      <c r="A6005" t="str">
        <f>HYPERLINK("https://us2.cloudbeds.com/connect/10074733072513#/reservations/30686961008809?display=YR19WBV9R&amp;reservation_id=30686961008809", "YR19WBV9R")</f>
        <v>YR19WBV9R</v>
      </c>
      <c r="B6005" t="s">
        <v>838</v>
      </c>
      <c r="C6005">
        <v>149</v>
      </c>
      <c r="D6005">
        <v>161.97</v>
      </c>
      <c r="E6005">
        <v>161.96</v>
      </c>
      <c r="F6005">
        <v>0.01</v>
      </c>
    </row>
    <row r="6006" spans="1:6" x14ac:dyDescent="0.3">
      <c r="A6006" t="str">
        <f>HYPERLINK("https://us2.cloudbeds.com/connect/10074733072513#/reservations/30687777071307?display=YR1URG2WE&amp;reservation_id=30687777071307", "YR1URG2WE")</f>
        <v>YR1URG2WE</v>
      </c>
      <c r="B6006" t="s">
        <v>868</v>
      </c>
      <c r="C6006">
        <v>384</v>
      </c>
      <c r="D6006">
        <v>417.42</v>
      </c>
      <c r="E6006">
        <v>417.41</v>
      </c>
      <c r="F6006">
        <v>0.01</v>
      </c>
    </row>
    <row r="6007" spans="1:6" x14ac:dyDescent="0.3">
      <c r="A6007" t="str">
        <f>HYPERLINK("https://us2.cloudbeds.com/connect/10074733072513#/reservations/30687383957697?display=YR1KQ043Q&amp;reservation_id=30687383957697", "YR1KQ043Q")</f>
        <v>YR1KQ043Q</v>
      </c>
      <c r="B6007" t="s">
        <v>899</v>
      </c>
      <c r="C6007">
        <v>159</v>
      </c>
      <c r="D6007">
        <v>172.84</v>
      </c>
      <c r="E6007">
        <v>172.83</v>
      </c>
      <c r="F6007">
        <v>0.01</v>
      </c>
    </row>
    <row r="6008" spans="1:6" x14ac:dyDescent="0.3">
      <c r="A6008" t="str">
        <f>HYPERLINK("https://us2.cloudbeds.com/connect/10074733072513#/reservations/30685704724680?display=YR0AT0WMQ&amp;reservation_id=30685704724680", "YR0AT0WMQ")</f>
        <v>YR0AT0WMQ</v>
      </c>
      <c r="B6008" t="s">
        <v>771</v>
      </c>
      <c r="C6008">
        <v>159</v>
      </c>
      <c r="D6008">
        <v>172.84</v>
      </c>
      <c r="E6008">
        <v>172.83</v>
      </c>
      <c r="F6008">
        <v>0.01</v>
      </c>
    </row>
    <row r="6009" spans="1:6" x14ac:dyDescent="0.3">
      <c r="A6009" t="str">
        <f>HYPERLINK("https://us2.cloudbeds.com/connect/10074733072513#/reservations/30684909592779?display=YQWNXX90N&amp;reservation_id=30684909592779", "YQWNXX90N")</f>
        <v>YQWNXX90N</v>
      </c>
      <c r="B6009" t="s">
        <v>919</v>
      </c>
      <c r="C6009">
        <v>258</v>
      </c>
      <c r="D6009">
        <v>280.45999999999998</v>
      </c>
      <c r="E6009">
        <v>280.45</v>
      </c>
      <c r="F6009">
        <v>0.01</v>
      </c>
    </row>
    <row r="6010" spans="1:6" x14ac:dyDescent="0.3">
      <c r="A6010" t="str">
        <f>HYPERLINK("https://us2.cloudbeds.com/connect/10074733072513#/reservations/30688429465792?display=YR2EBVH17&amp;reservation_id=30688429465792", "YR2EBVH17")</f>
        <v>YR2EBVH17</v>
      </c>
      <c r="B6010" t="s">
        <v>893</v>
      </c>
      <c r="C6010">
        <v>141.55000000000001</v>
      </c>
      <c r="D6010">
        <v>153.87</v>
      </c>
      <c r="E6010">
        <v>153.86000000000001</v>
      </c>
      <c r="F6010">
        <v>0.01</v>
      </c>
    </row>
    <row r="6011" spans="1:6" x14ac:dyDescent="0.3">
      <c r="A6011" t="str">
        <f>HYPERLINK("https://us2.cloudbeds.com/connect/10074733072513#/reservations/30687333146871?display=YR1JG57SQ&amp;reservation_id=30687333146871", "YR1JG57SQ")</f>
        <v>YR1JG57SQ</v>
      </c>
      <c r="B6011" t="s">
        <v>899</v>
      </c>
      <c r="C6011">
        <v>149</v>
      </c>
      <c r="D6011">
        <v>161.97</v>
      </c>
      <c r="E6011">
        <v>161.96</v>
      </c>
      <c r="F6011">
        <v>0.01</v>
      </c>
    </row>
    <row r="6012" spans="1:6" x14ac:dyDescent="0.3">
      <c r="A6012" t="str">
        <f>HYPERLINK("https://us2.cloudbeds.com/connect/10074733072513#/reservations/30686769750261?display=YR1532TK8&amp;reservation_id=30686769750261", "YR1532TK8")</f>
        <v>YR1532TK8</v>
      </c>
      <c r="B6012" t="s">
        <v>895</v>
      </c>
      <c r="C6012">
        <v>159</v>
      </c>
      <c r="D6012">
        <v>172.84</v>
      </c>
      <c r="E6012">
        <v>172.83</v>
      </c>
      <c r="F6012">
        <v>0.01</v>
      </c>
    </row>
    <row r="6013" spans="1:6" x14ac:dyDescent="0.3">
      <c r="A6013" t="str">
        <f>HYPERLINK("https://us2.cloudbeds.com/connect/10074733072513#/reservations/30687365198024?display=YR1KA63JS&amp;reservation_id=30687365198024", "YR1KA63JS")</f>
        <v>YR1KA63JS</v>
      </c>
      <c r="B6013" t="s">
        <v>899</v>
      </c>
      <c r="C6013">
        <v>169</v>
      </c>
      <c r="D6013">
        <v>183.71</v>
      </c>
      <c r="E6013">
        <v>183.7</v>
      </c>
      <c r="F6013">
        <v>0.01</v>
      </c>
    </row>
    <row r="6014" spans="1:6" x14ac:dyDescent="0.3">
      <c r="A6014" t="str">
        <f>HYPERLINK("https://us2.cloudbeds.com/connect/10074733072513#/reservations/30687803539707?display=YR1VGQK75&amp;reservation_id=30687803539707", "YR1VGQK75")</f>
        <v>YR1VGQK75</v>
      </c>
      <c r="B6014" t="s">
        <v>879</v>
      </c>
      <c r="C6014">
        <v>79</v>
      </c>
      <c r="D6014">
        <v>85.88</v>
      </c>
      <c r="E6014">
        <v>85.87</v>
      </c>
      <c r="F6014">
        <v>0.01</v>
      </c>
    </row>
    <row r="6015" spans="1:6" x14ac:dyDescent="0.3">
      <c r="A6015" t="str">
        <f>HYPERLINK("https://us2.cloudbeds.com/connect/10074733072513#/reservations/30686830047367?display=YR16KUZS9&amp;reservation_id=30686830047367", "YR16KUZS9")</f>
        <v>YR16KUZS9</v>
      </c>
      <c r="B6015" t="s">
        <v>895</v>
      </c>
      <c r="C6015">
        <v>179</v>
      </c>
      <c r="D6015">
        <v>194.58</v>
      </c>
      <c r="E6015">
        <v>194.57</v>
      </c>
      <c r="F6015">
        <v>0.01</v>
      </c>
    </row>
    <row r="6016" spans="1:6" x14ac:dyDescent="0.3">
      <c r="A6016" t="str">
        <f>HYPERLINK("https://us2.cloudbeds.com/connect/10074733072513#/reservations/31678159085702?display=MH9QCRXR7&amp;reservation_id=31678159085702", "MH9QCRXR7")</f>
        <v>MH9QCRXR7</v>
      </c>
      <c r="B6016" t="s">
        <v>878</v>
      </c>
      <c r="C6016">
        <v>258</v>
      </c>
      <c r="D6016">
        <v>280.45999999999998</v>
      </c>
      <c r="E6016">
        <v>280.45</v>
      </c>
      <c r="F6016">
        <v>0.01</v>
      </c>
    </row>
    <row r="6017" spans="1:6" x14ac:dyDescent="0.3">
      <c r="A6017" t="str">
        <f>HYPERLINK("https://us2.cloudbeds.com/connect/10074733072513#/reservations/30686760902816?display=YR14SKN7S&amp;reservation_id=30686760902816", "YR14SKN7S")</f>
        <v>YR14SKN7S</v>
      </c>
      <c r="B6017" t="s">
        <v>895</v>
      </c>
      <c r="C6017">
        <v>169</v>
      </c>
      <c r="D6017">
        <v>183.71</v>
      </c>
      <c r="E6017">
        <v>183.7</v>
      </c>
      <c r="F6017">
        <v>0.01</v>
      </c>
    </row>
    <row r="6018" spans="1:6" x14ac:dyDescent="0.3">
      <c r="A6018" t="str">
        <f>HYPERLINK("https://us2.cloudbeds.com/connect/10074733072513#/reservations/30684894920865?display=YQWN66068&amp;reservation_id=30684894920865", "YQWN66068")</f>
        <v>YQWN66068</v>
      </c>
      <c r="B6018" t="s">
        <v>919</v>
      </c>
      <c r="C6018">
        <v>129</v>
      </c>
      <c r="D6018">
        <v>140.22999999999999</v>
      </c>
      <c r="E6018">
        <v>140.22</v>
      </c>
      <c r="F6018">
        <v>0.01</v>
      </c>
    </row>
    <row r="6019" spans="1:6" x14ac:dyDescent="0.3">
      <c r="A6019" t="str">
        <f>HYPERLINK("https://us2.cloudbeds.com/connect/10074733072513#/reservations/30687877877976?display=YR20DG62W&amp;reservation_id=30687877877976", "YR20DG62W")</f>
        <v>YR20DG62W</v>
      </c>
      <c r="B6019" t="s">
        <v>688</v>
      </c>
      <c r="C6019">
        <v>189</v>
      </c>
      <c r="D6019">
        <v>205.45</v>
      </c>
      <c r="E6019">
        <v>205.44</v>
      </c>
      <c r="F6019">
        <v>0.01</v>
      </c>
    </row>
    <row r="6020" spans="1:6" x14ac:dyDescent="0.3">
      <c r="A6020" t="str">
        <f>HYPERLINK("https://us2.cloudbeds.com/connect/10074733072513#/reservations/30685415289003?display=YR03FW0HN&amp;reservation_id=30685415289003", "YR03FW0HN")</f>
        <v>YR03FW0HN</v>
      </c>
      <c r="B6020" t="s">
        <v>907</v>
      </c>
      <c r="C6020">
        <v>119</v>
      </c>
      <c r="D6020">
        <v>129.36000000000001</v>
      </c>
      <c r="E6020">
        <v>129.35</v>
      </c>
      <c r="F6020">
        <v>0.01</v>
      </c>
    </row>
    <row r="6021" spans="1:6" x14ac:dyDescent="0.3">
      <c r="A6021" t="str">
        <f>HYPERLINK("https://us2.cloudbeds.com/connect/10074733072513#/reservations/30688351215763?display=YR2CGKGN9&amp;reservation_id=30688351215763", "YR2CGKGN9")</f>
        <v>YR2CGKGN9</v>
      </c>
      <c r="B6021" t="s">
        <v>868</v>
      </c>
      <c r="C6021">
        <v>149</v>
      </c>
      <c r="D6021">
        <v>161.97</v>
      </c>
      <c r="E6021">
        <v>161.96</v>
      </c>
      <c r="F6021">
        <v>0.01</v>
      </c>
    </row>
    <row r="6022" spans="1:6" x14ac:dyDescent="0.3">
      <c r="A6022" t="str">
        <f>HYPERLINK("https://us2.cloudbeds.com/connect/10074733072513#/reservations/30684251283679?display=YQW6ZES43&amp;reservation_id=30684251283679", "YQW6ZES43")</f>
        <v>YQW6ZES43</v>
      </c>
      <c r="B6022" t="s">
        <v>923</v>
      </c>
      <c r="C6022">
        <v>282</v>
      </c>
      <c r="D6022">
        <v>306.54000000000002</v>
      </c>
      <c r="E6022">
        <v>306.52999999999997</v>
      </c>
      <c r="F6022">
        <v>0.01</v>
      </c>
    </row>
    <row r="6023" spans="1:6" x14ac:dyDescent="0.3">
      <c r="A6023" t="str">
        <f>HYPERLINK("https://us2.cloudbeds.com/connect/10074733072513#/reservations/30687902900475?display=YR211JFJH&amp;reservation_id=30687902900475", "YR211JFJH")</f>
        <v>YR211JFJH</v>
      </c>
      <c r="B6023" t="s">
        <v>906</v>
      </c>
      <c r="C6023">
        <v>144.54</v>
      </c>
      <c r="D6023">
        <v>157.12</v>
      </c>
      <c r="E6023">
        <v>157.11000000000001</v>
      </c>
      <c r="F6023">
        <v>0.01</v>
      </c>
    </row>
    <row r="6024" spans="1:6" x14ac:dyDescent="0.3">
      <c r="A6024" t="str">
        <f>HYPERLINK("https://us2.cloudbeds.com/connect/10074733072513#/reservations/30687643537631?display=YR1RDTAHC&amp;reservation_id=30687643537631", "YR1RDTAHC")</f>
        <v>YR1RDTAHC</v>
      </c>
      <c r="B6024" t="s">
        <v>879</v>
      </c>
      <c r="C6024">
        <v>144.5</v>
      </c>
      <c r="D6024">
        <v>157.08000000000001</v>
      </c>
      <c r="E6024">
        <v>157.07</v>
      </c>
      <c r="F6024">
        <v>0.01</v>
      </c>
    </row>
    <row r="6025" spans="1:6" x14ac:dyDescent="0.3">
      <c r="A6025" t="str">
        <f>HYPERLINK("https://us2.cloudbeds.com/connect/10074733072513#/reservations/30687636766862?display=YR1R85U3J&amp;reservation_id=30687636766862", "YR1R85U3J")</f>
        <v>YR1R85U3J</v>
      </c>
      <c r="B6025" t="s">
        <v>879</v>
      </c>
      <c r="C6025">
        <v>144.54</v>
      </c>
      <c r="D6025">
        <v>157.12</v>
      </c>
      <c r="E6025">
        <v>157.11000000000001</v>
      </c>
      <c r="F6025">
        <v>0.01</v>
      </c>
    </row>
    <row r="6026" spans="1:6" x14ac:dyDescent="0.3">
      <c r="A6026" t="str">
        <f>HYPERLINK("https://us2.cloudbeds.com/connect/10074733072513#/reservations/30687612887285?display=YR1QY1E41&amp;reservation_id=30687612887285", "YR1QY1E41")</f>
        <v>YR1QY1E41</v>
      </c>
      <c r="B6026" t="s">
        <v>879</v>
      </c>
      <c r="C6026">
        <v>130</v>
      </c>
      <c r="D6026">
        <v>141.32</v>
      </c>
      <c r="E6026">
        <v>141.31</v>
      </c>
      <c r="F6026">
        <v>0.01</v>
      </c>
    </row>
    <row r="6027" spans="1:6" x14ac:dyDescent="0.3">
      <c r="A6027" t="str">
        <f>HYPERLINK("https://us2.cloudbeds.com/connect/10074733072513#/reservations/30686980882563?display=YR1AG3VRQ&amp;reservation_id=30686980882563", "YR1AG3VRQ")</f>
        <v>YR1AG3VRQ</v>
      </c>
      <c r="B6027" t="s">
        <v>928</v>
      </c>
      <c r="C6027">
        <v>159</v>
      </c>
      <c r="D6027">
        <v>172.84</v>
      </c>
      <c r="E6027">
        <v>172.83</v>
      </c>
      <c r="F6027">
        <v>0.01</v>
      </c>
    </row>
    <row r="6028" spans="1:6" x14ac:dyDescent="0.3">
      <c r="A6028" t="str">
        <f>HYPERLINK("https://us2.cloudbeds.com/connect/10074733072513#/reservations/30687939145909?display=YR21W51R0&amp;reservation_id=30687939145909", "YR21W51R0")</f>
        <v>YR21W51R0</v>
      </c>
      <c r="B6028" t="s">
        <v>906</v>
      </c>
      <c r="C6028">
        <v>106.8</v>
      </c>
      <c r="D6028">
        <v>116.1</v>
      </c>
      <c r="E6028">
        <v>116.09</v>
      </c>
      <c r="F6028">
        <v>0.01</v>
      </c>
    </row>
    <row r="6029" spans="1:6" x14ac:dyDescent="0.3">
      <c r="A6029" t="str">
        <f>HYPERLINK("https://us2.cloudbeds.com/connect/10074733072513#/reservations/30687810052239?display=YR1VM9RGK&amp;reservation_id=30687810052239", "YR1VM9RGK")</f>
        <v>YR1VM9RGK</v>
      </c>
      <c r="B6029" t="s">
        <v>879</v>
      </c>
      <c r="C6029">
        <v>79</v>
      </c>
      <c r="D6029">
        <v>85.88</v>
      </c>
      <c r="E6029">
        <v>85.87</v>
      </c>
      <c r="F6029">
        <v>0.01</v>
      </c>
    </row>
    <row r="6030" spans="1:6" x14ac:dyDescent="0.3">
      <c r="A6030" t="str">
        <f>HYPERLINK("https://us2.cloudbeds.com/connect/10074733072513#/reservations/30685209206989?display=YQWV76FS6&amp;reservation_id=30685209206989", "YQWV76FS6")</f>
        <v>YQWV76FS6</v>
      </c>
      <c r="B6030" t="s">
        <v>918</v>
      </c>
      <c r="C6030">
        <v>278</v>
      </c>
      <c r="D6030">
        <v>302.2</v>
      </c>
      <c r="E6030">
        <v>302.19</v>
      </c>
      <c r="F6030">
        <v>0.01</v>
      </c>
    </row>
    <row r="6031" spans="1:6" x14ac:dyDescent="0.3">
      <c r="A6031" t="str">
        <f>HYPERLINK("https://us2.cloudbeds.com/connect/10074733072513#/reservations/30688066818297?display=YR257QZ08&amp;reservation_id=30688066818297", "YR257QZ08")</f>
        <v>YR257QZ08</v>
      </c>
      <c r="B6031" t="s">
        <v>923</v>
      </c>
      <c r="C6031">
        <v>158</v>
      </c>
      <c r="D6031">
        <v>171.76</v>
      </c>
      <c r="E6031">
        <v>171.75</v>
      </c>
      <c r="F6031">
        <v>0.01</v>
      </c>
    </row>
    <row r="6032" spans="1:6" x14ac:dyDescent="0.3">
      <c r="A6032" t="str">
        <f>HYPERLINK("https://us2.cloudbeds.com/connect/10074733072513#/reservations/30686712897749?display=YR13Y4TES&amp;reservation_id=30686712897749", "YR13Y4TES")</f>
        <v>YR13Y4TES</v>
      </c>
      <c r="B6032" t="s">
        <v>931</v>
      </c>
      <c r="C6032">
        <v>320</v>
      </c>
      <c r="D6032">
        <v>347.85</v>
      </c>
      <c r="E6032">
        <v>347.84</v>
      </c>
      <c r="F6032">
        <v>0.01</v>
      </c>
    </row>
    <row r="6033" spans="1:6" x14ac:dyDescent="0.3">
      <c r="A6033" t="str">
        <f>HYPERLINK("https://us2.cloudbeds.com/connect/10074733072513#/reservations/30688316289206?display=YR2BK5KXP&amp;reservation_id=30688316289206", "YR2BK5KXP")</f>
        <v>YR2BK5KXP</v>
      </c>
      <c r="B6033" t="s">
        <v>868</v>
      </c>
      <c r="C6033">
        <v>229</v>
      </c>
      <c r="D6033">
        <v>248.93</v>
      </c>
      <c r="E6033">
        <v>248.92</v>
      </c>
      <c r="F6033">
        <v>0.01</v>
      </c>
    </row>
    <row r="6034" spans="1:6" x14ac:dyDescent="0.3">
      <c r="A6034" t="str">
        <f>HYPERLINK("https://us2.cloudbeds.com/connect/10074733072513#/reservations/30688340893923?display=YR2C7U9E8&amp;reservation_id=30688340893923", "YR2C7U9E8")</f>
        <v>YR2C7U9E8</v>
      </c>
      <c r="B6034" t="s">
        <v>868</v>
      </c>
      <c r="C6034">
        <v>79</v>
      </c>
      <c r="D6034">
        <v>85.88</v>
      </c>
      <c r="E6034">
        <v>85.87</v>
      </c>
      <c r="F6034">
        <v>0.01</v>
      </c>
    </row>
    <row r="6035" spans="1:6" x14ac:dyDescent="0.3">
      <c r="A6035" t="str">
        <f>HYPERLINK("https://us2.cloudbeds.com/connect/10074733072513#/reservations/30688292991108?display=YR2B0HAHQ&amp;reservation_id=30688292991108", "YR2B0HAHQ")</f>
        <v>YR2B0HAHQ</v>
      </c>
      <c r="B6035" t="s">
        <v>868</v>
      </c>
      <c r="C6035">
        <v>249</v>
      </c>
      <c r="D6035">
        <v>270.67</v>
      </c>
      <c r="E6035">
        <v>270.66000000000003</v>
      </c>
      <c r="F6035">
        <v>0.01</v>
      </c>
    </row>
    <row r="6036" spans="1:6" x14ac:dyDescent="0.3">
      <c r="A6036" t="str">
        <f>HYPERLINK("https://us2.cloudbeds.com/connect/10074733072513#/reservations/30688332828815?display=YR2C13SF1&amp;reservation_id=30688332828815", "YR2C13SF1")</f>
        <v>YR2C13SF1</v>
      </c>
      <c r="B6036" t="s">
        <v>868</v>
      </c>
      <c r="C6036">
        <v>199</v>
      </c>
      <c r="D6036">
        <v>216.32</v>
      </c>
      <c r="E6036">
        <v>216.31</v>
      </c>
      <c r="F6036">
        <v>0.01</v>
      </c>
    </row>
    <row r="6037" spans="1:6" x14ac:dyDescent="0.3">
      <c r="A6037" t="str">
        <f>HYPERLINK("https://us2.cloudbeds.com/connect/10074733072513#/reservations/30688332824720?display=YR2C13ZMV&amp;reservation_id=30688332824720", "YR2C13ZMV")</f>
        <v>YR2C13ZMV</v>
      </c>
      <c r="B6037" t="s">
        <v>868</v>
      </c>
      <c r="C6037">
        <v>199</v>
      </c>
      <c r="D6037">
        <v>216.32</v>
      </c>
      <c r="E6037">
        <v>216.31</v>
      </c>
      <c r="F6037">
        <v>0.01</v>
      </c>
    </row>
    <row r="6038" spans="1:6" x14ac:dyDescent="0.3">
      <c r="A6038" t="str">
        <f>HYPERLINK("https://us2.cloudbeds.com/connect/10074733072513#/reservations/30687853351047?display=YR1WPQMYN&amp;reservation_id=30687853351047", "YR1WPQMYN")</f>
        <v>YR1WPQMYN</v>
      </c>
      <c r="B6038" t="s">
        <v>688</v>
      </c>
      <c r="C6038">
        <v>219</v>
      </c>
      <c r="D6038">
        <v>238.06</v>
      </c>
      <c r="E6038">
        <v>238.05</v>
      </c>
      <c r="F6038">
        <v>0.01</v>
      </c>
    </row>
    <row r="6039" spans="1:6" x14ac:dyDescent="0.3">
      <c r="A6039" t="str">
        <f>HYPERLINK("https://us2.cloudbeds.com/connect/10074733072513#/reservations/30684271218909?display=YQW788J3V&amp;reservation_id=30684271218909", "YQW788J3V")</f>
        <v>YQW788J3V</v>
      </c>
      <c r="B6039" t="s">
        <v>906</v>
      </c>
      <c r="C6039">
        <v>149</v>
      </c>
      <c r="D6039">
        <v>161.97</v>
      </c>
      <c r="E6039">
        <v>161.96</v>
      </c>
      <c r="F6039">
        <v>0.01</v>
      </c>
    </row>
    <row r="6040" spans="1:6" x14ac:dyDescent="0.3">
      <c r="A6040" t="str">
        <f>HYPERLINK("https://us2.cloudbeds.com/connect/10074733072513#/reservations/30688095510701?display=YR25W04G1&amp;reservation_id=30688095510701", "YR25W04G1")</f>
        <v>YR25W04G1</v>
      </c>
      <c r="B6040" t="s">
        <v>923</v>
      </c>
      <c r="C6040">
        <v>318</v>
      </c>
      <c r="D6040">
        <v>345.68</v>
      </c>
      <c r="E6040">
        <v>345.67</v>
      </c>
      <c r="F6040">
        <v>0.01</v>
      </c>
    </row>
    <row r="6041" spans="1:6" x14ac:dyDescent="0.3">
      <c r="A6041" t="str">
        <f>HYPERLINK("https://us2.cloudbeds.com/connect/10074733072513#/reservations/30687792586901?display=YR1V7XRHV&amp;reservation_id=30687792586901", "YR1V7XRHV")</f>
        <v>YR1V7XRHV</v>
      </c>
      <c r="B6041" t="s">
        <v>921</v>
      </c>
      <c r="C6041">
        <v>740.1</v>
      </c>
      <c r="D6041">
        <v>804.5</v>
      </c>
      <c r="E6041">
        <v>804.49</v>
      </c>
      <c r="F6041">
        <v>0.01</v>
      </c>
    </row>
    <row r="6042" spans="1:6" x14ac:dyDescent="0.3">
      <c r="A6042" t="str">
        <f>HYPERLINK("https://us2.cloudbeds.com/connect/10074733072513#/reservations/30687447249150?display=YR1MDC9WK&amp;reservation_id=30687447249150", "YR1MDC9WK")</f>
        <v>YR1MDC9WK</v>
      </c>
      <c r="B6042" t="s">
        <v>808</v>
      </c>
      <c r="C6042">
        <v>159</v>
      </c>
      <c r="D6042">
        <v>172.84</v>
      </c>
      <c r="E6042">
        <v>172.83</v>
      </c>
      <c r="F6042">
        <v>0.01</v>
      </c>
    </row>
    <row r="6043" spans="1:6" x14ac:dyDescent="0.3">
      <c r="A6043" t="str">
        <f>HYPERLINK("https://us2.cloudbeds.com/connect/10074733072513#/reservations/30684264186067?display=YQW72AT1X&amp;reservation_id=30684264186067", "YQW72AT1X")</f>
        <v>YQW72AT1X</v>
      </c>
      <c r="B6043" t="s">
        <v>906</v>
      </c>
      <c r="C6043">
        <v>69</v>
      </c>
      <c r="D6043">
        <v>75.010000000000005</v>
      </c>
      <c r="E6043">
        <v>75</v>
      </c>
      <c r="F6043">
        <v>0.01</v>
      </c>
    </row>
    <row r="6044" spans="1:6" x14ac:dyDescent="0.3">
      <c r="A6044" t="str">
        <f>HYPERLINK("https://us2.cloudbeds.com/connect/10074733072513#/reservations/30685092257932?display=YQWS7J6KC&amp;reservation_id=30685092257932", "YQWS7J6KC")</f>
        <v>YQWS7J6KC</v>
      </c>
      <c r="B6044" t="s">
        <v>933</v>
      </c>
      <c r="C6044">
        <v>119</v>
      </c>
      <c r="D6044">
        <v>129.36000000000001</v>
      </c>
      <c r="E6044">
        <v>129.35</v>
      </c>
      <c r="F6044">
        <v>0.01</v>
      </c>
    </row>
    <row r="6045" spans="1:6" x14ac:dyDescent="0.3">
      <c r="A6045" t="str">
        <f>HYPERLINK("https://us2.cloudbeds.com/connect/10074733072513#/reservations/30684921843906?display=YQWNST5TW&amp;reservation_id=30684921843906", "YQWNST5TW")</f>
        <v>YQWNST5TW</v>
      </c>
      <c r="B6045" t="s">
        <v>919</v>
      </c>
      <c r="C6045">
        <v>248</v>
      </c>
      <c r="D6045">
        <v>269.58999999999997</v>
      </c>
      <c r="E6045">
        <v>269.58</v>
      </c>
      <c r="F6045">
        <v>0.01</v>
      </c>
    </row>
    <row r="6046" spans="1:6" x14ac:dyDescent="0.3">
      <c r="A6046" t="str">
        <f>HYPERLINK("https://us2.cloudbeds.com/connect/10074733072513#/reservations/30687789531321?display=YR1V4WQMK&amp;reservation_id=30687789531321", "YR1V4WQMK")</f>
        <v>YR1V4WQMK</v>
      </c>
      <c r="B6046" t="s">
        <v>921</v>
      </c>
      <c r="C6046">
        <v>219</v>
      </c>
      <c r="D6046">
        <v>238.06</v>
      </c>
      <c r="E6046">
        <v>238.05</v>
      </c>
      <c r="F6046">
        <v>0.01</v>
      </c>
    </row>
    <row r="6047" spans="1:6" x14ac:dyDescent="0.3">
      <c r="A6047" t="str">
        <f>HYPERLINK("https://us2.cloudbeds.com/connect/10074733072513#/reservations/30685862727808?display=YR0ENF47K&amp;reservation_id=30685862727808", "YR0ENF47K")</f>
        <v>YR0ENF47K</v>
      </c>
      <c r="B6047" t="s">
        <v>771</v>
      </c>
      <c r="C6047">
        <v>238</v>
      </c>
      <c r="D6047">
        <v>258.72000000000003</v>
      </c>
      <c r="E6047">
        <v>258.70999999999998</v>
      </c>
      <c r="F6047">
        <v>0.01</v>
      </c>
    </row>
    <row r="6048" spans="1:6" x14ac:dyDescent="0.3">
      <c r="A6048" t="str">
        <f>HYPERLINK("https://us2.cloudbeds.com/connect/10074733072513#/reservations/30684264181962?display=YQW72AP95&amp;reservation_id=30684264181962", "YQW72AP95")</f>
        <v>YQW72AP95</v>
      </c>
      <c r="B6048" t="s">
        <v>906</v>
      </c>
      <c r="C6048">
        <v>199</v>
      </c>
      <c r="D6048">
        <v>216.32</v>
      </c>
      <c r="E6048">
        <v>216.31</v>
      </c>
      <c r="F6048">
        <v>0.01</v>
      </c>
    </row>
    <row r="6049" spans="1:6" x14ac:dyDescent="0.3">
      <c r="A6049" t="str">
        <f>HYPERLINK("https://us2.cloudbeds.com/connect/10074733072513#/reservations/30688157548751?display=YR27XAECV&amp;reservation_id=30688157548751", "YR27XAECV")</f>
        <v>YR27XAECV</v>
      </c>
      <c r="B6049" t="s">
        <v>923</v>
      </c>
      <c r="C6049">
        <v>79</v>
      </c>
      <c r="D6049">
        <v>85.88</v>
      </c>
      <c r="E6049">
        <v>85.87</v>
      </c>
      <c r="F6049">
        <v>0.01</v>
      </c>
    </row>
    <row r="6050" spans="1:6" x14ac:dyDescent="0.3">
      <c r="A6050" t="str">
        <f>HYPERLINK("https://us2.cloudbeds.com/connect/10074733072513#/reservations/30686662598865?display=YR12BZ8A8&amp;reservation_id=30686662598865", "YR12BZ8A8")</f>
        <v>YR12BZ8A8</v>
      </c>
      <c r="B6050" t="s">
        <v>931</v>
      </c>
      <c r="C6050">
        <v>192</v>
      </c>
      <c r="D6050">
        <v>208.71</v>
      </c>
      <c r="E6050">
        <v>208.7</v>
      </c>
      <c r="F6050">
        <v>0.01</v>
      </c>
    </row>
    <row r="6051" spans="1:6" x14ac:dyDescent="0.3">
      <c r="A6051" t="str">
        <f>HYPERLINK("https://us2.cloudbeds.com/connect/10074733072513#/reservations/30687099224278?display=YR1DGTWUC&amp;reservation_id=30687099224278", "YR1DGTWUC")</f>
        <v>YR1DGTWUC</v>
      </c>
      <c r="B6051" t="s">
        <v>923</v>
      </c>
      <c r="C6051">
        <v>89</v>
      </c>
      <c r="D6051">
        <v>96.75</v>
      </c>
      <c r="E6051">
        <v>96.74</v>
      </c>
      <c r="F6051">
        <v>0.01</v>
      </c>
    </row>
    <row r="6052" spans="1:6" x14ac:dyDescent="0.3">
      <c r="A6052" t="str">
        <f>HYPERLINK("https://us2.cloudbeds.com/connect/10074733072513#/reservations/30687748497538?display=YR1U3CWEY&amp;reservation_id=30687748497538", "YR1U3CWEY")</f>
        <v>YR1U3CWEY</v>
      </c>
      <c r="B6052" t="s">
        <v>931</v>
      </c>
      <c r="C6052">
        <v>338</v>
      </c>
      <c r="D6052">
        <v>367.42</v>
      </c>
      <c r="E6052">
        <v>367.41</v>
      </c>
      <c r="F6052">
        <v>0.01</v>
      </c>
    </row>
    <row r="6053" spans="1:6" x14ac:dyDescent="0.3">
      <c r="A6053" t="str">
        <f>HYPERLINK("https://us2.cloudbeds.com/connect/10074733072513#/reservations/30684244226250?display=YQW6XGFFH&amp;reservation_id=30684244226250", "YQW6XGFFH")</f>
        <v>YQW6XGFFH</v>
      </c>
      <c r="B6053" t="s">
        <v>923</v>
      </c>
      <c r="C6053">
        <v>106.8</v>
      </c>
      <c r="D6053">
        <v>116.1</v>
      </c>
      <c r="E6053">
        <v>116.09</v>
      </c>
      <c r="F6053">
        <v>0.01</v>
      </c>
    </row>
    <row r="6054" spans="1:6" x14ac:dyDescent="0.3">
      <c r="A6054" t="str">
        <f>HYPERLINK("https://us2.cloudbeds.com/connect/10074733072513#/reservations/30685709963408?display=YR0B0EP94&amp;reservation_id=30685709963408", "YR0B0EP94")</f>
        <v>YR0B0EP94</v>
      </c>
      <c r="B6054" t="s">
        <v>771</v>
      </c>
      <c r="C6054">
        <v>278</v>
      </c>
      <c r="D6054">
        <v>302.2</v>
      </c>
      <c r="E6054">
        <v>302.19</v>
      </c>
      <c r="F6054">
        <v>0.01</v>
      </c>
    </row>
    <row r="6055" spans="1:6" x14ac:dyDescent="0.3">
      <c r="A6055" t="str">
        <f>HYPERLINK("https://us2.cloudbeds.com/connect/10074733072513#/reservations/30688129949942?display=YR26S1F4D&amp;reservation_id=30688129949942", "YR26S1F4D")</f>
        <v>YR26S1F4D</v>
      </c>
      <c r="B6055" t="s">
        <v>923</v>
      </c>
      <c r="C6055">
        <v>106.8</v>
      </c>
      <c r="D6055">
        <v>116.1</v>
      </c>
      <c r="E6055">
        <v>116.09</v>
      </c>
      <c r="F6055">
        <v>0.01</v>
      </c>
    </row>
    <row r="6056" spans="1:6" x14ac:dyDescent="0.3">
      <c r="A6056" t="str">
        <f>HYPERLINK("https://us2.cloudbeds.com/connect/10074733072513#/reservations/30688177205394?display=YR281TDXQ&amp;reservation_id=30688177205394", "YR281TDXQ")</f>
        <v>YR281TDXQ</v>
      </c>
      <c r="B6056" t="s">
        <v>923</v>
      </c>
      <c r="C6056">
        <v>169</v>
      </c>
      <c r="D6056">
        <v>183.71</v>
      </c>
      <c r="E6056">
        <v>183.7</v>
      </c>
      <c r="F6056">
        <v>0.01</v>
      </c>
    </row>
    <row r="6057" spans="1:6" x14ac:dyDescent="0.3">
      <c r="A6057" t="str">
        <f>HYPERLINK("https://us2.cloudbeds.com/connect/10074733072513#/reservations/30686262305012?display=YR0P46G0G&amp;reservation_id=30686262305012", "YR0P46G0G")</f>
        <v>YR0P46G0G</v>
      </c>
      <c r="B6057" t="s">
        <v>861</v>
      </c>
      <c r="C6057">
        <v>238</v>
      </c>
      <c r="D6057">
        <v>258.72000000000003</v>
      </c>
      <c r="E6057">
        <v>258.70999999999998</v>
      </c>
      <c r="F6057">
        <v>0.01</v>
      </c>
    </row>
    <row r="6058" spans="1:6" x14ac:dyDescent="0.3">
      <c r="A6058" t="str">
        <f>HYPERLINK("https://us2.cloudbeds.com/connect/10074733072513#/reservations/30685524918468?display=YR069DKCN&amp;reservation_id=30685524918468", "YR069DKCN")</f>
        <v>YR069DKCN</v>
      </c>
      <c r="B6058" t="s">
        <v>861</v>
      </c>
      <c r="C6058">
        <v>219</v>
      </c>
      <c r="D6058">
        <v>238.06</v>
      </c>
      <c r="E6058">
        <v>238.05</v>
      </c>
      <c r="F6058">
        <v>0.01</v>
      </c>
    </row>
    <row r="6059" spans="1:6" x14ac:dyDescent="0.3">
      <c r="A6059" t="str">
        <f>HYPERLINK("https://us2.cloudbeds.com/connect/10074733072513#/reservations/30686979571941?display=YR1AF0GAW&amp;reservation_id=30686979571941", "YR1AF0GAW")</f>
        <v>YR1AF0GAW</v>
      </c>
      <c r="B6059" t="s">
        <v>934</v>
      </c>
      <c r="C6059">
        <v>106.8</v>
      </c>
      <c r="D6059">
        <v>116.1</v>
      </c>
      <c r="E6059">
        <v>116.09</v>
      </c>
      <c r="F6059">
        <v>0.01</v>
      </c>
    </row>
    <row r="6060" spans="1:6" x14ac:dyDescent="0.3">
      <c r="A6060" t="str">
        <f>HYPERLINK("https://us2.cloudbeds.com/connect/10074733072513#/reservations/30686736945316?display=YR148E1N0&amp;reservation_id=30686736945316", "YR148E1N0")</f>
        <v>YR148E1N0</v>
      </c>
      <c r="B6060" t="s">
        <v>934</v>
      </c>
      <c r="C6060">
        <v>169</v>
      </c>
      <c r="D6060">
        <v>183.71</v>
      </c>
      <c r="E6060">
        <v>183.7</v>
      </c>
      <c r="F6060">
        <v>0.01</v>
      </c>
    </row>
    <row r="6061" spans="1:6" x14ac:dyDescent="0.3">
      <c r="A6061" t="str">
        <f>HYPERLINK("https://us2.cloudbeds.com/connect/10074733072513#/reservations/30688196976887?display=YR28XXJ6V&amp;reservation_id=30688196976887", "YR28XXJ6V")</f>
        <v>YR28XXJ6V</v>
      </c>
      <c r="B6061" t="s">
        <v>923</v>
      </c>
      <c r="C6061">
        <v>179</v>
      </c>
      <c r="D6061">
        <v>194.58</v>
      </c>
      <c r="E6061">
        <v>194.57</v>
      </c>
      <c r="F6061">
        <v>0.01</v>
      </c>
    </row>
    <row r="6062" spans="1:6" x14ac:dyDescent="0.3">
      <c r="A6062" t="str">
        <f>HYPERLINK("https://us2.cloudbeds.com/connect/10074733072513#/reservations/30686201491687?display=YR0NXU8ZF&amp;reservation_id=30686201491687", "YR0NXU8ZF")</f>
        <v>YR0NXU8ZF</v>
      </c>
      <c r="B6062" t="s">
        <v>808</v>
      </c>
      <c r="C6062">
        <v>256</v>
      </c>
      <c r="D6062">
        <v>278.27999999999997</v>
      </c>
      <c r="E6062">
        <v>278.27</v>
      </c>
      <c r="F6062">
        <v>0.01</v>
      </c>
    </row>
    <row r="6063" spans="1:6" x14ac:dyDescent="0.3">
      <c r="A6063" t="str">
        <f>HYPERLINK("https://us2.cloudbeds.com/connect/10074733072513#/reservations/30687023874279?display=YR1BJC902&amp;reservation_id=30687023874279", "YR1BJC902")</f>
        <v>YR1BJC902</v>
      </c>
      <c r="B6063" t="s">
        <v>934</v>
      </c>
      <c r="C6063">
        <v>106.8</v>
      </c>
      <c r="D6063">
        <v>116.1</v>
      </c>
      <c r="E6063">
        <v>116.09</v>
      </c>
      <c r="F6063">
        <v>0.01</v>
      </c>
    </row>
    <row r="6064" spans="1:6" x14ac:dyDescent="0.3">
      <c r="A6064" t="str">
        <f>HYPERLINK("https://us2.cloudbeds.com/connect/10074733072513#/reservations/30687598108886?display=YR1Q8J6GP&amp;reservation_id=30687598108886", "YR1Q8J6GP")</f>
        <v>YR1Q8J6GP</v>
      </c>
      <c r="B6064" t="s">
        <v>881</v>
      </c>
      <c r="C6064">
        <v>134.69999999999999</v>
      </c>
      <c r="D6064">
        <v>146.43</v>
      </c>
      <c r="E6064">
        <v>146.41999999999999</v>
      </c>
      <c r="F6064">
        <v>0.01</v>
      </c>
    </row>
    <row r="6065" spans="1:6" x14ac:dyDescent="0.3">
      <c r="A6065" t="str">
        <f>HYPERLINK("https://us2.cloudbeds.com/connect/10074733072513#/reservations/30686875099377?display=YR17PUCUN&amp;reservation_id=30686875099377", "YR17PUCUN")</f>
        <v>YR17PUCUN</v>
      </c>
      <c r="B6065" t="s">
        <v>688</v>
      </c>
      <c r="C6065">
        <v>437</v>
      </c>
      <c r="D6065">
        <v>475.03</v>
      </c>
      <c r="E6065">
        <v>475.02</v>
      </c>
      <c r="F6065">
        <v>0.01</v>
      </c>
    </row>
    <row r="6066" spans="1:6" x14ac:dyDescent="0.3">
      <c r="A6066" t="str">
        <f>HYPERLINK("https://us2.cloudbeds.com/connect/10074733072513#/reservations/30687222182112?display=YR1GYJFSB&amp;reservation_id=30687222182112", "YR1GYJFSB")</f>
        <v>YR1GYJFSB</v>
      </c>
      <c r="B6066" t="s">
        <v>688</v>
      </c>
      <c r="C6066">
        <v>438</v>
      </c>
      <c r="D6066">
        <v>476.12</v>
      </c>
      <c r="E6066">
        <v>476.11</v>
      </c>
      <c r="F6066">
        <v>0.01</v>
      </c>
    </row>
    <row r="6067" spans="1:6" x14ac:dyDescent="0.3">
      <c r="A6067" t="str">
        <f>HYPERLINK("https://us2.cloudbeds.com/connect/10074733072513#/reservations/30685099315429?display=YQWSDHJAU&amp;reservation_id=30685099315429", "YQWSDHJAU")</f>
        <v>YQWSDHJAU</v>
      </c>
      <c r="B6067" t="s">
        <v>933</v>
      </c>
      <c r="C6067">
        <v>159</v>
      </c>
      <c r="D6067">
        <v>172.84</v>
      </c>
      <c r="E6067">
        <v>172.83</v>
      </c>
      <c r="F6067">
        <v>0.01</v>
      </c>
    </row>
    <row r="6068" spans="1:6" x14ac:dyDescent="0.3">
      <c r="A6068" t="str">
        <f>HYPERLINK("https://us2.cloudbeds.com/connect/10074733072513#/reservations/30687756050596?display=YR1U9P576&amp;reservation_id=30687756050596", "YR1U9P576")</f>
        <v>YR1U9P576</v>
      </c>
      <c r="B6068" t="s">
        <v>931</v>
      </c>
      <c r="C6068">
        <v>378</v>
      </c>
      <c r="D6068">
        <v>410.9</v>
      </c>
      <c r="E6068">
        <v>410.89</v>
      </c>
      <c r="F6068">
        <v>0.01</v>
      </c>
    </row>
    <row r="6069" spans="1:6" x14ac:dyDescent="0.3">
      <c r="A6069" t="str">
        <f>HYPERLINK("https://us2.cloudbeds.com/connect/10074733072513#/reservations/30686596903112?display=YR10MB5KS&amp;reservation_id=30686596903112", "YR10MB5KS")</f>
        <v>YR10MB5KS</v>
      </c>
      <c r="B6069" t="s">
        <v>931</v>
      </c>
      <c r="C6069">
        <v>397.1</v>
      </c>
      <c r="D6069">
        <v>431.66</v>
      </c>
      <c r="E6069">
        <v>431.65</v>
      </c>
      <c r="F6069">
        <v>0.01</v>
      </c>
    </row>
    <row r="6070" spans="1:6" x14ac:dyDescent="0.3">
      <c r="A6070" t="str">
        <f>HYPERLINK("https://us2.cloudbeds.com/connect/10074733072513#/reservations/30686590062749?display=YR10GXRA4&amp;reservation_id=30686590062749", "YR10GXRA4")</f>
        <v>YR10GXRA4</v>
      </c>
      <c r="B6070" t="s">
        <v>931</v>
      </c>
      <c r="C6070">
        <v>106.8</v>
      </c>
      <c r="D6070">
        <v>116.1</v>
      </c>
      <c r="E6070">
        <v>116.09</v>
      </c>
      <c r="F6070">
        <v>0.01</v>
      </c>
    </row>
    <row r="6071" spans="1:6" x14ac:dyDescent="0.3">
      <c r="A6071" t="str">
        <f>HYPERLINK("https://us2.cloudbeds.com/connect/10074733072513#/reservations/30687013515420?display=YR1BAY0Z8&amp;reservation_id=30687013515420", "YR1BAY0Z8")</f>
        <v>YR1BAY0Z8</v>
      </c>
      <c r="B6071" t="s">
        <v>915</v>
      </c>
      <c r="C6071">
        <v>458</v>
      </c>
      <c r="D6071">
        <v>497.86</v>
      </c>
      <c r="E6071">
        <v>497.85</v>
      </c>
      <c r="F6071">
        <v>0.01</v>
      </c>
    </row>
    <row r="6072" spans="1:6" x14ac:dyDescent="0.3">
      <c r="A6072" t="str">
        <f>HYPERLINK("https://us2.cloudbeds.com/connect/10074733072513#/reservations/30686027210994?display=YR0J3VYCB&amp;reservation_id=30686027210994", "YR0J3VYCB")</f>
        <v>YR0J3VYCB</v>
      </c>
      <c r="B6072" t="s">
        <v>726</v>
      </c>
      <c r="C6072">
        <v>278</v>
      </c>
      <c r="D6072">
        <v>302.2</v>
      </c>
      <c r="E6072">
        <v>302.19</v>
      </c>
      <c r="F6072">
        <v>0.01</v>
      </c>
    </row>
    <row r="6073" spans="1:6" x14ac:dyDescent="0.3">
      <c r="A6073" t="str">
        <f>HYPERLINK("https://us2.cloudbeds.com/connect/10074733072513#/reservations/30687699878089?display=YR1SSD2G0&amp;reservation_id=30687699878089", "YR1SSD2G0")</f>
        <v>YR1SSD2G0</v>
      </c>
      <c r="B6073" t="s">
        <v>931</v>
      </c>
      <c r="C6073">
        <v>149</v>
      </c>
      <c r="D6073">
        <v>161.97</v>
      </c>
      <c r="E6073">
        <v>161.96</v>
      </c>
      <c r="F6073">
        <v>0.01</v>
      </c>
    </row>
    <row r="6074" spans="1:6" x14ac:dyDescent="0.3">
      <c r="A6074" t="str">
        <f>HYPERLINK("https://us2.cloudbeds.com/connect/10074733072513#/reservations/30686231101651?display=YR0ZAT6Q3&amp;reservation_id=30686231101651", "YR0ZAT6Q3")</f>
        <v>YR0ZAT6Q3</v>
      </c>
      <c r="B6074" t="s">
        <v>861</v>
      </c>
      <c r="C6074">
        <v>238</v>
      </c>
      <c r="D6074">
        <v>258.72000000000003</v>
      </c>
      <c r="E6074">
        <v>258.70999999999998</v>
      </c>
      <c r="F6074">
        <v>0.01</v>
      </c>
    </row>
    <row r="6075" spans="1:6" x14ac:dyDescent="0.3">
      <c r="A6075" t="str">
        <f>HYPERLINK("https://us2.cloudbeds.com/connect/10074733072513#/reservations/30686922014915?display=YR18WFT7M&amp;reservation_id=30686922014915", "YR18WFT7M")</f>
        <v>YR18WFT7M</v>
      </c>
      <c r="B6075" t="s">
        <v>921</v>
      </c>
      <c r="C6075">
        <v>79</v>
      </c>
      <c r="D6075">
        <v>85.88</v>
      </c>
      <c r="E6075">
        <v>85.87</v>
      </c>
      <c r="F6075">
        <v>0.01</v>
      </c>
    </row>
    <row r="6076" spans="1:6" x14ac:dyDescent="0.3">
      <c r="A6076" t="str">
        <f>HYPERLINK("https://us2.cloudbeds.com/connect/10074733072513#/reservations/30687722676451?display=YR1TEKFKF&amp;reservation_id=30687722676451", "YR1TEKFKF")</f>
        <v>YR1TEKFKF</v>
      </c>
      <c r="B6076" t="s">
        <v>931</v>
      </c>
      <c r="C6076">
        <v>199</v>
      </c>
      <c r="D6076">
        <v>216.32</v>
      </c>
      <c r="E6076">
        <v>216.31</v>
      </c>
      <c r="F6076">
        <v>0.01</v>
      </c>
    </row>
    <row r="6077" spans="1:6" x14ac:dyDescent="0.3">
      <c r="A6077" t="str">
        <f>HYPERLINK("https://us2.cloudbeds.com/connect/10074733072513#/reservations/30685419974854?display=YR03JUDE6&amp;reservation_id=30685419974854", "YR03JUDE6")</f>
        <v>YR03JUDE6</v>
      </c>
      <c r="B6077" t="s">
        <v>907</v>
      </c>
      <c r="C6077">
        <v>129</v>
      </c>
      <c r="D6077">
        <v>140.22999999999999</v>
      </c>
      <c r="E6077">
        <v>140.22</v>
      </c>
      <c r="F6077">
        <v>0.01</v>
      </c>
    </row>
    <row r="6078" spans="1:6" x14ac:dyDescent="0.3">
      <c r="A6078" t="str">
        <f>HYPERLINK("https://us2.cloudbeds.com/connect/10074733072513#/reservations/30687161270504?display=YR1F37HB1&amp;reservation_id=30687161270504", "YR1F37HB1")</f>
        <v>YR1F37HB1</v>
      </c>
      <c r="B6078" t="s">
        <v>688</v>
      </c>
      <c r="C6078">
        <v>458</v>
      </c>
      <c r="D6078">
        <v>497.86</v>
      </c>
      <c r="E6078">
        <v>497.85</v>
      </c>
      <c r="F6078">
        <v>0.01</v>
      </c>
    </row>
    <row r="6079" spans="1:6" x14ac:dyDescent="0.3">
      <c r="A6079" t="str">
        <f>HYPERLINK("https://us2.cloudbeds.com/connect/10074733072513#/reservations/30687836774632?display=YR1WBRDW3&amp;reservation_id=30687836774632", "YR1WBRDW3")</f>
        <v>YR1WBRDW3</v>
      </c>
      <c r="B6079" t="s">
        <v>921</v>
      </c>
      <c r="C6079">
        <v>229</v>
      </c>
      <c r="D6079">
        <v>248.93</v>
      </c>
      <c r="E6079">
        <v>248.92</v>
      </c>
      <c r="F6079">
        <v>0.01</v>
      </c>
    </row>
    <row r="6080" spans="1:6" x14ac:dyDescent="0.3">
      <c r="A6080" t="str">
        <f>HYPERLINK("https://us2.cloudbeds.com/connect/10074733072513#/reservations/30686877475026?display=YR17RUGE2&amp;reservation_id=30686877475026", "YR17RUGE2")</f>
        <v>YR17RUGE2</v>
      </c>
      <c r="B6080" t="s">
        <v>921</v>
      </c>
      <c r="C6080">
        <v>239</v>
      </c>
      <c r="D6080">
        <v>259.8</v>
      </c>
      <c r="E6080">
        <v>259.79000000000002</v>
      </c>
      <c r="F6080">
        <v>0.01</v>
      </c>
    </row>
    <row r="6081" spans="1:6" x14ac:dyDescent="0.3">
      <c r="A6081" t="str">
        <f>HYPERLINK("https://us2.cloudbeds.com/connect/10074733072513#/reservations/30685317640439?display=YR00WKQEA&amp;reservation_id=30685317640439", "YR00WKQEA")</f>
        <v>YR00WKQEA</v>
      </c>
      <c r="B6081" t="s">
        <v>726</v>
      </c>
      <c r="C6081">
        <v>106.8</v>
      </c>
      <c r="D6081">
        <v>116.1</v>
      </c>
      <c r="E6081">
        <v>116.09</v>
      </c>
      <c r="F6081">
        <v>0.01</v>
      </c>
    </row>
    <row r="6082" spans="1:6" x14ac:dyDescent="0.3">
      <c r="A6082" t="str">
        <f>HYPERLINK("https://us2.cloudbeds.com/connect/10074733072513#/reservations/30687905788032?display=YR20VP43X&amp;reservation_id=30687905788032", "YR20VP43X")</f>
        <v>YR20VP43X</v>
      </c>
      <c r="B6082" t="s">
        <v>688</v>
      </c>
      <c r="C6082">
        <v>219</v>
      </c>
      <c r="D6082">
        <v>238.06</v>
      </c>
      <c r="E6082">
        <v>238.05</v>
      </c>
      <c r="F6082">
        <v>0.01</v>
      </c>
    </row>
    <row r="6083" spans="1:6" x14ac:dyDescent="0.3">
      <c r="A6083" t="str">
        <f>HYPERLINK("https://us2.cloudbeds.com/connect/10074733072513#/reservations/30686486925533?display=YR0USJT3V&amp;reservation_id=30686486925533", "YR0USJT3V")</f>
        <v>YR0USJT3V</v>
      </c>
      <c r="B6083" t="s">
        <v>937</v>
      </c>
      <c r="C6083">
        <v>483</v>
      </c>
      <c r="D6083">
        <v>525.03</v>
      </c>
      <c r="E6083">
        <v>525.02</v>
      </c>
      <c r="F6083">
        <v>0.01</v>
      </c>
    </row>
    <row r="6084" spans="1:6" x14ac:dyDescent="0.3">
      <c r="A6084" t="str">
        <f>HYPERLINK("https://us2.cloudbeds.com/connect/10074733072513#/reservations/30685487575180?display=YR05AUG0U&amp;reservation_id=30685487575180", "YR05AUG0U")</f>
        <v>YR05AUG0U</v>
      </c>
      <c r="B6084" t="s">
        <v>918</v>
      </c>
      <c r="C6084">
        <v>139</v>
      </c>
      <c r="D6084">
        <v>151.1</v>
      </c>
      <c r="E6084">
        <v>151.09</v>
      </c>
      <c r="F6084">
        <v>0.01</v>
      </c>
    </row>
    <row r="6085" spans="1:6" x14ac:dyDescent="0.3">
      <c r="A6085" t="str">
        <f>HYPERLINK("https://us2.cloudbeds.com/connect/10074733072513#/reservations/30686484152514?display=YR0UQ8NZ2&amp;reservation_id=30686484152514", "YR0UQ8NZ2")</f>
        <v>YR0UQ8NZ2</v>
      </c>
      <c r="B6085" t="s">
        <v>937</v>
      </c>
      <c r="C6085">
        <v>169</v>
      </c>
      <c r="D6085">
        <v>183.71</v>
      </c>
      <c r="E6085">
        <v>183.7</v>
      </c>
      <c r="F6085">
        <v>0.01</v>
      </c>
    </row>
    <row r="6086" spans="1:6" x14ac:dyDescent="0.3">
      <c r="A6086" t="str">
        <f>HYPERLINK("https://us2.cloudbeds.com/connect/10074733072513#/reservations/30687595909248?display=YR1Q129QX&amp;reservation_id=30687595909248", "YR1Q129QX")</f>
        <v>YR1Q129QX</v>
      </c>
      <c r="B6086" t="s">
        <v>881</v>
      </c>
      <c r="C6086">
        <v>199</v>
      </c>
      <c r="D6086">
        <v>216.32</v>
      </c>
      <c r="E6086">
        <v>216.31</v>
      </c>
      <c r="F6086">
        <v>0.01</v>
      </c>
    </row>
    <row r="6087" spans="1:6" x14ac:dyDescent="0.3">
      <c r="A6087" t="str">
        <f>HYPERLINK("https://us2.cloudbeds.com/connect/10074733072513#/reservations/30686726308063?display=YR13WF1Q0&amp;reservation_id=30686726308063", "YR13WF1Q0")</f>
        <v>YR13WF1Q0</v>
      </c>
      <c r="B6087" t="s">
        <v>752</v>
      </c>
      <c r="C6087">
        <v>518</v>
      </c>
      <c r="D6087">
        <v>563.08000000000004</v>
      </c>
      <c r="E6087">
        <v>563.07000000000005</v>
      </c>
      <c r="F6087">
        <v>0.01</v>
      </c>
    </row>
    <row r="6088" spans="1:6" x14ac:dyDescent="0.3">
      <c r="A6088" t="str">
        <f>HYPERLINK("https://us2.cloudbeds.com/connect/10074733072513#/reservations/30687581110415?display=YR1PR868J&amp;reservation_id=30687581110415", "YR1PR868J")</f>
        <v>YR1PR868J</v>
      </c>
      <c r="B6088" t="s">
        <v>881</v>
      </c>
      <c r="C6088">
        <v>169</v>
      </c>
      <c r="D6088">
        <v>183.71</v>
      </c>
      <c r="E6088">
        <v>183.7</v>
      </c>
      <c r="F6088">
        <v>0.01</v>
      </c>
    </row>
    <row r="6089" spans="1:6" x14ac:dyDescent="0.3">
      <c r="A6089" t="str">
        <f>HYPERLINK("https://us2.cloudbeds.com/connect/10074733072513#/reservations/30685544644822?display=YR06Q1HJ0&amp;reservation_id=30685544644822", "YR06Q1HJ0")</f>
        <v>YR06Q1HJ0</v>
      </c>
      <c r="B6089" t="s">
        <v>861</v>
      </c>
      <c r="C6089">
        <v>407</v>
      </c>
      <c r="D6089">
        <v>442.42</v>
      </c>
      <c r="E6089">
        <v>442.41</v>
      </c>
      <c r="F6089">
        <v>0.01</v>
      </c>
    </row>
    <row r="6090" spans="1:6" x14ac:dyDescent="0.3">
      <c r="A6090" t="str">
        <f>HYPERLINK("https://us2.cloudbeds.com/connect/10074733072513#/reservations/30687574290682?display=YR1PYGDT0&amp;reservation_id=30687574290682", "YR1PYGDT0")</f>
        <v>YR1PYGDT0</v>
      </c>
      <c r="B6090" t="s">
        <v>881</v>
      </c>
      <c r="C6090">
        <v>189</v>
      </c>
      <c r="D6090">
        <v>205.45</v>
      </c>
      <c r="E6090">
        <v>205.44</v>
      </c>
      <c r="F6090">
        <v>0.01</v>
      </c>
    </row>
    <row r="6091" spans="1:6" x14ac:dyDescent="0.3">
      <c r="A6091" t="str">
        <f>HYPERLINK("https://us2.cloudbeds.com/connect/10074733072513#/reservations/30687574851735?display=YR1PYW12K&amp;reservation_id=30687574851735", "YR1PYW12K")</f>
        <v>YR1PYW12K</v>
      </c>
      <c r="B6091" t="s">
        <v>824</v>
      </c>
      <c r="C6091">
        <v>320</v>
      </c>
      <c r="D6091">
        <v>347.85</v>
      </c>
      <c r="E6091">
        <v>347.84</v>
      </c>
      <c r="F6091">
        <v>0.01</v>
      </c>
    </row>
    <row r="6092" spans="1:6" x14ac:dyDescent="0.3">
      <c r="A6092" t="str">
        <f>HYPERLINK("https://us2.cloudbeds.com/connect/10074733072513#/reservations/30686312792313?display=YR0QDPC5N&amp;reservation_id=30686312792313", "YR0QDPC5N")</f>
        <v>YR0QDPC5N</v>
      </c>
      <c r="B6092" t="s">
        <v>913</v>
      </c>
      <c r="C6092">
        <v>338</v>
      </c>
      <c r="D6092">
        <v>367.42</v>
      </c>
      <c r="E6092">
        <v>367.41</v>
      </c>
      <c r="F6092">
        <v>0.01</v>
      </c>
    </row>
    <row r="6093" spans="1:6" x14ac:dyDescent="0.3">
      <c r="A6093" t="str">
        <f>HYPERLINK("https://us2.cloudbeds.com/connect/10074733072513#/reservations/30685107278012?display=YQWSK855A&amp;reservation_id=30685107278012", "YQWSK855A")</f>
        <v>YQWSK855A</v>
      </c>
      <c r="B6093" t="s">
        <v>933</v>
      </c>
      <c r="C6093">
        <v>119</v>
      </c>
      <c r="D6093">
        <v>129.36000000000001</v>
      </c>
      <c r="E6093">
        <v>129.35</v>
      </c>
      <c r="F6093">
        <v>0.01</v>
      </c>
    </row>
    <row r="6094" spans="1:6" x14ac:dyDescent="0.3">
      <c r="A6094" t="str">
        <f>HYPERLINK("https://us2.cloudbeds.com/connect/10074733072513#/reservations/30686447567044?display=YR0TSDM8F&amp;reservation_id=30686447567044", "YR0TSDM8F")</f>
        <v>YR0TSDM8F</v>
      </c>
      <c r="B6094" t="s">
        <v>937</v>
      </c>
      <c r="C6094">
        <v>298</v>
      </c>
      <c r="D6094">
        <v>323.94</v>
      </c>
      <c r="E6094">
        <v>323.93</v>
      </c>
      <c r="F6094">
        <v>0.01</v>
      </c>
    </row>
    <row r="6095" spans="1:6" x14ac:dyDescent="0.3">
      <c r="A6095" t="str">
        <f>HYPERLINK("https://us2.cloudbeds.com/connect/10074733072513#/reservations/30686499143853?display=YR0V5TST2&amp;reservation_id=30686499143853", "YR0V5TST2")</f>
        <v>YR0V5TST2</v>
      </c>
      <c r="B6095" t="s">
        <v>903</v>
      </c>
      <c r="C6095">
        <v>79</v>
      </c>
      <c r="D6095">
        <v>85.88</v>
      </c>
      <c r="E6095">
        <v>85.87</v>
      </c>
      <c r="F6095">
        <v>0.01</v>
      </c>
    </row>
    <row r="6096" spans="1:6" x14ac:dyDescent="0.3">
      <c r="A6096" t="str">
        <f>HYPERLINK("https://us2.cloudbeds.com/connect/10074733072513#/reservations/30686517047469?display=YR0VY029T&amp;reservation_id=30686517047469", "YR0VY029T")</f>
        <v>YR0VY029T</v>
      </c>
      <c r="B6096" t="s">
        <v>939</v>
      </c>
      <c r="C6096">
        <v>149</v>
      </c>
      <c r="D6096">
        <v>161.97</v>
      </c>
      <c r="E6096">
        <v>161.96</v>
      </c>
      <c r="F6096">
        <v>0.01</v>
      </c>
    </row>
    <row r="6097" spans="1:6" x14ac:dyDescent="0.3">
      <c r="A6097" t="str">
        <f>HYPERLINK("https://us2.cloudbeds.com/connect/10074733072513#/reservations/30686670188704?display=YR12X4ESC&amp;reservation_id=30686670188704", "YR12X4ESC")</f>
        <v>YR12X4ESC</v>
      </c>
      <c r="B6097" t="s">
        <v>855</v>
      </c>
      <c r="C6097">
        <v>258</v>
      </c>
      <c r="D6097">
        <v>280.45999999999998</v>
      </c>
      <c r="E6097">
        <v>280.45</v>
      </c>
      <c r="F6097">
        <v>0.01</v>
      </c>
    </row>
    <row r="6098" spans="1:6" x14ac:dyDescent="0.3">
      <c r="A6098" t="str">
        <f>HYPERLINK("https://us2.cloudbeds.com/connect/10074733072513#/reservations/30686793379997?display=YR15N0E5S&amp;reservation_id=30686793379997", "YR15N0E5S")</f>
        <v>YR15N0E5S</v>
      </c>
      <c r="B6098" t="s">
        <v>752</v>
      </c>
      <c r="C6098">
        <v>376</v>
      </c>
      <c r="D6098">
        <v>408.72</v>
      </c>
      <c r="E6098">
        <v>408.71</v>
      </c>
      <c r="F6098">
        <v>0.01</v>
      </c>
    </row>
    <row r="6099" spans="1:6" x14ac:dyDescent="0.3">
      <c r="A6099" t="str">
        <f>HYPERLINK("https://us2.cloudbeds.com/connect/10074733072513#/reservations/30686796706040?display=YR15PQWD1&amp;reservation_id=30686796706040", "YR15PQWD1")</f>
        <v>YR15PQWD1</v>
      </c>
      <c r="B6099" t="s">
        <v>936</v>
      </c>
      <c r="C6099">
        <v>389.3</v>
      </c>
      <c r="D6099">
        <v>423.18</v>
      </c>
      <c r="E6099">
        <v>423.17</v>
      </c>
      <c r="F6099">
        <v>0.01</v>
      </c>
    </row>
    <row r="6100" spans="1:6" x14ac:dyDescent="0.3">
      <c r="A6100" t="str">
        <f>HYPERLINK("https://us2.cloudbeds.com/connect/10074733072513#/reservations/30681785213183?display=YQU9NWQJ4&amp;reservation_id=30681785213183", "YQU9NWQJ4")</f>
        <v>YQU9NWQJ4</v>
      </c>
      <c r="B6100" t="s">
        <v>940</v>
      </c>
      <c r="C6100">
        <v>270</v>
      </c>
      <c r="D6100">
        <v>293.5</v>
      </c>
      <c r="E6100">
        <v>293.49</v>
      </c>
      <c r="F6100">
        <v>0.01</v>
      </c>
    </row>
    <row r="6101" spans="1:6" x14ac:dyDescent="0.3">
      <c r="A6101" t="str">
        <f>HYPERLINK("https://us2.cloudbeds.com/connect/10074733072513#/reservations/30685767086234?display=YR0CFK9YS&amp;reservation_id=30685767086234", "YR0CFK9YS")</f>
        <v>YR0CFK9YS</v>
      </c>
      <c r="B6101" t="s">
        <v>941</v>
      </c>
      <c r="C6101">
        <v>149</v>
      </c>
      <c r="D6101">
        <v>161.97</v>
      </c>
      <c r="E6101">
        <v>161.96</v>
      </c>
      <c r="F6101">
        <v>0.01</v>
      </c>
    </row>
    <row r="6102" spans="1:6" x14ac:dyDescent="0.3">
      <c r="A6102" t="str">
        <f>HYPERLINK("https://us2.cloudbeds.com/connect/10074733072513#/reservations/30685806452949?display=YR0DFQZ2K&amp;reservation_id=30685806452949", "YR0DFQZ2K")</f>
        <v>YR0DFQZ2K</v>
      </c>
      <c r="B6102" t="s">
        <v>929</v>
      </c>
      <c r="C6102">
        <v>222</v>
      </c>
      <c r="D6102">
        <v>241.32</v>
      </c>
      <c r="E6102">
        <v>241.31</v>
      </c>
      <c r="F6102">
        <v>0.01</v>
      </c>
    </row>
    <row r="6103" spans="1:6" x14ac:dyDescent="0.3">
      <c r="A6103" t="str">
        <f>HYPERLINK("https://us2.cloudbeds.com/connect/10074733072513#/reservations/30686253609177?display=YR0ZTSGSB&amp;reservation_id=30686253609177", "YR0ZTSGSB")</f>
        <v>YR0ZTSGSB</v>
      </c>
      <c r="B6103" t="s">
        <v>913</v>
      </c>
      <c r="C6103">
        <v>189</v>
      </c>
      <c r="D6103">
        <v>205.45</v>
      </c>
      <c r="E6103">
        <v>205.44</v>
      </c>
      <c r="F6103">
        <v>0.01</v>
      </c>
    </row>
    <row r="6104" spans="1:6" x14ac:dyDescent="0.3">
      <c r="A6104" t="str">
        <f>HYPERLINK("https://us2.cloudbeds.com/connect/10074733072513#/reservations/30686326616231?display=YR0QPE1AA&amp;reservation_id=30686326616231", "YR0QPE1AA")</f>
        <v>YR0QPE1AA</v>
      </c>
      <c r="B6104" t="s">
        <v>913</v>
      </c>
      <c r="C6104">
        <v>318</v>
      </c>
      <c r="D6104">
        <v>345.68</v>
      </c>
      <c r="E6104">
        <v>345.67</v>
      </c>
      <c r="F6104">
        <v>0.01</v>
      </c>
    </row>
    <row r="6105" spans="1:6" x14ac:dyDescent="0.3">
      <c r="A6105" t="str">
        <f>HYPERLINK("https://us2.cloudbeds.com/connect/10074733072513#/reservations/30686344503542?display=YR0R7GPP1&amp;reservation_id=30686344503542", "YR0R7GPP1")</f>
        <v>YR0R7GPP1</v>
      </c>
      <c r="B6105" t="s">
        <v>913</v>
      </c>
      <c r="C6105">
        <v>144.54</v>
      </c>
      <c r="D6105">
        <v>157.12</v>
      </c>
      <c r="E6105">
        <v>157.11000000000001</v>
      </c>
      <c r="F6105">
        <v>0.01</v>
      </c>
    </row>
    <row r="6106" spans="1:6" x14ac:dyDescent="0.3">
      <c r="A6106" t="str">
        <f>HYPERLINK("https://us2.cloudbeds.com/connect/10074733072513#/reservations/30686460219622?display=YR0U62ZPU&amp;reservation_id=30686460219622", "YR0U62ZPU")</f>
        <v>YR0U62ZPU</v>
      </c>
      <c r="B6106" t="s">
        <v>913</v>
      </c>
      <c r="C6106">
        <v>134.41999999999999</v>
      </c>
      <c r="D6106">
        <v>146.12</v>
      </c>
      <c r="E6106">
        <v>146.11000000000001</v>
      </c>
      <c r="F6106">
        <v>0.01</v>
      </c>
    </row>
    <row r="6107" spans="1:6" x14ac:dyDescent="0.3">
      <c r="A6107" t="str">
        <f>HYPERLINK("https://us2.cloudbeds.com/connect/10074733072513#/reservations/30686469738652?display=YR0UE3KSC&amp;reservation_id=30686469738652", "YR0UE3KSC")</f>
        <v>YR0UE3KSC</v>
      </c>
      <c r="B6107" t="s">
        <v>937</v>
      </c>
      <c r="C6107">
        <v>141.55000000000001</v>
      </c>
      <c r="D6107">
        <v>153.87</v>
      </c>
      <c r="E6107">
        <v>153.86000000000001</v>
      </c>
      <c r="F6107">
        <v>0.01</v>
      </c>
    </row>
    <row r="6108" spans="1:6" x14ac:dyDescent="0.3">
      <c r="A6108" t="str">
        <f>HYPERLINK("https://us2.cloudbeds.com/connect/10074733072513#/reservations/30686488113299?display=YR0UTJUQS&amp;reservation_id=30686488113299", "YR0UTJUQS")</f>
        <v>YR0UTJUQS</v>
      </c>
      <c r="B6108" t="s">
        <v>808</v>
      </c>
      <c r="C6108">
        <v>358</v>
      </c>
      <c r="D6108">
        <v>389.16</v>
      </c>
      <c r="E6108">
        <v>389.15</v>
      </c>
      <c r="F6108">
        <v>0.01</v>
      </c>
    </row>
    <row r="6109" spans="1:6" x14ac:dyDescent="0.3">
      <c r="A6109" t="str">
        <f>HYPERLINK("https://us2.cloudbeds.com/connect/10074733072513#/reservations/30686502678664?display=YR0V8T7QX&amp;reservation_id=30686502678664", "YR0V8T7QX")</f>
        <v>YR0V8T7QX</v>
      </c>
      <c r="B6109" t="s">
        <v>903</v>
      </c>
      <c r="C6109">
        <v>79</v>
      </c>
      <c r="D6109">
        <v>85.88</v>
      </c>
      <c r="E6109">
        <v>85.87</v>
      </c>
      <c r="F6109">
        <v>0.01</v>
      </c>
    </row>
    <row r="6110" spans="1:6" x14ac:dyDescent="0.3">
      <c r="A6110" t="str">
        <f>HYPERLINK("https://us2.cloudbeds.com/connect/10074733072513#/reservations/30686508486871?display=YR0VDPSAR&amp;reservation_id=30686508486871", "YR0VDPSAR")</f>
        <v>YR0VDPSAR</v>
      </c>
      <c r="B6110" t="s">
        <v>903</v>
      </c>
      <c r="C6110">
        <v>158</v>
      </c>
      <c r="D6110">
        <v>171.76</v>
      </c>
      <c r="E6110">
        <v>171.75</v>
      </c>
      <c r="F6110">
        <v>0.01</v>
      </c>
    </row>
    <row r="6111" spans="1:6" x14ac:dyDescent="0.3">
      <c r="A6111" t="str">
        <f>HYPERLINK("https://us2.cloudbeds.com/connect/10074733072513#/reservations/30687021764803?display=YR1BHJXUX&amp;reservation_id=30687021764803", "YR1BHJXUX")</f>
        <v>YR1BHJXUX</v>
      </c>
      <c r="B6111" t="s">
        <v>905</v>
      </c>
      <c r="C6111">
        <v>179</v>
      </c>
      <c r="D6111">
        <v>194.58</v>
      </c>
      <c r="E6111">
        <v>194.57</v>
      </c>
      <c r="F6111">
        <v>0.01</v>
      </c>
    </row>
    <row r="6112" spans="1:6" x14ac:dyDescent="0.3">
      <c r="A6112" t="str">
        <f>HYPERLINK("https://us2.cloudbeds.com/connect/10074733072513#/reservations/30687415828614?display=YR1YJSWB5&amp;reservation_id=30687415828614", "YR1YJSWB5")</f>
        <v>YR1YJSWB5</v>
      </c>
      <c r="B6112" t="s">
        <v>943</v>
      </c>
      <c r="C6112">
        <v>420</v>
      </c>
      <c r="D6112">
        <v>456.55</v>
      </c>
      <c r="E6112">
        <v>456.54</v>
      </c>
      <c r="F6112">
        <v>0.01</v>
      </c>
    </row>
    <row r="6113" spans="1:6" x14ac:dyDescent="0.3">
      <c r="A6113" t="str">
        <f>HYPERLINK("https://us2.cloudbeds.com/connect/10074733072513#/reservations/30685607436490?display=YR08CWQGR&amp;reservation_id=30685607436490", "YR08CWQGR")</f>
        <v>YR08CWQGR</v>
      </c>
      <c r="B6113" t="s">
        <v>907</v>
      </c>
      <c r="C6113">
        <v>278</v>
      </c>
      <c r="D6113">
        <v>302.2</v>
      </c>
      <c r="E6113">
        <v>302.19</v>
      </c>
      <c r="F6113">
        <v>0.01</v>
      </c>
    </row>
    <row r="6114" spans="1:6" x14ac:dyDescent="0.3">
      <c r="A6114" t="str">
        <f>HYPERLINK("https://us2.cloudbeds.com/connect/10074733072513#/reservations/30687482028264?display=YR1N9N2Z5&amp;reservation_id=30687482028264", "YR1N9N2Z5")</f>
        <v>YR1N9N2Z5</v>
      </c>
      <c r="B6114" t="s">
        <v>808</v>
      </c>
      <c r="C6114">
        <v>358</v>
      </c>
      <c r="D6114">
        <v>389.16</v>
      </c>
      <c r="E6114">
        <v>389.15</v>
      </c>
      <c r="F6114">
        <v>0.01</v>
      </c>
    </row>
    <row r="6115" spans="1:6" x14ac:dyDescent="0.3">
      <c r="A6115" t="str">
        <f>HYPERLINK("https://us2.cloudbeds.com/connect/10074733072513#/reservations/30684908892411?display=YQWNHVPTE&amp;reservation_id=30684908892411", "YQWNHVPTE")</f>
        <v>YQWNHVPTE</v>
      </c>
      <c r="B6115" t="s">
        <v>919</v>
      </c>
      <c r="C6115">
        <v>129</v>
      </c>
      <c r="D6115">
        <v>140.22999999999999</v>
      </c>
      <c r="E6115">
        <v>140.22</v>
      </c>
      <c r="F6115">
        <v>0.01</v>
      </c>
    </row>
    <row r="6116" spans="1:6" x14ac:dyDescent="0.3">
      <c r="A6116" t="str">
        <f>HYPERLINK("https://us2.cloudbeds.com/connect/10074733072513#/reservations/30686096818386?display=YR0KTYJ08&amp;reservation_id=30686096818386", "YR0KTYJ08")</f>
        <v>YR0KTYJ08</v>
      </c>
      <c r="B6116" t="s">
        <v>861</v>
      </c>
      <c r="C6116">
        <v>119</v>
      </c>
      <c r="D6116">
        <v>129.36000000000001</v>
      </c>
      <c r="E6116">
        <v>129.35</v>
      </c>
      <c r="F6116">
        <v>0.01</v>
      </c>
    </row>
    <row r="6117" spans="1:6" x14ac:dyDescent="0.3">
      <c r="A6117" t="str">
        <f>HYPERLINK("https://us2.cloudbeds.com/connect/10074733072513#/reservations/30686541197457?display=YR0W8C2JN&amp;reservation_id=30686541197457", "YR0W8C2JN")</f>
        <v>YR0W8C2JN</v>
      </c>
      <c r="B6117" t="s">
        <v>808</v>
      </c>
      <c r="C6117">
        <v>101.76</v>
      </c>
      <c r="D6117">
        <v>110.62</v>
      </c>
      <c r="E6117">
        <v>110.61</v>
      </c>
      <c r="F6117">
        <v>0.01</v>
      </c>
    </row>
    <row r="6118" spans="1:6" x14ac:dyDescent="0.3">
      <c r="A6118" t="str">
        <f>HYPERLINK("https://us2.cloudbeds.com/connect/10074733072513#/reservations/30686234435731?display=YR0ZDMWCR&amp;reservation_id=30686234435731", "YR0ZDMWCR")</f>
        <v>YR0ZDMWCR</v>
      </c>
      <c r="B6118" t="s">
        <v>903</v>
      </c>
      <c r="C6118">
        <v>89</v>
      </c>
      <c r="D6118">
        <v>96.75</v>
      </c>
      <c r="E6118">
        <v>96.74</v>
      </c>
      <c r="F6118">
        <v>0.01</v>
      </c>
    </row>
    <row r="6119" spans="1:6" x14ac:dyDescent="0.3">
      <c r="A6119" t="str">
        <f>HYPERLINK("https://us2.cloudbeds.com/connect/10074733072513#/reservations/30687465853058?display=YR1MT1WFD&amp;reservation_id=30687465853058", "YR1MT1WFD")</f>
        <v>YR1MT1WFD</v>
      </c>
      <c r="B6119" t="s">
        <v>808</v>
      </c>
      <c r="C6119">
        <v>159</v>
      </c>
      <c r="D6119">
        <v>172.84</v>
      </c>
      <c r="E6119">
        <v>172.83</v>
      </c>
      <c r="F6119">
        <v>0.01</v>
      </c>
    </row>
    <row r="6120" spans="1:6" x14ac:dyDescent="0.3">
      <c r="A6120" t="str">
        <f>HYPERLINK("https://us2.cloudbeds.com/connect/10074733072513#/reservations/30682798870737?display=YQV2KZAJN&amp;reservation_id=30682798870737", "YQV2KZAJN")</f>
        <v>YQV2KZAJN</v>
      </c>
      <c r="B6120" t="s">
        <v>809</v>
      </c>
      <c r="C6120">
        <v>109</v>
      </c>
      <c r="D6120">
        <v>118.49</v>
      </c>
      <c r="E6120">
        <v>118.48</v>
      </c>
      <c r="F6120">
        <v>0.01</v>
      </c>
    </row>
    <row r="6121" spans="1:6" x14ac:dyDescent="0.3">
      <c r="A6121" t="str">
        <f>HYPERLINK("https://us2.cloudbeds.com/connect/10074733072513#/reservations/30687469719766?display=YR1MWAJ5C&amp;reservation_id=30687469719766", "YR1MWAJ5C")</f>
        <v>YR1MWAJ5C</v>
      </c>
      <c r="B6121" t="s">
        <v>808</v>
      </c>
      <c r="C6121">
        <v>189</v>
      </c>
      <c r="D6121">
        <v>205.45</v>
      </c>
      <c r="E6121">
        <v>205.44</v>
      </c>
      <c r="F6121">
        <v>0.01</v>
      </c>
    </row>
    <row r="6122" spans="1:6" x14ac:dyDescent="0.3">
      <c r="A6122" t="str">
        <f>HYPERLINK("https://us2.cloudbeds.com/connect/10074733072513#/reservations/30686279745775?display=YR0PXTQDF&amp;reservation_id=30686279745775", "YR0PXTQDF")</f>
        <v>YR0PXTQDF</v>
      </c>
      <c r="B6122" t="s">
        <v>913</v>
      </c>
      <c r="C6122">
        <v>169</v>
      </c>
      <c r="D6122">
        <v>183.71</v>
      </c>
      <c r="E6122">
        <v>183.7</v>
      </c>
      <c r="F6122">
        <v>0.01</v>
      </c>
    </row>
    <row r="6123" spans="1:6" x14ac:dyDescent="0.3">
      <c r="A6123" t="str">
        <f>HYPERLINK("https://us2.cloudbeds.com/connect/10074733072513#/reservations/30686557782208?display=YR0WMBF7Z&amp;reservation_id=30686557782208", "YR0WMBF7Z")</f>
        <v>YR0WMBF7Z</v>
      </c>
      <c r="B6123" t="s">
        <v>808</v>
      </c>
      <c r="C6123">
        <v>106.8</v>
      </c>
      <c r="D6123">
        <v>116.1</v>
      </c>
      <c r="E6123">
        <v>116.09</v>
      </c>
      <c r="F6123">
        <v>0.01</v>
      </c>
    </row>
    <row r="6124" spans="1:6" x14ac:dyDescent="0.3">
      <c r="A6124" t="str">
        <f>HYPERLINK("https://us2.cloudbeds.com/connect/10074733072513#/reservations/30687619870848?display=YR1QY1HSY&amp;reservation_id=30687619870848", "YR1QY1HSY")</f>
        <v>YR1QY1HSY</v>
      </c>
      <c r="B6124" t="s">
        <v>936</v>
      </c>
      <c r="C6124">
        <v>219</v>
      </c>
      <c r="D6124">
        <v>238.06</v>
      </c>
      <c r="E6124">
        <v>238.05</v>
      </c>
      <c r="F6124">
        <v>0.01</v>
      </c>
    </row>
    <row r="6125" spans="1:6" x14ac:dyDescent="0.3">
      <c r="A6125" t="str">
        <f>HYPERLINK("https://us2.cloudbeds.com/connect/10074733072513#/reservations/30686194208909?display=YR0NCPK57&amp;reservation_id=30686194208909", "YR0NCPK57")</f>
        <v>YR0NCPK57</v>
      </c>
      <c r="B6125" t="s">
        <v>808</v>
      </c>
      <c r="C6125">
        <v>134.41999999999999</v>
      </c>
      <c r="D6125">
        <v>146.12</v>
      </c>
      <c r="E6125">
        <v>146.11000000000001</v>
      </c>
      <c r="F6125">
        <v>0.01</v>
      </c>
    </row>
    <row r="6126" spans="1:6" x14ac:dyDescent="0.3">
      <c r="A6126" t="str">
        <f>HYPERLINK("https://us2.cloudbeds.com/connect/10074733072513#/reservations/30686345506971?display=YR0R8BN5W&amp;reservation_id=30686345506971", "YR0R8BN5W")</f>
        <v>YR0R8BN5W</v>
      </c>
      <c r="B6126" t="s">
        <v>932</v>
      </c>
      <c r="C6126">
        <v>504</v>
      </c>
      <c r="D6126">
        <v>547.86</v>
      </c>
      <c r="E6126">
        <v>547.85</v>
      </c>
      <c r="F6126">
        <v>0.01</v>
      </c>
    </row>
    <row r="6127" spans="1:6" x14ac:dyDescent="0.3">
      <c r="A6127" t="str">
        <f>HYPERLINK("https://us2.cloudbeds.com/connect/10074733072513#/reservations/30687636762768?display=YR1R85QBH&amp;reservation_id=30687636762768", "YR1R85QBH")</f>
        <v>YR1R85QBH</v>
      </c>
      <c r="B6127" t="s">
        <v>936</v>
      </c>
      <c r="C6127">
        <v>149</v>
      </c>
      <c r="D6127">
        <v>161.97</v>
      </c>
      <c r="E6127">
        <v>161.96</v>
      </c>
      <c r="F6127">
        <v>0.01</v>
      </c>
    </row>
    <row r="6128" spans="1:6" x14ac:dyDescent="0.3">
      <c r="A6128" t="str">
        <f>HYPERLINK("https://us2.cloudbeds.com/connect/10074733072513#/reservations/30686027231430?display=YR0J3W74K&amp;reservation_id=30686027231430", "YR0J3W74K")</f>
        <v>YR0J3W74K</v>
      </c>
      <c r="B6128" t="s">
        <v>942</v>
      </c>
      <c r="C6128">
        <v>141.55000000000001</v>
      </c>
      <c r="D6128">
        <v>153.87</v>
      </c>
      <c r="E6128">
        <v>153.86000000000001</v>
      </c>
      <c r="F6128">
        <v>0.01</v>
      </c>
    </row>
    <row r="6129" spans="1:6" x14ac:dyDescent="0.3">
      <c r="A6129" t="str">
        <f>HYPERLINK("https://us2.cloudbeds.com/connect/10074733072513#/reservations/30687080583396?display=YR1D169G5&amp;reservation_id=30687080583396", "YR1D169G5")</f>
        <v>YR1D169G5</v>
      </c>
      <c r="B6129" t="s">
        <v>905</v>
      </c>
      <c r="C6129">
        <v>229</v>
      </c>
      <c r="D6129">
        <v>248.93</v>
      </c>
      <c r="E6129">
        <v>248.92</v>
      </c>
      <c r="F6129">
        <v>0.01</v>
      </c>
    </row>
    <row r="6130" spans="1:6" x14ac:dyDescent="0.3">
      <c r="A6130" t="str">
        <f>HYPERLINK("https://us2.cloudbeds.com/connect/10074733072513#/reservations/30686300750050?display=YR0Q3K92Y&amp;reservation_id=30686300750050", "YR0Q3K92Y")</f>
        <v>YR0Q3K92Y</v>
      </c>
      <c r="B6130" t="s">
        <v>903</v>
      </c>
      <c r="C6130">
        <v>144.5</v>
      </c>
      <c r="D6130">
        <v>157.08000000000001</v>
      </c>
      <c r="E6130">
        <v>157.07</v>
      </c>
      <c r="F6130">
        <v>0.01</v>
      </c>
    </row>
    <row r="6131" spans="1:6" x14ac:dyDescent="0.3">
      <c r="A6131" t="str">
        <f>HYPERLINK("https://us2.cloudbeds.com/connect/10074733072513#/reservations/30686111531223?display=YR0Y91WDQ&amp;reservation_id=30686111531223", "YR0Y91WDQ")</f>
        <v>YR0Y91WDQ</v>
      </c>
      <c r="B6131" t="s">
        <v>861</v>
      </c>
      <c r="C6131">
        <v>119</v>
      </c>
      <c r="D6131">
        <v>129.36000000000001</v>
      </c>
      <c r="E6131">
        <v>129.35</v>
      </c>
      <c r="F6131">
        <v>0.01</v>
      </c>
    </row>
    <row r="6132" spans="1:6" x14ac:dyDescent="0.3">
      <c r="A6132" t="str">
        <f>HYPERLINK("https://us2.cloudbeds.com/connect/10074733072513#/reservations/30687498784903?display=YR1NNRBU3&amp;reservation_id=30687498784903", "YR1NNRBU3")</f>
        <v>YR1NNRBU3</v>
      </c>
      <c r="B6132" t="s">
        <v>824</v>
      </c>
      <c r="C6132">
        <v>153</v>
      </c>
      <c r="D6132">
        <v>166.32</v>
      </c>
      <c r="E6132">
        <v>166.31</v>
      </c>
      <c r="F6132">
        <v>0.01</v>
      </c>
    </row>
    <row r="6133" spans="1:6" x14ac:dyDescent="0.3">
      <c r="A6133" t="str">
        <f>HYPERLINK("https://us2.cloudbeds.com/connect/10074733072513#/reservations/30686088696048?display=YR0KMQXFQ&amp;reservation_id=30686088696048", "YR0KMQXFQ")</f>
        <v>YR0KMQXFQ</v>
      </c>
      <c r="B6133" t="s">
        <v>944</v>
      </c>
      <c r="C6133">
        <v>192</v>
      </c>
      <c r="D6133">
        <v>208.71</v>
      </c>
      <c r="E6133">
        <v>208.7</v>
      </c>
      <c r="F6133">
        <v>0.01</v>
      </c>
    </row>
    <row r="6134" spans="1:6" x14ac:dyDescent="0.3">
      <c r="A6134" t="str">
        <f>HYPERLINK("https://us2.cloudbeds.com/connect/10074733072513#/reservations/30687526305994?display=YR1ZE15QX&amp;reservation_id=30687526305994", "YR1ZE15QX")</f>
        <v>YR1ZE15QX</v>
      </c>
      <c r="B6134" t="s">
        <v>875</v>
      </c>
      <c r="C6134">
        <v>199</v>
      </c>
      <c r="D6134">
        <v>216.32</v>
      </c>
      <c r="E6134">
        <v>216.31</v>
      </c>
      <c r="F6134">
        <v>0.01</v>
      </c>
    </row>
    <row r="6135" spans="1:6" x14ac:dyDescent="0.3">
      <c r="A6135" t="str">
        <f>HYPERLINK("https://us2.cloudbeds.com/connect/10074733072513#/reservations/30687533150366?display=YR1ZJQKQP&amp;reservation_id=30687533150366", "YR1ZJQKQP")</f>
        <v>YR1ZJQKQP</v>
      </c>
      <c r="B6135" t="s">
        <v>875</v>
      </c>
      <c r="C6135">
        <v>149</v>
      </c>
      <c r="D6135">
        <v>161.97</v>
      </c>
      <c r="E6135">
        <v>161.96</v>
      </c>
      <c r="F6135">
        <v>0.01</v>
      </c>
    </row>
    <row r="6136" spans="1:6" x14ac:dyDescent="0.3">
      <c r="A6136" t="str">
        <f>HYPERLINK("https://us2.cloudbeds.com/connect/10074733072513#/reservations/30686827827393?display=YR167P59D&amp;reservation_id=30686827827393", "YR167P59D")</f>
        <v>YR167P59D</v>
      </c>
      <c r="B6136" t="s">
        <v>936</v>
      </c>
      <c r="C6136">
        <v>194.65</v>
      </c>
      <c r="D6136">
        <v>211.59</v>
      </c>
      <c r="E6136">
        <v>211.58</v>
      </c>
      <c r="F6136">
        <v>0.01</v>
      </c>
    </row>
    <row r="6137" spans="1:6" x14ac:dyDescent="0.3">
      <c r="A6137" t="str">
        <f>HYPERLINK("https://us2.cloudbeds.com/connect/10074733072513#/reservations/30686089764998?display=YR0KNNA27&amp;reservation_id=30686089764998", "YR0KNNA27")</f>
        <v>YR0KNNA27</v>
      </c>
      <c r="B6137" t="s">
        <v>944</v>
      </c>
      <c r="C6137">
        <v>338</v>
      </c>
      <c r="D6137">
        <v>367.42</v>
      </c>
      <c r="E6137">
        <v>367.41</v>
      </c>
      <c r="F6137">
        <v>0.01</v>
      </c>
    </row>
    <row r="6138" spans="1:6" x14ac:dyDescent="0.3">
      <c r="A6138" t="str">
        <f>HYPERLINK("https://us2.cloudbeds.com/connect/10074733072513#/reservations/30686764966117?display=YR14W1PF6&amp;reservation_id=30686764966117", "YR14W1PF6")</f>
        <v>YR14W1PF6</v>
      </c>
      <c r="B6138" t="s">
        <v>936</v>
      </c>
      <c r="C6138">
        <v>209</v>
      </c>
      <c r="D6138">
        <v>227.19</v>
      </c>
      <c r="E6138">
        <v>227.18</v>
      </c>
      <c r="F6138">
        <v>0.01</v>
      </c>
    </row>
    <row r="6139" spans="1:6" x14ac:dyDescent="0.3">
      <c r="A6139" t="str">
        <f>HYPERLINK("https://us2.cloudbeds.com/connect/10074733072513#/reservations/30687363977458?display=YR1K954Q0&amp;reservation_id=30687363977458", "YR1K954Q0")</f>
        <v>YR1K954Q0</v>
      </c>
      <c r="B6139" t="s">
        <v>875</v>
      </c>
      <c r="C6139">
        <v>229</v>
      </c>
      <c r="D6139">
        <v>248.93</v>
      </c>
      <c r="E6139">
        <v>248.92</v>
      </c>
      <c r="F6139">
        <v>0.01</v>
      </c>
    </row>
    <row r="6140" spans="1:6" x14ac:dyDescent="0.3">
      <c r="A6140" t="str">
        <f>HYPERLINK("https://us2.cloudbeds.com/connect/10074733072513#/reservations/30687287021770?display=YR1XA8ZDF&amp;reservation_id=30687287021770", "YR1XA8ZDF")</f>
        <v>YR1XA8ZDF</v>
      </c>
      <c r="B6140" t="s">
        <v>875</v>
      </c>
      <c r="C6140">
        <v>239</v>
      </c>
      <c r="D6140">
        <v>259.8</v>
      </c>
      <c r="E6140">
        <v>259.79000000000002</v>
      </c>
      <c r="F6140">
        <v>0.01</v>
      </c>
    </row>
    <row r="6141" spans="1:6" x14ac:dyDescent="0.3">
      <c r="A6141" t="str">
        <f>HYPERLINK("https://us2.cloudbeds.com/connect/10074733072513#/reservations/30686764970209?display=YR14W1T76&amp;reservation_id=30686764970209", "YR14W1T76")</f>
        <v>YR14W1T76</v>
      </c>
      <c r="B6141" t="s">
        <v>936</v>
      </c>
      <c r="C6141">
        <v>239</v>
      </c>
      <c r="D6141">
        <v>259.8</v>
      </c>
      <c r="E6141">
        <v>259.79000000000002</v>
      </c>
      <c r="F6141">
        <v>0.01</v>
      </c>
    </row>
    <row r="6142" spans="1:6" x14ac:dyDescent="0.3">
      <c r="A6142" t="str">
        <f>HYPERLINK("https://us2.cloudbeds.com/connect/10074733072513#/reservations/30683038167195?display=YQV8ZH37H&amp;reservation_id=30683038167195", "YQV8ZH37H")</f>
        <v>YQV8ZH37H</v>
      </c>
      <c r="B6142" t="s">
        <v>945</v>
      </c>
      <c r="C6142">
        <v>322.2</v>
      </c>
      <c r="D6142">
        <v>350.24</v>
      </c>
      <c r="E6142">
        <v>350.23</v>
      </c>
      <c r="F6142">
        <v>0.01</v>
      </c>
    </row>
    <row r="6143" spans="1:6" x14ac:dyDescent="0.3">
      <c r="A6143" t="str">
        <f>HYPERLINK("https://us2.cloudbeds.com/connect/10074733072513#/reservations/30687662670023?display=YR1RU0N9S&amp;reservation_id=30687662670023", "YR1RU0N9S")</f>
        <v>YR1RU0N9S</v>
      </c>
      <c r="B6143" t="s">
        <v>936</v>
      </c>
      <c r="C6143">
        <v>398</v>
      </c>
      <c r="D6143">
        <v>432.64</v>
      </c>
      <c r="E6143">
        <v>432.63</v>
      </c>
      <c r="F6143">
        <v>0.01</v>
      </c>
    </row>
    <row r="6144" spans="1:6" x14ac:dyDescent="0.3">
      <c r="A6144" t="str">
        <f>HYPERLINK("https://us2.cloudbeds.com/connect/10074733072513#/reservations/30687581728969?display=YR1PRPD8Y&amp;reservation_id=30687581728969", "YR1PRPD8Y")</f>
        <v>YR1PRPD8Y</v>
      </c>
      <c r="B6144" t="s">
        <v>875</v>
      </c>
      <c r="C6144">
        <v>169.93</v>
      </c>
      <c r="D6144">
        <v>184.72</v>
      </c>
      <c r="E6144">
        <v>184.71</v>
      </c>
      <c r="F6144">
        <v>0.01</v>
      </c>
    </row>
    <row r="6145" spans="1:6" x14ac:dyDescent="0.3">
      <c r="A6145" t="str">
        <f>HYPERLINK("https://us2.cloudbeds.com/connect/10074733072513#/reservations/30687543853201?display=YR1ZSREV3&amp;reservation_id=30687543853201", "YR1ZSREV3")</f>
        <v>YR1ZSREV3</v>
      </c>
      <c r="B6145" t="s">
        <v>875</v>
      </c>
      <c r="C6145">
        <v>229</v>
      </c>
      <c r="D6145">
        <v>248.93</v>
      </c>
      <c r="E6145">
        <v>248.92</v>
      </c>
      <c r="F6145">
        <v>0.01</v>
      </c>
    </row>
    <row r="6146" spans="1:6" x14ac:dyDescent="0.3">
      <c r="A6146" t="str">
        <f>HYPERLINK("https://us2.cloudbeds.com/connect/10074733072513#/reservations/30687367065800?display=YR1KBP2Z4&amp;reservation_id=30687367065800", "YR1KBP2Z4")</f>
        <v>YR1KBP2Z4</v>
      </c>
      <c r="B6146" t="s">
        <v>875</v>
      </c>
      <c r="C6146">
        <v>169.93</v>
      </c>
      <c r="D6146">
        <v>184.72</v>
      </c>
      <c r="E6146">
        <v>184.71</v>
      </c>
      <c r="F6146">
        <v>0.01</v>
      </c>
    </row>
    <row r="6147" spans="1:6" x14ac:dyDescent="0.3">
      <c r="A6147" t="str">
        <f>HYPERLINK("https://us2.cloudbeds.com/connect/10074733072513#/reservations/30686219518162?display=YR0Z13SW9&amp;reservation_id=30686219518162", "YR0Z13SW9")</f>
        <v>YR0Z13SW9</v>
      </c>
      <c r="B6147" t="s">
        <v>905</v>
      </c>
      <c r="C6147">
        <v>199</v>
      </c>
      <c r="D6147">
        <v>216.32</v>
      </c>
      <c r="E6147">
        <v>216.31</v>
      </c>
      <c r="F6147">
        <v>0.01</v>
      </c>
    </row>
    <row r="6148" spans="1:6" x14ac:dyDescent="0.3">
      <c r="A6148" t="str">
        <f>HYPERLINK("https://us2.cloudbeds.com/connect/10074733072513#/reservations/30686281437329?display=YR0PKASNM&amp;reservation_id=30686281437329", "YR0PKASNM")</f>
        <v>YR0PKASNM</v>
      </c>
      <c r="B6148" t="s">
        <v>903</v>
      </c>
      <c r="C6148">
        <v>189</v>
      </c>
      <c r="D6148">
        <v>205.45</v>
      </c>
      <c r="E6148">
        <v>205.44</v>
      </c>
      <c r="F6148">
        <v>0.01</v>
      </c>
    </row>
    <row r="6149" spans="1:6" x14ac:dyDescent="0.3">
      <c r="A6149" t="str">
        <f>HYPERLINK("https://us2.cloudbeds.com/connect/10074733072513#/reservations/30686248558721?display=YR0ZPJW57&amp;reservation_id=30686248558721", "YR0ZPJW57")</f>
        <v>YR0ZPJW57</v>
      </c>
      <c r="B6149" t="s">
        <v>903</v>
      </c>
      <c r="C6149">
        <v>169</v>
      </c>
      <c r="D6149">
        <v>183.71</v>
      </c>
      <c r="E6149">
        <v>183.7</v>
      </c>
      <c r="F6149">
        <v>0.01</v>
      </c>
    </row>
    <row r="6150" spans="1:6" x14ac:dyDescent="0.3">
      <c r="A6150" t="str">
        <f>HYPERLINK("https://us2.cloudbeds.com/connect/10074733072513#/reservations/30686243864814?display=YR0ZYYBSK&amp;reservation_id=30686243864814", "YR0ZYYBSK")</f>
        <v>YR0ZYYBSK</v>
      </c>
      <c r="B6150" t="s">
        <v>903</v>
      </c>
      <c r="C6150">
        <v>129</v>
      </c>
      <c r="D6150">
        <v>140.22999999999999</v>
      </c>
      <c r="E6150">
        <v>140.22</v>
      </c>
      <c r="F6150">
        <v>0.01</v>
      </c>
    </row>
    <row r="6151" spans="1:6" x14ac:dyDescent="0.3">
      <c r="A6151" t="str">
        <f>HYPERLINK("https://us2.cloudbeds.com/connect/10074733072513#/reservations/30687413338325?display=YR1YHPMXS&amp;reservation_id=30687413338325", "YR1YHPMXS")</f>
        <v>YR1YHPMXS</v>
      </c>
      <c r="B6151" t="s">
        <v>943</v>
      </c>
      <c r="C6151">
        <v>256</v>
      </c>
      <c r="D6151">
        <v>278.27999999999997</v>
      </c>
      <c r="E6151">
        <v>278.27</v>
      </c>
      <c r="F6151">
        <v>0.01</v>
      </c>
    </row>
    <row r="6152" spans="1:6" x14ac:dyDescent="0.3">
      <c r="A6152" t="str">
        <f>HYPERLINK("https://us2.cloudbeds.com/connect/10074733072513#/reservations/30686933676172?display=YR199ACF3&amp;reservation_id=30686933676172", "YR199ACF3")</f>
        <v>YR199ACF3</v>
      </c>
      <c r="B6152" t="s">
        <v>904</v>
      </c>
      <c r="C6152">
        <v>199</v>
      </c>
      <c r="D6152">
        <v>216.32</v>
      </c>
      <c r="E6152">
        <v>216.31</v>
      </c>
      <c r="F6152">
        <v>0.01</v>
      </c>
    </row>
    <row r="6153" spans="1:6" x14ac:dyDescent="0.3">
      <c r="A6153" t="str">
        <f>HYPERLINK("https://us2.cloudbeds.com/connect/10074733072513#/reservations/30686310645948?display=YR0QBVY7B&amp;reservation_id=30686310645948", "YR0QBVY7B")</f>
        <v>YR0QBVY7B</v>
      </c>
      <c r="B6153" t="s">
        <v>932</v>
      </c>
      <c r="C6153">
        <v>149</v>
      </c>
      <c r="D6153">
        <v>161.97</v>
      </c>
      <c r="E6153">
        <v>161.96</v>
      </c>
      <c r="F6153">
        <v>0.01</v>
      </c>
    </row>
    <row r="6154" spans="1:6" x14ac:dyDescent="0.3">
      <c r="A6154" t="str">
        <f>HYPERLINK("https://us2.cloudbeds.com/connect/10074733072513#/reservations/30684430807260?display=YQWBARBTK&amp;reservation_id=30684430807260", "YQWBARBTK")</f>
        <v>YQWBARBTK</v>
      </c>
      <c r="B6154" t="s">
        <v>760</v>
      </c>
      <c r="C6154">
        <v>211.88</v>
      </c>
      <c r="D6154">
        <v>230.32</v>
      </c>
      <c r="E6154">
        <v>230.31</v>
      </c>
      <c r="F6154">
        <v>0.01</v>
      </c>
    </row>
    <row r="6155" spans="1:6" x14ac:dyDescent="0.3">
      <c r="A6155" t="str">
        <f>HYPERLINK("https://us2.cloudbeds.com/connect/10074733072513#/reservations/30687028617371?display=YR1BNC8F4&amp;reservation_id=30687028617371", "YR1BNC8F4")</f>
        <v>YR1BNC8F4</v>
      </c>
      <c r="B6155" t="s">
        <v>905</v>
      </c>
      <c r="C6155">
        <v>229</v>
      </c>
      <c r="D6155">
        <v>248.93</v>
      </c>
      <c r="E6155">
        <v>248.92</v>
      </c>
      <c r="F6155">
        <v>0.01</v>
      </c>
    </row>
    <row r="6156" spans="1:6" x14ac:dyDescent="0.3">
      <c r="A6156" t="str">
        <f>HYPERLINK("https://us2.cloudbeds.com/connect/10074733072513#/reservations/30685890728105?display=YR0FKSQZ7&amp;reservation_id=30685890728105", "YR0FKSQZ7")</f>
        <v>YR0FKSQZ7</v>
      </c>
      <c r="B6156" t="s">
        <v>884</v>
      </c>
      <c r="C6156">
        <v>134.41999999999999</v>
      </c>
      <c r="D6156">
        <v>146.12</v>
      </c>
      <c r="E6156">
        <v>146.11000000000001</v>
      </c>
      <c r="F6156">
        <v>0.01</v>
      </c>
    </row>
    <row r="6157" spans="1:6" x14ac:dyDescent="0.3">
      <c r="A6157" t="str">
        <f>HYPERLINK("https://us2.cloudbeds.com/connect/10074733072513#/reservations/30686107091140?display=YR0Y5AE6R&amp;reservation_id=30686107091140", "YR0Y5AE6R")</f>
        <v>YR0Y5AE6R</v>
      </c>
      <c r="B6157" t="s">
        <v>944</v>
      </c>
      <c r="C6157">
        <v>226.1</v>
      </c>
      <c r="D6157">
        <v>245.78</v>
      </c>
      <c r="E6157">
        <v>245.77</v>
      </c>
      <c r="F6157">
        <v>0.01</v>
      </c>
    </row>
    <row r="6158" spans="1:6" x14ac:dyDescent="0.3">
      <c r="A6158" t="str">
        <f>HYPERLINK("https://us2.cloudbeds.com/connect/10074733072513#/reservations/30686120833199?display=YR0YGTR5S&amp;reservation_id=30686120833199", "YR0YGTR5S")</f>
        <v>YR0YGTR5S</v>
      </c>
      <c r="B6158" t="s">
        <v>932</v>
      </c>
      <c r="C6158">
        <v>169</v>
      </c>
      <c r="D6158">
        <v>183.71</v>
      </c>
      <c r="E6158">
        <v>183.7</v>
      </c>
      <c r="F6158">
        <v>0.01</v>
      </c>
    </row>
    <row r="6159" spans="1:6" x14ac:dyDescent="0.3">
      <c r="A6159" t="str">
        <f>HYPERLINK("https://us2.cloudbeds.com/connect/10074733072513#/reservations/30684555813079?display=YQWEH7REZ&amp;reservation_id=30684555813079", "YQWEH7REZ")</f>
        <v>YQWEH7REZ</v>
      </c>
      <c r="B6159" t="s">
        <v>919</v>
      </c>
      <c r="C6159">
        <v>227.91</v>
      </c>
      <c r="D6159">
        <v>247.75</v>
      </c>
      <c r="E6159">
        <v>247.74</v>
      </c>
      <c r="F6159">
        <v>0.01</v>
      </c>
    </row>
    <row r="6160" spans="1:6" x14ac:dyDescent="0.3">
      <c r="A6160" t="str">
        <f>HYPERLINK("https://us2.cloudbeds.com/connect/10074733072513#/reservations/30687454449865?display=YR1MJEM73&amp;reservation_id=30687454449865", "YR1MJEM73")</f>
        <v>YR1MJEM73</v>
      </c>
      <c r="B6160" t="s">
        <v>944</v>
      </c>
      <c r="C6160">
        <v>149</v>
      </c>
      <c r="D6160">
        <v>161.97</v>
      </c>
      <c r="E6160">
        <v>161.96</v>
      </c>
      <c r="F6160">
        <v>0.01</v>
      </c>
    </row>
    <row r="6161" spans="1:6" x14ac:dyDescent="0.3">
      <c r="A6161" t="str">
        <f>HYPERLINK("https://us2.cloudbeds.com/connect/10074733072513#/reservations/30685110771857?display=YQWSN6CFD&amp;reservation_id=30685110771857", "YQWSN6CFD")</f>
        <v>YQWSN6CFD</v>
      </c>
      <c r="B6161" t="s">
        <v>933</v>
      </c>
      <c r="C6161">
        <v>119</v>
      </c>
      <c r="D6161">
        <v>129.36000000000001</v>
      </c>
      <c r="E6161">
        <v>129.35</v>
      </c>
      <c r="F6161">
        <v>0.01</v>
      </c>
    </row>
    <row r="6162" spans="1:6" x14ac:dyDescent="0.3">
      <c r="A6162" t="str">
        <f>HYPERLINK("https://us2.cloudbeds.com/connect/10074733072513#/reservations/30684567142589?display=YQWEQQ317&amp;reservation_id=30684567142589", "YQWEQQ317")</f>
        <v>YQWEQQ317</v>
      </c>
      <c r="B6162" t="s">
        <v>919</v>
      </c>
      <c r="C6162">
        <v>169</v>
      </c>
      <c r="D6162">
        <v>183.71</v>
      </c>
      <c r="E6162">
        <v>183.7</v>
      </c>
      <c r="F6162">
        <v>0.01</v>
      </c>
    </row>
    <row r="6163" spans="1:6" x14ac:dyDescent="0.3">
      <c r="A6163" t="str">
        <f>HYPERLINK("https://us2.cloudbeds.com/connect/10074733072513#/reservations/30686041419907?display=YR0JFV11F&amp;reservation_id=30686041419907", "YR0JFV11F")</f>
        <v>YR0JFV11F</v>
      </c>
      <c r="B6163" t="s">
        <v>944</v>
      </c>
      <c r="C6163">
        <v>169</v>
      </c>
      <c r="D6163">
        <v>183.71</v>
      </c>
      <c r="E6163">
        <v>183.7</v>
      </c>
      <c r="F6163">
        <v>0.01</v>
      </c>
    </row>
    <row r="6164" spans="1:6" x14ac:dyDescent="0.3">
      <c r="A6164" t="str">
        <f>HYPERLINK("https://us2.cloudbeds.com/connect/10074733072513#/reservations/30686378516712?display=YR0S36855&amp;reservation_id=30686378516712", "YR0S36855")</f>
        <v>YR0S36855</v>
      </c>
      <c r="B6164" t="s">
        <v>932</v>
      </c>
      <c r="C6164">
        <v>89</v>
      </c>
      <c r="D6164">
        <v>96.75</v>
      </c>
      <c r="E6164">
        <v>96.74</v>
      </c>
      <c r="F6164">
        <v>0.01</v>
      </c>
    </row>
    <row r="6165" spans="1:6" x14ac:dyDescent="0.3">
      <c r="A6165" t="str">
        <f>HYPERLINK("https://us2.cloudbeds.com/connect/10074733072513#/reservations/30687013413117?display=YR1BAX5Q5&amp;reservation_id=30687013413117", "YR1BAX5Q5")</f>
        <v>YR1BAX5Q5</v>
      </c>
      <c r="B6165" t="s">
        <v>905</v>
      </c>
      <c r="C6165">
        <v>219</v>
      </c>
      <c r="D6165">
        <v>238.06</v>
      </c>
      <c r="E6165">
        <v>238.05</v>
      </c>
      <c r="F6165">
        <v>0.01</v>
      </c>
    </row>
    <row r="6166" spans="1:6" x14ac:dyDescent="0.3">
      <c r="A6166" t="str">
        <f>HYPERLINK("https://us2.cloudbeds.com/connect/10074733072513#/reservations/30683033882756?display=YQV8KTSV1&amp;reservation_id=30683033882756", "YQV8KTSV1")</f>
        <v>YQV8KTSV1</v>
      </c>
      <c r="B6166" t="s">
        <v>945</v>
      </c>
      <c r="C6166">
        <v>149</v>
      </c>
      <c r="D6166">
        <v>161.97</v>
      </c>
      <c r="E6166">
        <v>161.96</v>
      </c>
      <c r="F6166">
        <v>0.01</v>
      </c>
    </row>
    <row r="6167" spans="1:6" x14ac:dyDescent="0.3">
      <c r="A6167" t="str">
        <f>HYPERLINK("https://us2.cloudbeds.com/connect/10074733072513#/reservations/30683984453841?display=YQVWUEUAE&amp;reservation_id=30683984453841", "YQVWUEUAE")</f>
        <v>YQVWUEUAE</v>
      </c>
      <c r="B6167" t="s">
        <v>891</v>
      </c>
      <c r="C6167">
        <v>109</v>
      </c>
      <c r="D6167">
        <v>118.49</v>
      </c>
      <c r="E6167">
        <v>118.48</v>
      </c>
      <c r="F6167">
        <v>0.01</v>
      </c>
    </row>
    <row r="6168" spans="1:6" x14ac:dyDescent="0.3">
      <c r="A6168" t="str">
        <f>HYPERLINK("https://us2.cloudbeds.com/connect/10074733072513#/reservations/30687440224419?display=YR1M7ERBW&amp;reservation_id=30687440224419", "YR1M7ERBW")</f>
        <v>YR1M7ERBW</v>
      </c>
      <c r="B6168" t="s">
        <v>944</v>
      </c>
      <c r="C6168">
        <v>179</v>
      </c>
      <c r="D6168">
        <v>194.58</v>
      </c>
      <c r="E6168">
        <v>194.57</v>
      </c>
      <c r="F6168">
        <v>0.01</v>
      </c>
    </row>
    <row r="6169" spans="1:6" x14ac:dyDescent="0.3">
      <c r="A6169" t="str">
        <f>HYPERLINK("https://us2.cloudbeds.com/connect/10074733072513#/reservations/30683328790676?display=YQVG5J43M&amp;reservation_id=30683328790676", "YQVG5J43M")</f>
        <v>YQVG5J43M</v>
      </c>
      <c r="B6169" t="s">
        <v>949</v>
      </c>
      <c r="C6169">
        <v>393.3</v>
      </c>
      <c r="D6169">
        <v>427.53</v>
      </c>
      <c r="E6169">
        <v>427.52</v>
      </c>
      <c r="F6169">
        <v>0.01</v>
      </c>
    </row>
    <row r="6170" spans="1:6" x14ac:dyDescent="0.3">
      <c r="A6170" t="str">
        <f>HYPERLINK("https://us2.cloudbeds.com/connect/10074733072513#/reservations/30687430107336?display=YR1YVUA3N&amp;reservation_id=30687430107336", "YR1YVUA3N")</f>
        <v>YR1YVUA3N</v>
      </c>
      <c r="B6170" t="s">
        <v>944</v>
      </c>
      <c r="C6170">
        <v>179</v>
      </c>
      <c r="D6170">
        <v>194.58</v>
      </c>
      <c r="E6170">
        <v>194.57</v>
      </c>
      <c r="F6170">
        <v>0.01</v>
      </c>
    </row>
    <row r="6171" spans="1:6" x14ac:dyDescent="0.3">
      <c r="A6171" t="str">
        <f>HYPERLINK("https://us2.cloudbeds.com/connect/10074733072513#/reservations/30686295113913?display=YR0PVSEXX&amp;reservation_id=30686295113913", "YR0PVSEXX")</f>
        <v>YR0PVSEXX</v>
      </c>
      <c r="B6171" t="s">
        <v>943</v>
      </c>
      <c r="C6171">
        <v>141.55000000000001</v>
      </c>
      <c r="D6171">
        <v>153.87</v>
      </c>
      <c r="E6171">
        <v>153.86000000000001</v>
      </c>
      <c r="F6171">
        <v>0.01</v>
      </c>
    </row>
    <row r="6172" spans="1:6" x14ac:dyDescent="0.3">
      <c r="A6172" t="str">
        <f>HYPERLINK("https://us2.cloudbeds.com/connect/10074733072513#/reservations/30684565319846?display=YQWEP8C8J&amp;reservation_id=30684565319846", "YQWEP8C8J")</f>
        <v>YQWEP8C8J</v>
      </c>
      <c r="B6172" t="s">
        <v>940</v>
      </c>
      <c r="C6172">
        <v>149</v>
      </c>
      <c r="D6172">
        <v>161.97</v>
      </c>
      <c r="E6172">
        <v>161.96</v>
      </c>
      <c r="F6172">
        <v>0.01</v>
      </c>
    </row>
    <row r="6173" spans="1:6" x14ac:dyDescent="0.3">
      <c r="A6173" t="str">
        <f>HYPERLINK("https://us2.cloudbeds.com/connect/10074733072513#/reservations/30687385833713?display=YR1KRJAQN&amp;reservation_id=30687385833713", "YR1KRJAQN")</f>
        <v>YR1KRJAQN</v>
      </c>
      <c r="B6173" t="s">
        <v>943</v>
      </c>
      <c r="C6173">
        <v>141.55000000000001</v>
      </c>
      <c r="D6173">
        <v>153.87</v>
      </c>
      <c r="E6173">
        <v>153.86000000000001</v>
      </c>
      <c r="F6173">
        <v>0.01</v>
      </c>
    </row>
    <row r="6174" spans="1:6" x14ac:dyDescent="0.3">
      <c r="A6174" t="str">
        <f>HYPERLINK("https://us2.cloudbeds.com/connect/10074733072513#/reservations/30686234439822?display=YR0ZDN34Q&amp;reservation_id=30686234439822", "YR0ZDN34Q")</f>
        <v>YR0ZDN34Q</v>
      </c>
      <c r="B6174" t="s">
        <v>943</v>
      </c>
      <c r="C6174">
        <v>358</v>
      </c>
      <c r="D6174">
        <v>389.16</v>
      </c>
      <c r="E6174">
        <v>389.15</v>
      </c>
      <c r="F6174">
        <v>0.01</v>
      </c>
    </row>
    <row r="6175" spans="1:6" x14ac:dyDescent="0.3">
      <c r="A6175" t="str">
        <f>HYPERLINK("https://us2.cloudbeds.com/connect/10074733072513#/reservations/30684543455391?display=YQWE6QVNB&amp;reservation_id=30684543455391", "YQWE6QVNB")</f>
        <v>YQWE6QVNB</v>
      </c>
      <c r="B6175" t="s">
        <v>919</v>
      </c>
      <c r="C6175">
        <v>199</v>
      </c>
      <c r="D6175">
        <v>216.32</v>
      </c>
      <c r="E6175">
        <v>216.31</v>
      </c>
      <c r="F6175">
        <v>0.01</v>
      </c>
    </row>
    <row r="6176" spans="1:6" x14ac:dyDescent="0.3">
      <c r="A6176" t="str">
        <f>HYPERLINK("https://us2.cloudbeds.com/connect/10074733072513#/reservations/30686161141916?display=YR0MHTFK4&amp;reservation_id=30686161141916", "YR0MHTFK4")</f>
        <v>YR0MHTFK4</v>
      </c>
      <c r="B6176" t="s">
        <v>942</v>
      </c>
      <c r="C6176">
        <v>448</v>
      </c>
      <c r="D6176">
        <v>486.99</v>
      </c>
      <c r="E6176">
        <v>486.98</v>
      </c>
      <c r="F6176">
        <v>0.01</v>
      </c>
    </row>
    <row r="6177" spans="1:6" x14ac:dyDescent="0.3">
      <c r="A6177" t="str">
        <f>HYPERLINK("https://us2.cloudbeds.com/connect/10074733072513#/reservations/30685217906904?display=YQWVEHXZW&amp;reservation_id=30685217906904", "YQWVEHXZW")</f>
        <v>YQWVEHXZW</v>
      </c>
      <c r="B6177" t="s">
        <v>933</v>
      </c>
      <c r="C6177">
        <v>119</v>
      </c>
      <c r="D6177">
        <v>129.36000000000001</v>
      </c>
      <c r="E6177">
        <v>129.35</v>
      </c>
      <c r="F6177">
        <v>0.01</v>
      </c>
    </row>
    <row r="6178" spans="1:6" x14ac:dyDescent="0.3">
      <c r="A6178" t="str">
        <f>HYPERLINK("https://us2.cloudbeds.com/connect/10074733072513#/reservations/31678164672741?display=MH9QHX18E&amp;reservation_id=31678164672741", "MH9QHX18E")</f>
        <v>MH9QHX18E</v>
      </c>
      <c r="B6178" t="s">
        <v>878</v>
      </c>
      <c r="C6178">
        <v>258</v>
      </c>
      <c r="D6178">
        <v>280.45999999999998</v>
      </c>
      <c r="E6178">
        <v>280.45</v>
      </c>
      <c r="F6178">
        <v>0.01</v>
      </c>
    </row>
    <row r="6179" spans="1:6" x14ac:dyDescent="0.3">
      <c r="A6179" t="str">
        <f>HYPERLINK("https://us2.cloudbeds.com/connect/10074733072513#/reservations/30684920844525?display=YQWNS1C6N&amp;reservation_id=30684920844525", "YQWNS1C6N")</f>
        <v>YQWNS1C6N</v>
      </c>
      <c r="B6179" t="s">
        <v>919</v>
      </c>
      <c r="C6179">
        <v>129</v>
      </c>
      <c r="D6179">
        <v>140.22999999999999</v>
      </c>
      <c r="E6179">
        <v>140.22</v>
      </c>
      <c r="F6179">
        <v>0.01</v>
      </c>
    </row>
    <row r="6180" spans="1:6" x14ac:dyDescent="0.3">
      <c r="A6180" t="str">
        <f>HYPERLINK("https://us2.cloudbeds.com/connect/10074733072513#/reservations/30683102236887?display=YQVACHUZB&amp;reservation_id=30683102236887", "YQVACHUZB")</f>
        <v>YQVACHUZB</v>
      </c>
      <c r="B6180" t="s">
        <v>891</v>
      </c>
      <c r="C6180">
        <v>318</v>
      </c>
      <c r="D6180">
        <v>345.68</v>
      </c>
      <c r="E6180">
        <v>345.67</v>
      </c>
      <c r="F6180">
        <v>0.01</v>
      </c>
    </row>
    <row r="6181" spans="1:6" x14ac:dyDescent="0.3">
      <c r="A6181" t="str">
        <f>HYPERLINK("https://us2.cloudbeds.com/connect/10074733072513#/reservations/30686271733909?display=YR0PC4SAY&amp;reservation_id=30686271733909", "YR0PC4SAY")</f>
        <v>YR0PC4SAY</v>
      </c>
      <c r="B6181" t="s">
        <v>861</v>
      </c>
      <c r="C6181">
        <v>298</v>
      </c>
      <c r="D6181">
        <v>323.94</v>
      </c>
      <c r="E6181">
        <v>323.93</v>
      </c>
      <c r="F6181">
        <v>0.01</v>
      </c>
    </row>
    <row r="6182" spans="1:6" x14ac:dyDescent="0.3">
      <c r="A6182" t="str">
        <f>HYPERLINK("https://us2.cloudbeds.com/connect/10074733072513#/reservations/30685252112562?display=YQWWACCU2&amp;reservation_id=30685252112562", "YQWWACCU2")</f>
        <v>YQWWACCU2</v>
      </c>
      <c r="B6182" t="s">
        <v>726</v>
      </c>
      <c r="C6182">
        <v>298</v>
      </c>
      <c r="D6182">
        <v>323.94</v>
      </c>
      <c r="E6182">
        <v>323.93</v>
      </c>
      <c r="F6182">
        <v>0.01</v>
      </c>
    </row>
    <row r="6183" spans="1:6" x14ac:dyDescent="0.3">
      <c r="A6183" t="str">
        <f>HYPERLINK("https://us2.cloudbeds.com/connect/10074733072513#/reservations/30687028621494?display=YR1BNCC82&amp;reservation_id=30687028621494", "YR1BNCC82")</f>
        <v>YR1BNCC82</v>
      </c>
      <c r="B6183" t="s">
        <v>905</v>
      </c>
      <c r="C6183">
        <v>199</v>
      </c>
      <c r="D6183">
        <v>216.32</v>
      </c>
      <c r="E6183">
        <v>216.31</v>
      </c>
      <c r="F6183">
        <v>0.01</v>
      </c>
    </row>
    <row r="6184" spans="1:6" x14ac:dyDescent="0.3">
      <c r="A6184" t="str">
        <f>HYPERLINK("https://us2.cloudbeds.com/connect/10074733072513#/reservations/30685887926430?display=YR0FXGS0W&amp;reservation_id=30685887926430", "YR0FXGS0W")</f>
        <v>YR0FXGS0W</v>
      </c>
      <c r="B6184" t="s">
        <v>752</v>
      </c>
      <c r="C6184">
        <v>129</v>
      </c>
      <c r="D6184">
        <v>140.22999999999999</v>
      </c>
      <c r="E6184">
        <v>140.22</v>
      </c>
      <c r="F6184">
        <v>0.01</v>
      </c>
    </row>
    <row r="6185" spans="1:6" x14ac:dyDescent="0.3">
      <c r="A6185" t="str">
        <f>HYPERLINK("https://us2.cloudbeds.com/connect/10074733072513#/reservations/30685973606557?display=YR0HZP0RF&amp;reservation_id=30685973606557", "YR0HZP0RF")</f>
        <v>YR0HZP0RF</v>
      </c>
      <c r="B6185" t="s">
        <v>752</v>
      </c>
      <c r="C6185">
        <v>179</v>
      </c>
      <c r="D6185">
        <v>194.58</v>
      </c>
      <c r="E6185">
        <v>194.57</v>
      </c>
      <c r="F6185">
        <v>0.01</v>
      </c>
    </row>
    <row r="6186" spans="1:6" x14ac:dyDescent="0.3">
      <c r="A6186" t="str">
        <f>HYPERLINK("https://us2.cloudbeds.com/connect/10074733072513#/reservations/30685806457040?display=YR0DFQRRJ&amp;reservation_id=30685806457040", "YR0DFQRRJ")</f>
        <v>YR0DFQRRJ</v>
      </c>
      <c r="B6186" t="s">
        <v>928</v>
      </c>
      <c r="C6186">
        <v>149</v>
      </c>
      <c r="D6186">
        <v>161.97</v>
      </c>
      <c r="E6186">
        <v>161.96</v>
      </c>
      <c r="F6186">
        <v>0.01</v>
      </c>
    </row>
    <row r="6187" spans="1:6" x14ac:dyDescent="0.3">
      <c r="A6187" t="str">
        <f>HYPERLINK("https://us2.cloudbeds.com/connect/10074733072513#/reservations/30685921611931?display=YR0GDU6HZ&amp;reservation_id=30685921611931", "YR0GDU6HZ")</f>
        <v>YR0GDU6HZ</v>
      </c>
      <c r="B6187" t="s">
        <v>752</v>
      </c>
      <c r="C6187">
        <v>189</v>
      </c>
      <c r="D6187">
        <v>205.45</v>
      </c>
      <c r="E6187">
        <v>205.44</v>
      </c>
      <c r="F6187">
        <v>0.01</v>
      </c>
    </row>
    <row r="6188" spans="1:6" x14ac:dyDescent="0.3">
      <c r="A6188" t="str">
        <f>HYPERLINK("https://us2.cloudbeds.com/connect/10074733072513#/reservations/30683711738106?display=YQVPVG6Y8&amp;reservation_id=30683711738106", "YQVPVG6Y8")</f>
        <v>YQVPVG6Y8</v>
      </c>
      <c r="B6188" t="s">
        <v>891</v>
      </c>
      <c r="C6188">
        <v>159</v>
      </c>
      <c r="D6188">
        <v>172.84</v>
      </c>
      <c r="E6188">
        <v>172.83</v>
      </c>
      <c r="F6188">
        <v>0.01</v>
      </c>
    </row>
    <row r="6189" spans="1:6" x14ac:dyDescent="0.3">
      <c r="A6189" t="str">
        <f>HYPERLINK("https://us2.cloudbeds.com/connect/10074733072513#/reservations/30686997455054?display=YR1AU33UG&amp;reservation_id=30686997455054", "YR1AU33UG")</f>
        <v>YR1AU33UG</v>
      </c>
      <c r="B6189" t="s">
        <v>922</v>
      </c>
      <c r="C6189">
        <v>149</v>
      </c>
      <c r="D6189">
        <v>161.97</v>
      </c>
      <c r="E6189">
        <v>161.96</v>
      </c>
      <c r="F6189">
        <v>0.01</v>
      </c>
    </row>
    <row r="6190" spans="1:6" x14ac:dyDescent="0.3">
      <c r="A6190" t="str">
        <f>HYPERLINK("https://us2.cloudbeds.com/connect/10074733072513#/reservations/30687452627074?display=YR1MHTVD0&amp;reservation_id=30687452627074", "YR1MHTVD0")</f>
        <v>YR1MHTVD0</v>
      </c>
      <c r="B6190" t="s">
        <v>954</v>
      </c>
      <c r="C6190">
        <v>256</v>
      </c>
      <c r="D6190">
        <v>278.27999999999997</v>
      </c>
      <c r="E6190">
        <v>278.27</v>
      </c>
      <c r="F6190">
        <v>0.01</v>
      </c>
    </row>
    <row r="6191" spans="1:6" x14ac:dyDescent="0.3">
      <c r="A6191" t="str">
        <f>HYPERLINK("https://us2.cloudbeds.com/connect/10074733072513#/reservations/30686156611781?display=YR0ME2DNA&amp;reservation_id=30686156611781", "YR0ME2DNA")</f>
        <v>YR0ME2DNA</v>
      </c>
      <c r="B6191" t="s">
        <v>942</v>
      </c>
      <c r="C6191">
        <v>192</v>
      </c>
      <c r="D6191">
        <v>208.71</v>
      </c>
      <c r="E6191">
        <v>208.7</v>
      </c>
      <c r="F6191">
        <v>0.01</v>
      </c>
    </row>
    <row r="6192" spans="1:6" x14ac:dyDescent="0.3">
      <c r="A6192" t="str">
        <f>HYPERLINK("https://us2.cloudbeds.com/connect/10074733072513#/reservations/30685208735952?display=YQWV6QCAB&amp;reservation_id=30685208735952", "YQWV6QCAB")</f>
        <v>YQWV6QCAB</v>
      </c>
      <c r="B6192" t="s">
        <v>726</v>
      </c>
      <c r="C6192">
        <v>278</v>
      </c>
      <c r="D6192">
        <v>302.2</v>
      </c>
      <c r="E6192">
        <v>302.19</v>
      </c>
      <c r="F6192">
        <v>0.01</v>
      </c>
    </row>
    <row r="6193" spans="1:6" x14ac:dyDescent="0.3">
      <c r="A6193" t="str">
        <f>HYPERLINK("https://us2.cloudbeds.com/connect/10074733072513#/reservations/30685820399829?display=YR0DRXR4B&amp;reservation_id=30685820399829", "YR0DRXR4B")</f>
        <v>YR0DRXR4B</v>
      </c>
      <c r="B6193" t="s">
        <v>928</v>
      </c>
      <c r="C6193">
        <v>149</v>
      </c>
      <c r="D6193">
        <v>161.97</v>
      </c>
      <c r="E6193">
        <v>161.96</v>
      </c>
      <c r="F6193">
        <v>0.01</v>
      </c>
    </row>
    <row r="6194" spans="1:6" x14ac:dyDescent="0.3">
      <c r="A6194" t="str">
        <f>HYPERLINK("https://us2.cloudbeds.com/connect/10074733072513#/reservations/30683645763729?display=YQVZ8SC3N&amp;reservation_id=30683645763729", "YQVZ8SC3N")</f>
        <v>YQVZ8SC3N</v>
      </c>
      <c r="B6194" t="s">
        <v>940</v>
      </c>
      <c r="C6194">
        <v>169</v>
      </c>
      <c r="D6194">
        <v>183.71</v>
      </c>
      <c r="E6194">
        <v>183.7</v>
      </c>
      <c r="F6194">
        <v>0.01</v>
      </c>
    </row>
    <row r="6195" spans="1:6" x14ac:dyDescent="0.3">
      <c r="A6195" t="str">
        <f>HYPERLINK("https://us2.cloudbeds.com/connect/10074733072513#/reservations/30685813645500?display=YR0DYSSQN&amp;reservation_id=30685813645500", "YR0DYSSQN")</f>
        <v>YR0DYSSQN</v>
      </c>
      <c r="B6195" t="s">
        <v>928</v>
      </c>
      <c r="C6195">
        <v>69</v>
      </c>
      <c r="D6195">
        <v>75.010000000000005</v>
      </c>
      <c r="E6195">
        <v>75</v>
      </c>
      <c r="F6195">
        <v>0.01</v>
      </c>
    </row>
    <row r="6196" spans="1:6" x14ac:dyDescent="0.3">
      <c r="A6196" t="str">
        <f>HYPERLINK("https://us2.cloudbeds.com/connect/10074733072513#/reservations/30686958887050?display=YR19UXTV3&amp;reservation_id=30686958887050", "YR19UXTV3")</f>
        <v>YR19UXTV3</v>
      </c>
      <c r="B6196" t="s">
        <v>915</v>
      </c>
      <c r="C6196">
        <v>149</v>
      </c>
      <c r="D6196">
        <v>161.97</v>
      </c>
      <c r="E6196">
        <v>161.96</v>
      </c>
      <c r="F6196">
        <v>0.01</v>
      </c>
    </row>
    <row r="6197" spans="1:6" x14ac:dyDescent="0.3">
      <c r="A6197" t="str">
        <f>HYPERLINK("https://us2.cloudbeds.com/connect/10074733072513#/reservations/30687013413056?display=YR1B4JB14&amp;reservation_id=30687013413056", "YR1B4JB14")</f>
        <v>YR1B4JB14</v>
      </c>
      <c r="B6197" t="s">
        <v>922</v>
      </c>
      <c r="C6197">
        <v>149</v>
      </c>
      <c r="D6197">
        <v>161.97</v>
      </c>
      <c r="E6197">
        <v>161.96</v>
      </c>
      <c r="F6197">
        <v>0.01</v>
      </c>
    </row>
    <row r="6198" spans="1:6" x14ac:dyDescent="0.3">
      <c r="A6198" t="str">
        <f>HYPERLINK("https://us2.cloudbeds.com/connect/10074733072513#/reservations/30686219514074?display=YR0Z13P7D&amp;reservation_id=30686219514074", "YR0Z13P7D")</f>
        <v>YR0Z13P7D</v>
      </c>
      <c r="B6198" t="s">
        <v>938</v>
      </c>
      <c r="C6198">
        <v>178</v>
      </c>
      <c r="D6198">
        <v>193.5</v>
      </c>
      <c r="E6198">
        <v>193.49</v>
      </c>
      <c r="F6198">
        <v>0.01</v>
      </c>
    </row>
    <row r="6199" spans="1:6" x14ac:dyDescent="0.3">
      <c r="A6199" t="str">
        <f>HYPERLINK("https://us2.cloudbeds.com/connect/10074733072513#/reservations/30685555900641?display=YR072HZGE&amp;reservation_id=30685555900641", "YR072HZGE")</f>
        <v>YR072HZGE</v>
      </c>
      <c r="B6199" t="s">
        <v>918</v>
      </c>
      <c r="C6199">
        <v>278</v>
      </c>
      <c r="D6199">
        <v>302.2</v>
      </c>
      <c r="E6199">
        <v>302.19</v>
      </c>
      <c r="F6199">
        <v>0.01</v>
      </c>
    </row>
    <row r="6200" spans="1:6" x14ac:dyDescent="0.3">
      <c r="A6200" t="str">
        <f>HYPERLINK("https://us2.cloudbeds.com/connect/10074733072513#/reservations/30685722697931?display=YR0BB641P&amp;reservation_id=30685722697931", "YR0BB641P")</f>
        <v>YR0BB641P</v>
      </c>
      <c r="B6200" t="s">
        <v>938</v>
      </c>
      <c r="C6200">
        <v>139</v>
      </c>
      <c r="D6200">
        <v>151.1</v>
      </c>
      <c r="E6200">
        <v>151.09</v>
      </c>
      <c r="F6200">
        <v>0.01</v>
      </c>
    </row>
    <row r="6201" spans="1:6" x14ac:dyDescent="0.3">
      <c r="A6201" t="str">
        <f>HYPERLINK("https://us2.cloudbeds.com/connect/10074733072513#/reservations/30686952906961?display=YR19PHGJ9&amp;reservation_id=30686952906961", "YR19PHGJ9")</f>
        <v>YR19PHGJ9</v>
      </c>
      <c r="B6201" t="s">
        <v>928</v>
      </c>
      <c r="C6201">
        <v>149</v>
      </c>
      <c r="D6201">
        <v>161.97</v>
      </c>
      <c r="E6201">
        <v>161.96</v>
      </c>
      <c r="F6201">
        <v>0.01</v>
      </c>
    </row>
    <row r="6202" spans="1:6" x14ac:dyDescent="0.3">
      <c r="A6202" t="str">
        <f>HYPERLINK("https://us2.cloudbeds.com/connect/10074733072513#/reservations/30687406313701?display=YR1YBS71F&amp;reservation_id=30687406313701", "YR1YBS71F")</f>
        <v>YR1YBS71F</v>
      </c>
      <c r="B6202" t="s">
        <v>954</v>
      </c>
      <c r="C6202">
        <v>149</v>
      </c>
      <c r="D6202">
        <v>161.97</v>
      </c>
      <c r="E6202">
        <v>161.96</v>
      </c>
      <c r="F6202">
        <v>0.01</v>
      </c>
    </row>
    <row r="6203" spans="1:6" x14ac:dyDescent="0.3">
      <c r="A6203" t="str">
        <f>HYPERLINK("https://us2.cloudbeds.com/connect/10074733072513#/reservations/30684447232223?display=YQWBZMDGP&amp;reservation_id=30684447232223", "YQWBZMDGP")</f>
        <v>YQWBZMDGP</v>
      </c>
      <c r="B6203" t="s">
        <v>904</v>
      </c>
      <c r="C6203">
        <v>219</v>
      </c>
      <c r="D6203">
        <v>238.06</v>
      </c>
      <c r="E6203">
        <v>238.05</v>
      </c>
      <c r="F6203">
        <v>0.01</v>
      </c>
    </row>
    <row r="6204" spans="1:6" x14ac:dyDescent="0.3">
      <c r="A6204" t="str">
        <f>HYPERLINK("https://us2.cloudbeds.com/connect/10074733072513#/reservations/30685731070179?display=YR0BX8328&amp;reservation_id=30685731070179", "YR0BX8328")</f>
        <v>YR0BX8328</v>
      </c>
      <c r="B6204" t="s">
        <v>938</v>
      </c>
      <c r="C6204">
        <v>69</v>
      </c>
      <c r="D6204">
        <v>75.010000000000005</v>
      </c>
      <c r="E6204">
        <v>75</v>
      </c>
      <c r="F6204">
        <v>0.01</v>
      </c>
    </row>
    <row r="6205" spans="1:6" x14ac:dyDescent="0.3">
      <c r="A6205" t="str">
        <f>HYPERLINK("https://us2.cloudbeds.com/connect/10074733072513#/reservations/30684467400951?display=YQWC8MKUB&amp;reservation_id=30684467400951", "YQWC8MKUB")</f>
        <v>YQWC8MKUB</v>
      </c>
      <c r="B6205" t="s">
        <v>904</v>
      </c>
      <c r="C6205">
        <v>312.8</v>
      </c>
      <c r="D6205">
        <v>340.02</v>
      </c>
      <c r="E6205">
        <v>340.01</v>
      </c>
      <c r="F6205">
        <v>0.01</v>
      </c>
    </row>
    <row r="6206" spans="1:6" x14ac:dyDescent="0.3">
      <c r="A6206" t="str">
        <f>HYPERLINK("https://us2.cloudbeds.com/connect/10074733072513#/reservations/30685823099030?display=YR0DTRUZA&amp;reservation_id=30685823099030", "YR0DTRUZA")</f>
        <v>YR0DTRUZA</v>
      </c>
      <c r="B6206" t="s">
        <v>941</v>
      </c>
      <c r="C6206">
        <v>1044</v>
      </c>
      <c r="D6206">
        <v>1134.8399999999999</v>
      </c>
      <c r="E6206">
        <v>1134.83</v>
      </c>
      <c r="F6206">
        <v>0.01</v>
      </c>
    </row>
    <row r="6207" spans="1:6" x14ac:dyDescent="0.3">
      <c r="A6207" t="str">
        <f>HYPERLINK("https://us2.cloudbeds.com/connect/10074733072513#/reservations/30685322944666?display=YR0143D5F&amp;reservation_id=30685322944666", "YR0143D5F")</f>
        <v>YR0143D5F</v>
      </c>
      <c r="B6207" t="s">
        <v>917</v>
      </c>
      <c r="C6207">
        <v>149</v>
      </c>
      <c r="D6207">
        <v>161.97</v>
      </c>
      <c r="E6207">
        <v>161.96</v>
      </c>
      <c r="F6207">
        <v>0.01</v>
      </c>
    </row>
    <row r="6208" spans="1:6" x14ac:dyDescent="0.3">
      <c r="A6208" t="str">
        <f>HYPERLINK("https://us2.cloudbeds.com/connect/10074733072513#/reservations/30685796090027?display=YR0D72C2M&amp;reservation_id=30685796090027", "YR0D72C2M")</f>
        <v>YR0D72C2M</v>
      </c>
      <c r="B6208" t="s">
        <v>941</v>
      </c>
      <c r="C6208">
        <v>149</v>
      </c>
      <c r="D6208">
        <v>161.97</v>
      </c>
      <c r="E6208">
        <v>161.96</v>
      </c>
      <c r="F6208">
        <v>0.01</v>
      </c>
    </row>
    <row r="6209" spans="1:6" x14ac:dyDescent="0.3">
      <c r="A6209" t="str">
        <f>HYPERLINK("https://us2.cloudbeds.com/connect/10074733072513#/reservations/30686948798651?display=YR19M2611&amp;reservation_id=30686948798651", "YR19M2611")</f>
        <v>YR19M2611</v>
      </c>
      <c r="B6209" t="s">
        <v>928</v>
      </c>
      <c r="C6209">
        <v>169</v>
      </c>
      <c r="D6209">
        <v>183.71</v>
      </c>
      <c r="E6209">
        <v>183.7</v>
      </c>
      <c r="F6209">
        <v>0.01</v>
      </c>
    </row>
    <row r="6210" spans="1:6" x14ac:dyDescent="0.3">
      <c r="A6210" t="str">
        <f>HYPERLINK("https://us2.cloudbeds.com/connect/10074733072513#/reservations/30686187765973?display=YR0N7BAPZ&amp;reservation_id=30686187765973", "YR0N7BAPZ")</f>
        <v>YR0N7BAPZ</v>
      </c>
      <c r="B6210" t="s">
        <v>938</v>
      </c>
      <c r="C6210">
        <v>159</v>
      </c>
      <c r="D6210">
        <v>172.84</v>
      </c>
      <c r="E6210">
        <v>172.83</v>
      </c>
      <c r="F6210">
        <v>0.01</v>
      </c>
    </row>
    <row r="6211" spans="1:6" x14ac:dyDescent="0.3">
      <c r="A6211" t="str">
        <f>HYPERLINK("https://us2.cloudbeds.com/connect/10074733072513#/reservations/30685640437983?display=YR097R3U2&amp;reservation_id=30685640437983", "YR097R3U2")</f>
        <v>YR097R3U2</v>
      </c>
      <c r="B6211" t="s">
        <v>833</v>
      </c>
      <c r="C6211">
        <v>209</v>
      </c>
      <c r="D6211">
        <v>227.19</v>
      </c>
      <c r="E6211">
        <v>227.18</v>
      </c>
      <c r="F6211">
        <v>0.01</v>
      </c>
    </row>
    <row r="6212" spans="1:6" x14ac:dyDescent="0.3">
      <c r="A6212" t="str">
        <f>HYPERLINK("https://us2.cloudbeds.com/connect/10074733072513#/reservations/30687415132346?display=YR1YJ9JW4&amp;reservation_id=30687415132346", "YR1YJ9JW4")</f>
        <v>YR1YJ9JW4</v>
      </c>
      <c r="B6212" t="s">
        <v>954</v>
      </c>
      <c r="C6212">
        <v>79</v>
      </c>
      <c r="D6212">
        <v>85.88</v>
      </c>
      <c r="E6212">
        <v>85.87</v>
      </c>
      <c r="F6212">
        <v>0.01</v>
      </c>
    </row>
    <row r="6213" spans="1:6" x14ac:dyDescent="0.3">
      <c r="A6213" t="str">
        <f>HYPERLINK("https://us2.cloudbeds.com/connect/10074733072513#/reservations/30685656662189?display=YR09YGJ5M&amp;reservation_id=30685656662189", "YR09YGJ5M")</f>
        <v>YR09YGJ5M</v>
      </c>
      <c r="B6213" t="s">
        <v>907</v>
      </c>
      <c r="C6213">
        <v>338</v>
      </c>
      <c r="D6213">
        <v>367.42</v>
      </c>
      <c r="E6213">
        <v>367.41</v>
      </c>
      <c r="F6213">
        <v>0.01</v>
      </c>
    </row>
    <row r="6214" spans="1:6" x14ac:dyDescent="0.3">
      <c r="A6214" t="str">
        <f>HYPERLINK("https://us2.cloudbeds.com/connect/10074733072513#/reservations/30687419764947?display=YR1YN6GVW&amp;reservation_id=30687419764947", "YR1YN6GVW")</f>
        <v>YR1YN6GVW</v>
      </c>
      <c r="B6214" t="s">
        <v>954</v>
      </c>
      <c r="C6214">
        <v>79</v>
      </c>
      <c r="D6214">
        <v>85.88</v>
      </c>
      <c r="E6214">
        <v>85.87</v>
      </c>
      <c r="F6214">
        <v>0.01</v>
      </c>
    </row>
    <row r="6215" spans="1:6" x14ac:dyDescent="0.3">
      <c r="A6215" t="str">
        <f>HYPERLINK("https://us2.cloudbeds.com/connect/10074733072513#/reservations/30687464538245?display=YR1MRVD3J&amp;reservation_id=30687464538245", "YR1MRVD3J")</f>
        <v>YR1MRVD3J</v>
      </c>
      <c r="B6215" t="s">
        <v>954</v>
      </c>
      <c r="C6215">
        <v>305.14</v>
      </c>
      <c r="D6215">
        <v>331.7</v>
      </c>
      <c r="E6215">
        <v>331.69</v>
      </c>
      <c r="F6215">
        <v>0.01</v>
      </c>
    </row>
    <row r="6216" spans="1:6" x14ac:dyDescent="0.3">
      <c r="A6216" t="str">
        <f>HYPERLINK("https://us2.cloudbeds.com/connect/10074733072513#/reservations/30686861803719?display=YR17ENDSW&amp;reservation_id=30686861803719", "YR17ENDSW")</f>
        <v>YR17ENDSW</v>
      </c>
      <c r="B6216" t="s">
        <v>915</v>
      </c>
      <c r="C6216">
        <v>149</v>
      </c>
      <c r="D6216">
        <v>161.97</v>
      </c>
      <c r="E6216">
        <v>161.96</v>
      </c>
      <c r="F6216">
        <v>0.01</v>
      </c>
    </row>
    <row r="6217" spans="1:6" x14ac:dyDescent="0.3">
      <c r="A6217" t="str">
        <f>HYPERLINK("https://us2.cloudbeds.com/connect/10074733072513#/reservations/30685970772182?display=YR0HMC53A&amp;reservation_id=30685970772182", "YR0HMC53A")</f>
        <v>YR0HMC53A</v>
      </c>
      <c r="B6217" t="s">
        <v>942</v>
      </c>
      <c r="C6217">
        <v>159</v>
      </c>
      <c r="D6217">
        <v>172.84</v>
      </c>
      <c r="E6217">
        <v>172.83</v>
      </c>
      <c r="F6217">
        <v>0.01</v>
      </c>
    </row>
    <row r="6218" spans="1:6" x14ac:dyDescent="0.3">
      <c r="A6218" t="str">
        <f>HYPERLINK("https://us2.cloudbeds.com/connect/10074733072513#/reservations/30685969871022?display=YR0HYK2JE&amp;reservation_id=30685969871022", "YR0HYK2JE")</f>
        <v>YR0HYK2JE</v>
      </c>
      <c r="B6218" t="s">
        <v>954</v>
      </c>
      <c r="C6218">
        <v>144.5</v>
      </c>
      <c r="D6218">
        <v>157.08000000000001</v>
      </c>
      <c r="E6218">
        <v>157.07</v>
      </c>
      <c r="F6218">
        <v>0.01</v>
      </c>
    </row>
    <row r="6219" spans="1:6" x14ac:dyDescent="0.3">
      <c r="A6219" t="str">
        <f>HYPERLINK("https://us2.cloudbeds.com/connect/10074733072513#/reservations/30685162361022?display=YQWU0MUEE&amp;reservation_id=30685162361022", "YQWU0MUEE")</f>
        <v>YQWU0MUEE</v>
      </c>
      <c r="B6219" t="s">
        <v>935</v>
      </c>
      <c r="C6219">
        <v>129</v>
      </c>
      <c r="D6219">
        <v>140.22999999999999</v>
      </c>
      <c r="E6219">
        <v>140.22</v>
      </c>
      <c r="F6219">
        <v>0.01</v>
      </c>
    </row>
    <row r="6220" spans="1:6" x14ac:dyDescent="0.3">
      <c r="A6220" t="str">
        <f>HYPERLINK("https://us2.cloudbeds.com/connect/10074733072513#/reservations/30685990727824?display=YR0X66ERZ&amp;reservation_id=30685990727824", "YR0X66ERZ")</f>
        <v>YR0X66ERZ</v>
      </c>
      <c r="B6220" t="s">
        <v>942</v>
      </c>
      <c r="C6220">
        <v>139</v>
      </c>
      <c r="D6220">
        <v>151.1</v>
      </c>
      <c r="E6220">
        <v>151.09</v>
      </c>
      <c r="F6220">
        <v>0.01</v>
      </c>
    </row>
    <row r="6221" spans="1:6" x14ac:dyDescent="0.3">
      <c r="A6221" t="str">
        <f>HYPERLINK("https://us2.cloudbeds.com/connect/10074733072513#/reservations/30684543504597?display=YQWE6SATE&amp;reservation_id=30684543504597", "YQWE6SATE")</f>
        <v>YQWE6SATE</v>
      </c>
      <c r="B6221" t="s">
        <v>955</v>
      </c>
      <c r="C6221">
        <v>144.54</v>
      </c>
      <c r="D6221">
        <v>157.12</v>
      </c>
      <c r="E6221">
        <v>157.11000000000001</v>
      </c>
      <c r="F6221">
        <v>0.01</v>
      </c>
    </row>
    <row r="6222" spans="1:6" x14ac:dyDescent="0.3">
      <c r="A6222" t="str">
        <f>HYPERLINK("https://us2.cloudbeds.com/connect/10074733072513#/reservations/30684485554309?display=YQWCNWPM3&amp;reservation_id=30684485554309", "YQWCNWPM3")</f>
        <v>YQWCNWPM3</v>
      </c>
      <c r="B6222" t="s">
        <v>904</v>
      </c>
      <c r="C6222">
        <v>179</v>
      </c>
      <c r="D6222">
        <v>194.58</v>
      </c>
      <c r="E6222">
        <v>194.57</v>
      </c>
      <c r="F6222">
        <v>0.01</v>
      </c>
    </row>
    <row r="6223" spans="1:6" x14ac:dyDescent="0.3">
      <c r="A6223" t="str">
        <f>HYPERLINK("https://us2.cloudbeds.com/connect/10074733072513#/reservations/30687435567356?display=YR1M3H7TS&amp;reservation_id=30687435567356", "YR1M3H7TS")</f>
        <v>YR1M3H7TS</v>
      </c>
      <c r="B6223" t="s">
        <v>954</v>
      </c>
      <c r="C6223">
        <v>159</v>
      </c>
      <c r="D6223">
        <v>172.84</v>
      </c>
      <c r="E6223">
        <v>172.83</v>
      </c>
      <c r="F6223">
        <v>0.01</v>
      </c>
    </row>
    <row r="6224" spans="1:6" x14ac:dyDescent="0.3">
      <c r="A6224" t="str">
        <f>HYPERLINK("https://us2.cloudbeds.com/connect/10074733072513#/reservations/30685339181188?display=YR01HQ6Z9&amp;reservation_id=30685339181188", "YR01HQ6Z9")</f>
        <v>YR01HQ6Z9</v>
      </c>
      <c r="B6224" t="s">
        <v>726</v>
      </c>
      <c r="C6224">
        <v>212.51</v>
      </c>
      <c r="D6224">
        <v>231.01</v>
      </c>
      <c r="E6224">
        <v>231</v>
      </c>
      <c r="F6224">
        <v>0.01</v>
      </c>
    </row>
    <row r="6225" spans="1:6" x14ac:dyDescent="0.3">
      <c r="A6225" t="str">
        <f>HYPERLINK("https://us2.cloudbeds.com/connect/10074733072513#/reservations/30684808659164?display=YQWKWEYB9&amp;reservation_id=30684808659164", "YQWKWEYB9")</f>
        <v>YQWKWEYB9</v>
      </c>
      <c r="B6225" t="s">
        <v>956</v>
      </c>
      <c r="C6225">
        <v>127.27</v>
      </c>
      <c r="D6225">
        <v>138.35</v>
      </c>
      <c r="E6225">
        <v>138.34</v>
      </c>
      <c r="F6225">
        <v>0.01</v>
      </c>
    </row>
    <row r="6226" spans="1:6" x14ac:dyDescent="0.3">
      <c r="A6226" t="str">
        <f>HYPERLINK("https://us2.cloudbeds.com/connect/10074733072513#/reservations/30685973610653?display=YR0HZP4JJ&amp;reservation_id=30685973610653", "YR0HZP4JJ")</f>
        <v>YR0HZP4JJ</v>
      </c>
      <c r="B6226" t="s">
        <v>882</v>
      </c>
      <c r="C6226">
        <v>448</v>
      </c>
      <c r="D6226">
        <v>486.99</v>
      </c>
      <c r="E6226">
        <v>486.98</v>
      </c>
      <c r="F6226">
        <v>0.01</v>
      </c>
    </row>
    <row r="6227" spans="1:6" x14ac:dyDescent="0.3">
      <c r="A6227" t="str">
        <f>HYPERLINK("https://us2.cloudbeds.com/connect/10074733072513#/reservations/31677008527525?display=MH8TWYJXU&amp;reservation_id=31677008527525", "MH8TWYJXU")</f>
        <v>MH8TWYJXU</v>
      </c>
      <c r="B6227" t="s">
        <v>957</v>
      </c>
      <c r="C6227">
        <v>278</v>
      </c>
      <c r="D6227">
        <v>302.2</v>
      </c>
      <c r="E6227">
        <v>302.19</v>
      </c>
      <c r="F6227">
        <v>0.01</v>
      </c>
    </row>
    <row r="6228" spans="1:6" x14ac:dyDescent="0.3">
      <c r="A6228" t="str">
        <f>HYPERLINK("https://us2.cloudbeds.com/connect/10074733072513#/reservations/30686979576025?display=YR1AF0K2N&amp;reservation_id=30686979576025", "YR1AF0K2N")</f>
        <v>YR1AF0K2N</v>
      </c>
      <c r="B6228" t="s">
        <v>915</v>
      </c>
      <c r="C6228">
        <v>169</v>
      </c>
      <c r="D6228">
        <v>183.71</v>
      </c>
      <c r="E6228">
        <v>183.7</v>
      </c>
      <c r="F6228">
        <v>0.01</v>
      </c>
    </row>
    <row r="6229" spans="1:6" x14ac:dyDescent="0.3">
      <c r="A6229" t="str">
        <f>HYPERLINK("https://us2.cloudbeds.com/connect/10074733072513#/reservations/30681817641182?display=YQUAXB5BP&amp;reservation_id=30681817641182", "YQUAXB5BP")</f>
        <v>YQUAXB5BP</v>
      </c>
      <c r="B6229" t="s">
        <v>940</v>
      </c>
      <c r="C6229">
        <v>149</v>
      </c>
      <c r="D6229">
        <v>161.97</v>
      </c>
      <c r="E6229">
        <v>161.96</v>
      </c>
      <c r="F6229">
        <v>0.01</v>
      </c>
    </row>
    <row r="6230" spans="1:6" x14ac:dyDescent="0.3">
      <c r="A6230" t="str">
        <f>HYPERLINK("https://us2.cloudbeds.com/connect/10074733072513#/reservations/30686912151748?display=YR18Z5E4R&amp;reservation_id=30686912151748", "YR18Z5E4R")</f>
        <v>YR18Z5E4R</v>
      </c>
      <c r="B6230" t="s">
        <v>915</v>
      </c>
      <c r="C6230">
        <v>111.82</v>
      </c>
      <c r="D6230">
        <v>121.56</v>
      </c>
      <c r="E6230">
        <v>121.55</v>
      </c>
      <c r="F6230">
        <v>0.01</v>
      </c>
    </row>
    <row r="6231" spans="1:6" x14ac:dyDescent="0.3">
      <c r="A6231" t="str">
        <f>HYPERLINK("https://us2.cloudbeds.com/connect/10074733072513#/reservations/30686898507922?display=YR18CYPCX&amp;reservation_id=30686898507922", "YR18CYPCX")</f>
        <v>YR18CYPCX</v>
      </c>
      <c r="B6231" t="s">
        <v>915</v>
      </c>
      <c r="C6231">
        <v>189</v>
      </c>
      <c r="D6231">
        <v>205.45</v>
      </c>
      <c r="E6231">
        <v>205.44</v>
      </c>
      <c r="F6231">
        <v>0.01</v>
      </c>
    </row>
    <row r="6232" spans="1:6" x14ac:dyDescent="0.3">
      <c r="A6232" t="str">
        <f>HYPERLINK("https://us2.cloudbeds.com/connect/10074733072513#/reservations/30685142974635?display=YQWTHBFE5&amp;reservation_id=30685142974635", "YQWTHBFE5")</f>
        <v>YQWTHBFE5</v>
      </c>
      <c r="B6232" t="s">
        <v>918</v>
      </c>
      <c r="C6232">
        <v>358</v>
      </c>
      <c r="D6232">
        <v>389.16</v>
      </c>
      <c r="E6232">
        <v>389.15</v>
      </c>
      <c r="F6232">
        <v>0.01</v>
      </c>
    </row>
    <row r="6233" spans="1:6" x14ac:dyDescent="0.3">
      <c r="A6233" t="str">
        <f>HYPERLINK("https://us2.cloudbeds.com/connect/10074733072513#/reservations/30686208884877?display=YR0NP4WNH&amp;reservation_id=30686208884877", "YR0NP4WNH")</f>
        <v>YR0NP4WNH</v>
      </c>
      <c r="B6233" t="s">
        <v>861</v>
      </c>
      <c r="C6233">
        <v>119</v>
      </c>
      <c r="D6233">
        <v>129.36000000000001</v>
      </c>
      <c r="E6233">
        <v>129.35</v>
      </c>
      <c r="F6233">
        <v>0.01</v>
      </c>
    </row>
    <row r="6234" spans="1:6" x14ac:dyDescent="0.3">
      <c r="A6234" t="str">
        <f>HYPERLINK("https://us2.cloudbeds.com/connect/10074733072513#/reservations/30685144379536?display=YQWTXHXGU&amp;reservation_id=30685144379536", "YQWTXHXGU")</f>
        <v>YQWTXHXGU</v>
      </c>
      <c r="B6234" t="s">
        <v>918</v>
      </c>
      <c r="C6234">
        <v>338</v>
      </c>
      <c r="D6234">
        <v>367.42</v>
      </c>
      <c r="E6234">
        <v>367.41</v>
      </c>
      <c r="F6234">
        <v>0.01</v>
      </c>
    </row>
    <row r="6235" spans="1:6" x14ac:dyDescent="0.3">
      <c r="A6235" t="str">
        <f>HYPERLINK("https://us2.cloudbeds.com/connect/10074733072513#/reservations/30686178537610?display=YR0MWXHKC&amp;reservation_id=30686178537610", "YR0MWXHKC")</f>
        <v>YR0MWXHKC</v>
      </c>
      <c r="B6235" t="s">
        <v>916</v>
      </c>
      <c r="C6235">
        <v>149</v>
      </c>
      <c r="D6235">
        <v>161.97</v>
      </c>
      <c r="E6235">
        <v>161.96</v>
      </c>
      <c r="F6235">
        <v>0.01</v>
      </c>
    </row>
    <row r="6236" spans="1:6" x14ac:dyDescent="0.3">
      <c r="A6236" t="str">
        <f>HYPERLINK("https://us2.cloudbeds.com/connect/10074733072513#/reservations/30685828055255?display=YR0E10RTV&amp;reservation_id=30685828055255", "YR0E10RTV")</f>
        <v>YR0E10RTV</v>
      </c>
      <c r="B6236" t="s">
        <v>916</v>
      </c>
      <c r="C6236">
        <v>139</v>
      </c>
      <c r="D6236">
        <v>151.1</v>
      </c>
      <c r="E6236">
        <v>151.09</v>
      </c>
      <c r="F6236">
        <v>0.01</v>
      </c>
    </row>
    <row r="6237" spans="1:6" x14ac:dyDescent="0.3">
      <c r="A6237" t="str">
        <f>HYPERLINK("https://us2.cloudbeds.com/connect/10074733072513#/reservations/30685969760438?display=YR0HYH01D&amp;reservation_id=30685969760438", "YR0HYH01D")</f>
        <v>YR0HYH01D</v>
      </c>
      <c r="B6237" t="s">
        <v>882</v>
      </c>
      <c r="C6237">
        <v>256</v>
      </c>
      <c r="D6237">
        <v>278.27999999999997</v>
      </c>
      <c r="E6237">
        <v>278.27</v>
      </c>
      <c r="F6237">
        <v>0.01</v>
      </c>
    </row>
    <row r="6238" spans="1:6" x14ac:dyDescent="0.3">
      <c r="A6238" t="str">
        <f>HYPERLINK("https://us2.cloudbeds.com/connect/10074733072513#/reservations/30684570128623?display=YQWETA613&amp;reservation_id=30684570128623", "YQWETA613")</f>
        <v>YQWETA613</v>
      </c>
      <c r="B6238" t="s">
        <v>941</v>
      </c>
      <c r="C6238">
        <v>139</v>
      </c>
      <c r="D6238">
        <v>151.1</v>
      </c>
      <c r="E6238">
        <v>151.09</v>
      </c>
      <c r="F6238">
        <v>0.01</v>
      </c>
    </row>
    <row r="6239" spans="1:6" x14ac:dyDescent="0.3">
      <c r="A6239" t="str">
        <f>HYPERLINK("https://us2.cloudbeds.com/connect/10074733072513#/reservations/30683677360327?display=YQVP2GJEC&amp;reservation_id=30683677360327", "YQVP2GJEC")</f>
        <v>YQVP2GJEC</v>
      </c>
      <c r="B6239" t="s">
        <v>891</v>
      </c>
      <c r="C6239">
        <v>358</v>
      </c>
      <c r="D6239">
        <v>389.16</v>
      </c>
      <c r="E6239">
        <v>389.15</v>
      </c>
      <c r="F6239">
        <v>0.01</v>
      </c>
    </row>
    <row r="6240" spans="1:6" x14ac:dyDescent="0.3">
      <c r="A6240" t="str">
        <f>HYPERLINK("https://us2.cloudbeds.com/connect/10074733072513#/reservations/30685854654693?display=YR0ENF0FH&amp;reservation_id=30685854654693", "YR0ENF0FH")</f>
        <v>YR0ENF0FH</v>
      </c>
      <c r="B6240" t="s">
        <v>916</v>
      </c>
      <c r="C6240">
        <v>139</v>
      </c>
      <c r="D6240">
        <v>151.1</v>
      </c>
      <c r="E6240">
        <v>151.09</v>
      </c>
      <c r="F6240">
        <v>0.01</v>
      </c>
    </row>
    <row r="6241" spans="1:6" x14ac:dyDescent="0.3">
      <c r="A6241" t="str">
        <f>HYPERLINK("https://us2.cloudbeds.com/connect/10074733072513#/reservations/30685780787392?display=YR0CR5EC9&amp;reservation_id=30685780787392", "YR0CR5EC9")</f>
        <v>YR0CR5EC9</v>
      </c>
      <c r="B6241" t="s">
        <v>941</v>
      </c>
      <c r="C6241">
        <v>139</v>
      </c>
      <c r="D6241">
        <v>151.1</v>
      </c>
      <c r="E6241">
        <v>151.09</v>
      </c>
      <c r="F6241">
        <v>0.01</v>
      </c>
    </row>
    <row r="6242" spans="1:6" x14ac:dyDescent="0.3">
      <c r="A6242" t="str">
        <f>HYPERLINK("https://us2.cloudbeds.com/connect/10074733072513#/reservations/30683310121212?display=YQVFMRKEB&amp;reservation_id=30683310121212", "YQVFMRKEB")</f>
        <v>YQVFMRKEB</v>
      </c>
      <c r="B6242" t="s">
        <v>870</v>
      </c>
      <c r="C6242">
        <v>169</v>
      </c>
      <c r="D6242">
        <v>183.71</v>
      </c>
      <c r="E6242">
        <v>183.7</v>
      </c>
      <c r="F6242">
        <v>0.01</v>
      </c>
    </row>
    <row r="6243" spans="1:6" x14ac:dyDescent="0.3">
      <c r="A6243" t="str">
        <f>HYPERLINK("https://us2.cloudbeds.com/connect/10074733072513#/reservations/30684536492166?display=YQWE0V6XH&amp;reservation_id=30684536492166", "YQWE0V6XH")</f>
        <v>YQWE0V6XH</v>
      </c>
      <c r="B6243" t="s">
        <v>955</v>
      </c>
      <c r="C6243">
        <v>178</v>
      </c>
      <c r="D6243">
        <v>193.5</v>
      </c>
      <c r="E6243">
        <v>193.49</v>
      </c>
      <c r="F6243">
        <v>0.01</v>
      </c>
    </row>
    <row r="6244" spans="1:6" x14ac:dyDescent="0.3">
      <c r="A6244" t="str">
        <f>HYPERLINK("https://us2.cloudbeds.com/connect/10074733072513#/reservations/30685667283159?display=YR09UF448&amp;reservation_id=30685667283159", "YR09UF448")</f>
        <v>YR09UF448</v>
      </c>
      <c r="B6244" t="s">
        <v>898</v>
      </c>
      <c r="C6244">
        <v>420</v>
      </c>
      <c r="D6244">
        <v>456.55</v>
      </c>
      <c r="E6244">
        <v>456.54</v>
      </c>
      <c r="F6244">
        <v>0.01</v>
      </c>
    </row>
    <row r="6245" spans="1:6" x14ac:dyDescent="0.3">
      <c r="A6245" t="str">
        <f>HYPERLINK("https://us2.cloudbeds.com/connect/10074733072513#/reservations/30684591816838?display=YQWFEJMZZ&amp;reservation_id=30684591816838", "YQWFEJMZZ")</f>
        <v>YQWFEJMZZ</v>
      </c>
      <c r="B6245" t="s">
        <v>941</v>
      </c>
      <c r="C6245">
        <v>139</v>
      </c>
      <c r="D6245">
        <v>151.1</v>
      </c>
      <c r="E6245">
        <v>151.09</v>
      </c>
      <c r="F6245">
        <v>0.01</v>
      </c>
    </row>
    <row r="6246" spans="1:6" x14ac:dyDescent="0.3">
      <c r="A6246" t="str">
        <f>HYPERLINK("https://us2.cloudbeds.com/connect/10074733072513#/reservations/30684579786955?display=YQWF4EV0R&amp;reservation_id=30684579786955", "YQWF4EV0R")</f>
        <v>YQWF4EV0R</v>
      </c>
      <c r="B6246" t="s">
        <v>941</v>
      </c>
      <c r="C6246">
        <v>139</v>
      </c>
      <c r="D6246">
        <v>151.1</v>
      </c>
      <c r="E6246">
        <v>151.09</v>
      </c>
      <c r="F6246">
        <v>0.01</v>
      </c>
    </row>
    <row r="6247" spans="1:6" x14ac:dyDescent="0.3">
      <c r="A6247" t="str">
        <f>HYPERLINK("https://us2.cloudbeds.com/connect/10074733072513#/reservations/30686695395481?display=YR136CSJ3&amp;reservation_id=30686695395481", "YR136CSJ3")</f>
        <v>YR136CSJ3</v>
      </c>
      <c r="B6247" t="s">
        <v>855</v>
      </c>
      <c r="C6247">
        <v>322.2</v>
      </c>
      <c r="D6247">
        <v>350.24</v>
      </c>
      <c r="E6247">
        <v>350.23</v>
      </c>
      <c r="F6247">
        <v>0.01</v>
      </c>
    </row>
    <row r="6248" spans="1:6" x14ac:dyDescent="0.3">
      <c r="A6248" t="str">
        <f>HYPERLINK("https://us2.cloudbeds.com/connect/10074733072513#/reservations/30686016962717?display=YR0XSAFYG&amp;reservation_id=30686016962717", "YR0XSAFYG")</f>
        <v>YR0XSAFYG</v>
      </c>
      <c r="B6248" t="s">
        <v>955</v>
      </c>
      <c r="C6248">
        <v>159</v>
      </c>
      <c r="D6248">
        <v>172.84</v>
      </c>
      <c r="E6248">
        <v>172.83</v>
      </c>
      <c r="F6248">
        <v>0.01</v>
      </c>
    </row>
    <row r="6249" spans="1:6" x14ac:dyDescent="0.3">
      <c r="A6249" t="str">
        <f>HYPERLINK("https://us2.cloudbeds.com/connect/10074733072513#/reservations/30686076014826?display=YR0KC3MYB&amp;reservation_id=30686076014826", "YR0KC3MYB")</f>
        <v>YR0KC3MYB</v>
      </c>
      <c r="B6249" t="s">
        <v>918</v>
      </c>
      <c r="C6249">
        <v>333</v>
      </c>
      <c r="D6249">
        <v>361.98</v>
      </c>
      <c r="E6249">
        <v>361.97</v>
      </c>
      <c r="F6249">
        <v>0.01</v>
      </c>
    </row>
    <row r="6250" spans="1:6" x14ac:dyDescent="0.3">
      <c r="A6250" t="str">
        <f>HYPERLINK("https://us2.cloudbeds.com/connect/10074733072513#/reservations/30686295191747?display=YR0PVUK17&amp;reservation_id=30686295191747", "YR0PVUK17")</f>
        <v>YR0PVUK17</v>
      </c>
      <c r="B6250" t="s">
        <v>861</v>
      </c>
      <c r="C6250">
        <v>179</v>
      </c>
      <c r="D6250">
        <v>194.58</v>
      </c>
      <c r="E6250">
        <v>194.57</v>
      </c>
      <c r="F6250">
        <v>0.01</v>
      </c>
    </row>
    <row r="6251" spans="1:6" x14ac:dyDescent="0.3">
      <c r="A6251" t="str">
        <f>HYPERLINK("https://us2.cloudbeds.com/connect/10074733072513#/reservations/30686319259780?display=YR0QJ7B2X&amp;reservation_id=30686319259780", "YR0QJ7B2X")</f>
        <v>YR0QJ7B2X</v>
      </c>
      <c r="B6251" t="s">
        <v>795</v>
      </c>
      <c r="C6251">
        <v>149</v>
      </c>
      <c r="D6251">
        <v>161.97</v>
      </c>
      <c r="E6251">
        <v>161.96</v>
      </c>
      <c r="F6251">
        <v>0.01</v>
      </c>
    </row>
    <row r="6252" spans="1:6" x14ac:dyDescent="0.3">
      <c r="A6252" t="str">
        <f>HYPERLINK("https://us2.cloudbeds.com/connect/10074733072513#/reservations/30685163053219?display=YQWU19623&amp;reservation_id=30685163053219", "YQWU19623")</f>
        <v>YQWU19623</v>
      </c>
      <c r="B6252" t="s">
        <v>918</v>
      </c>
      <c r="C6252">
        <v>278</v>
      </c>
      <c r="D6252">
        <v>302.2</v>
      </c>
      <c r="E6252">
        <v>302.19</v>
      </c>
      <c r="F6252">
        <v>0.01</v>
      </c>
    </row>
    <row r="6253" spans="1:6" x14ac:dyDescent="0.3">
      <c r="A6253" t="str">
        <f>HYPERLINK("https://us2.cloudbeds.com/connect/10074733072513#/reservations/30685723640018?display=YR0BBWB4R&amp;reservation_id=30685723640018", "YR0BBWB4R")</f>
        <v>YR0BBWB4R</v>
      </c>
      <c r="B6253" t="s">
        <v>771</v>
      </c>
      <c r="C6253">
        <v>158</v>
      </c>
      <c r="D6253">
        <v>171.76</v>
      </c>
      <c r="E6253">
        <v>171.75</v>
      </c>
      <c r="F6253">
        <v>0.01</v>
      </c>
    </row>
    <row r="6254" spans="1:6" x14ac:dyDescent="0.3">
      <c r="A6254" t="str">
        <f>HYPERLINK("https://us2.cloudbeds.com/connect/10074733072513#/reservations/30685616664778?display=YR08KPJJU&amp;reservation_id=30685616664778", "YR08KPJJU")</f>
        <v>YR08KPJJU</v>
      </c>
      <c r="B6254" t="s">
        <v>833</v>
      </c>
      <c r="C6254">
        <v>79</v>
      </c>
      <c r="D6254">
        <v>85.88</v>
      </c>
      <c r="E6254">
        <v>85.87</v>
      </c>
      <c r="F6254">
        <v>0.01</v>
      </c>
    </row>
    <row r="6255" spans="1:6" x14ac:dyDescent="0.3">
      <c r="A6255" t="str">
        <f>HYPERLINK("https://us2.cloudbeds.com/connect/10074733072513#/reservations/30683217166541?display=YQVDAF0K4&amp;reservation_id=30683217166541", "YQVDAF0K4")</f>
        <v>YQVDAF0K4</v>
      </c>
      <c r="B6255" t="s">
        <v>945</v>
      </c>
      <c r="C6255">
        <v>258</v>
      </c>
      <c r="D6255">
        <v>280.45999999999998</v>
      </c>
      <c r="E6255">
        <v>280.45</v>
      </c>
      <c r="F6255">
        <v>0.01</v>
      </c>
    </row>
    <row r="6256" spans="1:6" x14ac:dyDescent="0.3">
      <c r="A6256" t="str">
        <f>HYPERLINK("https://us2.cloudbeds.com/connect/10074733072513#/reservations/30681871585420?display=YQUBUR7UY&amp;reservation_id=30681871585420", "YQUBUR7UY")</f>
        <v>YQUBUR7UY</v>
      </c>
      <c r="B6256" t="s">
        <v>940</v>
      </c>
      <c r="C6256">
        <v>149</v>
      </c>
      <c r="D6256">
        <v>161.97</v>
      </c>
      <c r="E6256">
        <v>161.96</v>
      </c>
      <c r="F6256">
        <v>0.01</v>
      </c>
    </row>
    <row r="6257" spans="1:6" x14ac:dyDescent="0.3">
      <c r="A6257" t="str">
        <f>HYPERLINK("https://us2.cloudbeds.com/connect/10074733072513#/reservations/30685711749342?display=YR0B1VF8B&amp;reservation_id=30685711749342", "YR0B1VF8B")</f>
        <v>YR0B1VF8B</v>
      </c>
      <c r="B6257" t="s">
        <v>882</v>
      </c>
      <c r="C6257">
        <v>169</v>
      </c>
      <c r="D6257">
        <v>183.71</v>
      </c>
      <c r="E6257">
        <v>183.7</v>
      </c>
      <c r="F6257">
        <v>0.01</v>
      </c>
    </row>
    <row r="6258" spans="1:6" x14ac:dyDescent="0.3">
      <c r="A6258" t="str">
        <f>HYPERLINK("https://us2.cloudbeds.com/connect/10074733072513#/reservations/30686016958625?display=YR0XSABTF&amp;reservation_id=30686016958625", "YR0XSABTF")</f>
        <v>YR0XSABTF</v>
      </c>
      <c r="B6258" t="s">
        <v>882</v>
      </c>
      <c r="C6258">
        <v>79</v>
      </c>
      <c r="D6258">
        <v>85.88</v>
      </c>
      <c r="E6258">
        <v>85.87</v>
      </c>
      <c r="F6258">
        <v>0.01</v>
      </c>
    </row>
    <row r="6259" spans="1:6" x14ac:dyDescent="0.3">
      <c r="A6259" t="str">
        <f>HYPERLINK("https://us2.cloudbeds.com/connect/10074733072513#/reservations/30685157548230?display=YQWTTKWW8&amp;reservation_id=30685157548230", "YQWTTKWW8")</f>
        <v>YQWTTKWW8</v>
      </c>
      <c r="B6259" t="s">
        <v>918</v>
      </c>
      <c r="C6259">
        <v>318</v>
      </c>
      <c r="D6259">
        <v>345.68</v>
      </c>
      <c r="E6259">
        <v>345.67</v>
      </c>
      <c r="F6259">
        <v>0.01</v>
      </c>
    </row>
    <row r="6260" spans="1:6" x14ac:dyDescent="0.3">
      <c r="A6260" t="str">
        <f>HYPERLINK("https://us2.cloudbeds.com/connect/10074733072513#/reservations/30686299373724?display=YR0Q2EW7Q&amp;reservation_id=30686299373724", "YR0Q2EW7Q")</f>
        <v>YR0Q2EW7Q</v>
      </c>
      <c r="B6260" t="s">
        <v>861</v>
      </c>
      <c r="C6260">
        <v>209</v>
      </c>
      <c r="D6260">
        <v>227.19</v>
      </c>
      <c r="E6260">
        <v>227.18</v>
      </c>
      <c r="F6260">
        <v>0.01</v>
      </c>
    </row>
    <row r="6261" spans="1:6" x14ac:dyDescent="0.3">
      <c r="A6261" t="str">
        <f>HYPERLINK("https://us2.cloudbeds.com/connect/10074733072513#/reservations/30685192687758?display=YQWUQ8QME&amp;reservation_id=30685192687758", "YQWUQ8QME")</f>
        <v>YQWUQ8QME</v>
      </c>
      <c r="B6261" t="s">
        <v>918</v>
      </c>
      <c r="C6261">
        <v>418</v>
      </c>
      <c r="D6261">
        <v>454.38</v>
      </c>
      <c r="E6261">
        <v>454.37</v>
      </c>
      <c r="F6261">
        <v>0.01</v>
      </c>
    </row>
    <row r="6262" spans="1:6" x14ac:dyDescent="0.3">
      <c r="A6262" t="str">
        <f>HYPERLINK("https://us2.cloudbeds.com/connect/10074733072513#/reservations/30687233548460?display=YR1GV5P94&amp;reservation_id=30687233548460", "YR1GV5P94")</f>
        <v>YR1GV5P94</v>
      </c>
      <c r="B6262" t="s">
        <v>795</v>
      </c>
      <c r="C6262">
        <v>199</v>
      </c>
      <c r="D6262">
        <v>216.32</v>
      </c>
      <c r="E6262">
        <v>216.31</v>
      </c>
      <c r="F6262">
        <v>0.01</v>
      </c>
    </row>
    <row r="6263" spans="1:6" x14ac:dyDescent="0.3">
      <c r="A6263" t="str">
        <f>HYPERLINK("https://us2.cloudbeds.com/connect/10074733072513#/reservations/30685705556108?display=YR0ATZ45J&amp;reservation_id=30685705556108", "YR0ATZ45J")</f>
        <v>YR0ATZ45J</v>
      </c>
      <c r="B6263" t="s">
        <v>882</v>
      </c>
      <c r="C6263">
        <v>209</v>
      </c>
      <c r="D6263">
        <v>227.19</v>
      </c>
      <c r="E6263">
        <v>227.18</v>
      </c>
      <c r="F6263">
        <v>0.01</v>
      </c>
    </row>
    <row r="6264" spans="1:6" x14ac:dyDescent="0.3">
      <c r="A6264" t="str">
        <f>HYPERLINK("https://us2.cloudbeds.com/connect/10074733072513#/reservations/30685657997518?display=YR09MKZC6&amp;reservation_id=30685657997518", "YR09MKZC6")</f>
        <v>YR09MKZC6</v>
      </c>
      <c r="B6264" t="s">
        <v>833</v>
      </c>
      <c r="C6264">
        <v>127.27</v>
      </c>
      <c r="D6264">
        <v>138.35</v>
      </c>
      <c r="E6264">
        <v>138.34</v>
      </c>
      <c r="F6264">
        <v>0.01</v>
      </c>
    </row>
    <row r="6265" spans="1:6" x14ac:dyDescent="0.3">
      <c r="A6265" t="str">
        <f>HYPERLINK("https://us2.cloudbeds.com/connect/10074733072513#/reservations/30685950161092?display=YR0H4WKFR&amp;reservation_id=30685950161092", "YR0H4WKFR")</f>
        <v>YR0H4WKFR</v>
      </c>
      <c r="B6265" t="s">
        <v>795</v>
      </c>
      <c r="C6265">
        <v>229</v>
      </c>
      <c r="D6265">
        <v>248.93</v>
      </c>
      <c r="E6265">
        <v>248.92</v>
      </c>
      <c r="F6265">
        <v>0.01</v>
      </c>
    </row>
    <row r="6266" spans="1:6" x14ac:dyDescent="0.3">
      <c r="A6266" t="str">
        <f>HYPERLINK("https://us2.cloudbeds.com/connect/10074733072513#/reservations/30686329356487?display=YR0QRZ9KC&amp;reservation_id=30686329356487", "YR0QRZ9KC")</f>
        <v>YR0QRZ9KC</v>
      </c>
      <c r="B6266" t="s">
        <v>795</v>
      </c>
      <c r="C6266">
        <v>199</v>
      </c>
      <c r="D6266">
        <v>216.32</v>
      </c>
      <c r="E6266">
        <v>216.31</v>
      </c>
      <c r="F6266">
        <v>0.01</v>
      </c>
    </row>
    <row r="6267" spans="1:6" x14ac:dyDescent="0.3">
      <c r="A6267" t="str">
        <f>HYPERLINK("https://us2.cloudbeds.com/connect/10074733072513#/reservations/30683317428372?display=YQVFSWVDE&amp;reservation_id=30683317428372", "YQVFSWVDE")</f>
        <v>YQVFSWVDE</v>
      </c>
      <c r="B6267" t="s">
        <v>870</v>
      </c>
      <c r="C6267">
        <v>169</v>
      </c>
      <c r="D6267">
        <v>183.71</v>
      </c>
      <c r="E6267">
        <v>183.7</v>
      </c>
      <c r="F6267">
        <v>0.01</v>
      </c>
    </row>
    <row r="6268" spans="1:6" x14ac:dyDescent="0.3">
      <c r="A6268" t="str">
        <f>HYPERLINK("https://us2.cloudbeds.com/connect/10074733072513#/reservations/30686357766392?display=YR0RXMRMJ&amp;reservation_id=30686357766392", "YR0RXMRMJ")</f>
        <v>YR0RXMRMJ</v>
      </c>
      <c r="B6268" t="s">
        <v>795</v>
      </c>
      <c r="C6268">
        <v>199</v>
      </c>
      <c r="D6268">
        <v>216.32</v>
      </c>
      <c r="E6268">
        <v>216.31</v>
      </c>
      <c r="F6268">
        <v>0.01</v>
      </c>
    </row>
    <row r="6269" spans="1:6" x14ac:dyDescent="0.3">
      <c r="A6269" t="str">
        <f>HYPERLINK("https://us2.cloudbeds.com/connect/10074733072513#/reservations/30685680341215?display=YR0A8FFWU&amp;reservation_id=30685680341215", "YR0A8FFWU")</f>
        <v>YR0A8FFWU</v>
      </c>
      <c r="B6269" t="s">
        <v>898</v>
      </c>
      <c r="C6269">
        <v>384</v>
      </c>
      <c r="D6269">
        <v>417.42</v>
      </c>
      <c r="E6269">
        <v>417.41</v>
      </c>
      <c r="F6269">
        <v>0.01</v>
      </c>
    </row>
    <row r="6270" spans="1:6" x14ac:dyDescent="0.3">
      <c r="A6270" t="str">
        <f>HYPERLINK("https://us2.cloudbeds.com/connect/10074733072513#/reservations/30687289012411?display=YR1XBV4BU&amp;reservation_id=30687289012411", "YR1XBV4BU")</f>
        <v>YR1XBV4BU</v>
      </c>
      <c r="B6270" t="s">
        <v>795</v>
      </c>
      <c r="C6270">
        <v>125.76</v>
      </c>
      <c r="D6270">
        <v>136.71</v>
      </c>
      <c r="E6270">
        <v>136.69999999999999</v>
      </c>
      <c r="F6270">
        <v>0.01</v>
      </c>
    </row>
    <row r="6271" spans="1:6" x14ac:dyDescent="0.3">
      <c r="A6271" t="str">
        <f>HYPERLINK("https://us2.cloudbeds.com/connect/10074733072513#/reservations/30686034403550?display=YR0JA0Q3J&amp;reservation_id=30686034403550", "YR0JA0Q3J")</f>
        <v>YR0JA0Q3J</v>
      </c>
      <c r="B6271" t="s">
        <v>884</v>
      </c>
      <c r="C6271">
        <v>139</v>
      </c>
      <c r="D6271">
        <v>151.1</v>
      </c>
      <c r="E6271">
        <v>151.09</v>
      </c>
      <c r="F6271">
        <v>0.01</v>
      </c>
    </row>
    <row r="6272" spans="1:6" x14ac:dyDescent="0.3">
      <c r="A6272" t="str">
        <f>HYPERLINK("https://us2.cloudbeds.com/connect/10074733072513#/reservations/30686018556063?display=YR0XTYQPN&amp;reservation_id=30686018556063", "YR0XTYQPN")</f>
        <v>YR0XTYQPN</v>
      </c>
      <c r="B6272" t="s">
        <v>884</v>
      </c>
      <c r="C6272">
        <v>139</v>
      </c>
      <c r="D6272">
        <v>151.1</v>
      </c>
      <c r="E6272">
        <v>151.09</v>
      </c>
      <c r="F6272">
        <v>0.01</v>
      </c>
    </row>
    <row r="6273" spans="1:6" x14ac:dyDescent="0.3">
      <c r="A6273" t="str">
        <f>HYPERLINK("https://us2.cloudbeds.com/connect/10074733072513#/reservations/30685077217493?display=YQWRRTMCG&amp;reservation_id=30685077217493", "YQWRRTMCG")</f>
        <v>YQWRRTMCG</v>
      </c>
      <c r="B6273" t="s">
        <v>918</v>
      </c>
      <c r="C6273">
        <v>322.2</v>
      </c>
      <c r="D6273">
        <v>350.24</v>
      </c>
      <c r="E6273">
        <v>350.23</v>
      </c>
      <c r="F6273">
        <v>0.01</v>
      </c>
    </row>
    <row r="6274" spans="1:6" x14ac:dyDescent="0.3">
      <c r="A6274" t="str">
        <f>HYPERLINK("https://us2.cloudbeds.com/connect/10074733072513#/reservations/30683163246753?display=YQVBUWKG5&amp;reservation_id=30683163246753", "YQVBUWKG5")</f>
        <v>YQVBUWKG5</v>
      </c>
      <c r="B6274" t="s">
        <v>962</v>
      </c>
      <c r="C6274">
        <v>179</v>
      </c>
      <c r="D6274">
        <v>194.58</v>
      </c>
      <c r="E6274">
        <v>194.57</v>
      </c>
      <c r="F6274">
        <v>0.01</v>
      </c>
    </row>
    <row r="6275" spans="1:6" x14ac:dyDescent="0.3">
      <c r="A6275" t="str">
        <f>HYPERLINK("https://us2.cloudbeds.com/connect/10074733072513#/reservations/30685050650778?display=YQWR5GDSH&amp;reservation_id=30685050650778", "YQWR5GDSH")</f>
        <v>YQWR5GDSH</v>
      </c>
      <c r="B6275" t="s">
        <v>918</v>
      </c>
      <c r="C6275">
        <v>322.2</v>
      </c>
      <c r="D6275">
        <v>350.24</v>
      </c>
      <c r="E6275">
        <v>350.23</v>
      </c>
      <c r="F6275">
        <v>0.01</v>
      </c>
    </row>
    <row r="6276" spans="1:6" x14ac:dyDescent="0.3">
      <c r="A6276" t="str">
        <f>HYPERLINK("https://us2.cloudbeds.com/connect/10074733072513#/reservations/30685863755998?display=YR0EV48VY&amp;reservation_id=30685863755998", "YR0EV48VY")</f>
        <v>YR0EV48VY</v>
      </c>
      <c r="B6276" t="s">
        <v>884</v>
      </c>
      <c r="C6276">
        <v>139</v>
      </c>
      <c r="D6276">
        <v>151.1</v>
      </c>
      <c r="E6276">
        <v>151.09</v>
      </c>
      <c r="F6276">
        <v>0.01</v>
      </c>
    </row>
    <row r="6277" spans="1:6" x14ac:dyDescent="0.3">
      <c r="A6277" t="str">
        <f>HYPERLINK("https://us2.cloudbeds.com/connect/10074733072513#/reservations/30685050654876?display=YQWR5GHKN&amp;reservation_id=30685050654876", "YQWR5GHKN")</f>
        <v>YQWR5GHKN</v>
      </c>
      <c r="B6277" t="s">
        <v>918</v>
      </c>
      <c r="C6277">
        <v>322.2</v>
      </c>
      <c r="D6277">
        <v>350.24</v>
      </c>
      <c r="E6277">
        <v>350.23</v>
      </c>
      <c r="F6277">
        <v>0.01</v>
      </c>
    </row>
    <row r="6278" spans="1:6" x14ac:dyDescent="0.3">
      <c r="A6278" t="str">
        <f>HYPERLINK("https://us2.cloudbeds.com/connect/10074733072513#/reservations/30686837645530?display=YR16RB61Y&amp;reservation_id=30686837645530", "YR16RB61Y")</f>
        <v>YR16RB61Y</v>
      </c>
      <c r="B6278" t="s">
        <v>884</v>
      </c>
      <c r="C6278">
        <v>139</v>
      </c>
      <c r="D6278">
        <v>151.1</v>
      </c>
      <c r="E6278">
        <v>151.09</v>
      </c>
      <c r="F6278">
        <v>0.01</v>
      </c>
    </row>
    <row r="6279" spans="1:6" x14ac:dyDescent="0.3">
      <c r="A6279" t="str">
        <f>HYPERLINK("https://us2.cloudbeds.com/connect/10074733072513#/reservations/30686892019842?display=YR18767X2&amp;reservation_id=30686892019842", "YR18767X2")</f>
        <v>YR18767X2</v>
      </c>
      <c r="B6279" t="s">
        <v>884</v>
      </c>
      <c r="C6279">
        <v>139</v>
      </c>
      <c r="D6279">
        <v>151.1</v>
      </c>
      <c r="E6279">
        <v>151.09</v>
      </c>
      <c r="F6279">
        <v>0.01</v>
      </c>
    </row>
    <row r="6280" spans="1:6" x14ac:dyDescent="0.3">
      <c r="A6280" t="str">
        <f>HYPERLINK("https://us2.cloudbeds.com/connect/10074733072513#/reservations/30685502115970?display=YR05N63EU&amp;reservation_id=30685502115970", "YR05N63EU")</f>
        <v>YR05N63EU</v>
      </c>
      <c r="B6280" t="s">
        <v>918</v>
      </c>
      <c r="C6280">
        <v>139</v>
      </c>
      <c r="D6280">
        <v>151.1</v>
      </c>
      <c r="E6280">
        <v>151.09</v>
      </c>
      <c r="F6280">
        <v>0.01</v>
      </c>
    </row>
    <row r="6281" spans="1:6" x14ac:dyDescent="0.3">
      <c r="A6281" t="str">
        <f>HYPERLINK("https://us2.cloudbeds.com/connect/10074733072513#/reservations/30686608744649?display=YR10WAMDA&amp;reservation_id=30686608744649", "YR10WAMDA")</f>
        <v>YR10WAMDA</v>
      </c>
      <c r="B6281" t="s">
        <v>855</v>
      </c>
      <c r="C6281">
        <v>139</v>
      </c>
      <c r="D6281">
        <v>151.1</v>
      </c>
      <c r="E6281">
        <v>151.09</v>
      </c>
      <c r="F6281">
        <v>0.01</v>
      </c>
    </row>
    <row r="6282" spans="1:6" x14ac:dyDescent="0.3">
      <c r="A6282" t="str">
        <f>HYPERLINK("https://us2.cloudbeds.com/connect/10074733072513#/reservations/30686630670585?display=YR11HQQDK&amp;reservation_id=30686630670585", "YR11HQQDK")</f>
        <v>YR11HQQDK</v>
      </c>
      <c r="B6282" t="s">
        <v>855</v>
      </c>
      <c r="C6282">
        <v>256</v>
      </c>
      <c r="D6282">
        <v>278.27999999999997</v>
      </c>
      <c r="E6282">
        <v>278.27</v>
      </c>
      <c r="F6282">
        <v>0.01</v>
      </c>
    </row>
    <row r="6283" spans="1:6" x14ac:dyDescent="0.3">
      <c r="A6283" t="str">
        <f>HYPERLINK("https://us2.cloudbeds.com/connect/10074733072513#/reservations/30685656666271?display=YR09YGMUC&amp;reservation_id=30685656666271", "YR09YGMUC")</f>
        <v>YR09YGMUC</v>
      </c>
      <c r="B6283" t="s">
        <v>898</v>
      </c>
      <c r="C6283">
        <v>256</v>
      </c>
      <c r="D6283">
        <v>278.27999999999997</v>
      </c>
      <c r="E6283">
        <v>278.27</v>
      </c>
      <c r="F6283">
        <v>0.01</v>
      </c>
    </row>
    <row r="6284" spans="1:6" x14ac:dyDescent="0.3">
      <c r="A6284" t="str">
        <f>HYPERLINK("https://us2.cloudbeds.com/connect/10074733072513#/reservations/30685641248995?display=YR098GMY6&amp;reservation_id=30685641248995", "YR098GMY6")</f>
        <v>YR098GMY6</v>
      </c>
      <c r="B6284" t="s">
        <v>898</v>
      </c>
      <c r="C6284">
        <v>256</v>
      </c>
      <c r="D6284">
        <v>278.27999999999997</v>
      </c>
      <c r="E6284">
        <v>278.27</v>
      </c>
      <c r="F6284">
        <v>0.01</v>
      </c>
    </row>
    <row r="6285" spans="1:6" x14ac:dyDescent="0.3">
      <c r="A6285" t="str">
        <f>HYPERLINK("https://us2.cloudbeds.com/connect/10074733072513#/reservations/30685519048837?display=YR064F9F3&amp;reservation_id=30685519048837", "YR064F9F3")</f>
        <v>YR064F9F3</v>
      </c>
      <c r="B6285" t="s">
        <v>861</v>
      </c>
      <c r="C6285">
        <v>418</v>
      </c>
      <c r="D6285">
        <v>454.38</v>
      </c>
      <c r="E6285">
        <v>454.37</v>
      </c>
      <c r="F6285">
        <v>0.01</v>
      </c>
    </row>
    <row r="6286" spans="1:6" x14ac:dyDescent="0.3">
      <c r="A6286" t="str">
        <f>HYPERLINK("https://us2.cloudbeds.com/connect/10074733072513#/reservations/30685170462973?display=YQWU7HC83&amp;reservation_id=30685170462973", "YQWU7HC83")</f>
        <v>YQWU7HC83</v>
      </c>
      <c r="B6286" t="s">
        <v>918</v>
      </c>
      <c r="C6286">
        <v>378</v>
      </c>
      <c r="D6286">
        <v>410.9</v>
      </c>
      <c r="E6286">
        <v>410.89</v>
      </c>
      <c r="F6286">
        <v>0.01</v>
      </c>
    </row>
    <row r="6287" spans="1:6" x14ac:dyDescent="0.3">
      <c r="A6287" t="str">
        <f>HYPERLINK("https://us2.cloudbeds.com/connect/10074733072513#/reservations/30683259465880?display=YQVED41W9&amp;reservation_id=30683259465880", "YQVED41W9")</f>
        <v>YQVED41W9</v>
      </c>
      <c r="B6287" t="s">
        <v>809</v>
      </c>
      <c r="C6287">
        <v>149</v>
      </c>
      <c r="D6287">
        <v>161.97</v>
      </c>
      <c r="E6287">
        <v>161.96</v>
      </c>
      <c r="F6287">
        <v>0.01</v>
      </c>
    </row>
    <row r="6288" spans="1:6" x14ac:dyDescent="0.3">
      <c r="A6288" t="str">
        <f>HYPERLINK("https://us2.cloudbeds.com/connect/10074733072513#/reservations/30685332246766?display=YR01BV819&amp;reservation_id=30685332246766", "YR01BV819")</f>
        <v>YR01BV819</v>
      </c>
      <c r="B6288" t="s">
        <v>917</v>
      </c>
      <c r="C6288">
        <v>149</v>
      </c>
      <c r="D6288">
        <v>161.97</v>
      </c>
      <c r="E6288">
        <v>161.96</v>
      </c>
      <c r="F6288">
        <v>0.01</v>
      </c>
    </row>
    <row r="6289" spans="1:6" x14ac:dyDescent="0.3">
      <c r="A6289" t="str">
        <f>HYPERLINK("https://us2.cloudbeds.com/connect/10074733072513#/reservations/30686687219910?display=YR12WGC5H&amp;reservation_id=30686687219910", "YR12WGC5H")</f>
        <v>YR12WGC5H</v>
      </c>
      <c r="B6289" t="s">
        <v>855</v>
      </c>
      <c r="C6289">
        <v>139</v>
      </c>
      <c r="D6289">
        <v>151.1</v>
      </c>
      <c r="E6289">
        <v>151.09</v>
      </c>
      <c r="F6289">
        <v>0.01</v>
      </c>
    </row>
    <row r="6290" spans="1:6" x14ac:dyDescent="0.3">
      <c r="A6290" t="str">
        <f>HYPERLINK("https://us2.cloudbeds.com/connect/10074733072513#/reservations/30686662594767?display=YR12BZ4X2&amp;reservation_id=30686662594767", "YR12BZ4X2")</f>
        <v>YR12BZ4X2</v>
      </c>
      <c r="B6290" t="s">
        <v>855</v>
      </c>
      <c r="C6290">
        <v>139</v>
      </c>
      <c r="D6290">
        <v>151.1</v>
      </c>
      <c r="E6290">
        <v>151.09</v>
      </c>
      <c r="F6290">
        <v>0.01</v>
      </c>
    </row>
    <row r="6291" spans="1:6" x14ac:dyDescent="0.3">
      <c r="A6291" t="str">
        <f>HYPERLINK("https://us2.cloudbeds.com/connect/10074733072513#/reservations/30683651686636?display=YQVZDS5VZ&amp;reservation_id=30683651686636", "YQVZDS5VZ")</f>
        <v>YQVZDS5VZ</v>
      </c>
      <c r="B6291" t="s">
        <v>940</v>
      </c>
      <c r="C6291">
        <v>143</v>
      </c>
      <c r="D6291">
        <v>155.44999999999999</v>
      </c>
      <c r="E6291">
        <v>155.44</v>
      </c>
      <c r="F6291">
        <v>0.01</v>
      </c>
    </row>
    <row r="6292" spans="1:6" x14ac:dyDescent="0.3">
      <c r="A6292" t="str">
        <f>HYPERLINK("https://us2.cloudbeds.com/connect/10074733072513#/reservations/30684764356830?display=YQWJS2SMB&amp;reservation_id=30684764356830", "YQWJS2SMB")</f>
        <v>YQWJS2SMB</v>
      </c>
      <c r="B6292" t="s">
        <v>956</v>
      </c>
      <c r="C6292">
        <v>278</v>
      </c>
      <c r="D6292">
        <v>302.2</v>
      </c>
      <c r="E6292">
        <v>302.19</v>
      </c>
      <c r="F6292">
        <v>0.01</v>
      </c>
    </row>
    <row r="6293" spans="1:6" x14ac:dyDescent="0.3">
      <c r="A6293" t="str">
        <f>HYPERLINK("https://us2.cloudbeds.com/connect/10074733072513#/reservations/30684786819212?display=YQWKE0U9J&amp;reservation_id=30684786819212", "YQWKE0U9J")</f>
        <v>YQWKE0U9J</v>
      </c>
      <c r="B6293" t="s">
        <v>956</v>
      </c>
      <c r="C6293">
        <v>278</v>
      </c>
      <c r="D6293">
        <v>302.2</v>
      </c>
      <c r="E6293">
        <v>302.19</v>
      </c>
      <c r="F6293">
        <v>0.01</v>
      </c>
    </row>
    <row r="6294" spans="1:6" x14ac:dyDescent="0.3">
      <c r="A6294" t="str">
        <f>HYPERLINK("https://us2.cloudbeds.com/connect/10074733072513#/reservations/30685234647181?display=YQWVSYCU3&amp;reservation_id=30685234647181", "YQWVSYCU3")</f>
        <v>YQWVSYCU3</v>
      </c>
      <c r="B6294" t="s">
        <v>933</v>
      </c>
      <c r="C6294">
        <v>149</v>
      </c>
      <c r="D6294">
        <v>161.97</v>
      </c>
      <c r="E6294">
        <v>161.96</v>
      </c>
      <c r="F6294">
        <v>0.01</v>
      </c>
    </row>
    <row r="6295" spans="1:6" x14ac:dyDescent="0.3">
      <c r="A6295" t="str">
        <f>HYPERLINK("https://us2.cloudbeds.com/connect/10074733072513#/reservations/30685532197116?display=YR06FX55Q&amp;reservation_id=30685532197116", "YR06FX55Q")</f>
        <v>YR06FX55Q</v>
      </c>
      <c r="B6295" t="s">
        <v>918</v>
      </c>
      <c r="C6295">
        <v>139</v>
      </c>
      <c r="D6295">
        <v>151.1</v>
      </c>
      <c r="E6295">
        <v>151.09</v>
      </c>
      <c r="F6295">
        <v>0.01</v>
      </c>
    </row>
    <row r="6296" spans="1:6" x14ac:dyDescent="0.3">
      <c r="A6296" t="str">
        <f>HYPERLINK("https://us2.cloudbeds.com/connect/10074733072513#/reservations/30685555896537?display=YR072HKZ2&amp;reservation_id=30685555896537", "YR072HKZ2")</f>
        <v>YR072HKZ2</v>
      </c>
      <c r="B6296" t="s">
        <v>833</v>
      </c>
      <c r="C6296">
        <v>256</v>
      </c>
      <c r="D6296">
        <v>278.27999999999997</v>
      </c>
      <c r="E6296">
        <v>278.27</v>
      </c>
      <c r="F6296">
        <v>0.01</v>
      </c>
    </row>
    <row r="6297" spans="1:6" x14ac:dyDescent="0.3">
      <c r="A6297" t="str">
        <f>HYPERLINK("https://us2.cloudbeds.com/connect/10074733072513#/reservations/30685990723741?display=YR0X66B30&amp;reservation_id=30685990723741", "YR0X66B30")</f>
        <v>YR0X66B30</v>
      </c>
      <c r="B6297" t="s">
        <v>961</v>
      </c>
      <c r="C6297">
        <v>159</v>
      </c>
      <c r="D6297">
        <v>172.84</v>
      </c>
      <c r="E6297">
        <v>172.83</v>
      </c>
      <c r="F6297">
        <v>0.01</v>
      </c>
    </row>
    <row r="6298" spans="1:6" x14ac:dyDescent="0.3">
      <c r="A6298" t="str">
        <f>HYPERLINK("https://us2.cloudbeds.com/connect/10074733072513#/reservations/30684120719578?display=YQW3DBNX6&amp;reservation_id=30684120719578", "YQW3DBNX6")</f>
        <v>YQW3DBNX6</v>
      </c>
      <c r="B6298" t="s">
        <v>964</v>
      </c>
      <c r="C6298">
        <v>393.3</v>
      </c>
      <c r="D6298">
        <v>427.53</v>
      </c>
      <c r="E6298">
        <v>427.52</v>
      </c>
      <c r="F6298">
        <v>0.01</v>
      </c>
    </row>
    <row r="6299" spans="1:6" x14ac:dyDescent="0.3">
      <c r="A6299" t="str">
        <f>HYPERLINK("https://us2.cloudbeds.com/connect/10074733072513#/reservations/30685711753435?display=YR0B1VJ0C&amp;reservation_id=30685711753435", "YR0B1VJ0C")</f>
        <v>YR0B1VJ0C</v>
      </c>
      <c r="B6299" t="s">
        <v>956</v>
      </c>
      <c r="C6299">
        <v>139</v>
      </c>
      <c r="D6299">
        <v>151.1</v>
      </c>
      <c r="E6299">
        <v>151.09</v>
      </c>
      <c r="F6299">
        <v>0.01</v>
      </c>
    </row>
    <row r="6300" spans="1:6" x14ac:dyDescent="0.3">
      <c r="A6300" t="str">
        <f>HYPERLINK("https://us2.cloudbeds.com/connect/10074733072513#/reservations/30685705560200?display=YR0ATZ7UJ&amp;reservation_id=30685705560200", "YR0ATZ7UJ")</f>
        <v>YR0ATZ7UJ</v>
      </c>
      <c r="B6300" t="s">
        <v>956</v>
      </c>
      <c r="C6300">
        <v>139</v>
      </c>
      <c r="D6300">
        <v>151.1</v>
      </c>
      <c r="E6300">
        <v>151.09</v>
      </c>
      <c r="F6300">
        <v>0.01</v>
      </c>
    </row>
    <row r="6301" spans="1:6" x14ac:dyDescent="0.3">
      <c r="A6301" t="str">
        <f>HYPERLINK("https://us2.cloudbeds.com/connect/10074733072513#/reservations/30684747976887?display=YQWJE92DE&amp;reservation_id=30684747976887", "YQWJE92DE")</f>
        <v>YQWJE92DE</v>
      </c>
      <c r="B6301" t="s">
        <v>956</v>
      </c>
      <c r="C6301">
        <v>139</v>
      </c>
      <c r="D6301">
        <v>151.1</v>
      </c>
      <c r="E6301">
        <v>151.09</v>
      </c>
      <c r="F6301">
        <v>0.01</v>
      </c>
    </row>
    <row r="6302" spans="1:6" x14ac:dyDescent="0.3">
      <c r="A6302" t="str">
        <f>HYPERLINK("https://us2.cloudbeds.com/connect/10074733072513#/reservations/30685571166410?display=YR07FDHYF&amp;reservation_id=30685571166410", "YR07FDHYF")</f>
        <v>YR07FDHYF</v>
      </c>
      <c r="B6302" t="s">
        <v>898</v>
      </c>
      <c r="C6302">
        <v>139</v>
      </c>
      <c r="D6302">
        <v>151.1</v>
      </c>
      <c r="E6302">
        <v>151.09</v>
      </c>
      <c r="F6302">
        <v>0.01</v>
      </c>
    </row>
    <row r="6303" spans="1:6" x14ac:dyDescent="0.3">
      <c r="A6303" t="str">
        <f>HYPERLINK("https://us2.cloudbeds.com/connect/10074733072513#/reservations/30685590315154?display=YR07VXCEF&amp;reservation_id=30685590315154", "YR07VXCEF")</f>
        <v>YR07VXCEF</v>
      </c>
      <c r="B6303" t="s">
        <v>898</v>
      </c>
      <c r="C6303">
        <v>87.84</v>
      </c>
      <c r="D6303">
        <v>95.49</v>
      </c>
      <c r="E6303">
        <v>95.48</v>
      </c>
      <c r="F6303">
        <v>0.01</v>
      </c>
    </row>
    <row r="6304" spans="1:6" x14ac:dyDescent="0.3">
      <c r="A6304" t="str">
        <f>HYPERLINK("https://us2.cloudbeds.com/connect/10074733072513#/reservations/30685543649518?display=YR06P6RK9&amp;reservation_id=30685543649518", "YR06P6RK9")</f>
        <v>YR06P6RK9</v>
      </c>
      <c r="B6304" t="s">
        <v>918</v>
      </c>
      <c r="C6304">
        <v>149</v>
      </c>
      <c r="D6304">
        <v>161.97</v>
      </c>
      <c r="E6304">
        <v>161.96</v>
      </c>
      <c r="F6304">
        <v>0.01</v>
      </c>
    </row>
    <row r="6305" spans="1:6" x14ac:dyDescent="0.3">
      <c r="A6305" t="str">
        <f>HYPERLINK("https://us2.cloudbeds.com/connect/10074733072513#/reservations/30685625913477?display=YR08SXVEH&amp;reservation_id=30685625913477", "YR08SXVEH")</f>
        <v>YR08SXVEH</v>
      </c>
      <c r="B6305" t="s">
        <v>907</v>
      </c>
      <c r="C6305">
        <v>321.3</v>
      </c>
      <c r="D6305">
        <v>349.26</v>
      </c>
      <c r="E6305">
        <v>349.25</v>
      </c>
      <c r="F6305">
        <v>0.01</v>
      </c>
    </row>
    <row r="6306" spans="1:6" x14ac:dyDescent="0.3">
      <c r="A6306" t="str">
        <f>HYPERLINK("https://us2.cloudbeds.com/connect/10074733072513#/reservations/30685600084168?display=YR086Q726&amp;reservation_id=30685600084168", "YR086Q726")</f>
        <v>YR086Q726</v>
      </c>
      <c r="B6306" t="s">
        <v>898</v>
      </c>
      <c r="C6306">
        <v>169</v>
      </c>
      <c r="D6306">
        <v>183.71</v>
      </c>
      <c r="E6306">
        <v>183.7</v>
      </c>
      <c r="F6306">
        <v>0.01</v>
      </c>
    </row>
    <row r="6307" spans="1:6" x14ac:dyDescent="0.3">
      <c r="A6307" t="str">
        <f>HYPERLINK("https://us2.cloudbeds.com/connect/10074733072513#/reservations/30685494563049?display=YR05GQUQH&amp;reservation_id=30685494563049", "YR05GQUQH")</f>
        <v>YR05GQUQH</v>
      </c>
      <c r="B6307" t="s">
        <v>918</v>
      </c>
      <c r="C6307">
        <v>139</v>
      </c>
      <c r="D6307">
        <v>151.1</v>
      </c>
      <c r="E6307">
        <v>151.09</v>
      </c>
      <c r="F6307">
        <v>0.01</v>
      </c>
    </row>
    <row r="6308" spans="1:6" x14ac:dyDescent="0.3">
      <c r="A6308" t="str">
        <f>HYPERLINK("https://us2.cloudbeds.com/connect/10074733072513#/reservations/30685577326754?display=YR07KJVHJ&amp;reservation_id=30685577326754", "YR07KJVHJ")</f>
        <v>YR07KJVHJ</v>
      </c>
      <c r="B6308" t="s">
        <v>898</v>
      </c>
      <c r="C6308">
        <v>139</v>
      </c>
      <c r="D6308">
        <v>151.1</v>
      </c>
      <c r="E6308">
        <v>151.09</v>
      </c>
      <c r="F6308">
        <v>0.01</v>
      </c>
    </row>
    <row r="6309" spans="1:6" x14ac:dyDescent="0.3">
      <c r="A6309" t="str">
        <f>HYPERLINK("https://us2.cloudbeds.com/connect/10074733072513#/reservations/30682919813262?display=YQV5NNNUN&amp;reservation_id=30682919813262", "YQV5NNNUN")</f>
        <v>YQV5NNNUN</v>
      </c>
      <c r="B6309" t="s">
        <v>924</v>
      </c>
      <c r="C6309">
        <v>347</v>
      </c>
      <c r="D6309">
        <v>377.2</v>
      </c>
      <c r="E6309">
        <v>377.19</v>
      </c>
      <c r="F6309">
        <v>0.01</v>
      </c>
    </row>
    <row r="6310" spans="1:6" x14ac:dyDescent="0.3">
      <c r="A6310" t="str">
        <f>HYPERLINK("https://us2.cloudbeds.com/connect/10074733072513#/reservations/30685284888792?display=YR0050EF5&amp;reservation_id=30685284888792", "YR0050EF5")</f>
        <v>YR0050EF5</v>
      </c>
      <c r="B6310" t="s">
        <v>966</v>
      </c>
      <c r="C6310">
        <v>139</v>
      </c>
      <c r="D6310">
        <v>151.1</v>
      </c>
      <c r="E6310">
        <v>151.09</v>
      </c>
      <c r="F6310">
        <v>0.01</v>
      </c>
    </row>
    <row r="6311" spans="1:6" x14ac:dyDescent="0.3">
      <c r="A6311" t="str">
        <f>HYPERLINK("https://us2.cloudbeds.com/connect/10074733072513#/reservations/30686426988720?display=YR0TB21NT&amp;reservation_id=30686426988720", "YR0TB21NT")</f>
        <v>YR0TB21NT</v>
      </c>
      <c r="B6311" t="s">
        <v>965</v>
      </c>
      <c r="C6311">
        <v>139</v>
      </c>
      <c r="D6311">
        <v>151.1</v>
      </c>
      <c r="E6311">
        <v>151.09</v>
      </c>
      <c r="F6311">
        <v>0.01</v>
      </c>
    </row>
    <row r="6312" spans="1:6" x14ac:dyDescent="0.3">
      <c r="A6312" t="str">
        <f>HYPERLINK("https://us2.cloudbeds.com/connect/10074733072513#/reservations/30685352054958?display=YR01SYECH&amp;reservation_id=30685352054958", "YR01SYECH")</f>
        <v>YR01SYECH</v>
      </c>
      <c r="B6312" t="s">
        <v>726</v>
      </c>
      <c r="C6312">
        <v>169</v>
      </c>
      <c r="D6312">
        <v>183.71</v>
      </c>
      <c r="E6312">
        <v>183.7</v>
      </c>
      <c r="F6312">
        <v>0.01</v>
      </c>
    </row>
    <row r="6313" spans="1:6" x14ac:dyDescent="0.3">
      <c r="A6313" t="str">
        <f>HYPERLINK("https://us2.cloudbeds.com/connect/10074733072513#/reservations/30681801253008?display=YQUA4H4HE&amp;reservation_id=30681801253008", "YQUA4H4HE")</f>
        <v>YQUA4H4HE</v>
      </c>
      <c r="B6313" t="s">
        <v>969</v>
      </c>
      <c r="C6313">
        <v>149</v>
      </c>
      <c r="D6313">
        <v>161.97</v>
      </c>
      <c r="E6313">
        <v>161.96</v>
      </c>
      <c r="F6313">
        <v>0.01</v>
      </c>
    </row>
    <row r="6314" spans="1:6" x14ac:dyDescent="0.3">
      <c r="A6314" t="str">
        <f>HYPERLINK("https://us2.cloudbeds.com/connect/10074733072513#/reservations/30685183541493?display=YQWUXX9TT&amp;reservation_id=30685183541493", "YQWUXX9TT")</f>
        <v>YQWUXX9TT</v>
      </c>
      <c r="B6314" t="s">
        <v>918</v>
      </c>
      <c r="C6314">
        <v>169</v>
      </c>
      <c r="D6314">
        <v>183.71</v>
      </c>
      <c r="E6314">
        <v>183.7</v>
      </c>
      <c r="F6314">
        <v>0.01</v>
      </c>
    </row>
    <row r="6315" spans="1:6" x14ac:dyDescent="0.3">
      <c r="A6315" t="str">
        <f>HYPERLINK("https://us2.cloudbeds.com/connect/10074733072513#/reservations/30681448444083?display=YQU140NCT&amp;reservation_id=30681448444083", "YQU140NCT")</f>
        <v>YQU140NCT</v>
      </c>
      <c r="B6315" t="s">
        <v>970</v>
      </c>
      <c r="C6315">
        <v>258</v>
      </c>
      <c r="D6315">
        <v>280.45999999999998</v>
      </c>
      <c r="E6315">
        <v>280.45</v>
      </c>
      <c r="F6315">
        <v>0.01</v>
      </c>
    </row>
    <row r="6316" spans="1:6" x14ac:dyDescent="0.3">
      <c r="A6316" t="str">
        <f>HYPERLINK("https://us2.cloudbeds.com/connect/10074733072513#/reservations/30684706533572?display=YQWXCAS3D&amp;reservation_id=30684706533572", "YQWXCAS3D")</f>
        <v>YQWXCAS3D</v>
      </c>
      <c r="B6316" t="s">
        <v>907</v>
      </c>
      <c r="C6316">
        <v>169</v>
      </c>
      <c r="D6316">
        <v>183.71</v>
      </c>
      <c r="E6316">
        <v>183.7</v>
      </c>
      <c r="F6316">
        <v>0.01</v>
      </c>
    </row>
    <row r="6317" spans="1:6" x14ac:dyDescent="0.3">
      <c r="A6317" t="str">
        <f>HYPERLINK("https://us2.cloudbeds.com/connect/10074733072513#/reservations/30685006074070?display=YQWQ0U086&amp;reservation_id=30685006074070", "YQWQ0U086")</f>
        <v>YQWQ0U086</v>
      </c>
      <c r="B6317" t="s">
        <v>965</v>
      </c>
      <c r="C6317">
        <v>79</v>
      </c>
      <c r="D6317">
        <v>85.88</v>
      </c>
      <c r="E6317">
        <v>85.87</v>
      </c>
      <c r="F6317">
        <v>0.01</v>
      </c>
    </row>
    <row r="6318" spans="1:6" x14ac:dyDescent="0.3">
      <c r="A6318" t="str">
        <f>HYPERLINK("https://us2.cloudbeds.com/connect/10074733072513#/reservations/30683677364444?display=YQVP2GN74&amp;reservation_id=30683677364444", "YQVP2GN74")</f>
        <v>YQVP2GN74</v>
      </c>
      <c r="B6318" t="s">
        <v>891</v>
      </c>
      <c r="C6318">
        <v>338</v>
      </c>
      <c r="D6318">
        <v>367.42</v>
      </c>
      <c r="E6318">
        <v>367.41</v>
      </c>
      <c r="F6318">
        <v>0.01</v>
      </c>
    </row>
    <row r="6319" spans="1:6" x14ac:dyDescent="0.3">
      <c r="A6319" t="str">
        <f>HYPERLINK("https://us2.cloudbeds.com/connect/10074733072513#/reservations/30684739424472?display=YQWJ722VB&amp;reservation_id=30684739424472", "YQWJ722VB")</f>
        <v>YQWJ722VB</v>
      </c>
      <c r="B6319" t="s">
        <v>907</v>
      </c>
      <c r="C6319">
        <v>322.2</v>
      </c>
      <c r="D6319">
        <v>350.24</v>
      </c>
      <c r="E6319">
        <v>350.23</v>
      </c>
      <c r="F6319">
        <v>0.01</v>
      </c>
    </row>
    <row r="6320" spans="1:6" x14ac:dyDescent="0.3">
      <c r="A6320" t="str">
        <f>HYPERLINK("https://us2.cloudbeds.com/connect/10074733072513#/reservations/30685363720342?display=YR025G1D0&amp;reservation_id=30685363720342", "YR025G1D0")</f>
        <v>YR025G1D0</v>
      </c>
      <c r="B6320" t="s">
        <v>958</v>
      </c>
      <c r="C6320">
        <v>448</v>
      </c>
      <c r="D6320">
        <v>486.99</v>
      </c>
      <c r="E6320">
        <v>486.98</v>
      </c>
      <c r="F6320">
        <v>0.01</v>
      </c>
    </row>
    <row r="6321" spans="1:6" x14ac:dyDescent="0.3">
      <c r="A6321" t="str">
        <f>HYPERLINK("https://us2.cloudbeds.com/connect/10074733072513#/reservations/30685450440878?display=YR04CK5J0&amp;reservation_id=30685450440878", "YR04CK5J0")</f>
        <v>YR04CK5J0</v>
      </c>
      <c r="B6321" t="s">
        <v>750</v>
      </c>
      <c r="C6321">
        <v>129</v>
      </c>
      <c r="D6321">
        <v>140.22999999999999</v>
      </c>
      <c r="E6321">
        <v>140.22</v>
      </c>
      <c r="F6321">
        <v>0.01</v>
      </c>
    </row>
    <row r="6322" spans="1:6" x14ac:dyDescent="0.3">
      <c r="A6322" t="str">
        <f>HYPERLINK("https://us2.cloudbeds.com/connect/10074733072513#/reservations/30685242523867?display=YQWW29XSX&amp;reservation_id=30685242523867", "YQWW29XSX")</f>
        <v>YQWW29XSX</v>
      </c>
      <c r="B6322" t="s">
        <v>933</v>
      </c>
      <c r="C6322">
        <v>149</v>
      </c>
      <c r="D6322">
        <v>161.97</v>
      </c>
      <c r="E6322">
        <v>161.96</v>
      </c>
      <c r="F6322">
        <v>0.01</v>
      </c>
    </row>
    <row r="6323" spans="1:6" x14ac:dyDescent="0.3">
      <c r="A6323" t="str">
        <f>HYPERLINK("https://us2.cloudbeds.com/connect/10074733072513#/reservations/30682142585053?display=YQUXSB6ZZ&amp;reservation_id=30682142585053", "YQUXSB6ZZ")</f>
        <v>YQUXSB6ZZ</v>
      </c>
      <c r="B6323" t="s">
        <v>972</v>
      </c>
      <c r="C6323">
        <v>129</v>
      </c>
      <c r="D6323">
        <v>140.22999999999999</v>
      </c>
      <c r="E6323">
        <v>140.22</v>
      </c>
      <c r="F6323">
        <v>0.01</v>
      </c>
    </row>
    <row r="6324" spans="1:6" x14ac:dyDescent="0.3">
      <c r="A6324" t="str">
        <f>HYPERLINK("https://us2.cloudbeds.com/connect/10074733072513#/reservations/30684965458146?display=YQWZWYQNK&amp;reservation_id=30684965458146", "YQWZWYQNK")</f>
        <v>YQWZWYQNK</v>
      </c>
      <c r="B6324" t="s">
        <v>971</v>
      </c>
      <c r="C6324">
        <v>129</v>
      </c>
      <c r="D6324">
        <v>140.22999999999999</v>
      </c>
      <c r="E6324">
        <v>140.22</v>
      </c>
      <c r="F6324">
        <v>0.01</v>
      </c>
    </row>
    <row r="6325" spans="1:6" x14ac:dyDescent="0.3">
      <c r="A6325" t="str">
        <f>HYPERLINK("https://us2.cloudbeds.com/connect/10074733072513#/reservations/30685339185284?display=YR01HQAGD&amp;reservation_id=30685339185284", "YR01HQAGD")</f>
        <v>YR01HQAGD</v>
      </c>
      <c r="B6325" t="s">
        <v>917</v>
      </c>
      <c r="C6325">
        <v>109</v>
      </c>
      <c r="D6325">
        <v>118.49</v>
      </c>
      <c r="E6325">
        <v>118.48</v>
      </c>
      <c r="F6325">
        <v>0.01</v>
      </c>
    </row>
    <row r="6326" spans="1:6" x14ac:dyDescent="0.3">
      <c r="A6326" t="str">
        <f>HYPERLINK("https://us2.cloudbeds.com/connect/10074733072513#/reservations/30685294907595?display=YR00DF7F8&amp;reservation_id=30685294907595", "YR00DF7F8")</f>
        <v>YR00DF7F8</v>
      </c>
      <c r="B6326" t="s">
        <v>966</v>
      </c>
      <c r="C6326">
        <v>214.13</v>
      </c>
      <c r="D6326">
        <v>232.77</v>
      </c>
      <c r="E6326">
        <v>232.76</v>
      </c>
      <c r="F6326">
        <v>0.01</v>
      </c>
    </row>
    <row r="6327" spans="1:6" x14ac:dyDescent="0.3">
      <c r="A6327" t="str">
        <f>HYPERLINK("https://us2.cloudbeds.com/connect/10074733072513#/reservations/30685481803944?display=YR0561TEW&amp;reservation_id=30685481803944", "YR0561TEW")</f>
        <v>YR0561TEW</v>
      </c>
      <c r="B6327" t="s">
        <v>971</v>
      </c>
      <c r="C6327">
        <v>99</v>
      </c>
      <c r="D6327">
        <v>107.62</v>
      </c>
      <c r="E6327">
        <v>107.61</v>
      </c>
      <c r="F6327">
        <v>0.01</v>
      </c>
    </row>
    <row r="6328" spans="1:6" x14ac:dyDescent="0.3">
      <c r="A6328" t="str">
        <f>HYPERLINK("https://us2.cloudbeds.com/connect/10074733072513#/reservations/30685484023950?display=YR057UM0T&amp;reservation_id=30685484023950", "YR057UM0T")</f>
        <v>YR057UM0T</v>
      </c>
      <c r="B6328" t="s">
        <v>971</v>
      </c>
      <c r="C6328">
        <v>99</v>
      </c>
      <c r="D6328">
        <v>107.62</v>
      </c>
      <c r="E6328">
        <v>107.61</v>
      </c>
      <c r="F6328">
        <v>0.01</v>
      </c>
    </row>
    <row r="6329" spans="1:6" x14ac:dyDescent="0.3">
      <c r="A6329" t="str">
        <f>HYPERLINK("https://us2.cloudbeds.com/connect/10074733072513#/reservations/30685268562069?display=YQWWZ841W&amp;reservation_id=30685268562069", "YQWWZ841W")</f>
        <v>YQWWZ841W</v>
      </c>
      <c r="B6329" t="s">
        <v>933</v>
      </c>
      <c r="C6329">
        <v>358</v>
      </c>
      <c r="D6329">
        <v>389.16</v>
      </c>
      <c r="E6329">
        <v>389.15</v>
      </c>
      <c r="F6329">
        <v>0.01</v>
      </c>
    </row>
    <row r="6330" spans="1:6" x14ac:dyDescent="0.3">
      <c r="A6330" t="str">
        <f>HYPERLINK("https://us2.cloudbeds.com/connect/10074733072513#/reservations/30685484028033?display=YR057UPPK&amp;reservation_id=30685484028033", "YR057UPPK")</f>
        <v>YR057UPPK</v>
      </c>
      <c r="B6330" t="s">
        <v>973</v>
      </c>
      <c r="C6330">
        <v>192</v>
      </c>
      <c r="D6330">
        <v>208.71</v>
      </c>
      <c r="E6330">
        <v>208.7</v>
      </c>
      <c r="F6330">
        <v>0.01</v>
      </c>
    </row>
    <row r="6331" spans="1:6" x14ac:dyDescent="0.3">
      <c r="A6331" t="str">
        <f>HYPERLINK("https://us2.cloudbeds.com/connect/10074733072513#/reservations/30685253476568?display=YQWWBHBEJ&amp;reservation_id=30685253476568", "YQWWBHBEJ")</f>
        <v>YQWWBHBEJ</v>
      </c>
      <c r="B6331" t="s">
        <v>933</v>
      </c>
      <c r="C6331">
        <v>298</v>
      </c>
      <c r="D6331">
        <v>323.94</v>
      </c>
      <c r="E6331">
        <v>323.93</v>
      </c>
      <c r="F6331">
        <v>0.01</v>
      </c>
    </row>
    <row r="6332" spans="1:6" x14ac:dyDescent="0.3">
      <c r="A6332" t="str">
        <f>HYPERLINK("https://us2.cloudbeds.com/connect/10074733072513#/reservations/30685491192041?display=YR05DW49P&amp;reservation_id=30685491192041", "YR05DW49P")</f>
        <v>YR05DW49P</v>
      </c>
      <c r="B6332" t="s">
        <v>971</v>
      </c>
      <c r="C6332">
        <v>99</v>
      </c>
      <c r="D6332">
        <v>107.62</v>
      </c>
      <c r="E6332">
        <v>107.61</v>
      </c>
      <c r="F6332">
        <v>0.01</v>
      </c>
    </row>
    <row r="6333" spans="1:6" x14ac:dyDescent="0.3">
      <c r="A6333" t="str">
        <f>HYPERLINK("https://us2.cloudbeds.com/connect/10074733072513#/reservations/30685506424985?display=YR05QR0A4&amp;reservation_id=30685506424985", "YR05QR0A4")</f>
        <v>YR05QR0A4</v>
      </c>
      <c r="B6333" t="s">
        <v>971</v>
      </c>
      <c r="C6333">
        <v>129</v>
      </c>
      <c r="D6333">
        <v>140.22999999999999</v>
      </c>
      <c r="E6333">
        <v>140.22</v>
      </c>
      <c r="F6333">
        <v>0.01</v>
      </c>
    </row>
    <row r="6334" spans="1:6" x14ac:dyDescent="0.3">
      <c r="A6334" t="str">
        <f>HYPERLINK("https://us2.cloudbeds.com/connect/10074733072513#/reservations/31689570508996?display=MHXKW8833&amp;reservation_id=31689570508996", "MHXKW8833")</f>
        <v>MHXKW8833</v>
      </c>
      <c r="B6334" t="s">
        <v>974</v>
      </c>
      <c r="C6334">
        <v>278</v>
      </c>
      <c r="D6334">
        <v>302.2</v>
      </c>
      <c r="E6334">
        <v>302.19</v>
      </c>
      <c r="F6334">
        <v>0.01</v>
      </c>
    </row>
    <row r="6335" spans="1:6" x14ac:dyDescent="0.3">
      <c r="A6335" t="str">
        <f>HYPERLINK("https://us2.cloudbeds.com/connect/10074733072513#/reservations/30684661166301?display=YQWH72EHK&amp;reservation_id=30684661166301", "YQWH72EHK")</f>
        <v>YQWH72EHK</v>
      </c>
      <c r="B6335" t="s">
        <v>920</v>
      </c>
      <c r="C6335">
        <v>87.84</v>
      </c>
      <c r="D6335">
        <v>95.49</v>
      </c>
      <c r="E6335">
        <v>95.48</v>
      </c>
      <c r="F6335">
        <v>0.01</v>
      </c>
    </row>
    <row r="6336" spans="1:6" x14ac:dyDescent="0.3">
      <c r="A6336" t="str">
        <f>HYPERLINK("https://us2.cloudbeds.com/connect/10074733072513#/reservations/30685438951555?display=YR042UF7Z&amp;reservation_id=30685438951555", "YR042UF7Z")</f>
        <v>YR042UF7Z</v>
      </c>
      <c r="B6336" t="s">
        <v>907</v>
      </c>
      <c r="C6336">
        <v>169</v>
      </c>
      <c r="D6336">
        <v>183.71</v>
      </c>
      <c r="E6336">
        <v>183.7</v>
      </c>
      <c r="F6336">
        <v>0.01</v>
      </c>
    </row>
    <row r="6337" spans="1:6" x14ac:dyDescent="0.3">
      <c r="A6337" t="str">
        <f>HYPERLINK("https://us2.cloudbeds.com/connect/10074733072513#/reservations/30685453762713?display=YR04FDJUN&amp;reservation_id=30685453762713", "YR04FDJUN")</f>
        <v>YR04FDJUN</v>
      </c>
      <c r="B6337" t="s">
        <v>973</v>
      </c>
      <c r="C6337">
        <v>79</v>
      </c>
      <c r="D6337">
        <v>85.88</v>
      </c>
      <c r="E6337">
        <v>85.87</v>
      </c>
      <c r="F6337">
        <v>0.01</v>
      </c>
    </row>
    <row r="6338" spans="1:6" x14ac:dyDescent="0.3">
      <c r="A6338" t="str">
        <f>HYPERLINK("https://us2.cloudbeds.com/connect/10074733072513#/reservations/30686080061580?display=YR0KFH9M8&amp;reservation_id=30686080061580", "YR0KFH9M8")</f>
        <v>YR0KFH9M8</v>
      </c>
      <c r="B6338" t="s">
        <v>726</v>
      </c>
      <c r="C6338">
        <v>139</v>
      </c>
      <c r="D6338">
        <v>151.1</v>
      </c>
      <c r="E6338">
        <v>151.09</v>
      </c>
      <c r="F6338">
        <v>0.01</v>
      </c>
    </row>
    <row r="6339" spans="1:6" x14ac:dyDescent="0.3">
      <c r="A6339" t="str">
        <f>HYPERLINK("https://us2.cloudbeds.com/connect/10074733072513#/reservations/30686068613333?display=YR0K5SZ1M&amp;reservation_id=30686068613333", "YR0K5SZ1M")</f>
        <v>YR0K5SZ1M</v>
      </c>
      <c r="B6339" t="s">
        <v>726</v>
      </c>
      <c r="C6339">
        <v>199</v>
      </c>
      <c r="D6339">
        <v>216.32</v>
      </c>
      <c r="E6339">
        <v>216.31</v>
      </c>
      <c r="F6339">
        <v>0.01</v>
      </c>
    </row>
    <row r="6340" spans="1:6" x14ac:dyDescent="0.3">
      <c r="A6340" t="str">
        <f>HYPERLINK("https://us2.cloudbeds.com/connect/10074733072513#/reservations/30685252112512?display=YQWW29MKV&amp;reservation_id=30685252112512", "YQWW29MKV")</f>
        <v>YQWW29MKV</v>
      </c>
      <c r="B6340" t="s">
        <v>933</v>
      </c>
      <c r="C6340">
        <v>79</v>
      </c>
      <c r="D6340">
        <v>85.88</v>
      </c>
      <c r="E6340">
        <v>85.87</v>
      </c>
      <c r="F6340">
        <v>0.01</v>
      </c>
    </row>
    <row r="6341" spans="1:6" x14ac:dyDescent="0.3">
      <c r="A6341" t="str">
        <f>HYPERLINK("https://us2.cloudbeds.com/connect/10074733072513#/reservations/31688889262309?display=MHX3XQX73&amp;reservation_id=31688889262309", "MHX3XQX73")</f>
        <v>MHX3XQX73</v>
      </c>
      <c r="B6341" t="s">
        <v>974</v>
      </c>
      <c r="C6341">
        <v>139</v>
      </c>
      <c r="D6341">
        <v>151.1</v>
      </c>
      <c r="E6341">
        <v>151.09</v>
      </c>
      <c r="F6341">
        <v>0.01</v>
      </c>
    </row>
    <row r="6342" spans="1:6" x14ac:dyDescent="0.3">
      <c r="A6342" t="str">
        <f>HYPERLINK("https://us2.cloudbeds.com/connect/10074733072513#/reservations/30685514658028?display=YR060P3G9&amp;reservation_id=30685514658028", "YR060P3G9")</f>
        <v>YR060P3G9</v>
      </c>
      <c r="B6342" t="s">
        <v>971</v>
      </c>
      <c r="C6342">
        <v>139</v>
      </c>
      <c r="D6342">
        <v>151.1</v>
      </c>
      <c r="E6342">
        <v>151.09</v>
      </c>
      <c r="F6342">
        <v>0.01</v>
      </c>
    </row>
    <row r="6343" spans="1:6" x14ac:dyDescent="0.3">
      <c r="A6343" t="str">
        <f>HYPERLINK("https://us2.cloudbeds.com/connect/10074733072513#/reservations/30685463527626?display=YR04NYAQ5&amp;reservation_id=30685463527626", "YR04NYAQ5")</f>
        <v>YR04NYAQ5</v>
      </c>
      <c r="B6343" t="s">
        <v>973</v>
      </c>
      <c r="C6343">
        <v>129</v>
      </c>
      <c r="D6343">
        <v>140.22999999999999</v>
      </c>
      <c r="E6343">
        <v>140.22</v>
      </c>
      <c r="F6343">
        <v>0.01</v>
      </c>
    </row>
    <row r="6344" spans="1:6" x14ac:dyDescent="0.3">
      <c r="A6344" t="str">
        <f>HYPERLINK("https://us2.cloudbeds.com/connect/10074733072513#/reservations/30682152313004?display=YQUJ3HTM3&amp;reservation_id=30682152313004", "YQUJ3HTM3")</f>
        <v>YQUJ3HTM3</v>
      </c>
      <c r="B6344" t="s">
        <v>972</v>
      </c>
      <c r="C6344">
        <v>169</v>
      </c>
      <c r="D6344">
        <v>183.71</v>
      </c>
      <c r="E6344">
        <v>183.7</v>
      </c>
      <c r="F6344">
        <v>0.01</v>
      </c>
    </row>
    <row r="6345" spans="1:6" x14ac:dyDescent="0.3">
      <c r="A6345" t="str">
        <f>HYPERLINK("https://us2.cloudbeds.com/connect/10074733072513#/reservations/30683690856672?display=YQVPDT4PH&amp;reservation_id=30683690856672", "YQVPDT4PH")</f>
        <v>YQVPDT4PH</v>
      </c>
      <c r="B6345" t="s">
        <v>891</v>
      </c>
      <c r="C6345">
        <v>398</v>
      </c>
      <c r="D6345">
        <v>432.64</v>
      </c>
      <c r="E6345">
        <v>432.63</v>
      </c>
      <c r="F6345">
        <v>0.01</v>
      </c>
    </row>
    <row r="6346" spans="1:6" x14ac:dyDescent="0.3">
      <c r="A6346" t="str">
        <f>HYPERLINK("https://us2.cloudbeds.com/connect/10074733072513#/reservations/30684712194293?display=YQWXH3C6D&amp;reservation_id=30684712194293", "YQWXH3C6D")</f>
        <v>YQWXH3C6D</v>
      </c>
      <c r="B6346" t="s">
        <v>953</v>
      </c>
      <c r="C6346">
        <v>194.64</v>
      </c>
      <c r="D6346">
        <v>211.58</v>
      </c>
      <c r="E6346">
        <v>211.57</v>
      </c>
      <c r="F6346">
        <v>0.01</v>
      </c>
    </row>
    <row r="6347" spans="1:6" x14ac:dyDescent="0.3">
      <c r="A6347" t="str">
        <f>HYPERLINK("https://us2.cloudbeds.com/connect/10074733072513#/reservations/30685055000729?display=YQWR95FA7&amp;reservation_id=30685055000729", "YQWR95FA7")</f>
        <v>YQWR95FA7</v>
      </c>
      <c r="B6347" t="s">
        <v>870</v>
      </c>
      <c r="C6347">
        <v>179</v>
      </c>
      <c r="D6347">
        <v>194.58</v>
      </c>
      <c r="E6347">
        <v>194.57</v>
      </c>
      <c r="F6347">
        <v>0.01</v>
      </c>
    </row>
    <row r="6348" spans="1:6" x14ac:dyDescent="0.3">
      <c r="A6348" t="str">
        <f>HYPERLINK("https://us2.cloudbeds.com/connect/10074733072513#/reservations/30685294911693?display=YR00DFB7E&amp;reservation_id=30685294911693", "YR00DFB7E")</f>
        <v>YR00DFB7E</v>
      </c>
      <c r="B6348" t="s">
        <v>958</v>
      </c>
      <c r="C6348">
        <v>79</v>
      </c>
      <c r="D6348">
        <v>85.88</v>
      </c>
      <c r="E6348">
        <v>85.87</v>
      </c>
      <c r="F6348">
        <v>0.01</v>
      </c>
    </row>
    <row r="6349" spans="1:6" x14ac:dyDescent="0.3">
      <c r="A6349" t="str">
        <f>HYPERLINK("https://us2.cloudbeds.com/connect/10074733072513#/reservations/30685590311052?display=YR07VX8M5&amp;reservation_id=30685590311052", "YR07VX8M5")</f>
        <v>YR07VX8M5</v>
      </c>
      <c r="B6349" t="s">
        <v>907</v>
      </c>
      <c r="C6349">
        <v>169</v>
      </c>
      <c r="D6349">
        <v>183.71</v>
      </c>
      <c r="E6349">
        <v>183.7</v>
      </c>
      <c r="F6349">
        <v>0.01</v>
      </c>
    </row>
    <row r="6350" spans="1:6" x14ac:dyDescent="0.3">
      <c r="A6350" t="str">
        <f>HYPERLINK("https://us2.cloudbeds.com/connect/10074733072513#/reservations/30685454360774?display=YR04FU83P&amp;reservation_id=30685454360774", "YR04FU83P")</f>
        <v>YR04FU83P</v>
      </c>
      <c r="B6350" t="s">
        <v>907</v>
      </c>
      <c r="C6350">
        <v>119</v>
      </c>
      <c r="D6350">
        <v>129.36000000000001</v>
      </c>
      <c r="E6350">
        <v>129.35</v>
      </c>
      <c r="F6350">
        <v>0.01</v>
      </c>
    </row>
    <row r="6351" spans="1:6" x14ac:dyDescent="0.3">
      <c r="A6351" t="str">
        <f>HYPERLINK("https://us2.cloudbeds.com/connect/10074733072513#/reservations/30685238001826?display=YQWVVFZD0&amp;reservation_id=30685238001826", "YQWVVFZD0")</f>
        <v>YQWVVFZD0</v>
      </c>
      <c r="B6351" t="s">
        <v>929</v>
      </c>
      <c r="C6351">
        <v>320</v>
      </c>
      <c r="D6351">
        <v>347.85</v>
      </c>
      <c r="E6351">
        <v>347.84</v>
      </c>
      <c r="F6351">
        <v>0.01</v>
      </c>
    </row>
    <row r="6352" spans="1:6" x14ac:dyDescent="0.3">
      <c r="A6352" t="str">
        <f>HYPERLINK("https://us2.cloudbeds.com/connect/10074733072513#/reservations/30685322092698?display=YR013CMR8&amp;reservation_id=30685322092698", "YR013CMR8")</f>
        <v>YR013CMR8</v>
      </c>
      <c r="B6352" t="s">
        <v>958</v>
      </c>
      <c r="C6352">
        <v>79</v>
      </c>
      <c r="D6352">
        <v>85.88</v>
      </c>
      <c r="E6352">
        <v>85.87</v>
      </c>
      <c r="F6352">
        <v>0.01</v>
      </c>
    </row>
    <row r="6353" spans="1:6" x14ac:dyDescent="0.3">
      <c r="A6353" t="str">
        <f>HYPERLINK("https://us2.cloudbeds.com/connect/10074733072513#/reservations/30686061068543?display=YR0JWGPSM&amp;reservation_id=30686061068543", "YR0JWGPSM")</f>
        <v>YR0JWGPSM</v>
      </c>
      <c r="B6353" t="s">
        <v>977</v>
      </c>
      <c r="C6353">
        <v>271.88</v>
      </c>
      <c r="D6353">
        <v>295.54000000000002</v>
      </c>
      <c r="E6353">
        <v>295.52999999999997</v>
      </c>
      <c r="F6353">
        <v>0.01</v>
      </c>
    </row>
    <row r="6354" spans="1:6" x14ac:dyDescent="0.3">
      <c r="A6354" t="str">
        <f>HYPERLINK("https://us2.cloudbeds.com/connect/10074733072513#/reservations/30685269287075?display=YQWWZS9QS&amp;reservation_id=30685269287075", "YQWWZS9QS")</f>
        <v>YQWWZS9QS</v>
      </c>
      <c r="B6354" t="s">
        <v>966</v>
      </c>
      <c r="C6354">
        <v>158</v>
      </c>
      <c r="D6354">
        <v>171.76</v>
      </c>
      <c r="E6354">
        <v>171.75</v>
      </c>
      <c r="F6354">
        <v>0.01</v>
      </c>
    </row>
    <row r="6355" spans="1:6" x14ac:dyDescent="0.3">
      <c r="A6355" t="str">
        <f>HYPERLINK("https://us2.cloudbeds.com/connect/10074733072513#/reservations/30685144375446?display=YQWTXHEZW&amp;reservation_id=30685144375446", "YQWTXHEZW")</f>
        <v>YQWTXHEZW</v>
      </c>
      <c r="B6355" t="s">
        <v>929</v>
      </c>
      <c r="C6355">
        <v>129</v>
      </c>
      <c r="D6355">
        <v>140.22999999999999</v>
      </c>
      <c r="E6355">
        <v>140.22</v>
      </c>
      <c r="F6355">
        <v>0.01</v>
      </c>
    </row>
    <row r="6356" spans="1:6" x14ac:dyDescent="0.3">
      <c r="A6356" t="str">
        <f>HYPERLINK("https://us2.cloudbeds.com/connect/10074733072513#/reservations/30686183903422?display=YR0N42RTZ&amp;reservation_id=30686183903422", "YR0N42RTZ")</f>
        <v>YR0N42RTZ</v>
      </c>
      <c r="B6356" t="s">
        <v>885</v>
      </c>
      <c r="C6356">
        <v>129</v>
      </c>
      <c r="D6356">
        <v>140.22999999999999</v>
      </c>
      <c r="E6356">
        <v>140.22</v>
      </c>
      <c r="F6356">
        <v>0.01</v>
      </c>
    </row>
    <row r="6357" spans="1:6" x14ac:dyDescent="0.3">
      <c r="A6357" t="str">
        <f>HYPERLINK("https://us2.cloudbeds.com/connect/10074733072513#/reservations/30684404404406?display=YQWAYXYS4&amp;reservation_id=30684404404406", "YQWAYXYS4")</f>
        <v>YQWAYXYS4</v>
      </c>
      <c r="B6357" t="s">
        <v>977</v>
      </c>
      <c r="C6357">
        <v>129</v>
      </c>
      <c r="D6357">
        <v>140.22999999999999</v>
      </c>
      <c r="E6357">
        <v>140.22</v>
      </c>
      <c r="F6357">
        <v>0.01</v>
      </c>
    </row>
    <row r="6358" spans="1:6" x14ac:dyDescent="0.3">
      <c r="A6358" t="str">
        <f>HYPERLINK("https://us2.cloudbeds.com/connect/10074733072513#/reservations/30683573293274?display=YQVMDZPDA&amp;reservation_id=30683573293274", "YQVMDZPDA")</f>
        <v>YQVMDZPDA</v>
      </c>
      <c r="B6358" t="s">
        <v>978</v>
      </c>
      <c r="C6358">
        <v>192</v>
      </c>
      <c r="D6358">
        <v>208.71</v>
      </c>
      <c r="E6358">
        <v>208.7</v>
      </c>
      <c r="F6358">
        <v>0.01</v>
      </c>
    </row>
    <row r="6359" spans="1:6" x14ac:dyDescent="0.3">
      <c r="A6359" t="str">
        <f>HYPERLINK("https://us2.cloudbeds.com/connect/10074733072513#/reservations/30682531676288?display=YQUSQE491&amp;reservation_id=30682531676288", "YQUSQE491")</f>
        <v>YQUSQE491</v>
      </c>
      <c r="B6359" t="s">
        <v>749</v>
      </c>
      <c r="C6359">
        <v>238</v>
      </c>
      <c r="D6359">
        <v>258.72000000000003</v>
      </c>
      <c r="E6359">
        <v>258.70999999999998</v>
      </c>
      <c r="F6359">
        <v>0.01</v>
      </c>
    </row>
    <row r="6360" spans="1:6" x14ac:dyDescent="0.3">
      <c r="A6360" t="str">
        <f>HYPERLINK("https://us2.cloudbeds.com/connect/10074733072513#/reservations/30686174523628?display=YR0MT5RMX&amp;reservation_id=30686174523628", "YR0MT5RMX")</f>
        <v>YR0MT5RMX</v>
      </c>
      <c r="B6360" t="s">
        <v>885</v>
      </c>
      <c r="C6360">
        <v>159</v>
      </c>
      <c r="D6360">
        <v>172.84</v>
      </c>
      <c r="E6360">
        <v>172.83</v>
      </c>
      <c r="F6360">
        <v>0.01</v>
      </c>
    </row>
    <row r="6361" spans="1:6" x14ac:dyDescent="0.3">
      <c r="A6361" t="str">
        <f>HYPERLINK("https://us2.cloudbeds.com/connect/10074733072513#/reservations/30684555808983?display=YQWEH7NMK&amp;reservation_id=30684555808983", "YQWEH7NMK")</f>
        <v>YQWEH7NMK</v>
      </c>
      <c r="B6361" t="s">
        <v>940</v>
      </c>
      <c r="C6361">
        <v>149</v>
      </c>
      <c r="D6361">
        <v>161.97</v>
      </c>
      <c r="E6361">
        <v>161.96</v>
      </c>
      <c r="F6361">
        <v>0.01</v>
      </c>
    </row>
    <row r="6362" spans="1:6" x14ac:dyDescent="0.3">
      <c r="A6362" t="str">
        <f>HYPERLINK("https://us2.cloudbeds.com/connect/10074733072513#/reservations/31689121529992?display=MHX9GYZGZ&amp;reservation_id=31689121529992", "MHX9GYZGZ")</f>
        <v>MHX9GYZGZ</v>
      </c>
      <c r="B6362" t="s">
        <v>974</v>
      </c>
      <c r="C6362">
        <v>278</v>
      </c>
      <c r="D6362">
        <v>302.2</v>
      </c>
      <c r="E6362">
        <v>302.19</v>
      </c>
      <c r="F6362">
        <v>0.01</v>
      </c>
    </row>
    <row r="6363" spans="1:6" x14ac:dyDescent="0.3">
      <c r="A6363" t="str">
        <f>HYPERLINK("https://us2.cloudbeds.com/connect/10074733072513#/reservations/30686134362299?display=YR0YSA9JJ&amp;reservation_id=30686134362299", "YR0YSA9JJ")</f>
        <v>YR0YSA9JJ</v>
      </c>
      <c r="B6363" t="s">
        <v>885</v>
      </c>
      <c r="C6363">
        <v>129</v>
      </c>
      <c r="D6363">
        <v>140.22999999999999</v>
      </c>
      <c r="E6363">
        <v>140.22</v>
      </c>
      <c r="F6363">
        <v>0.01</v>
      </c>
    </row>
    <row r="6364" spans="1:6" x14ac:dyDescent="0.3">
      <c r="A6364" t="str">
        <f>HYPERLINK("https://us2.cloudbeds.com/connect/10074733072513#/reservations/30684279414927?display=YQW7F5YA5&amp;reservation_id=30684279414927", "YQW7F5YA5")</f>
        <v>YQW7F5YA5</v>
      </c>
      <c r="B6364" t="s">
        <v>977</v>
      </c>
      <c r="C6364">
        <v>99</v>
      </c>
      <c r="D6364">
        <v>107.62</v>
      </c>
      <c r="E6364">
        <v>107.61</v>
      </c>
      <c r="F6364">
        <v>0.01</v>
      </c>
    </row>
    <row r="6365" spans="1:6" x14ac:dyDescent="0.3">
      <c r="A6365" t="str">
        <f>HYPERLINK("https://us2.cloudbeds.com/connect/10074733072513#/reservations/30685300981972?display=YR00XJ8D9&amp;reservation_id=30685300981972", "YR00XJ8D9")</f>
        <v>YR00XJ8D9</v>
      </c>
      <c r="B6365" t="s">
        <v>920</v>
      </c>
      <c r="C6365">
        <v>122.55</v>
      </c>
      <c r="D6365">
        <v>133.22</v>
      </c>
      <c r="E6365">
        <v>133.21</v>
      </c>
      <c r="F6365">
        <v>0.01</v>
      </c>
    </row>
    <row r="6366" spans="1:6" x14ac:dyDescent="0.3">
      <c r="A6366" t="str">
        <f>HYPERLINK("https://us2.cloudbeds.com/connect/10074733072513#/reservations/30684687085734?display=YQWHSUMYW&amp;reservation_id=30684687085734", "YQWHSUMYW")</f>
        <v>YQWHSUMYW</v>
      </c>
      <c r="B6366" t="s">
        <v>953</v>
      </c>
      <c r="C6366">
        <v>169</v>
      </c>
      <c r="D6366">
        <v>183.71</v>
      </c>
      <c r="E6366">
        <v>183.7</v>
      </c>
      <c r="F6366">
        <v>0.01</v>
      </c>
    </row>
    <row r="6367" spans="1:6" x14ac:dyDescent="0.3">
      <c r="A6367" t="str">
        <f>HYPERLINK("https://us2.cloudbeds.com/connect/10074733072513#/reservations/30685134291157?display=YQWTA0RKF&amp;reservation_id=30685134291157", "YQWTA0RKF")</f>
        <v>YQWTA0RKF</v>
      </c>
      <c r="B6367" t="s">
        <v>929</v>
      </c>
      <c r="C6367">
        <v>159</v>
      </c>
      <c r="D6367">
        <v>172.84</v>
      </c>
      <c r="E6367">
        <v>172.83</v>
      </c>
      <c r="F6367">
        <v>0.01</v>
      </c>
    </row>
    <row r="6368" spans="1:6" x14ac:dyDescent="0.3">
      <c r="A6368" t="str">
        <f>HYPERLINK("https://us2.cloudbeds.com/connect/10074733072513#/reservations/30685039345888?display=YQWQSVRT3&amp;reservation_id=30685039345888", "YQWQSVRT3")</f>
        <v>YQWQSVRT3</v>
      </c>
      <c r="B6368" t="s">
        <v>870</v>
      </c>
      <c r="C6368">
        <v>179</v>
      </c>
      <c r="D6368">
        <v>194.58</v>
      </c>
      <c r="E6368">
        <v>194.57</v>
      </c>
      <c r="F6368">
        <v>0.01</v>
      </c>
    </row>
    <row r="6369" spans="1:6" x14ac:dyDescent="0.3">
      <c r="A6369" t="str">
        <f>HYPERLINK("https://us2.cloudbeds.com/connect/10074733072513#/reservations/30685835669640?display=YR0E7ENWT&amp;reservation_id=30685835669640", "YR0E7ENWT")</f>
        <v>YR0E7ENWT</v>
      </c>
      <c r="B6369" t="s">
        <v>929</v>
      </c>
      <c r="C6369">
        <v>139</v>
      </c>
      <c r="D6369">
        <v>151.1</v>
      </c>
      <c r="E6369">
        <v>151.09</v>
      </c>
      <c r="F6369">
        <v>0.01</v>
      </c>
    </row>
    <row r="6370" spans="1:6" x14ac:dyDescent="0.3">
      <c r="A6370" t="str">
        <f>HYPERLINK("https://us2.cloudbeds.com/connect/10074733072513#/reservations/30683055882407?display=YQV96F1Y4&amp;reservation_id=30683055882407", "YQV96F1Y4")</f>
        <v>YQV96F1Y4</v>
      </c>
      <c r="B6370" t="s">
        <v>945</v>
      </c>
      <c r="C6370">
        <v>149</v>
      </c>
      <c r="D6370">
        <v>161.97</v>
      </c>
      <c r="E6370">
        <v>161.96</v>
      </c>
      <c r="F6370">
        <v>0.01</v>
      </c>
    </row>
    <row r="6371" spans="1:6" x14ac:dyDescent="0.3">
      <c r="A6371" t="str">
        <f>HYPERLINK("https://us2.cloudbeds.com/connect/10074733072513#/reservations/31673860190349?display=MH6FHTFH2&amp;reservation_id=31673860190349", "MH6FHTFH2")</f>
        <v>MH6FHTFH2</v>
      </c>
      <c r="B6371" t="s">
        <v>981</v>
      </c>
      <c r="C6371">
        <v>129</v>
      </c>
      <c r="D6371">
        <v>140.22999999999999</v>
      </c>
      <c r="E6371">
        <v>140.22</v>
      </c>
      <c r="F6371">
        <v>0.01</v>
      </c>
    </row>
    <row r="6372" spans="1:6" x14ac:dyDescent="0.3">
      <c r="A6372" t="str">
        <f>HYPERLINK("https://us2.cloudbeds.com/connect/10074733072513#/reservations/31674825089168?display=MH776H6M7&amp;reservation_id=31674825089168", "MH776H6M7")</f>
        <v>MH776H6M7</v>
      </c>
      <c r="B6372" t="s">
        <v>982</v>
      </c>
      <c r="C6372">
        <v>258</v>
      </c>
      <c r="D6372">
        <v>280.45999999999998</v>
      </c>
      <c r="E6372">
        <v>280.45</v>
      </c>
      <c r="F6372">
        <v>0.01</v>
      </c>
    </row>
    <row r="6373" spans="1:6" x14ac:dyDescent="0.3">
      <c r="A6373" t="str">
        <f>HYPERLINK("https://us2.cloudbeds.com/connect/10074733072513#/reservations/30683092201703?display=YQVA42MMS&amp;reservation_id=30683092201703", "YQVA42MMS")</f>
        <v>YQVA42MMS</v>
      </c>
      <c r="B6373" t="s">
        <v>891</v>
      </c>
      <c r="C6373">
        <v>338</v>
      </c>
      <c r="D6373">
        <v>367.42</v>
      </c>
      <c r="E6373">
        <v>367.41</v>
      </c>
      <c r="F6373">
        <v>0.01</v>
      </c>
    </row>
    <row r="6374" spans="1:6" x14ac:dyDescent="0.3">
      <c r="A6374" t="str">
        <f>HYPERLINK("https://us2.cloudbeds.com/connect/10074733072513#/reservations/30685291798748?display=YR00ARNMP&amp;reservation_id=30685291798748", "YR00ARNMP")</f>
        <v>YR00ARNMP</v>
      </c>
      <c r="B6374" t="s">
        <v>726</v>
      </c>
      <c r="C6374">
        <v>169</v>
      </c>
      <c r="D6374">
        <v>183.71</v>
      </c>
      <c r="E6374">
        <v>183.7</v>
      </c>
      <c r="F6374">
        <v>0.01</v>
      </c>
    </row>
    <row r="6375" spans="1:6" x14ac:dyDescent="0.3">
      <c r="A6375" t="str">
        <f>HYPERLINK("https://us2.cloudbeds.com/connect/10074733072513#/reservations/31675566846110?display=MH7Q4WMHA&amp;reservation_id=31675566846110", "MH7Q4WMHA")</f>
        <v>MH7Q4WMHA</v>
      </c>
      <c r="B6375" t="s">
        <v>982</v>
      </c>
      <c r="C6375">
        <v>258</v>
      </c>
      <c r="D6375">
        <v>280.45999999999998</v>
      </c>
      <c r="E6375">
        <v>280.45</v>
      </c>
      <c r="F6375">
        <v>0.01</v>
      </c>
    </row>
    <row r="6376" spans="1:6" x14ac:dyDescent="0.3">
      <c r="A6376" t="str">
        <f>HYPERLINK("https://us2.cloudbeds.com/connect/10074733072513#/reservations/30685835673737?display=YR0E7ERP1&amp;reservation_id=30685835673737", "YR0E7ERP1")</f>
        <v>YR0E7ERP1</v>
      </c>
      <c r="B6376" t="s">
        <v>929</v>
      </c>
      <c r="C6376">
        <v>139</v>
      </c>
      <c r="D6376">
        <v>151.1</v>
      </c>
      <c r="E6376">
        <v>151.09</v>
      </c>
      <c r="F6376">
        <v>0.01</v>
      </c>
    </row>
    <row r="6377" spans="1:6" x14ac:dyDescent="0.3">
      <c r="A6377" t="str">
        <f>HYPERLINK("https://us2.cloudbeds.com/connect/10074733072513#/reservations/31675579543736?display=MH7QFN0DS&amp;reservation_id=31675579543736", "MH7QFN0DS")</f>
        <v>MH7QFN0DS</v>
      </c>
      <c r="B6377" t="s">
        <v>982</v>
      </c>
      <c r="C6377">
        <v>278</v>
      </c>
      <c r="D6377">
        <v>302.2</v>
      </c>
      <c r="E6377">
        <v>302.19</v>
      </c>
      <c r="F6377">
        <v>0.01</v>
      </c>
    </row>
    <row r="6378" spans="1:6" x14ac:dyDescent="0.3">
      <c r="A6378" t="str">
        <f>HYPERLINK("https://us2.cloudbeds.com/connect/10074733072513#/reservations/30682769715416?display=YQV1T5114&amp;reservation_id=30682769715416", "YQV1T5114")</f>
        <v>YQV1T5114</v>
      </c>
      <c r="B6378" t="s">
        <v>809</v>
      </c>
      <c r="C6378">
        <v>109</v>
      </c>
      <c r="D6378">
        <v>118.49</v>
      </c>
      <c r="E6378">
        <v>118.48</v>
      </c>
      <c r="F6378">
        <v>0.01</v>
      </c>
    </row>
    <row r="6379" spans="1:6" x14ac:dyDescent="0.3">
      <c r="A6379" t="str">
        <f>HYPERLINK("https://us2.cloudbeds.com/connect/10074733072513#/reservations/30684865450179?display=YQWMEAV15&amp;reservation_id=30684865450179", "YQWMEAV15")</f>
        <v>YQWMEAV15</v>
      </c>
      <c r="B6379" t="s">
        <v>870</v>
      </c>
      <c r="C6379">
        <v>298</v>
      </c>
      <c r="D6379">
        <v>323.94</v>
      </c>
      <c r="E6379">
        <v>323.93</v>
      </c>
      <c r="F6379">
        <v>0.01</v>
      </c>
    </row>
    <row r="6380" spans="1:6" x14ac:dyDescent="0.3">
      <c r="A6380" t="str">
        <f>HYPERLINK("https://us2.cloudbeds.com/connect/10074733072513#/reservations/30684894916773?display=YQWN65TE8&amp;reservation_id=30684894916773", "YQWN65TE8")</f>
        <v>YQWN65TE8</v>
      </c>
      <c r="B6380" t="s">
        <v>919</v>
      </c>
      <c r="C6380">
        <v>249</v>
      </c>
      <c r="D6380">
        <v>270.67</v>
      </c>
      <c r="E6380">
        <v>270.66000000000003</v>
      </c>
      <c r="F6380">
        <v>0.01</v>
      </c>
    </row>
    <row r="6381" spans="1:6" x14ac:dyDescent="0.3">
      <c r="A6381" t="str">
        <f>HYPERLINK("https://us2.cloudbeds.com/connect/10074733072513#/reservations/30685187891422?display=YQWUM7BAU&amp;reservation_id=30685187891422", "YQWUM7BAU")</f>
        <v>YQWUM7BAU</v>
      </c>
      <c r="B6381" t="s">
        <v>726</v>
      </c>
      <c r="C6381">
        <v>249</v>
      </c>
      <c r="D6381">
        <v>270.67</v>
      </c>
      <c r="E6381">
        <v>270.66000000000003</v>
      </c>
      <c r="F6381">
        <v>0.01</v>
      </c>
    </row>
    <row r="6382" spans="1:6" x14ac:dyDescent="0.3">
      <c r="A6382" t="str">
        <f>HYPERLINK("https://us2.cloudbeds.com/connect/10074733072513#/reservations/30683659722952?display=YQVZKKQGF&amp;reservation_id=30683659722952", "YQVZKKQGF")</f>
        <v>YQVZKKQGF</v>
      </c>
      <c r="B6382" t="s">
        <v>940</v>
      </c>
      <c r="C6382">
        <v>109</v>
      </c>
      <c r="D6382">
        <v>118.49</v>
      </c>
      <c r="E6382">
        <v>118.48</v>
      </c>
      <c r="F6382">
        <v>0.01</v>
      </c>
    </row>
    <row r="6383" spans="1:6" x14ac:dyDescent="0.3">
      <c r="A6383" t="str">
        <f>HYPERLINK("https://us2.cloudbeds.com/connect/10074733072513#/reservations/30685187895501?display=YQWUM7F2H&amp;reservation_id=30685187895501", "YQWUM7F2H")</f>
        <v>YQWUM7F2H</v>
      </c>
      <c r="B6383" t="s">
        <v>914</v>
      </c>
      <c r="C6383">
        <v>149</v>
      </c>
      <c r="D6383">
        <v>161.97</v>
      </c>
      <c r="E6383">
        <v>161.96</v>
      </c>
      <c r="F6383">
        <v>0.01</v>
      </c>
    </row>
    <row r="6384" spans="1:6" x14ac:dyDescent="0.3">
      <c r="A6384" t="str">
        <f>HYPERLINK("https://us2.cloudbeds.com/connect/10074733072513#/reservations/30683333255317?display=YQVG9BBSR&amp;reservation_id=30683333255317", "YQVG9BBSR")</f>
        <v>YQVG9BBSR</v>
      </c>
      <c r="B6384" t="s">
        <v>870</v>
      </c>
      <c r="C6384">
        <v>194.65</v>
      </c>
      <c r="D6384">
        <v>211.59</v>
      </c>
      <c r="E6384">
        <v>211.58</v>
      </c>
      <c r="F6384">
        <v>0.01</v>
      </c>
    </row>
    <row r="6385" spans="1:6" x14ac:dyDescent="0.3">
      <c r="A6385" t="str">
        <f>HYPERLINK("https://us2.cloudbeds.com/connect/10074733072513#/reservations/30683998818497?display=YQW09XY01&amp;reservation_id=30683998818497", "YQW09XY01")</f>
        <v>YQW09XY01</v>
      </c>
      <c r="B6385" t="s">
        <v>891</v>
      </c>
      <c r="C6385">
        <v>79</v>
      </c>
      <c r="D6385">
        <v>85.88</v>
      </c>
      <c r="E6385">
        <v>85.87</v>
      </c>
      <c r="F6385">
        <v>0.01</v>
      </c>
    </row>
    <row r="6386" spans="1:6" x14ac:dyDescent="0.3">
      <c r="A6386" t="str">
        <f>HYPERLINK("https://us2.cloudbeds.com/connect/10074733072513#/reservations/30684915458195?display=YQWNNGG2J&amp;reservation_id=30684915458195", "YQWNNGG2J")</f>
        <v>YQWNNGG2J</v>
      </c>
      <c r="B6386" t="s">
        <v>980</v>
      </c>
      <c r="C6386">
        <v>444</v>
      </c>
      <c r="D6386">
        <v>482.64</v>
      </c>
      <c r="E6386">
        <v>482.63</v>
      </c>
      <c r="F6386">
        <v>0.01</v>
      </c>
    </row>
    <row r="6387" spans="1:6" x14ac:dyDescent="0.3">
      <c r="A6387" t="str">
        <f>HYPERLINK("https://us2.cloudbeds.com/connect/10074733072513#/reservations/30685168140495?display=YQWU5XZXW&amp;reservation_id=30685168140495", "YQWU5XZXW")</f>
        <v>YQWU5XZXW</v>
      </c>
      <c r="B6387" t="s">
        <v>935</v>
      </c>
      <c r="C6387">
        <v>79</v>
      </c>
      <c r="D6387">
        <v>85.88</v>
      </c>
      <c r="E6387">
        <v>85.87</v>
      </c>
      <c r="F6387">
        <v>0.01</v>
      </c>
    </row>
    <row r="6388" spans="1:6" x14ac:dyDescent="0.3">
      <c r="A6388" t="str">
        <f>HYPERLINK("https://us2.cloudbeds.com/connect/10074733072513#/reservations/30685174685859?display=YQWUB2T0A&amp;reservation_id=30685174685859", "YQWUB2T0A")</f>
        <v>YQWUB2T0A</v>
      </c>
      <c r="B6388" t="s">
        <v>935</v>
      </c>
      <c r="C6388">
        <v>129</v>
      </c>
      <c r="D6388">
        <v>140.22999999999999</v>
      </c>
      <c r="E6388">
        <v>140.22</v>
      </c>
      <c r="F6388">
        <v>0.01</v>
      </c>
    </row>
    <row r="6389" spans="1:6" x14ac:dyDescent="0.3">
      <c r="A6389" t="str">
        <f>HYPERLINK("https://us2.cloudbeds.com/connect/10074733072513#/reservations/30685139513512?display=YQWTEE55Y&amp;reservation_id=30685139513512", "YQWTEE55Y")</f>
        <v>YQWTEE55Y</v>
      </c>
      <c r="B6389" t="s">
        <v>935</v>
      </c>
      <c r="C6389">
        <v>119</v>
      </c>
      <c r="D6389">
        <v>129.36000000000001</v>
      </c>
      <c r="E6389">
        <v>129.35</v>
      </c>
      <c r="F6389">
        <v>0.01</v>
      </c>
    </row>
    <row r="6390" spans="1:6" x14ac:dyDescent="0.3">
      <c r="A6390" t="str">
        <f>HYPERLINK("https://us2.cloudbeds.com/connect/10074733072513#/reservations/30685109244123?display=YQWSYTSJE&amp;reservation_id=30685109244123", "YQWSYTSJE")</f>
        <v>YQWSYTSJE</v>
      </c>
      <c r="B6390" t="s">
        <v>935</v>
      </c>
      <c r="C6390">
        <v>119</v>
      </c>
      <c r="D6390">
        <v>129.36000000000001</v>
      </c>
      <c r="E6390">
        <v>129.35</v>
      </c>
      <c r="F6390">
        <v>0.01</v>
      </c>
    </row>
    <row r="6391" spans="1:6" x14ac:dyDescent="0.3">
      <c r="A6391" t="str">
        <f>HYPERLINK("https://us2.cloudbeds.com/connect/10074733072513#/reservations/30685090738368?display=YQWS0H3T6&amp;reservation_id=30685090738368", "YQWS0H3T6")</f>
        <v>YQWS0H3T6</v>
      </c>
      <c r="B6391" t="s">
        <v>975</v>
      </c>
      <c r="C6391">
        <v>99</v>
      </c>
      <c r="D6391">
        <v>107.62</v>
      </c>
      <c r="E6391">
        <v>107.61</v>
      </c>
      <c r="F6391">
        <v>0.01</v>
      </c>
    </row>
    <row r="6392" spans="1:6" x14ac:dyDescent="0.3">
      <c r="A6392" t="str">
        <f>HYPERLINK("https://us2.cloudbeds.com/connect/10074733072513#/reservations/30685374382305?display=YR02EFNWQ&amp;reservation_id=30685374382305", "YR02EFNWQ")</f>
        <v>YR02EFNWQ</v>
      </c>
      <c r="B6392" t="s">
        <v>985</v>
      </c>
      <c r="C6392">
        <v>89</v>
      </c>
      <c r="D6392">
        <v>96.75</v>
      </c>
      <c r="E6392">
        <v>96.74</v>
      </c>
      <c r="F6392">
        <v>0.01</v>
      </c>
    </row>
    <row r="6393" spans="1:6" x14ac:dyDescent="0.3">
      <c r="A6393" t="str">
        <f>HYPERLINK("https://us2.cloudbeds.com/connect/10074733072513#/reservations/30685584400579?display=YR07QXQ7U&amp;reservation_id=30685584400579", "YR07QXQ7U")</f>
        <v>YR07QXQ7U</v>
      </c>
      <c r="B6393" t="s">
        <v>953</v>
      </c>
      <c r="C6393">
        <v>179</v>
      </c>
      <c r="D6393">
        <v>194.58</v>
      </c>
      <c r="E6393">
        <v>194.57</v>
      </c>
      <c r="F6393">
        <v>0.01</v>
      </c>
    </row>
    <row r="6394" spans="1:6" x14ac:dyDescent="0.3">
      <c r="A6394" t="str">
        <f>HYPERLINK("https://us2.cloudbeds.com/connect/10074733072513#/reservations/30685151944854?display=YQWTZU2HW&amp;reservation_id=30685151944854", "YQWTZU2HW")</f>
        <v>YQWTZU2HW</v>
      </c>
      <c r="B6394" t="s">
        <v>935</v>
      </c>
      <c r="C6394">
        <v>119</v>
      </c>
      <c r="D6394">
        <v>129.36000000000001</v>
      </c>
      <c r="E6394">
        <v>129.35</v>
      </c>
      <c r="F6394">
        <v>0.01</v>
      </c>
    </row>
    <row r="6395" spans="1:6" x14ac:dyDescent="0.3">
      <c r="A6395" t="str">
        <f>HYPERLINK("https://us2.cloudbeds.com/connect/10074733072513#/reservations/30685090742473?display=YQWS6A10C&amp;reservation_id=30685090742473", "YQWS6A10C")</f>
        <v>YQWS6A10C</v>
      </c>
      <c r="B6395" t="s">
        <v>975</v>
      </c>
      <c r="C6395">
        <v>99</v>
      </c>
      <c r="D6395">
        <v>107.62</v>
      </c>
      <c r="E6395">
        <v>107.61</v>
      </c>
      <c r="F6395">
        <v>0.01</v>
      </c>
    </row>
    <row r="6396" spans="1:6" x14ac:dyDescent="0.3">
      <c r="A6396" t="str">
        <f>HYPERLINK("https://us2.cloudbeds.com/connect/10074733072513#/reservations/30681859133580?display=YQUBKAZZ4&amp;reservation_id=30681859133580", "YQUBKAZZ4")</f>
        <v>YQUBKAZZ4</v>
      </c>
      <c r="B6396" t="s">
        <v>940</v>
      </c>
      <c r="C6396">
        <v>358</v>
      </c>
      <c r="D6396">
        <v>389.16</v>
      </c>
      <c r="E6396">
        <v>389.15</v>
      </c>
      <c r="F6396">
        <v>0.01</v>
      </c>
    </row>
    <row r="6397" spans="1:6" x14ac:dyDescent="0.3">
      <c r="A6397" t="str">
        <f>HYPERLINK("https://us2.cloudbeds.com/connect/10074733072513#/reservations/30682828742815?display=YQV3CUXB6&amp;reservation_id=30682828742815", "YQV3CUXB6")</f>
        <v>YQV3CUXB6</v>
      </c>
      <c r="B6397" t="s">
        <v>987</v>
      </c>
      <c r="C6397">
        <v>238</v>
      </c>
      <c r="D6397">
        <v>258.72000000000003</v>
      </c>
      <c r="E6397">
        <v>258.70999999999998</v>
      </c>
      <c r="F6397">
        <v>0.01</v>
      </c>
    </row>
    <row r="6398" spans="1:6" x14ac:dyDescent="0.3">
      <c r="A6398" t="str">
        <f>HYPERLINK("https://us2.cloudbeds.com/connect/10074733072513#/reservations/30682895835300?display=YQV53GGJQ&amp;reservation_id=30682895835300", "YQV53GGJQ")</f>
        <v>YQV53GGJQ</v>
      </c>
      <c r="B6398" t="s">
        <v>924</v>
      </c>
      <c r="C6398">
        <v>129</v>
      </c>
      <c r="D6398">
        <v>140.22999999999999</v>
      </c>
      <c r="E6398">
        <v>140.22</v>
      </c>
      <c r="F6398">
        <v>0.01</v>
      </c>
    </row>
    <row r="6399" spans="1:6" x14ac:dyDescent="0.3">
      <c r="A6399" t="str">
        <f>HYPERLINK("https://us2.cloudbeds.com/connect/10074733072513#/reservations/30684869628059?display=YQWMHS6FJ&amp;reservation_id=30684869628059", "YQWMHS6FJ")</f>
        <v>YQWMHS6FJ</v>
      </c>
      <c r="B6399" t="s">
        <v>870</v>
      </c>
      <c r="C6399">
        <v>258</v>
      </c>
      <c r="D6399">
        <v>280.45999999999998</v>
      </c>
      <c r="E6399">
        <v>280.45</v>
      </c>
      <c r="F6399">
        <v>0.01</v>
      </c>
    </row>
    <row r="6400" spans="1:6" x14ac:dyDescent="0.3">
      <c r="A6400" t="str">
        <f>HYPERLINK("https://us2.cloudbeds.com/connect/10074733072513#/reservations/30685098037408?display=YQWSCF0P0&amp;reservation_id=30685098037408", "YQWSCF0P0")</f>
        <v>YQWSCF0P0</v>
      </c>
      <c r="B6400" t="s">
        <v>975</v>
      </c>
      <c r="C6400">
        <v>139</v>
      </c>
      <c r="D6400">
        <v>151.1</v>
      </c>
      <c r="E6400">
        <v>151.09</v>
      </c>
      <c r="F6400">
        <v>0.01</v>
      </c>
    </row>
    <row r="6401" spans="1:6" x14ac:dyDescent="0.3">
      <c r="A6401" t="str">
        <f>HYPERLINK("https://us2.cloudbeds.com/connect/10074733072513#/reservations/30685209604333?display=YQWV7HHNU&amp;reservation_id=30685209604333", "YQWV7HHNU")</f>
        <v>YQWV7HHNU</v>
      </c>
      <c r="B6401" t="s">
        <v>975</v>
      </c>
      <c r="C6401">
        <v>89</v>
      </c>
      <c r="D6401">
        <v>96.75</v>
      </c>
      <c r="E6401">
        <v>96.74</v>
      </c>
      <c r="F6401">
        <v>0.01</v>
      </c>
    </row>
    <row r="6402" spans="1:6" x14ac:dyDescent="0.3">
      <c r="A6402" t="str">
        <f>HYPERLINK("https://us2.cloudbeds.com/connect/10074733072513#/reservations/30685657993423?display=YR09MKKK3&amp;reservation_id=30685657993423", "YR09MKKK3")</f>
        <v>YR09MKKK3</v>
      </c>
      <c r="B6402" t="s">
        <v>953</v>
      </c>
      <c r="C6402">
        <v>290</v>
      </c>
      <c r="D6402">
        <v>315.24</v>
      </c>
      <c r="E6402">
        <v>315.23</v>
      </c>
      <c r="F6402">
        <v>0.01</v>
      </c>
    </row>
    <row r="6403" spans="1:6" x14ac:dyDescent="0.3">
      <c r="A6403" t="str">
        <f>HYPERLINK("https://us2.cloudbeds.com/connect/10074733072513#/reservations/30683224244396?display=YQVDGDW0J&amp;reservation_id=30683224244396", "YQVDGDW0J")</f>
        <v>YQVDGDW0J</v>
      </c>
      <c r="B6403" t="s">
        <v>945</v>
      </c>
      <c r="C6403">
        <v>258</v>
      </c>
      <c r="D6403">
        <v>280.45999999999998</v>
      </c>
      <c r="E6403">
        <v>280.45</v>
      </c>
      <c r="F6403">
        <v>0.01</v>
      </c>
    </row>
    <row r="6404" spans="1:6" x14ac:dyDescent="0.3">
      <c r="A6404" t="str">
        <f>HYPERLINK("https://us2.cloudbeds.com/connect/10074733072513#/reservations/30685370597578?display=YR02B9DJ3&amp;reservation_id=30685370597578", "YR02B9DJ3")</f>
        <v>YR02B9DJ3</v>
      </c>
      <c r="B6404" t="s">
        <v>985</v>
      </c>
      <c r="C6404">
        <v>159</v>
      </c>
      <c r="D6404">
        <v>172.84</v>
      </c>
      <c r="E6404">
        <v>172.83</v>
      </c>
      <c r="F6404">
        <v>0.01</v>
      </c>
    </row>
    <row r="6405" spans="1:6" x14ac:dyDescent="0.3">
      <c r="A6405" t="str">
        <f>HYPERLINK("https://us2.cloudbeds.com/connect/10074733072513#/reservations/30683185770745?display=YQVCGWCMC&amp;reservation_id=30683185770745", "YQVCGWCMC")</f>
        <v>YQVCGWCMC</v>
      </c>
      <c r="B6405" t="s">
        <v>809</v>
      </c>
      <c r="C6405">
        <v>218</v>
      </c>
      <c r="D6405">
        <v>236.98</v>
      </c>
      <c r="E6405">
        <v>236.97</v>
      </c>
      <c r="F6405">
        <v>0.01</v>
      </c>
    </row>
    <row r="6406" spans="1:6" x14ac:dyDescent="0.3">
      <c r="A6406" t="str">
        <f>HYPERLINK("https://us2.cloudbeds.com/connect/10074733072513#/reservations/30684827140250?display=YQWYF0U17&amp;reservation_id=30684827140250", "YQWYF0U17")</f>
        <v>YQWYF0U17</v>
      </c>
      <c r="B6406" t="s">
        <v>870</v>
      </c>
      <c r="C6406">
        <v>189</v>
      </c>
      <c r="D6406">
        <v>205.45</v>
      </c>
      <c r="E6406">
        <v>205.44</v>
      </c>
      <c r="F6406">
        <v>0.01</v>
      </c>
    </row>
    <row r="6407" spans="1:6" x14ac:dyDescent="0.3">
      <c r="A6407" t="str">
        <f>HYPERLINK("https://us2.cloudbeds.com/connect/10074733072513#/reservations/30684271214828?display=YQW788FCA&amp;reservation_id=30684271214828", "YQW788FCA")</f>
        <v>YQW788FCA</v>
      </c>
      <c r="B6407" t="s">
        <v>891</v>
      </c>
      <c r="C6407">
        <v>169</v>
      </c>
      <c r="D6407">
        <v>183.71</v>
      </c>
      <c r="E6407">
        <v>183.7</v>
      </c>
      <c r="F6407">
        <v>0.01</v>
      </c>
    </row>
    <row r="6408" spans="1:6" x14ac:dyDescent="0.3">
      <c r="A6408" t="str">
        <f>HYPERLINK("https://us2.cloudbeds.com/connect/10074733072513#/reservations/30685590868188?display=YR07W0P92&amp;reservation_id=30685590868188", "YR07W0P92")</f>
        <v>YR07W0P92</v>
      </c>
      <c r="B6408" t="s">
        <v>953</v>
      </c>
      <c r="C6408">
        <v>169</v>
      </c>
      <c r="D6408">
        <v>183.71</v>
      </c>
      <c r="E6408">
        <v>183.7</v>
      </c>
      <c r="F6408">
        <v>0.01</v>
      </c>
    </row>
    <row r="6409" spans="1:6" x14ac:dyDescent="0.3">
      <c r="A6409" t="str">
        <f>HYPERLINK("https://us2.cloudbeds.com/connect/10074733072513#/reservations/30685013659803?display=YQWQ7A30T&amp;reservation_id=30685013659803", "YQWQ7A30T")</f>
        <v>YQWQ7A30T</v>
      </c>
      <c r="B6409" t="s">
        <v>976</v>
      </c>
      <c r="C6409">
        <v>119</v>
      </c>
      <c r="D6409">
        <v>129.36000000000001</v>
      </c>
      <c r="E6409">
        <v>129.35</v>
      </c>
      <c r="F6409">
        <v>0.01</v>
      </c>
    </row>
    <row r="6410" spans="1:6" x14ac:dyDescent="0.3">
      <c r="A6410" t="str">
        <f>HYPERLINK("https://us2.cloudbeds.com/connect/10074733072513#/reservations/30685606092961?display=YR08BSDPR&amp;reservation_id=30685606092961", "YR08BSDPR")</f>
        <v>YR08BSDPR</v>
      </c>
      <c r="B6410" t="s">
        <v>953</v>
      </c>
      <c r="C6410">
        <v>139</v>
      </c>
      <c r="D6410">
        <v>151.1</v>
      </c>
      <c r="E6410">
        <v>151.09</v>
      </c>
      <c r="F6410">
        <v>0.01</v>
      </c>
    </row>
    <row r="6411" spans="1:6" x14ac:dyDescent="0.3">
      <c r="A6411" t="str">
        <f>HYPERLINK("https://us2.cloudbeds.com/connect/10074733072513#/reservations/30685571162330?display=YR07FDDTS&amp;reservation_id=30685571162330", "YR07FDDTS")</f>
        <v>YR07FDDTS</v>
      </c>
      <c r="B6411" t="s">
        <v>870</v>
      </c>
      <c r="C6411">
        <v>169</v>
      </c>
      <c r="D6411">
        <v>183.71</v>
      </c>
      <c r="E6411">
        <v>183.7</v>
      </c>
      <c r="F6411">
        <v>0.01</v>
      </c>
    </row>
    <row r="6412" spans="1:6" x14ac:dyDescent="0.3">
      <c r="A6412" t="str">
        <f>HYPERLINK("https://us2.cloudbeds.com/connect/10074733072513#/reservations/30685600080077?display=YR086Q3A7&amp;reservation_id=30685600080077", "YR086Q3A7")</f>
        <v>YR086Q3A7</v>
      </c>
      <c r="B6412" t="s">
        <v>953</v>
      </c>
      <c r="C6412">
        <v>169</v>
      </c>
      <c r="D6412">
        <v>183.71</v>
      </c>
      <c r="E6412">
        <v>183.7</v>
      </c>
      <c r="F6412">
        <v>0.01</v>
      </c>
    </row>
    <row r="6413" spans="1:6" x14ac:dyDescent="0.3">
      <c r="A6413" t="str">
        <f>HYPERLINK("https://us2.cloudbeds.com/connect/10074733072513#/reservations/30682656125095?display=YQUVWC716&amp;reservation_id=30682656125095", "YQUVWC716")</f>
        <v>YQUVWC716</v>
      </c>
      <c r="B6413" t="s">
        <v>883</v>
      </c>
      <c r="C6413">
        <v>129</v>
      </c>
      <c r="D6413">
        <v>140.22999999999999</v>
      </c>
      <c r="E6413">
        <v>140.22</v>
      </c>
      <c r="F6413">
        <v>0.01</v>
      </c>
    </row>
    <row r="6414" spans="1:6" x14ac:dyDescent="0.3">
      <c r="A6414" t="str">
        <f>HYPERLINK("https://us2.cloudbeds.com/connect/10074733072513#/reservations/30683956105441?display=YQVW6X2Z0&amp;reservation_id=30683956105441", "YQVW6X2Z0")</f>
        <v>YQVW6X2Z0</v>
      </c>
      <c r="B6414" t="s">
        <v>917</v>
      </c>
      <c r="C6414">
        <v>298</v>
      </c>
      <c r="D6414">
        <v>323.94</v>
      </c>
      <c r="E6414">
        <v>323.93</v>
      </c>
      <c r="F6414">
        <v>0.01</v>
      </c>
    </row>
    <row r="6415" spans="1:6" x14ac:dyDescent="0.3">
      <c r="A6415" t="str">
        <f>HYPERLINK("https://us2.cloudbeds.com/connect/10074733072513#/reservations/30683953680569?display=YQVW4GK11&amp;reservation_id=30683953680569", "YQVW4GK11")</f>
        <v>YQVW4GK11</v>
      </c>
      <c r="B6415" t="s">
        <v>917</v>
      </c>
      <c r="C6415">
        <v>122.55</v>
      </c>
      <c r="D6415">
        <v>133.22</v>
      </c>
      <c r="E6415">
        <v>133.21</v>
      </c>
      <c r="F6415">
        <v>0.01</v>
      </c>
    </row>
    <row r="6416" spans="1:6" x14ac:dyDescent="0.3">
      <c r="A6416" t="str">
        <f>HYPERLINK("https://us2.cloudbeds.com/connect/10074733072513#/reservations/30684589838493?display=YQWFCUY2T&amp;reservation_id=30684589838493", "YQWFCUY2T")</f>
        <v>YQWFCUY2T</v>
      </c>
      <c r="B6416" t="s">
        <v>940</v>
      </c>
      <c r="C6416">
        <v>338</v>
      </c>
      <c r="D6416">
        <v>367.42</v>
      </c>
      <c r="E6416">
        <v>367.41</v>
      </c>
      <c r="F6416">
        <v>0.01</v>
      </c>
    </row>
    <row r="6417" spans="1:6" x14ac:dyDescent="0.3">
      <c r="A6417" t="str">
        <f>HYPERLINK("https://us2.cloudbeds.com/connect/10074733072513#/reservations/30685425176800?display=YR03ZA57U&amp;reservation_id=30685425176800", "YR03ZA57U")</f>
        <v>YR03ZA57U</v>
      </c>
      <c r="B6417" t="s">
        <v>984</v>
      </c>
      <c r="C6417">
        <v>321.3</v>
      </c>
      <c r="D6417">
        <v>349.26</v>
      </c>
      <c r="E6417">
        <v>349.25</v>
      </c>
      <c r="F6417">
        <v>0.01</v>
      </c>
    </row>
    <row r="6418" spans="1:6" x14ac:dyDescent="0.3">
      <c r="A6418" t="str">
        <f>HYPERLINK("https://us2.cloudbeds.com/connect/10074733072513#/reservations/30684959109270?display=YQWZRA4NE&amp;reservation_id=30684959109270", "YQWZRA4NE")</f>
        <v>YQWZRA4NE</v>
      </c>
      <c r="B6418" t="s">
        <v>927</v>
      </c>
      <c r="C6418">
        <v>80.38</v>
      </c>
      <c r="D6418">
        <v>87.38</v>
      </c>
      <c r="E6418">
        <v>87.37</v>
      </c>
      <c r="F6418">
        <v>0.01</v>
      </c>
    </row>
    <row r="6419" spans="1:6" x14ac:dyDescent="0.3">
      <c r="A6419" t="str">
        <f>HYPERLINK("https://us2.cloudbeds.com/connect/10074733072513#/reservations/30685392187569?display=YR02TG638&amp;reservation_id=30685392187569", "YR02TG638")</f>
        <v>YR02TG638</v>
      </c>
      <c r="B6419" t="s">
        <v>984</v>
      </c>
      <c r="C6419">
        <v>238</v>
      </c>
      <c r="D6419">
        <v>258.72000000000003</v>
      </c>
      <c r="E6419">
        <v>258.70999999999998</v>
      </c>
      <c r="F6419">
        <v>0.01</v>
      </c>
    </row>
    <row r="6420" spans="1:6" x14ac:dyDescent="0.3">
      <c r="A6420" t="str">
        <f>HYPERLINK("https://us2.cloudbeds.com/connect/10074733072513#/reservations/30684639813776?display=YQWGM292D&amp;reservation_id=30684639813776", "YQWGM292D")</f>
        <v>YQWGM292D</v>
      </c>
      <c r="B6420" t="s">
        <v>983</v>
      </c>
      <c r="C6420">
        <v>119</v>
      </c>
      <c r="D6420">
        <v>129.36000000000001</v>
      </c>
      <c r="E6420">
        <v>129.35</v>
      </c>
      <c r="F6420">
        <v>0.01</v>
      </c>
    </row>
    <row r="6421" spans="1:6" x14ac:dyDescent="0.3">
      <c r="A6421" t="str">
        <f>HYPERLINK("https://us2.cloudbeds.com/connect/10074733072513#/reservations/30684638474472?display=YQWGKV07E&amp;reservation_id=30684638474472", "YQWGKV07E")</f>
        <v>YQWGKV07E</v>
      </c>
      <c r="B6421" t="s">
        <v>983</v>
      </c>
      <c r="C6421">
        <v>119</v>
      </c>
      <c r="D6421">
        <v>129.36000000000001</v>
      </c>
      <c r="E6421">
        <v>129.35</v>
      </c>
      <c r="F6421">
        <v>0.01</v>
      </c>
    </row>
    <row r="6422" spans="1:6" x14ac:dyDescent="0.3">
      <c r="A6422" t="str">
        <f>HYPERLINK("https://us2.cloudbeds.com/connect/10074733072513#/reservations/30684296843478?display=YQW7TSKG2&amp;reservation_id=30684296843478", "YQW7TSKG2")</f>
        <v>YQW7TSKG2</v>
      </c>
      <c r="B6422" t="s">
        <v>989</v>
      </c>
      <c r="C6422">
        <v>169</v>
      </c>
      <c r="D6422">
        <v>183.71</v>
      </c>
      <c r="E6422">
        <v>183.7</v>
      </c>
      <c r="F6422">
        <v>0.01</v>
      </c>
    </row>
    <row r="6423" spans="1:6" x14ac:dyDescent="0.3">
      <c r="A6423" t="str">
        <f>HYPERLINK("https://us2.cloudbeds.com/connect/10074733072513#/reservations/30682583359648?display=YQUU40DEY&amp;reservation_id=30682583359648", "YQUU40DEY")</f>
        <v>YQUU40DEY</v>
      </c>
      <c r="B6423" t="s">
        <v>749</v>
      </c>
      <c r="C6423">
        <v>318</v>
      </c>
      <c r="D6423">
        <v>345.68</v>
      </c>
      <c r="E6423">
        <v>345.67</v>
      </c>
      <c r="F6423">
        <v>0.01</v>
      </c>
    </row>
    <row r="6424" spans="1:6" x14ac:dyDescent="0.3">
      <c r="A6424" t="str">
        <f>HYPERLINK("https://us2.cloudbeds.com/connect/10074733072513#/reservations/30684537520323?display=YQWE1QQMQ&amp;reservation_id=30684537520323", "YQWE1QQMQ")</f>
        <v>YQWE1QQMQ</v>
      </c>
      <c r="B6424" t="s">
        <v>940</v>
      </c>
      <c r="C6424">
        <v>211.88</v>
      </c>
      <c r="D6424">
        <v>230.32</v>
      </c>
      <c r="E6424">
        <v>230.31</v>
      </c>
      <c r="F6424">
        <v>0.01</v>
      </c>
    </row>
    <row r="6425" spans="1:6" x14ac:dyDescent="0.3">
      <c r="A6425" t="str">
        <f>HYPERLINK("https://us2.cloudbeds.com/connect/10074733072513#/reservations/30682593267962?display=YQUUCC3WJ&amp;reservation_id=30682593267962", "YQUUCC3WJ")</f>
        <v>YQUUCC3WJ</v>
      </c>
      <c r="B6425" t="s">
        <v>749</v>
      </c>
      <c r="C6425">
        <v>149</v>
      </c>
      <c r="D6425">
        <v>161.97</v>
      </c>
      <c r="E6425">
        <v>161.96</v>
      </c>
      <c r="F6425">
        <v>0.01</v>
      </c>
    </row>
    <row r="6426" spans="1:6" x14ac:dyDescent="0.3">
      <c r="A6426" t="str">
        <f>HYPERLINK("https://us2.cloudbeds.com/connect/10074733072513#/reservations/30684958683335?display=YQWZQV9JA&amp;reservation_id=30684958683335", "YQWZQV9JA")</f>
        <v>YQWZQV9JA</v>
      </c>
      <c r="B6426" t="s">
        <v>976</v>
      </c>
      <c r="C6426">
        <v>192</v>
      </c>
      <c r="D6426">
        <v>208.71</v>
      </c>
      <c r="E6426">
        <v>208.7</v>
      </c>
      <c r="F6426">
        <v>0.01</v>
      </c>
    </row>
    <row r="6427" spans="1:6" x14ac:dyDescent="0.3">
      <c r="A6427" t="str">
        <f>HYPERLINK("https://us2.cloudbeds.com/connect/10074733072513#/reservations/30684000059544?display=YQW0AK5KH&amp;reservation_id=30684000059544", "YQW0AK5KH")</f>
        <v>YQW0AK5KH</v>
      </c>
      <c r="B6427" t="s">
        <v>983</v>
      </c>
      <c r="C6427">
        <v>119</v>
      </c>
      <c r="D6427">
        <v>129.36000000000001</v>
      </c>
      <c r="E6427">
        <v>129.35</v>
      </c>
      <c r="F6427">
        <v>0.01</v>
      </c>
    </row>
    <row r="6428" spans="1:6" x14ac:dyDescent="0.3">
      <c r="A6428" t="str">
        <f>HYPERLINK("https://us2.cloudbeds.com/connect/10074733072513#/reservations/30684567142542?display=YQWEQQ2WQ&amp;reservation_id=30684567142542", "YQWEQQ2WQ")</f>
        <v>YQWEQQ2WQ</v>
      </c>
      <c r="B6428" t="s">
        <v>940</v>
      </c>
      <c r="C6428">
        <v>226.1</v>
      </c>
      <c r="D6428">
        <v>245.78</v>
      </c>
      <c r="E6428">
        <v>245.77</v>
      </c>
      <c r="F6428">
        <v>0.01</v>
      </c>
    </row>
    <row r="6429" spans="1:6" x14ac:dyDescent="0.3">
      <c r="A6429" t="str">
        <f>HYPERLINK("https://us2.cloudbeds.com/connect/10074733072513#/reservations/30682895839392?display=YQV53GKBQ&amp;reservation_id=30682895839392", "YQV53GKBQ")</f>
        <v>YQV53GKBQ</v>
      </c>
      <c r="B6429" t="s">
        <v>924</v>
      </c>
      <c r="C6429">
        <v>109</v>
      </c>
      <c r="D6429">
        <v>118.49</v>
      </c>
      <c r="E6429">
        <v>118.48</v>
      </c>
      <c r="F6429">
        <v>0.01</v>
      </c>
    </row>
    <row r="6430" spans="1:6" x14ac:dyDescent="0.3">
      <c r="A6430" t="str">
        <f>HYPERLINK("https://us2.cloudbeds.com/connect/10074733072513#/reservations/30683702558849?display=YQVPNZPXV&amp;reservation_id=30683702558849", "YQVPNZPXV")</f>
        <v>YQVPNZPXV</v>
      </c>
      <c r="B6430" t="s">
        <v>891</v>
      </c>
      <c r="C6430">
        <v>322.2</v>
      </c>
      <c r="D6430">
        <v>350.24</v>
      </c>
      <c r="E6430">
        <v>350.23</v>
      </c>
      <c r="F6430">
        <v>0.01</v>
      </c>
    </row>
    <row r="6431" spans="1:6" x14ac:dyDescent="0.3">
      <c r="A6431" t="str">
        <f>HYPERLINK("https://us2.cloudbeds.com/connect/10074733072513#/reservations/30683990433949?display=YQW02GAMR&amp;reservation_id=30683990433949", "YQW02GAMR")</f>
        <v>YQW02GAMR</v>
      </c>
      <c r="B6431" t="s">
        <v>983</v>
      </c>
      <c r="C6431">
        <v>101.75</v>
      </c>
      <c r="D6431">
        <v>110.61</v>
      </c>
      <c r="E6431">
        <v>110.6</v>
      </c>
      <c r="F6431">
        <v>0.01</v>
      </c>
    </row>
    <row r="6432" spans="1:6" x14ac:dyDescent="0.3">
      <c r="A6432" t="str">
        <f>HYPERLINK("https://us2.cloudbeds.com/connect/10074733072513#/reservations/30683082018968?display=YQV9SGB54&amp;reservation_id=30683082018968", "YQV9SGB54")</f>
        <v>YQV9SGB54</v>
      </c>
      <c r="B6432" t="s">
        <v>991</v>
      </c>
      <c r="C6432">
        <v>444</v>
      </c>
      <c r="D6432">
        <v>482.64</v>
      </c>
      <c r="E6432">
        <v>482.63</v>
      </c>
      <c r="F6432">
        <v>0.01</v>
      </c>
    </row>
    <row r="6433" spans="1:6" x14ac:dyDescent="0.3">
      <c r="A6433" t="str">
        <f>HYPERLINK("https://us2.cloudbeds.com/connect/10074733072513#/reservations/30682127777952?display=YQUXFS5PN&amp;reservation_id=30682127777952", "YQUXFS5PN")</f>
        <v>YQUXFS5PN</v>
      </c>
      <c r="B6433" t="s">
        <v>945</v>
      </c>
      <c r="C6433">
        <v>109</v>
      </c>
      <c r="D6433">
        <v>118.49</v>
      </c>
      <c r="E6433">
        <v>118.48</v>
      </c>
      <c r="F6433">
        <v>0.01</v>
      </c>
    </row>
    <row r="6434" spans="1:6" x14ac:dyDescent="0.3">
      <c r="A6434" t="str">
        <f>HYPERLINK("https://us2.cloudbeds.com/connect/10074733072513#/reservations/30685460431086?display=YR04Y15AK&amp;reservation_id=30685460431086", "YR04Y15AK")</f>
        <v>YR04Y15AK</v>
      </c>
      <c r="B6434" t="s">
        <v>984</v>
      </c>
      <c r="C6434">
        <v>119</v>
      </c>
      <c r="D6434">
        <v>129.36000000000001</v>
      </c>
      <c r="E6434">
        <v>129.35</v>
      </c>
      <c r="F6434">
        <v>0.01</v>
      </c>
    </row>
    <row r="6435" spans="1:6" x14ac:dyDescent="0.3">
      <c r="A6435" t="str">
        <f>HYPERLINK("https://us2.cloudbeds.com/connect/10074733072513#/reservations/30683846709451?display=YQVTD9W90&amp;reservation_id=30683846709451", "YQVTD9W90")</f>
        <v>YQVTD9W90</v>
      </c>
      <c r="B6435" t="s">
        <v>989</v>
      </c>
      <c r="C6435">
        <v>169</v>
      </c>
      <c r="D6435">
        <v>183.71</v>
      </c>
      <c r="E6435">
        <v>183.7</v>
      </c>
      <c r="F6435">
        <v>0.01</v>
      </c>
    </row>
    <row r="6436" spans="1:6" x14ac:dyDescent="0.3">
      <c r="A6436" t="str">
        <f>HYPERLINK("https://us2.cloudbeds.com/connect/10074733072513#/reservations/30685372690671?display=YR02D1YK5&amp;reservation_id=30685372690671", "YR02D1YK5")</f>
        <v>YR02D1YK5</v>
      </c>
      <c r="B6436" t="s">
        <v>984</v>
      </c>
      <c r="C6436">
        <v>99</v>
      </c>
      <c r="D6436">
        <v>107.62</v>
      </c>
      <c r="E6436">
        <v>107.61</v>
      </c>
      <c r="F6436">
        <v>0.01</v>
      </c>
    </row>
    <row r="6437" spans="1:6" x14ac:dyDescent="0.3">
      <c r="A6437" t="str">
        <f>HYPERLINK("https://us2.cloudbeds.com/connect/10074733072513#/reservations/30684589834403?display=YQWFCUHAV&amp;reservation_id=30684589834403", "YQWFCUHAV")</f>
        <v>YQWFCUHAV</v>
      </c>
      <c r="B6437" t="s">
        <v>983</v>
      </c>
      <c r="C6437">
        <v>101.75</v>
      </c>
      <c r="D6437">
        <v>110.61</v>
      </c>
      <c r="E6437">
        <v>110.6</v>
      </c>
      <c r="F6437">
        <v>0.01</v>
      </c>
    </row>
    <row r="6438" spans="1:6" x14ac:dyDescent="0.3">
      <c r="A6438" t="str">
        <f>HYPERLINK("https://us2.cloudbeds.com/connect/10074733072513#/reservations/30684803289236?display=YQWKRU797&amp;reservation_id=30684803289236", "YQWKRU797")</f>
        <v>YQWKRU797</v>
      </c>
      <c r="B6438" t="s">
        <v>990</v>
      </c>
      <c r="C6438">
        <v>321.3</v>
      </c>
      <c r="D6438">
        <v>349.26</v>
      </c>
      <c r="E6438">
        <v>349.25</v>
      </c>
      <c r="F6438">
        <v>0.01</v>
      </c>
    </row>
    <row r="6439" spans="1:6" x14ac:dyDescent="0.3">
      <c r="A6439" t="str">
        <f>HYPERLINK("https://us2.cloudbeds.com/connect/10074733072513#/reservations/30685376495810?display=YR02G8HPD&amp;reservation_id=30685376495810", "YR02G8HPD")</f>
        <v>YR02G8HPD</v>
      </c>
      <c r="B6439" t="s">
        <v>984</v>
      </c>
      <c r="C6439">
        <v>79</v>
      </c>
      <c r="D6439">
        <v>85.88</v>
      </c>
      <c r="E6439">
        <v>85.87</v>
      </c>
      <c r="F6439">
        <v>0.01</v>
      </c>
    </row>
    <row r="6440" spans="1:6" x14ac:dyDescent="0.3">
      <c r="A6440" t="str">
        <f>HYPERLINK("https://us2.cloudbeds.com/connect/10074733072513#/reservations/30683597451472?display=YQVN1407U&amp;reservation_id=30683597451472", "YQVN1407U")</f>
        <v>YQVN1407U</v>
      </c>
      <c r="B6440" t="s">
        <v>945</v>
      </c>
      <c r="C6440">
        <v>109</v>
      </c>
      <c r="D6440">
        <v>118.49</v>
      </c>
      <c r="E6440">
        <v>118.48</v>
      </c>
      <c r="F6440">
        <v>0.01</v>
      </c>
    </row>
    <row r="6441" spans="1:6" x14ac:dyDescent="0.3">
      <c r="A6441" t="str">
        <f>HYPERLINK("https://us2.cloudbeds.com/connect/10074733072513#/reservations/30684284211348?display=YQW7J73Z8&amp;reservation_id=30684284211348", "YQW7J73Z8")</f>
        <v>YQW7J73Z8</v>
      </c>
      <c r="B6441" t="s">
        <v>891</v>
      </c>
      <c r="C6441">
        <v>218</v>
      </c>
      <c r="D6441">
        <v>236.98</v>
      </c>
      <c r="E6441">
        <v>236.97</v>
      </c>
      <c r="F6441">
        <v>0.01</v>
      </c>
    </row>
    <row r="6442" spans="1:6" x14ac:dyDescent="0.3">
      <c r="A6442" t="str">
        <f>HYPERLINK("https://us2.cloudbeds.com/connect/10074733072513#/reservations/30683795361952?display=YQVS30576&amp;reservation_id=30683795361952", "YQVS30576")</f>
        <v>YQVS30576</v>
      </c>
      <c r="B6442" t="s">
        <v>760</v>
      </c>
      <c r="C6442">
        <v>258</v>
      </c>
      <c r="D6442">
        <v>280.45999999999998</v>
      </c>
      <c r="E6442">
        <v>280.45</v>
      </c>
      <c r="F6442">
        <v>0.01</v>
      </c>
    </row>
    <row r="6443" spans="1:6" x14ac:dyDescent="0.3">
      <c r="A6443" t="str">
        <f>HYPERLINK("https://us2.cloudbeds.com/connect/10074733072513#/reservations/30685453758618?display=YR04FDG5K&amp;reservation_id=30685453758618", "YR04FDG5K")</f>
        <v>YR04FDG5K</v>
      </c>
      <c r="B6443" t="s">
        <v>984</v>
      </c>
      <c r="C6443">
        <v>159</v>
      </c>
      <c r="D6443">
        <v>172.84</v>
      </c>
      <c r="E6443">
        <v>172.83</v>
      </c>
      <c r="F6443">
        <v>0.01</v>
      </c>
    </row>
    <row r="6444" spans="1:6" x14ac:dyDescent="0.3">
      <c r="A6444" t="str">
        <f>HYPERLINK("https://us2.cloudbeds.com/connect/10074733072513#/reservations/30684865454273?display=YQWMEB1Q7&amp;reservation_id=30684865454273", "YQWMEB1Q7")</f>
        <v>YQWMEB1Q7</v>
      </c>
      <c r="B6444" t="s">
        <v>976</v>
      </c>
      <c r="C6444">
        <v>129</v>
      </c>
      <c r="D6444">
        <v>140.22999999999999</v>
      </c>
      <c r="E6444">
        <v>140.22</v>
      </c>
      <c r="F6444">
        <v>0.01</v>
      </c>
    </row>
    <row r="6445" spans="1:6" x14ac:dyDescent="0.3">
      <c r="A6445" t="str">
        <f>HYPERLINK("https://us2.cloudbeds.com/connect/10074733072513#/reservations/30684849479817?display=YQWM0SHSQ&amp;reservation_id=30684849479817", "YQWM0SHSQ")</f>
        <v>YQWM0SHSQ</v>
      </c>
      <c r="B6445" t="s">
        <v>990</v>
      </c>
      <c r="C6445">
        <v>148.9</v>
      </c>
      <c r="D6445">
        <v>161.86000000000001</v>
      </c>
      <c r="E6445">
        <v>161.85</v>
      </c>
      <c r="F6445">
        <v>0.01</v>
      </c>
    </row>
    <row r="6446" spans="1:6" x14ac:dyDescent="0.3">
      <c r="A6446" t="str">
        <f>HYPERLINK("https://us2.cloudbeds.com/connect/10074733072513#/reservations/30684714193118?display=YQWXXPWYS&amp;reservation_id=30684714193118", "YQWXXPWYS")</f>
        <v>YQWXXPWYS</v>
      </c>
      <c r="B6446" t="s">
        <v>930</v>
      </c>
      <c r="C6446">
        <v>129</v>
      </c>
      <c r="D6446">
        <v>140.22999999999999</v>
      </c>
      <c r="E6446">
        <v>140.22</v>
      </c>
      <c r="F6446">
        <v>0.01</v>
      </c>
    </row>
    <row r="6447" spans="1:6" x14ac:dyDescent="0.3">
      <c r="A6447" t="str">
        <f>HYPERLINK("https://us2.cloudbeds.com/connect/10074733072513#/reservations/30684654792833?display=YQWH1N2V7&amp;reservation_id=30684654792833", "YQWH1N2V7")</f>
        <v>YQWH1N2V7</v>
      </c>
      <c r="B6447" t="s">
        <v>920</v>
      </c>
      <c r="C6447">
        <v>169</v>
      </c>
      <c r="D6447">
        <v>183.71</v>
      </c>
      <c r="E6447">
        <v>183.7</v>
      </c>
      <c r="F6447">
        <v>0.01</v>
      </c>
    </row>
    <row r="6448" spans="1:6" x14ac:dyDescent="0.3">
      <c r="A6448" t="str">
        <f>HYPERLINK("https://us2.cloudbeds.com/connect/10074733072513#/reservations/30684828577949?display=YQWYG7U7S&amp;reservation_id=30684828577949", "YQWYG7U7S")</f>
        <v>YQWYG7U7S</v>
      </c>
      <c r="B6448" t="s">
        <v>990</v>
      </c>
      <c r="C6448">
        <v>80.38</v>
      </c>
      <c r="D6448">
        <v>87.38</v>
      </c>
      <c r="E6448">
        <v>87.37</v>
      </c>
      <c r="F6448">
        <v>0.01</v>
      </c>
    </row>
    <row r="6449" spans="1:6" x14ac:dyDescent="0.3">
      <c r="A6449" t="str">
        <f>HYPERLINK("https://us2.cloudbeds.com/connect/10074733072513#/reservations/30684855992461?display=YQWM6BP8Y&amp;reservation_id=30684855992461", "YQWM6BP8Y")</f>
        <v>YQWM6BP8Y</v>
      </c>
      <c r="B6449" t="s">
        <v>990</v>
      </c>
      <c r="C6449">
        <v>80.38</v>
      </c>
      <c r="D6449">
        <v>87.38</v>
      </c>
      <c r="E6449">
        <v>87.37</v>
      </c>
      <c r="F6449">
        <v>0.01</v>
      </c>
    </row>
    <row r="6450" spans="1:6" x14ac:dyDescent="0.3">
      <c r="A6450" t="str">
        <f>HYPERLINK("https://us2.cloudbeds.com/connect/10074733072513#/reservations/30684354031782?display=YQW9C2VWW&amp;reservation_id=30684354031782", "YQW9C2VWW")</f>
        <v>YQW9C2VWW</v>
      </c>
      <c r="B6450" t="s">
        <v>989</v>
      </c>
      <c r="C6450">
        <v>189</v>
      </c>
      <c r="D6450">
        <v>205.45</v>
      </c>
      <c r="E6450">
        <v>205.44</v>
      </c>
      <c r="F6450">
        <v>0.01</v>
      </c>
    </row>
    <row r="6451" spans="1:6" x14ac:dyDescent="0.3">
      <c r="A6451" t="str">
        <f>HYPERLINK("https://us2.cloudbeds.com/connect/10074733072513#/reservations/30684306956518?display=YQW85D10R&amp;reservation_id=30684306956518", "YQW85D10R")</f>
        <v>YQW85D10R</v>
      </c>
      <c r="B6451" t="s">
        <v>989</v>
      </c>
      <c r="C6451">
        <v>159</v>
      </c>
      <c r="D6451">
        <v>172.84</v>
      </c>
      <c r="E6451">
        <v>172.83</v>
      </c>
      <c r="F6451">
        <v>0.01</v>
      </c>
    </row>
    <row r="6452" spans="1:6" x14ac:dyDescent="0.3">
      <c r="A6452" t="str">
        <f>HYPERLINK("https://us2.cloudbeds.com/connect/10074733072513#/reservations/30683121590468?display=YQVASSFKG&amp;reservation_id=30683121590468", "YQVASSFKG")</f>
        <v>YQVASSFKG</v>
      </c>
      <c r="B6452" t="s">
        <v>891</v>
      </c>
      <c r="C6452">
        <v>189</v>
      </c>
      <c r="D6452">
        <v>205.45</v>
      </c>
      <c r="E6452">
        <v>205.44</v>
      </c>
      <c r="F6452">
        <v>0.01</v>
      </c>
    </row>
    <row r="6453" spans="1:6" x14ac:dyDescent="0.3">
      <c r="A6453" t="str">
        <f>HYPERLINK("https://us2.cloudbeds.com/connect/10074733072513#/reservations/30684666777737?display=YQWHBQJC4&amp;reservation_id=30684666777737", "YQWHBQJC4")</f>
        <v>YQWHBQJC4</v>
      </c>
      <c r="B6453" t="s">
        <v>940</v>
      </c>
      <c r="C6453">
        <v>149</v>
      </c>
      <c r="D6453">
        <v>161.97</v>
      </c>
      <c r="E6453">
        <v>161.96</v>
      </c>
      <c r="F6453">
        <v>0.01</v>
      </c>
    </row>
    <row r="6454" spans="1:6" x14ac:dyDescent="0.3">
      <c r="A6454" t="str">
        <f>HYPERLINK("https://us2.cloudbeds.com/connect/10074733072513#/reservations/30683865563354?display=YQVTT6KAD&amp;reservation_id=30683865563354", "YQVTT6KAD")</f>
        <v>YQVTT6KAD</v>
      </c>
      <c r="B6454" t="s">
        <v>989</v>
      </c>
      <c r="C6454">
        <v>106.8</v>
      </c>
      <c r="D6454">
        <v>116.1</v>
      </c>
      <c r="E6454">
        <v>116.09</v>
      </c>
      <c r="F6454">
        <v>0.01</v>
      </c>
    </row>
    <row r="6455" spans="1:6" x14ac:dyDescent="0.3">
      <c r="A6455" t="str">
        <f>HYPERLINK("https://us2.cloudbeds.com/connect/10074733072513#/reservations/30683860320450?display=YQVTZPNTH&amp;reservation_id=30683860320450", "YQVTZPNTH")</f>
        <v>YQVTZPNTH</v>
      </c>
      <c r="B6455" t="s">
        <v>989</v>
      </c>
      <c r="C6455">
        <v>106.8</v>
      </c>
      <c r="D6455">
        <v>116.1</v>
      </c>
      <c r="E6455">
        <v>116.09</v>
      </c>
      <c r="F6455">
        <v>0.01</v>
      </c>
    </row>
    <row r="6456" spans="1:6" x14ac:dyDescent="0.3">
      <c r="A6456" t="str">
        <f>HYPERLINK("https://us2.cloudbeds.com/connect/10074733072513#/reservations/30683822674048?display=YQVSK2EC9&amp;reservation_id=30683822674048", "YQVSK2EC9")</f>
        <v>YQVSK2EC9</v>
      </c>
      <c r="B6456" t="s">
        <v>992</v>
      </c>
      <c r="C6456">
        <v>139</v>
      </c>
      <c r="D6456">
        <v>151.1</v>
      </c>
      <c r="E6456">
        <v>151.09</v>
      </c>
      <c r="F6456">
        <v>0.01</v>
      </c>
    </row>
    <row r="6457" spans="1:6" x14ac:dyDescent="0.3">
      <c r="A6457" t="str">
        <f>HYPERLINK("https://us2.cloudbeds.com/connect/10074733072513#/reservations/30682141048979?display=YQUXR1F71&amp;reservation_id=30682141048979", "YQUXR1F71")</f>
        <v>YQUXR1F71</v>
      </c>
      <c r="B6457" t="s">
        <v>945</v>
      </c>
      <c r="C6457">
        <v>109</v>
      </c>
      <c r="D6457">
        <v>118.49</v>
      </c>
      <c r="E6457">
        <v>118.48</v>
      </c>
      <c r="F6457">
        <v>0.01</v>
      </c>
    </row>
    <row r="6458" spans="1:6" x14ac:dyDescent="0.3">
      <c r="A6458" t="str">
        <f>HYPERLINK("https://us2.cloudbeds.com/connect/10074733072513#/reservations/30683475079301?display=YQVJTUR3A&amp;reservation_id=30683475079301", "YQVJTUR3A")</f>
        <v>YQVJTUR3A</v>
      </c>
      <c r="B6458" t="s">
        <v>959</v>
      </c>
      <c r="C6458">
        <v>149</v>
      </c>
      <c r="D6458">
        <v>161.97</v>
      </c>
      <c r="E6458">
        <v>161.96</v>
      </c>
      <c r="F6458">
        <v>0.01</v>
      </c>
    </row>
    <row r="6459" spans="1:6" x14ac:dyDescent="0.3">
      <c r="A6459" t="str">
        <f>HYPERLINK("https://us2.cloudbeds.com/connect/10074733072513#/reservations/30682987864286?display=YQV7F3BCV&amp;reservation_id=30682987864286", "YQV7F3BCV")</f>
        <v>YQV7F3BCV</v>
      </c>
      <c r="B6459" t="s">
        <v>945</v>
      </c>
      <c r="C6459">
        <v>218</v>
      </c>
      <c r="D6459">
        <v>236.98</v>
      </c>
      <c r="E6459">
        <v>236.97</v>
      </c>
      <c r="F6459">
        <v>0.01</v>
      </c>
    </row>
    <row r="6460" spans="1:6" x14ac:dyDescent="0.3">
      <c r="A6460" t="str">
        <f>HYPERLINK("https://us2.cloudbeds.com/connect/10074733072513#/reservations/30684771197074?display=YQWK0S6TF&amp;reservation_id=30684771197074", "YQWK0S6TF")</f>
        <v>YQWK0S6TF</v>
      </c>
      <c r="B6460" t="s">
        <v>990</v>
      </c>
      <c r="C6460">
        <v>79</v>
      </c>
      <c r="D6460">
        <v>85.88</v>
      </c>
      <c r="E6460">
        <v>85.87</v>
      </c>
      <c r="F6460">
        <v>0.01</v>
      </c>
    </row>
    <row r="6461" spans="1:6" x14ac:dyDescent="0.3">
      <c r="A6461" t="str">
        <f>HYPERLINK("https://us2.cloudbeds.com/connect/10074733072513#/reservations/30683889393916?display=YQVUG9Z9Y&amp;reservation_id=30683889393916", "YQVUG9Z9Y")</f>
        <v>YQVUG9Z9Y</v>
      </c>
      <c r="B6461" t="s">
        <v>989</v>
      </c>
      <c r="C6461">
        <v>169</v>
      </c>
      <c r="D6461">
        <v>183.71</v>
      </c>
      <c r="E6461">
        <v>183.7</v>
      </c>
      <c r="F6461">
        <v>0.01</v>
      </c>
    </row>
    <row r="6462" spans="1:6" x14ac:dyDescent="0.3">
      <c r="A6462" t="str">
        <f>HYPERLINK("https://us2.cloudbeds.com/connect/10074733072513#/reservations/30684321185929?display=YQW8HCWH3&amp;reservation_id=30684321185929", "YQW8HCWH3")</f>
        <v>YQW8HCWH3</v>
      </c>
      <c r="B6462" t="s">
        <v>989</v>
      </c>
      <c r="C6462">
        <v>158</v>
      </c>
      <c r="D6462">
        <v>171.76</v>
      </c>
      <c r="E6462">
        <v>171.75</v>
      </c>
      <c r="F6462">
        <v>0.01</v>
      </c>
    </row>
    <row r="6463" spans="1:6" x14ac:dyDescent="0.3">
      <c r="A6463" t="str">
        <f>HYPERLINK("https://us2.cloudbeds.com/connect/10074733072513#/reservations/30682579587327?display=YQUU0REDT&amp;reservation_id=30682579587327", "YQUU0REDT")</f>
        <v>YQUU0REDT</v>
      </c>
      <c r="B6463" t="s">
        <v>993</v>
      </c>
      <c r="C6463">
        <v>238</v>
      </c>
      <c r="D6463">
        <v>258.72000000000003</v>
      </c>
      <c r="E6463">
        <v>258.70999999999998</v>
      </c>
      <c r="F6463">
        <v>0.01</v>
      </c>
    </row>
    <row r="6464" spans="1:6" x14ac:dyDescent="0.3">
      <c r="A6464" t="str">
        <f>HYPERLINK("https://us2.cloudbeds.com/connect/10074733072513#/reservations/30684724220083?display=YQWXR8059&amp;reservation_id=30684724220083", "YQWXR8059")</f>
        <v>YQWXR8059</v>
      </c>
      <c r="B6464" t="s">
        <v>952</v>
      </c>
      <c r="C6464">
        <v>129</v>
      </c>
      <c r="D6464">
        <v>140.22999999999999</v>
      </c>
      <c r="E6464">
        <v>140.22</v>
      </c>
      <c r="F6464">
        <v>0.01</v>
      </c>
    </row>
    <row r="6465" spans="1:6" x14ac:dyDescent="0.3">
      <c r="A6465" t="str">
        <f>HYPERLINK("https://us2.cloudbeds.com/connect/10074733072513#/reservations/30681891295447?display=YQUCEEN46&amp;reservation_id=30681891295447", "YQUCEEN46")</f>
        <v>YQUCEEN46</v>
      </c>
      <c r="B6465" t="s">
        <v>970</v>
      </c>
      <c r="C6465">
        <v>139</v>
      </c>
      <c r="D6465">
        <v>151.1</v>
      </c>
      <c r="E6465">
        <v>151.09</v>
      </c>
      <c r="F6465">
        <v>0.01</v>
      </c>
    </row>
    <row r="6466" spans="1:6" x14ac:dyDescent="0.3">
      <c r="A6466" t="str">
        <f>HYPERLINK("https://us2.cloudbeds.com/connect/10074733072513#/reservations/30682155692286?display=YQUJ6CUPK&amp;reservation_id=30682155692286", "YQUJ6CUPK")</f>
        <v>YQUJ6CUPK</v>
      </c>
      <c r="B6466" t="s">
        <v>972</v>
      </c>
      <c r="C6466">
        <v>129</v>
      </c>
      <c r="D6466">
        <v>140.22999999999999</v>
      </c>
      <c r="E6466">
        <v>140.22</v>
      </c>
      <c r="F6466">
        <v>0.01</v>
      </c>
    </row>
    <row r="6467" spans="1:6" x14ac:dyDescent="0.3">
      <c r="A6467" t="str">
        <f>HYPERLINK("https://us2.cloudbeds.com/connect/10074733072513#/reservations/30684293153016?display=YQW7QZUKT&amp;reservation_id=30684293153016", "YQW7QZUKT")</f>
        <v>YQW7QZUKT</v>
      </c>
      <c r="B6467" t="s">
        <v>891</v>
      </c>
      <c r="C6467">
        <v>129</v>
      </c>
      <c r="D6467">
        <v>140.22999999999999</v>
      </c>
      <c r="E6467">
        <v>140.22</v>
      </c>
      <c r="F6467">
        <v>0.01</v>
      </c>
    </row>
    <row r="6468" spans="1:6" x14ac:dyDescent="0.3">
      <c r="A6468" t="str">
        <f>HYPERLINK("https://us2.cloudbeds.com/connect/10074733072513#/reservations/30684042944681?display=YQW1DPGU4&amp;reservation_id=30684042944681", "YQW1DPGU4")</f>
        <v>YQW1DPGU4</v>
      </c>
      <c r="B6468" t="s">
        <v>891</v>
      </c>
      <c r="C6468">
        <v>158</v>
      </c>
      <c r="D6468">
        <v>171.76</v>
      </c>
      <c r="E6468">
        <v>171.75</v>
      </c>
      <c r="F6468">
        <v>0.01</v>
      </c>
    </row>
    <row r="6469" spans="1:6" x14ac:dyDescent="0.3">
      <c r="A6469" t="str">
        <f>HYPERLINK("https://us2.cloudbeds.com/connect/10074733072513#/reservations/30683893125347?display=YQVUJEXPA&amp;reservation_id=30683893125347", "YQVUJEXPA")</f>
        <v>YQVUJEXPA</v>
      </c>
      <c r="B6469" t="s">
        <v>988</v>
      </c>
      <c r="C6469">
        <v>282</v>
      </c>
      <c r="D6469">
        <v>306.54000000000002</v>
      </c>
      <c r="E6469">
        <v>306.52999999999997</v>
      </c>
      <c r="F6469">
        <v>0.01</v>
      </c>
    </row>
    <row r="6470" spans="1:6" x14ac:dyDescent="0.3">
      <c r="A6470" t="str">
        <f>HYPERLINK("https://us2.cloudbeds.com/connect/10074733072513#/reservations/30684616257740?display=YQWG26Q64&amp;reservation_id=30684616257740", "YQWG26Q64")</f>
        <v>YQWG26Q64</v>
      </c>
      <c r="B6470" t="s">
        <v>940</v>
      </c>
      <c r="C6470">
        <v>189</v>
      </c>
      <c r="D6470">
        <v>205.45</v>
      </c>
      <c r="E6470">
        <v>205.44</v>
      </c>
      <c r="F6470">
        <v>0.01</v>
      </c>
    </row>
    <row r="6471" spans="1:6" x14ac:dyDescent="0.3">
      <c r="A6471" t="str">
        <f>HYPERLINK("https://us2.cloudbeds.com/connect/10074733072513#/reservations/30684447236317?display=YQWBZMH8R&amp;reservation_id=30684447236317", "YQWBZMH8R")</f>
        <v>YQWBZMH8R</v>
      </c>
      <c r="B6471" t="s">
        <v>760</v>
      </c>
      <c r="C6471">
        <v>418</v>
      </c>
      <c r="D6471">
        <v>454.38</v>
      </c>
      <c r="E6471">
        <v>454.37</v>
      </c>
      <c r="F6471">
        <v>0.01</v>
      </c>
    </row>
    <row r="6472" spans="1:6" x14ac:dyDescent="0.3">
      <c r="A6472" t="str">
        <f>HYPERLINK("https://us2.cloudbeds.com/connect/10074733072513#/reservations/30685365620890?display=YR0272UKC&amp;reservation_id=30685365620890", "YR0272UKC")</f>
        <v>YR0272UKC</v>
      </c>
      <c r="B6472" t="s">
        <v>917</v>
      </c>
      <c r="C6472">
        <v>73</v>
      </c>
      <c r="D6472">
        <v>79.36</v>
      </c>
      <c r="E6472">
        <v>79.349999999999994</v>
      </c>
      <c r="F6472">
        <v>0.01</v>
      </c>
    </row>
    <row r="6473" spans="1:6" x14ac:dyDescent="0.3">
      <c r="A6473" t="str">
        <f>HYPERLINK("https://us2.cloudbeds.com/connect/10074733072513#/reservations/30684693373109?display=YQWX17Y6G&amp;reservation_id=30684693373109", "YQWX17Y6G")</f>
        <v>YQWX17Y6G</v>
      </c>
      <c r="B6473" t="s">
        <v>930</v>
      </c>
      <c r="C6473">
        <v>296.49</v>
      </c>
      <c r="D6473">
        <v>322.29000000000002</v>
      </c>
      <c r="E6473">
        <v>322.27999999999997</v>
      </c>
      <c r="F6473">
        <v>0.01</v>
      </c>
    </row>
    <row r="6474" spans="1:6" x14ac:dyDescent="0.3">
      <c r="A6474" t="str">
        <f>HYPERLINK("https://us2.cloudbeds.com/connect/10074733072513#/reservations/30682868175008?display=YQV4D5QT4&amp;reservation_id=30682868175008", "YQV4D5QT4")</f>
        <v>YQV4D5QT4</v>
      </c>
      <c r="B6474" t="s">
        <v>924</v>
      </c>
      <c r="C6474">
        <v>129</v>
      </c>
      <c r="D6474">
        <v>140.22999999999999</v>
      </c>
      <c r="E6474">
        <v>140.22</v>
      </c>
      <c r="F6474">
        <v>0.01</v>
      </c>
    </row>
    <row r="6475" spans="1:6" x14ac:dyDescent="0.3">
      <c r="A6475" t="str">
        <f>HYPERLINK("https://us2.cloudbeds.com/connect/10074733072513#/reservations/30683579228350?display=YQVMXZUE3&amp;reservation_id=30683579228350", "YQVMXZUE3")</f>
        <v>YQVMXZUE3</v>
      </c>
      <c r="B6475" t="s">
        <v>945</v>
      </c>
      <c r="C6475">
        <v>119</v>
      </c>
      <c r="D6475">
        <v>129.36000000000001</v>
      </c>
      <c r="E6475">
        <v>129.35</v>
      </c>
      <c r="F6475">
        <v>0.01</v>
      </c>
    </row>
    <row r="6476" spans="1:6" x14ac:dyDescent="0.3">
      <c r="A6476" t="str">
        <f>HYPERLINK("https://us2.cloudbeds.com/connect/10074733072513#/reservations/30684787802242?display=YQWKES8WC&amp;reservation_id=30684787802242", "YQWKES8WC")</f>
        <v>YQWKES8WC</v>
      </c>
      <c r="B6476" t="s">
        <v>959</v>
      </c>
      <c r="C6476">
        <v>278</v>
      </c>
      <c r="D6476">
        <v>302.2</v>
      </c>
      <c r="E6476">
        <v>302.19</v>
      </c>
      <c r="F6476">
        <v>0.01</v>
      </c>
    </row>
    <row r="6477" spans="1:6" x14ac:dyDescent="0.3">
      <c r="A6477" t="str">
        <f>HYPERLINK("https://us2.cloudbeds.com/connect/10074733072513#/reservations/30682148835559?display=YQUJ0K4E0&amp;reservation_id=30682148835559", "YQUJ0K4E0")</f>
        <v>YQUJ0K4E0</v>
      </c>
      <c r="B6477" t="s">
        <v>945</v>
      </c>
      <c r="C6477">
        <v>109</v>
      </c>
      <c r="D6477">
        <v>118.49</v>
      </c>
      <c r="E6477">
        <v>118.48</v>
      </c>
      <c r="F6477">
        <v>0.01</v>
      </c>
    </row>
    <row r="6478" spans="1:6" x14ac:dyDescent="0.3">
      <c r="A6478" t="str">
        <f>HYPERLINK("https://us2.cloudbeds.com/connect/10074733072513#/reservations/30682155430074?display=YQUJ65KWQ&amp;reservation_id=30682155430074", "YQUJ65KWQ")</f>
        <v>YQUJ65KWQ</v>
      </c>
      <c r="B6478" t="s">
        <v>945</v>
      </c>
      <c r="C6478">
        <v>119</v>
      </c>
      <c r="D6478">
        <v>129.36000000000001</v>
      </c>
      <c r="E6478">
        <v>129.35</v>
      </c>
      <c r="F6478">
        <v>0.01</v>
      </c>
    </row>
    <row r="6479" spans="1:6" x14ac:dyDescent="0.3">
      <c r="A6479" t="str">
        <f>HYPERLINK("https://us2.cloudbeds.com/connect/10074733072513#/reservations/30684666773659?display=YQWHBQFKX&amp;reservation_id=30684666773659", "YQWHBQFKX")</f>
        <v>YQWHBQFKX</v>
      </c>
      <c r="B6479" t="s">
        <v>930</v>
      </c>
      <c r="C6479">
        <v>222</v>
      </c>
      <c r="D6479">
        <v>241.32</v>
      </c>
      <c r="E6479">
        <v>241.31</v>
      </c>
      <c r="F6479">
        <v>0.01</v>
      </c>
    </row>
    <row r="6480" spans="1:6" x14ac:dyDescent="0.3">
      <c r="A6480" t="str">
        <f>HYPERLINK("https://us2.cloudbeds.com/connect/10074733072513#/reservations/30683486884084?display=YQVK6TA40&amp;reservation_id=30683486884084", "YQVK6TA40")</f>
        <v>YQVK6TA40</v>
      </c>
      <c r="B6480" t="s">
        <v>959</v>
      </c>
      <c r="C6480">
        <v>79</v>
      </c>
      <c r="D6480">
        <v>85.88</v>
      </c>
      <c r="E6480">
        <v>85.87</v>
      </c>
      <c r="F6480">
        <v>0.01</v>
      </c>
    </row>
    <row r="6481" spans="1:6" x14ac:dyDescent="0.3">
      <c r="A6481" t="str">
        <f>HYPERLINK("https://us2.cloudbeds.com/connect/10074733072513#/reservations/30684609872009?display=YQWFTR3B4&amp;reservation_id=30684609872009", "YQWFTR3B4")</f>
        <v>YQWFTR3B4</v>
      </c>
      <c r="B6481" t="s">
        <v>920</v>
      </c>
      <c r="C6481">
        <v>79</v>
      </c>
      <c r="D6481">
        <v>85.88</v>
      </c>
      <c r="E6481">
        <v>85.87</v>
      </c>
      <c r="F6481">
        <v>0.01</v>
      </c>
    </row>
    <row r="6482" spans="1:6" x14ac:dyDescent="0.3">
      <c r="A6482" t="str">
        <f>HYPERLINK("https://us2.cloudbeds.com/connect/10074733072513#/reservations/30682942312665?display=YQV69MQHQ&amp;reservation_id=30682942312665", "YQV69MQHQ")</f>
        <v>YQV69MQHQ</v>
      </c>
      <c r="B6482" t="s">
        <v>760</v>
      </c>
      <c r="C6482">
        <v>129</v>
      </c>
      <c r="D6482">
        <v>140.22999999999999</v>
      </c>
      <c r="E6482">
        <v>140.22</v>
      </c>
      <c r="F6482">
        <v>0.01</v>
      </c>
    </row>
    <row r="6483" spans="1:6" x14ac:dyDescent="0.3">
      <c r="A6483" t="str">
        <f>HYPERLINK("https://us2.cloudbeds.com/connect/10074733072513#/reservations/30682161299632?display=YQUJB3VS6&amp;reservation_id=30682161299632", "YQUJB3VS6")</f>
        <v>YQUJB3VS6</v>
      </c>
      <c r="B6483" t="s">
        <v>972</v>
      </c>
      <c r="C6483">
        <v>129</v>
      </c>
      <c r="D6483">
        <v>140.22999999999999</v>
      </c>
      <c r="E6483">
        <v>140.22</v>
      </c>
      <c r="F6483">
        <v>0.01</v>
      </c>
    </row>
    <row r="6484" spans="1:6" x14ac:dyDescent="0.3">
      <c r="A6484" t="str">
        <f>HYPERLINK("https://us2.cloudbeds.com/connect/10074733072513#/reservations/30683506958465?display=YQVKNQTTJ&amp;reservation_id=30683506958465", "YQVKNQTTJ")</f>
        <v>YQVKNQTTJ</v>
      </c>
      <c r="B6484" t="s">
        <v>959</v>
      </c>
      <c r="C6484">
        <v>79</v>
      </c>
      <c r="D6484">
        <v>85.88</v>
      </c>
      <c r="E6484">
        <v>85.87</v>
      </c>
      <c r="F6484">
        <v>0.01</v>
      </c>
    </row>
    <row r="6485" spans="1:6" x14ac:dyDescent="0.3">
      <c r="A6485" t="str">
        <f>HYPERLINK("https://us2.cloudbeds.com/connect/10074733072513#/reservations/30682040148125?display=YQUG7VZKD&amp;reservation_id=30682040148125", "YQUG7VZKD")</f>
        <v>YQUG7VZKD</v>
      </c>
      <c r="B6485" t="s">
        <v>997</v>
      </c>
      <c r="C6485">
        <v>89</v>
      </c>
      <c r="D6485">
        <v>96.75</v>
      </c>
      <c r="E6485">
        <v>96.74</v>
      </c>
      <c r="F6485">
        <v>0.01</v>
      </c>
    </row>
    <row r="6486" spans="1:6" x14ac:dyDescent="0.3">
      <c r="A6486" t="str">
        <f>HYPERLINK("https://us2.cloudbeds.com/connect/10074733072513#/reservations/30683002204308?display=YQV7R6CF2&amp;reservation_id=30683002204308", "YQV7R6CF2")</f>
        <v>YQV7R6CF2</v>
      </c>
      <c r="B6486" t="s">
        <v>945</v>
      </c>
      <c r="C6486">
        <v>218</v>
      </c>
      <c r="D6486">
        <v>236.98</v>
      </c>
      <c r="E6486">
        <v>236.97</v>
      </c>
      <c r="F6486">
        <v>0.01</v>
      </c>
    </row>
    <row r="6487" spans="1:6" x14ac:dyDescent="0.3">
      <c r="A6487" t="str">
        <f>HYPERLINK("https://us2.cloudbeds.com/connect/10074733072513#/reservations/30683955769579?display=YQVW68ZAC&amp;reservation_id=30683955769579", "YQVW68ZAC")</f>
        <v>YQVW68ZAC</v>
      </c>
      <c r="B6487" t="s">
        <v>988</v>
      </c>
      <c r="C6487">
        <v>80.38</v>
      </c>
      <c r="D6487">
        <v>87.38</v>
      </c>
      <c r="E6487">
        <v>87.37</v>
      </c>
      <c r="F6487">
        <v>0.01</v>
      </c>
    </row>
    <row r="6488" spans="1:6" x14ac:dyDescent="0.3">
      <c r="A6488" t="str">
        <f>HYPERLINK("https://us2.cloudbeds.com/connect/10074733072513#/reservations/30684828573866?display=YQWYG7QG4&amp;reservation_id=30684828573866", "YQWYG7QG4")</f>
        <v>YQWYG7QG4</v>
      </c>
      <c r="B6488" t="s">
        <v>959</v>
      </c>
      <c r="C6488">
        <v>149</v>
      </c>
      <c r="D6488">
        <v>161.97</v>
      </c>
      <c r="E6488">
        <v>161.96</v>
      </c>
      <c r="F6488">
        <v>0.01</v>
      </c>
    </row>
    <row r="6489" spans="1:6" x14ac:dyDescent="0.3">
      <c r="A6489" t="str">
        <f>HYPERLINK("https://us2.cloudbeds.com/connect/10074733072513#/reservations/30684127953121?display=YQW3JEWUF&amp;reservation_id=30684127953121", "YQW3JEWUF")</f>
        <v>YQW3JEWUF</v>
      </c>
      <c r="B6489" t="s">
        <v>964</v>
      </c>
      <c r="C6489">
        <v>504</v>
      </c>
      <c r="D6489">
        <v>547.86</v>
      </c>
      <c r="E6489">
        <v>547.85</v>
      </c>
      <c r="F6489">
        <v>0.01</v>
      </c>
    </row>
    <row r="6490" spans="1:6" x14ac:dyDescent="0.3">
      <c r="A6490" t="str">
        <f>HYPERLINK("https://us2.cloudbeds.com/connect/10074733072513#/reservations/30684115058817?display=YQW38J6DW&amp;reservation_id=30684115058817", "YQW38J6DW")</f>
        <v>YQW38J6DW</v>
      </c>
      <c r="B6490" t="s">
        <v>964</v>
      </c>
      <c r="C6490">
        <v>504</v>
      </c>
      <c r="D6490">
        <v>547.86</v>
      </c>
      <c r="E6490">
        <v>547.85</v>
      </c>
      <c r="F6490">
        <v>0.01</v>
      </c>
    </row>
    <row r="6491" spans="1:6" x14ac:dyDescent="0.3">
      <c r="A6491" t="str">
        <f>HYPERLINK("https://us2.cloudbeds.com/connect/10074733072513#/reservations/30683962814593?display=YQVWC6YSE&amp;reservation_id=30683962814593", "YQVWC6YSE")</f>
        <v>YQVWC6YSE</v>
      </c>
      <c r="B6491" t="s">
        <v>930</v>
      </c>
      <c r="C6491">
        <v>119</v>
      </c>
      <c r="D6491">
        <v>129.36000000000001</v>
      </c>
      <c r="E6491">
        <v>129.35</v>
      </c>
      <c r="F6491">
        <v>0.01</v>
      </c>
    </row>
    <row r="6492" spans="1:6" x14ac:dyDescent="0.3">
      <c r="A6492" t="str">
        <f>HYPERLINK("https://us2.cloudbeds.com/connect/10074733072513#/reservations/30683940237465?display=YQVVQ5HJ8&amp;reservation_id=30683940237465", "YQVVQ5HJ8")</f>
        <v>YQVVQ5HJ8</v>
      </c>
      <c r="B6492" t="s">
        <v>988</v>
      </c>
      <c r="C6492">
        <v>119</v>
      </c>
      <c r="D6492">
        <v>129.36000000000001</v>
      </c>
      <c r="E6492">
        <v>129.35</v>
      </c>
      <c r="F6492">
        <v>0.01</v>
      </c>
    </row>
    <row r="6493" spans="1:6" x14ac:dyDescent="0.3">
      <c r="A6493" t="str">
        <f>HYPERLINK("https://us2.cloudbeds.com/connect/10074733072513#/reservations/30683857334465?display=YQVTM8KV4&amp;reservation_id=30683857334465", "YQVTM8KV4")</f>
        <v>YQVTM8KV4</v>
      </c>
      <c r="B6493" t="s">
        <v>988</v>
      </c>
      <c r="C6493">
        <v>119</v>
      </c>
      <c r="D6493">
        <v>129.36000000000001</v>
      </c>
      <c r="E6493">
        <v>129.35</v>
      </c>
      <c r="F6493">
        <v>0.01</v>
      </c>
    </row>
    <row r="6494" spans="1:6" x14ac:dyDescent="0.3">
      <c r="A6494" t="str">
        <f>HYPERLINK("https://us2.cloudbeds.com/connect/10074733072513#/reservations/30683524743318?display=YQVY5QQ8H&amp;reservation_id=30683524743318", "YQVY5QQ8H")</f>
        <v>YQVY5QQ8H</v>
      </c>
      <c r="B6494" t="s">
        <v>959</v>
      </c>
      <c r="C6494">
        <v>159</v>
      </c>
      <c r="D6494">
        <v>172.84</v>
      </c>
      <c r="E6494">
        <v>172.83</v>
      </c>
      <c r="F6494">
        <v>0.01</v>
      </c>
    </row>
    <row r="6495" spans="1:6" x14ac:dyDescent="0.3">
      <c r="A6495" t="str">
        <f>HYPERLINK("https://us2.cloudbeds.com/connect/10074733072513#/reservations/30682157953231?display=YQUJ89RV3&amp;reservation_id=30682157953231", "YQUJ89RV3")</f>
        <v>YQUJ89RV3</v>
      </c>
      <c r="B6495" t="s">
        <v>945</v>
      </c>
      <c r="C6495">
        <v>109</v>
      </c>
      <c r="D6495">
        <v>118.49</v>
      </c>
      <c r="E6495">
        <v>118.48</v>
      </c>
      <c r="F6495">
        <v>0.01</v>
      </c>
    </row>
    <row r="6496" spans="1:6" x14ac:dyDescent="0.3">
      <c r="A6496" t="str">
        <f>HYPERLINK("https://us2.cloudbeds.com/connect/10074733072513#/reservations/30682073415878?display=YQUH30FH4&amp;reservation_id=30682073415878", "YQUH30FH4")</f>
        <v>YQUH30FH4</v>
      </c>
      <c r="B6496" t="s">
        <v>997</v>
      </c>
      <c r="C6496">
        <v>129</v>
      </c>
      <c r="D6496">
        <v>140.22999999999999</v>
      </c>
      <c r="E6496">
        <v>140.22</v>
      </c>
      <c r="F6496">
        <v>0.01</v>
      </c>
    </row>
    <row r="6497" spans="1:6" x14ac:dyDescent="0.3">
      <c r="A6497" t="str">
        <f>HYPERLINK("https://us2.cloudbeds.com/connect/10074733072513#/reservations/30683210653939?display=YQVD4VQ8X&amp;reservation_id=30683210653939", "YQVD4VQ8X")</f>
        <v>YQVD4VQ8X</v>
      </c>
      <c r="B6497" t="s">
        <v>809</v>
      </c>
      <c r="C6497">
        <v>318</v>
      </c>
      <c r="D6497">
        <v>345.68</v>
      </c>
      <c r="E6497">
        <v>345.67</v>
      </c>
      <c r="F6497">
        <v>0.01</v>
      </c>
    </row>
    <row r="6498" spans="1:6" x14ac:dyDescent="0.3">
      <c r="A6498" t="str">
        <f>HYPERLINK("https://us2.cloudbeds.com/connect/10074733072513#/reservations/30683204309141?display=YQVCWK7WV&amp;reservation_id=30683204309141", "YQVCWK7WV")</f>
        <v>YQVCWK7WV</v>
      </c>
      <c r="B6498" t="s">
        <v>809</v>
      </c>
      <c r="C6498">
        <v>318</v>
      </c>
      <c r="D6498">
        <v>345.68</v>
      </c>
      <c r="E6498">
        <v>345.67</v>
      </c>
      <c r="F6498">
        <v>0.01</v>
      </c>
    </row>
    <row r="6499" spans="1:6" x14ac:dyDescent="0.3">
      <c r="A6499" t="str">
        <f>HYPERLINK("https://us2.cloudbeds.com/connect/10074733072513#/reservations/30683191345310?display=YQVCYMGYJ&amp;reservation_id=30683191345310", "YQVCYMGYJ")</f>
        <v>YQVCYMGYJ</v>
      </c>
      <c r="B6499" t="s">
        <v>809</v>
      </c>
      <c r="C6499">
        <v>318</v>
      </c>
      <c r="D6499">
        <v>345.68</v>
      </c>
      <c r="E6499">
        <v>345.67</v>
      </c>
      <c r="F6499">
        <v>0.01</v>
      </c>
    </row>
    <row r="6500" spans="1:6" x14ac:dyDescent="0.3">
      <c r="A6500" t="str">
        <f>HYPERLINK("https://us2.cloudbeds.com/connect/10074733072513#/reservations/30684659355846?display=YQWH5X21B&amp;reservation_id=30684659355846", "YQWH5X21B")</f>
        <v>YQWH5X21B</v>
      </c>
      <c r="B6500" t="s">
        <v>930</v>
      </c>
      <c r="C6500">
        <v>119</v>
      </c>
      <c r="D6500">
        <v>129.36000000000001</v>
      </c>
      <c r="E6500">
        <v>129.35</v>
      </c>
      <c r="F6500">
        <v>0.01</v>
      </c>
    </row>
    <row r="6501" spans="1:6" x14ac:dyDescent="0.3">
      <c r="A6501" t="str">
        <f>HYPERLINK("https://us2.cloudbeds.com/connect/10074733072513#/reservations/30683217170637?display=YQVDAF4C8&amp;reservation_id=30683217170637", "YQVDAF4C8")</f>
        <v>YQVDAF4C8</v>
      </c>
      <c r="B6501" t="s">
        <v>809</v>
      </c>
      <c r="C6501">
        <v>318</v>
      </c>
      <c r="D6501">
        <v>345.68</v>
      </c>
      <c r="E6501">
        <v>345.67</v>
      </c>
      <c r="F6501">
        <v>0.01</v>
      </c>
    </row>
    <row r="6502" spans="1:6" x14ac:dyDescent="0.3">
      <c r="A6502" t="str">
        <f>HYPERLINK("https://us2.cloudbeds.com/connect/10074733072513#/reservations/30684782108909?display=YQWKA1RV4&amp;reservation_id=30684782108909", "YQWKA1RV4")</f>
        <v>YQWKA1RV4</v>
      </c>
      <c r="B6502" t="s">
        <v>959</v>
      </c>
      <c r="C6502">
        <v>149</v>
      </c>
      <c r="D6502">
        <v>161.97</v>
      </c>
      <c r="E6502">
        <v>161.96</v>
      </c>
      <c r="F6502">
        <v>0.01</v>
      </c>
    </row>
    <row r="6503" spans="1:6" x14ac:dyDescent="0.3">
      <c r="A6503" t="str">
        <f>HYPERLINK("https://us2.cloudbeds.com/connect/10074733072513#/reservations/30684693373058?display=YQWX17Y4V&amp;reservation_id=30684693373058", "YQWX17Y4V")</f>
        <v>YQWX17Y4V</v>
      </c>
      <c r="B6503" t="s">
        <v>959</v>
      </c>
      <c r="C6503">
        <v>73</v>
      </c>
      <c r="D6503">
        <v>79.36</v>
      </c>
      <c r="E6503">
        <v>79.349999999999994</v>
      </c>
      <c r="F6503">
        <v>0.01</v>
      </c>
    </row>
    <row r="6504" spans="1:6" x14ac:dyDescent="0.3">
      <c r="A6504" t="str">
        <f>HYPERLINK("https://us2.cloudbeds.com/connect/10074733072513#/reservations/30681764245691?display=YQU96ABMJ&amp;reservation_id=30681764245691", "YQU96ABMJ")</f>
        <v>YQU96ABMJ</v>
      </c>
      <c r="B6504" t="s">
        <v>998</v>
      </c>
      <c r="C6504">
        <v>129</v>
      </c>
      <c r="D6504">
        <v>140.22999999999999</v>
      </c>
      <c r="E6504">
        <v>140.22</v>
      </c>
      <c r="F6504">
        <v>0.01</v>
      </c>
    </row>
    <row r="6505" spans="1:6" x14ac:dyDescent="0.3">
      <c r="A6505" t="str">
        <f>HYPERLINK("https://us2.cloudbeds.com/connect/10074733072513#/reservations/30684543459486?display=YQWE6R2FE&amp;reservation_id=30684543459486", "YQWE6R2FE")</f>
        <v>YQWE6R2FE</v>
      </c>
      <c r="B6505" t="s">
        <v>940</v>
      </c>
      <c r="C6505">
        <v>179</v>
      </c>
      <c r="D6505">
        <v>194.58</v>
      </c>
      <c r="E6505">
        <v>194.57</v>
      </c>
      <c r="F6505">
        <v>0.01</v>
      </c>
    </row>
    <row r="6506" spans="1:6" x14ac:dyDescent="0.3">
      <c r="A6506" t="str">
        <f>HYPERLINK("https://us2.cloudbeds.com/connect/10074733072513#/reservations/30683023401192?display=YQV8C26WT&amp;reservation_id=30683023401192", "YQV8C26WT")</f>
        <v>YQV8C26WT</v>
      </c>
      <c r="B6506" t="s">
        <v>945</v>
      </c>
      <c r="C6506">
        <v>159</v>
      </c>
      <c r="D6506">
        <v>172.84</v>
      </c>
      <c r="E6506">
        <v>172.83</v>
      </c>
      <c r="F6506">
        <v>0.01</v>
      </c>
    </row>
    <row r="6507" spans="1:6" x14ac:dyDescent="0.3">
      <c r="A6507" t="str">
        <f>HYPERLINK("https://us2.cloudbeds.com/connect/10074733072513#/reservations/30682164338858?display=YQUJDMHMV&amp;reservation_id=30682164338858", "YQUJDMHMV")</f>
        <v>YQUJDMHMV</v>
      </c>
      <c r="B6507" t="s">
        <v>945</v>
      </c>
      <c r="C6507">
        <v>149</v>
      </c>
      <c r="D6507">
        <v>161.97</v>
      </c>
      <c r="E6507">
        <v>161.96</v>
      </c>
      <c r="F6507">
        <v>0.01</v>
      </c>
    </row>
    <row r="6508" spans="1:6" x14ac:dyDescent="0.3">
      <c r="A6508" t="str">
        <f>HYPERLINK("https://us2.cloudbeds.com/connect/10074733072513#/reservations/30684696928414?display=YQWX47XV0&amp;reservation_id=30684696928414", "YQWX47XV0")</f>
        <v>YQWX47XV0</v>
      </c>
      <c r="B6508" t="s">
        <v>959</v>
      </c>
      <c r="C6508">
        <v>73</v>
      </c>
      <c r="D6508">
        <v>79.36</v>
      </c>
      <c r="E6508">
        <v>79.349999999999994</v>
      </c>
      <c r="F6508">
        <v>0.01</v>
      </c>
    </row>
    <row r="6509" spans="1:6" x14ac:dyDescent="0.3">
      <c r="A6509" t="str">
        <f>HYPERLINK("https://us2.cloudbeds.com/connect/10074733072513#/reservations/30683845075102?display=YQVTBUGG9&amp;reservation_id=30683845075102", "YQVTBUGG9")</f>
        <v>YQVTBUGG9</v>
      </c>
      <c r="B6509" t="s">
        <v>959</v>
      </c>
      <c r="C6509">
        <v>179</v>
      </c>
      <c r="D6509">
        <v>194.58</v>
      </c>
      <c r="E6509">
        <v>194.57</v>
      </c>
      <c r="F6509">
        <v>0.01</v>
      </c>
    </row>
    <row r="6510" spans="1:6" x14ac:dyDescent="0.3">
      <c r="A6510" t="str">
        <f>HYPERLINK("https://us2.cloudbeds.com/connect/10074733072513#/reservations/30682868170916?display=YQV4D5N44&amp;reservation_id=30682868170916", "YQV4D5N44")</f>
        <v>YQV4D5N44</v>
      </c>
      <c r="B6510" t="s">
        <v>924</v>
      </c>
      <c r="C6510">
        <v>129</v>
      </c>
      <c r="D6510">
        <v>140.22999999999999</v>
      </c>
      <c r="E6510">
        <v>140.22</v>
      </c>
      <c r="F6510">
        <v>0.01</v>
      </c>
    </row>
    <row r="6511" spans="1:6" x14ac:dyDescent="0.3">
      <c r="A6511" t="str">
        <f>HYPERLINK("https://us2.cloudbeds.com/connect/10074733072513#/reservations/30682538365150?display=YQUSW2C60&amp;reservation_id=30682538365150", "YQUSW2C60")</f>
        <v>YQUSW2C60</v>
      </c>
      <c r="B6511" t="s">
        <v>749</v>
      </c>
      <c r="C6511">
        <v>298</v>
      </c>
      <c r="D6511">
        <v>323.94</v>
      </c>
      <c r="E6511">
        <v>323.93</v>
      </c>
      <c r="F6511">
        <v>0.01</v>
      </c>
    </row>
    <row r="6512" spans="1:6" x14ac:dyDescent="0.3">
      <c r="A6512" t="str">
        <f>HYPERLINK("https://us2.cloudbeds.com/connect/10074733072513#/reservations/30683388526825?display=YQVHMVC80&amp;reservation_id=30683388526825", "YQVHMVC80")</f>
        <v>YQVHMVC80</v>
      </c>
      <c r="B6512" t="s">
        <v>967</v>
      </c>
      <c r="C6512">
        <v>178</v>
      </c>
      <c r="D6512">
        <v>193.5</v>
      </c>
      <c r="E6512">
        <v>193.49</v>
      </c>
      <c r="F6512">
        <v>0.01</v>
      </c>
    </row>
    <row r="6513" spans="1:6" x14ac:dyDescent="0.3">
      <c r="A6513" t="str">
        <f>HYPERLINK("https://us2.cloudbeds.com/connect/10074733072513#/reservations/30683883458770?display=YQVUB9J6H&amp;reservation_id=30683883458770", "YQVUB9J6H")</f>
        <v>YQVUB9J6H</v>
      </c>
      <c r="B6513" t="s">
        <v>988</v>
      </c>
      <c r="C6513">
        <v>238</v>
      </c>
      <c r="D6513">
        <v>258.72000000000003</v>
      </c>
      <c r="E6513">
        <v>258.70999999999998</v>
      </c>
      <c r="F6513">
        <v>0.01</v>
      </c>
    </row>
    <row r="6514" spans="1:6" x14ac:dyDescent="0.3">
      <c r="A6514" t="str">
        <f>HYPERLINK("https://us2.cloudbeds.com/connect/10074733072513#/reservations/30681740329171?display=YQU8J4RPH&amp;reservation_id=30681740329171", "YQU8J4RPH")</f>
        <v>YQU8J4RPH</v>
      </c>
      <c r="B6514" t="s">
        <v>926</v>
      </c>
      <c r="C6514">
        <v>169</v>
      </c>
      <c r="D6514">
        <v>183.71</v>
      </c>
      <c r="E6514">
        <v>183.7</v>
      </c>
      <c r="F6514">
        <v>0.01</v>
      </c>
    </row>
    <row r="6515" spans="1:6" x14ac:dyDescent="0.3">
      <c r="A6515" t="str">
        <f>HYPERLINK("https://us2.cloudbeds.com/connect/10074733072513#/reservations/30682131021953?display=YQUXXJEYP&amp;reservation_id=30682131021953", "YQUXXJEYP")</f>
        <v>YQUXXJEYP</v>
      </c>
      <c r="B6515" t="s">
        <v>972</v>
      </c>
      <c r="C6515">
        <v>129</v>
      </c>
      <c r="D6515">
        <v>140.22999999999999</v>
      </c>
      <c r="E6515">
        <v>140.22</v>
      </c>
      <c r="F6515">
        <v>0.01</v>
      </c>
    </row>
    <row r="6516" spans="1:6" x14ac:dyDescent="0.3">
      <c r="A6516" t="str">
        <f>HYPERLINK("https://us2.cloudbeds.com/connect/10074733072513#/reservations/30683585654929?display=YQVMZ5ZPU&amp;reservation_id=30683585654929", "YQVMZ5ZPU")</f>
        <v>YQVMZ5ZPU</v>
      </c>
      <c r="B6516" t="s">
        <v>945</v>
      </c>
      <c r="C6516">
        <v>109</v>
      </c>
      <c r="D6516">
        <v>118.49</v>
      </c>
      <c r="E6516">
        <v>118.48</v>
      </c>
      <c r="F6516">
        <v>0.01</v>
      </c>
    </row>
    <row r="6517" spans="1:6" x14ac:dyDescent="0.3">
      <c r="A6517" t="str">
        <f>HYPERLINK("https://us2.cloudbeds.com/connect/10074733072513#/reservations/30682118570222?display=YQUX82VXJ&amp;reservation_id=30682118570222", "YQUX82VXJ")</f>
        <v>YQUX82VXJ</v>
      </c>
      <c r="B6517" t="s">
        <v>972</v>
      </c>
      <c r="C6517">
        <v>129</v>
      </c>
      <c r="D6517">
        <v>140.22999999999999</v>
      </c>
      <c r="E6517">
        <v>140.22</v>
      </c>
      <c r="F6517">
        <v>0.01</v>
      </c>
    </row>
    <row r="6518" spans="1:6" x14ac:dyDescent="0.3">
      <c r="A6518" t="str">
        <f>HYPERLINK("https://us2.cloudbeds.com/connect/10074733072513#/reservations/30682845970640?display=YQV3REV6G&amp;reservation_id=30682845970640", "YQV3REV6G")</f>
        <v>YQV3REV6G</v>
      </c>
      <c r="B6518" t="s">
        <v>924</v>
      </c>
      <c r="C6518">
        <v>129</v>
      </c>
      <c r="D6518">
        <v>140.22999999999999</v>
      </c>
      <c r="E6518">
        <v>140.22</v>
      </c>
      <c r="F6518">
        <v>0.01</v>
      </c>
    </row>
    <row r="6519" spans="1:6" x14ac:dyDescent="0.3">
      <c r="A6519" t="str">
        <f>HYPERLINK("https://us2.cloudbeds.com/connect/10074733072513#/reservations/30682168598731?display=YQUJH92E0&amp;reservation_id=30682168598731", "YQUJH92E0")</f>
        <v>YQUJH92E0</v>
      </c>
      <c r="B6519" t="s">
        <v>972</v>
      </c>
      <c r="C6519">
        <v>159</v>
      </c>
      <c r="D6519">
        <v>172.84</v>
      </c>
      <c r="E6519">
        <v>172.83</v>
      </c>
      <c r="F6519">
        <v>0.01</v>
      </c>
    </row>
    <row r="6520" spans="1:6" x14ac:dyDescent="0.3">
      <c r="A6520" t="str">
        <f>HYPERLINK("https://us2.cloudbeds.com/connect/10074733072513#/reservations/30682045112565?display=YQUGC4TAW&amp;reservation_id=30682045112565", "YQUGC4TAW")</f>
        <v>YQUGC4TAW</v>
      </c>
      <c r="B6520" t="s">
        <v>997</v>
      </c>
      <c r="C6520">
        <v>89</v>
      </c>
      <c r="D6520">
        <v>96.75</v>
      </c>
      <c r="E6520">
        <v>96.74</v>
      </c>
      <c r="F6520">
        <v>0.01</v>
      </c>
    </row>
    <row r="6521" spans="1:6" x14ac:dyDescent="0.3">
      <c r="A6521" t="str">
        <f>HYPERLINK("https://us2.cloudbeds.com/connect/10074733072513#/reservations/30684424867981?display=YQWB5R30E&amp;reservation_id=30684424867981", "YQWB5R30E")</f>
        <v>YQWB5R30E</v>
      </c>
      <c r="B6521" t="s">
        <v>999</v>
      </c>
      <c r="C6521">
        <v>96.81</v>
      </c>
      <c r="D6521">
        <v>105.24</v>
      </c>
      <c r="E6521">
        <v>105.23</v>
      </c>
      <c r="F6521">
        <v>0.01</v>
      </c>
    </row>
    <row r="6522" spans="1:6" x14ac:dyDescent="0.3">
      <c r="A6522" t="str">
        <f>HYPERLINK("https://us2.cloudbeds.com/connect/10074733072513#/reservations/30683696935123?display=YQVPJ09F0&amp;reservation_id=30683696935123", "YQVPJ09F0")</f>
        <v>YQVPJ09F0</v>
      </c>
      <c r="B6522" t="s">
        <v>1000</v>
      </c>
      <c r="C6522">
        <v>420</v>
      </c>
      <c r="D6522">
        <v>456.55</v>
      </c>
      <c r="E6522">
        <v>456.54</v>
      </c>
      <c r="F6522">
        <v>0.01</v>
      </c>
    </row>
    <row r="6523" spans="1:6" x14ac:dyDescent="0.3">
      <c r="A6523" t="str">
        <f>HYPERLINK("https://us2.cloudbeds.com/connect/10074733072513#/reservations/30683971563729?display=YQVWJJ7YW&amp;reservation_id=30683971563729", "YQVWJJ7YW")</f>
        <v>YQVWJJ7YW</v>
      </c>
      <c r="B6523" t="s">
        <v>996</v>
      </c>
      <c r="C6523">
        <v>149</v>
      </c>
      <c r="D6523">
        <v>161.97</v>
      </c>
      <c r="E6523">
        <v>161.96</v>
      </c>
      <c r="F6523">
        <v>0.01</v>
      </c>
    </row>
    <row r="6524" spans="1:6" x14ac:dyDescent="0.3">
      <c r="A6524" t="str">
        <f>HYPERLINK("https://us2.cloudbeds.com/connect/10074733072513#/reservations/30683815600359?display=YQVSK2AK8&amp;reservation_id=30683815600359", "YQVSK2AK8")</f>
        <v>YQVSK2AK8</v>
      </c>
      <c r="B6524" t="s">
        <v>997</v>
      </c>
      <c r="C6524">
        <v>119</v>
      </c>
      <c r="D6524">
        <v>129.36000000000001</v>
      </c>
      <c r="E6524">
        <v>129.35</v>
      </c>
      <c r="F6524">
        <v>0.01</v>
      </c>
    </row>
    <row r="6525" spans="1:6" x14ac:dyDescent="0.3">
      <c r="A6525" t="str">
        <f>HYPERLINK("https://us2.cloudbeds.com/connect/10074733072513#/reservations/30683822674106?display=YQVSQ1587&amp;reservation_id=30683822674106", "YQVSQ1587")</f>
        <v>YQVSQ1587</v>
      </c>
      <c r="B6525" t="s">
        <v>997</v>
      </c>
      <c r="C6525">
        <v>119</v>
      </c>
      <c r="D6525">
        <v>129.36000000000001</v>
      </c>
      <c r="E6525">
        <v>129.35</v>
      </c>
      <c r="F6525">
        <v>0.01</v>
      </c>
    </row>
    <row r="6526" spans="1:6" x14ac:dyDescent="0.3">
      <c r="A6526" t="str">
        <f>HYPERLINK("https://us2.cloudbeds.com/connect/10074733072513#/reservations/30683825647828?display=YQVSSHTV0&amp;reservation_id=30683825647828", "YQVSSHTV0")</f>
        <v>YQVSSHTV0</v>
      </c>
      <c r="B6526" t="s">
        <v>997</v>
      </c>
      <c r="C6526">
        <v>119</v>
      </c>
      <c r="D6526">
        <v>129.36000000000001</v>
      </c>
      <c r="E6526">
        <v>129.35</v>
      </c>
      <c r="F6526">
        <v>0.01</v>
      </c>
    </row>
    <row r="6527" spans="1:6" x14ac:dyDescent="0.3">
      <c r="A6527" t="str">
        <f>HYPERLINK("https://us2.cloudbeds.com/connect/10074733072513#/reservations/30684392607942?display=YQWABKDFH&amp;reservation_id=30684392607942", "YQWABKDFH")</f>
        <v>YQWABKDFH</v>
      </c>
      <c r="B6527" t="s">
        <v>999</v>
      </c>
      <c r="C6527">
        <v>129</v>
      </c>
      <c r="D6527">
        <v>140.22999999999999</v>
      </c>
      <c r="E6527">
        <v>140.22</v>
      </c>
      <c r="F6527">
        <v>0.01</v>
      </c>
    </row>
    <row r="6528" spans="1:6" x14ac:dyDescent="0.3">
      <c r="A6528" t="str">
        <f>HYPERLINK("https://us2.cloudbeds.com/connect/10074733072513#/reservations/30683265298635?display=YQVEX1C1E&amp;reservation_id=30683265298635", "YQVEX1C1E")</f>
        <v>YQVEX1C1E</v>
      </c>
      <c r="B6528" t="s">
        <v>809</v>
      </c>
      <c r="C6528">
        <v>322.2</v>
      </c>
      <c r="D6528">
        <v>350.24</v>
      </c>
      <c r="E6528">
        <v>350.23</v>
      </c>
      <c r="F6528">
        <v>0.01</v>
      </c>
    </row>
    <row r="6529" spans="1:6" x14ac:dyDescent="0.3">
      <c r="A6529" t="str">
        <f>HYPERLINK("https://us2.cloudbeds.com/connect/10074733072513#/reservations/30684379472068?display=YQWA0HT4Z&amp;reservation_id=30684379472068", "YQWA0HT4Z")</f>
        <v>YQWA0HT4Z</v>
      </c>
      <c r="B6529" t="s">
        <v>999</v>
      </c>
      <c r="C6529">
        <v>149</v>
      </c>
      <c r="D6529">
        <v>161.97</v>
      </c>
      <c r="E6529">
        <v>161.96</v>
      </c>
      <c r="F6529">
        <v>0.01</v>
      </c>
    </row>
    <row r="6530" spans="1:6" x14ac:dyDescent="0.3">
      <c r="A6530" t="str">
        <f>HYPERLINK("https://us2.cloudbeds.com/connect/10074733072513#/reservations/30682845974732?display=YQV3RF1VG&amp;reservation_id=30682845974732", "YQV3RF1VG")</f>
        <v>YQV3RF1VG</v>
      </c>
      <c r="B6530" t="s">
        <v>924</v>
      </c>
      <c r="C6530">
        <v>159</v>
      </c>
      <c r="D6530">
        <v>172.84</v>
      </c>
      <c r="E6530">
        <v>172.83</v>
      </c>
      <c r="F6530">
        <v>0.01</v>
      </c>
    </row>
    <row r="6531" spans="1:6" x14ac:dyDescent="0.3">
      <c r="A6531" t="str">
        <f>HYPERLINK("https://us2.cloudbeds.com/connect/10074733072513#/reservations/30683615416450?display=YQVNG8U06&amp;reservation_id=30683615416450", "YQVNG8U06")</f>
        <v>YQVNG8U06</v>
      </c>
      <c r="B6531" t="s">
        <v>948</v>
      </c>
      <c r="C6531">
        <v>79</v>
      </c>
      <c r="D6531">
        <v>85.88</v>
      </c>
      <c r="E6531">
        <v>85.87</v>
      </c>
      <c r="F6531">
        <v>0.01</v>
      </c>
    </row>
    <row r="6532" spans="1:6" x14ac:dyDescent="0.3">
      <c r="A6532" t="str">
        <f>HYPERLINK("https://us2.cloudbeds.com/connect/10074733072513#/reservations/30683710808285?display=YQVPUNAQS&amp;reservation_id=30683710808285", "YQVPUNAQS")</f>
        <v>YQVPUNAQS</v>
      </c>
      <c r="B6532" t="s">
        <v>1001</v>
      </c>
      <c r="C6532">
        <v>238</v>
      </c>
      <c r="D6532">
        <v>258.72000000000003</v>
      </c>
      <c r="E6532">
        <v>258.70999999999998</v>
      </c>
      <c r="F6532">
        <v>0.01</v>
      </c>
    </row>
    <row r="6533" spans="1:6" x14ac:dyDescent="0.3">
      <c r="A6533" t="str">
        <f>HYPERLINK("https://us2.cloudbeds.com/connect/10074733072513#/reservations/30683737858239?display=YQVQKH12E&amp;reservation_id=30683737858239", "YQVQKH12E")</f>
        <v>YQVQKH12E</v>
      </c>
      <c r="B6533" t="s">
        <v>1001</v>
      </c>
      <c r="C6533">
        <v>119</v>
      </c>
      <c r="D6533">
        <v>129.36000000000001</v>
      </c>
      <c r="E6533">
        <v>129.35</v>
      </c>
      <c r="F6533">
        <v>0.01</v>
      </c>
    </row>
    <row r="6534" spans="1:6" x14ac:dyDescent="0.3">
      <c r="A6534" t="str">
        <f>HYPERLINK("https://us2.cloudbeds.com/connect/10074733072513#/reservations/30683743105236?display=YQVQZV18B&amp;reservation_id=30683743105236", "YQVQZV18B")</f>
        <v>YQVQZV18B</v>
      </c>
      <c r="B6534" t="s">
        <v>1001</v>
      </c>
      <c r="C6534">
        <v>73</v>
      </c>
      <c r="D6534">
        <v>79.36</v>
      </c>
      <c r="E6534">
        <v>79.349999999999994</v>
      </c>
      <c r="F6534">
        <v>0.01</v>
      </c>
    </row>
    <row r="6535" spans="1:6" x14ac:dyDescent="0.3">
      <c r="A6535" t="str">
        <f>HYPERLINK("https://us2.cloudbeds.com/connect/10074733072513#/reservations/30683787210928?display=YQVRT4BBF&amp;reservation_id=30683787210928", "YQVRT4BBF")</f>
        <v>YQVRT4BBF</v>
      </c>
      <c r="B6535" t="s">
        <v>1001</v>
      </c>
      <c r="C6535">
        <v>80.38</v>
      </c>
      <c r="D6535">
        <v>87.38</v>
      </c>
      <c r="E6535">
        <v>87.37</v>
      </c>
      <c r="F6535">
        <v>0.01</v>
      </c>
    </row>
    <row r="6536" spans="1:6" x14ac:dyDescent="0.3">
      <c r="A6536" t="str">
        <f>HYPERLINK("https://us2.cloudbeds.com/connect/10074733072513#/reservations/30683798626462?display=YQVS5ZWUN&amp;reservation_id=30683798626462", "YQVS5ZWUN")</f>
        <v>YQVS5ZWUN</v>
      </c>
      <c r="B6536" t="s">
        <v>1001</v>
      </c>
      <c r="C6536">
        <v>73</v>
      </c>
      <c r="D6536">
        <v>79.36</v>
      </c>
      <c r="E6536">
        <v>79.349999999999994</v>
      </c>
      <c r="F6536">
        <v>0.01</v>
      </c>
    </row>
    <row r="6537" spans="1:6" x14ac:dyDescent="0.3">
      <c r="A6537" t="str">
        <f>HYPERLINK("https://us2.cloudbeds.com/connect/10074733072513#/reservations/30683809050769?display=YQVSEX29R&amp;reservation_id=30683809050769", "YQVSEX29R")</f>
        <v>YQVSEX29R</v>
      </c>
      <c r="B6537" t="s">
        <v>1001</v>
      </c>
      <c r="C6537">
        <v>73</v>
      </c>
      <c r="D6537">
        <v>79.36</v>
      </c>
      <c r="E6537">
        <v>79.349999999999994</v>
      </c>
      <c r="F6537">
        <v>0.01</v>
      </c>
    </row>
    <row r="6538" spans="1:6" x14ac:dyDescent="0.3">
      <c r="A6538" t="str">
        <f>HYPERLINK("https://us2.cloudbeds.com/connect/10074733072513#/reservations/30682953732301?display=YQV6JAXTA&amp;reservation_id=30682953732301", "YQV6JAXTA")</f>
        <v>YQV6JAXTA</v>
      </c>
      <c r="B6538" t="s">
        <v>924</v>
      </c>
      <c r="C6538">
        <v>149</v>
      </c>
      <c r="D6538">
        <v>161.97</v>
      </c>
      <c r="E6538">
        <v>161.96</v>
      </c>
      <c r="F6538">
        <v>0.01</v>
      </c>
    </row>
    <row r="6539" spans="1:6" x14ac:dyDescent="0.3">
      <c r="A6539" t="str">
        <f>HYPERLINK("https://us2.cloudbeds.com/connect/10074733072513#/reservations/30682967789760?display=YQV6P5A43&amp;reservation_id=30682967789760", "YQV6P5A43")</f>
        <v>YQV6P5A43</v>
      </c>
      <c r="B6539" t="s">
        <v>924</v>
      </c>
      <c r="C6539">
        <v>159</v>
      </c>
      <c r="D6539">
        <v>172.84</v>
      </c>
      <c r="E6539">
        <v>172.83</v>
      </c>
      <c r="F6539">
        <v>0.01</v>
      </c>
    </row>
    <row r="6540" spans="1:6" x14ac:dyDescent="0.3">
      <c r="A6540" t="str">
        <f>HYPERLINK("https://us2.cloudbeds.com/connect/10074733072513#/reservations/30682309091557?display=YQUN3ZG9C&amp;reservation_id=30682309091557", "YQUN3ZG9C")</f>
        <v>YQUN3ZG9C</v>
      </c>
      <c r="B6540" t="s">
        <v>749</v>
      </c>
      <c r="C6540">
        <v>79</v>
      </c>
      <c r="D6540">
        <v>85.88</v>
      </c>
      <c r="E6540">
        <v>85.87</v>
      </c>
      <c r="F6540">
        <v>0.01</v>
      </c>
    </row>
    <row r="6541" spans="1:6" x14ac:dyDescent="0.3">
      <c r="A6541" t="str">
        <f>HYPERLINK("https://us2.cloudbeds.com/connect/10074733072513#/reservations/30683691028618?display=YQVPE0UM0&amp;reservation_id=30683691028618", "YQVPE0UM0")</f>
        <v>YQVPE0UM0</v>
      </c>
      <c r="B6541" t="s">
        <v>883</v>
      </c>
      <c r="C6541">
        <v>80.38</v>
      </c>
      <c r="D6541">
        <v>87.38</v>
      </c>
      <c r="E6541">
        <v>87.37</v>
      </c>
      <c r="F6541">
        <v>0.01</v>
      </c>
    </row>
    <row r="6542" spans="1:6" x14ac:dyDescent="0.3">
      <c r="A6542" t="str">
        <f>HYPERLINK("https://us2.cloudbeds.com/connect/10074733072513#/reservations/30683171676409?display=YQVC53679&amp;reservation_id=30683171676409", "YQVC53679")</f>
        <v>YQVC53679</v>
      </c>
      <c r="B6542" t="s">
        <v>962</v>
      </c>
      <c r="C6542">
        <v>298</v>
      </c>
      <c r="D6542">
        <v>323.94</v>
      </c>
      <c r="E6542">
        <v>323.93</v>
      </c>
      <c r="F6542">
        <v>0.01</v>
      </c>
    </row>
    <row r="6543" spans="1:6" x14ac:dyDescent="0.3">
      <c r="A6543" t="str">
        <f>HYPERLINK("https://us2.cloudbeds.com/connect/10074733072513#/reservations/30683013128436?display=YQV83DBQ8&amp;reservation_id=30683013128436", "YQV83DBQ8")</f>
        <v>YQV83DBQ8</v>
      </c>
      <c r="B6543" t="s">
        <v>924</v>
      </c>
      <c r="C6543">
        <v>129</v>
      </c>
      <c r="D6543">
        <v>140.22999999999999</v>
      </c>
      <c r="E6543">
        <v>140.22</v>
      </c>
      <c r="F6543">
        <v>0.01</v>
      </c>
    </row>
    <row r="6544" spans="1:6" x14ac:dyDescent="0.3">
      <c r="A6544" t="str">
        <f>HYPERLINK("https://us2.cloudbeds.com/connect/10074733072513#/reservations/30682350755988?display=YQUZ5SSKT&amp;reservation_id=30682350755988", "YQUZ5SSKT")</f>
        <v>YQUZ5SSKT</v>
      </c>
      <c r="B6544" t="s">
        <v>749</v>
      </c>
      <c r="C6544">
        <v>298</v>
      </c>
      <c r="D6544">
        <v>323.94</v>
      </c>
      <c r="E6544">
        <v>323.93</v>
      </c>
      <c r="F6544">
        <v>0.01</v>
      </c>
    </row>
    <row r="6545" spans="1:6" x14ac:dyDescent="0.3">
      <c r="A6545" t="str">
        <f>HYPERLINK("https://us2.cloudbeds.com/connect/10074733072513#/reservations/30682627264725?display=YQUV814AH&amp;reservation_id=30682627264725", "YQUV814AH")</f>
        <v>YQUV814AH</v>
      </c>
      <c r="B6545" t="s">
        <v>883</v>
      </c>
      <c r="C6545">
        <v>119</v>
      </c>
      <c r="D6545">
        <v>129.36000000000001</v>
      </c>
      <c r="E6545">
        <v>129.35</v>
      </c>
      <c r="F6545">
        <v>0.01</v>
      </c>
    </row>
    <row r="6546" spans="1:6" x14ac:dyDescent="0.3">
      <c r="A6546" t="str">
        <f>HYPERLINK("https://us2.cloudbeds.com/connect/10074733072513#/reservations/30684296847569?display=YQW7TSZ81&amp;reservation_id=30684296847569", "YQW7TSZ81")</f>
        <v>YQW7TSZ81</v>
      </c>
      <c r="B6546" t="s">
        <v>883</v>
      </c>
      <c r="C6546">
        <v>119</v>
      </c>
      <c r="D6546">
        <v>129.36000000000001</v>
      </c>
      <c r="E6546">
        <v>129.35</v>
      </c>
      <c r="F6546">
        <v>0.01</v>
      </c>
    </row>
    <row r="6547" spans="1:6" x14ac:dyDescent="0.3">
      <c r="A6547" t="str">
        <f>HYPERLINK("https://us2.cloudbeds.com/connect/10074733072513#/reservations/30684314394816?display=YQW85D4PT&amp;reservation_id=30684314394816", "YQW85D4PT")</f>
        <v>YQW85D4PT</v>
      </c>
      <c r="B6547" t="s">
        <v>883</v>
      </c>
      <c r="C6547">
        <v>73</v>
      </c>
      <c r="D6547">
        <v>79.36</v>
      </c>
      <c r="E6547">
        <v>79.349999999999994</v>
      </c>
      <c r="F6547">
        <v>0.01</v>
      </c>
    </row>
    <row r="6548" spans="1:6" x14ac:dyDescent="0.3">
      <c r="A6548" t="str">
        <f>HYPERLINK("https://us2.cloudbeds.com/connect/10074733072513#/reservations/30682913382649?display=YQV5X9PSY&amp;reservation_id=30682913382649", "YQV5X9PSY")</f>
        <v>YQV5X9PSY</v>
      </c>
      <c r="B6548" t="s">
        <v>924</v>
      </c>
      <c r="C6548">
        <v>129</v>
      </c>
      <c r="D6548">
        <v>140.22999999999999</v>
      </c>
      <c r="E6548">
        <v>140.22</v>
      </c>
      <c r="F6548">
        <v>0.01</v>
      </c>
    </row>
    <row r="6549" spans="1:6" x14ac:dyDescent="0.3">
      <c r="A6549" t="str">
        <f>HYPERLINK("https://us2.cloudbeds.com/connect/10074733072513#/reservations/30682642145413?display=YQUVKJ6SF&amp;reservation_id=30682642145413", "YQUVKJ6SF")</f>
        <v>YQUVKJ6SF</v>
      </c>
      <c r="B6549" t="s">
        <v>883</v>
      </c>
      <c r="C6549">
        <v>119</v>
      </c>
      <c r="D6549">
        <v>129.36000000000001</v>
      </c>
      <c r="E6549">
        <v>129.35</v>
      </c>
      <c r="F6549">
        <v>0.01</v>
      </c>
    </row>
    <row r="6550" spans="1:6" x14ac:dyDescent="0.3">
      <c r="A6550" t="str">
        <f>HYPERLINK("https://us2.cloudbeds.com/connect/10074733072513#/reservations/30682318856325?display=YQUNBW70E&amp;reservation_id=30682318856325", "YQUNBW70E")</f>
        <v>YQUNBW70E</v>
      </c>
      <c r="B6550" t="s">
        <v>749</v>
      </c>
      <c r="C6550">
        <v>79</v>
      </c>
      <c r="D6550">
        <v>85.88</v>
      </c>
      <c r="E6550">
        <v>85.87</v>
      </c>
      <c r="F6550">
        <v>0.01</v>
      </c>
    </row>
    <row r="6551" spans="1:6" x14ac:dyDescent="0.3">
      <c r="A6551" t="str">
        <f>HYPERLINK("https://us2.cloudbeds.com/connect/10074733072513#/reservations/30684163563698?display=YQW4GFU5S&amp;reservation_id=30684163563698", "YQW4GFU5S")</f>
        <v>YQW4GFU5S</v>
      </c>
      <c r="B6551" t="s">
        <v>993</v>
      </c>
      <c r="C6551">
        <v>139</v>
      </c>
      <c r="D6551">
        <v>151.1</v>
      </c>
      <c r="E6551">
        <v>151.09</v>
      </c>
      <c r="F6551">
        <v>0.01</v>
      </c>
    </row>
    <row r="6552" spans="1:6" x14ac:dyDescent="0.3">
      <c r="A6552" t="str">
        <f>HYPERLINK("https://us2.cloudbeds.com/connect/10074733072513#/reservations/30684340371612?display=YQW90XS7E&amp;reservation_id=30684340371612", "YQW90XS7E")</f>
        <v>YQW90XS7E</v>
      </c>
      <c r="B6552" t="s">
        <v>883</v>
      </c>
      <c r="C6552">
        <v>101.75</v>
      </c>
      <c r="D6552">
        <v>110.61</v>
      </c>
      <c r="E6552">
        <v>110.6</v>
      </c>
      <c r="F6552">
        <v>0.01</v>
      </c>
    </row>
    <row r="6553" spans="1:6" x14ac:dyDescent="0.3">
      <c r="A6553" t="str">
        <f>HYPERLINK("https://us2.cloudbeds.com/connect/10074733072513#/reservations/30682599043209?display=YQUUH7R82&amp;reservation_id=30682599043209", "YQUUH7R82")</f>
        <v>YQUUH7R82</v>
      </c>
      <c r="B6553" t="s">
        <v>993</v>
      </c>
      <c r="C6553">
        <v>101.55</v>
      </c>
      <c r="D6553">
        <v>110.39</v>
      </c>
      <c r="E6553">
        <v>110.38</v>
      </c>
      <c r="F6553">
        <v>0.01</v>
      </c>
    </row>
    <row r="6554" spans="1:6" x14ac:dyDescent="0.3">
      <c r="A6554" t="str">
        <f>HYPERLINK("https://us2.cloudbeds.com/connect/10074733072513#/reservations/30683696931040?display=YQVPJ05N9&amp;reservation_id=30683696931040", "YQVPJ05N9")</f>
        <v>YQVPJ05N9</v>
      </c>
      <c r="B6554" t="s">
        <v>883</v>
      </c>
      <c r="C6554">
        <v>119</v>
      </c>
      <c r="D6554">
        <v>129.36000000000001</v>
      </c>
      <c r="E6554">
        <v>129.35</v>
      </c>
      <c r="F6554">
        <v>0.01</v>
      </c>
    </row>
    <row r="6555" spans="1:6" x14ac:dyDescent="0.3">
      <c r="A6555" t="str">
        <f>HYPERLINK("https://us2.cloudbeds.com/connect/10074733072513#/reservations/30682606375136?display=YQUUNDRVY&amp;reservation_id=30682606375136", "YQUUNDRVY")</f>
        <v>YQUUNDRVY</v>
      </c>
      <c r="B6555" t="s">
        <v>993</v>
      </c>
      <c r="C6555">
        <v>80.38</v>
      </c>
      <c r="D6555">
        <v>87.38</v>
      </c>
      <c r="E6555">
        <v>87.37</v>
      </c>
      <c r="F6555">
        <v>0.01</v>
      </c>
    </row>
    <row r="6556" spans="1:6" x14ac:dyDescent="0.3">
      <c r="A6556" t="str">
        <f>HYPERLINK("https://us2.cloudbeds.com/connect/10074733072513#/reservations/30682022477955?display=YQUFQ21XN&amp;reservation_id=30682022477955", "YQUFQ21XN")</f>
        <v>YQUFQ21XN</v>
      </c>
      <c r="B6556" t="s">
        <v>749</v>
      </c>
      <c r="C6556">
        <v>149</v>
      </c>
      <c r="D6556">
        <v>161.97</v>
      </c>
      <c r="E6556">
        <v>161.96</v>
      </c>
      <c r="F6556">
        <v>0.01</v>
      </c>
    </row>
    <row r="6557" spans="1:6" x14ac:dyDescent="0.3">
      <c r="A6557" t="str">
        <f>HYPERLINK("https://us2.cloudbeds.com/connect/10074733072513#/reservations/30682930163939?display=YQV5WEZMJ&amp;reservation_id=30682930163939", "YQV5WEZMJ")</f>
        <v>YQV5WEZMJ</v>
      </c>
      <c r="B6557" t="s">
        <v>760</v>
      </c>
      <c r="C6557">
        <v>398</v>
      </c>
      <c r="D6557">
        <v>432.64</v>
      </c>
      <c r="E6557">
        <v>432.63</v>
      </c>
      <c r="F6557">
        <v>0.01</v>
      </c>
    </row>
    <row r="6558" spans="1:6" x14ac:dyDescent="0.3">
      <c r="A6558" t="str">
        <f>HYPERLINK("https://us2.cloudbeds.com/connect/10074733072513#/reservations/30684000063632?display=YQW0AK9CD&amp;reservation_id=30684000063632", "YQW0AK9CD")</f>
        <v>YQW0AK9CD</v>
      </c>
      <c r="B6558" t="s">
        <v>968</v>
      </c>
      <c r="C6558">
        <v>80.38</v>
      </c>
      <c r="D6558">
        <v>87.38</v>
      </c>
      <c r="E6558">
        <v>87.37</v>
      </c>
      <c r="F6558">
        <v>0.01</v>
      </c>
    </row>
    <row r="6559" spans="1:6" x14ac:dyDescent="0.3">
      <c r="A6559" t="str">
        <f>HYPERLINK("https://us2.cloudbeds.com/connect/10074733072513#/reservations/30684144169122?display=YQW4047YE&amp;reservation_id=30684144169122", "YQW4047YE")</f>
        <v>YQW4047YE</v>
      </c>
      <c r="B6559" t="s">
        <v>993</v>
      </c>
      <c r="C6559">
        <v>119</v>
      </c>
      <c r="D6559">
        <v>129.36000000000001</v>
      </c>
      <c r="E6559">
        <v>129.35</v>
      </c>
      <c r="F6559">
        <v>0.01</v>
      </c>
    </row>
    <row r="6560" spans="1:6" x14ac:dyDescent="0.3">
      <c r="A6560" t="str">
        <f>HYPERLINK("https://us2.cloudbeds.com/connect/10074733072513#/reservations/30684084039905?display=YQW2FE1XV&amp;reservation_id=30684084039905", "YQW2FE1XV")</f>
        <v>YQW2FE1XV</v>
      </c>
      <c r="B6560" t="s">
        <v>964</v>
      </c>
      <c r="C6560">
        <v>219</v>
      </c>
      <c r="D6560">
        <v>238.06</v>
      </c>
      <c r="E6560">
        <v>238.05</v>
      </c>
      <c r="F6560">
        <v>0.01</v>
      </c>
    </row>
    <row r="6561" spans="1:6" x14ac:dyDescent="0.3">
      <c r="A6561" t="str">
        <f>HYPERLINK("https://us2.cloudbeds.com/connect/10074733072513#/reservations/30683016917133?display=YQV86JPS8&amp;reservation_id=30683016917133", "YQV86JPS8")</f>
        <v>YQV86JPS8</v>
      </c>
      <c r="B6561" t="s">
        <v>924</v>
      </c>
      <c r="C6561">
        <v>149</v>
      </c>
      <c r="D6561">
        <v>161.97</v>
      </c>
      <c r="E6561">
        <v>161.96</v>
      </c>
      <c r="F6561">
        <v>0.01</v>
      </c>
    </row>
    <row r="6562" spans="1:6" x14ac:dyDescent="0.3">
      <c r="A6562" t="str">
        <f>HYPERLINK("https://us2.cloudbeds.com/connect/10074733072513#/reservations/30683703787668?display=YQVPZPVVS&amp;reservation_id=30683703787668", "YQVPZPVVS")</f>
        <v>YQVPZPVVS</v>
      </c>
      <c r="B6562" t="s">
        <v>1002</v>
      </c>
      <c r="C6562">
        <v>80.38</v>
      </c>
      <c r="D6562">
        <v>87.38</v>
      </c>
      <c r="E6562">
        <v>87.37</v>
      </c>
      <c r="F6562">
        <v>0.01</v>
      </c>
    </row>
    <row r="6563" spans="1:6" x14ac:dyDescent="0.3">
      <c r="A6563" t="str">
        <f>HYPERLINK("https://us2.cloudbeds.com/connect/10074733072513#/reservations/30684101374085?display=YQW2U1D34&amp;reservation_id=30684101374085", "YQW2U1D34")</f>
        <v>YQW2U1D34</v>
      </c>
      <c r="B6563" t="s">
        <v>964</v>
      </c>
      <c r="C6563">
        <v>219</v>
      </c>
      <c r="D6563">
        <v>238.06</v>
      </c>
      <c r="E6563">
        <v>238.05</v>
      </c>
      <c r="F6563">
        <v>0.01</v>
      </c>
    </row>
    <row r="6564" spans="1:6" x14ac:dyDescent="0.3">
      <c r="A6564" t="str">
        <f>HYPERLINK("https://us2.cloudbeds.com/connect/10074733072513#/reservations/30682934841547?display=YQV63CU09&amp;reservation_id=30682934841547", "YQV63CU09")</f>
        <v>YQV63CU09</v>
      </c>
      <c r="B6564" t="s">
        <v>924</v>
      </c>
      <c r="C6564">
        <v>149</v>
      </c>
      <c r="D6564">
        <v>161.97</v>
      </c>
      <c r="E6564">
        <v>161.96</v>
      </c>
      <c r="F6564">
        <v>0.01</v>
      </c>
    </row>
    <row r="6565" spans="1:6" x14ac:dyDescent="0.3">
      <c r="A6565" t="str">
        <f>HYPERLINK("https://us2.cloudbeds.com/connect/10074733072513#/reservations/30682322677920?display=YQUNF6X9B&amp;reservation_id=30682322677920", "YQUNF6X9B")</f>
        <v>YQUNF6X9B</v>
      </c>
      <c r="B6565" t="s">
        <v>749</v>
      </c>
      <c r="C6565">
        <v>169</v>
      </c>
      <c r="D6565">
        <v>183.71</v>
      </c>
      <c r="E6565">
        <v>183.7</v>
      </c>
      <c r="F6565">
        <v>0.01</v>
      </c>
    </row>
    <row r="6566" spans="1:6" x14ac:dyDescent="0.3">
      <c r="A6566" t="str">
        <f>HYPERLINK("https://us2.cloudbeds.com/connect/10074733072513#/reservations/30683955773658?display=YQVW68S1W&amp;reservation_id=30683955773658", "YQVW68S1W")</f>
        <v>YQVW68S1W</v>
      </c>
      <c r="B6566" t="s">
        <v>968</v>
      </c>
      <c r="C6566">
        <v>119</v>
      </c>
      <c r="D6566">
        <v>129.36000000000001</v>
      </c>
      <c r="E6566">
        <v>129.35</v>
      </c>
      <c r="F6566">
        <v>0.01</v>
      </c>
    </row>
    <row r="6567" spans="1:6" x14ac:dyDescent="0.3">
      <c r="A6567" t="str">
        <f>HYPERLINK("https://us2.cloudbeds.com/connect/10074733072513#/reservations/30682879701122?display=YQV4MTX0A&amp;reservation_id=30682879701122", "YQV4MTX0A")</f>
        <v>YQV4MTX0A</v>
      </c>
      <c r="B6567" t="s">
        <v>1003</v>
      </c>
      <c r="C6567">
        <v>160.76</v>
      </c>
      <c r="D6567">
        <v>174.76</v>
      </c>
      <c r="E6567">
        <v>174.75</v>
      </c>
      <c r="F6567">
        <v>0.01</v>
      </c>
    </row>
    <row r="6568" spans="1:6" x14ac:dyDescent="0.3">
      <c r="A6568" t="str">
        <f>HYPERLINK("https://us2.cloudbeds.com/connect/10074733072513#/reservations/30684011397362?display=YQW0K5YRP&amp;reservation_id=30684011397362", "YQW0K5YRP")</f>
        <v>YQW0K5YRP</v>
      </c>
      <c r="B6568" t="s">
        <v>760</v>
      </c>
      <c r="C6568">
        <v>199</v>
      </c>
      <c r="D6568">
        <v>216.32</v>
      </c>
      <c r="E6568">
        <v>216.31</v>
      </c>
      <c r="F6568">
        <v>0.01</v>
      </c>
    </row>
    <row r="6569" spans="1:6" x14ac:dyDescent="0.3">
      <c r="A6569" t="str">
        <f>HYPERLINK("https://us2.cloudbeds.com/connect/10074733072513#/reservations/30683773440190?display=YQVRHH51C&amp;reservation_id=30683773440190", "YQVRHH51C")</f>
        <v>YQVRHH51C</v>
      </c>
      <c r="B6569" t="s">
        <v>992</v>
      </c>
      <c r="C6569">
        <v>119</v>
      </c>
      <c r="D6569">
        <v>129.36000000000001</v>
      </c>
      <c r="E6569">
        <v>129.35</v>
      </c>
      <c r="F6569">
        <v>0.01</v>
      </c>
    </row>
    <row r="6570" spans="1:6" x14ac:dyDescent="0.3">
      <c r="A6570" t="str">
        <f>HYPERLINK("https://us2.cloudbeds.com/connect/10074733072513#/reservations/30682886287584?display=YQV4SER62&amp;reservation_id=30682886287584", "YQV4SER62")</f>
        <v>YQV4SER62</v>
      </c>
      <c r="B6570" t="s">
        <v>1003</v>
      </c>
      <c r="C6570">
        <v>160.76</v>
      </c>
      <c r="D6570">
        <v>174.76</v>
      </c>
      <c r="E6570">
        <v>174.75</v>
      </c>
      <c r="F6570">
        <v>0.01</v>
      </c>
    </row>
    <row r="6571" spans="1:6" x14ac:dyDescent="0.3">
      <c r="A6571" t="str">
        <f>HYPERLINK("https://us2.cloudbeds.com/connect/10074733072513#/reservations/30682974232738?display=YQV73K0TZ&amp;reservation_id=30682974232738", "YQV73K0TZ")</f>
        <v>YQV73K0TZ</v>
      </c>
      <c r="B6571" t="s">
        <v>924</v>
      </c>
      <c r="C6571">
        <v>189</v>
      </c>
      <c r="D6571">
        <v>205.45</v>
      </c>
      <c r="E6571">
        <v>205.44</v>
      </c>
      <c r="F6571">
        <v>0.01</v>
      </c>
    </row>
    <row r="6572" spans="1:6" x14ac:dyDescent="0.3">
      <c r="A6572" t="str">
        <f>HYPERLINK("https://us2.cloudbeds.com/connect/10074733072513#/reservations/30682949144773?display=YQV6FEU9C&amp;reservation_id=30682949144773", "YQV6FEU9C")</f>
        <v>YQV6FEU9C</v>
      </c>
      <c r="B6572" t="s">
        <v>924</v>
      </c>
      <c r="C6572">
        <v>179</v>
      </c>
      <c r="D6572">
        <v>194.58</v>
      </c>
      <c r="E6572">
        <v>194.57</v>
      </c>
      <c r="F6572">
        <v>0.01</v>
      </c>
    </row>
    <row r="6573" spans="1:6" x14ac:dyDescent="0.3">
      <c r="A6573" t="str">
        <f>HYPERLINK("https://us2.cloudbeds.com/connect/10074733072513#/reservations/30682953728219?display=YQV6JAF4M&amp;reservation_id=30682953728219", "YQV6JAF4M")</f>
        <v>YQV6JAF4M</v>
      </c>
      <c r="B6573" t="s">
        <v>924</v>
      </c>
      <c r="C6573">
        <v>169</v>
      </c>
      <c r="D6573">
        <v>183.71</v>
      </c>
      <c r="E6573">
        <v>183.7</v>
      </c>
      <c r="F6573">
        <v>0.01</v>
      </c>
    </row>
    <row r="6574" spans="1:6" x14ac:dyDescent="0.3">
      <c r="A6574" t="str">
        <f>HYPERLINK("https://us2.cloudbeds.com/connect/10074733072513#/reservations/30682960654513?display=YQV6P56CC&amp;reservation_id=30682960654513", "YQV6P56CC")</f>
        <v>YQV6P56CC</v>
      </c>
      <c r="B6574" t="s">
        <v>924</v>
      </c>
      <c r="C6574">
        <v>179</v>
      </c>
      <c r="D6574">
        <v>194.58</v>
      </c>
      <c r="E6574">
        <v>194.57</v>
      </c>
      <c r="F6574">
        <v>0.01</v>
      </c>
    </row>
    <row r="6575" spans="1:6" x14ac:dyDescent="0.3">
      <c r="A6575" t="str">
        <f>HYPERLINK("https://us2.cloudbeds.com/connect/10074733072513#/reservations/30682967793864?display=YQV6V5S8B&amp;reservation_id=30682967793864", "YQV6V5S8B")</f>
        <v>YQV6V5S8B</v>
      </c>
      <c r="B6575" t="s">
        <v>924</v>
      </c>
      <c r="C6575">
        <v>169</v>
      </c>
      <c r="D6575">
        <v>183.71</v>
      </c>
      <c r="E6575">
        <v>183.7</v>
      </c>
      <c r="F6575">
        <v>0.01</v>
      </c>
    </row>
    <row r="6576" spans="1:6" x14ac:dyDescent="0.3">
      <c r="A6576" t="str">
        <f>HYPERLINK("https://us2.cloudbeds.com/connect/10074733072513#/reservations/30682190782602?display=YQUK2WC9H&amp;reservation_id=30682190782602", "YQUK2WC9H")</f>
        <v>YQUK2WC9H</v>
      </c>
      <c r="B6576" t="s">
        <v>945</v>
      </c>
      <c r="C6576">
        <v>149</v>
      </c>
      <c r="D6576">
        <v>161.97</v>
      </c>
      <c r="E6576">
        <v>161.96</v>
      </c>
      <c r="F6576">
        <v>0.01</v>
      </c>
    </row>
    <row r="6577" spans="1:6" x14ac:dyDescent="0.3">
      <c r="A6577" t="str">
        <f>HYPERLINK("https://us2.cloudbeds.com/connect/10074733072513#/reservations/30683665490084?display=YQVZPG9A1&amp;reservation_id=30683665490084", "YQVZPG9A1")</f>
        <v>YQVZPG9A1</v>
      </c>
      <c r="B6577" t="s">
        <v>948</v>
      </c>
      <c r="C6577">
        <v>535.5</v>
      </c>
      <c r="D6577">
        <v>582.1</v>
      </c>
      <c r="E6577">
        <v>582.09</v>
      </c>
      <c r="F6577">
        <v>0.01</v>
      </c>
    </row>
    <row r="6578" spans="1:6" x14ac:dyDescent="0.3">
      <c r="A6578" t="str">
        <f>HYPERLINK("https://us2.cloudbeds.com/connect/10074733072513#/reservations/30682177904866?display=YQUJP4103&amp;reservation_id=30682177904866", "YQUJP4103")</f>
        <v>YQUJP4103</v>
      </c>
      <c r="B6578" t="s">
        <v>945</v>
      </c>
      <c r="C6578">
        <v>149</v>
      </c>
      <c r="D6578">
        <v>161.97</v>
      </c>
      <c r="E6578">
        <v>161.96</v>
      </c>
      <c r="F6578">
        <v>0.01</v>
      </c>
    </row>
    <row r="6579" spans="1:6" x14ac:dyDescent="0.3">
      <c r="A6579" t="str">
        <f>HYPERLINK("https://us2.cloudbeds.com/connect/10074733072513#/reservations/30683793051846?display=YQVS11STW&amp;reservation_id=30683793051846", "YQVS11STW")</f>
        <v>YQVS11STW</v>
      </c>
      <c r="B6579" t="s">
        <v>992</v>
      </c>
      <c r="C6579">
        <v>149</v>
      </c>
      <c r="D6579">
        <v>161.97</v>
      </c>
      <c r="E6579">
        <v>161.96</v>
      </c>
      <c r="F6579">
        <v>0.01</v>
      </c>
    </row>
    <row r="6580" spans="1:6" x14ac:dyDescent="0.3">
      <c r="A6580" t="str">
        <f>HYPERLINK("https://us2.cloudbeds.com/connect/10074733072513#/reservations/30683832529071?display=YQVT1BCQH&amp;reservation_id=30683832529071", "YQVT1BCQH")</f>
        <v>YQVT1BCQH</v>
      </c>
      <c r="B6580" t="s">
        <v>992</v>
      </c>
      <c r="C6580">
        <v>80.38</v>
      </c>
      <c r="D6580">
        <v>87.38</v>
      </c>
      <c r="E6580">
        <v>87.37</v>
      </c>
      <c r="F6580">
        <v>0.01</v>
      </c>
    </row>
    <row r="6581" spans="1:6" x14ac:dyDescent="0.3">
      <c r="A6581" t="str">
        <f>HYPERLINK("https://us2.cloudbeds.com/connect/10074733072513#/reservations/30684257480895?display=YQW6TM9SH&amp;reservation_id=30684257480895", "YQW6TM9SH")</f>
        <v>YQW6TM9SH</v>
      </c>
      <c r="B6581" t="s">
        <v>992</v>
      </c>
      <c r="C6581">
        <v>119</v>
      </c>
      <c r="D6581">
        <v>129.36000000000001</v>
      </c>
      <c r="E6581">
        <v>129.35</v>
      </c>
      <c r="F6581">
        <v>0.01</v>
      </c>
    </row>
    <row r="6582" spans="1:6" x14ac:dyDescent="0.3">
      <c r="A6582" t="str">
        <f>HYPERLINK("https://us2.cloudbeds.com/connect/10074733072513#/reservations/30683949015175?display=YQVW0XPUE&amp;reservation_id=30683949015175", "YQVW0XPUE")</f>
        <v>YQVW0XPUE</v>
      </c>
      <c r="B6582" t="s">
        <v>968</v>
      </c>
      <c r="C6582">
        <v>119</v>
      </c>
      <c r="D6582">
        <v>129.36000000000001</v>
      </c>
      <c r="E6582">
        <v>129.35</v>
      </c>
      <c r="F6582">
        <v>0.01</v>
      </c>
    </row>
    <row r="6583" spans="1:6" x14ac:dyDescent="0.3">
      <c r="A6583" t="str">
        <f>HYPERLINK("https://us2.cloudbeds.com/connect/10074733072513#/reservations/30683990429843?display=YQW02G6UC&amp;reservation_id=30683990429843", "YQW02G6UC")</f>
        <v>YQW02G6UC</v>
      </c>
      <c r="B6583" t="s">
        <v>968</v>
      </c>
      <c r="C6583">
        <v>80.38</v>
      </c>
      <c r="D6583">
        <v>87.38</v>
      </c>
      <c r="E6583">
        <v>87.37</v>
      </c>
      <c r="F6583">
        <v>0.01</v>
      </c>
    </row>
    <row r="6584" spans="1:6" x14ac:dyDescent="0.3">
      <c r="A6584" t="str">
        <f>HYPERLINK("https://us2.cloudbeds.com/connect/10074733072513#/reservations/30682779275479?display=YQV2471Q0&amp;reservation_id=30682779275479", "YQV2471Q0")</f>
        <v>YQV2471Q0</v>
      </c>
      <c r="B6584" t="s">
        <v>924</v>
      </c>
      <c r="C6584">
        <v>218</v>
      </c>
      <c r="D6584">
        <v>236.98</v>
      </c>
      <c r="E6584">
        <v>236.97</v>
      </c>
      <c r="F6584">
        <v>0.01</v>
      </c>
    </row>
    <row r="6585" spans="1:6" x14ac:dyDescent="0.3">
      <c r="A6585" t="str">
        <f>HYPERLINK("https://us2.cloudbeds.com/connect/10074733072513#/reservations/30682787541172?display=YQV2B61VX&amp;reservation_id=30682787541172", "YQV2B61VX")</f>
        <v>YQV2B61VX</v>
      </c>
      <c r="B6585" t="s">
        <v>924</v>
      </c>
      <c r="C6585">
        <v>318</v>
      </c>
      <c r="D6585">
        <v>345.68</v>
      </c>
      <c r="E6585">
        <v>345.67</v>
      </c>
      <c r="F6585">
        <v>0.01</v>
      </c>
    </row>
    <row r="6586" spans="1:6" x14ac:dyDescent="0.3">
      <c r="A6586" t="str">
        <f>HYPERLINK("https://us2.cloudbeds.com/connect/10074733072513#/reservations/30683947532530?display=YQVVWAHER&amp;reservation_id=30683947532530", "YQVVWAHER")</f>
        <v>YQVVWAHER</v>
      </c>
      <c r="B6586" t="s">
        <v>992</v>
      </c>
      <c r="C6586">
        <v>96.81</v>
      </c>
      <c r="D6586">
        <v>105.24</v>
      </c>
      <c r="E6586">
        <v>105.23</v>
      </c>
      <c r="F6586">
        <v>0.01</v>
      </c>
    </row>
    <row r="6587" spans="1:6" x14ac:dyDescent="0.3">
      <c r="A6587" t="str">
        <f>HYPERLINK("https://us2.cloudbeds.com/connect/10074733072513#/reservations/30683433885940?display=YQVXS6XAY&amp;reservation_id=30683433885940", "YQVXS6XAY")</f>
        <v>YQVXS6XAY</v>
      </c>
      <c r="B6587" t="s">
        <v>1000</v>
      </c>
      <c r="C6587">
        <v>321.3</v>
      </c>
      <c r="D6587">
        <v>349.26</v>
      </c>
      <c r="E6587">
        <v>349.25</v>
      </c>
      <c r="F6587">
        <v>0.01</v>
      </c>
    </row>
    <row r="6588" spans="1:6" x14ac:dyDescent="0.3">
      <c r="A6588" t="str">
        <f>HYPERLINK("https://us2.cloudbeds.com/connect/10074733072513#/reservations/30683045380343?display=YQV8UJQSP&amp;reservation_id=30683045380343", "YQV8UJQSP")</f>
        <v>YQV8UJQSP</v>
      </c>
      <c r="B6588" t="s">
        <v>924</v>
      </c>
      <c r="C6588">
        <v>129</v>
      </c>
      <c r="D6588">
        <v>140.22999999999999</v>
      </c>
      <c r="E6588">
        <v>140.22</v>
      </c>
      <c r="F6588">
        <v>0.01</v>
      </c>
    </row>
    <row r="6589" spans="1:6" x14ac:dyDescent="0.3">
      <c r="A6589" t="str">
        <f>HYPERLINK("https://us2.cloudbeds.com/connect/10074733072513#/reservations/30684207620267?display=YQW5KKS5C&amp;reservation_id=30684207620267", "YQW5KKS5C")</f>
        <v>YQW5KKS5C</v>
      </c>
      <c r="B6589" t="s">
        <v>1003</v>
      </c>
      <c r="C6589">
        <v>80.38</v>
      </c>
      <c r="D6589">
        <v>87.38</v>
      </c>
      <c r="E6589">
        <v>87.37</v>
      </c>
      <c r="F6589">
        <v>0.01</v>
      </c>
    </row>
    <row r="6590" spans="1:6" x14ac:dyDescent="0.3">
      <c r="A6590" t="str">
        <f>HYPERLINK("https://us2.cloudbeds.com/connect/10074733072513#/reservations/30683930226895?display=YQVVHNW4Y&amp;reservation_id=30683930226895", "YQVVHNW4Y")</f>
        <v>YQVVHNW4Y</v>
      </c>
      <c r="B6590" t="s">
        <v>992</v>
      </c>
      <c r="C6590">
        <v>101.75</v>
      </c>
      <c r="D6590">
        <v>110.61</v>
      </c>
      <c r="E6590">
        <v>110.6</v>
      </c>
      <c r="F6590">
        <v>0.01</v>
      </c>
    </row>
    <row r="6591" spans="1:6" x14ac:dyDescent="0.3">
      <c r="A6591" t="str">
        <f>HYPERLINK("https://us2.cloudbeds.com/connect/10074733072513#/reservations/30683892723862?display=YQVUJ3D33&amp;reservation_id=30683892723862", "YQVUJ3D33")</f>
        <v>YQVUJ3D33</v>
      </c>
      <c r="B6591" t="s">
        <v>749</v>
      </c>
      <c r="C6591">
        <v>106.8</v>
      </c>
      <c r="D6591">
        <v>116.1</v>
      </c>
      <c r="E6591">
        <v>116.09</v>
      </c>
      <c r="F6591">
        <v>0.01</v>
      </c>
    </row>
    <row r="6592" spans="1:6" x14ac:dyDescent="0.3">
      <c r="A6592" t="str">
        <f>HYPERLINK("https://us2.cloudbeds.com/connect/10074733072513#/reservations/30683872424118?display=YQVU1WHCB&amp;reservation_id=30683872424118", "YQVU1WHCB")</f>
        <v>YQVU1WHCB</v>
      </c>
      <c r="B6592" t="s">
        <v>996</v>
      </c>
      <c r="C6592">
        <v>169</v>
      </c>
      <c r="D6592">
        <v>183.71</v>
      </c>
      <c r="E6592">
        <v>183.7</v>
      </c>
      <c r="F6592">
        <v>0.01</v>
      </c>
    </row>
    <row r="6593" spans="1:6" x14ac:dyDescent="0.3">
      <c r="A6593" t="str">
        <f>HYPERLINK("https://us2.cloudbeds.com/connect/10074733072513#/reservations/30684461977771?display=YQWC43NVX&amp;reservation_id=30684461977771", "YQWC43NVX")</f>
        <v>YQWC43NVX</v>
      </c>
      <c r="B6593" t="s">
        <v>1000</v>
      </c>
      <c r="C6593">
        <v>119</v>
      </c>
      <c r="D6593">
        <v>129.36000000000001</v>
      </c>
      <c r="E6593">
        <v>129.35</v>
      </c>
      <c r="F6593">
        <v>0.01</v>
      </c>
    </row>
    <row r="6594" spans="1:6" x14ac:dyDescent="0.3">
      <c r="A6594" t="str">
        <f>HYPERLINK("https://us2.cloudbeds.com/connect/10074733072513#/reservations/30683917693086?display=YQVV756M8&amp;reservation_id=30683917693086", "YQVV756M8")</f>
        <v>YQVV756M8</v>
      </c>
      <c r="B6594" t="s">
        <v>749</v>
      </c>
      <c r="C6594">
        <v>149</v>
      </c>
      <c r="D6594">
        <v>161.97</v>
      </c>
      <c r="E6594">
        <v>161.96</v>
      </c>
      <c r="F6594">
        <v>0.01</v>
      </c>
    </row>
    <row r="6595" spans="1:6" x14ac:dyDescent="0.3">
      <c r="A6595" t="str">
        <f>HYPERLINK("https://us2.cloudbeds.com/connect/10074733072513#/reservations/30683924435191?display=YQVVCRQPF&amp;reservation_id=30683924435191", "YQVVCRQPF")</f>
        <v>YQVVCRQPF</v>
      </c>
      <c r="B6595" t="s">
        <v>749</v>
      </c>
      <c r="C6595">
        <v>149</v>
      </c>
      <c r="D6595">
        <v>161.97</v>
      </c>
      <c r="E6595">
        <v>161.96</v>
      </c>
      <c r="F6595">
        <v>0.01</v>
      </c>
    </row>
    <row r="6596" spans="1:6" x14ac:dyDescent="0.3">
      <c r="A6596" t="str">
        <f>HYPERLINK("https://us2.cloudbeds.com/connect/10074733072513#/reservations/30684244230347?display=YQW6XGJ7P&amp;reservation_id=30684244230347", "YQW6XGJ7P")</f>
        <v>YQW6XGJ7P</v>
      </c>
      <c r="B6596" t="s">
        <v>1002</v>
      </c>
      <c r="C6596">
        <v>80.38</v>
      </c>
      <c r="D6596">
        <v>87.38</v>
      </c>
      <c r="E6596">
        <v>87.37</v>
      </c>
      <c r="F6596">
        <v>0.01</v>
      </c>
    </row>
    <row r="6597" spans="1:6" x14ac:dyDescent="0.3">
      <c r="A6597" t="str">
        <f>HYPERLINK("https://us2.cloudbeds.com/connect/10074733072513#/reservations/30683002208410?display=YQV7R6G7C&amp;reservation_id=30683002208410", "YQV7R6G7C")</f>
        <v>YQV7R6G7C</v>
      </c>
      <c r="B6597" t="s">
        <v>945</v>
      </c>
      <c r="C6597">
        <v>378</v>
      </c>
      <c r="D6597">
        <v>410.9</v>
      </c>
      <c r="E6597">
        <v>410.89</v>
      </c>
      <c r="F6597">
        <v>0.01</v>
      </c>
    </row>
    <row r="6598" spans="1:6" x14ac:dyDescent="0.3">
      <c r="A6598" t="str">
        <f>HYPERLINK("https://us2.cloudbeds.com/connect/10074733072513#/reservations/30683016913039?display=YQV86JM36&amp;reservation_id=30683016913039", "YQV86JM36")</f>
        <v>YQV86JM36</v>
      </c>
      <c r="B6598" t="s">
        <v>945</v>
      </c>
      <c r="C6598">
        <v>258</v>
      </c>
      <c r="D6598">
        <v>280.45999999999998</v>
      </c>
      <c r="E6598">
        <v>280.45</v>
      </c>
      <c r="F6598">
        <v>0.01</v>
      </c>
    </row>
    <row r="6599" spans="1:6" x14ac:dyDescent="0.3">
      <c r="A6599" t="str">
        <f>HYPERLINK("https://us2.cloudbeds.com/connect/10074733072513#/reservations/30683483644117?display=YQVK454V6&amp;reservation_id=30683483644117", "YQVK454V6")</f>
        <v>YQVK454V6</v>
      </c>
      <c r="B6599" t="s">
        <v>1000</v>
      </c>
      <c r="C6599">
        <v>80.38</v>
      </c>
      <c r="D6599">
        <v>87.38</v>
      </c>
      <c r="E6599">
        <v>87.37</v>
      </c>
      <c r="F6599">
        <v>0.01</v>
      </c>
    </row>
    <row r="6600" spans="1:6" x14ac:dyDescent="0.3">
      <c r="A6600" t="str">
        <f>HYPERLINK("https://us2.cloudbeds.com/connect/10074733072513#/reservations/30683259469974?display=YQVED45ZB&amp;reservation_id=30683259469974", "YQVED45ZB")</f>
        <v>YQVED45ZB</v>
      </c>
      <c r="B6600" t="s">
        <v>963</v>
      </c>
      <c r="C6600">
        <v>160.76</v>
      </c>
      <c r="D6600">
        <v>174.76</v>
      </c>
      <c r="E6600">
        <v>174.75</v>
      </c>
      <c r="F6600">
        <v>0.01</v>
      </c>
    </row>
    <row r="6601" spans="1:6" x14ac:dyDescent="0.3">
      <c r="A6601" t="str">
        <f>HYPERLINK("https://us2.cloudbeds.com/connect/10074733072513#/reservations/30683363901651?display=YQVH264JK&amp;reservation_id=30683363901651", "YQVH264JK")</f>
        <v>YQVH264JK</v>
      </c>
      <c r="B6601" t="s">
        <v>967</v>
      </c>
      <c r="C6601">
        <v>139</v>
      </c>
      <c r="D6601">
        <v>151.1</v>
      </c>
      <c r="E6601">
        <v>151.09</v>
      </c>
      <c r="F6601">
        <v>0.01</v>
      </c>
    </row>
    <row r="6602" spans="1:6" x14ac:dyDescent="0.3">
      <c r="A6602" t="str">
        <f>HYPERLINK("https://us2.cloudbeds.com/connect/10074733072513#/reservations/30683819200670?display=YQVSN3GMJ&amp;reservation_id=30683819200670", "YQVSN3GMJ")</f>
        <v>YQVSN3GMJ</v>
      </c>
      <c r="B6602" t="s">
        <v>996</v>
      </c>
      <c r="C6602">
        <v>119</v>
      </c>
      <c r="D6602">
        <v>129.36000000000001</v>
      </c>
      <c r="E6602">
        <v>129.35</v>
      </c>
      <c r="F6602">
        <v>0.01</v>
      </c>
    </row>
    <row r="6603" spans="1:6" x14ac:dyDescent="0.3">
      <c r="A6603" t="str">
        <f>HYPERLINK("https://us2.cloudbeds.com/connect/10074733072513#/reservations/30681961472184?display=YQUE7KFXW&amp;reservation_id=30681961472184", "YQUE7KFXW")</f>
        <v>YQUE7KFXW</v>
      </c>
      <c r="B6603" t="s">
        <v>749</v>
      </c>
      <c r="C6603">
        <v>298</v>
      </c>
      <c r="D6603">
        <v>323.94</v>
      </c>
      <c r="E6603">
        <v>323.93</v>
      </c>
      <c r="F6603">
        <v>0.01</v>
      </c>
    </row>
    <row r="6604" spans="1:6" x14ac:dyDescent="0.3">
      <c r="A6604" t="str">
        <f>HYPERLINK("https://us2.cloudbeds.com/connect/10074733072513#/reservations/30683408502923?display=YQVX6Q7PA&amp;reservation_id=30683408502923", "YQVX6Q7PA")</f>
        <v>YQVX6Q7PA</v>
      </c>
      <c r="B6604" t="s">
        <v>1000</v>
      </c>
      <c r="C6604">
        <v>73</v>
      </c>
      <c r="D6604">
        <v>79.36</v>
      </c>
      <c r="E6604">
        <v>79.349999999999994</v>
      </c>
      <c r="F6604">
        <v>0.01</v>
      </c>
    </row>
    <row r="6605" spans="1:6" x14ac:dyDescent="0.3">
      <c r="A6605" t="str">
        <f>HYPERLINK("https://us2.cloudbeds.com/connect/10074733072513#/reservations/30684080029900?display=YQW2C1F9Y&amp;reservation_id=30684080029900", "YQW2C1F9Y")</f>
        <v>YQW2C1F9Y</v>
      </c>
      <c r="B6605" t="s">
        <v>1000</v>
      </c>
      <c r="C6605">
        <v>119</v>
      </c>
      <c r="D6605">
        <v>129.36000000000001</v>
      </c>
      <c r="E6605">
        <v>129.35</v>
      </c>
      <c r="F6605">
        <v>0.01</v>
      </c>
    </row>
    <row r="6606" spans="1:6" x14ac:dyDescent="0.3">
      <c r="A6606" t="str">
        <f>HYPERLINK("https://us2.cloudbeds.com/connect/10074733072513#/reservations/30683250856184?display=YQVE5SFUD&amp;reservation_id=30683250856184", "YQVE5SFUD")</f>
        <v>YQVE5SFUD</v>
      </c>
      <c r="B6606" t="s">
        <v>963</v>
      </c>
      <c r="C6606">
        <v>160.76</v>
      </c>
      <c r="D6606">
        <v>174.76</v>
      </c>
      <c r="E6606">
        <v>174.75</v>
      </c>
      <c r="F6606">
        <v>0.01</v>
      </c>
    </row>
    <row r="6607" spans="1:6" x14ac:dyDescent="0.3">
      <c r="A6607" t="str">
        <f>HYPERLINK("https://us2.cloudbeds.com/connect/10074733072513#/reservations/30681345040581?display=YQTVFRBMD&amp;reservation_id=30681345040581", "YQTVFRBMD")</f>
        <v>YQTVFRBMD</v>
      </c>
      <c r="B6607" t="s">
        <v>1004</v>
      </c>
      <c r="C6607">
        <v>306.56</v>
      </c>
      <c r="D6607">
        <v>333.24</v>
      </c>
      <c r="E6607">
        <v>333.23</v>
      </c>
      <c r="F6607">
        <v>0.01</v>
      </c>
    </row>
    <row r="6608" spans="1:6" x14ac:dyDescent="0.3">
      <c r="A6608" t="str">
        <f>HYPERLINK("https://us2.cloudbeds.com/connect/10074733072513#/reservations/30683416412320?display=YQVXDFAP0&amp;reservation_id=30683416412320", "YQVXDFAP0")</f>
        <v>YQVXDFAP0</v>
      </c>
      <c r="B6608" t="s">
        <v>1000</v>
      </c>
      <c r="C6608">
        <v>119</v>
      </c>
      <c r="D6608">
        <v>129.36000000000001</v>
      </c>
      <c r="E6608">
        <v>129.35</v>
      </c>
      <c r="F6608">
        <v>0.01</v>
      </c>
    </row>
    <row r="6609" spans="1:6" x14ac:dyDescent="0.3">
      <c r="A6609" t="str">
        <f>HYPERLINK("https://us2.cloudbeds.com/connect/10074733072513#/reservations/30684500005000?display=YQWD35TBR&amp;reservation_id=30684500005000", "YQWD35TBR")</f>
        <v>YQWD35TBR</v>
      </c>
      <c r="B6609" t="s">
        <v>1000</v>
      </c>
      <c r="C6609">
        <v>80.38</v>
      </c>
      <c r="D6609">
        <v>87.38</v>
      </c>
      <c r="E6609">
        <v>87.37</v>
      </c>
      <c r="F6609">
        <v>0.01</v>
      </c>
    </row>
    <row r="6610" spans="1:6" x14ac:dyDescent="0.3">
      <c r="A6610" t="str">
        <f>HYPERLINK("https://us2.cloudbeds.com/connect/10074733072513#/reservations/30682331623679?display=YQUNMZFUV&amp;reservation_id=30682331623679", "YQUNMZFUV")</f>
        <v>YQUNMZFUV</v>
      </c>
      <c r="B6610" t="s">
        <v>749</v>
      </c>
      <c r="C6610">
        <v>79</v>
      </c>
      <c r="D6610">
        <v>85.88</v>
      </c>
      <c r="E6610">
        <v>85.87</v>
      </c>
      <c r="F6610">
        <v>0.01</v>
      </c>
    </row>
    <row r="6611" spans="1:6" x14ac:dyDescent="0.3">
      <c r="A6611" t="str">
        <f>HYPERLINK("https://us2.cloudbeds.com/connect/10074733072513#/reservations/30683423412469?display=YQVXJC3QZ&amp;reservation_id=30683423412469", "YQVXJC3QZ")</f>
        <v>YQVXJC3QZ</v>
      </c>
      <c r="B6611" t="s">
        <v>1000</v>
      </c>
      <c r="C6611">
        <v>119</v>
      </c>
      <c r="D6611">
        <v>129.36000000000001</v>
      </c>
      <c r="E6611">
        <v>129.35</v>
      </c>
      <c r="F6611">
        <v>0.01</v>
      </c>
    </row>
    <row r="6612" spans="1:6" x14ac:dyDescent="0.3">
      <c r="A6612" t="str">
        <f>HYPERLINK("https://us2.cloudbeds.com/connect/10074733072513#/reservations/30683691028668?display=YQVPE0UNH&amp;reservation_id=30683691028668", "YQVPE0UNH")</f>
        <v>YQVPE0UNH</v>
      </c>
      <c r="B6612" t="s">
        <v>1000</v>
      </c>
      <c r="C6612">
        <v>80.38</v>
      </c>
      <c r="D6612">
        <v>87.38</v>
      </c>
      <c r="E6612">
        <v>87.37</v>
      </c>
      <c r="F6612">
        <v>0.01</v>
      </c>
    </row>
    <row r="6613" spans="1:6" x14ac:dyDescent="0.3">
      <c r="A6613" t="str">
        <f>HYPERLINK("https://us2.cloudbeds.com/connect/10074733072513#/reservations/31673917321353?display=MH6H027DK&amp;reservation_id=31673917321353", "MH6H027DK")</f>
        <v>MH6H027DK</v>
      </c>
      <c r="B6613" t="s">
        <v>1006</v>
      </c>
      <c r="C6613">
        <v>298</v>
      </c>
      <c r="D6613">
        <v>323.94</v>
      </c>
      <c r="E6613">
        <v>323.93</v>
      </c>
      <c r="F6613">
        <v>0.01</v>
      </c>
    </row>
    <row r="6614" spans="1:6" x14ac:dyDescent="0.3">
      <c r="A6614" t="str">
        <f>HYPERLINK("https://us2.cloudbeds.com/connect/10074733072513#/reservations/30683819204764?display=YQVSN3KEY&amp;reservation_id=30683819204764", "YQVSN3KEY")</f>
        <v>YQVSN3KEY</v>
      </c>
      <c r="B6614" t="s">
        <v>996</v>
      </c>
      <c r="C6614">
        <v>149</v>
      </c>
      <c r="D6614">
        <v>161.97</v>
      </c>
      <c r="E6614">
        <v>161.96</v>
      </c>
      <c r="F6614">
        <v>0.01</v>
      </c>
    </row>
    <row r="6615" spans="1:6" x14ac:dyDescent="0.3">
      <c r="A6615" t="str">
        <f>HYPERLINK("https://us2.cloudbeds.com/connect/10074733072513#/reservations/30683852169371?display=YQVTHTTW4&amp;reservation_id=30683852169371", "YQVTHTTW4")</f>
        <v>YQVTHTTW4</v>
      </c>
      <c r="B6615" t="s">
        <v>996</v>
      </c>
      <c r="C6615">
        <v>241.24</v>
      </c>
      <c r="D6615">
        <v>262.24</v>
      </c>
      <c r="E6615">
        <v>262.23</v>
      </c>
      <c r="F6615">
        <v>0.01</v>
      </c>
    </row>
    <row r="6616" spans="1:6" x14ac:dyDescent="0.3">
      <c r="A6616" t="str">
        <f>HYPERLINK("https://us2.cloudbeds.com/connect/10074733072513#/reservations/30682343530675?display=YQUNWPQR0&amp;reservation_id=30682343530675", "YQUNWPQR0")</f>
        <v>YQUNWPQR0</v>
      </c>
      <c r="B6616" t="s">
        <v>749</v>
      </c>
      <c r="C6616">
        <v>189</v>
      </c>
      <c r="D6616">
        <v>205.45</v>
      </c>
      <c r="E6616">
        <v>205.44</v>
      </c>
      <c r="F6616">
        <v>0.01</v>
      </c>
    </row>
    <row r="6617" spans="1:6" x14ac:dyDescent="0.3">
      <c r="A6617" t="str">
        <f>HYPERLINK("https://us2.cloudbeds.com/connect/10074733072513#/reservations/31673943474408?display=MH6HM3W2E&amp;reservation_id=31673943474408", "MH6HM3W2E")</f>
        <v>MH6HM3W2E</v>
      </c>
      <c r="B6617" t="s">
        <v>1006</v>
      </c>
      <c r="C6617">
        <v>318</v>
      </c>
      <c r="D6617">
        <v>345.68</v>
      </c>
      <c r="E6617">
        <v>345.67</v>
      </c>
      <c r="F6617">
        <v>0.01</v>
      </c>
    </row>
    <row r="6618" spans="1:6" x14ac:dyDescent="0.3">
      <c r="A6618" t="str">
        <f>HYPERLINK("https://us2.cloudbeds.com/connect/10074733072513#/reservations/31673933688966?display=MH6HDSMBT&amp;reservation_id=31673933688966", "MH6HDSMBT")</f>
        <v>MH6HDSMBT</v>
      </c>
      <c r="B6618" t="s">
        <v>1006</v>
      </c>
      <c r="C6618">
        <v>318</v>
      </c>
      <c r="D6618">
        <v>345.68</v>
      </c>
      <c r="E6618">
        <v>345.67</v>
      </c>
      <c r="F6618">
        <v>0.01</v>
      </c>
    </row>
    <row r="6619" spans="1:6" x14ac:dyDescent="0.3">
      <c r="A6619" t="str">
        <f>HYPERLINK("https://us2.cloudbeds.com/connect/10074733072513#/reservations/30683049242828?display=YQV90S9MP&amp;reservation_id=30683049242828", "YQV90S9MP")</f>
        <v>YQV90S9MP</v>
      </c>
      <c r="B6619" t="s">
        <v>924</v>
      </c>
      <c r="C6619">
        <v>109</v>
      </c>
      <c r="D6619">
        <v>118.49</v>
      </c>
      <c r="E6619">
        <v>118.48</v>
      </c>
      <c r="F6619">
        <v>0.01</v>
      </c>
    </row>
    <row r="6620" spans="1:6" x14ac:dyDescent="0.3">
      <c r="A6620" t="str">
        <f>HYPERLINK("https://us2.cloudbeds.com/connect/10074733072513#/reservations/30683934937224?display=YQVVYN1GT&amp;reservation_id=30683934937224", "YQVVYN1GT")</f>
        <v>YQVVYN1GT</v>
      </c>
      <c r="B6620" t="s">
        <v>749</v>
      </c>
      <c r="C6620">
        <v>189</v>
      </c>
      <c r="D6620">
        <v>205.45</v>
      </c>
      <c r="E6620">
        <v>205.44</v>
      </c>
      <c r="F6620">
        <v>0.01</v>
      </c>
    </row>
    <row r="6621" spans="1:6" x14ac:dyDescent="0.3">
      <c r="A6621" t="str">
        <f>HYPERLINK("https://us2.cloudbeds.com/connect/10074733072513#/reservations/30683834290333?display=YQVT2RD43&amp;reservation_id=30683834290333", "YQVT2RD43")</f>
        <v>YQVT2RD43</v>
      </c>
      <c r="B6621" t="s">
        <v>996</v>
      </c>
      <c r="C6621">
        <v>219</v>
      </c>
      <c r="D6621">
        <v>238.06</v>
      </c>
      <c r="E6621">
        <v>238.05</v>
      </c>
      <c r="F6621">
        <v>0.01</v>
      </c>
    </row>
    <row r="6622" spans="1:6" x14ac:dyDescent="0.3">
      <c r="A6622" t="str">
        <f>HYPERLINK("https://us2.cloudbeds.com/connect/10074733072513#/reservations/30682335727834?display=YQUNQ6MM9&amp;reservation_id=30682335727834", "YQUNQ6MM9")</f>
        <v>YQUNQ6MM9</v>
      </c>
      <c r="B6622" t="s">
        <v>749</v>
      </c>
      <c r="C6622">
        <v>169</v>
      </c>
      <c r="D6622">
        <v>183.71</v>
      </c>
      <c r="E6622">
        <v>183.7</v>
      </c>
      <c r="F6622">
        <v>0.01</v>
      </c>
    </row>
    <row r="6623" spans="1:6" x14ac:dyDescent="0.3">
      <c r="A6623" t="str">
        <f>HYPERLINK("https://us2.cloudbeds.com/connect/10074733072513#/reservations/30682178379957?display=YQUJPH88Q&amp;reservation_id=30682178379957", "YQUJPH88Q")</f>
        <v>YQUJPH88Q</v>
      </c>
      <c r="B6623" t="s">
        <v>960</v>
      </c>
      <c r="C6623">
        <v>129</v>
      </c>
      <c r="D6623">
        <v>140.22999999999999</v>
      </c>
      <c r="E6623">
        <v>140.22</v>
      </c>
      <c r="F6623">
        <v>0.01</v>
      </c>
    </row>
    <row r="6624" spans="1:6" x14ac:dyDescent="0.3">
      <c r="A6624" t="str">
        <f>HYPERLINK("https://us2.cloudbeds.com/connect/10074733072513#/reservations/30683631001816?display=YQVNTDJY0&amp;reservation_id=30683631001816", "YQVNTDJY0")</f>
        <v>YQVNTDJY0</v>
      </c>
      <c r="B6624" t="s">
        <v>978</v>
      </c>
      <c r="C6624">
        <v>80.38</v>
      </c>
      <c r="D6624">
        <v>87.38</v>
      </c>
      <c r="E6624">
        <v>87.37</v>
      </c>
      <c r="F6624">
        <v>0.01</v>
      </c>
    </row>
    <row r="6625" spans="1:6" x14ac:dyDescent="0.3">
      <c r="A6625" t="str">
        <f>HYPERLINK("https://us2.cloudbeds.com/connect/10074733072513#/reservations/30683618910428?display=YQVNJ74EA&amp;reservation_id=30683618910428", "YQVNJ74EA")</f>
        <v>YQVNJ74EA</v>
      </c>
      <c r="B6625" t="s">
        <v>978</v>
      </c>
      <c r="C6625">
        <v>80.38</v>
      </c>
      <c r="D6625">
        <v>87.38</v>
      </c>
      <c r="E6625">
        <v>87.37</v>
      </c>
      <c r="F6625">
        <v>0.01</v>
      </c>
    </row>
    <row r="6626" spans="1:6" x14ac:dyDescent="0.3">
      <c r="A6626" t="str">
        <f>HYPERLINK("https://us2.cloudbeds.com/connect/10074733072513#/reservations/30682422497413?display=YQUQ0C5TF&amp;reservation_id=30682422497413", "YQUQ0C5TF")</f>
        <v>YQUQ0C5TF</v>
      </c>
      <c r="B6626" t="s">
        <v>1007</v>
      </c>
      <c r="C6626">
        <v>169</v>
      </c>
      <c r="D6626">
        <v>183.71</v>
      </c>
      <c r="E6626">
        <v>183.7</v>
      </c>
      <c r="F6626">
        <v>0.01</v>
      </c>
    </row>
    <row r="6627" spans="1:6" x14ac:dyDescent="0.3">
      <c r="A6627" t="str">
        <f>HYPERLINK("https://us2.cloudbeds.com/connect/10074733072513#/reservations/30683304190200?display=YQVFHRJ4N&amp;reservation_id=30683304190200", "YQVFHRJ4N")</f>
        <v>YQVFHRJ4N</v>
      </c>
      <c r="B6627" t="s">
        <v>994</v>
      </c>
      <c r="C6627">
        <v>80.38</v>
      </c>
      <c r="D6627">
        <v>87.38</v>
      </c>
      <c r="E6627">
        <v>87.37</v>
      </c>
      <c r="F6627">
        <v>0.01</v>
      </c>
    </row>
    <row r="6628" spans="1:6" x14ac:dyDescent="0.3">
      <c r="A6628" t="str">
        <f>HYPERLINK("https://us2.cloudbeds.com/connect/10074733072513#/reservations/30683278516367?display=YQVET65HP&amp;reservation_id=30683278516367", "YQVET65HP")</f>
        <v>YQVET65HP</v>
      </c>
      <c r="B6628" t="s">
        <v>994</v>
      </c>
      <c r="C6628">
        <v>119</v>
      </c>
      <c r="D6628">
        <v>129.36000000000001</v>
      </c>
      <c r="E6628">
        <v>129.35</v>
      </c>
      <c r="F6628">
        <v>0.01</v>
      </c>
    </row>
    <row r="6629" spans="1:6" x14ac:dyDescent="0.3">
      <c r="A6629" t="str">
        <f>HYPERLINK("https://us2.cloudbeds.com/connect/10074733072513#/reservations/30684543508692?display=YQWE6SEYH&amp;reservation_id=30684543508692", "YQWE6SEYH")</f>
        <v>YQWE6SEYH</v>
      </c>
      <c r="B6629" t="s">
        <v>963</v>
      </c>
      <c r="C6629">
        <v>238</v>
      </c>
      <c r="D6629">
        <v>258.72000000000003</v>
      </c>
      <c r="E6629">
        <v>258.70999999999998</v>
      </c>
      <c r="F6629">
        <v>0.01</v>
      </c>
    </row>
    <row r="6630" spans="1:6" x14ac:dyDescent="0.3">
      <c r="A6630" t="str">
        <f>HYPERLINK("https://us2.cloudbeds.com/connect/10074733072513#/reservations/30683246612661?display=YQVE29D6Q&amp;reservation_id=30683246612661", "YQVE29D6Q")</f>
        <v>YQVE29D6Q</v>
      </c>
      <c r="B6630" t="s">
        <v>809</v>
      </c>
      <c r="C6630">
        <v>829.51</v>
      </c>
      <c r="D6630">
        <v>901.69</v>
      </c>
      <c r="E6630">
        <v>901.68</v>
      </c>
      <c r="F6630">
        <v>0.01</v>
      </c>
    </row>
    <row r="6631" spans="1:6" x14ac:dyDescent="0.3">
      <c r="A6631" t="str">
        <f>HYPERLINK("https://us2.cloudbeds.com/connect/10074733072513#/reservations/31671888081136?display=MH4V4VKJR&amp;reservation_id=31671888081136", "MH4V4VKJR")</f>
        <v>MH4V4VKJR</v>
      </c>
      <c r="B6631" t="s">
        <v>1008</v>
      </c>
      <c r="C6631">
        <v>269.83999999999997</v>
      </c>
      <c r="D6631">
        <v>293.33</v>
      </c>
      <c r="E6631">
        <v>293.32</v>
      </c>
      <c r="F6631">
        <v>0.01</v>
      </c>
    </row>
    <row r="6632" spans="1:6" x14ac:dyDescent="0.3">
      <c r="A6632" t="str">
        <f>HYPERLINK("https://us2.cloudbeds.com/connect/10074733072513#/reservations/30681521373437?display=YQU2WH2GA&amp;reservation_id=30681521373437", "YQU2WH2GA")</f>
        <v>YQU2WH2GA</v>
      </c>
      <c r="B6632" t="s">
        <v>998</v>
      </c>
      <c r="C6632">
        <v>119</v>
      </c>
      <c r="D6632">
        <v>129.36000000000001</v>
      </c>
      <c r="E6632">
        <v>129.35</v>
      </c>
      <c r="F6632">
        <v>0.01</v>
      </c>
    </row>
    <row r="6633" spans="1:6" x14ac:dyDescent="0.3">
      <c r="A6633" t="str">
        <f>HYPERLINK("https://us2.cloudbeds.com/connect/10074733072513#/reservations/30682754683091?display=YQV1GFZ84&amp;reservation_id=30682754683091", "YQV1GFZ84")</f>
        <v>YQV1GFZ84</v>
      </c>
      <c r="B6633" t="s">
        <v>967</v>
      </c>
      <c r="C6633">
        <v>80.38</v>
      </c>
      <c r="D6633">
        <v>87.38</v>
      </c>
      <c r="E6633">
        <v>87.37</v>
      </c>
      <c r="F6633">
        <v>0.01</v>
      </c>
    </row>
    <row r="6634" spans="1:6" x14ac:dyDescent="0.3">
      <c r="A6634" t="str">
        <f>HYPERLINK("https://us2.cloudbeds.com/connect/10074733072513#/reservations/31677438435530?display=MH97W5DP7&amp;reservation_id=31677438435530", "MH97W5DP7")</f>
        <v>MH97W5DP7</v>
      </c>
      <c r="B6634" t="s">
        <v>1009</v>
      </c>
      <c r="C6634">
        <v>179</v>
      </c>
      <c r="D6634">
        <v>194.58</v>
      </c>
      <c r="E6634">
        <v>194.57</v>
      </c>
      <c r="F6634">
        <v>0.01</v>
      </c>
    </row>
    <row r="6635" spans="1:6" x14ac:dyDescent="0.3">
      <c r="A6635" t="str">
        <f>HYPERLINK("https://us2.cloudbeds.com/connect/10074733072513#/reservations/30682299240690?display=YQUMSECG8&amp;reservation_id=30682299240690", "YQUMSECG8")</f>
        <v>YQUMSECG8</v>
      </c>
      <c r="B6635" t="s">
        <v>978</v>
      </c>
      <c r="C6635">
        <v>101.75</v>
      </c>
      <c r="D6635">
        <v>110.61</v>
      </c>
      <c r="E6635">
        <v>110.6</v>
      </c>
      <c r="F6635">
        <v>0.01</v>
      </c>
    </row>
    <row r="6636" spans="1:6" x14ac:dyDescent="0.3">
      <c r="A6636" t="str">
        <f>HYPERLINK("https://us2.cloudbeds.com/connect/10074733072513#/reservations/30682233893074?display=YQUY6AWGF&amp;reservation_id=30682233893074", "YQUY6AWGF")</f>
        <v>YQUY6AWGF</v>
      </c>
      <c r="B6636" t="s">
        <v>1005</v>
      </c>
      <c r="C6636">
        <v>119</v>
      </c>
      <c r="D6636">
        <v>129.36000000000001</v>
      </c>
      <c r="E6636">
        <v>129.35</v>
      </c>
      <c r="F6636">
        <v>0.01</v>
      </c>
    </row>
    <row r="6637" spans="1:6" x14ac:dyDescent="0.3">
      <c r="A6637" t="str">
        <f>HYPERLINK("https://us2.cloudbeds.com/connect/10074733072513#/reservations/30684175679727?display=YQW4QN208&amp;reservation_id=30684175679727", "YQW4QN208")</f>
        <v>YQW4QN208</v>
      </c>
      <c r="B6637" t="s">
        <v>1005</v>
      </c>
      <c r="C6637">
        <v>80.38</v>
      </c>
      <c r="D6637">
        <v>87.38</v>
      </c>
      <c r="E6637">
        <v>87.37</v>
      </c>
      <c r="F6637">
        <v>0.01</v>
      </c>
    </row>
    <row r="6638" spans="1:6" x14ac:dyDescent="0.3">
      <c r="A6638" t="str">
        <f>HYPERLINK("https://us2.cloudbeds.com/connect/10074733072513#/reservations/30683386216604?display=YQVHY02RA&amp;reservation_id=30683386216604", "YQVHY02RA")</f>
        <v>YQVHY02RA</v>
      </c>
      <c r="B6638" t="s">
        <v>1010</v>
      </c>
      <c r="C6638">
        <v>226.1</v>
      </c>
      <c r="D6638">
        <v>245.78</v>
      </c>
      <c r="E6638">
        <v>245.77</v>
      </c>
      <c r="F6638">
        <v>0.01</v>
      </c>
    </row>
    <row r="6639" spans="1:6" x14ac:dyDescent="0.3">
      <c r="A6639" t="str">
        <f>HYPERLINK("https://us2.cloudbeds.com/connect/10074733072513#/reservations/30683515224271?display=YQVKUPU5X&amp;reservation_id=30683515224271", "YQVKUPU5X")</f>
        <v>YQVKUPU5X</v>
      </c>
      <c r="B6639" t="s">
        <v>948</v>
      </c>
      <c r="C6639">
        <v>222</v>
      </c>
      <c r="D6639">
        <v>241.32</v>
      </c>
      <c r="E6639">
        <v>241.31</v>
      </c>
      <c r="F6639">
        <v>0.01</v>
      </c>
    </row>
    <row r="6640" spans="1:6" x14ac:dyDescent="0.3">
      <c r="A6640" t="str">
        <f>HYPERLINK("https://us2.cloudbeds.com/connect/10074733072513#/reservations/30682642149507?display=YQUVKJAKH&amp;reservation_id=30682642149507", "YQUVKJAKH")</f>
        <v>YQUVKJAKH</v>
      </c>
      <c r="B6640" t="s">
        <v>902</v>
      </c>
      <c r="C6640">
        <v>278</v>
      </c>
      <c r="D6640">
        <v>302.2</v>
      </c>
      <c r="E6640">
        <v>302.19</v>
      </c>
      <c r="F6640">
        <v>0.01</v>
      </c>
    </row>
    <row r="6641" spans="1:6" x14ac:dyDescent="0.3">
      <c r="A6641" t="str">
        <f>HYPERLINK("https://us2.cloudbeds.com/connect/10074733072513#/reservations/30683515228375?display=YQVKUQ0UU&amp;reservation_id=30683515228375", "YQVKUQ0UU")</f>
        <v>YQVKUQ0UU</v>
      </c>
      <c r="B6641" t="s">
        <v>948</v>
      </c>
      <c r="C6641">
        <v>222</v>
      </c>
      <c r="D6641">
        <v>241.32</v>
      </c>
      <c r="E6641">
        <v>241.31</v>
      </c>
      <c r="F6641">
        <v>0.01</v>
      </c>
    </row>
    <row r="6642" spans="1:6" x14ac:dyDescent="0.3">
      <c r="A6642" t="str">
        <f>HYPERLINK("https://us2.cloudbeds.com/connect/10074733072513#/reservations/30683556159706?display=YQVYWA039&amp;reservation_id=30683556159706", "YQVYWA039")</f>
        <v>YQVYWA039</v>
      </c>
      <c r="B6642" t="s">
        <v>994</v>
      </c>
      <c r="C6642">
        <v>87.84</v>
      </c>
      <c r="D6642">
        <v>95.49</v>
      </c>
      <c r="E6642">
        <v>95.48</v>
      </c>
      <c r="F6642">
        <v>0.01</v>
      </c>
    </row>
    <row r="6643" spans="1:6" x14ac:dyDescent="0.3">
      <c r="A6643" t="str">
        <f>HYPERLINK("https://us2.cloudbeds.com/connect/10074733072513#/reservations/30683556155600?display=YQVYW9TAS&amp;reservation_id=30683556155600", "YQVYW9TAS")</f>
        <v>YQVYW9TAS</v>
      </c>
      <c r="B6643" t="s">
        <v>1011</v>
      </c>
      <c r="C6643">
        <v>620.63</v>
      </c>
      <c r="D6643">
        <v>674.63</v>
      </c>
      <c r="E6643">
        <v>674.62</v>
      </c>
      <c r="F6643">
        <v>0.01</v>
      </c>
    </row>
    <row r="6644" spans="1:6" x14ac:dyDescent="0.3">
      <c r="A6644" t="str">
        <f>HYPERLINK("https://us2.cloudbeds.com/connect/10074733072513#/reservations/30683338342641?display=YQVGDKUE5&amp;reservation_id=30683338342641", "YQVGDKUE5")</f>
        <v>YQVGDKUE5</v>
      </c>
      <c r="B6644" t="s">
        <v>1010</v>
      </c>
      <c r="C6644">
        <v>218</v>
      </c>
      <c r="D6644">
        <v>236.98</v>
      </c>
      <c r="E6644">
        <v>236.97</v>
      </c>
      <c r="F6644">
        <v>0.01</v>
      </c>
    </row>
    <row r="6645" spans="1:6" x14ac:dyDescent="0.3">
      <c r="A6645" t="str">
        <f>HYPERLINK("https://us2.cloudbeds.com/connect/10074733072513#/reservations/30683461730505?display=YQVJXMC8B&amp;reservation_id=30683461730505", "YQVJXMC8B")</f>
        <v>YQVJXMC8B</v>
      </c>
      <c r="B6645" t="s">
        <v>995</v>
      </c>
      <c r="C6645">
        <v>444</v>
      </c>
      <c r="D6645">
        <v>482.64</v>
      </c>
      <c r="E6645">
        <v>482.63</v>
      </c>
      <c r="F6645">
        <v>0.01</v>
      </c>
    </row>
    <row r="6646" spans="1:6" x14ac:dyDescent="0.3">
      <c r="A6646" t="str">
        <f>HYPERLINK("https://us2.cloudbeds.com/connect/10074733072513#/reservations/30682219126946?display=YQUKQT351&amp;reservation_id=30682219126946", "YQUKQT351")</f>
        <v>YQUKQT351</v>
      </c>
      <c r="B6646" t="s">
        <v>1005</v>
      </c>
      <c r="C6646">
        <v>129</v>
      </c>
      <c r="D6646">
        <v>140.22999999999999</v>
      </c>
      <c r="E6646">
        <v>140.22</v>
      </c>
      <c r="F6646">
        <v>0.01</v>
      </c>
    </row>
    <row r="6647" spans="1:6" x14ac:dyDescent="0.3">
      <c r="A6647" t="str">
        <f>HYPERLINK("https://us2.cloudbeds.com/connect/10074733072513#/reservations/30683557245058?display=YQVM076ZZ&amp;reservation_id=30683557245058", "YQVM076ZZ")</f>
        <v>YQVM076ZZ</v>
      </c>
      <c r="B6647" t="s">
        <v>948</v>
      </c>
      <c r="C6647">
        <v>158</v>
      </c>
      <c r="D6647">
        <v>171.76</v>
      </c>
      <c r="E6647">
        <v>171.75</v>
      </c>
      <c r="F6647">
        <v>0.01</v>
      </c>
    </row>
    <row r="6648" spans="1:6" x14ac:dyDescent="0.3">
      <c r="A6648" t="str">
        <f>HYPERLINK("https://us2.cloudbeds.com/connect/10074733072513#/reservations/30684115062931?display=YQW38JA6Y&amp;reservation_id=30684115062931", "YQW38JA6Y")</f>
        <v>YQW38JA6Y</v>
      </c>
      <c r="B6648" t="s">
        <v>1012</v>
      </c>
      <c r="C6648">
        <v>336</v>
      </c>
      <c r="D6648">
        <v>365.24</v>
      </c>
      <c r="E6648">
        <v>365.23</v>
      </c>
      <c r="F6648">
        <v>0.01</v>
      </c>
    </row>
    <row r="6649" spans="1:6" x14ac:dyDescent="0.3">
      <c r="A6649" t="str">
        <f>HYPERLINK("https://us2.cloudbeds.com/connect/10074733072513#/reservations/31685727002758?display=MHFYPA0K3&amp;reservation_id=31685727002758", "MHFYPA0K3")</f>
        <v>MHFYPA0K3</v>
      </c>
      <c r="B6649" t="s">
        <v>1013</v>
      </c>
      <c r="C6649">
        <v>169</v>
      </c>
      <c r="D6649">
        <v>183.71</v>
      </c>
      <c r="E6649">
        <v>183.7</v>
      </c>
      <c r="F6649">
        <v>0.01</v>
      </c>
    </row>
    <row r="6650" spans="1:6" x14ac:dyDescent="0.3">
      <c r="A6650" t="str">
        <f>HYPERLINK("https://us2.cloudbeds.com/connect/10074733072513#/reservations/30681976271049?display=YQUEK38WE&amp;reservation_id=30681976271049", "YQUEK38WE")</f>
        <v>YQUEK38WE</v>
      </c>
      <c r="B6650" t="s">
        <v>969</v>
      </c>
      <c r="C6650">
        <v>139</v>
      </c>
      <c r="D6650">
        <v>151.1</v>
      </c>
      <c r="E6650">
        <v>151.09</v>
      </c>
      <c r="F6650">
        <v>0.01</v>
      </c>
    </row>
    <row r="6651" spans="1:6" x14ac:dyDescent="0.3">
      <c r="A6651" t="str">
        <f>HYPERLINK("https://us2.cloudbeds.com/connect/10074733072513#/reservations/30682348884114?display=YQUZ49PZE&amp;reservation_id=30682348884114", "YQUZ49PZE")</f>
        <v>YQUZ49PZE</v>
      </c>
      <c r="B6651" t="s">
        <v>998</v>
      </c>
      <c r="C6651">
        <v>129</v>
      </c>
      <c r="D6651">
        <v>140.22999999999999</v>
      </c>
      <c r="E6651">
        <v>140.22</v>
      </c>
      <c r="F6651">
        <v>0.01</v>
      </c>
    </row>
    <row r="6652" spans="1:6" x14ac:dyDescent="0.3">
      <c r="A6652" t="str">
        <f>HYPERLINK("https://us2.cloudbeds.com/connect/10074733072513#/reservations/30683646398596?display=YQVZ9D133&amp;reservation_id=30683646398596", "YQVZ9D133")</f>
        <v>YQVZ9D133</v>
      </c>
      <c r="B6652" t="s">
        <v>948</v>
      </c>
      <c r="C6652">
        <v>127.27</v>
      </c>
      <c r="D6652">
        <v>138.35</v>
      </c>
      <c r="E6652">
        <v>138.34</v>
      </c>
      <c r="F6652">
        <v>0.01</v>
      </c>
    </row>
    <row r="6653" spans="1:6" x14ac:dyDescent="0.3">
      <c r="A6653" t="str">
        <f>HYPERLINK("https://us2.cloudbeds.com/connect/10074733072513#/reservations/30683451277457?display=YQVJ9SGGA&amp;reservation_id=30683451277457", "YQVJ9SGGA")</f>
        <v>YQVJ9SGGA</v>
      </c>
      <c r="B6653" t="s">
        <v>995</v>
      </c>
      <c r="C6653">
        <v>230</v>
      </c>
      <c r="D6653">
        <v>250.02</v>
      </c>
      <c r="E6653">
        <v>250.01</v>
      </c>
      <c r="F6653">
        <v>0.01</v>
      </c>
    </row>
    <row r="6654" spans="1:6" x14ac:dyDescent="0.3">
      <c r="A6654" t="str">
        <f>HYPERLINK("https://us2.cloudbeds.com/connect/10074733072513#/reservations/30684120715485?display=YQW3DBJQ5&amp;reservation_id=30684120715485", "YQW3DBJQ5")</f>
        <v>YQW3DBJQ5</v>
      </c>
      <c r="B6654" t="s">
        <v>986</v>
      </c>
      <c r="C6654">
        <v>141.55000000000001</v>
      </c>
      <c r="D6654">
        <v>153.87</v>
      </c>
      <c r="E6654">
        <v>153.86000000000001</v>
      </c>
      <c r="F6654">
        <v>0.01</v>
      </c>
    </row>
    <row r="6655" spans="1:6" x14ac:dyDescent="0.3">
      <c r="A6655" t="str">
        <f>HYPERLINK("https://us2.cloudbeds.com/connect/10074733072513#/reservations/30682949144820?display=YQV6FEUAQ&amp;reservation_id=30682949144820", "YQV6FEUAQ")</f>
        <v>YQV6FEUAQ</v>
      </c>
      <c r="B6655" t="s">
        <v>924</v>
      </c>
      <c r="C6655">
        <v>159</v>
      </c>
      <c r="D6655">
        <v>172.84</v>
      </c>
      <c r="E6655">
        <v>172.83</v>
      </c>
      <c r="F6655">
        <v>0.01</v>
      </c>
    </row>
    <row r="6656" spans="1:6" x14ac:dyDescent="0.3">
      <c r="A6656" t="str">
        <f>HYPERLINK("https://us2.cloudbeds.com/connect/10074733072513#/reservations/30682240680101?display=YQUYC1RRV&amp;reservation_id=30682240680101", "YQUYC1RRV")</f>
        <v>YQUYC1RRV</v>
      </c>
      <c r="B6656" t="s">
        <v>1005</v>
      </c>
      <c r="C6656">
        <v>139</v>
      </c>
      <c r="D6656">
        <v>151.1</v>
      </c>
      <c r="E6656">
        <v>151.09</v>
      </c>
      <c r="F6656">
        <v>0.01</v>
      </c>
    </row>
    <row r="6657" spans="1:6" x14ac:dyDescent="0.3">
      <c r="A6657" t="str">
        <f>HYPERLINK("https://us2.cloudbeds.com/connect/10074733072513#/reservations/30683543347421?display=YQVYYGFU7&amp;reservation_id=30683543347421", "YQVYYGFU7")</f>
        <v>YQVYYGFU7</v>
      </c>
      <c r="B6657" t="s">
        <v>948</v>
      </c>
      <c r="C6657">
        <v>139</v>
      </c>
      <c r="D6657">
        <v>151.1</v>
      </c>
      <c r="E6657">
        <v>151.09</v>
      </c>
      <c r="F6657">
        <v>0.01</v>
      </c>
    </row>
    <row r="6658" spans="1:6" x14ac:dyDescent="0.3">
      <c r="A6658" t="str">
        <f>HYPERLINK("https://us2.cloudbeds.com/connect/10074733072513#/reservations/30682343821567?display=YQUZ00TUU&amp;reservation_id=30682343821567", "YQUZ00TUU")</f>
        <v>YQUZ00TUU</v>
      </c>
      <c r="B6658" t="s">
        <v>998</v>
      </c>
      <c r="C6658">
        <v>129</v>
      </c>
      <c r="D6658">
        <v>140.22999999999999</v>
      </c>
      <c r="E6658">
        <v>140.22</v>
      </c>
      <c r="F6658">
        <v>0.01</v>
      </c>
    </row>
    <row r="6659" spans="1:6" x14ac:dyDescent="0.3">
      <c r="A6659" t="str">
        <f>HYPERLINK("https://us2.cloudbeds.com/connect/10074733072513#/reservations/30683615416502?display=YQVNG8U1P&amp;reservation_id=30683615416502", "YQVNG8U1P")</f>
        <v>YQVNG8U1P</v>
      </c>
      <c r="B6659" t="s">
        <v>809</v>
      </c>
      <c r="C6659">
        <v>129</v>
      </c>
      <c r="D6659">
        <v>140.22999999999999</v>
      </c>
      <c r="E6659">
        <v>140.22</v>
      </c>
      <c r="F6659">
        <v>0.01</v>
      </c>
    </row>
    <row r="6660" spans="1:6" x14ac:dyDescent="0.3">
      <c r="A6660" t="str">
        <f>HYPERLINK("https://us2.cloudbeds.com/connect/10074733072513#/reservations/30683492307115?display=YQVKBF6V9&amp;reservation_id=30683492307115", "YQVKBF6V9")</f>
        <v>YQVKBF6V9</v>
      </c>
      <c r="B6660" t="s">
        <v>948</v>
      </c>
      <c r="C6660">
        <v>139</v>
      </c>
      <c r="D6660">
        <v>151.1</v>
      </c>
      <c r="E6660">
        <v>151.09</v>
      </c>
      <c r="F6660">
        <v>0.01</v>
      </c>
    </row>
    <row r="6661" spans="1:6" x14ac:dyDescent="0.3">
      <c r="A6661" t="str">
        <f>HYPERLINK("https://us2.cloudbeds.com/connect/10074733072513#/reservations/30683483648207?display=YQVK458N4&amp;reservation_id=30683483648207", "YQVK458N4")</f>
        <v>YQVK458N4</v>
      </c>
      <c r="B6661" t="s">
        <v>948</v>
      </c>
      <c r="C6661">
        <v>139</v>
      </c>
      <c r="D6661">
        <v>151.1</v>
      </c>
      <c r="E6661">
        <v>151.09</v>
      </c>
      <c r="F6661">
        <v>0.01</v>
      </c>
    </row>
    <row r="6662" spans="1:6" x14ac:dyDescent="0.3">
      <c r="A6662" t="str">
        <f>HYPERLINK("https://us2.cloudbeds.com/connect/10074733072513#/reservations/30683229778055?display=YQVDY2VE7&amp;reservation_id=30683229778055", "YQVDY2VE7")</f>
        <v>YQVDY2VE7</v>
      </c>
      <c r="B6662" t="s">
        <v>809</v>
      </c>
      <c r="C6662">
        <v>378</v>
      </c>
      <c r="D6662">
        <v>410.9</v>
      </c>
      <c r="E6662">
        <v>410.89</v>
      </c>
      <c r="F6662">
        <v>0.01</v>
      </c>
    </row>
    <row r="6663" spans="1:6" x14ac:dyDescent="0.3">
      <c r="A6663" t="str">
        <f>HYPERLINK("https://us2.cloudbeds.com/connect/10074733072513#/reservations/30683619082441?display=YQVNJBUCR&amp;reservation_id=30683619082441", "YQVNJBUCR")</f>
        <v>YQVNJBUCR</v>
      </c>
      <c r="B6663" t="s">
        <v>809</v>
      </c>
      <c r="C6663">
        <v>129</v>
      </c>
      <c r="D6663">
        <v>140.22999999999999</v>
      </c>
      <c r="E6663">
        <v>140.22</v>
      </c>
      <c r="F6663">
        <v>0.01</v>
      </c>
    </row>
    <row r="6664" spans="1:6" x14ac:dyDescent="0.3">
      <c r="A6664" t="str">
        <f>HYPERLINK("https://us2.cloudbeds.com/connect/10074733072513#/reservations/30683376369859?display=YQVHCN2R3&amp;reservation_id=30683376369859", "YQVHCN2R3")</f>
        <v>YQVHCN2R3</v>
      </c>
      <c r="B6664" t="s">
        <v>967</v>
      </c>
      <c r="C6664">
        <v>119</v>
      </c>
      <c r="D6664">
        <v>129.36000000000001</v>
      </c>
      <c r="E6664">
        <v>129.35</v>
      </c>
      <c r="F6664">
        <v>0.01</v>
      </c>
    </row>
    <row r="6665" spans="1:6" x14ac:dyDescent="0.3">
      <c r="A6665" t="str">
        <f>HYPERLINK("https://us2.cloudbeds.com/connect/10074733072513#/reservations/30683303698595?display=YQVFHDTNJ&amp;reservation_id=30683303698595", "YQVFHDTNJ")</f>
        <v>YQVFHDTNJ</v>
      </c>
      <c r="B6665" t="s">
        <v>995</v>
      </c>
      <c r="C6665">
        <v>89</v>
      </c>
      <c r="D6665">
        <v>96.75</v>
      </c>
      <c r="E6665">
        <v>96.74</v>
      </c>
      <c r="F6665">
        <v>0.01</v>
      </c>
    </row>
    <row r="6666" spans="1:6" x14ac:dyDescent="0.3">
      <c r="A6666" t="str">
        <f>HYPERLINK("https://us2.cloudbeds.com/connect/10074733072513#/reservations/30683049238738?display=YQV90S5UR&amp;reservation_id=30683049238738", "YQV90S5UR")</f>
        <v>YQV90S5UR</v>
      </c>
      <c r="B6666" t="s">
        <v>945</v>
      </c>
      <c r="C6666">
        <v>159</v>
      </c>
      <c r="D6666">
        <v>172.84</v>
      </c>
      <c r="E6666">
        <v>172.83</v>
      </c>
      <c r="F6666">
        <v>0.01</v>
      </c>
    </row>
    <row r="6667" spans="1:6" x14ac:dyDescent="0.3">
      <c r="A6667" t="str">
        <f>HYPERLINK("https://us2.cloudbeds.com/connect/10074733072513#/reservations/30683162693860?display=YQVBUH7PR&amp;reservation_id=30683162693860", "YQVBUH7PR")</f>
        <v>YQVBUH7PR</v>
      </c>
      <c r="B6667" t="s">
        <v>945</v>
      </c>
      <c r="C6667">
        <v>109</v>
      </c>
      <c r="D6667">
        <v>118.49</v>
      </c>
      <c r="E6667">
        <v>118.48</v>
      </c>
      <c r="F6667">
        <v>0.01</v>
      </c>
    </row>
    <row r="6668" spans="1:6" x14ac:dyDescent="0.3">
      <c r="A6668" t="str">
        <f>HYPERLINK("https://us2.cloudbeds.com/connect/10074733072513#/reservations/30682190786711?display=YQUK2WG21&amp;reservation_id=30682190786711", "YQUK2WG21")</f>
        <v>YQUK2WG21</v>
      </c>
      <c r="B6668" t="s">
        <v>945</v>
      </c>
      <c r="C6668">
        <v>109</v>
      </c>
      <c r="D6668">
        <v>118.49</v>
      </c>
      <c r="E6668">
        <v>118.48</v>
      </c>
      <c r="F6668">
        <v>0.01</v>
      </c>
    </row>
    <row r="6669" spans="1:6" x14ac:dyDescent="0.3">
      <c r="A6669" t="str">
        <f>HYPERLINK("https://us2.cloudbeds.com/connect/10074733072513#/reservations/30684145545373?display=YQW419HE0&amp;reservation_id=30684145545373", "YQW419HE0")</f>
        <v>YQW419HE0</v>
      </c>
      <c r="B6669" t="s">
        <v>986</v>
      </c>
      <c r="C6669">
        <v>296</v>
      </c>
      <c r="D6669">
        <v>321.76</v>
      </c>
      <c r="E6669">
        <v>321.75</v>
      </c>
      <c r="F6669">
        <v>0.01</v>
      </c>
    </row>
    <row r="6670" spans="1:6" x14ac:dyDescent="0.3">
      <c r="A6670" t="str">
        <f>HYPERLINK("https://us2.cloudbeds.com/connect/10074733072513#/reservations/30682358505614?display=YQUZCDGU1&amp;reservation_id=30682358505614", "YQUZCDGU1")</f>
        <v>YQUZCDGU1</v>
      </c>
      <c r="B6670" t="s">
        <v>998</v>
      </c>
      <c r="C6670">
        <v>318</v>
      </c>
      <c r="D6670">
        <v>345.68</v>
      </c>
      <c r="E6670">
        <v>345.67</v>
      </c>
      <c r="F6670">
        <v>0.01</v>
      </c>
    </row>
    <row r="6671" spans="1:6" x14ac:dyDescent="0.3">
      <c r="A6671" t="str">
        <f>HYPERLINK("https://us2.cloudbeds.com/connect/10074733072513#/reservations/30682189844685?display=YQUK2690Q&amp;reservation_id=30682189844685", "YQUK2690Q")</f>
        <v>YQUK2690Q</v>
      </c>
      <c r="B6671" t="s">
        <v>960</v>
      </c>
      <c r="C6671">
        <v>129</v>
      </c>
      <c r="D6671">
        <v>140.22999999999999</v>
      </c>
      <c r="E6671">
        <v>140.22</v>
      </c>
      <c r="F6671">
        <v>0.01</v>
      </c>
    </row>
    <row r="6672" spans="1:6" x14ac:dyDescent="0.3">
      <c r="A6672" t="str">
        <f>HYPERLINK("https://us2.cloudbeds.com/connect/10074733072513#/reservations/30683165892799?display=YQVC0789C&amp;reservation_id=30683165892799", "YQVC0789C")</f>
        <v>YQVC0789C</v>
      </c>
      <c r="B6672" t="s">
        <v>945</v>
      </c>
      <c r="C6672">
        <v>79</v>
      </c>
      <c r="D6672">
        <v>85.88</v>
      </c>
      <c r="E6672">
        <v>85.87</v>
      </c>
      <c r="F6672">
        <v>0.01</v>
      </c>
    </row>
    <row r="6673" spans="1:6" x14ac:dyDescent="0.3">
      <c r="A6673" t="str">
        <f>HYPERLINK("https://us2.cloudbeds.com/connect/10074733072513#/reservations/30683317424277?display=YQVFSWRYB&amp;reservation_id=30683317424277", "YQVFSWRYB")</f>
        <v>YQVFSWRYB</v>
      </c>
      <c r="B6673" t="s">
        <v>1010</v>
      </c>
      <c r="C6673">
        <v>158</v>
      </c>
      <c r="D6673">
        <v>171.76</v>
      </c>
      <c r="E6673">
        <v>171.75</v>
      </c>
      <c r="F6673">
        <v>0.01</v>
      </c>
    </row>
    <row r="6674" spans="1:6" x14ac:dyDescent="0.3">
      <c r="A6674" t="str">
        <f>HYPERLINK("https://us2.cloudbeds.com/connect/10074733072513#/reservations/30683119112401?display=YQVAQPH2X&amp;reservation_id=30683119112401", "YQVAQPH2X")</f>
        <v>YQVAQPH2X</v>
      </c>
      <c r="B6674" t="s">
        <v>1014</v>
      </c>
      <c r="C6674">
        <v>178</v>
      </c>
      <c r="D6674">
        <v>193.5</v>
      </c>
      <c r="E6674">
        <v>193.49</v>
      </c>
      <c r="F6674">
        <v>0.01</v>
      </c>
    </row>
    <row r="6675" spans="1:6" x14ac:dyDescent="0.3">
      <c r="A6675" t="str">
        <f>HYPERLINK("https://us2.cloudbeds.com/connect/10074733072513#/reservations/30683108708536?display=YQVAX00FU&amp;reservation_id=30683108708536", "YQVAX00FU")</f>
        <v>YQVAX00FU</v>
      </c>
      <c r="B6675" t="s">
        <v>991</v>
      </c>
      <c r="C6675">
        <v>504</v>
      </c>
      <c r="D6675">
        <v>547.86</v>
      </c>
      <c r="E6675">
        <v>547.85</v>
      </c>
      <c r="F6675">
        <v>0.01</v>
      </c>
    </row>
    <row r="6676" spans="1:6" x14ac:dyDescent="0.3">
      <c r="A6676" t="str">
        <f>HYPERLINK("https://us2.cloudbeds.com/connect/10074733072513#/reservations/30683102232770?display=YQVACHQVJ&amp;reservation_id=30683102232770", "YQVACHQVJ")</f>
        <v>YQVACHQVJ</v>
      </c>
      <c r="B6676" t="s">
        <v>991</v>
      </c>
      <c r="C6676">
        <v>504</v>
      </c>
      <c r="D6676">
        <v>547.86</v>
      </c>
      <c r="E6676">
        <v>547.85</v>
      </c>
      <c r="F6676">
        <v>0.01</v>
      </c>
    </row>
    <row r="6677" spans="1:6" x14ac:dyDescent="0.3">
      <c r="A6677" t="str">
        <f>HYPERLINK("https://us2.cloudbeds.com/connect/10074733072513#/reservations/30683382108310?display=YQVHHHP9X&amp;reservation_id=30683382108310", "YQVHHHP9X")</f>
        <v>YQVHHHP9X</v>
      </c>
      <c r="B6677" t="s">
        <v>967</v>
      </c>
      <c r="C6677">
        <v>119</v>
      </c>
      <c r="D6677">
        <v>129.36000000000001</v>
      </c>
      <c r="E6677">
        <v>129.35</v>
      </c>
      <c r="F6677">
        <v>0.01</v>
      </c>
    </row>
    <row r="6678" spans="1:6" x14ac:dyDescent="0.3">
      <c r="A6678" t="str">
        <f>HYPERLINK("https://us2.cloudbeds.com/connect/10074733072513#/reservations/30683411976345?display=YQVX9NTAH&amp;reservation_id=30683411976345", "YQVX9NTAH")</f>
        <v>YQVX9NTAH</v>
      </c>
      <c r="B6678" t="s">
        <v>949</v>
      </c>
      <c r="C6678">
        <v>139</v>
      </c>
      <c r="D6678">
        <v>151.1</v>
      </c>
      <c r="E6678">
        <v>151.09</v>
      </c>
      <c r="F6678">
        <v>0.01</v>
      </c>
    </row>
    <row r="6679" spans="1:6" x14ac:dyDescent="0.3">
      <c r="A6679" t="str">
        <f>HYPERLINK("https://us2.cloudbeds.com/connect/10074733072513#/reservations/30684163453088?display=YQW4GCRK1&amp;reservation_id=30684163453088", "YQW4GCRK1")</f>
        <v>YQW4GCRK1</v>
      </c>
      <c r="B6679" t="s">
        <v>1010</v>
      </c>
      <c r="C6679">
        <v>79</v>
      </c>
      <c r="D6679">
        <v>85.88</v>
      </c>
      <c r="E6679">
        <v>85.87</v>
      </c>
      <c r="F6679">
        <v>0.01</v>
      </c>
    </row>
    <row r="6680" spans="1:6" x14ac:dyDescent="0.3">
      <c r="A6680" t="str">
        <f>HYPERLINK("https://us2.cloudbeds.com/connect/10074733072513#/reservations/30684163448997?display=YQW4GCNS2&amp;reservation_id=30684163448997", "YQW4GCNS2")</f>
        <v>YQW4GCNS2</v>
      </c>
      <c r="B6680" t="s">
        <v>1010</v>
      </c>
      <c r="C6680">
        <v>109</v>
      </c>
      <c r="D6680">
        <v>118.49</v>
      </c>
      <c r="E6680">
        <v>118.48</v>
      </c>
      <c r="F6680">
        <v>0.01</v>
      </c>
    </row>
    <row r="6681" spans="1:6" x14ac:dyDescent="0.3">
      <c r="A6681" t="str">
        <f>HYPERLINK("https://us2.cloudbeds.com/connect/10074733072513#/reservations/30682843734270?display=YQV3PXNJN&amp;reservation_id=30682843734270", "YQV3PXNJN")</f>
        <v>YQV3PXNJN</v>
      </c>
      <c r="B6681" t="s">
        <v>987</v>
      </c>
      <c r="C6681">
        <v>189</v>
      </c>
      <c r="D6681">
        <v>205.45</v>
      </c>
      <c r="E6681">
        <v>205.44</v>
      </c>
      <c r="F6681">
        <v>0.01</v>
      </c>
    </row>
    <row r="6682" spans="1:6" x14ac:dyDescent="0.3">
      <c r="A6682" t="str">
        <f>HYPERLINK("https://us2.cloudbeds.com/connect/10074733072513#/reservations/30684070269077?display=YQW23QS64&amp;reservation_id=30684070269077", "YQW23QS64")</f>
        <v>YQW23QS64</v>
      </c>
      <c r="B6682" t="s">
        <v>986</v>
      </c>
      <c r="C6682">
        <v>278</v>
      </c>
      <c r="D6682">
        <v>302.2</v>
      </c>
      <c r="E6682">
        <v>302.19</v>
      </c>
      <c r="F6682">
        <v>0.01</v>
      </c>
    </row>
    <row r="6683" spans="1:6" x14ac:dyDescent="0.3">
      <c r="A6683" t="str">
        <f>HYPERLINK("https://us2.cloudbeds.com/connect/10074733072513#/reservations/30684144165028?display=YQW4043TC&amp;reservation_id=30684144165028", "YQW4043TC")</f>
        <v>YQW4043TC</v>
      </c>
      <c r="B6683" t="s">
        <v>986</v>
      </c>
      <c r="C6683">
        <v>129</v>
      </c>
      <c r="D6683">
        <v>140.22999999999999</v>
      </c>
      <c r="E6683">
        <v>140.22</v>
      </c>
      <c r="F6683">
        <v>0.01</v>
      </c>
    </row>
    <row r="6684" spans="1:6" x14ac:dyDescent="0.3">
      <c r="A6684" t="str">
        <f>HYPERLINK("https://us2.cloudbeds.com/connect/10074733072513#/reservations/30683038105814?display=YQV8ZFCSF&amp;reservation_id=30683038105814", "YQV8ZFCSF")</f>
        <v>YQV8ZFCSF</v>
      </c>
      <c r="B6684" t="s">
        <v>1016</v>
      </c>
      <c r="C6684">
        <v>122.55</v>
      </c>
      <c r="D6684">
        <v>133.22</v>
      </c>
      <c r="E6684">
        <v>133.21</v>
      </c>
      <c r="F6684">
        <v>0.01</v>
      </c>
    </row>
    <row r="6685" spans="1:6" x14ac:dyDescent="0.3">
      <c r="A6685" t="str">
        <f>HYPERLINK("https://us2.cloudbeds.com/connect/10074733072513#/reservations/30683399323879?display=YQVHW1QTF&amp;reservation_id=30683399323879", "YQVHW1QTF")</f>
        <v>YQVHW1QTF</v>
      </c>
      <c r="B6685" t="s">
        <v>979</v>
      </c>
      <c r="C6685">
        <v>222</v>
      </c>
      <c r="D6685">
        <v>241.32</v>
      </c>
      <c r="E6685">
        <v>241.31</v>
      </c>
      <c r="F6685">
        <v>0.01</v>
      </c>
    </row>
    <row r="6686" spans="1:6" x14ac:dyDescent="0.3">
      <c r="A6686" t="str">
        <f>HYPERLINK("https://us2.cloudbeds.com/connect/10074733072513#/reservations/30682943447209?display=YQV6AYCBU&amp;reservation_id=30682943447209", "YQV6AYCBU")</f>
        <v>YQV6AYCBU</v>
      </c>
      <c r="B6686" t="s">
        <v>924</v>
      </c>
      <c r="C6686">
        <v>179</v>
      </c>
      <c r="D6686">
        <v>194.58</v>
      </c>
      <c r="E6686">
        <v>194.57</v>
      </c>
      <c r="F6686">
        <v>0.01</v>
      </c>
    </row>
    <row r="6687" spans="1:6" x14ac:dyDescent="0.3">
      <c r="A6687" t="str">
        <f>HYPERLINK("https://us2.cloudbeds.com/connect/10074733072513#/reservations/30681885335687?display=YQUC9DSED&amp;reservation_id=30681885335687", "YQUC9DSED")</f>
        <v>YQUC9DSED</v>
      </c>
      <c r="B6687" t="s">
        <v>926</v>
      </c>
      <c r="C6687">
        <v>278</v>
      </c>
      <c r="D6687">
        <v>302.2</v>
      </c>
      <c r="E6687">
        <v>302.19</v>
      </c>
      <c r="F6687">
        <v>0.01</v>
      </c>
    </row>
    <row r="6688" spans="1:6" x14ac:dyDescent="0.3">
      <c r="A6688" t="str">
        <f>HYPERLINK("https://us2.cloudbeds.com/connect/10074733072513#/reservations/30683253498069?display=YQVE82WTH&amp;reservation_id=30683253498069", "YQVE82WTH")</f>
        <v>YQVE82WTH</v>
      </c>
      <c r="B6688" t="s">
        <v>1017</v>
      </c>
      <c r="C6688">
        <v>159</v>
      </c>
      <c r="D6688">
        <v>172.84</v>
      </c>
      <c r="E6688">
        <v>172.83</v>
      </c>
      <c r="F6688">
        <v>0.01</v>
      </c>
    </row>
    <row r="6689" spans="1:6" x14ac:dyDescent="0.3">
      <c r="A6689" t="str">
        <f>HYPERLINK("https://us2.cloudbeds.com/connect/10074733072513#/reservations/30683204313235?display=YQVCWKBP0&amp;reservation_id=30683204313235", "YQVCWKBP0")</f>
        <v>YQVCWKBP0</v>
      </c>
      <c r="B6689" t="s">
        <v>945</v>
      </c>
      <c r="C6689">
        <v>158</v>
      </c>
      <c r="D6689">
        <v>171.76</v>
      </c>
      <c r="E6689">
        <v>171.75</v>
      </c>
      <c r="F6689">
        <v>0.01</v>
      </c>
    </row>
    <row r="6690" spans="1:6" x14ac:dyDescent="0.3">
      <c r="A6690" t="str">
        <f>HYPERLINK("https://us2.cloudbeds.com/connect/10074733072513#/reservations/30683171250332?display=YQVC4ZAVS&amp;reservation_id=30683171250332", "YQVC4ZAVS")</f>
        <v>YQVC4ZAVS</v>
      </c>
      <c r="B6690" t="s">
        <v>945</v>
      </c>
      <c r="C6690">
        <v>199</v>
      </c>
      <c r="D6690">
        <v>216.32</v>
      </c>
      <c r="E6690">
        <v>216.31</v>
      </c>
      <c r="F6690">
        <v>0.01</v>
      </c>
    </row>
    <row r="6691" spans="1:6" x14ac:dyDescent="0.3">
      <c r="A6691" t="str">
        <f>HYPERLINK("https://us2.cloudbeds.com/connect/10074733072513#/reservations/30683185770700?display=YQVCGWCY0&amp;reservation_id=30683185770700", "YQVCGWCY0")</f>
        <v>YQVCGWCY0</v>
      </c>
      <c r="B6691" t="s">
        <v>945</v>
      </c>
      <c r="C6691">
        <v>143</v>
      </c>
      <c r="D6691">
        <v>155.44999999999999</v>
      </c>
      <c r="E6691">
        <v>155.44</v>
      </c>
      <c r="F6691">
        <v>0.01</v>
      </c>
    </row>
    <row r="6692" spans="1:6" x14ac:dyDescent="0.3">
      <c r="A6692" t="str">
        <f>HYPERLINK("https://us2.cloudbeds.com/connect/10074733072513#/reservations/31673950535884?display=MH6HS2FEX&amp;reservation_id=31673950535884", "MH6HS2FEX")</f>
        <v>MH6HS2FEX</v>
      </c>
      <c r="B6692" t="s">
        <v>1006</v>
      </c>
      <c r="C6692">
        <v>278</v>
      </c>
      <c r="D6692">
        <v>302.2</v>
      </c>
      <c r="E6692">
        <v>302.19</v>
      </c>
      <c r="F6692">
        <v>0.01</v>
      </c>
    </row>
    <row r="6693" spans="1:6" x14ac:dyDescent="0.3">
      <c r="A6693" t="str">
        <f>HYPERLINK("https://us2.cloudbeds.com/connect/10074733072513#/reservations/31674168266927?display=MH6NDM53V&amp;reservation_id=31674168266927", "MH6NDM53V")</f>
        <v>MH6NDM53V</v>
      </c>
      <c r="B6693" t="s">
        <v>1006</v>
      </c>
      <c r="C6693">
        <v>139</v>
      </c>
      <c r="D6693">
        <v>151.1</v>
      </c>
      <c r="E6693">
        <v>151.09</v>
      </c>
      <c r="F6693">
        <v>0.01</v>
      </c>
    </row>
    <row r="6694" spans="1:6" x14ac:dyDescent="0.3">
      <c r="A6694" t="str">
        <f>HYPERLINK("https://us2.cloudbeds.com/connect/10074733072513#/reservations/30683191341221?display=YQVCYMCTM&amp;reservation_id=30683191341221", "YQVCYMCTM")</f>
        <v>YQVCYMCTM</v>
      </c>
      <c r="B6694" t="s">
        <v>945</v>
      </c>
      <c r="C6694">
        <v>129</v>
      </c>
      <c r="D6694">
        <v>140.22999999999999</v>
      </c>
      <c r="E6694">
        <v>140.22</v>
      </c>
      <c r="F6694">
        <v>0.01</v>
      </c>
    </row>
    <row r="6695" spans="1:6" x14ac:dyDescent="0.3">
      <c r="A6695" t="str">
        <f>HYPERLINK("https://us2.cloudbeds.com/connect/10074733072513#/reservations/30683181850854?display=YQVCDMA4Q&amp;reservation_id=30683181850854", "YQVCDMA4Q")</f>
        <v>YQVCDMA4Q</v>
      </c>
      <c r="B6695" t="s">
        <v>945</v>
      </c>
      <c r="C6695">
        <v>159</v>
      </c>
      <c r="D6695">
        <v>172.84</v>
      </c>
      <c r="E6695">
        <v>172.83</v>
      </c>
      <c r="F6695">
        <v>0.01</v>
      </c>
    </row>
    <row r="6696" spans="1:6" x14ac:dyDescent="0.3">
      <c r="A6696" t="str">
        <f>HYPERLINK("https://us2.cloudbeds.com/connect/10074733072513#/reservations/30682546741421?display=YQUT64ETC&amp;reservation_id=30682546741421", "YQUT64ETC")</f>
        <v>YQUT64ETC</v>
      </c>
      <c r="B6696" t="s">
        <v>1018</v>
      </c>
      <c r="C6696">
        <v>141.55000000000001</v>
      </c>
      <c r="D6696">
        <v>153.87</v>
      </c>
      <c r="E6696">
        <v>153.86000000000001</v>
      </c>
      <c r="F6696">
        <v>0.01</v>
      </c>
    </row>
    <row r="6697" spans="1:6" x14ac:dyDescent="0.3">
      <c r="A6697" t="str">
        <f>HYPERLINK("https://us2.cloudbeds.com/connect/10074733072513#/reservations/31673968504972?display=MH6XA7FWC&amp;reservation_id=31673968504972", "MH6XA7FWC")</f>
        <v>MH6XA7FWC</v>
      </c>
      <c r="B6697" t="s">
        <v>1006</v>
      </c>
      <c r="C6697">
        <v>278</v>
      </c>
      <c r="D6697">
        <v>302.2</v>
      </c>
      <c r="E6697">
        <v>302.19</v>
      </c>
      <c r="F6697">
        <v>0.01</v>
      </c>
    </row>
    <row r="6698" spans="1:6" x14ac:dyDescent="0.3">
      <c r="A6698" t="str">
        <f>HYPERLINK("https://us2.cloudbeds.com/connect/10074733072513#/reservations/30683524747408?display=YQVY5QU0F&amp;reservation_id=30683524747408", "YQVY5QU0F")</f>
        <v>YQVY5QU0F</v>
      </c>
      <c r="B6698" t="s">
        <v>1019</v>
      </c>
      <c r="C6698">
        <v>179</v>
      </c>
      <c r="D6698">
        <v>194.58</v>
      </c>
      <c r="E6698">
        <v>194.57</v>
      </c>
      <c r="F6698">
        <v>0.01</v>
      </c>
    </row>
    <row r="6699" spans="1:6" x14ac:dyDescent="0.3">
      <c r="A6699" t="str">
        <f>HYPERLINK("https://us2.cloudbeds.com/connect/10074733072513#/reservations/30683269837045?display=YQVEYSYX0&amp;reservation_id=30683269837045", "YQVEYSYX0")</f>
        <v>YQVEYSYX0</v>
      </c>
      <c r="B6699" t="s">
        <v>1020</v>
      </c>
      <c r="C6699">
        <v>258</v>
      </c>
      <c r="D6699">
        <v>280.45999999999998</v>
      </c>
      <c r="E6699">
        <v>280.45</v>
      </c>
      <c r="F6699">
        <v>0.01</v>
      </c>
    </row>
    <row r="6700" spans="1:6" x14ac:dyDescent="0.3">
      <c r="A6700" t="str">
        <f>HYPERLINK("https://us2.cloudbeds.com/connect/10074733072513#/reservations/30681777680562?display=YQU9HY6XT&amp;reservation_id=30681777680562", "YQU9HY6XT")</f>
        <v>YQU9HY6XT</v>
      </c>
      <c r="B6700" t="s">
        <v>1019</v>
      </c>
      <c r="C6700">
        <v>119</v>
      </c>
      <c r="D6700">
        <v>129.36000000000001</v>
      </c>
      <c r="E6700">
        <v>129.35</v>
      </c>
      <c r="F6700">
        <v>0.01</v>
      </c>
    </row>
    <row r="6701" spans="1:6" x14ac:dyDescent="0.3">
      <c r="A6701" t="str">
        <f>HYPERLINK("https://us2.cloudbeds.com/connect/10074733072513#/reservations/30681785213131?display=YQU9NWQHX&amp;reservation_id=30681785213131", "YQU9NWQHX")</f>
        <v>YQU9NWQHX</v>
      </c>
      <c r="B6701" t="s">
        <v>1019</v>
      </c>
      <c r="C6701">
        <v>79</v>
      </c>
      <c r="D6701">
        <v>85.88</v>
      </c>
      <c r="E6701">
        <v>85.87</v>
      </c>
      <c r="F6701">
        <v>0.01</v>
      </c>
    </row>
    <row r="6702" spans="1:6" x14ac:dyDescent="0.3">
      <c r="A6702" t="str">
        <f>HYPERLINK("https://us2.cloudbeds.com/connect/10074733072513#/reservations/30681803939986?display=YQUA6PTU0&amp;reservation_id=30681803939986", "YQUA6PTU0")</f>
        <v>YQUA6PTU0</v>
      </c>
      <c r="B6702" t="s">
        <v>1019</v>
      </c>
      <c r="C6702">
        <v>109</v>
      </c>
      <c r="D6702">
        <v>118.49</v>
      </c>
      <c r="E6702">
        <v>118.48</v>
      </c>
      <c r="F6702">
        <v>0.01</v>
      </c>
    </row>
    <row r="6703" spans="1:6" x14ac:dyDescent="0.3">
      <c r="A6703" t="str">
        <f>HYPERLINK("https://us2.cloudbeds.com/connect/10074733072513#/reservations/30681710366947?display=YQU7QT38C&amp;reservation_id=30681710366947", "YQU7QT38C")</f>
        <v>YQU7QT38C</v>
      </c>
      <c r="B6703" t="s">
        <v>926</v>
      </c>
      <c r="C6703">
        <v>149</v>
      </c>
      <c r="D6703">
        <v>161.97</v>
      </c>
      <c r="E6703">
        <v>161.96</v>
      </c>
      <c r="F6703">
        <v>0.01</v>
      </c>
    </row>
    <row r="6704" spans="1:6" x14ac:dyDescent="0.3">
      <c r="A6704" t="str">
        <f>HYPERLINK("https://us2.cloudbeds.com/connect/10074733072513#/reservations/31677017624713?display=MH8U7AZ99&amp;reservation_id=31677017624713", "MH8U7AZ99")</f>
        <v>MH8U7AZ99</v>
      </c>
      <c r="B6704" t="s">
        <v>957</v>
      </c>
      <c r="C6704">
        <v>149</v>
      </c>
      <c r="D6704">
        <v>161.97</v>
      </c>
      <c r="E6704">
        <v>161.96</v>
      </c>
      <c r="F6704">
        <v>0.01</v>
      </c>
    </row>
    <row r="6705" spans="1:6" x14ac:dyDescent="0.3">
      <c r="A6705" t="str">
        <f>HYPERLINK("https://us2.cloudbeds.com/connect/10074733072513#/reservations/30683461726413?display=YQVJXM8GB&amp;reservation_id=30683461726413", "YQVJXM8GB")</f>
        <v>YQVJXM8GB</v>
      </c>
      <c r="B6705" t="s">
        <v>1022</v>
      </c>
      <c r="C6705">
        <v>119</v>
      </c>
      <c r="D6705">
        <v>129.36000000000001</v>
      </c>
      <c r="E6705">
        <v>129.35</v>
      </c>
      <c r="F6705">
        <v>0.01</v>
      </c>
    </row>
    <row r="6706" spans="1:6" x14ac:dyDescent="0.3">
      <c r="A6706" t="str">
        <f>HYPERLINK("https://us2.cloudbeds.com/connect/10074733072513#/reservations/30683460432036?display=YQVJHJ7TQ&amp;reservation_id=30683460432036", "YQVJHJ7TQ")</f>
        <v>YQVJHJ7TQ</v>
      </c>
      <c r="B6706" t="s">
        <v>1022</v>
      </c>
      <c r="C6706">
        <v>79</v>
      </c>
      <c r="D6706">
        <v>85.88</v>
      </c>
      <c r="E6706">
        <v>85.87</v>
      </c>
      <c r="F6706">
        <v>0.01</v>
      </c>
    </row>
    <row r="6707" spans="1:6" x14ac:dyDescent="0.3">
      <c r="A6707" t="str">
        <f>HYPERLINK("https://us2.cloudbeds.com/connect/10074733072513#/reservations/30683416416409?display=YQVXDFEGU&amp;reservation_id=30683416416409", "YQVXDFEGU")</f>
        <v>YQVXDFEGU</v>
      </c>
      <c r="B6707" t="s">
        <v>979</v>
      </c>
      <c r="C6707">
        <v>119</v>
      </c>
      <c r="D6707">
        <v>129.36000000000001</v>
      </c>
      <c r="E6707">
        <v>129.35</v>
      </c>
      <c r="F6707">
        <v>0.01</v>
      </c>
    </row>
    <row r="6708" spans="1:6" x14ac:dyDescent="0.3">
      <c r="A6708" t="str">
        <f>HYPERLINK("https://us2.cloudbeds.com/connect/10074733072513#/reservations/30683392442502?display=YQVHQ8ATT&amp;reservation_id=30683392442502", "YQVHQ8ATT")</f>
        <v>YQVHQ8ATT</v>
      </c>
      <c r="B6708" t="s">
        <v>979</v>
      </c>
      <c r="C6708">
        <v>238</v>
      </c>
      <c r="D6708">
        <v>258.72000000000003</v>
      </c>
      <c r="E6708">
        <v>258.70999999999998</v>
      </c>
      <c r="F6708">
        <v>0.01</v>
      </c>
    </row>
    <row r="6709" spans="1:6" x14ac:dyDescent="0.3">
      <c r="A6709" t="str">
        <f>HYPERLINK("https://us2.cloudbeds.com/connect/10074733072513#/reservations/30681812840641?display=YQUAE9J4R&amp;reservation_id=30681812840641", "YQUAE9J4R")</f>
        <v>YQUAE9J4R</v>
      </c>
      <c r="B6709" t="s">
        <v>1019</v>
      </c>
      <c r="C6709">
        <v>119</v>
      </c>
      <c r="D6709">
        <v>129.36000000000001</v>
      </c>
      <c r="E6709">
        <v>129.35</v>
      </c>
      <c r="F6709">
        <v>0.01</v>
      </c>
    </row>
    <row r="6710" spans="1:6" x14ac:dyDescent="0.3">
      <c r="A6710" t="str">
        <f>HYPERLINK("https://us2.cloudbeds.com/connect/10074733072513#/reservations/30683188781208?display=YQVCJH53H&amp;reservation_id=30683188781208", "YQVCJH53H")</f>
        <v>YQVCJH53H</v>
      </c>
      <c r="B6710" t="s">
        <v>991</v>
      </c>
      <c r="C6710">
        <v>129</v>
      </c>
      <c r="D6710">
        <v>140.22999999999999</v>
      </c>
      <c r="E6710">
        <v>140.22</v>
      </c>
      <c r="F6710">
        <v>0.01</v>
      </c>
    </row>
    <row r="6711" spans="1:6" x14ac:dyDescent="0.3">
      <c r="A6711" t="str">
        <f>HYPERLINK("https://us2.cloudbeds.com/connect/10074733072513#/reservations/31674176676041?display=MH6NKP4WJ&amp;reservation_id=31674176676041", "MH6NKP4WJ")</f>
        <v>MH6NKP4WJ</v>
      </c>
      <c r="B6711" t="s">
        <v>1006</v>
      </c>
      <c r="C6711">
        <v>139</v>
      </c>
      <c r="D6711">
        <v>151.1</v>
      </c>
      <c r="E6711">
        <v>151.09</v>
      </c>
      <c r="F6711">
        <v>0.01</v>
      </c>
    </row>
    <row r="6712" spans="1:6" x14ac:dyDescent="0.3">
      <c r="A6712" t="str">
        <f>HYPERLINK("https://us2.cloudbeds.com/connect/10074733072513#/reservations/30682546102517?display=YQUT5JM6M&amp;reservation_id=30682546102517", "YQUT5JM6M")</f>
        <v>YQUT5JM6M</v>
      </c>
      <c r="B6712" t="s">
        <v>991</v>
      </c>
      <c r="C6712">
        <v>129</v>
      </c>
      <c r="D6712">
        <v>140.22999999999999</v>
      </c>
      <c r="E6712">
        <v>140.22</v>
      </c>
      <c r="F6712">
        <v>0.01</v>
      </c>
    </row>
    <row r="6713" spans="1:6" x14ac:dyDescent="0.3">
      <c r="A6713" t="str">
        <f>HYPERLINK("https://us2.cloudbeds.com/connect/10074733072513#/reservations/30683363897562?display=YQVH260RN&amp;reservation_id=30683363897562", "YQVH260RN")</f>
        <v>YQVH260RN</v>
      </c>
      <c r="B6713" t="s">
        <v>979</v>
      </c>
      <c r="C6713">
        <v>73</v>
      </c>
      <c r="D6713">
        <v>79.36</v>
      </c>
      <c r="E6713">
        <v>79.349999999999994</v>
      </c>
      <c r="F6713">
        <v>0.01</v>
      </c>
    </row>
    <row r="6714" spans="1:6" x14ac:dyDescent="0.3">
      <c r="A6714" t="str">
        <f>HYPERLINK("https://us2.cloudbeds.com/connect/10074733072513#/reservations/30682871775399?display=YQV4G700T&amp;reservation_id=30682871775399", "YQV4G700T")</f>
        <v>YQV4G700T</v>
      </c>
      <c r="B6714" t="s">
        <v>987</v>
      </c>
      <c r="C6714">
        <v>134.1</v>
      </c>
      <c r="D6714">
        <v>145.78</v>
      </c>
      <c r="E6714">
        <v>145.77000000000001</v>
      </c>
      <c r="F6714">
        <v>0.01</v>
      </c>
    </row>
    <row r="6715" spans="1:6" x14ac:dyDescent="0.3">
      <c r="A6715" t="str">
        <f>HYPERLINK("https://us2.cloudbeds.com/connect/10074733072513#/reservations/30682261954806?display=YQUYTWRRW&amp;reservation_id=30682261954806", "YQUYTWRRW")</f>
        <v>YQUYTWRRW</v>
      </c>
      <c r="B6715" t="s">
        <v>926</v>
      </c>
      <c r="C6715">
        <v>258</v>
      </c>
      <c r="D6715">
        <v>280.45999999999998</v>
      </c>
      <c r="E6715">
        <v>280.45</v>
      </c>
      <c r="F6715">
        <v>0.01</v>
      </c>
    </row>
    <row r="6716" spans="1:6" x14ac:dyDescent="0.3">
      <c r="A6716" t="str">
        <f>HYPERLINK("https://us2.cloudbeds.com/connect/10074733072513#/reservations/30683376373954?display=YQVHCN6J6&amp;reservation_id=30683376373954", "YQVHCN6J6")</f>
        <v>YQVHCN6J6</v>
      </c>
      <c r="B6716" t="s">
        <v>979</v>
      </c>
      <c r="C6716">
        <v>73</v>
      </c>
      <c r="D6716">
        <v>79.36</v>
      </c>
      <c r="E6716">
        <v>79.349999999999994</v>
      </c>
      <c r="F6716">
        <v>0.01</v>
      </c>
    </row>
    <row r="6717" spans="1:6" x14ac:dyDescent="0.3">
      <c r="A6717" t="str">
        <f>HYPERLINK("https://us2.cloudbeds.com/connect/10074733072513#/reservations/30683472437435?display=YQVJRNA4P&amp;reservation_id=30683472437435", "YQVJRNA4P")</f>
        <v>YQVJRNA4P</v>
      </c>
      <c r="B6717" t="s">
        <v>1022</v>
      </c>
      <c r="C6717">
        <v>119</v>
      </c>
      <c r="D6717">
        <v>129.36000000000001</v>
      </c>
      <c r="E6717">
        <v>129.35</v>
      </c>
      <c r="F6717">
        <v>0.01</v>
      </c>
    </row>
    <row r="6718" spans="1:6" x14ac:dyDescent="0.3">
      <c r="A6718" t="str">
        <f>HYPERLINK("https://us2.cloudbeds.com/connect/10074733072513#/reservations/30683370832046?display=YQVH80WJJ&amp;reservation_id=30683370832046", "YQVH80WJJ")</f>
        <v>YQVH80WJJ</v>
      </c>
      <c r="B6718" t="s">
        <v>979</v>
      </c>
      <c r="C6718">
        <v>119</v>
      </c>
      <c r="D6718">
        <v>129.36000000000001</v>
      </c>
      <c r="E6718">
        <v>129.35</v>
      </c>
      <c r="F6718">
        <v>0.01</v>
      </c>
    </row>
    <row r="6719" spans="1:6" x14ac:dyDescent="0.3">
      <c r="A6719" t="str">
        <f>HYPERLINK("https://us2.cloudbeds.com/connect/10074733072513#/reservations/30681759854746?display=YQU92K5JY&amp;reservation_id=30681759854746", "YQU92K5JY")</f>
        <v>YQU92K5JY</v>
      </c>
      <c r="B6719" t="s">
        <v>1022</v>
      </c>
      <c r="C6719">
        <v>80.38</v>
      </c>
      <c r="D6719">
        <v>87.38</v>
      </c>
      <c r="E6719">
        <v>87.37</v>
      </c>
      <c r="F6719">
        <v>0.01</v>
      </c>
    </row>
    <row r="6720" spans="1:6" x14ac:dyDescent="0.3">
      <c r="A6720" t="str">
        <f>HYPERLINK("https://us2.cloudbeds.com/connect/10074733072513#/reservations/30683165892741?display=YQVC0787K&amp;reservation_id=30683165892741", "YQVC0787K")</f>
        <v>YQVC0787K</v>
      </c>
      <c r="B6720" t="s">
        <v>1014</v>
      </c>
      <c r="C6720">
        <v>141.55000000000001</v>
      </c>
      <c r="D6720">
        <v>153.87</v>
      </c>
      <c r="E6720">
        <v>153.86000000000001</v>
      </c>
      <c r="F6720">
        <v>0.01</v>
      </c>
    </row>
    <row r="6721" spans="1:6" x14ac:dyDescent="0.3">
      <c r="A6721" t="str">
        <f>HYPERLINK("https://us2.cloudbeds.com/connect/10074733072513#/reservations/30683130204314?display=YQVB345G4&amp;reservation_id=30683130204314", "YQVB345G4")</f>
        <v>YQVB345G4</v>
      </c>
      <c r="B6721" t="s">
        <v>1014</v>
      </c>
      <c r="C6721">
        <v>119</v>
      </c>
      <c r="D6721">
        <v>129.36000000000001</v>
      </c>
      <c r="E6721">
        <v>129.35</v>
      </c>
      <c r="F6721">
        <v>0.01</v>
      </c>
    </row>
    <row r="6722" spans="1:6" x14ac:dyDescent="0.3">
      <c r="A6722" t="str">
        <f>HYPERLINK("https://us2.cloudbeds.com/connect/10074733072513#/reservations/30683134853263?display=YQVB71HGC&amp;reservation_id=30683134853263", "YQVB71HGC")</f>
        <v>YQVB71HGC</v>
      </c>
      <c r="B6722" t="s">
        <v>1014</v>
      </c>
      <c r="C6722">
        <v>119</v>
      </c>
      <c r="D6722">
        <v>129.36000000000001</v>
      </c>
      <c r="E6722">
        <v>129.35</v>
      </c>
      <c r="F6722">
        <v>0.01</v>
      </c>
    </row>
    <row r="6723" spans="1:6" x14ac:dyDescent="0.3">
      <c r="A6723" t="str">
        <f>HYPERLINK("https://us2.cloudbeds.com/connect/10074733072513#/reservations/30682555666643?display=YQUTDYQMM&amp;reservation_id=30682555666643", "YQUTDYQMM")</f>
        <v>YQUTDYQMM</v>
      </c>
      <c r="B6723" t="s">
        <v>991</v>
      </c>
      <c r="C6723">
        <v>149</v>
      </c>
      <c r="D6723">
        <v>161.97</v>
      </c>
      <c r="E6723">
        <v>161.96</v>
      </c>
      <c r="F6723">
        <v>0.01</v>
      </c>
    </row>
    <row r="6724" spans="1:6" x14ac:dyDescent="0.3">
      <c r="A6724" t="str">
        <f>HYPERLINK("https://us2.cloudbeds.com/connect/10074733072513#/reservations/30682380886146?display=YQUZV99BW&amp;reservation_id=30682380886146", "YQUZV99BW")</f>
        <v>YQUZV99BW</v>
      </c>
      <c r="B6724" t="s">
        <v>1023</v>
      </c>
      <c r="C6724">
        <v>96.81</v>
      </c>
      <c r="D6724">
        <v>105.24</v>
      </c>
      <c r="E6724">
        <v>105.23</v>
      </c>
      <c r="F6724">
        <v>0.01</v>
      </c>
    </row>
    <row r="6725" spans="1:6" x14ac:dyDescent="0.3">
      <c r="A6725" t="str">
        <f>HYPERLINK("https://us2.cloudbeds.com/connect/10074733072513#/reservations/30682561691809?display=YQUTXZFEF&amp;reservation_id=30682561691809", "YQUTXZFEF")</f>
        <v>YQUTXZFEF</v>
      </c>
      <c r="B6725" t="s">
        <v>991</v>
      </c>
      <c r="C6725">
        <v>149</v>
      </c>
      <c r="D6725">
        <v>161.97</v>
      </c>
      <c r="E6725">
        <v>161.96</v>
      </c>
      <c r="F6725">
        <v>0.01</v>
      </c>
    </row>
    <row r="6726" spans="1:6" x14ac:dyDescent="0.3">
      <c r="A6726" t="str">
        <f>HYPERLINK("https://us2.cloudbeds.com/connect/10074733072513#/reservations/30683099590857?display=YQVAAA9VK&amp;reservation_id=30683099590857", "YQVAAA9VK")</f>
        <v>YQVAAA9VK</v>
      </c>
      <c r="B6726" t="s">
        <v>1014</v>
      </c>
      <c r="C6726">
        <v>119</v>
      </c>
      <c r="D6726">
        <v>129.36000000000001</v>
      </c>
      <c r="E6726">
        <v>129.35</v>
      </c>
      <c r="F6726">
        <v>0.01</v>
      </c>
    </row>
    <row r="6727" spans="1:6" x14ac:dyDescent="0.3">
      <c r="A6727" t="str">
        <f>HYPERLINK("https://us2.cloudbeds.com/connect/10074733072513#/reservations/30682623553766?display=YQUV4TSY7&amp;reservation_id=30682623553766", "YQUV4TSY7")</f>
        <v>YQUV4TSY7</v>
      </c>
      <c r="B6727" t="s">
        <v>991</v>
      </c>
      <c r="C6727">
        <v>158</v>
      </c>
      <c r="D6727">
        <v>171.76</v>
      </c>
      <c r="E6727">
        <v>171.75</v>
      </c>
      <c r="F6727">
        <v>0.01</v>
      </c>
    </row>
    <row r="6728" spans="1:6" x14ac:dyDescent="0.3">
      <c r="A6728" t="str">
        <f>HYPERLINK("https://us2.cloudbeds.com/connect/10074733072513#/reservations/30681727463659?display=YQU889RNX&amp;reservation_id=30681727463659", "YQU889RNX")</f>
        <v>YQU889RNX</v>
      </c>
      <c r="B6728" t="s">
        <v>926</v>
      </c>
      <c r="C6728">
        <v>238</v>
      </c>
      <c r="D6728">
        <v>258.72000000000003</v>
      </c>
      <c r="E6728">
        <v>258.70999999999998</v>
      </c>
      <c r="F6728">
        <v>0.01</v>
      </c>
    </row>
    <row r="6729" spans="1:6" x14ac:dyDescent="0.3">
      <c r="A6729" t="str">
        <f>HYPERLINK("https://us2.cloudbeds.com/connect/10074733072513#/reservations/30683382112404?display=YQVHHHT1K&amp;reservation_id=30683382112404", "YQVHHHT1K")</f>
        <v>YQVHHHT1K</v>
      </c>
      <c r="B6729" t="s">
        <v>979</v>
      </c>
      <c r="C6729">
        <v>119</v>
      </c>
      <c r="D6729">
        <v>129.36000000000001</v>
      </c>
      <c r="E6729">
        <v>129.35</v>
      </c>
      <c r="F6729">
        <v>0.01</v>
      </c>
    </row>
    <row r="6730" spans="1:6" x14ac:dyDescent="0.3">
      <c r="A6730" t="str">
        <f>HYPERLINK("https://us2.cloudbeds.com/connect/10074733072513#/reservations/30682574508252?display=YQUTTX3EH&amp;reservation_id=30682574508252", "YQUTTX3EH")</f>
        <v>YQUTTX3EH</v>
      </c>
      <c r="B6730" t="s">
        <v>991</v>
      </c>
      <c r="C6730">
        <v>79</v>
      </c>
      <c r="D6730">
        <v>85.88</v>
      </c>
      <c r="E6730">
        <v>85.87</v>
      </c>
      <c r="F6730">
        <v>0.01</v>
      </c>
    </row>
    <row r="6731" spans="1:6" x14ac:dyDescent="0.3">
      <c r="A6731" t="str">
        <f>HYPERLINK("https://us2.cloudbeds.com/connect/10074733072513#/reservations/30682604450018?display=YQUUYQ95P&amp;reservation_id=30682604450018", "YQUUYQ95P")</f>
        <v>YQUUYQ95P</v>
      </c>
      <c r="B6731" t="s">
        <v>991</v>
      </c>
      <c r="C6731">
        <v>149</v>
      </c>
      <c r="D6731">
        <v>161.97</v>
      </c>
      <c r="E6731">
        <v>161.96</v>
      </c>
      <c r="F6731">
        <v>0.01</v>
      </c>
    </row>
    <row r="6732" spans="1:6" x14ac:dyDescent="0.3">
      <c r="A6732" t="str">
        <f>HYPERLINK("https://us2.cloudbeds.com/connect/10074733072513#/reservations/30683338764452?display=YQVGDWYPA&amp;reservation_id=30683338764452", "YQVGDWYPA")</f>
        <v>YQVGDWYPA</v>
      </c>
      <c r="B6732" t="s">
        <v>1024</v>
      </c>
      <c r="C6732">
        <v>129</v>
      </c>
      <c r="D6732">
        <v>140.22999999999999</v>
      </c>
      <c r="E6732">
        <v>140.22</v>
      </c>
      <c r="F6732">
        <v>0.01</v>
      </c>
    </row>
    <row r="6733" spans="1:6" x14ac:dyDescent="0.3">
      <c r="A6733" t="str">
        <f>HYPERLINK("https://us2.cloudbeds.com/connect/10074733072513#/reservations/30683117105335?display=YQVAP2M1C&amp;reservation_id=30683117105335", "YQVAP2M1C")</f>
        <v>YQVAP2M1C</v>
      </c>
      <c r="B6733" t="s">
        <v>1014</v>
      </c>
      <c r="C6733">
        <v>119</v>
      </c>
      <c r="D6733">
        <v>129.36000000000001</v>
      </c>
      <c r="E6733">
        <v>129.35</v>
      </c>
      <c r="F6733">
        <v>0.01</v>
      </c>
    </row>
    <row r="6734" spans="1:6" x14ac:dyDescent="0.3">
      <c r="A6734" t="str">
        <f>HYPERLINK("https://us2.cloudbeds.com/connect/10074733072513#/reservations/30683328786582?display=YQVG5J0BK&amp;reservation_id=30683328786582", "YQVG5J0BK")</f>
        <v>YQVG5J0BK</v>
      </c>
      <c r="B6734" t="s">
        <v>1024</v>
      </c>
      <c r="C6734">
        <v>129</v>
      </c>
      <c r="D6734">
        <v>140.22999999999999</v>
      </c>
      <c r="E6734">
        <v>140.22</v>
      </c>
      <c r="F6734">
        <v>0.01</v>
      </c>
    </row>
    <row r="6735" spans="1:6" x14ac:dyDescent="0.3">
      <c r="A6735" t="str">
        <f>HYPERLINK("https://us2.cloudbeds.com/connect/10074733072513#/reservations/30682568118471?display=YQUTZ59SQ&amp;reservation_id=30682568118471", "YQUTZ59SQ")</f>
        <v>YQUTZ59SQ</v>
      </c>
      <c r="B6735" t="s">
        <v>991</v>
      </c>
      <c r="C6735">
        <v>113</v>
      </c>
      <c r="D6735">
        <v>122.84</v>
      </c>
      <c r="E6735">
        <v>122.83</v>
      </c>
      <c r="F6735">
        <v>0.01</v>
      </c>
    </row>
    <row r="6736" spans="1:6" x14ac:dyDescent="0.3">
      <c r="A6736" t="str">
        <f>HYPERLINK("https://us2.cloudbeds.com/connect/10074733072513#/reservations/30683017257105?display=YQV86T81D&amp;reservation_id=30683017257105", "YQV86T81D")</f>
        <v>YQV86T81D</v>
      </c>
      <c r="B6736" t="s">
        <v>1025</v>
      </c>
      <c r="C6736">
        <v>109</v>
      </c>
      <c r="D6736">
        <v>118.49</v>
      </c>
      <c r="E6736">
        <v>118.48</v>
      </c>
      <c r="F6736">
        <v>0.01</v>
      </c>
    </row>
    <row r="6737" spans="1:6" x14ac:dyDescent="0.3">
      <c r="A6737" t="str">
        <f>HYPERLINK("https://us2.cloudbeds.com/connect/10074733072513#/reservations/30681451167886?display=YQU16AGJC&amp;reservation_id=30681451167886", "YQU16AGJC")</f>
        <v>YQU16AGJC</v>
      </c>
      <c r="B6737" t="s">
        <v>970</v>
      </c>
      <c r="C6737">
        <v>258</v>
      </c>
      <c r="D6737">
        <v>280.45999999999998</v>
      </c>
      <c r="E6737">
        <v>280.45</v>
      </c>
      <c r="F6737">
        <v>0.01</v>
      </c>
    </row>
    <row r="6738" spans="1:6" x14ac:dyDescent="0.3">
      <c r="A6738" t="str">
        <f>HYPERLINK("https://us2.cloudbeds.com/connect/10074733072513#/reservations/30682368557303?display=YQUZKT73M&amp;reservation_id=30682368557303", "YQUZKT73M")</f>
        <v>YQUZKT73M</v>
      </c>
      <c r="B6738" t="s">
        <v>998</v>
      </c>
      <c r="C6738">
        <v>119</v>
      </c>
      <c r="D6738">
        <v>129.36000000000001</v>
      </c>
      <c r="E6738">
        <v>129.35</v>
      </c>
      <c r="F6738">
        <v>0.01</v>
      </c>
    </row>
    <row r="6739" spans="1:6" x14ac:dyDescent="0.3">
      <c r="A6739" t="str">
        <f>HYPERLINK("https://us2.cloudbeds.com/connect/10074733072513#/reservations/30681913532552?display=YQUD06FSS&amp;reservation_id=30681913532552", "YQUD06FSS")</f>
        <v>YQUD06FSS</v>
      </c>
      <c r="B6739" t="s">
        <v>1026</v>
      </c>
      <c r="C6739">
        <v>149</v>
      </c>
      <c r="D6739">
        <v>161.97</v>
      </c>
      <c r="E6739">
        <v>161.96</v>
      </c>
      <c r="F6739">
        <v>0.01</v>
      </c>
    </row>
    <row r="6740" spans="1:6" x14ac:dyDescent="0.3">
      <c r="A6740" t="str">
        <f>HYPERLINK("https://us2.cloudbeds.com/connect/10074733072513#/reservations/30683285852379?display=YQVF2CA04&amp;reservation_id=30683285852379", "YQVF2CA04")</f>
        <v>YQVF2CA04</v>
      </c>
      <c r="B6740" t="s">
        <v>1020</v>
      </c>
      <c r="C6740">
        <v>129</v>
      </c>
      <c r="D6740">
        <v>140.22999999999999</v>
      </c>
      <c r="E6740">
        <v>140.22</v>
      </c>
      <c r="F6740">
        <v>0.01</v>
      </c>
    </row>
    <row r="6741" spans="1:6" x14ac:dyDescent="0.3">
      <c r="A6741" t="str">
        <f>HYPERLINK("https://us2.cloudbeds.com/connect/10074733072513#/reservations/30682805923983?display=YQV2QMJDE&amp;reservation_id=30682805923983", "YQV2QMJDE")</f>
        <v>YQV2QMJDE</v>
      </c>
      <c r="B6741" t="s">
        <v>987</v>
      </c>
      <c r="C6741">
        <v>139</v>
      </c>
      <c r="D6741">
        <v>151.1</v>
      </c>
      <c r="E6741">
        <v>151.09</v>
      </c>
      <c r="F6741">
        <v>0.01</v>
      </c>
    </row>
    <row r="6742" spans="1:6" x14ac:dyDescent="0.3">
      <c r="A6742" t="str">
        <f>HYPERLINK("https://us2.cloudbeds.com/connect/10074733072513#/reservations/30683295555742?display=YQVFAXABF&amp;reservation_id=30683295555742", "YQVFAXABF")</f>
        <v>YQVFAXABF</v>
      </c>
      <c r="B6742" t="s">
        <v>1024</v>
      </c>
      <c r="C6742">
        <v>89</v>
      </c>
      <c r="D6742">
        <v>96.75</v>
      </c>
      <c r="E6742">
        <v>96.74</v>
      </c>
      <c r="F6742">
        <v>0.01</v>
      </c>
    </row>
    <row r="6743" spans="1:6" x14ac:dyDescent="0.3">
      <c r="A6743" t="str">
        <f>HYPERLINK("https://us2.cloudbeds.com/connect/10074733072513#/reservations/30683309854920?display=YQVFMK6TT&amp;reservation_id=30683309854920", "YQVFMK6TT")</f>
        <v>YQVFMK6TT</v>
      </c>
      <c r="B6743" t="s">
        <v>1024</v>
      </c>
      <c r="C6743">
        <v>129</v>
      </c>
      <c r="D6743">
        <v>140.22999999999999</v>
      </c>
      <c r="E6743">
        <v>140.22</v>
      </c>
      <c r="F6743">
        <v>0.01</v>
      </c>
    </row>
    <row r="6744" spans="1:6" x14ac:dyDescent="0.3">
      <c r="A6744" t="str">
        <f>HYPERLINK("https://us2.cloudbeds.com/connect/10074733072513#/reservations/30683292356858?display=YQVF7S9TJ&amp;reservation_id=30683292356858", "YQVF7S9TJ")</f>
        <v>YQVF7S9TJ</v>
      </c>
      <c r="B6744" t="s">
        <v>1020</v>
      </c>
      <c r="C6744">
        <v>109</v>
      </c>
      <c r="D6744">
        <v>118.49</v>
      </c>
      <c r="E6744">
        <v>118.48</v>
      </c>
      <c r="F6744">
        <v>0.01</v>
      </c>
    </row>
    <row r="6745" spans="1:6" x14ac:dyDescent="0.3">
      <c r="A6745" t="str">
        <f>HYPERLINK("https://us2.cloudbeds.com/connect/10074733072513#/reservations/31686632734861?display=MHGBU1BHF&amp;reservation_id=31686632734861", "MHGBU1BHF")</f>
        <v>MHGBU1BHF</v>
      </c>
      <c r="B6745" t="s">
        <v>1027</v>
      </c>
      <c r="C6745">
        <v>79</v>
      </c>
      <c r="D6745">
        <v>85.88</v>
      </c>
      <c r="E6745">
        <v>85.87</v>
      </c>
      <c r="F6745">
        <v>0.01</v>
      </c>
    </row>
    <row r="6746" spans="1:6" x14ac:dyDescent="0.3">
      <c r="A6746" t="str">
        <f>HYPERLINK("https://us2.cloudbeds.com/connect/10074733072513#/reservations/30682669326576?display=YQUWAGXK2&amp;reservation_id=30682669326576", "YQUWAGXK2")</f>
        <v>YQUWAGXK2</v>
      </c>
      <c r="B6746" t="s">
        <v>902</v>
      </c>
      <c r="C6746">
        <v>179</v>
      </c>
      <c r="D6746">
        <v>194.58</v>
      </c>
      <c r="E6746">
        <v>194.57</v>
      </c>
      <c r="F6746">
        <v>0.01</v>
      </c>
    </row>
    <row r="6747" spans="1:6" x14ac:dyDescent="0.3">
      <c r="A6747" t="str">
        <f>HYPERLINK("https://us2.cloudbeds.com/connect/10074733072513#/reservations/30681866154148?display=YQUBQ83HJ&amp;reservation_id=30681866154148", "YQUBQ83HJ")</f>
        <v>YQUBQ83HJ</v>
      </c>
      <c r="B6747" t="s">
        <v>987</v>
      </c>
      <c r="C6747">
        <v>129</v>
      </c>
      <c r="D6747">
        <v>140.22999999999999</v>
      </c>
      <c r="E6747">
        <v>140.22</v>
      </c>
      <c r="F6747">
        <v>0.01</v>
      </c>
    </row>
    <row r="6748" spans="1:6" x14ac:dyDescent="0.3">
      <c r="A6748" t="str">
        <f>HYPERLINK("https://us2.cloudbeds.com/connect/10074733072513#/reservations/30681467953373?display=YQU1KFJ8G&amp;reservation_id=30681467953373", "YQU1KFJ8G")</f>
        <v>YQU1KFJ8G</v>
      </c>
      <c r="B6748" t="s">
        <v>970</v>
      </c>
      <c r="C6748">
        <v>149</v>
      </c>
      <c r="D6748">
        <v>161.97</v>
      </c>
      <c r="E6748">
        <v>161.96</v>
      </c>
      <c r="F6748">
        <v>0.01</v>
      </c>
    </row>
    <row r="6749" spans="1:6" x14ac:dyDescent="0.3">
      <c r="A6749" t="str">
        <f>HYPERLINK("https://us2.cloudbeds.com/connect/10074733072513#/reservations/30682657317060?display=YQUW0CCJB&amp;reservation_id=30682657317060", "YQUW0CCJB")</f>
        <v>YQUW0CCJB</v>
      </c>
      <c r="B6749" t="s">
        <v>902</v>
      </c>
      <c r="C6749">
        <v>222</v>
      </c>
      <c r="D6749">
        <v>241.32</v>
      </c>
      <c r="E6749">
        <v>241.31</v>
      </c>
      <c r="F6749">
        <v>0.01</v>
      </c>
    </row>
    <row r="6750" spans="1:6" x14ac:dyDescent="0.3">
      <c r="A6750" t="str">
        <f>HYPERLINK("https://us2.cloudbeds.com/connect/10074733072513#/reservations/30683297247438?display=YQVFBWCPW&amp;reservation_id=30683297247438", "YQVFBWCPW")</f>
        <v>YQVFBWCPW</v>
      </c>
      <c r="B6750" t="s">
        <v>1020</v>
      </c>
      <c r="C6750">
        <v>109</v>
      </c>
      <c r="D6750">
        <v>118.49</v>
      </c>
      <c r="E6750">
        <v>118.48</v>
      </c>
      <c r="F6750">
        <v>0.01</v>
      </c>
    </row>
    <row r="6751" spans="1:6" x14ac:dyDescent="0.3">
      <c r="A6751" t="str">
        <f>HYPERLINK("https://us2.cloudbeds.com/connect/10074733072513#/reservations/30683316523163?display=YQVFS7P5S&amp;reservation_id=30683316523163", "YQVFS7P5S")</f>
        <v>YQVFS7P5S</v>
      </c>
      <c r="B6751" t="s">
        <v>1024</v>
      </c>
      <c r="C6751">
        <v>129</v>
      </c>
      <c r="D6751">
        <v>140.22999999999999</v>
      </c>
      <c r="E6751">
        <v>140.22</v>
      </c>
      <c r="F6751">
        <v>0.01</v>
      </c>
    </row>
    <row r="6752" spans="1:6" x14ac:dyDescent="0.3">
      <c r="A6752" t="str">
        <f>HYPERLINK("https://us2.cloudbeds.com/connect/10074733072513#/reservations/30682226192591?display=YQUKWRNBG&amp;reservation_id=30682226192591", "YQUKWRNBG")</f>
        <v>YQUKWRNBG</v>
      </c>
      <c r="B6752" t="s">
        <v>960</v>
      </c>
      <c r="C6752">
        <v>250</v>
      </c>
      <c r="D6752">
        <v>271.76</v>
      </c>
      <c r="E6752">
        <v>271.75</v>
      </c>
      <c r="F6752">
        <v>0.01</v>
      </c>
    </row>
    <row r="6753" spans="1:6" x14ac:dyDescent="0.3">
      <c r="A6753" t="str">
        <f>HYPERLINK("https://us2.cloudbeds.com/connect/10074733072513#/reservations/31671853179028?display=MH4U8HDU6&amp;reservation_id=31671853179028", "MH4U8HDU6")</f>
        <v>MH4U8HDU6</v>
      </c>
      <c r="B6753" t="s">
        <v>1028</v>
      </c>
      <c r="C6753">
        <v>278</v>
      </c>
      <c r="D6753">
        <v>302.2</v>
      </c>
      <c r="E6753">
        <v>302.19</v>
      </c>
      <c r="F6753">
        <v>0.01</v>
      </c>
    </row>
    <row r="6754" spans="1:6" x14ac:dyDescent="0.3">
      <c r="A6754" t="str">
        <f>HYPERLINK("https://us2.cloudbeds.com/connect/10074733072513#/reservations/30682373206227?display=YQUZZQJ35&amp;reservation_id=30682373206227", "YQUZZQJ35")</f>
        <v>YQUZZQJ35</v>
      </c>
      <c r="B6754" t="s">
        <v>998</v>
      </c>
      <c r="C6754">
        <v>149</v>
      </c>
      <c r="D6754">
        <v>161.97</v>
      </c>
      <c r="E6754">
        <v>161.96</v>
      </c>
      <c r="F6754">
        <v>0.01</v>
      </c>
    </row>
    <row r="6755" spans="1:6" x14ac:dyDescent="0.3">
      <c r="A6755" t="str">
        <f>HYPERLINK("https://us2.cloudbeds.com/connect/10074733072513#/reservations/30683303702691?display=YQVFHE0FN&amp;reservation_id=30683303702691", "YQVFHE0FN")</f>
        <v>YQVFHE0FN</v>
      </c>
      <c r="B6755" t="s">
        <v>1020</v>
      </c>
      <c r="C6755">
        <v>119</v>
      </c>
      <c r="D6755">
        <v>129.36000000000001</v>
      </c>
      <c r="E6755">
        <v>129.35</v>
      </c>
      <c r="F6755">
        <v>0.01</v>
      </c>
    </row>
    <row r="6756" spans="1:6" x14ac:dyDescent="0.3">
      <c r="A6756" t="str">
        <f>HYPERLINK("https://us2.cloudbeds.com/connect/10074733072513#/reservations/30682223136945?display=YQUKU8ME5&amp;reservation_id=30682223136945", "YQUKU8ME5")</f>
        <v>YQUKU8ME5</v>
      </c>
      <c r="B6756" t="s">
        <v>960</v>
      </c>
      <c r="C6756">
        <v>234.65</v>
      </c>
      <c r="D6756">
        <v>255.07</v>
      </c>
      <c r="E6756">
        <v>255.06</v>
      </c>
      <c r="F6756">
        <v>0.01</v>
      </c>
    </row>
    <row r="6757" spans="1:6" x14ac:dyDescent="0.3">
      <c r="A6757" t="str">
        <f>HYPERLINK("https://us2.cloudbeds.com/connect/10074733072513#/reservations/30683276579015?display=YQVERX8H4&amp;reservation_id=30683276579015", "YQVERX8H4")</f>
        <v>YQVERX8H4</v>
      </c>
      <c r="B6757" t="s">
        <v>1017</v>
      </c>
      <c r="C6757">
        <v>109.81</v>
      </c>
      <c r="D6757">
        <v>119.37</v>
      </c>
      <c r="E6757">
        <v>119.36</v>
      </c>
      <c r="F6757">
        <v>0.01</v>
      </c>
    </row>
    <row r="6758" spans="1:6" x14ac:dyDescent="0.3">
      <c r="A6758" t="str">
        <f>HYPERLINK("https://us2.cloudbeds.com/connect/10074733072513#/reservations/30682697666740?display=YQV01D5KU&amp;reservation_id=30682697666740", "YQV01D5KU")</f>
        <v>YQV01D5KU</v>
      </c>
      <c r="B6758" t="s">
        <v>1026</v>
      </c>
      <c r="C6758">
        <v>139</v>
      </c>
      <c r="D6758">
        <v>151.1</v>
      </c>
      <c r="E6758">
        <v>151.09</v>
      </c>
      <c r="F6758">
        <v>0.01</v>
      </c>
    </row>
    <row r="6759" spans="1:6" x14ac:dyDescent="0.3">
      <c r="A6759" t="str">
        <f>HYPERLINK("https://us2.cloudbeds.com/connect/10074733072513#/reservations/30682383208670?display=YQUP07U2G&amp;reservation_id=30682383208670", "YQUP07U2G")</f>
        <v>YQUP07U2G</v>
      </c>
      <c r="B6759" t="s">
        <v>998</v>
      </c>
      <c r="C6759">
        <v>149</v>
      </c>
      <c r="D6759">
        <v>161.97</v>
      </c>
      <c r="E6759">
        <v>161.96</v>
      </c>
      <c r="F6759">
        <v>0.01</v>
      </c>
    </row>
    <row r="6760" spans="1:6" x14ac:dyDescent="0.3">
      <c r="A6760" t="str">
        <f>HYPERLINK("https://us2.cloudbeds.com/connect/10074733072513#/reservations/30682761670888?display=YQV1MC5VX&amp;reservation_id=30682761670888", "YQV1MC5VX")</f>
        <v>YQV1MC5VX</v>
      </c>
      <c r="B6760" t="s">
        <v>1021</v>
      </c>
      <c r="C6760">
        <v>109</v>
      </c>
      <c r="D6760">
        <v>118.49</v>
      </c>
      <c r="E6760">
        <v>118.48</v>
      </c>
      <c r="F6760">
        <v>0.01</v>
      </c>
    </row>
    <row r="6761" spans="1:6" x14ac:dyDescent="0.3">
      <c r="A6761" t="str">
        <f>HYPERLINK("https://us2.cloudbeds.com/connect/10074733072513#/reservations/30682781753474?display=YQV26A08P&amp;reservation_id=30682781753474", "YQV26A08P")</f>
        <v>YQV26A08P</v>
      </c>
      <c r="B6761" t="s">
        <v>1021</v>
      </c>
      <c r="C6761">
        <v>101.75</v>
      </c>
      <c r="D6761">
        <v>110.61</v>
      </c>
      <c r="E6761">
        <v>110.6</v>
      </c>
      <c r="F6761">
        <v>0.01</v>
      </c>
    </row>
    <row r="6762" spans="1:6" x14ac:dyDescent="0.3">
      <c r="A6762" t="str">
        <f>HYPERLINK("https://us2.cloudbeds.com/connect/10074733072513#/reservations/30681769693397?display=YQU9ATV5J&amp;reservation_id=30681769693397", "YQU9ATV5J")</f>
        <v>YQU9ATV5J</v>
      </c>
      <c r="B6762" t="s">
        <v>969</v>
      </c>
      <c r="C6762">
        <v>119</v>
      </c>
      <c r="D6762">
        <v>129.36000000000001</v>
      </c>
      <c r="E6762">
        <v>129.35</v>
      </c>
      <c r="F6762">
        <v>0.01</v>
      </c>
    </row>
    <row r="6763" spans="1:6" x14ac:dyDescent="0.3">
      <c r="A6763" t="str">
        <f>HYPERLINK("https://us2.cloudbeds.com/connect/10074733072513#/reservations/30682742108323?display=YQV15SR5X&amp;reservation_id=30682742108323", "YQV15SR5X")</f>
        <v>YQV15SR5X</v>
      </c>
      <c r="B6763" t="s">
        <v>1021</v>
      </c>
      <c r="C6763">
        <v>73</v>
      </c>
      <c r="D6763">
        <v>79.36</v>
      </c>
      <c r="E6763">
        <v>79.349999999999994</v>
      </c>
      <c r="F6763">
        <v>0.01</v>
      </c>
    </row>
    <row r="6764" spans="1:6" x14ac:dyDescent="0.3">
      <c r="A6764" t="str">
        <f>HYPERLINK("https://us2.cloudbeds.com/connect/10074733072513#/reservations/30682811031783?display=YQV2UWNP8&amp;reservation_id=30682811031783", "YQV2UWNP8")</f>
        <v>YQV2UWNP8</v>
      </c>
      <c r="B6764" t="s">
        <v>987</v>
      </c>
      <c r="C6764">
        <v>129</v>
      </c>
      <c r="D6764">
        <v>140.22999999999999</v>
      </c>
      <c r="E6764">
        <v>140.22</v>
      </c>
      <c r="F6764">
        <v>0.01</v>
      </c>
    </row>
    <row r="6765" spans="1:6" x14ac:dyDescent="0.3">
      <c r="A6765" t="str">
        <f>HYPERLINK("https://us2.cloudbeds.com/connect/10074733072513#/reservations/30682754678996?display=YQV1GFKG1&amp;reservation_id=30682754678996", "YQV1GFKG1")</f>
        <v>YQV1GFKG1</v>
      </c>
      <c r="B6765" t="s">
        <v>1021</v>
      </c>
      <c r="C6765">
        <v>73</v>
      </c>
      <c r="D6765">
        <v>79.36</v>
      </c>
      <c r="E6765">
        <v>79.349999999999994</v>
      </c>
      <c r="F6765">
        <v>0.01</v>
      </c>
    </row>
    <row r="6766" spans="1:6" x14ac:dyDescent="0.3">
      <c r="A6766" t="str">
        <f>HYPERLINK("https://us2.cloudbeds.com/connect/10074733072513#/reservations/30683236323476?display=YQVDQK2UA&amp;reservation_id=30683236323476", "YQVDQK2UA")</f>
        <v>YQVDQK2UA</v>
      </c>
      <c r="B6766" t="s">
        <v>1017</v>
      </c>
      <c r="C6766">
        <v>73</v>
      </c>
      <c r="D6766">
        <v>79.36</v>
      </c>
      <c r="E6766">
        <v>79.349999999999994</v>
      </c>
      <c r="F6766">
        <v>0.01</v>
      </c>
    </row>
    <row r="6767" spans="1:6" x14ac:dyDescent="0.3">
      <c r="A6767" t="str">
        <f>HYPERLINK("https://us2.cloudbeds.com/connect/10074733072513#/reservations/30682742104210?display=YQV15SNCU&amp;reservation_id=30682742104210", "YQV15SNCU")</f>
        <v>YQV15SNCU</v>
      </c>
      <c r="B6767" t="s">
        <v>1021</v>
      </c>
      <c r="C6767">
        <v>73</v>
      </c>
      <c r="D6767">
        <v>79.36</v>
      </c>
      <c r="E6767">
        <v>79.349999999999994</v>
      </c>
      <c r="F6767">
        <v>0.01</v>
      </c>
    </row>
    <row r="6768" spans="1:6" x14ac:dyDescent="0.3">
      <c r="A6768" t="str">
        <f>HYPERLINK("https://us2.cloudbeds.com/connect/10074733072513#/reservations/31674183422173?display=MH6NQESPR&amp;reservation_id=31674183422173", "MH6NQESPR")</f>
        <v>MH6NQESPR</v>
      </c>
      <c r="B6768" t="s">
        <v>1006</v>
      </c>
      <c r="C6768">
        <v>139</v>
      </c>
      <c r="D6768">
        <v>151.1</v>
      </c>
      <c r="E6768">
        <v>151.09</v>
      </c>
      <c r="F6768">
        <v>0.01</v>
      </c>
    </row>
    <row r="6769" spans="1:6" x14ac:dyDescent="0.3">
      <c r="A6769" t="str">
        <f>HYPERLINK("https://us2.cloudbeds.com/connect/10074733072513#/reservations/30681991119098?display=YQUEWKEXA&amp;reservation_id=30681991119098", "YQUEWKEXA")</f>
        <v>YQUEWKEXA</v>
      </c>
      <c r="B6769" t="s">
        <v>969</v>
      </c>
      <c r="C6769">
        <v>119</v>
      </c>
      <c r="D6769">
        <v>129.36000000000001</v>
      </c>
      <c r="E6769">
        <v>129.35</v>
      </c>
      <c r="F6769">
        <v>0.01</v>
      </c>
    </row>
    <row r="6770" spans="1:6" x14ac:dyDescent="0.3">
      <c r="A6770" t="str">
        <f>HYPERLINK("https://us2.cloudbeds.com/connect/10074733072513#/reservations/30681464250500?display=YQU1HBX07&amp;reservation_id=30681464250500", "YQU1HBX07")</f>
        <v>YQU1HBX07</v>
      </c>
      <c r="B6770" t="s">
        <v>970</v>
      </c>
      <c r="C6770">
        <v>258</v>
      </c>
      <c r="D6770">
        <v>280.45999999999998</v>
      </c>
      <c r="E6770">
        <v>280.45</v>
      </c>
      <c r="F6770">
        <v>0.01</v>
      </c>
    </row>
    <row r="6771" spans="1:6" x14ac:dyDescent="0.3">
      <c r="A6771" t="str">
        <f>HYPERLINK("https://us2.cloudbeds.com/connect/10074733072513#/reservations/30682739831020?display=YQV13VEWC&amp;reservation_id=30682739831020", "YQV13VEWC")</f>
        <v>YQV13VEWC</v>
      </c>
      <c r="B6771" t="s">
        <v>1007</v>
      </c>
      <c r="C6771">
        <v>149</v>
      </c>
      <c r="D6771">
        <v>161.97</v>
      </c>
      <c r="E6771">
        <v>161.96</v>
      </c>
      <c r="F6771">
        <v>0.01</v>
      </c>
    </row>
    <row r="6772" spans="1:6" x14ac:dyDescent="0.3">
      <c r="A6772" t="str">
        <f>HYPERLINK("https://us2.cloudbeds.com/connect/10074733072513#/reservations/30682721173680?display=YQV0Y79EE&amp;reservation_id=30682721173680", "YQV0Y79EE")</f>
        <v>YQV0Y79EE</v>
      </c>
      <c r="B6772" t="s">
        <v>1007</v>
      </c>
      <c r="C6772">
        <v>119</v>
      </c>
      <c r="D6772">
        <v>129.36000000000001</v>
      </c>
      <c r="E6772">
        <v>129.35</v>
      </c>
      <c r="F6772">
        <v>0.01</v>
      </c>
    </row>
    <row r="6773" spans="1:6" x14ac:dyDescent="0.3">
      <c r="A6773" t="str">
        <f>HYPERLINK("https://us2.cloudbeds.com/connect/10074733072513#/reservations/30682708443271?display=YQV0AG1EF&amp;reservation_id=30682708443271", "YQV0AG1EF")</f>
        <v>YQV0AG1EF</v>
      </c>
      <c r="B6773" t="s">
        <v>1007</v>
      </c>
      <c r="C6773">
        <v>73</v>
      </c>
      <c r="D6773">
        <v>79.36</v>
      </c>
      <c r="E6773">
        <v>79.349999999999994</v>
      </c>
      <c r="F6773">
        <v>0.01</v>
      </c>
    </row>
    <row r="6774" spans="1:6" x14ac:dyDescent="0.3">
      <c r="A6774" t="str">
        <f>HYPERLINK("https://us2.cloudbeds.com/connect/10074733072513#/reservations/30682693685463?display=YQUWV1CZ5&amp;reservation_id=30682693685463", "YQUWV1CZ5")</f>
        <v>YQUWV1CZ5</v>
      </c>
      <c r="B6774" t="s">
        <v>1007</v>
      </c>
      <c r="C6774">
        <v>73</v>
      </c>
      <c r="D6774">
        <v>79.36</v>
      </c>
      <c r="E6774">
        <v>79.349999999999994</v>
      </c>
      <c r="F6774">
        <v>0.01</v>
      </c>
    </row>
    <row r="6775" spans="1:6" x14ac:dyDescent="0.3">
      <c r="A6775" t="str">
        <f>HYPERLINK("https://us2.cloudbeds.com/connect/10074733072513#/reservations/30682692329674?display=YQUWTTYZY&amp;reservation_id=30682692329674", "YQUWTTYZY")</f>
        <v>YQUWTTYZY</v>
      </c>
      <c r="B6775" t="s">
        <v>1026</v>
      </c>
      <c r="C6775">
        <v>158</v>
      </c>
      <c r="D6775">
        <v>171.76</v>
      </c>
      <c r="E6775">
        <v>171.75</v>
      </c>
      <c r="F6775">
        <v>0.01</v>
      </c>
    </row>
    <row r="6776" spans="1:6" x14ac:dyDescent="0.3">
      <c r="A6776" t="str">
        <f>HYPERLINK("https://us2.cloudbeds.com/connect/10074733072513#/reservations/30682661245163?display=YQUW3MMYP&amp;reservation_id=30682661245163", "YQUW3MMYP")</f>
        <v>YQUW3MMYP</v>
      </c>
      <c r="B6776" t="s">
        <v>1026</v>
      </c>
      <c r="C6776">
        <v>149</v>
      </c>
      <c r="D6776">
        <v>161.97</v>
      </c>
      <c r="E6776">
        <v>161.96</v>
      </c>
      <c r="F6776">
        <v>0.01</v>
      </c>
    </row>
    <row r="6777" spans="1:6" x14ac:dyDescent="0.3">
      <c r="A6777" t="str">
        <f>HYPERLINK("https://us2.cloudbeds.com/connect/10074733072513#/reservations/30681397592304?display=YQTWR4MHT&amp;reservation_id=30681397592304", "YQTWR4MHT")</f>
        <v>YQTWR4MHT</v>
      </c>
      <c r="B6777" t="s">
        <v>1031</v>
      </c>
      <c r="C6777">
        <v>125.12</v>
      </c>
      <c r="D6777">
        <v>136.02000000000001</v>
      </c>
      <c r="E6777">
        <v>136.01</v>
      </c>
      <c r="F6777">
        <v>0.01</v>
      </c>
    </row>
    <row r="6778" spans="1:6" x14ac:dyDescent="0.3">
      <c r="A6778" t="str">
        <f>HYPERLINK("https://us2.cloudbeds.com/connect/10074733072513#/reservations/30682662621317?display=YQUW4RWBD&amp;reservation_id=30682662621317", "YQUW4RWBD")</f>
        <v>YQUW4RWBD</v>
      </c>
      <c r="B6778" t="s">
        <v>1026</v>
      </c>
      <c r="C6778">
        <v>73</v>
      </c>
      <c r="D6778">
        <v>79.36</v>
      </c>
      <c r="E6778">
        <v>79.349999999999994</v>
      </c>
      <c r="F6778">
        <v>0.01</v>
      </c>
    </row>
    <row r="6779" spans="1:6" x14ac:dyDescent="0.3">
      <c r="A6779" t="str">
        <f>HYPERLINK("https://us2.cloudbeds.com/connect/10074733072513#/reservations/31676873822447?display=MH8QX27ES&amp;reservation_id=31676873822447", "MH8QX27ES")</f>
        <v>MH8QX27ES</v>
      </c>
      <c r="B6779" t="s">
        <v>925</v>
      </c>
      <c r="C6779">
        <v>258</v>
      </c>
      <c r="D6779">
        <v>280.45999999999998</v>
      </c>
      <c r="E6779">
        <v>280.45</v>
      </c>
      <c r="F6779">
        <v>0.01</v>
      </c>
    </row>
    <row r="6780" spans="1:6" x14ac:dyDescent="0.3">
      <c r="A6780" t="str">
        <f>HYPERLINK("https://us2.cloudbeds.com/connect/10074733072513#/reservations/30682690826404?display=YQUWSKRB0&amp;reservation_id=30682690826404", "YQUWSKRB0")</f>
        <v>YQUWSKRB0</v>
      </c>
      <c r="B6780" t="s">
        <v>1026</v>
      </c>
      <c r="C6780">
        <v>73</v>
      </c>
      <c r="D6780">
        <v>79.36</v>
      </c>
      <c r="E6780">
        <v>79.349999999999994</v>
      </c>
      <c r="F6780">
        <v>0.01</v>
      </c>
    </row>
    <row r="6781" spans="1:6" x14ac:dyDescent="0.3">
      <c r="A6781" t="str">
        <f>HYPERLINK("https://us2.cloudbeds.com/connect/10074733072513#/reservations/30682206572763?display=YQUKG9ZW8&amp;reservation_id=30682206572763", "YQUKG9ZW8")</f>
        <v>YQUKG9ZW8</v>
      </c>
      <c r="B6781" t="s">
        <v>950</v>
      </c>
      <c r="C6781">
        <v>238</v>
      </c>
      <c r="D6781">
        <v>258.72000000000003</v>
      </c>
      <c r="E6781">
        <v>258.70999999999998</v>
      </c>
      <c r="F6781">
        <v>0.01</v>
      </c>
    </row>
    <row r="6782" spans="1:6" x14ac:dyDescent="0.3">
      <c r="A6782" t="str">
        <f>HYPERLINK("https://us2.cloudbeds.com/connect/10074733072513#/reservations/30682669330658?display=YQUWAGMBP&amp;reservation_id=30682669330658", "YQUWAGMBP")</f>
        <v>YQUWAGMBP</v>
      </c>
      <c r="B6782" t="s">
        <v>1026</v>
      </c>
      <c r="C6782">
        <v>73</v>
      </c>
      <c r="D6782">
        <v>79.36</v>
      </c>
      <c r="E6782">
        <v>79.349999999999994</v>
      </c>
      <c r="F6782">
        <v>0.01</v>
      </c>
    </row>
    <row r="6783" spans="1:6" x14ac:dyDescent="0.3">
      <c r="A6783" t="str">
        <f>HYPERLINK("https://us2.cloudbeds.com/connect/10074733072513#/reservations/30682684088531?display=YQUWMVB41&amp;reservation_id=30682684088531", "YQUWMVB41")</f>
        <v>YQUWMVB41</v>
      </c>
      <c r="B6783" t="s">
        <v>1026</v>
      </c>
      <c r="C6783">
        <v>73</v>
      </c>
      <c r="D6783">
        <v>79.36</v>
      </c>
      <c r="E6783">
        <v>79.349999999999994</v>
      </c>
      <c r="F6783">
        <v>0.01</v>
      </c>
    </row>
    <row r="6784" spans="1:6" x14ac:dyDescent="0.3">
      <c r="A6784" t="str">
        <f>HYPERLINK("https://us2.cloudbeds.com/connect/10074733072513#/reservations/30681893372123?display=YQUCG6G2P&amp;reservation_id=30681893372123", "YQUCG6G2P")</f>
        <v>YQUCG6G2P</v>
      </c>
      <c r="B6784" t="s">
        <v>987</v>
      </c>
      <c r="C6784">
        <v>106.8</v>
      </c>
      <c r="D6784">
        <v>116.1</v>
      </c>
      <c r="E6784">
        <v>116.09</v>
      </c>
      <c r="F6784">
        <v>0.01</v>
      </c>
    </row>
    <row r="6785" spans="1:6" x14ac:dyDescent="0.3">
      <c r="A6785" t="str">
        <f>HYPERLINK("https://us2.cloudbeds.com/connect/10074733072513#/reservations/30682276155573?display=YQUM8W018&amp;reservation_id=30682276155573", "YQUM8W018")</f>
        <v>YQUM8W018</v>
      </c>
      <c r="B6785" t="s">
        <v>950</v>
      </c>
      <c r="C6785">
        <v>119</v>
      </c>
      <c r="D6785">
        <v>129.36000000000001</v>
      </c>
      <c r="E6785">
        <v>129.35</v>
      </c>
      <c r="F6785">
        <v>0.01</v>
      </c>
    </row>
    <row r="6786" spans="1:6" x14ac:dyDescent="0.3">
      <c r="A6786" t="str">
        <f>HYPERLINK("https://us2.cloudbeds.com/connect/10074733072513#/reservations/30681451323565?display=YQU16ERHU&amp;reservation_id=30681451323565", "YQU16ERHU")</f>
        <v>YQU16ERHU</v>
      </c>
      <c r="B6786" t="s">
        <v>1031</v>
      </c>
      <c r="C6786">
        <v>79.94</v>
      </c>
      <c r="D6786">
        <v>86.9</v>
      </c>
      <c r="E6786">
        <v>86.89</v>
      </c>
      <c r="F6786">
        <v>0.01</v>
      </c>
    </row>
    <row r="6787" spans="1:6" x14ac:dyDescent="0.3">
      <c r="A6787" t="str">
        <f>HYPERLINK("https://us2.cloudbeds.com/connect/10074733072513#/reservations/30682763722970?display=YQV1Z39AS&amp;reservation_id=30682763722970", "YQV1Z39AS")</f>
        <v>YQV1Z39AS</v>
      </c>
      <c r="B6787" t="s">
        <v>1033</v>
      </c>
      <c r="C6787">
        <v>178</v>
      </c>
      <c r="D6787">
        <v>193.5</v>
      </c>
      <c r="E6787">
        <v>193.49</v>
      </c>
      <c r="F6787">
        <v>0.01</v>
      </c>
    </row>
    <row r="6788" spans="1:6" x14ac:dyDescent="0.3">
      <c r="A6788" t="str">
        <f>HYPERLINK("https://us2.cloudbeds.com/connect/10074733072513#/reservations/30682121629897?display=YQUXAM360&amp;reservation_id=30682121629897", "YQUXAM360")</f>
        <v>YQUXAM360</v>
      </c>
      <c r="B6788" t="s">
        <v>972</v>
      </c>
      <c r="C6788">
        <v>139</v>
      </c>
      <c r="D6788">
        <v>151.1</v>
      </c>
      <c r="E6788">
        <v>151.09</v>
      </c>
      <c r="F6788">
        <v>0.01</v>
      </c>
    </row>
    <row r="6789" spans="1:6" x14ac:dyDescent="0.3">
      <c r="A6789" t="str">
        <f>HYPERLINK("https://us2.cloudbeds.com/connect/10074733072513#/reservations/30681934147728?display=YQUDHJ485&amp;reservation_id=30681934147728", "YQUDHJ485")</f>
        <v>YQUDHJ485</v>
      </c>
      <c r="B6789" t="s">
        <v>926</v>
      </c>
      <c r="C6789">
        <v>254.1</v>
      </c>
      <c r="D6789">
        <v>276.22000000000003</v>
      </c>
      <c r="E6789">
        <v>276.20999999999998</v>
      </c>
      <c r="F6789">
        <v>0.01</v>
      </c>
    </row>
    <row r="6790" spans="1:6" x14ac:dyDescent="0.3">
      <c r="A6790" t="str">
        <f>HYPERLINK("https://us2.cloudbeds.com/connect/10074733072513#/reservations/30681451163794?display=YQU16ACRC&amp;reservation_id=30681451163794", "YQU16ACRC")</f>
        <v>YQU16ACRC</v>
      </c>
      <c r="B6790" t="s">
        <v>970</v>
      </c>
      <c r="C6790">
        <v>139</v>
      </c>
      <c r="D6790">
        <v>151.1</v>
      </c>
      <c r="E6790">
        <v>151.09</v>
      </c>
      <c r="F6790">
        <v>0.01</v>
      </c>
    </row>
    <row r="6791" spans="1:6" x14ac:dyDescent="0.3">
      <c r="A6791" t="str">
        <f>HYPERLINK("https://us2.cloudbeds.com/connect/10074733072513#/reservations/31676734128276?display=MH8MW90W5&amp;reservation_id=31676734128276", "MH8MW90W5")</f>
        <v>MH8MW90W5</v>
      </c>
      <c r="B6791" t="s">
        <v>1034</v>
      </c>
      <c r="C6791">
        <v>258</v>
      </c>
      <c r="D6791">
        <v>280.45999999999998</v>
      </c>
      <c r="E6791">
        <v>280.45</v>
      </c>
      <c r="F6791">
        <v>0.01</v>
      </c>
    </row>
    <row r="6792" spans="1:6" x14ac:dyDescent="0.3">
      <c r="A6792" t="str">
        <f>HYPERLINK("https://us2.cloudbeds.com/connect/10074733072513#/reservations/31676717977753?display=MH8MXYKCC&amp;reservation_id=31676717977753", "MH8MXYKCC")</f>
        <v>MH8MXYKCC</v>
      </c>
      <c r="B6792" t="s">
        <v>1034</v>
      </c>
      <c r="C6792">
        <v>229.53</v>
      </c>
      <c r="D6792">
        <v>249.51</v>
      </c>
      <c r="E6792">
        <v>249.5</v>
      </c>
      <c r="F6792">
        <v>0.01</v>
      </c>
    </row>
    <row r="6793" spans="1:6" x14ac:dyDescent="0.3">
      <c r="A6793" t="str">
        <f>HYPERLINK("https://us2.cloudbeds.com/connect/10074733072513#/reservations/31677372502216?display=MH969XNV0&amp;reservation_id=31677372502216", "MH969XNV0")</f>
        <v>MH969XNV0</v>
      </c>
      <c r="B6793" t="s">
        <v>1035</v>
      </c>
      <c r="C6793">
        <v>149</v>
      </c>
      <c r="D6793">
        <v>161.97</v>
      </c>
      <c r="E6793">
        <v>161.96</v>
      </c>
      <c r="F6793">
        <v>0.01</v>
      </c>
    </row>
    <row r="6794" spans="1:6" x14ac:dyDescent="0.3">
      <c r="A6794" t="str">
        <f>HYPERLINK("https://us2.cloudbeds.com/connect/10074733072513#/reservations/30682798874830?display=YQV2KZEBZ&amp;reservation_id=30682798874830", "YQV2KZEBZ")</f>
        <v>YQV2KZEBZ</v>
      </c>
      <c r="B6794" t="s">
        <v>987</v>
      </c>
      <c r="C6794">
        <v>278</v>
      </c>
      <c r="D6794">
        <v>302.2</v>
      </c>
      <c r="E6794">
        <v>302.19</v>
      </c>
      <c r="F6794">
        <v>0.01</v>
      </c>
    </row>
    <row r="6795" spans="1:6" x14ac:dyDescent="0.3">
      <c r="A6795" t="str">
        <f>HYPERLINK("https://us2.cloudbeds.com/connect/10074733072513#/reservations/30683079930108?display=YQV9QZ70B&amp;reservation_id=30683079930108", "YQV9QZ70B")</f>
        <v>YQV9QZ70B</v>
      </c>
      <c r="B6795" t="s">
        <v>1036</v>
      </c>
      <c r="C6795">
        <v>89</v>
      </c>
      <c r="D6795">
        <v>96.75</v>
      </c>
      <c r="E6795">
        <v>96.74</v>
      </c>
      <c r="F6795">
        <v>0.01</v>
      </c>
    </row>
    <row r="6796" spans="1:6" x14ac:dyDescent="0.3">
      <c r="A6796" t="str">
        <f>HYPERLINK("https://us2.cloudbeds.com/connect/10074733072513#/reservations/30682131017861?display=YQUXXJATP&amp;reservation_id=30682131017861", "YQUXXJATP")</f>
        <v>YQUXXJATP</v>
      </c>
      <c r="B6796" t="s">
        <v>972</v>
      </c>
      <c r="C6796">
        <v>159</v>
      </c>
      <c r="D6796">
        <v>172.84</v>
      </c>
      <c r="E6796">
        <v>172.83</v>
      </c>
      <c r="F6796">
        <v>0.01</v>
      </c>
    </row>
    <row r="6797" spans="1:6" x14ac:dyDescent="0.3">
      <c r="A6797" t="str">
        <f>HYPERLINK("https://us2.cloudbeds.com/connect/10074733072513#/reservations/30681543852174?display=YQU3XFJ45&amp;reservation_id=30681543852174", "YQU3XFJ45")</f>
        <v>YQU3XFJ45</v>
      </c>
      <c r="B6797" t="s">
        <v>998</v>
      </c>
      <c r="C6797">
        <v>169</v>
      </c>
      <c r="D6797">
        <v>183.71</v>
      </c>
      <c r="E6797">
        <v>183.7</v>
      </c>
      <c r="F6797">
        <v>0.01</v>
      </c>
    </row>
    <row r="6798" spans="1:6" x14ac:dyDescent="0.3">
      <c r="A6798" t="str">
        <f>HYPERLINK("https://us2.cloudbeds.com/connect/10074733072513#/reservations/30683148681403?display=YQVBXNAGU&amp;reservation_id=30683148681403", "YQVBXNAGU")</f>
        <v>YQVBXNAGU</v>
      </c>
      <c r="B6798" t="s">
        <v>1033</v>
      </c>
      <c r="C6798">
        <v>149</v>
      </c>
      <c r="D6798">
        <v>161.97</v>
      </c>
      <c r="E6798">
        <v>161.96</v>
      </c>
      <c r="F6798">
        <v>0.01</v>
      </c>
    </row>
    <row r="6799" spans="1:6" x14ac:dyDescent="0.3">
      <c r="A6799" t="str">
        <f>HYPERLINK("https://us2.cloudbeds.com/connect/10074733072513#/reservations/31675812004031?display=MH7WDNXJ7&amp;reservation_id=31675812004031", "MH7WDNXJ7")</f>
        <v>MH7WDNXJ7</v>
      </c>
      <c r="B6799" t="s">
        <v>1037</v>
      </c>
      <c r="C6799">
        <v>101.75</v>
      </c>
      <c r="D6799">
        <v>110.61</v>
      </c>
      <c r="E6799">
        <v>110.6</v>
      </c>
      <c r="F6799">
        <v>0.01</v>
      </c>
    </row>
    <row r="6800" spans="1:6" x14ac:dyDescent="0.3">
      <c r="A6800" t="str">
        <f>HYPERLINK("https://us2.cloudbeds.com/connect/10074733072513#/reservations/30682743271561?display=YQV16S6B6&amp;reservation_id=30682743271561", "YQV16S6B6")</f>
        <v>YQV16S6B6</v>
      </c>
      <c r="B6800" t="s">
        <v>1033</v>
      </c>
      <c r="C6800">
        <v>73</v>
      </c>
      <c r="D6800">
        <v>79.36</v>
      </c>
      <c r="E6800">
        <v>79.349999999999994</v>
      </c>
      <c r="F6800">
        <v>0.01</v>
      </c>
    </row>
    <row r="6801" spans="1:6" x14ac:dyDescent="0.3">
      <c r="A6801" t="str">
        <f>HYPERLINK("https://us2.cloudbeds.com/connect/10074733072513#/reservations/30682664648881?display=YQUW6XD6Z&amp;reservation_id=30682664648881", "YQUW6XD6Z")</f>
        <v>YQUW6XD6Z</v>
      </c>
      <c r="B6801" t="s">
        <v>902</v>
      </c>
      <c r="C6801">
        <v>321.3</v>
      </c>
      <c r="D6801">
        <v>349.26</v>
      </c>
      <c r="E6801">
        <v>349.25</v>
      </c>
      <c r="F6801">
        <v>0.01</v>
      </c>
    </row>
    <row r="6802" spans="1:6" x14ac:dyDescent="0.3">
      <c r="A6802" t="str">
        <f>HYPERLINK("https://us2.cloudbeds.com/connect/10074733072513#/reservations/30681434149109?display=YQU0ZVUMS&amp;reservation_id=30681434149109", "YQU0ZVUMS")</f>
        <v>YQU0ZVUMS</v>
      </c>
      <c r="B6802" t="s">
        <v>1038</v>
      </c>
      <c r="C6802">
        <v>169.3</v>
      </c>
      <c r="D6802">
        <v>184.04</v>
      </c>
      <c r="E6802">
        <v>184.03</v>
      </c>
      <c r="F6802">
        <v>0.01</v>
      </c>
    </row>
    <row r="6803" spans="1:6" x14ac:dyDescent="0.3">
      <c r="A6803" t="str">
        <f>HYPERLINK("https://us2.cloudbeds.com/connect/10074733072513#/reservations/30682604445928?display=YQUUYQ5DR&amp;reservation_id=30682604445928", "YQUUYQ5DR")</f>
        <v>YQUUYQ5DR</v>
      </c>
      <c r="B6803" t="s">
        <v>1039</v>
      </c>
      <c r="C6803">
        <v>79.94</v>
      </c>
      <c r="D6803">
        <v>86.9</v>
      </c>
      <c r="E6803">
        <v>86.89</v>
      </c>
      <c r="F6803">
        <v>0.01</v>
      </c>
    </row>
    <row r="6804" spans="1:6" x14ac:dyDescent="0.3">
      <c r="A6804" t="str">
        <f>HYPERLINK("https://us2.cloudbeds.com/connect/10074733072513#/reservations/30683082768598?display=YQV9T46H6&amp;reservation_id=30683082768598", "YQV9T46H6")</f>
        <v>YQV9T46H6</v>
      </c>
      <c r="B6804" t="s">
        <v>1036</v>
      </c>
      <c r="C6804">
        <v>73</v>
      </c>
      <c r="D6804">
        <v>79.36</v>
      </c>
      <c r="E6804">
        <v>79.349999999999994</v>
      </c>
      <c r="F6804">
        <v>0.01</v>
      </c>
    </row>
    <row r="6805" spans="1:6" x14ac:dyDescent="0.3">
      <c r="A6805" t="str">
        <f>HYPERLINK("https://us2.cloudbeds.com/connect/10074733072513#/reservations/30683001876650?display=YQV7QU8J1&amp;reservation_id=30683001876650", "YQV7QU8J1")</f>
        <v>YQV7QU8J1</v>
      </c>
      <c r="B6805" t="s">
        <v>1016</v>
      </c>
      <c r="C6805">
        <v>73</v>
      </c>
      <c r="D6805">
        <v>79.36</v>
      </c>
      <c r="E6805">
        <v>79.349999999999994</v>
      </c>
      <c r="F6805">
        <v>0.01</v>
      </c>
    </row>
    <row r="6806" spans="1:6" x14ac:dyDescent="0.3">
      <c r="A6806" t="str">
        <f>HYPERLINK("https://us2.cloudbeds.com/connect/10074733072513#/reservations/30682618945729?display=YQUV10Y6Z&amp;reservation_id=30682618945729", "YQUV10Y6Z")</f>
        <v>YQUV10Y6Z</v>
      </c>
      <c r="B6806" t="s">
        <v>902</v>
      </c>
      <c r="C6806">
        <v>89</v>
      </c>
      <c r="D6806">
        <v>96.75</v>
      </c>
      <c r="E6806">
        <v>96.74</v>
      </c>
      <c r="F6806">
        <v>0.01</v>
      </c>
    </row>
    <row r="6807" spans="1:6" x14ac:dyDescent="0.3">
      <c r="A6807" t="str">
        <f>HYPERLINK("https://us2.cloudbeds.com/connect/10074733072513#/reservations/30683119116484?display=YQVAQPKR9&amp;reservation_id=30683119116484", "YQVAQPKR9")</f>
        <v>YQVAQPKR9</v>
      </c>
      <c r="B6807" t="s">
        <v>1036</v>
      </c>
      <c r="C6807">
        <v>218</v>
      </c>
      <c r="D6807">
        <v>236.98</v>
      </c>
      <c r="E6807">
        <v>236.97</v>
      </c>
      <c r="F6807">
        <v>0.01</v>
      </c>
    </row>
    <row r="6808" spans="1:6" x14ac:dyDescent="0.3">
      <c r="A6808" t="str">
        <f>HYPERLINK("https://us2.cloudbeds.com/connect/10074733072513#/reservations/30682988146903?display=YQV7FB6U3&amp;reservation_id=30682988146903", "YQV7FB6U3")</f>
        <v>YQV7FB6U3</v>
      </c>
      <c r="B6808" t="s">
        <v>1016</v>
      </c>
      <c r="C6808">
        <v>73</v>
      </c>
      <c r="D6808">
        <v>79.36</v>
      </c>
      <c r="E6808">
        <v>79.349999999999994</v>
      </c>
      <c r="F6808">
        <v>0.01</v>
      </c>
    </row>
    <row r="6809" spans="1:6" x14ac:dyDescent="0.3">
      <c r="A6809" t="str">
        <f>HYPERLINK("https://us2.cloudbeds.com/connect/10074733072513#/reservations/30682513821946?display=YQUSBCDQX&amp;reservation_id=30682513821946", "YQUSBCDQX")</f>
        <v>YQUSBCDQX</v>
      </c>
      <c r="B6809" t="s">
        <v>1018</v>
      </c>
      <c r="C6809">
        <v>321.3</v>
      </c>
      <c r="D6809">
        <v>349.26</v>
      </c>
      <c r="E6809">
        <v>349.25</v>
      </c>
      <c r="F6809">
        <v>0.01</v>
      </c>
    </row>
    <row r="6810" spans="1:6" x14ac:dyDescent="0.3">
      <c r="A6810" t="str">
        <f>HYPERLINK("https://us2.cloudbeds.com/connect/10074733072513#/reservations/30683107958946?display=YQVAHC552&amp;reservation_id=30683107958946", "YQVAHC552")</f>
        <v>YQVAHC552</v>
      </c>
      <c r="B6810" t="s">
        <v>1036</v>
      </c>
      <c r="C6810">
        <v>73</v>
      </c>
      <c r="D6810">
        <v>79.36</v>
      </c>
      <c r="E6810">
        <v>79.349999999999994</v>
      </c>
      <c r="F6810">
        <v>0.01</v>
      </c>
    </row>
    <row r="6811" spans="1:6" x14ac:dyDescent="0.3">
      <c r="A6811" t="str">
        <f>HYPERLINK("https://us2.cloudbeds.com/connect/10074733072513#/reservations/30682538361039?display=YQUSW28DE&amp;reservation_id=30682538361039", "YQUSW28DE")</f>
        <v>YQUSW28DE</v>
      </c>
      <c r="B6811" t="s">
        <v>1018</v>
      </c>
      <c r="C6811">
        <v>205.2</v>
      </c>
      <c r="D6811">
        <v>223.06</v>
      </c>
      <c r="E6811">
        <v>223.05</v>
      </c>
      <c r="F6811">
        <v>0.01</v>
      </c>
    </row>
    <row r="6812" spans="1:6" x14ac:dyDescent="0.3">
      <c r="A6812" t="str">
        <f>HYPERLINK("https://us2.cloudbeds.com/connect/10074733072513#/reservations/30682501394587?display=YQUS0TK2U&amp;reservation_id=30682501394587", "YQUS0TK2U")</f>
        <v>YQUS0TK2U</v>
      </c>
      <c r="B6812" t="s">
        <v>1018</v>
      </c>
      <c r="C6812">
        <v>129</v>
      </c>
      <c r="D6812">
        <v>140.22999999999999</v>
      </c>
      <c r="E6812">
        <v>140.22</v>
      </c>
      <c r="F6812">
        <v>0.01</v>
      </c>
    </row>
    <row r="6813" spans="1:6" x14ac:dyDescent="0.3">
      <c r="A6813" t="str">
        <f>HYPERLINK("https://us2.cloudbeds.com/connect/10074733072513#/reservations/30683044700288?display=YQV8ZFGY1&amp;reservation_id=30683044700288", "YQV8ZFGY1")</f>
        <v>YQV8ZFGY1</v>
      </c>
      <c r="B6813" t="s">
        <v>1025</v>
      </c>
      <c r="C6813">
        <v>269.83999999999997</v>
      </c>
      <c r="D6813">
        <v>293.33</v>
      </c>
      <c r="E6813">
        <v>293.32</v>
      </c>
      <c r="F6813">
        <v>0.01</v>
      </c>
    </row>
    <row r="6814" spans="1:6" x14ac:dyDescent="0.3">
      <c r="A6814" t="str">
        <f>HYPERLINK("https://us2.cloudbeds.com/connect/10074733072513#/reservations/30681922326743?display=YQUD7K6BG&amp;reservation_id=30681922326743", "YQUD7K6BG")</f>
        <v>YQUD7K6BG</v>
      </c>
      <c r="B6814" t="s">
        <v>926</v>
      </c>
      <c r="C6814">
        <v>159</v>
      </c>
      <c r="D6814">
        <v>172.84</v>
      </c>
      <c r="E6814">
        <v>172.83</v>
      </c>
      <c r="F6814">
        <v>0.01</v>
      </c>
    </row>
    <row r="6815" spans="1:6" x14ac:dyDescent="0.3">
      <c r="A6815" t="str">
        <f>HYPERLINK("https://us2.cloudbeds.com/connect/10074733072513#/reservations/30682206568667?display=YQUKG9Y74&amp;reservation_id=30682206568667", "YQUKG9Y74")</f>
        <v>YQUKG9Y74</v>
      </c>
      <c r="B6815" t="s">
        <v>950</v>
      </c>
      <c r="C6815">
        <v>129</v>
      </c>
      <c r="D6815">
        <v>140.22999999999999</v>
      </c>
      <c r="E6815">
        <v>140.22</v>
      </c>
      <c r="F6815">
        <v>0.01</v>
      </c>
    </row>
    <row r="6816" spans="1:6" x14ac:dyDescent="0.3">
      <c r="A6816" t="str">
        <f>HYPERLINK("https://us2.cloudbeds.com/connect/10074733072513#/reservations/30682647695580?display=YQUVP8YEB&amp;reservation_id=30682647695580", "YQUVP8YEB")</f>
        <v>YQUVP8YEB</v>
      </c>
      <c r="B6816" t="s">
        <v>902</v>
      </c>
      <c r="C6816">
        <v>258</v>
      </c>
      <c r="D6816">
        <v>280.45999999999998</v>
      </c>
      <c r="E6816">
        <v>280.45</v>
      </c>
      <c r="F6816">
        <v>0.01</v>
      </c>
    </row>
    <row r="6817" spans="1:6" x14ac:dyDescent="0.3">
      <c r="A6817" t="str">
        <f>HYPERLINK("https://us2.cloudbeds.com/connect/10074733072513#/reservations/30682481955040?display=YQURHGM8Z&amp;reservation_id=30682481955040", "YQURHGM8Z")</f>
        <v>YQURHGM8Z</v>
      </c>
      <c r="B6817" t="s">
        <v>1023</v>
      </c>
      <c r="C6817">
        <v>222</v>
      </c>
      <c r="D6817">
        <v>241.32</v>
      </c>
      <c r="E6817">
        <v>241.31</v>
      </c>
      <c r="F6817">
        <v>0.01</v>
      </c>
    </row>
    <row r="6818" spans="1:6" x14ac:dyDescent="0.3">
      <c r="A6818" t="str">
        <f>HYPERLINK("https://us2.cloudbeds.com/connect/10074733072513#/reservations/30682501398679?display=YQUS0TNRU&amp;reservation_id=30682501398679", "YQUS0TNRU")</f>
        <v>YQUS0TNRU</v>
      </c>
      <c r="B6818" t="s">
        <v>1023</v>
      </c>
      <c r="C6818">
        <v>222</v>
      </c>
      <c r="D6818">
        <v>241.32</v>
      </c>
      <c r="E6818">
        <v>241.31</v>
      </c>
      <c r="F6818">
        <v>0.01</v>
      </c>
    </row>
    <row r="6819" spans="1:6" x14ac:dyDescent="0.3">
      <c r="A6819" t="str">
        <f>HYPERLINK("https://us2.cloudbeds.com/connect/10074733072513#/reservations/30682439725301?display=YQUQETXQM&amp;reservation_id=30682439725301", "YQUQETXQM")</f>
        <v>YQUQETXQM</v>
      </c>
      <c r="B6819" t="s">
        <v>1023</v>
      </c>
      <c r="C6819">
        <v>222</v>
      </c>
      <c r="D6819">
        <v>241.32</v>
      </c>
      <c r="E6819">
        <v>241.31</v>
      </c>
      <c r="F6819">
        <v>0.01</v>
      </c>
    </row>
    <row r="6820" spans="1:6" x14ac:dyDescent="0.3">
      <c r="A6820" t="str">
        <f>HYPERLINK("https://us2.cloudbeds.com/connect/10074733072513#/reservations/30681581219988?display=YQU4GWD03&amp;reservation_id=30681581219988", "YQU4GWD03")</f>
        <v>YQU4GWD03</v>
      </c>
      <c r="B6820" t="s">
        <v>1023</v>
      </c>
      <c r="C6820">
        <v>109</v>
      </c>
      <c r="D6820">
        <v>118.49</v>
      </c>
      <c r="E6820">
        <v>118.48</v>
      </c>
      <c r="F6820">
        <v>0.01</v>
      </c>
    </row>
    <row r="6821" spans="1:6" x14ac:dyDescent="0.3">
      <c r="A6821" t="str">
        <f>HYPERLINK("https://us2.cloudbeds.com/connect/10074733072513#/reservations/30681558425780?display=YQU3UP3MJ&amp;reservation_id=30681558425780", "YQU3UP3MJ")</f>
        <v>YQU3UP3MJ</v>
      </c>
      <c r="B6821" t="s">
        <v>1004</v>
      </c>
      <c r="C6821">
        <v>179</v>
      </c>
      <c r="D6821">
        <v>194.58</v>
      </c>
      <c r="E6821">
        <v>194.57</v>
      </c>
      <c r="F6821">
        <v>0.01</v>
      </c>
    </row>
    <row r="6822" spans="1:6" x14ac:dyDescent="0.3">
      <c r="A6822" t="str">
        <f>HYPERLINK("https://us2.cloudbeds.com/connect/10074733072513#/reservations/30683011809475?display=YQV829YKZ&amp;reservation_id=30683011809475", "YQV829YKZ")</f>
        <v>YQV829YKZ</v>
      </c>
      <c r="B6822" t="s">
        <v>1025</v>
      </c>
      <c r="C6822">
        <v>109</v>
      </c>
      <c r="D6822">
        <v>118.49</v>
      </c>
      <c r="E6822">
        <v>118.48</v>
      </c>
      <c r="F6822">
        <v>0.01</v>
      </c>
    </row>
    <row r="6823" spans="1:6" x14ac:dyDescent="0.3">
      <c r="A6823" t="str">
        <f>HYPERLINK("https://us2.cloudbeds.com/connect/10074733072513#/reservations/31674768457934?display=MH75ZPBN7&amp;reservation_id=31674768457934", "MH75ZPBN7")</f>
        <v>MH75ZPBN7</v>
      </c>
      <c r="B6823" t="s">
        <v>982</v>
      </c>
      <c r="C6823">
        <v>159</v>
      </c>
      <c r="D6823">
        <v>172.84</v>
      </c>
      <c r="E6823">
        <v>172.83</v>
      </c>
      <c r="F6823">
        <v>0.01</v>
      </c>
    </row>
    <row r="6824" spans="1:6" x14ac:dyDescent="0.3">
      <c r="A6824" t="str">
        <f>HYPERLINK("https://us2.cloudbeds.com/connect/10074733072513#/reservations/30682335731916?display=YQUNQ6QDU&amp;reservation_id=30682335731916", "YQUNQ6QDU")</f>
        <v>YQUNQ6QDU</v>
      </c>
      <c r="B6824" t="s">
        <v>1023</v>
      </c>
      <c r="C6824">
        <v>278</v>
      </c>
      <c r="D6824">
        <v>302.2</v>
      </c>
      <c r="E6824">
        <v>302.19</v>
      </c>
      <c r="F6824">
        <v>0.01</v>
      </c>
    </row>
    <row r="6825" spans="1:6" x14ac:dyDescent="0.3">
      <c r="A6825" t="str">
        <f>HYPERLINK("https://us2.cloudbeds.com/connect/10074733072513#/reservations/31673295261928?display=MH613HGY0&amp;reservation_id=31673295261928", "MH613HGY0")</f>
        <v>MH613HGY0</v>
      </c>
      <c r="B6825" t="s">
        <v>981</v>
      </c>
      <c r="C6825">
        <v>129</v>
      </c>
      <c r="D6825">
        <v>140.22999999999999</v>
      </c>
      <c r="E6825">
        <v>140.22</v>
      </c>
      <c r="F6825">
        <v>0.01</v>
      </c>
    </row>
    <row r="6826" spans="1:6" x14ac:dyDescent="0.3">
      <c r="A6826" t="str">
        <f>HYPERLINK("https://us2.cloudbeds.com/connect/10074733072513#/reservations/30682555662538?display=YQUTDYMU9&amp;reservation_id=30682555662538", "YQUTDYMU9")</f>
        <v>YQUTDYMU9</v>
      </c>
      <c r="B6826" t="s">
        <v>1042</v>
      </c>
      <c r="C6826">
        <v>218</v>
      </c>
      <c r="D6826">
        <v>236.98</v>
      </c>
      <c r="E6826">
        <v>236.97</v>
      </c>
      <c r="F6826">
        <v>0.01</v>
      </c>
    </row>
    <row r="6827" spans="1:6" x14ac:dyDescent="0.3">
      <c r="A6827" t="str">
        <f>HYPERLINK("https://us2.cloudbeds.com/connect/10074733072513#/reservations/31674647261414?display=MH72YXT4D&amp;reservation_id=31674647261414", "MH72YXT4D")</f>
        <v>MH72YXT4D</v>
      </c>
      <c r="B6827" t="s">
        <v>982</v>
      </c>
      <c r="C6827">
        <v>109</v>
      </c>
      <c r="D6827">
        <v>118.49</v>
      </c>
      <c r="E6827">
        <v>118.48</v>
      </c>
      <c r="F6827">
        <v>0.01</v>
      </c>
    </row>
    <row r="6828" spans="1:6" x14ac:dyDescent="0.3">
      <c r="A6828" t="str">
        <f>HYPERLINK("https://us2.cloudbeds.com/connect/10074733072513#/reservations/30682539524252?display=YQUT01KXA&amp;reservation_id=30682539524252", "YQUT01KXA")</f>
        <v>YQUT01KXA</v>
      </c>
      <c r="B6828" t="s">
        <v>1042</v>
      </c>
      <c r="C6828">
        <v>109</v>
      </c>
      <c r="D6828">
        <v>118.49</v>
      </c>
      <c r="E6828">
        <v>118.48</v>
      </c>
      <c r="F6828">
        <v>0.01</v>
      </c>
    </row>
    <row r="6829" spans="1:6" x14ac:dyDescent="0.3">
      <c r="A6829" t="str">
        <f>HYPERLINK("https://us2.cloudbeds.com/connect/10074733072513#/reservations/31675550367902?display=MH7PZ350M&amp;reservation_id=31675550367902", "MH7PZ350M")</f>
        <v>MH7PZ350M</v>
      </c>
      <c r="B6829" t="s">
        <v>982</v>
      </c>
      <c r="C6829">
        <v>318</v>
      </c>
      <c r="D6829">
        <v>345.68</v>
      </c>
      <c r="E6829">
        <v>345.67</v>
      </c>
      <c r="F6829">
        <v>0.01</v>
      </c>
    </row>
    <row r="6830" spans="1:6" x14ac:dyDescent="0.3">
      <c r="A6830" t="str">
        <f>HYPERLINK("https://us2.cloudbeds.com/connect/10074733072513#/reservations/31674647265507?display=MH72YXWTE&amp;reservation_id=31674647265507", "MH72YXWTE")</f>
        <v>MH72YXWTE</v>
      </c>
      <c r="B6830" t="s">
        <v>982</v>
      </c>
      <c r="C6830">
        <v>358</v>
      </c>
      <c r="D6830">
        <v>389.16</v>
      </c>
      <c r="E6830">
        <v>389.15</v>
      </c>
      <c r="F6830">
        <v>0.01</v>
      </c>
    </row>
    <row r="6831" spans="1:6" x14ac:dyDescent="0.3">
      <c r="A6831" t="str">
        <f>HYPERLINK("https://us2.cloudbeds.com/connect/10074733072513#/reservations/30682533175495?display=YQUSRMVYZ&amp;reservation_id=30682533175495", "YQUSRMVYZ")</f>
        <v>YQUSRMVYZ</v>
      </c>
      <c r="B6831" t="s">
        <v>1042</v>
      </c>
      <c r="C6831">
        <v>109</v>
      </c>
      <c r="D6831">
        <v>118.49</v>
      </c>
      <c r="E6831">
        <v>118.48</v>
      </c>
      <c r="F6831">
        <v>0.01</v>
      </c>
    </row>
    <row r="6832" spans="1:6" x14ac:dyDescent="0.3">
      <c r="A6832" t="str">
        <f>HYPERLINK("https://us2.cloudbeds.com/connect/10074733072513#/reservations/30682617008272?display=YQUUWCZ2U&amp;reservation_id=30682617008272", "YQUUWCZ2U")</f>
        <v>YQUUWCZ2U</v>
      </c>
      <c r="B6832" t="s">
        <v>1039</v>
      </c>
      <c r="C6832">
        <v>87.84</v>
      </c>
      <c r="D6832">
        <v>95.49</v>
      </c>
      <c r="E6832">
        <v>95.48</v>
      </c>
      <c r="F6832">
        <v>0.01</v>
      </c>
    </row>
    <row r="6833" spans="1:6" x14ac:dyDescent="0.3">
      <c r="A6833" t="str">
        <f>HYPERLINK("https://us2.cloudbeds.com/connect/10074733072513#/reservations/30681846485243?display=YQUB9YQ37&amp;reservation_id=30681846485243", "YQUB9YQ37")</f>
        <v>YQUB9YQ37</v>
      </c>
      <c r="B6833" t="s">
        <v>926</v>
      </c>
      <c r="C6833">
        <v>328</v>
      </c>
      <c r="D6833">
        <v>356.55</v>
      </c>
      <c r="E6833">
        <v>356.54</v>
      </c>
      <c r="F6833">
        <v>0.01</v>
      </c>
    </row>
    <row r="6834" spans="1:6" x14ac:dyDescent="0.3">
      <c r="A6834" t="str">
        <f>HYPERLINK("https://us2.cloudbeds.com/connect/10074733072513#/reservations/30682495733956?display=YQURT432Y&amp;reservation_id=30682495733956", "YQURT432Y")</f>
        <v>YQURT432Y</v>
      </c>
      <c r="B6834" t="s">
        <v>1043</v>
      </c>
      <c r="C6834">
        <v>109</v>
      </c>
      <c r="D6834">
        <v>118.49</v>
      </c>
      <c r="E6834">
        <v>118.48</v>
      </c>
      <c r="F6834">
        <v>0.01</v>
      </c>
    </row>
    <row r="6835" spans="1:6" x14ac:dyDescent="0.3">
      <c r="A6835" t="str">
        <f>HYPERLINK("https://us2.cloudbeds.com/connect/10074733072513#/reservations/30681757937893?display=YQU90WRD6&amp;reservation_id=30681757937893", "YQU90WRD6")</f>
        <v>YQU90WRD6</v>
      </c>
      <c r="B6835" t="s">
        <v>926</v>
      </c>
      <c r="C6835">
        <v>169</v>
      </c>
      <c r="D6835">
        <v>183.71</v>
      </c>
      <c r="E6835">
        <v>183.7</v>
      </c>
      <c r="F6835">
        <v>0.01</v>
      </c>
    </row>
    <row r="6836" spans="1:6" x14ac:dyDescent="0.3">
      <c r="A6836" t="str">
        <f>HYPERLINK("https://us2.cloudbeds.com/connect/10074733072513#/reservations/30682648498311?display=YQUVPUWXH&amp;reservation_id=30682648498311", "YQUVPUWXH")</f>
        <v>YQUVPUWXH</v>
      </c>
      <c r="B6836" t="s">
        <v>1043</v>
      </c>
      <c r="C6836">
        <v>73</v>
      </c>
      <c r="D6836">
        <v>79.36</v>
      </c>
      <c r="E6836">
        <v>79.349999999999994</v>
      </c>
      <c r="F6836">
        <v>0.01</v>
      </c>
    </row>
    <row r="6837" spans="1:6" x14ac:dyDescent="0.3">
      <c r="A6837" t="str">
        <f>HYPERLINK("https://us2.cloudbeds.com/connect/10074733072513#/reservations/30682627244227?display=YQUV80XGC&amp;reservation_id=30682627244227", "YQUV80XGC")</f>
        <v>YQUV80XGC</v>
      </c>
      <c r="B6837" t="s">
        <v>1039</v>
      </c>
      <c r="C6837">
        <v>109</v>
      </c>
      <c r="D6837">
        <v>118.49</v>
      </c>
      <c r="E6837">
        <v>118.48</v>
      </c>
      <c r="F6837">
        <v>0.01</v>
      </c>
    </row>
    <row r="6838" spans="1:6" x14ac:dyDescent="0.3">
      <c r="A6838" t="str">
        <f>HYPERLINK("https://us2.cloudbeds.com/connect/10074733072513#/reservations/30682580644021?display=YQUU1NRZU&amp;reservation_id=30682580644021", "YQUU1NRZU")</f>
        <v>YQUU1NRZU</v>
      </c>
      <c r="B6838" t="s">
        <v>1039</v>
      </c>
      <c r="C6838">
        <v>109</v>
      </c>
      <c r="D6838">
        <v>118.49</v>
      </c>
      <c r="E6838">
        <v>118.48</v>
      </c>
      <c r="F6838">
        <v>0.01</v>
      </c>
    </row>
    <row r="6839" spans="1:6" x14ac:dyDescent="0.3">
      <c r="A6839" t="str">
        <f>HYPERLINK("https://us2.cloudbeds.com/connect/10074733072513#/reservations/30682397212814?display=YQUPC1JNG&amp;reservation_id=30682397212814", "YQUPC1JNG")</f>
        <v>YQUPC1JNG</v>
      </c>
      <c r="B6839" t="s">
        <v>1023</v>
      </c>
      <c r="C6839">
        <v>109</v>
      </c>
      <c r="D6839">
        <v>118.49</v>
      </c>
      <c r="E6839">
        <v>118.48</v>
      </c>
      <c r="F6839">
        <v>0.01</v>
      </c>
    </row>
    <row r="6840" spans="1:6" x14ac:dyDescent="0.3">
      <c r="A6840" t="str">
        <f>HYPERLINK("https://us2.cloudbeds.com/connect/10074733072513#/reservations/30682397216903?display=YQUPC1NFD&amp;reservation_id=30682397216903", "YQUPC1NFD")</f>
        <v>YQUPC1NFD</v>
      </c>
      <c r="B6840" t="s">
        <v>1039</v>
      </c>
      <c r="C6840">
        <v>129</v>
      </c>
      <c r="D6840">
        <v>140.22999999999999</v>
      </c>
      <c r="E6840">
        <v>140.22</v>
      </c>
      <c r="F6840">
        <v>0.01</v>
      </c>
    </row>
    <row r="6841" spans="1:6" x14ac:dyDescent="0.3">
      <c r="A6841" t="str">
        <f>HYPERLINK("https://us2.cloudbeds.com/connect/10074733072513#/reservations/30682164342947?display=YQUJDMYES&amp;reservation_id=30682164342947", "YQUJDMYES")</f>
        <v>YQUJDMYES</v>
      </c>
      <c r="B6841" t="s">
        <v>972</v>
      </c>
      <c r="C6841">
        <v>278</v>
      </c>
      <c r="D6841">
        <v>302.2</v>
      </c>
      <c r="E6841">
        <v>302.19</v>
      </c>
      <c r="F6841">
        <v>0.01</v>
      </c>
    </row>
    <row r="6842" spans="1:6" x14ac:dyDescent="0.3">
      <c r="A6842" t="str">
        <f>HYPERLINK("https://us2.cloudbeds.com/connect/10074733072513#/reservations/30682633732258?display=YQUVDG39C&amp;reservation_id=30682633732258", "YQUVDG39C")</f>
        <v>YQUVDG39C</v>
      </c>
      <c r="B6842" t="s">
        <v>1039</v>
      </c>
      <c r="C6842">
        <v>109</v>
      </c>
      <c r="D6842">
        <v>118.49</v>
      </c>
      <c r="E6842">
        <v>118.48</v>
      </c>
      <c r="F6842">
        <v>0.01</v>
      </c>
    </row>
    <row r="6843" spans="1:6" x14ac:dyDescent="0.3">
      <c r="A6843" t="str">
        <f>HYPERLINK("https://us2.cloudbeds.com/connect/10074733072513#/reservations/30681613992160?display=YQU5BKAR9&amp;reservation_id=30681613992160", "YQU5BKAR9")</f>
        <v>YQU5BKAR9</v>
      </c>
      <c r="B6843" t="s">
        <v>738</v>
      </c>
      <c r="C6843">
        <v>149</v>
      </c>
      <c r="D6843">
        <v>161.97</v>
      </c>
      <c r="E6843">
        <v>161.96</v>
      </c>
      <c r="F6843">
        <v>0.01</v>
      </c>
    </row>
    <row r="6844" spans="1:6" x14ac:dyDescent="0.3">
      <c r="A6844" t="str">
        <f>HYPERLINK("https://us2.cloudbeds.com/connect/10074733072513#/reservations/30682394460329?display=YQUP9Z05S&amp;reservation_id=30682394460329", "YQUP9Z05S")</f>
        <v>YQUP9Z05S</v>
      </c>
      <c r="B6844" t="s">
        <v>998</v>
      </c>
      <c r="C6844">
        <v>149</v>
      </c>
      <c r="D6844">
        <v>161.97</v>
      </c>
      <c r="E6844">
        <v>161.96</v>
      </c>
      <c r="F6844">
        <v>0.01</v>
      </c>
    </row>
    <row r="6845" spans="1:6" x14ac:dyDescent="0.3">
      <c r="A6845" t="str">
        <f>HYPERLINK("https://us2.cloudbeds.com/connect/10074733072513#/reservations/30681480810655?display=YQU1VABP2&amp;reservation_id=30681480810655", "YQU1VABP2")</f>
        <v>YQU1VABP2</v>
      </c>
      <c r="B6845" t="s">
        <v>1041</v>
      </c>
      <c r="C6845">
        <v>109</v>
      </c>
      <c r="D6845">
        <v>118.49</v>
      </c>
      <c r="E6845">
        <v>118.48</v>
      </c>
      <c r="F6845">
        <v>0.01</v>
      </c>
    </row>
    <row r="6846" spans="1:6" x14ac:dyDescent="0.3">
      <c r="A6846" t="str">
        <f>HYPERLINK("https://us2.cloudbeds.com/connect/10074733072513#/reservations/30681664458894?display=YQU6Y5Y38&amp;reservation_id=30681664458894", "YQU6Y5Y38")</f>
        <v>YQU6Y5Y38</v>
      </c>
      <c r="B6846" t="s">
        <v>972</v>
      </c>
      <c r="C6846">
        <v>169</v>
      </c>
      <c r="D6846">
        <v>183.71</v>
      </c>
      <c r="E6846">
        <v>183.7</v>
      </c>
      <c r="F6846">
        <v>0.01</v>
      </c>
    </row>
    <row r="6847" spans="1:6" x14ac:dyDescent="0.3">
      <c r="A6847" t="str">
        <f>HYPERLINK("https://us2.cloudbeds.com/connect/10074733072513#/reservations/30681746997417?display=YQU8ZPD1K&amp;reservation_id=30681746997417", "YQU8ZPD1K")</f>
        <v>YQU8ZPD1K</v>
      </c>
      <c r="B6847" t="s">
        <v>926</v>
      </c>
      <c r="C6847">
        <v>149</v>
      </c>
      <c r="D6847">
        <v>161.97</v>
      </c>
      <c r="E6847">
        <v>161.96</v>
      </c>
      <c r="F6847">
        <v>0.01</v>
      </c>
    </row>
    <row r="6848" spans="1:6" x14ac:dyDescent="0.3">
      <c r="A6848" t="str">
        <f>HYPERLINK("https://us2.cloudbeds.com/connect/10074733072513#/reservations/30681871581327?display=YQUBUR45K&amp;reservation_id=30681871581327", "YQUBUR45K")</f>
        <v>YQUBUR45K</v>
      </c>
      <c r="B6848" t="s">
        <v>1044</v>
      </c>
      <c r="C6848">
        <v>77.5</v>
      </c>
      <c r="D6848">
        <v>84.25</v>
      </c>
      <c r="E6848">
        <v>84.24</v>
      </c>
      <c r="F6848">
        <v>0.01</v>
      </c>
    </row>
    <row r="6849" spans="1:6" x14ac:dyDescent="0.3">
      <c r="A6849" t="str">
        <f>HYPERLINK("https://us2.cloudbeds.com/connect/10074733072513#/reservations/30681687531648?display=YQU6W13A2&amp;reservation_id=30681687531648", "YQU6W13A2")</f>
        <v>YQU6W13A2</v>
      </c>
      <c r="B6849" t="s">
        <v>1044</v>
      </c>
      <c r="C6849">
        <v>122.55</v>
      </c>
      <c r="D6849">
        <v>133.22</v>
      </c>
      <c r="E6849">
        <v>133.21</v>
      </c>
      <c r="F6849">
        <v>0.01</v>
      </c>
    </row>
    <row r="6850" spans="1:6" x14ac:dyDescent="0.3">
      <c r="A6850" t="str">
        <f>HYPERLINK("https://us2.cloudbeds.com/connect/10074733072513#/reservations/30681845539045?display=YQUB8SF7X&amp;reservation_id=30681845539045", "YQUB8SF7X")</f>
        <v>YQUB8SF7X</v>
      </c>
      <c r="B6850" t="s">
        <v>1044</v>
      </c>
      <c r="C6850">
        <v>109</v>
      </c>
      <c r="D6850">
        <v>118.49</v>
      </c>
      <c r="E6850">
        <v>118.48</v>
      </c>
      <c r="F6850">
        <v>0.01</v>
      </c>
    </row>
    <row r="6851" spans="1:6" x14ac:dyDescent="0.3">
      <c r="A6851" t="str">
        <f>HYPERLINK("https://us2.cloudbeds.com/connect/10074733072513#/reservations/30681700221153?display=YQU7XAPY2&amp;reservation_id=30681700221153", "YQU7XAPY2")</f>
        <v>YQU7XAPY2</v>
      </c>
      <c r="B6851" t="s">
        <v>1046</v>
      </c>
      <c r="C6851">
        <v>139</v>
      </c>
      <c r="D6851">
        <v>151.1</v>
      </c>
      <c r="E6851">
        <v>151.09</v>
      </c>
      <c r="F6851">
        <v>0.01</v>
      </c>
    </row>
    <row r="6852" spans="1:6" x14ac:dyDescent="0.3">
      <c r="A6852" t="str">
        <f>HYPERLINK("https://us2.cloudbeds.com/connect/10074733072513#/reservations/30682461884548?display=YQUR0J620&amp;reservation_id=30682461884548", "YQUR0J620")</f>
        <v>YQUR0J620</v>
      </c>
      <c r="B6852" t="s">
        <v>1041</v>
      </c>
      <c r="C6852">
        <v>119</v>
      </c>
      <c r="D6852">
        <v>129.36000000000001</v>
      </c>
      <c r="E6852">
        <v>129.35</v>
      </c>
      <c r="F6852">
        <v>0.01</v>
      </c>
    </row>
    <row r="6853" spans="1:6" x14ac:dyDescent="0.3">
      <c r="A6853" t="str">
        <f>HYPERLINK("https://us2.cloudbeds.com/connect/10074733072513#/reservations/30681820238041?display=YQUAKHDWF&amp;reservation_id=30681820238041", "YQUAKHDWF")</f>
        <v>YQUAKHDWF</v>
      </c>
      <c r="B6853" t="s">
        <v>1047</v>
      </c>
      <c r="C6853">
        <v>178</v>
      </c>
      <c r="D6853">
        <v>193.5</v>
      </c>
      <c r="E6853">
        <v>193.49</v>
      </c>
      <c r="F6853">
        <v>0.01</v>
      </c>
    </row>
    <row r="6854" spans="1:6" x14ac:dyDescent="0.3">
      <c r="A6854" t="str">
        <f>HYPERLINK("https://us2.cloudbeds.com/connect/10074733072513#/reservations/30682448842963?display=YQUQMJ9AF&amp;reservation_id=30682448842963", "YQUQMJ9AF")</f>
        <v>YQUQMJ9AF</v>
      </c>
      <c r="B6854" t="s">
        <v>1041</v>
      </c>
      <c r="C6854">
        <v>139</v>
      </c>
      <c r="D6854">
        <v>151.1</v>
      </c>
      <c r="E6854">
        <v>151.09</v>
      </c>
      <c r="F6854">
        <v>0.01</v>
      </c>
    </row>
    <row r="6855" spans="1:6" x14ac:dyDescent="0.3">
      <c r="A6855" t="str">
        <f>HYPERLINK("https://us2.cloudbeds.com/connect/10074733072513#/reservations/30681320739066?display=YQTUSB47T&amp;reservation_id=30681320739066", "YQTUSB47T")</f>
        <v>YQTUSB47T</v>
      </c>
      <c r="B6855" t="s">
        <v>1004</v>
      </c>
      <c r="C6855">
        <v>278</v>
      </c>
      <c r="D6855">
        <v>302.2</v>
      </c>
      <c r="E6855">
        <v>302.19</v>
      </c>
      <c r="F6855">
        <v>0.01</v>
      </c>
    </row>
    <row r="6856" spans="1:6" x14ac:dyDescent="0.3">
      <c r="A6856" t="str">
        <f>HYPERLINK("https://us2.cloudbeds.com/connect/10074733072513#/reservations/30682520576152?display=YQUSH2C0F&amp;reservation_id=30682520576152", "YQUSH2C0F")</f>
        <v>YQUSH2C0F</v>
      </c>
      <c r="B6856" t="s">
        <v>1048</v>
      </c>
      <c r="C6856">
        <v>109</v>
      </c>
      <c r="D6856">
        <v>118.49</v>
      </c>
      <c r="E6856">
        <v>118.48</v>
      </c>
      <c r="F6856">
        <v>0.01</v>
      </c>
    </row>
    <row r="6857" spans="1:6" x14ac:dyDescent="0.3">
      <c r="A6857" t="str">
        <f>HYPERLINK("https://us2.cloudbeds.com/connect/10074733072513#/reservations/30682466066646?display=YQUR43XC8&amp;reservation_id=30682466066646", "YQUR43XC8")</f>
        <v>YQUR43XC8</v>
      </c>
      <c r="B6857" t="s">
        <v>1041</v>
      </c>
      <c r="C6857">
        <v>109</v>
      </c>
      <c r="D6857">
        <v>118.49</v>
      </c>
      <c r="E6857">
        <v>118.48</v>
      </c>
      <c r="F6857">
        <v>0.01</v>
      </c>
    </row>
    <row r="6858" spans="1:6" x14ac:dyDescent="0.3">
      <c r="A6858" t="str">
        <f>HYPERLINK("https://us2.cloudbeds.com/connect/10074733072513#/reservations/30682466062554?display=YQUR43EK8&amp;reservation_id=30682466062554", "YQUR43EK8")</f>
        <v>YQUR43EK8</v>
      </c>
      <c r="B6858" t="s">
        <v>1041</v>
      </c>
      <c r="C6858">
        <v>109</v>
      </c>
      <c r="D6858">
        <v>118.49</v>
      </c>
      <c r="E6858">
        <v>118.48</v>
      </c>
      <c r="F6858">
        <v>0.01</v>
      </c>
    </row>
    <row r="6859" spans="1:6" x14ac:dyDescent="0.3">
      <c r="A6859" t="str">
        <f>HYPERLINK("https://us2.cloudbeds.com/connect/10074733072513#/reservations/30681781502175?display=YQU9KSHSB&amp;reservation_id=30681781502175", "YQU9KSHSB")</f>
        <v>YQU9KSHSB</v>
      </c>
      <c r="B6859" t="s">
        <v>969</v>
      </c>
      <c r="C6859">
        <v>159</v>
      </c>
      <c r="D6859">
        <v>172.84</v>
      </c>
      <c r="E6859">
        <v>172.83</v>
      </c>
      <c r="F6859">
        <v>0.01</v>
      </c>
    </row>
    <row r="6860" spans="1:6" x14ac:dyDescent="0.3">
      <c r="A6860" t="str">
        <f>HYPERLINK("https://us2.cloudbeds.com/connect/10074733072513#/reservations/30681816457344?display=YQUAHB3XN&amp;reservation_id=30681816457344", "YQUAHB3XN")</f>
        <v>YQUAHB3XN</v>
      </c>
      <c r="B6860" t="s">
        <v>1047</v>
      </c>
      <c r="C6860">
        <v>178</v>
      </c>
      <c r="D6860">
        <v>193.5</v>
      </c>
      <c r="E6860">
        <v>193.49</v>
      </c>
      <c r="F6860">
        <v>0.01</v>
      </c>
    </row>
    <row r="6861" spans="1:6" x14ac:dyDescent="0.3">
      <c r="A6861" t="str">
        <f>HYPERLINK("https://us2.cloudbeds.com/connect/10074733072513#/reservations/30681499914401?display=YQU2EDV7G&amp;reservation_id=30681499914401", "YQU2EDV7G")</f>
        <v>YQU2EDV7G</v>
      </c>
      <c r="B6861" t="s">
        <v>970</v>
      </c>
      <c r="C6861">
        <v>278</v>
      </c>
      <c r="D6861">
        <v>302.2</v>
      </c>
      <c r="E6861">
        <v>302.19</v>
      </c>
      <c r="F6861">
        <v>0.01</v>
      </c>
    </row>
    <row r="6862" spans="1:6" x14ac:dyDescent="0.3">
      <c r="A6862" t="str">
        <f>HYPERLINK("https://us2.cloudbeds.com/connect/10074733072513#/reservations/30682533171400?display=YQUSRMRTY&amp;reservation_id=30682533171400", "YQUSRMRTY")</f>
        <v>YQUSRMRTY</v>
      </c>
      <c r="B6862" t="s">
        <v>1048</v>
      </c>
      <c r="C6862">
        <v>99</v>
      </c>
      <c r="D6862">
        <v>107.62</v>
      </c>
      <c r="E6862">
        <v>107.61</v>
      </c>
      <c r="F6862">
        <v>0.01</v>
      </c>
    </row>
    <row r="6863" spans="1:6" x14ac:dyDescent="0.3">
      <c r="A6863" t="str">
        <f>HYPERLINK("https://us2.cloudbeds.com/connect/10074733072513#/reservations/30682448838867?display=YQUQMJ5XB&amp;reservation_id=30682448838867", "YQUQMJ5XB")</f>
        <v>YQUQMJ5XB</v>
      </c>
      <c r="B6863" t="s">
        <v>1045</v>
      </c>
      <c r="C6863">
        <v>109</v>
      </c>
      <c r="D6863">
        <v>118.49</v>
      </c>
      <c r="E6863">
        <v>118.48</v>
      </c>
      <c r="F6863">
        <v>0.01</v>
      </c>
    </row>
    <row r="6864" spans="1:6" x14ac:dyDescent="0.3">
      <c r="A6864" t="str">
        <f>HYPERLINK("https://us2.cloudbeds.com/connect/10074733072513#/reservations/30682303742108?display=YQUMW7Y0R&amp;reservation_id=30682303742108", "YQUMW7Y0R")</f>
        <v>YQUMW7Y0R</v>
      </c>
      <c r="B6864" t="s">
        <v>1048</v>
      </c>
      <c r="C6864">
        <v>79.94</v>
      </c>
      <c r="D6864">
        <v>86.9</v>
      </c>
      <c r="E6864">
        <v>86.89</v>
      </c>
      <c r="F6864">
        <v>0.01</v>
      </c>
    </row>
    <row r="6865" spans="1:6" x14ac:dyDescent="0.3">
      <c r="A6865" t="str">
        <f>HYPERLINK("https://us2.cloudbeds.com/connect/10074733072513#/reservations/30682348880020?display=YQUZ49YWC&amp;reservation_id=30682348880020", "YQUZ49YWC")</f>
        <v>YQUZ49YWC</v>
      </c>
      <c r="B6865" t="s">
        <v>1045</v>
      </c>
      <c r="C6865">
        <v>109</v>
      </c>
      <c r="D6865">
        <v>118.49</v>
      </c>
      <c r="E6865">
        <v>118.48</v>
      </c>
      <c r="F6865">
        <v>0.01</v>
      </c>
    </row>
    <row r="6866" spans="1:6" x14ac:dyDescent="0.3">
      <c r="A6866" t="str">
        <f>HYPERLINK("https://us2.cloudbeds.com/connect/10074733072513#/reservations/30682325954710?display=YQUNHVZ90&amp;reservation_id=30682325954710", "YQUNHVZ90")</f>
        <v>YQUNHVZ90</v>
      </c>
      <c r="B6866" t="s">
        <v>1048</v>
      </c>
      <c r="C6866">
        <v>139</v>
      </c>
      <c r="D6866">
        <v>151.1</v>
      </c>
      <c r="E6866">
        <v>151.09</v>
      </c>
      <c r="F6866">
        <v>0.01</v>
      </c>
    </row>
    <row r="6867" spans="1:6" x14ac:dyDescent="0.3">
      <c r="A6867" t="str">
        <f>HYPERLINK("https://us2.cloudbeds.com/connect/10074733072513#/reservations/30682325950612?display=YQUNHVKGR&amp;reservation_id=30682325950612", "YQUNHVKGR")</f>
        <v>YQUNHVKGR</v>
      </c>
      <c r="B6867" t="s">
        <v>1048</v>
      </c>
      <c r="C6867">
        <v>62.56</v>
      </c>
      <c r="D6867">
        <v>68.010000000000005</v>
      </c>
      <c r="E6867">
        <v>68</v>
      </c>
      <c r="F6867">
        <v>0.01</v>
      </c>
    </row>
    <row r="6868" spans="1:6" x14ac:dyDescent="0.3">
      <c r="A6868" t="str">
        <f>HYPERLINK("https://us2.cloudbeds.com/connect/10074733072513#/reservations/31670077132994?display=MH3HSUAYD&amp;reservation_id=31670077132994", "MH3HSUAYD")</f>
        <v>MH3HSUAYD</v>
      </c>
      <c r="B6868" t="s">
        <v>1040</v>
      </c>
      <c r="C6868">
        <v>278</v>
      </c>
      <c r="D6868">
        <v>302.2</v>
      </c>
      <c r="E6868">
        <v>302.19</v>
      </c>
      <c r="F6868">
        <v>0.01</v>
      </c>
    </row>
    <row r="6869" spans="1:6" x14ac:dyDescent="0.3">
      <c r="A6869" t="str">
        <f>HYPERLINK("https://us2.cloudbeds.com/connect/10074733072513#/reservations/30682539520150?display=YQUT01GQ0&amp;reservation_id=30682539520150", "YQUT01GQ0")</f>
        <v>YQUT01GQ0</v>
      </c>
      <c r="B6869" t="s">
        <v>1048</v>
      </c>
      <c r="C6869">
        <v>73</v>
      </c>
      <c r="D6869">
        <v>79.36</v>
      </c>
      <c r="E6869">
        <v>79.349999999999994</v>
      </c>
      <c r="F6869">
        <v>0.01</v>
      </c>
    </row>
    <row r="6870" spans="1:6" x14ac:dyDescent="0.3">
      <c r="A6870" t="str">
        <f>HYPERLINK("https://us2.cloudbeds.com/connect/10074733072513#/reservations/31672286290124?display=MH58AZCDS&amp;reservation_id=31672286290124", "MH58AZCDS")</f>
        <v>MH58AZCDS</v>
      </c>
      <c r="B6870" t="s">
        <v>1053</v>
      </c>
      <c r="C6870">
        <v>139</v>
      </c>
      <c r="D6870">
        <v>151.1</v>
      </c>
      <c r="E6870">
        <v>151.09</v>
      </c>
      <c r="F6870">
        <v>0.01</v>
      </c>
    </row>
    <row r="6871" spans="1:6" x14ac:dyDescent="0.3">
      <c r="A6871" t="str">
        <f>HYPERLINK("https://us2.cloudbeds.com/connect/10074733072513#/reservations/31672071790745?display=MH52RSK9M&amp;reservation_id=31672071790745", "MH52RSK9M")</f>
        <v>MH52RSK9M</v>
      </c>
      <c r="B6871" t="s">
        <v>1032</v>
      </c>
      <c r="C6871">
        <v>159</v>
      </c>
      <c r="D6871">
        <v>172.84</v>
      </c>
      <c r="E6871">
        <v>172.83</v>
      </c>
      <c r="F6871">
        <v>0.01</v>
      </c>
    </row>
    <row r="6872" spans="1:6" x14ac:dyDescent="0.3">
      <c r="A6872" t="str">
        <f>HYPERLINK("https://us2.cloudbeds.com/connect/10074733072513#/reservations/31671989809376?display=MH50ZZBVP&amp;reservation_id=31671989809376", "MH50ZZBVP")</f>
        <v>MH50ZZBVP</v>
      </c>
      <c r="B6872" t="s">
        <v>1054</v>
      </c>
      <c r="C6872">
        <v>119</v>
      </c>
      <c r="D6872">
        <v>129.36000000000001</v>
      </c>
      <c r="E6872">
        <v>129.35</v>
      </c>
      <c r="F6872">
        <v>0.01</v>
      </c>
    </row>
    <row r="6873" spans="1:6" x14ac:dyDescent="0.3">
      <c r="A6873" t="str">
        <f>HYPERLINK("https://us2.cloudbeds.com/connect/10074733072513#/reservations/30681610317952?display=YQU4Z5QP2&amp;reservation_id=30681610317952", "YQU4Z5QP2")</f>
        <v>YQU4Z5QP2</v>
      </c>
      <c r="B6873" t="s">
        <v>972</v>
      </c>
      <c r="C6873">
        <v>213.04</v>
      </c>
      <c r="D6873">
        <v>231.58</v>
      </c>
      <c r="E6873">
        <v>231.57</v>
      </c>
      <c r="F6873">
        <v>0.01</v>
      </c>
    </row>
    <row r="6874" spans="1:6" x14ac:dyDescent="0.3">
      <c r="A6874" t="str">
        <f>HYPERLINK("https://us2.cloudbeds.com/connect/10074733072513#/reservations/30682487013547?display=YQURYPEBR&amp;reservation_id=30682487013547", "YQURYPEBR")</f>
        <v>YQURYPEBR</v>
      </c>
      <c r="B6874" t="s">
        <v>1055</v>
      </c>
      <c r="C6874">
        <v>99</v>
      </c>
      <c r="D6874">
        <v>107.62</v>
      </c>
      <c r="E6874">
        <v>107.61</v>
      </c>
      <c r="F6874">
        <v>0.01</v>
      </c>
    </row>
    <row r="6875" spans="1:6" x14ac:dyDescent="0.3">
      <c r="A6875" t="str">
        <f>HYPERLINK("https://us2.cloudbeds.com/connect/10074733072513#/reservations/30681966682323?display=YQUEC0ETW&amp;reservation_id=30681966682323", "YQUEC0ETW")</f>
        <v>YQUEC0ETW</v>
      </c>
      <c r="B6875" t="s">
        <v>969</v>
      </c>
      <c r="C6875">
        <v>139</v>
      </c>
      <c r="D6875">
        <v>151.1</v>
      </c>
      <c r="E6875">
        <v>151.09</v>
      </c>
      <c r="F6875">
        <v>0.01</v>
      </c>
    </row>
    <row r="6876" spans="1:6" x14ac:dyDescent="0.3">
      <c r="A6876" t="str">
        <f>HYPERLINK("https://us2.cloudbeds.com/connect/10074733072513#/reservations/30681335324856?display=YQTV7KWWH&amp;reservation_id=30681335324856", "YQTV7KWWH")</f>
        <v>YQTV7KWWH</v>
      </c>
      <c r="B6876" t="s">
        <v>1049</v>
      </c>
      <c r="C6876">
        <v>79</v>
      </c>
      <c r="D6876">
        <v>85.88</v>
      </c>
      <c r="E6876">
        <v>85.87</v>
      </c>
      <c r="F6876">
        <v>0.01</v>
      </c>
    </row>
    <row r="6877" spans="1:6" x14ac:dyDescent="0.3">
      <c r="A6877" t="str">
        <f>HYPERLINK("https://us2.cloudbeds.com/connect/10074733072513#/reservations/30681992392873?display=YQUF0MT7X&amp;reservation_id=30681992392873", "YQUF0MT7X")</f>
        <v>YQUF0MT7X</v>
      </c>
      <c r="B6877" t="s">
        <v>1056</v>
      </c>
      <c r="C6877">
        <v>77.5</v>
      </c>
      <c r="D6877">
        <v>84.25</v>
      </c>
      <c r="E6877">
        <v>84.24</v>
      </c>
      <c r="F6877">
        <v>0.01</v>
      </c>
    </row>
    <row r="6878" spans="1:6" x14ac:dyDescent="0.3">
      <c r="A6878" t="str">
        <f>HYPERLINK("https://us2.cloudbeds.com/connect/10074733072513#/reservations/30682495734003?display=YQURT4342&amp;reservation_id=30682495734003", "YQURT4342")</f>
        <v>YQURT4342</v>
      </c>
      <c r="B6878" t="s">
        <v>1055</v>
      </c>
      <c r="C6878">
        <v>62.56</v>
      </c>
      <c r="D6878">
        <v>68.010000000000005</v>
      </c>
      <c r="E6878">
        <v>68</v>
      </c>
      <c r="F6878">
        <v>0.01</v>
      </c>
    </row>
    <row r="6879" spans="1:6" x14ac:dyDescent="0.3">
      <c r="A6879" t="str">
        <f>HYPERLINK("https://us2.cloudbeds.com/connect/10074733072513#/reservations/30681508045054?display=YQU2Y96CU&amp;reservation_id=30681508045054", "YQU2Y96CU")</f>
        <v>YQU2Y96CU</v>
      </c>
      <c r="B6879" t="s">
        <v>970</v>
      </c>
      <c r="C6879">
        <v>258</v>
      </c>
      <c r="D6879">
        <v>280.45999999999998</v>
      </c>
      <c r="E6879">
        <v>280.45</v>
      </c>
      <c r="F6879">
        <v>0.01</v>
      </c>
    </row>
    <row r="6880" spans="1:6" x14ac:dyDescent="0.3">
      <c r="A6880" t="str">
        <f>HYPERLINK("https://us2.cloudbeds.com/connect/10074733072513#/reservations/30681618505954?display=YQU5FDUNU&amp;reservation_id=30681618505954", "YQU5FDUNU")</f>
        <v>YQU5FDUNU</v>
      </c>
      <c r="B6880" t="s">
        <v>972</v>
      </c>
      <c r="C6880">
        <v>121</v>
      </c>
      <c r="D6880">
        <v>131.54</v>
      </c>
      <c r="E6880">
        <v>131.53</v>
      </c>
      <c r="F6880">
        <v>0.01</v>
      </c>
    </row>
    <row r="6881" spans="1:6" x14ac:dyDescent="0.3">
      <c r="A6881" t="str">
        <f>HYPERLINK("https://us2.cloudbeds.com/connect/10074733072513#/reservations/30681904590983?display=YQUCPYM27&amp;reservation_id=30681904590983", "YQUCPYM27")</f>
        <v>YQUCPYM27</v>
      </c>
      <c r="B6881" t="s">
        <v>970</v>
      </c>
      <c r="C6881">
        <v>139</v>
      </c>
      <c r="D6881">
        <v>151.1</v>
      </c>
      <c r="E6881">
        <v>151.09</v>
      </c>
      <c r="F6881">
        <v>0.01</v>
      </c>
    </row>
    <row r="6882" spans="1:6" x14ac:dyDescent="0.3">
      <c r="A6882" t="str">
        <f>HYPERLINK("https://us2.cloudbeds.com/connect/10074733072513#/reservations/30681934151827?display=YQUDHJ80C&amp;reservation_id=30681934151827", "YQUDHJ80C")</f>
        <v>YQUDHJ80C</v>
      </c>
      <c r="B6882" t="s">
        <v>970</v>
      </c>
      <c r="C6882">
        <v>106.8</v>
      </c>
      <c r="D6882">
        <v>116.1</v>
      </c>
      <c r="E6882">
        <v>116.09</v>
      </c>
      <c r="F6882">
        <v>0.01</v>
      </c>
    </row>
    <row r="6883" spans="1:6" x14ac:dyDescent="0.3">
      <c r="A6883" t="str">
        <f>HYPERLINK("https://us2.cloudbeds.com/connect/10074733072513#/reservations/30682100404418?display=YQUHPPFCM&amp;reservation_id=30682100404418", "YQUHPPFCM")</f>
        <v>YQUHPPFCM</v>
      </c>
      <c r="B6883" t="s">
        <v>1057</v>
      </c>
      <c r="C6883">
        <v>218</v>
      </c>
      <c r="D6883">
        <v>236.98</v>
      </c>
      <c r="E6883">
        <v>236.97</v>
      </c>
      <c r="F6883">
        <v>0.01</v>
      </c>
    </row>
    <row r="6884" spans="1:6" x14ac:dyDescent="0.3">
      <c r="A6884" t="str">
        <f>HYPERLINK("https://us2.cloudbeds.com/connect/10074733072513#/reservations/30682157949141?display=YQUJ89Z65&amp;reservation_id=30682157949141", "YQUJ89Z65")</f>
        <v>YQUJ89Z65</v>
      </c>
      <c r="B6884" t="s">
        <v>972</v>
      </c>
      <c r="C6884">
        <v>139</v>
      </c>
      <c r="D6884">
        <v>151.1</v>
      </c>
      <c r="E6884">
        <v>151.09</v>
      </c>
      <c r="F6884">
        <v>0.01</v>
      </c>
    </row>
    <row r="6885" spans="1:6" x14ac:dyDescent="0.3">
      <c r="A6885" t="str">
        <f>HYPERLINK("https://us2.cloudbeds.com/connect/10074733072513#/reservations/30682282270865?display=YQUME45X4&amp;reservation_id=30682282270865", "YQUME45X4")</f>
        <v>YQUME45X4</v>
      </c>
      <c r="B6885" t="s">
        <v>1049</v>
      </c>
      <c r="C6885">
        <v>77.5</v>
      </c>
      <c r="D6885">
        <v>84.25</v>
      </c>
      <c r="E6885">
        <v>84.24</v>
      </c>
      <c r="F6885">
        <v>0.01</v>
      </c>
    </row>
    <row r="6886" spans="1:6" x14ac:dyDescent="0.3">
      <c r="A6886" t="str">
        <f>HYPERLINK("https://us2.cloudbeds.com/connect/10074733072513#/reservations/30682290221228?display=YQUMKRD57&amp;reservation_id=30682290221228", "YQUMKRD57")</f>
        <v>YQUMKRD57</v>
      </c>
      <c r="B6886" t="s">
        <v>1049</v>
      </c>
      <c r="C6886">
        <v>77.5</v>
      </c>
      <c r="D6886">
        <v>84.25</v>
      </c>
      <c r="E6886">
        <v>84.24</v>
      </c>
      <c r="F6886">
        <v>0.01</v>
      </c>
    </row>
    <row r="6887" spans="1:6" x14ac:dyDescent="0.3">
      <c r="A6887" t="str">
        <f>HYPERLINK("https://us2.cloudbeds.com/connect/10074733072513#/reservations/30682298388685?display=YQUMRNM3U&amp;reservation_id=30682298388685", "YQUMRNM3U")</f>
        <v>YQUMRNM3U</v>
      </c>
      <c r="B6887" t="s">
        <v>1049</v>
      </c>
      <c r="C6887">
        <v>77.5</v>
      </c>
      <c r="D6887">
        <v>84.25</v>
      </c>
      <c r="E6887">
        <v>84.24</v>
      </c>
      <c r="F6887">
        <v>0.01</v>
      </c>
    </row>
    <row r="6888" spans="1:6" x14ac:dyDescent="0.3">
      <c r="A6888" t="str">
        <f>HYPERLINK("https://us2.cloudbeds.com/connect/10074733072513#/reservations/30682303738025?display=YQUMW7H94&amp;reservation_id=30682303738025", "YQUMW7H94")</f>
        <v>YQUMW7H94</v>
      </c>
      <c r="B6888" t="s">
        <v>1055</v>
      </c>
      <c r="C6888">
        <v>99</v>
      </c>
      <c r="D6888">
        <v>107.62</v>
      </c>
      <c r="E6888">
        <v>107.61</v>
      </c>
      <c r="F6888">
        <v>0.01</v>
      </c>
    </row>
    <row r="6889" spans="1:6" x14ac:dyDescent="0.3">
      <c r="A6889" t="str">
        <f>HYPERLINK("https://us2.cloudbeds.com/connect/10074733072513#/reservations/30682501071000?display=YQUS0KJV8&amp;reservation_id=30682501071000", "YQUS0KJV8")</f>
        <v>YQUS0KJV8</v>
      </c>
      <c r="B6889" t="s">
        <v>1055</v>
      </c>
      <c r="C6889">
        <v>62.56</v>
      </c>
      <c r="D6889">
        <v>68.010000000000005</v>
      </c>
      <c r="E6889">
        <v>68</v>
      </c>
      <c r="F6889">
        <v>0.01</v>
      </c>
    </row>
    <row r="6890" spans="1:6" x14ac:dyDescent="0.3">
      <c r="A6890" t="str">
        <f>HYPERLINK("https://us2.cloudbeds.com/connect/10074733072513#/reservations/30681373688012?display=YQTW6WGSD&amp;reservation_id=30681373688012", "YQTW6WGSD")</f>
        <v>YQTW6WGSD</v>
      </c>
      <c r="B6890" t="s">
        <v>1049</v>
      </c>
      <c r="C6890">
        <v>139</v>
      </c>
      <c r="D6890">
        <v>151.1</v>
      </c>
      <c r="E6890">
        <v>151.09</v>
      </c>
      <c r="F6890">
        <v>0.01</v>
      </c>
    </row>
    <row r="6891" spans="1:6" x14ac:dyDescent="0.3">
      <c r="A6891" t="str">
        <f>HYPERLINK("https://us2.cloudbeds.com/connect/10074733072513#/reservations/31671576641674?display=MH4N6BBVC&amp;reservation_id=31671576641674", "MH4N6BBVC")</f>
        <v>MH4N6BBVC</v>
      </c>
      <c r="B6891" t="s">
        <v>1040</v>
      </c>
      <c r="C6891">
        <v>139</v>
      </c>
      <c r="D6891">
        <v>151.1</v>
      </c>
      <c r="E6891">
        <v>151.09</v>
      </c>
      <c r="F6891">
        <v>0.01</v>
      </c>
    </row>
    <row r="6892" spans="1:6" x14ac:dyDescent="0.3">
      <c r="A6892" t="str">
        <f>HYPERLINK("https://us2.cloudbeds.com/connect/10074733072513#/reservations/31671696507053?display=MH4Q8DQ5J&amp;reservation_id=31671696507053", "MH4Q8DQ5J")</f>
        <v>MH4Q8DQ5J</v>
      </c>
      <c r="B6892" t="s">
        <v>1032</v>
      </c>
      <c r="C6892">
        <v>258</v>
      </c>
      <c r="D6892">
        <v>280.45999999999998</v>
      </c>
      <c r="E6892">
        <v>280.45</v>
      </c>
      <c r="F6892">
        <v>0.01</v>
      </c>
    </row>
    <row r="6893" spans="1:6" x14ac:dyDescent="0.3">
      <c r="A6893" t="str">
        <f>HYPERLINK("https://us2.cloudbeds.com/connect/10074733072513#/reservations/31671690080388?display=MH4Q2WVZ5&amp;reservation_id=31671690080388", "MH4Q2WVZ5")</f>
        <v>MH4Q2WVZ5</v>
      </c>
      <c r="B6893" t="s">
        <v>1032</v>
      </c>
      <c r="C6893">
        <v>258</v>
      </c>
      <c r="D6893">
        <v>280.45999999999998</v>
      </c>
      <c r="E6893">
        <v>280.45</v>
      </c>
      <c r="F6893">
        <v>0.01</v>
      </c>
    </row>
    <row r="6894" spans="1:6" x14ac:dyDescent="0.3">
      <c r="A6894" t="str">
        <f>HYPERLINK("https://us2.cloudbeds.com/connect/10074733072513#/reservations/31673306198149?display=MH61CZR2Y&amp;reservation_id=31673306198149", "MH61CZR2Y")</f>
        <v>MH61CZR2Y</v>
      </c>
      <c r="B6894" t="s">
        <v>981</v>
      </c>
      <c r="C6894">
        <v>129</v>
      </c>
      <c r="D6894">
        <v>140.22999999999999</v>
      </c>
      <c r="E6894">
        <v>140.22</v>
      </c>
      <c r="F6894">
        <v>0.01</v>
      </c>
    </row>
    <row r="6895" spans="1:6" x14ac:dyDescent="0.3">
      <c r="A6895" t="str">
        <f>HYPERLINK("https://us2.cloudbeds.com/connect/10074733072513#/reservations/30681798471868?display=YQUA25ZMF&amp;reservation_id=30681798471868", "YQUA25ZMF")</f>
        <v>YQUA25ZMF</v>
      </c>
      <c r="B6895" t="s">
        <v>1047</v>
      </c>
      <c r="C6895">
        <v>73</v>
      </c>
      <c r="D6895">
        <v>79.36</v>
      </c>
      <c r="E6895">
        <v>79.349999999999994</v>
      </c>
      <c r="F6895">
        <v>0.01</v>
      </c>
    </row>
    <row r="6896" spans="1:6" x14ac:dyDescent="0.3">
      <c r="A6896" t="str">
        <f>HYPERLINK("https://us2.cloudbeds.com/connect/10074733072513#/reservations/30681781506275?display=YQU9KSYKJ&amp;reservation_id=30681781506275", "YQU9KSYKJ")</f>
        <v>YQU9KSYKJ</v>
      </c>
      <c r="B6896" t="s">
        <v>1047</v>
      </c>
      <c r="C6896">
        <v>73</v>
      </c>
      <c r="D6896">
        <v>79.36</v>
      </c>
      <c r="E6896">
        <v>79.349999999999994</v>
      </c>
      <c r="F6896">
        <v>0.01</v>
      </c>
    </row>
    <row r="6897" spans="1:6" x14ac:dyDescent="0.3">
      <c r="A6897" t="str">
        <f>HYPERLINK("https://us2.cloudbeds.com/connect/10074733072513#/reservations/30682114253011?display=YQUX4ER60&amp;reservation_id=30682114253011", "YQUX4ER60")</f>
        <v>YQUX4ER60</v>
      </c>
      <c r="B6897" t="s">
        <v>1047</v>
      </c>
      <c r="C6897">
        <v>89</v>
      </c>
      <c r="D6897">
        <v>96.75</v>
      </c>
      <c r="E6897">
        <v>96.74</v>
      </c>
      <c r="F6897">
        <v>0.01</v>
      </c>
    </row>
    <row r="6898" spans="1:6" x14ac:dyDescent="0.3">
      <c r="A6898" t="str">
        <f>HYPERLINK("https://us2.cloudbeds.com/connect/10074733072513#/reservations/30682085159093?display=YQUHCU804&amp;reservation_id=30682085159093", "YQUHCU804")</f>
        <v>YQUHCU804</v>
      </c>
      <c r="B6898" t="s">
        <v>1057</v>
      </c>
      <c r="C6898">
        <v>89</v>
      </c>
      <c r="D6898">
        <v>96.75</v>
      </c>
      <c r="E6898">
        <v>96.74</v>
      </c>
      <c r="F6898">
        <v>0.01</v>
      </c>
    </row>
    <row r="6899" spans="1:6" x14ac:dyDescent="0.3">
      <c r="A6899" t="str">
        <f>HYPERLINK("https://us2.cloudbeds.com/connect/10074733072513#/reservations/30682078568672?display=YQUH7BS6D&amp;reservation_id=30682078568672", "YQUH7BS6D")</f>
        <v>YQUH7BS6D</v>
      </c>
      <c r="B6899" t="s">
        <v>1057</v>
      </c>
      <c r="C6899">
        <v>89</v>
      </c>
      <c r="D6899">
        <v>96.75</v>
      </c>
      <c r="E6899">
        <v>96.74</v>
      </c>
      <c r="F6899">
        <v>0.01</v>
      </c>
    </row>
    <row r="6900" spans="1:6" x14ac:dyDescent="0.3">
      <c r="A6900" t="str">
        <f>HYPERLINK("https://us2.cloudbeds.com/connect/10074733072513#/reservations/30682088108201?display=YQUHFDA31&amp;reservation_id=30682088108201", "YQUHFDA31")</f>
        <v>YQUHFDA31</v>
      </c>
      <c r="B6900" t="s">
        <v>1056</v>
      </c>
      <c r="C6900">
        <v>267</v>
      </c>
      <c r="D6900">
        <v>290.24</v>
      </c>
      <c r="E6900">
        <v>290.23</v>
      </c>
      <c r="F6900">
        <v>0.01</v>
      </c>
    </row>
    <row r="6901" spans="1:6" x14ac:dyDescent="0.3">
      <c r="A6901" t="str">
        <f>HYPERLINK("https://us2.cloudbeds.com/connect/10074733072513#/reservations/30681769697490?display=YQU9AU1UK&amp;reservation_id=30681769697490", "YQU9AU1UK")</f>
        <v>YQU9AU1UK</v>
      </c>
      <c r="B6901" t="s">
        <v>1057</v>
      </c>
      <c r="C6901">
        <v>73</v>
      </c>
      <c r="D6901">
        <v>79.36</v>
      </c>
      <c r="E6901">
        <v>79.349999999999994</v>
      </c>
      <c r="F6901">
        <v>0.01</v>
      </c>
    </row>
    <row r="6902" spans="1:6" x14ac:dyDescent="0.3">
      <c r="A6902" t="str">
        <f>HYPERLINK("https://us2.cloudbeds.com/connect/10074733072513#/reservations/30682022478007?display=YQUFQ21K9&amp;reservation_id=30682022478007", "YQUFQ21K9")</f>
        <v>YQUFQ21K9</v>
      </c>
      <c r="B6902" t="s">
        <v>1056</v>
      </c>
      <c r="C6902">
        <v>79</v>
      </c>
      <c r="D6902">
        <v>85.88</v>
      </c>
      <c r="E6902">
        <v>85.87</v>
      </c>
      <c r="F6902">
        <v>0.01</v>
      </c>
    </row>
    <row r="6903" spans="1:6" x14ac:dyDescent="0.3">
      <c r="A6903" t="str">
        <f>HYPERLINK("https://us2.cloudbeds.com/connect/10074733072513#/reservations/30681967067372?display=YQUECB5G4&amp;reservation_id=30681967067372", "YQUECB5G4")</f>
        <v>YQUECB5G4</v>
      </c>
      <c r="B6903" t="s">
        <v>1056</v>
      </c>
      <c r="C6903">
        <v>139</v>
      </c>
      <c r="D6903">
        <v>151.1</v>
      </c>
      <c r="E6903">
        <v>151.09</v>
      </c>
      <c r="F6903">
        <v>0.01</v>
      </c>
    </row>
    <row r="6904" spans="1:6" x14ac:dyDescent="0.3">
      <c r="A6904" t="str">
        <f>HYPERLINK("https://us2.cloudbeds.com/connect/10074733072513#/reservations/30681323532513?display=YQTUUMSCQ&amp;reservation_id=30681323532513", "YQTUUMSCQ")</f>
        <v>YQTUUMSCQ</v>
      </c>
      <c r="B6904" t="s">
        <v>1059</v>
      </c>
      <c r="C6904">
        <v>109</v>
      </c>
      <c r="D6904">
        <v>118.49</v>
      </c>
      <c r="E6904">
        <v>118.48</v>
      </c>
      <c r="F6904">
        <v>0.01</v>
      </c>
    </row>
    <row r="6905" spans="1:6" x14ac:dyDescent="0.3">
      <c r="A6905" t="str">
        <f>HYPERLINK("https://us2.cloudbeds.com/connect/10074733072513#/reservations/30681942003951?display=YQUDZ6ZDH&amp;reservation_id=30681942003951", "YQUDZ6ZDH")</f>
        <v>YQUDZ6ZDH</v>
      </c>
      <c r="B6905" t="s">
        <v>970</v>
      </c>
      <c r="C6905">
        <v>106.8</v>
      </c>
      <c r="D6905">
        <v>116.1</v>
      </c>
      <c r="E6905">
        <v>116.09</v>
      </c>
      <c r="F6905">
        <v>0.01</v>
      </c>
    </row>
    <row r="6906" spans="1:6" x14ac:dyDescent="0.3">
      <c r="A6906" t="str">
        <f>HYPERLINK("https://us2.cloudbeds.com/connect/10074733072513#/reservations/30682066153708?display=YQUGTTCSC&amp;reservation_id=30682066153708", "YQUGTTCSC")</f>
        <v>YQUGTTCSC</v>
      </c>
      <c r="B6906" t="s">
        <v>1056</v>
      </c>
      <c r="C6906">
        <v>158</v>
      </c>
      <c r="D6906">
        <v>171.76</v>
      </c>
      <c r="E6906">
        <v>171.75</v>
      </c>
      <c r="F6906">
        <v>0.01</v>
      </c>
    </row>
    <row r="6907" spans="1:6" x14ac:dyDescent="0.3">
      <c r="A6907" t="str">
        <f>HYPERLINK("https://us2.cloudbeds.com/connect/10074733072513#/reservations/30682071707791?display=YQUH1XV0U&amp;reservation_id=30682071707791", "YQUH1XV0U")</f>
        <v>YQUH1XV0U</v>
      </c>
      <c r="B6907" t="s">
        <v>1057</v>
      </c>
      <c r="C6907">
        <v>73</v>
      </c>
      <c r="D6907">
        <v>79.36</v>
      </c>
      <c r="E6907">
        <v>79.349999999999994</v>
      </c>
      <c r="F6907">
        <v>0.01</v>
      </c>
    </row>
    <row r="6908" spans="1:6" x14ac:dyDescent="0.3">
      <c r="A6908" t="str">
        <f>HYPERLINK("https://us2.cloudbeds.com/connect/10074733072513#/reservations/31671700963471?display=MH4QC5QCX&amp;reservation_id=31671700963471", "MH4QC5QCX")</f>
        <v>MH4QC5QCX</v>
      </c>
      <c r="B6908" t="s">
        <v>1032</v>
      </c>
      <c r="C6908">
        <v>258</v>
      </c>
      <c r="D6908">
        <v>280.45999999999998</v>
      </c>
      <c r="E6908">
        <v>280.45</v>
      </c>
      <c r="F6908">
        <v>0.01</v>
      </c>
    </row>
    <row r="6909" spans="1:6" x14ac:dyDescent="0.3">
      <c r="A6909" t="str">
        <f>HYPERLINK("https://us2.cloudbeds.com/connect/10074733072513#/reservations/30682071711883?display=YQUH1J1PU&amp;reservation_id=30682071711883", "YQUH1J1PU")</f>
        <v>YQUH1J1PU</v>
      </c>
      <c r="B6909" t="s">
        <v>1058</v>
      </c>
      <c r="C6909">
        <v>109</v>
      </c>
      <c r="D6909">
        <v>118.49</v>
      </c>
      <c r="E6909">
        <v>118.48</v>
      </c>
      <c r="F6909">
        <v>0.01</v>
      </c>
    </row>
    <row r="6910" spans="1:6" x14ac:dyDescent="0.3">
      <c r="A6910" t="str">
        <f>HYPERLINK("https://us2.cloudbeds.com/connect/10074733072513#/reservations/31671712022758?display=MH4QYGHRF&amp;reservation_id=31671712022758", "MH4QYGHRF")</f>
        <v>MH4QYGHRF</v>
      </c>
      <c r="B6910" t="s">
        <v>1032</v>
      </c>
      <c r="C6910">
        <v>318</v>
      </c>
      <c r="D6910">
        <v>345.68</v>
      </c>
      <c r="E6910">
        <v>345.67</v>
      </c>
      <c r="F6910">
        <v>0.01</v>
      </c>
    </row>
    <row r="6911" spans="1:6" x14ac:dyDescent="0.3">
      <c r="A6911" t="str">
        <f>HYPERLINK("https://us2.cloudbeds.com/connect/10074733072513#/reservations/31673031536849?display=MH5RC4VRV&amp;reservation_id=31673031536849", "MH5RC4VRV")</f>
        <v>MH5RC4VRV</v>
      </c>
      <c r="B6911" t="s">
        <v>1060</v>
      </c>
      <c r="C6911">
        <v>313.44</v>
      </c>
      <c r="D6911">
        <v>340.72</v>
      </c>
      <c r="E6911">
        <v>340.71</v>
      </c>
      <c r="F6911">
        <v>0.01</v>
      </c>
    </row>
    <row r="6912" spans="1:6" x14ac:dyDescent="0.3">
      <c r="A6912" t="str">
        <f>HYPERLINK("https://us2.cloudbeds.com/connect/10074733072513#/reservations/31672005042321?display=MH514J7W4&amp;reservation_id=31672005042321", "MH514J7W4")</f>
        <v>MH514J7W4</v>
      </c>
      <c r="B6912" t="s">
        <v>1061</v>
      </c>
      <c r="C6912">
        <v>149</v>
      </c>
      <c r="D6912">
        <v>161.97</v>
      </c>
      <c r="E6912">
        <v>161.96</v>
      </c>
      <c r="F6912">
        <v>0.01</v>
      </c>
    </row>
    <row r="6913" spans="1:6" x14ac:dyDescent="0.3">
      <c r="A6913" t="str">
        <f>HYPERLINK("https://us2.cloudbeds.com/connect/10074733072513#/reservations/30682017312909?display=YQUFYNAY5&amp;reservation_id=30682017312909", "YQUFYNAY5")</f>
        <v>YQUFYNAY5</v>
      </c>
      <c r="B6913" t="s">
        <v>1051</v>
      </c>
      <c r="C6913">
        <v>109</v>
      </c>
      <c r="D6913">
        <v>118.49</v>
      </c>
      <c r="E6913">
        <v>118.48</v>
      </c>
      <c r="F6913">
        <v>0.01</v>
      </c>
    </row>
    <row r="6914" spans="1:6" x14ac:dyDescent="0.3">
      <c r="A6914" t="str">
        <f>HYPERLINK("https://us2.cloudbeds.com/connect/10074733072513#/reservations/31685789470848?display=MHFN1U57B&amp;reservation_id=31685789470848", "MHFN1U57B")</f>
        <v>MHFN1U57B</v>
      </c>
      <c r="B6914" t="s">
        <v>1013</v>
      </c>
      <c r="C6914">
        <v>258</v>
      </c>
      <c r="D6914">
        <v>280.45999999999998</v>
      </c>
      <c r="E6914">
        <v>280.45</v>
      </c>
      <c r="F6914">
        <v>0.01</v>
      </c>
    </row>
    <row r="6915" spans="1:6" x14ac:dyDescent="0.3">
      <c r="A6915" t="str">
        <f>HYPERLINK("https://us2.cloudbeds.com/connect/10074733072513#/reservations/30681982431364?display=YQUEP9MRY&amp;reservation_id=30681982431364", "YQUEP9MRY")</f>
        <v>YQUEP9MRY</v>
      </c>
      <c r="B6915" t="s">
        <v>1056</v>
      </c>
      <c r="C6915">
        <v>218</v>
      </c>
      <c r="D6915">
        <v>236.98</v>
      </c>
      <c r="E6915">
        <v>236.97</v>
      </c>
      <c r="F6915">
        <v>0.01</v>
      </c>
    </row>
    <row r="6916" spans="1:6" x14ac:dyDescent="0.3">
      <c r="A6916" t="str">
        <f>HYPERLINK("https://us2.cloudbeds.com/connect/10074733072513#/reservations/30682078572766?display=YQUH7BVVF&amp;reservation_id=30682078572766", "YQUH7BVVF")</f>
        <v>YQUH7BVVF</v>
      </c>
      <c r="B6916" t="s">
        <v>1058</v>
      </c>
      <c r="C6916">
        <v>109</v>
      </c>
      <c r="D6916">
        <v>118.49</v>
      </c>
      <c r="E6916">
        <v>118.48</v>
      </c>
      <c r="F6916">
        <v>0.01</v>
      </c>
    </row>
    <row r="6917" spans="1:6" x14ac:dyDescent="0.3">
      <c r="A6917" t="str">
        <f>HYPERLINK("https://us2.cloudbeds.com/connect/10074733072513#/reservations/30681512005785?display=YQU2ZKDE2&amp;reservation_id=30681512005785", "YQU2ZKDE2")</f>
        <v>YQU2ZKDE2</v>
      </c>
      <c r="B6917" t="s">
        <v>1062</v>
      </c>
      <c r="C6917">
        <v>139</v>
      </c>
      <c r="D6917">
        <v>151.1</v>
      </c>
      <c r="E6917">
        <v>151.09</v>
      </c>
      <c r="F6917">
        <v>0.01</v>
      </c>
    </row>
    <row r="6918" spans="1:6" x14ac:dyDescent="0.3">
      <c r="A6918" t="str">
        <f>HYPERLINK("https://us2.cloudbeds.com/connect/10074733072513#/reservations/30682026664153?display=YQUFTJHY6&amp;reservation_id=30682026664153", "YQUFTJHY6")</f>
        <v>YQUFTJHY6</v>
      </c>
      <c r="B6918" t="s">
        <v>1056</v>
      </c>
      <c r="C6918">
        <v>73</v>
      </c>
      <c r="D6918">
        <v>79.36</v>
      </c>
      <c r="E6918">
        <v>79.349999999999994</v>
      </c>
      <c r="F6918">
        <v>0.01</v>
      </c>
    </row>
    <row r="6919" spans="1:6" x14ac:dyDescent="0.3">
      <c r="A6919" t="str">
        <f>HYPERLINK("https://us2.cloudbeds.com/connect/10074733072513#/reservations/30681889591547?display=YQUCD09FS&amp;reservation_id=30681889591547", "YQUCD09FS")</f>
        <v>YQUCD09FS</v>
      </c>
      <c r="B6919" t="s">
        <v>970</v>
      </c>
      <c r="C6919">
        <v>322.2</v>
      </c>
      <c r="D6919">
        <v>350.24</v>
      </c>
      <c r="E6919">
        <v>350.23</v>
      </c>
      <c r="F6919">
        <v>0.01</v>
      </c>
    </row>
    <row r="6920" spans="1:6" x14ac:dyDescent="0.3">
      <c r="A6920" t="str">
        <f>HYPERLINK("https://us2.cloudbeds.com/connect/10074733072513#/reservations/30681998815429?display=YQUF63JTF&amp;reservation_id=30681998815429", "YQUF63JTF")</f>
        <v>YQUF63JTF</v>
      </c>
      <c r="B6920" t="s">
        <v>1038</v>
      </c>
      <c r="C6920">
        <v>139</v>
      </c>
      <c r="D6920">
        <v>151.1</v>
      </c>
      <c r="E6920">
        <v>151.09</v>
      </c>
      <c r="F6920">
        <v>0.01</v>
      </c>
    </row>
    <row r="6921" spans="1:6" x14ac:dyDescent="0.3">
      <c r="A6921" t="str">
        <f>HYPERLINK("https://us2.cloudbeds.com/connect/10074733072513#/reservations/31671583703264?display=MH4NC9SDV&amp;reservation_id=31671583703264", "MH4NC9SDV")</f>
        <v>MH4NC9SDV</v>
      </c>
      <c r="B6921" t="s">
        <v>1040</v>
      </c>
      <c r="C6921">
        <v>139</v>
      </c>
      <c r="D6921">
        <v>151.1</v>
      </c>
      <c r="E6921">
        <v>151.09</v>
      </c>
      <c r="F6921">
        <v>0.01</v>
      </c>
    </row>
    <row r="6922" spans="1:6" x14ac:dyDescent="0.3">
      <c r="A6922" t="str">
        <f>HYPERLINK("https://us2.cloudbeds.com/connect/10074733072513#/reservations/30682017308815?display=YQUFYN6T3&amp;reservation_id=30682017308815", "YQUFYN6T3")</f>
        <v>YQUFYN6T3</v>
      </c>
      <c r="B6922" t="s">
        <v>1051</v>
      </c>
      <c r="C6922">
        <v>109</v>
      </c>
      <c r="D6922">
        <v>118.49</v>
      </c>
      <c r="E6922">
        <v>118.48</v>
      </c>
      <c r="F6922">
        <v>0.01</v>
      </c>
    </row>
    <row r="6923" spans="1:6" x14ac:dyDescent="0.3">
      <c r="A6923" t="str">
        <f>HYPERLINK("https://us2.cloudbeds.com/connect/10074733072513#/reservations/31671538294958?display=MH4M70A5M&amp;reservation_id=31671538294958", "MH4M70A5M")</f>
        <v>MH4M70A5M</v>
      </c>
      <c r="B6923" t="s">
        <v>1040</v>
      </c>
      <c r="C6923">
        <v>139</v>
      </c>
      <c r="D6923">
        <v>151.1</v>
      </c>
      <c r="E6923">
        <v>151.09</v>
      </c>
      <c r="F6923">
        <v>0.01</v>
      </c>
    </row>
    <row r="6924" spans="1:6" x14ac:dyDescent="0.3">
      <c r="A6924" t="str">
        <f>HYPERLINK("https://us2.cloudbeds.com/connect/10074733072513#/reservations/30681532412125?display=YQU38R810&amp;reservation_id=30681532412125", "YQU38R810")</f>
        <v>YQU38R810</v>
      </c>
      <c r="B6924" t="s">
        <v>1063</v>
      </c>
      <c r="C6924">
        <v>218</v>
      </c>
      <c r="D6924">
        <v>236.98</v>
      </c>
      <c r="E6924">
        <v>236.97</v>
      </c>
      <c r="F6924">
        <v>0.01</v>
      </c>
    </row>
    <row r="6925" spans="1:6" x14ac:dyDescent="0.3">
      <c r="A6925" t="str">
        <f>HYPERLINK("https://us2.cloudbeds.com/connect/10074733072513#/reservations/30681427554543?display=YQU0JDE2H&amp;reservation_id=30681427554543", "YQU0JDE2H")</f>
        <v>YQU0JDE2H</v>
      </c>
      <c r="B6925" t="s">
        <v>970</v>
      </c>
      <c r="C6925">
        <v>149</v>
      </c>
      <c r="D6925">
        <v>161.97</v>
      </c>
      <c r="E6925">
        <v>161.96</v>
      </c>
      <c r="F6925">
        <v>0.01</v>
      </c>
    </row>
    <row r="6926" spans="1:6" x14ac:dyDescent="0.3">
      <c r="A6926" t="str">
        <f>HYPERLINK("https://us2.cloudbeds.com/connect/10074733072513#/reservations/30681311965344?display=YQTUKUWXH&amp;reservation_id=30681311965344", "YQTUKUWXH")</f>
        <v>YQTUKUWXH</v>
      </c>
      <c r="B6926" t="s">
        <v>1004</v>
      </c>
      <c r="C6926">
        <v>278</v>
      </c>
      <c r="D6926">
        <v>302.2</v>
      </c>
      <c r="E6926">
        <v>302.19</v>
      </c>
      <c r="F6926">
        <v>0.01</v>
      </c>
    </row>
    <row r="6927" spans="1:6" x14ac:dyDescent="0.3">
      <c r="A6927" t="str">
        <f>HYPERLINK("https://us2.cloudbeds.com/connect/10074733072513#/reservations/30682008744144?display=YQUFEFT5K&amp;reservation_id=30682008744144", "YQUFEFT5K")</f>
        <v>YQUFEFT5K</v>
      </c>
      <c r="B6927" t="s">
        <v>969</v>
      </c>
      <c r="C6927">
        <v>106.8</v>
      </c>
      <c r="D6927">
        <v>116.1</v>
      </c>
      <c r="E6927">
        <v>116.09</v>
      </c>
      <c r="F6927">
        <v>0.01</v>
      </c>
    </row>
    <row r="6928" spans="1:6" x14ac:dyDescent="0.3">
      <c r="A6928" t="str">
        <f>HYPERLINK("https://us2.cloudbeds.com/connect/10074733072513#/reservations/31671808565392?display=MH4T3TWCQ&amp;reservation_id=31671808565392", "MH4T3TWCQ")</f>
        <v>MH4T3TWCQ</v>
      </c>
      <c r="B6928" t="s">
        <v>947</v>
      </c>
      <c r="C6928">
        <v>106.8</v>
      </c>
      <c r="D6928">
        <v>116.1</v>
      </c>
      <c r="E6928">
        <v>116.09</v>
      </c>
      <c r="F6928">
        <v>0.01</v>
      </c>
    </row>
    <row r="6929" spans="1:6" x14ac:dyDescent="0.3">
      <c r="A6929" t="str">
        <f>HYPERLINK("https://us2.cloudbeds.com/connect/10074733072513#/reservations/31679289086114?display=MHAM8MGDV&amp;reservation_id=31679289086114", "MHAM8MGDV")</f>
        <v>MHAM8MGDV</v>
      </c>
      <c r="B6929" t="s">
        <v>1065</v>
      </c>
      <c r="C6929">
        <v>179</v>
      </c>
      <c r="D6929">
        <v>194.58</v>
      </c>
      <c r="E6929">
        <v>194.57</v>
      </c>
      <c r="F6929">
        <v>0.01</v>
      </c>
    </row>
    <row r="6930" spans="1:6" x14ac:dyDescent="0.3">
      <c r="A6930" t="str">
        <f>HYPERLINK("https://us2.cloudbeds.com/connect/10074733072513#/reservations/30681608294583?display=YQU56QPTE&amp;reservation_id=30681608294583", "YQU56QPTE")</f>
        <v>YQU56QPTE</v>
      </c>
      <c r="B6930" t="s">
        <v>738</v>
      </c>
      <c r="C6930">
        <v>139</v>
      </c>
      <c r="D6930">
        <v>151.1</v>
      </c>
      <c r="E6930">
        <v>151.09</v>
      </c>
      <c r="F6930">
        <v>0.01</v>
      </c>
    </row>
    <row r="6931" spans="1:6" x14ac:dyDescent="0.3">
      <c r="A6931" t="str">
        <f>HYPERLINK("https://us2.cloudbeds.com/connect/10074733072513#/reservations/30681645347036?display=YQU651R61&amp;reservation_id=30681645347036", "YQU651R61")</f>
        <v>YQU651R61</v>
      </c>
      <c r="B6931" t="s">
        <v>738</v>
      </c>
      <c r="C6931">
        <v>159</v>
      </c>
      <c r="D6931">
        <v>172.84</v>
      </c>
      <c r="E6931">
        <v>172.83</v>
      </c>
      <c r="F6931">
        <v>0.01</v>
      </c>
    </row>
    <row r="6932" spans="1:6" x14ac:dyDescent="0.3">
      <c r="A6932" t="str">
        <f>HYPERLINK("https://us2.cloudbeds.com/connect/10074733072513#/reservations/30681296388305?display=YQTU7QHJ0&amp;reservation_id=30681296388305", "YQTU7QHJ0")</f>
        <v>YQTU7QHJ0</v>
      </c>
      <c r="B6932" t="s">
        <v>1004</v>
      </c>
      <c r="C6932">
        <v>278</v>
      </c>
      <c r="D6932">
        <v>302.2</v>
      </c>
      <c r="E6932">
        <v>302.19</v>
      </c>
      <c r="F6932">
        <v>0.01</v>
      </c>
    </row>
    <row r="6933" spans="1:6" x14ac:dyDescent="0.3">
      <c r="A6933" t="str">
        <f>HYPERLINK("https://us2.cloudbeds.com/connect/10074733072513#/reservations/30681657008328?display=YQU6ETAEH&amp;reservation_id=30681657008328", "YQU6ETAEH")</f>
        <v>YQU6ETAEH</v>
      </c>
      <c r="B6933" t="s">
        <v>1066</v>
      </c>
      <c r="C6933">
        <v>139</v>
      </c>
      <c r="D6933">
        <v>151.1</v>
      </c>
      <c r="E6933">
        <v>151.09</v>
      </c>
      <c r="F6933">
        <v>0.01</v>
      </c>
    </row>
    <row r="6934" spans="1:6" x14ac:dyDescent="0.3">
      <c r="A6934" t="str">
        <f>HYPERLINK("https://us2.cloudbeds.com/connect/10074733072513#/reservations/30681541570706?display=YQU3GX33P&amp;reservation_id=30681541570706", "YQU3GX33P")</f>
        <v>YQU3GX33P</v>
      </c>
      <c r="B6934" t="s">
        <v>1063</v>
      </c>
      <c r="C6934">
        <v>218</v>
      </c>
      <c r="D6934">
        <v>236.98</v>
      </c>
      <c r="E6934">
        <v>236.97</v>
      </c>
      <c r="F6934">
        <v>0.01</v>
      </c>
    </row>
    <row r="6935" spans="1:6" x14ac:dyDescent="0.3">
      <c r="A6935" t="str">
        <f>HYPERLINK("https://us2.cloudbeds.com/connect/10074733072513#/reservations/30681420537986?display=YQU0DG5VJ&amp;reservation_id=30681420537986", "YQU0DG5VJ")</f>
        <v>YQU0DG5VJ</v>
      </c>
      <c r="B6935" t="s">
        <v>1046</v>
      </c>
      <c r="C6935">
        <v>73</v>
      </c>
      <c r="D6935">
        <v>79.36</v>
      </c>
      <c r="E6935">
        <v>79.349999999999994</v>
      </c>
      <c r="F6935">
        <v>0.01</v>
      </c>
    </row>
    <row r="6936" spans="1:6" x14ac:dyDescent="0.3">
      <c r="A6936" t="str">
        <f>HYPERLINK("https://us2.cloudbeds.com/connect/10074733072513#/reservations/30681414066327?display=YQU08136N&amp;reservation_id=30681414066327", "YQU08136N")</f>
        <v>YQU08136N</v>
      </c>
      <c r="B6936" t="s">
        <v>1046</v>
      </c>
      <c r="C6936">
        <v>73</v>
      </c>
      <c r="D6936">
        <v>79.36</v>
      </c>
      <c r="E6936">
        <v>79.349999999999994</v>
      </c>
      <c r="F6936">
        <v>0.01</v>
      </c>
    </row>
    <row r="6937" spans="1:6" x14ac:dyDescent="0.3">
      <c r="A6937" t="str">
        <f>HYPERLINK("https://us2.cloudbeds.com/connect/10074733072513#/reservations/30681405534410?display=YQU00RMXP&amp;reservation_id=30681405534410", "YQU00RMXP")</f>
        <v>YQU00RMXP</v>
      </c>
      <c r="B6937" t="s">
        <v>1046</v>
      </c>
      <c r="C6937">
        <v>73</v>
      </c>
      <c r="D6937">
        <v>79.36</v>
      </c>
      <c r="E6937">
        <v>79.349999999999994</v>
      </c>
      <c r="F6937">
        <v>0.01</v>
      </c>
    </row>
    <row r="6938" spans="1:6" x14ac:dyDescent="0.3">
      <c r="A6938" t="str">
        <f>HYPERLINK("https://us2.cloudbeds.com/connect/10074733072513#/reservations/30681652736178?display=YQU6B9EEE&amp;reservation_id=30681652736178", "YQU6B9EEE")</f>
        <v>YQU6B9EEE</v>
      </c>
      <c r="B6938" t="s">
        <v>738</v>
      </c>
      <c r="C6938">
        <v>106.8</v>
      </c>
      <c r="D6938">
        <v>116.1</v>
      </c>
      <c r="E6938">
        <v>116.09</v>
      </c>
      <c r="F6938">
        <v>0.01</v>
      </c>
    </row>
    <row r="6939" spans="1:6" x14ac:dyDescent="0.3">
      <c r="A6939" t="str">
        <f>HYPERLINK("https://us2.cloudbeds.com/connect/10074733072513#/reservations/30681434153184?display=YQU0ZVUMV&amp;reservation_id=30681434153184", "YQU0ZVUMV")</f>
        <v>YQU0ZVUMV</v>
      </c>
      <c r="B6939" t="s">
        <v>1046</v>
      </c>
      <c r="C6939">
        <v>109</v>
      </c>
      <c r="D6939">
        <v>118.49</v>
      </c>
      <c r="E6939">
        <v>118.48</v>
      </c>
      <c r="F6939">
        <v>0.01</v>
      </c>
    </row>
    <row r="6940" spans="1:6" x14ac:dyDescent="0.3">
      <c r="A6940" t="str">
        <f>HYPERLINK("https://us2.cloudbeds.com/connect/10074733072513#/reservations/30681490182323?display=YQU2674H1&amp;reservation_id=30681490182323", "YQU2674H1")</f>
        <v>YQU2674H1</v>
      </c>
      <c r="B6940" t="s">
        <v>1063</v>
      </c>
      <c r="C6940">
        <v>129</v>
      </c>
      <c r="D6940">
        <v>140.22999999999999</v>
      </c>
      <c r="E6940">
        <v>140.22</v>
      </c>
      <c r="F6940">
        <v>0.01</v>
      </c>
    </row>
    <row r="6941" spans="1:6" x14ac:dyDescent="0.3">
      <c r="A6941" t="str">
        <f>HYPERLINK("https://us2.cloudbeds.com/connect/10074733072513#/reservations/30681933688985?display=YQUDH6BWR&amp;reservation_id=30681933688985", "YQUDH6BWR")</f>
        <v>YQUDH6BWR</v>
      </c>
      <c r="B6941" t="s">
        <v>1038</v>
      </c>
      <c r="C6941">
        <v>218</v>
      </c>
      <c r="D6941">
        <v>236.98</v>
      </c>
      <c r="E6941">
        <v>236.97</v>
      </c>
      <c r="F6941">
        <v>0.01</v>
      </c>
    </row>
    <row r="6942" spans="1:6" x14ac:dyDescent="0.3">
      <c r="A6942" t="str">
        <f>HYPERLINK("https://us2.cloudbeds.com/connect/10074733072513#/reservations/30681398059178?display=YQTWRHM8J&amp;reservation_id=30681398059178", "YQTWRHM8J")</f>
        <v>YQTWRHM8J</v>
      </c>
      <c r="B6942" t="s">
        <v>1046</v>
      </c>
      <c r="C6942">
        <v>218</v>
      </c>
      <c r="D6942">
        <v>236.98</v>
      </c>
      <c r="E6942">
        <v>236.97</v>
      </c>
      <c r="F6942">
        <v>0.01</v>
      </c>
    </row>
    <row r="6943" spans="1:6" x14ac:dyDescent="0.3">
      <c r="A6943" t="str">
        <f>HYPERLINK("https://us2.cloudbeds.com/connect/10074733072513#/reservations/30681553756358?display=YQU3QR5SV&amp;reservation_id=30681553756358", "YQU3QR5SV")</f>
        <v>YQU3QR5SV</v>
      </c>
      <c r="B6943" t="s">
        <v>1063</v>
      </c>
      <c r="C6943">
        <v>139</v>
      </c>
      <c r="D6943">
        <v>151.1</v>
      </c>
      <c r="E6943">
        <v>151.09</v>
      </c>
      <c r="F6943">
        <v>0.01</v>
      </c>
    </row>
    <row r="6944" spans="1:6" x14ac:dyDescent="0.3">
      <c r="A6944" t="str">
        <f>HYPERLINK("https://us2.cloudbeds.com/connect/10074733072513#/reservations/30681733927045?display=YQU8DZMSZ&amp;reservation_id=30681733927045", "YQU8DZMSZ")</f>
        <v>YQU8DZMSZ</v>
      </c>
      <c r="B6944" t="s">
        <v>1038</v>
      </c>
      <c r="C6944">
        <v>73</v>
      </c>
      <c r="D6944">
        <v>79.36</v>
      </c>
      <c r="E6944">
        <v>79.349999999999994</v>
      </c>
      <c r="F6944">
        <v>0.01</v>
      </c>
    </row>
    <row r="6945" spans="1:6" x14ac:dyDescent="0.3">
      <c r="A6945" t="str">
        <f>HYPERLINK("https://us2.cloudbeds.com/connect/10074733072513#/reservations/30681749184650?display=YQU8QK8HD&amp;reservation_id=30681749184650", "YQU8QK8HD")</f>
        <v>YQU8QK8HD</v>
      </c>
      <c r="B6945" t="s">
        <v>1038</v>
      </c>
      <c r="C6945">
        <v>109</v>
      </c>
      <c r="D6945">
        <v>118.49</v>
      </c>
      <c r="E6945">
        <v>118.48</v>
      </c>
      <c r="F6945">
        <v>0.01</v>
      </c>
    </row>
    <row r="6946" spans="1:6" x14ac:dyDescent="0.3">
      <c r="A6946" t="str">
        <f>HYPERLINK("https://us2.cloudbeds.com/connect/10074733072513#/reservations/30681521340659?display=YQU2WG5D1&amp;reservation_id=30681521340659", "YQU2WG5D1")</f>
        <v>YQU2WG5D1</v>
      </c>
      <c r="B6946" t="s">
        <v>1063</v>
      </c>
      <c r="C6946">
        <v>109</v>
      </c>
      <c r="D6946">
        <v>118.49</v>
      </c>
      <c r="E6946">
        <v>118.48</v>
      </c>
      <c r="F6946">
        <v>0.01</v>
      </c>
    </row>
    <row r="6947" spans="1:6" x14ac:dyDescent="0.3">
      <c r="A6947" t="str">
        <f>HYPERLINK("https://us2.cloudbeds.com/connect/10074733072513#/reservations/31686741848318?display=MHGEN1JHS&amp;reservation_id=31686741848318", "MHGEN1JHS")</f>
        <v>MHGEN1JHS</v>
      </c>
      <c r="B6947" t="s">
        <v>1013</v>
      </c>
      <c r="C6947">
        <v>149</v>
      </c>
      <c r="D6947">
        <v>161.97</v>
      </c>
      <c r="E6947">
        <v>161.96</v>
      </c>
      <c r="F6947">
        <v>0.01</v>
      </c>
    </row>
    <row r="6948" spans="1:6" x14ac:dyDescent="0.3">
      <c r="A6948" t="str">
        <f>HYPERLINK("https://us2.cloudbeds.com/connect/10074733072513#/reservations/31671600357604?display=MH4NQB9YU&amp;reservation_id=31671600357604", "MH4NQB9YU")</f>
        <v>MH4NQB9YU</v>
      </c>
      <c r="B6948" t="s">
        <v>1040</v>
      </c>
      <c r="C6948">
        <v>106.8</v>
      </c>
      <c r="D6948">
        <v>116.1</v>
      </c>
      <c r="E6948">
        <v>116.09</v>
      </c>
      <c r="F6948">
        <v>0.01</v>
      </c>
    </row>
    <row r="6949" spans="1:6" x14ac:dyDescent="0.3">
      <c r="A6949" t="str">
        <f>HYPERLINK("https://us2.cloudbeds.com/connect/10074733072513#/reservations/31686748766430?display=MHGEST38K&amp;reservation_id=31686748766430", "MHGEST38K")</f>
        <v>MHGEST38K</v>
      </c>
      <c r="B6949" t="s">
        <v>1013</v>
      </c>
      <c r="C6949">
        <v>129</v>
      </c>
      <c r="D6949">
        <v>140.22999999999999</v>
      </c>
      <c r="E6949">
        <v>140.22</v>
      </c>
      <c r="F6949">
        <v>0.01</v>
      </c>
    </row>
    <row r="6950" spans="1:6" x14ac:dyDescent="0.3">
      <c r="A6950" t="str">
        <f>HYPERLINK("https://us2.cloudbeds.com/connect/10074733072513#/reservations/30681526857864?display=YQU344MN2&amp;reservation_id=30681526857864", "YQU344MN2")</f>
        <v>YQU344MN2</v>
      </c>
      <c r="B6950" t="s">
        <v>1063</v>
      </c>
      <c r="C6950">
        <v>109</v>
      </c>
      <c r="D6950">
        <v>118.49</v>
      </c>
      <c r="E6950">
        <v>118.48</v>
      </c>
      <c r="F6950">
        <v>0.01</v>
      </c>
    </row>
    <row r="6951" spans="1:6" x14ac:dyDescent="0.3">
      <c r="A6951" t="str">
        <f>HYPERLINK("https://us2.cloudbeds.com/connect/10074733072513#/reservations/31685791101065?display=MHFNDBYD1&amp;reservation_id=31685791101065", "MHFNDBYD1")</f>
        <v>MHFNDBYD1</v>
      </c>
      <c r="B6951" t="s">
        <v>1013</v>
      </c>
      <c r="C6951">
        <v>258</v>
      </c>
      <c r="D6951">
        <v>280.45999999999998</v>
      </c>
      <c r="E6951">
        <v>280.45</v>
      </c>
      <c r="F6951">
        <v>0.01</v>
      </c>
    </row>
    <row r="6952" spans="1:6" x14ac:dyDescent="0.3">
      <c r="A6952" t="str">
        <f>HYPERLINK("https://us2.cloudbeds.com/connect/10074733072513#/reservations/31671842373853?display=MH4TWDZQY&amp;reservation_id=31671842373853", "MH4TWDZQY")</f>
        <v>MH4TWDZQY</v>
      </c>
      <c r="B6952" t="s">
        <v>1028</v>
      </c>
      <c r="C6952">
        <v>129</v>
      </c>
      <c r="D6952">
        <v>140.22999999999999</v>
      </c>
      <c r="E6952">
        <v>140.22</v>
      </c>
      <c r="F6952">
        <v>0.01</v>
      </c>
    </row>
    <row r="6953" spans="1:6" x14ac:dyDescent="0.3">
      <c r="A6953" t="str">
        <f>HYPERLINK("https://us2.cloudbeds.com/connect/10074733072513#/reservations/31672140116131?display=MH54JFSMU&amp;reservation_id=31672140116131", "MH54JFSMU")</f>
        <v>MH54JFSMU</v>
      </c>
      <c r="B6953" t="s">
        <v>1068</v>
      </c>
      <c r="C6953">
        <v>139</v>
      </c>
      <c r="D6953">
        <v>151.1</v>
      </c>
      <c r="E6953">
        <v>151.09</v>
      </c>
      <c r="F6953">
        <v>0.01</v>
      </c>
    </row>
    <row r="6954" spans="1:6" x14ac:dyDescent="0.3">
      <c r="A6954" t="str">
        <f>HYPERLINK("https://us2.cloudbeds.com/connect/10074733072513#/reservations/31686732202147?display=MHGEEU5NY&amp;reservation_id=31686732202147", "MHGEEU5NY")</f>
        <v>MHGEEU5NY</v>
      </c>
      <c r="B6954" t="s">
        <v>1013</v>
      </c>
      <c r="C6954">
        <v>159</v>
      </c>
      <c r="D6954">
        <v>172.84</v>
      </c>
      <c r="E6954">
        <v>172.83</v>
      </c>
      <c r="F6954">
        <v>0.01</v>
      </c>
    </row>
    <row r="6955" spans="1:6" x14ac:dyDescent="0.3">
      <c r="A6955" t="str">
        <f>HYPERLINK("https://us2.cloudbeds.com/connect/10074733072513#/reservations/30682003538139?display=YQUFA30KT&amp;reservation_id=30682003538139", "YQUFA30KT")</f>
        <v>YQUFA30KT</v>
      </c>
      <c r="B6955" t="s">
        <v>1038</v>
      </c>
      <c r="C6955">
        <v>129</v>
      </c>
      <c r="D6955">
        <v>140.22999999999999</v>
      </c>
      <c r="E6955">
        <v>140.22</v>
      </c>
      <c r="F6955">
        <v>0.01</v>
      </c>
    </row>
    <row r="6956" spans="1:6" x14ac:dyDescent="0.3">
      <c r="A6956" t="str">
        <f>HYPERLINK("https://us2.cloudbeds.com/connect/10074733072513#/reservations/30681927319759?display=YQUDBR4A0&amp;reservation_id=30681927319759", "YQUDBR4A0")</f>
        <v>YQUDBR4A0</v>
      </c>
      <c r="B6956" t="s">
        <v>1038</v>
      </c>
      <c r="C6956">
        <v>109</v>
      </c>
      <c r="D6956">
        <v>118.49</v>
      </c>
      <c r="E6956">
        <v>118.48</v>
      </c>
      <c r="F6956">
        <v>0.01</v>
      </c>
    </row>
    <row r="6957" spans="1:6" x14ac:dyDescent="0.3">
      <c r="A6957" t="str">
        <f>HYPERLINK("https://us2.cloudbeds.com/connect/10074733072513#/reservations/30681277292690?display=YQTTZN5J1&amp;reservation_id=30681277292690", "YQTTZN5J1")</f>
        <v>YQTTZN5J1</v>
      </c>
      <c r="B6957" t="s">
        <v>1004</v>
      </c>
      <c r="C6957">
        <v>139</v>
      </c>
      <c r="D6957">
        <v>151.1</v>
      </c>
      <c r="E6957">
        <v>151.09</v>
      </c>
      <c r="F6957">
        <v>0.01</v>
      </c>
    </row>
    <row r="6958" spans="1:6" x14ac:dyDescent="0.3">
      <c r="A6958" t="str">
        <f>HYPERLINK("https://us2.cloudbeds.com/connect/10074733072513#/reservations/30681719742642?display=YQU81PWNB&amp;reservation_id=30681719742642", "YQU81PWNB")</f>
        <v>YQU81PWNB</v>
      </c>
      <c r="B6958" t="s">
        <v>1066</v>
      </c>
      <c r="C6958">
        <v>87.84</v>
      </c>
      <c r="D6958">
        <v>95.49</v>
      </c>
      <c r="E6958">
        <v>95.48</v>
      </c>
      <c r="F6958">
        <v>0.01</v>
      </c>
    </row>
    <row r="6959" spans="1:6" x14ac:dyDescent="0.3">
      <c r="A6959" t="str">
        <f>HYPERLINK("https://us2.cloudbeds.com/connect/10074733072513#/reservations/30681588146403?display=YQU4MR4BH&amp;reservation_id=30681588146403", "YQU4MR4BH")</f>
        <v>YQU4MR4BH</v>
      </c>
      <c r="B6959" t="s">
        <v>738</v>
      </c>
      <c r="C6959">
        <v>99</v>
      </c>
      <c r="D6959">
        <v>107.62</v>
      </c>
      <c r="E6959">
        <v>107.61</v>
      </c>
      <c r="F6959">
        <v>0.01</v>
      </c>
    </row>
    <row r="6960" spans="1:6" x14ac:dyDescent="0.3">
      <c r="A6960" t="str">
        <f>HYPERLINK("https://us2.cloudbeds.com/connect/10074733072513#/reservations/30681594749077?display=YQU4SCSDX&amp;reservation_id=30681594749077", "YQU4SCSDX")</f>
        <v>YQU4SCSDX</v>
      </c>
      <c r="B6960" t="s">
        <v>738</v>
      </c>
      <c r="C6960">
        <v>139</v>
      </c>
      <c r="D6960">
        <v>151.1</v>
      </c>
      <c r="E6960">
        <v>151.09</v>
      </c>
      <c r="F6960">
        <v>0.01</v>
      </c>
    </row>
    <row r="6961" spans="1:6" x14ac:dyDescent="0.3">
      <c r="A6961" t="str">
        <f>HYPERLINK("https://us2.cloudbeds.com/connect/10074733072513#/reservations/30681490182273?display=YQU2674FH&amp;reservation_id=30681490182273", "YQU2674FH")</f>
        <v>YQU2674FH</v>
      </c>
      <c r="B6961" t="s">
        <v>1062</v>
      </c>
      <c r="C6961">
        <v>109</v>
      </c>
      <c r="D6961">
        <v>118.49</v>
      </c>
      <c r="E6961">
        <v>118.48</v>
      </c>
      <c r="F6961">
        <v>0.01</v>
      </c>
    </row>
    <row r="6962" spans="1:6" x14ac:dyDescent="0.3">
      <c r="A6962" t="str">
        <f>HYPERLINK("https://us2.cloudbeds.com/connect/10074733072513#/reservations/31671610499294?display=MH4Z1TGGS&amp;reservation_id=31671610499294", "MH4Z1TGGS")</f>
        <v>MH4Z1TGGS</v>
      </c>
      <c r="B6962" t="s">
        <v>1032</v>
      </c>
      <c r="C6962">
        <v>258</v>
      </c>
      <c r="D6962">
        <v>280.45999999999998</v>
      </c>
      <c r="E6962">
        <v>280.45</v>
      </c>
      <c r="F6962">
        <v>0.01</v>
      </c>
    </row>
    <row r="6963" spans="1:6" x14ac:dyDescent="0.3">
      <c r="A6963" t="str">
        <f>HYPERLINK("https://us2.cloudbeds.com/connect/10074733072513#/reservations/30681263841477?display=YQTTDBSMH&amp;reservation_id=30681263841477", "YQTTDBSMH")</f>
        <v>YQTTDBSMH</v>
      </c>
      <c r="B6963" t="s">
        <v>1004</v>
      </c>
      <c r="C6963">
        <v>139</v>
      </c>
      <c r="D6963">
        <v>151.1</v>
      </c>
      <c r="E6963">
        <v>151.09</v>
      </c>
      <c r="F6963">
        <v>0.01</v>
      </c>
    </row>
    <row r="6964" spans="1:6" x14ac:dyDescent="0.3">
      <c r="A6964" t="str">
        <f>HYPERLINK("https://us2.cloudbeds.com/connect/10074733072513#/reservations/30681663402144?display=YQU6K97NH&amp;reservation_id=30681663402144", "YQU6K97NH")</f>
        <v>YQU6K97NH</v>
      </c>
      <c r="B6964" t="s">
        <v>1015</v>
      </c>
      <c r="C6964">
        <v>109</v>
      </c>
      <c r="D6964">
        <v>118.49</v>
      </c>
      <c r="E6964">
        <v>118.48</v>
      </c>
      <c r="F6964">
        <v>0.01</v>
      </c>
    </row>
    <row r="6965" spans="1:6" x14ac:dyDescent="0.3">
      <c r="A6965" t="str">
        <f>HYPERLINK("https://us2.cloudbeds.com/connect/10074733072513#/reservations/30680172179610?display=YQT1GRPBT&amp;reservation_id=30680172179610", "YQT1GRPBT")</f>
        <v>YQT1GRPBT</v>
      </c>
      <c r="B6965" t="s">
        <v>1030</v>
      </c>
      <c r="C6965">
        <v>109</v>
      </c>
      <c r="D6965">
        <v>118.49</v>
      </c>
      <c r="E6965">
        <v>118.48</v>
      </c>
      <c r="F6965">
        <v>0.01</v>
      </c>
    </row>
    <row r="6966" spans="1:6" x14ac:dyDescent="0.3">
      <c r="A6966" t="str">
        <f>HYPERLINK("https://us2.cloudbeds.com/connect/10074733072513#/reservations/30681303806088?display=YQTUE1V4B&amp;reservation_id=30681303806088", "YQTUE1V4B")</f>
        <v>YQTUE1V4B</v>
      </c>
      <c r="B6966" t="s">
        <v>1030</v>
      </c>
      <c r="C6966">
        <v>87.84</v>
      </c>
      <c r="D6966">
        <v>95.49</v>
      </c>
      <c r="E6966">
        <v>95.48</v>
      </c>
      <c r="F6966">
        <v>0.01</v>
      </c>
    </row>
    <row r="6967" spans="1:6" x14ac:dyDescent="0.3">
      <c r="A6967" t="str">
        <f>HYPERLINK("https://us2.cloudbeds.com/connect/10074733072513#/reservations/30681663406238?display=YQU6K9BFJ&amp;reservation_id=30681663406238", "YQU6K9BFJ")</f>
        <v>YQU6K9BFJ</v>
      </c>
      <c r="B6967" t="s">
        <v>1015</v>
      </c>
      <c r="C6967">
        <v>73</v>
      </c>
      <c r="D6967">
        <v>79.36</v>
      </c>
      <c r="E6967">
        <v>79.349999999999994</v>
      </c>
      <c r="F6967">
        <v>0.01</v>
      </c>
    </row>
    <row r="6968" spans="1:6" x14ac:dyDescent="0.3">
      <c r="A6968" t="str">
        <f>HYPERLINK("https://us2.cloudbeds.com/connect/10074733072513#/reservations/30681303801992?display=YQTUE1RC7&amp;reservation_id=30681303801992", "YQTUE1RC7")</f>
        <v>YQTUE1RC7</v>
      </c>
      <c r="B6968" t="s">
        <v>1015</v>
      </c>
      <c r="C6968">
        <v>77.5</v>
      </c>
      <c r="D6968">
        <v>84.25</v>
      </c>
      <c r="E6968">
        <v>84.24</v>
      </c>
      <c r="F6968">
        <v>0.01</v>
      </c>
    </row>
    <row r="6969" spans="1:6" x14ac:dyDescent="0.3">
      <c r="A6969" t="str">
        <f>HYPERLINK("https://us2.cloudbeds.com/connect/10074733072513#/reservations/31671619715289?display=MH4Z9YVAE&amp;reservation_id=31671619715289", "MH4Z9YVAE")</f>
        <v>MH4Z9YVAE</v>
      </c>
      <c r="B6969" t="s">
        <v>1032</v>
      </c>
      <c r="C6969">
        <v>169</v>
      </c>
      <c r="D6969">
        <v>183.71</v>
      </c>
      <c r="E6969">
        <v>183.7</v>
      </c>
      <c r="F6969">
        <v>0.01</v>
      </c>
    </row>
    <row r="6970" spans="1:6" x14ac:dyDescent="0.3">
      <c r="A6970" t="str">
        <f>HYPERLINK("https://us2.cloudbeds.com/connect/10074733072513#/reservations/30681319350410?display=YQTUR5G2D&amp;reservation_id=30681319350410", "YQTUR5G2D")</f>
        <v>YQTUR5G2D</v>
      </c>
      <c r="B6970" t="s">
        <v>1015</v>
      </c>
      <c r="C6970">
        <v>89</v>
      </c>
      <c r="D6970">
        <v>96.75</v>
      </c>
      <c r="E6970">
        <v>96.74</v>
      </c>
      <c r="F6970">
        <v>0.01</v>
      </c>
    </row>
    <row r="6971" spans="1:6" x14ac:dyDescent="0.3">
      <c r="A6971" t="str">
        <f>HYPERLINK("https://us2.cloudbeds.com/connect/10074733072513#/reservations/31680318902482?display=MHBFJ1YYX&amp;reservation_id=31680318902482", "MHBFJ1YYX")</f>
        <v>MHBFJ1YYX</v>
      </c>
      <c r="B6971" t="s">
        <v>819</v>
      </c>
      <c r="C6971">
        <v>139</v>
      </c>
      <c r="D6971">
        <v>151.1</v>
      </c>
      <c r="E6971">
        <v>151.09</v>
      </c>
      <c r="F6971">
        <v>0.01</v>
      </c>
    </row>
    <row r="6972" spans="1:6" x14ac:dyDescent="0.3">
      <c r="A6972" t="str">
        <f>HYPERLINK("https://us2.cloudbeds.com/connect/10074733072513#/reservations/30680479965368?display=YQT9CCBU1&amp;reservation_id=30680479965368", "YQT9CCBU1")</f>
        <v>YQT9CCBU1</v>
      </c>
      <c r="B6972" t="s">
        <v>1030</v>
      </c>
      <c r="C6972">
        <v>87.84</v>
      </c>
      <c r="D6972">
        <v>95.49</v>
      </c>
      <c r="E6972">
        <v>95.48</v>
      </c>
      <c r="F6972">
        <v>0.01</v>
      </c>
    </row>
    <row r="6973" spans="1:6" x14ac:dyDescent="0.3">
      <c r="A6973" t="str">
        <f>HYPERLINK("https://us2.cloudbeds.com/connect/10074733072513#/reservations/30681491468437?display=YQU279UH6&amp;reservation_id=30681491468437", "YQU279UH6")</f>
        <v>YQU279UH6</v>
      </c>
      <c r="B6973" t="s">
        <v>1062</v>
      </c>
      <c r="C6973">
        <v>109</v>
      </c>
      <c r="D6973">
        <v>118.49</v>
      </c>
      <c r="E6973">
        <v>118.48</v>
      </c>
      <c r="F6973">
        <v>0.01</v>
      </c>
    </row>
    <row r="6974" spans="1:6" x14ac:dyDescent="0.3">
      <c r="A6974" t="str">
        <f>HYPERLINK("https://us2.cloudbeds.com/connect/10074733072513#/reservations/30681505067254?display=YQU2XPAVX&amp;reservation_id=30681505067254", "YQU2XPAVX")</f>
        <v>YQU2XPAVX</v>
      </c>
      <c r="B6974" t="s">
        <v>1062</v>
      </c>
      <c r="C6974">
        <v>218</v>
      </c>
      <c r="D6974">
        <v>236.98</v>
      </c>
      <c r="E6974">
        <v>236.97</v>
      </c>
      <c r="F6974">
        <v>0.01</v>
      </c>
    </row>
    <row r="6975" spans="1:6" x14ac:dyDescent="0.3">
      <c r="A6975" t="str">
        <f>HYPERLINK("https://us2.cloudbeds.com/connect/10074733072513#/reservations/31682637058178?display=MHD8QPZUS&amp;reservation_id=31682637058178", "MHD8QPZUS")</f>
        <v>MHD8QPZUS</v>
      </c>
      <c r="B6975" t="s">
        <v>1072</v>
      </c>
      <c r="C6975">
        <v>378</v>
      </c>
      <c r="D6975">
        <v>410.9</v>
      </c>
      <c r="E6975">
        <v>410.89</v>
      </c>
      <c r="F6975">
        <v>0.01</v>
      </c>
    </row>
    <row r="6976" spans="1:6" x14ac:dyDescent="0.3">
      <c r="A6976" t="str">
        <f>HYPERLINK("https://us2.cloudbeds.com/connect/10074733072513#/reservations/30681357328530?display=YQTVQ69CH&amp;reservation_id=30681357328530", "YQTVQ69CH")</f>
        <v>YQTVQ69CH</v>
      </c>
      <c r="B6976" t="s">
        <v>1059</v>
      </c>
      <c r="C6976">
        <v>218</v>
      </c>
      <c r="D6976">
        <v>236.98</v>
      </c>
      <c r="E6976">
        <v>236.97</v>
      </c>
      <c r="F6976">
        <v>0.01</v>
      </c>
    </row>
    <row r="6977" spans="1:6" x14ac:dyDescent="0.3">
      <c r="A6977" t="str">
        <f>HYPERLINK("https://us2.cloudbeds.com/connect/10074733072513#/reservations/31671559471308?display=MH4MZSXS8&amp;reservation_id=31671559471308", "MH4MZSXS8")</f>
        <v>MH4MZSXS8</v>
      </c>
      <c r="B6977" t="s">
        <v>1040</v>
      </c>
      <c r="C6977">
        <v>139</v>
      </c>
      <c r="D6977">
        <v>151.1</v>
      </c>
      <c r="E6977">
        <v>151.09</v>
      </c>
      <c r="F6977">
        <v>0.01</v>
      </c>
    </row>
    <row r="6978" spans="1:6" x14ac:dyDescent="0.3">
      <c r="A6978" t="str">
        <f>HYPERLINK("https://us2.cloudbeds.com/connect/10074733072513#/reservations/30681349673185?display=YQTVJZ8MC&amp;reservation_id=30681349673185", "YQTVJZ8MC")</f>
        <v>YQTVJZ8MC</v>
      </c>
      <c r="B6978" t="s">
        <v>1031</v>
      </c>
      <c r="C6978">
        <v>73</v>
      </c>
      <c r="D6978">
        <v>79.36</v>
      </c>
      <c r="E6978">
        <v>79.349999999999994</v>
      </c>
      <c r="F6978">
        <v>0.01</v>
      </c>
    </row>
    <row r="6979" spans="1:6" x14ac:dyDescent="0.3">
      <c r="A6979" t="str">
        <f>HYPERLINK("https://us2.cloudbeds.com/connect/10074733072513#/reservations/31675485245671?display=MH7Z260WZ&amp;reservation_id=31675485245671", "MH7Z260WZ")</f>
        <v>MH7Z260WZ</v>
      </c>
      <c r="B6979" t="s">
        <v>1073</v>
      </c>
      <c r="C6979">
        <v>258</v>
      </c>
      <c r="D6979">
        <v>280.45999999999998</v>
      </c>
      <c r="E6979">
        <v>280.45</v>
      </c>
      <c r="F6979">
        <v>0.01</v>
      </c>
    </row>
    <row r="6980" spans="1:6" x14ac:dyDescent="0.3">
      <c r="A6980" t="str">
        <f>HYPERLINK("https://us2.cloudbeds.com/connect/10074733072513#/reservations/31672579891393?display=MH5FRA8Z0&amp;reservation_id=31672579891393", "MH5FRA8Z0")</f>
        <v>MH5FRA8Z0</v>
      </c>
      <c r="B6980" t="s">
        <v>1069</v>
      </c>
      <c r="C6980">
        <v>238</v>
      </c>
      <c r="D6980">
        <v>258.72000000000003</v>
      </c>
      <c r="E6980">
        <v>258.70999999999998</v>
      </c>
      <c r="F6980">
        <v>0.01</v>
      </c>
    </row>
    <row r="6981" spans="1:6" x14ac:dyDescent="0.3">
      <c r="A6981" t="str">
        <f>HYPERLINK("https://us2.cloudbeds.com/connect/10074733072513#/reservations/30681345044701?display=YQTVFRFF9&amp;reservation_id=30681345044701", "YQTVFRFF9")</f>
        <v>YQTVFRFF9</v>
      </c>
      <c r="B6981" t="s">
        <v>1059</v>
      </c>
      <c r="C6981">
        <v>109</v>
      </c>
      <c r="D6981">
        <v>118.49</v>
      </c>
      <c r="E6981">
        <v>118.48</v>
      </c>
      <c r="F6981">
        <v>0.01</v>
      </c>
    </row>
    <row r="6982" spans="1:6" x14ac:dyDescent="0.3">
      <c r="A6982" t="str">
        <f>HYPERLINK("https://us2.cloudbeds.com/connect/10074733072513#/reservations/31671792664738?display=MH4SNGH7R&amp;reservation_id=31671792664738", "MH4SNGH7R")</f>
        <v>MH4SNGH7R</v>
      </c>
      <c r="B6982" t="s">
        <v>947</v>
      </c>
      <c r="C6982">
        <v>169.36</v>
      </c>
      <c r="D6982">
        <v>184.1</v>
      </c>
      <c r="E6982">
        <v>184.09</v>
      </c>
      <c r="F6982">
        <v>0.01</v>
      </c>
    </row>
    <row r="6983" spans="1:6" x14ac:dyDescent="0.3">
      <c r="A6983" t="str">
        <f>HYPERLINK("https://us2.cloudbeds.com/connect/10074733072513#/reservations/31671619711194?display=MH4Z9YRXB&amp;reservation_id=31671619711194", "MH4Z9YRXB")</f>
        <v>MH4Z9YRXB</v>
      </c>
      <c r="B6983" t="s">
        <v>1040</v>
      </c>
      <c r="C6983">
        <v>87.84</v>
      </c>
      <c r="D6983">
        <v>95.49</v>
      </c>
      <c r="E6983">
        <v>95.48</v>
      </c>
      <c r="F6983">
        <v>0.01</v>
      </c>
    </row>
    <row r="6984" spans="1:6" x14ac:dyDescent="0.3">
      <c r="A6984" t="str">
        <f>HYPERLINK("https://us2.cloudbeds.com/connect/10074733072513#/reservations/31675586904273?display=MH7QYTRDE&amp;reservation_id=31675586904273", "MH7QYTRDE")</f>
        <v>MH7QYTRDE</v>
      </c>
      <c r="B6984" t="s">
        <v>982</v>
      </c>
      <c r="C6984">
        <v>298</v>
      </c>
      <c r="D6984">
        <v>323.94</v>
      </c>
      <c r="E6984">
        <v>323.93</v>
      </c>
      <c r="F6984">
        <v>0.01</v>
      </c>
    </row>
    <row r="6985" spans="1:6" x14ac:dyDescent="0.3">
      <c r="A6985" t="str">
        <f>HYPERLINK("https://us2.cloudbeds.com/connect/10074733072513#/reservations/31671604412549?display=MH4NTP471&amp;reservation_id=31671604412549", "MH4NTP471")</f>
        <v>MH4NTP471</v>
      </c>
      <c r="B6985" t="s">
        <v>1040</v>
      </c>
      <c r="C6985">
        <v>139</v>
      </c>
      <c r="D6985">
        <v>151.1</v>
      </c>
      <c r="E6985">
        <v>151.09</v>
      </c>
      <c r="F6985">
        <v>0.01</v>
      </c>
    </row>
    <row r="6986" spans="1:6" x14ac:dyDescent="0.3">
      <c r="A6986" t="str">
        <f>HYPERLINK("https://us2.cloudbeds.com/connect/10074733072513#/reservations/31671593562348?display=MH4NKK6P2&amp;reservation_id=31671593562348", "MH4NKK6P2")</f>
        <v>MH4NKK6P2</v>
      </c>
      <c r="B6986" t="s">
        <v>1040</v>
      </c>
      <c r="C6986">
        <v>87.84</v>
      </c>
      <c r="D6986">
        <v>95.49</v>
      </c>
      <c r="E6986">
        <v>95.48</v>
      </c>
      <c r="F6986">
        <v>0.01</v>
      </c>
    </row>
    <row r="6987" spans="1:6" x14ac:dyDescent="0.3">
      <c r="A6987" t="str">
        <f>HYPERLINK("https://us2.cloudbeds.com/connect/10074733072513#/reservations/31673320616089?display=MH61ZU0MU&amp;reservation_id=31673320616089", "MH61ZU0MU")</f>
        <v>MH61ZU0MU</v>
      </c>
      <c r="B6987" t="s">
        <v>1028</v>
      </c>
      <c r="C6987">
        <v>106.8</v>
      </c>
      <c r="D6987">
        <v>116.1</v>
      </c>
      <c r="E6987">
        <v>116.09</v>
      </c>
      <c r="F6987">
        <v>0.01</v>
      </c>
    </row>
    <row r="6988" spans="1:6" x14ac:dyDescent="0.3">
      <c r="A6988" t="str">
        <f>HYPERLINK("https://us2.cloudbeds.com/connect/10074733072513#/reservations/31671577198740?display=MH4N6QSG5&amp;reservation_id=31671577198740", "MH4N6QSG5")</f>
        <v>MH4N6QSG5</v>
      </c>
      <c r="B6988" t="s">
        <v>1040</v>
      </c>
      <c r="C6988">
        <v>139</v>
      </c>
      <c r="D6988">
        <v>151.1</v>
      </c>
      <c r="E6988">
        <v>151.09</v>
      </c>
      <c r="F6988">
        <v>0.01</v>
      </c>
    </row>
    <row r="6989" spans="1:6" x14ac:dyDescent="0.3">
      <c r="A6989" t="str">
        <f>HYPERLINK("https://us2.cloudbeds.com/connect/10074733072513#/reservations/30681336873148?display=YQTV8V2ZF&amp;reservation_id=30681336873148", "YQTV8V2ZF")</f>
        <v>YQTV8V2ZF</v>
      </c>
      <c r="B6989" t="s">
        <v>1059</v>
      </c>
      <c r="C6989">
        <v>129</v>
      </c>
      <c r="D6989">
        <v>140.22999999999999</v>
      </c>
      <c r="E6989">
        <v>140.22</v>
      </c>
      <c r="F6989">
        <v>0.01</v>
      </c>
    </row>
    <row r="6990" spans="1:6" x14ac:dyDescent="0.3">
      <c r="A6990" t="str">
        <f>HYPERLINK("https://us2.cloudbeds.com/connect/10074733072513#/reservations/31671577194647?display=MH4N6QZZ4&amp;reservation_id=31671577194647", "MH4N6QZZ4")</f>
        <v>MH4N6QZZ4</v>
      </c>
      <c r="B6990" t="s">
        <v>1040</v>
      </c>
      <c r="C6990">
        <v>87.84</v>
      </c>
      <c r="D6990">
        <v>95.49</v>
      </c>
      <c r="E6990">
        <v>95.48</v>
      </c>
      <c r="F6990">
        <v>0.01</v>
      </c>
    </row>
    <row r="6991" spans="1:6" x14ac:dyDescent="0.3">
      <c r="A6991" t="str">
        <f>HYPERLINK("https://us2.cloudbeds.com/connect/10074733072513#/reservations/30681357324424?display=YQTVQ65K2&amp;reservation_id=30681357324424", "YQTVQ65K2")</f>
        <v>YQTVQ65K2</v>
      </c>
      <c r="B6991" t="s">
        <v>1059</v>
      </c>
      <c r="C6991">
        <v>109</v>
      </c>
      <c r="D6991">
        <v>118.49</v>
      </c>
      <c r="E6991">
        <v>118.48</v>
      </c>
      <c r="F6991">
        <v>0.01</v>
      </c>
    </row>
    <row r="6992" spans="1:6" x14ac:dyDescent="0.3">
      <c r="A6992" t="str">
        <f>HYPERLINK("https://us2.cloudbeds.com/connect/10074733072513#/reservations/31671700967566?display=MH4QC5U4Y&amp;reservation_id=31671700967566", "MH4QC5U4Y")</f>
        <v>MH4QC5U4Y</v>
      </c>
      <c r="B6992" t="s">
        <v>1040</v>
      </c>
      <c r="C6992">
        <v>109</v>
      </c>
      <c r="D6992">
        <v>118.49</v>
      </c>
      <c r="E6992">
        <v>118.48</v>
      </c>
      <c r="F6992">
        <v>0.01</v>
      </c>
    </row>
    <row r="6993" spans="1:6" x14ac:dyDescent="0.3">
      <c r="A6993" t="str">
        <f>HYPERLINK("https://us2.cloudbeds.com/connect/10074733072513#/reservations/31671738548367?display=MH4RASYJQ&amp;reservation_id=31671738548367", "MH4RASYJQ")</f>
        <v>MH4RASYJQ</v>
      </c>
      <c r="B6993" t="s">
        <v>947</v>
      </c>
      <c r="C6993">
        <v>129</v>
      </c>
      <c r="D6993">
        <v>140.22999999999999</v>
      </c>
      <c r="E6993">
        <v>140.22</v>
      </c>
      <c r="F6993">
        <v>0.01</v>
      </c>
    </row>
    <row r="6994" spans="1:6" x14ac:dyDescent="0.3">
      <c r="A6994" t="str">
        <f>HYPERLINK("https://us2.cloudbeds.com/connect/10074733072513#/reservations/31671659819141?display=MH4PAFTKM&amp;reservation_id=31671659819141", "MH4PAFTKM")</f>
        <v>MH4PAFTKM</v>
      </c>
      <c r="B6994" t="s">
        <v>947</v>
      </c>
      <c r="C6994">
        <v>87.84</v>
      </c>
      <c r="D6994">
        <v>95.49</v>
      </c>
      <c r="E6994">
        <v>95.48</v>
      </c>
      <c r="F6994">
        <v>0.01</v>
      </c>
    </row>
    <row r="6995" spans="1:6" x14ac:dyDescent="0.3">
      <c r="A6995" t="str">
        <f>HYPERLINK("https://us2.cloudbeds.com/connect/10074733072513#/reservations/31682440614096?display=MHD3Q4DGT&amp;reservation_id=31682440614096", "MHD3Q4DGT")</f>
        <v>MHD3Q4DGT</v>
      </c>
      <c r="B6995" t="s">
        <v>1076</v>
      </c>
      <c r="C6995">
        <v>336</v>
      </c>
      <c r="D6995">
        <v>365.24</v>
      </c>
      <c r="E6995">
        <v>365.23</v>
      </c>
      <c r="F6995">
        <v>0.01</v>
      </c>
    </row>
    <row r="6996" spans="1:6" x14ac:dyDescent="0.3">
      <c r="A6996" t="str">
        <f>HYPERLINK("https://us2.cloudbeds.com/connect/10074733072513#/reservations/31671659843723?display=MH4PAGJ6J&amp;reservation_id=31671659843723", "MH4PAGJ6J")</f>
        <v>MH4PAGJ6J</v>
      </c>
      <c r="B6996" t="s">
        <v>1032</v>
      </c>
      <c r="C6996">
        <v>139</v>
      </c>
      <c r="D6996">
        <v>151.1</v>
      </c>
      <c r="E6996">
        <v>151.09</v>
      </c>
      <c r="F6996">
        <v>0.01</v>
      </c>
    </row>
    <row r="6997" spans="1:6" x14ac:dyDescent="0.3">
      <c r="A6997" t="str">
        <f>HYPERLINK("https://us2.cloudbeds.com/connect/10074733072513#/reservations/31672069664914?display=MH52Q2F6X&amp;reservation_id=31672069664914", "MH52Q2F6X")</f>
        <v>MH52Q2F6X</v>
      </c>
      <c r="B6997" t="s">
        <v>1077</v>
      </c>
      <c r="C6997">
        <v>149</v>
      </c>
      <c r="D6997">
        <v>161.97</v>
      </c>
      <c r="E6997">
        <v>161.96</v>
      </c>
      <c r="F6997">
        <v>0.01</v>
      </c>
    </row>
    <row r="6998" spans="1:6" x14ac:dyDescent="0.3">
      <c r="A6998" t="str">
        <f>HYPERLINK("https://us2.cloudbeds.com/connect/10074733072513#/reservations/31671538294914?display=MH4M70A4B&amp;reservation_id=31671538294914", "MH4M70A4B")</f>
        <v>MH4M70A4B</v>
      </c>
      <c r="B6998" t="s">
        <v>1075</v>
      </c>
      <c r="C6998">
        <v>73</v>
      </c>
      <c r="D6998">
        <v>79.36</v>
      </c>
      <c r="E6998">
        <v>79.349999999999994</v>
      </c>
      <c r="F6998">
        <v>0.01</v>
      </c>
    </row>
    <row r="6999" spans="1:6" x14ac:dyDescent="0.3">
      <c r="A6999" t="str">
        <f>HYPERLINK("https://us2.cloudbeds.com/connect/10074733072513#/reservations/31671669960866?display=MH4PJ13GY&amp;reservation_id=31671669960866", "MH4PJ13GY")</f>
        <v>MH4PJ13GY</v>
      </c>
      <c r="B6999" t="s">
        <v>1032</v>
      </c>
      <c r="C6999">
        <v>258</v>
      </c>
      <c r="D6999">
        <v>280.45999999999998</v>
      </c>
      <c r="E6999">
        <v>280.45</v>
      </c>
      <c r="F6999">
        <v>0.01</v>
      </c>
    </row>
    <row r="7000" spans="1:6" x14ac:dyDescent="0.3">
      <c r="A7000" t="str">
        <f>HYPERLINK("https://us2.cloudbeds.com/connect/10074733072513#/reservations/31671895400668?display=MH4VB49UR&amp;reservation_id=31671895400668", "MH4VB49UR")</f>
        <v>MH4VB49UR</v>
      </c>
      <c r="B7000" t="s">
        <v>1032</v>
      </c>
      <c r="C7000">
        <v>278</v>
      </c>
      <c r="D7000">
        <v>302.2</v>
      </c>
      <c r="E7000">
        <v>302.19</v>
      </c>
      <c r="F7000">
        <v>0.01</v>
      </c>
    </row>
    <row r="7001" spans="1:6" x14ac:dyDescent="0.3">
      <c r="A7001" t="str">
        <f>HYPERLINK("https://us2.cloudbeds.com/connect/10074733072513#/reservations/31671917768944?display=MH4VTWZ4C&amp;reservation_id=31671917768944", "MH4VTWZ4C")</f>
        <v>MH4VTWZ4C</v>
      </c>
      <c r="B7001" t="s">
        <v>1008</v>
      </c>
      <c r="C7001">
        <v>80.38</v>
      </c>
      <c r="D7001">
        <v>87.38</v>
      </c>
      <c r="E7001">
        <v>87.37</v>
      </c>
      <c r="F7001">
        <v>0.01</v>
      </c>
    </row>
    <row r="7002" spans="1:6" x14ac:dyDescent="0.3">
      <c r="A7002" t="str">
        <f>HYPERLINK("https://us2.cloudbeds.com/connect/10074733072513#/reservations/31671631864024?display=MH4ZJU05U&amp;reservation_id=31671631864024", "MH4ZJU05U")</f>
        <v>MH4ZJU05U</v>
      </c>
      <c r="B7002" t="s">
        <v>1032</v>
      </c>
      <c r="C7002">
        <v>278</v>
      </c>
      <c r="D7002">
        <v>302.2</v>
      </c>
      <c r="E7002">
        <v>302.19</v>
      </c>
      <c r="F7002">
        <v>0.01</v>
      </c>
    </row>
    <row r="7003" spans="1:6" x14ac:dyDescent="0.3">
      <c r="A7003" t="str">
        <f>HYPERLINK("https://us2.cloudbeds.com/connect/10074733072513#/reservations/31671576637581?display=MH4N6B86B&amp;reservation_id=31671576637581", "MH4N6B86B")</f>
        <v>MH4N6B86B</v>
      </c>
      <c r="B7003" t="s">
        <v>1082</v>
      </c>
      <c r="C7003">
        <v>109</v>
      </c>
      <c r="D7003">
        <v>118.49</v>
      </c>
      <c r="E7003">
        <v>118.48</v>
      </c>
      <c r="F7003">
        <v>0.01</v>
      </c>
    </row>
    <row r="7004" spans="1:6" x14ac:dyDescent="0.3">
      <c r="A7004" t="str">
        <f>HYPERLINK("https://us2.cloudbeds.com/connect/10074733072513#/reservations/31671996317850?display=MH50U7FH8&amp;reservation_id=31671996317850", "MH50U7FH8")</f>
        <v>MH50U7FH8</v>
      </c>
      <c r="B7004" t="s">
        <v>1054</v>
      </c>
      <c r="C7004">
        <v>129</v>
      </c>
      <c r="D7004">
        <v>140.22999999999999</v>
      </c>
      <c r="E7004">
        <v>140.22</v>
      </c>
      <c r="F7004">
        <v>0.01</v>
      </c>
    </row>
    <row r="7005" spans="1:6" x14ac:dyDescent="0.3">
      <c r="A7005" t="str">
        <f>HYPERLINK("https://us2.cloudbeds.com/connect/10074733072513#/reservations/31671701573826?display=MH4QCMPS5&amp;reservation_id=31671701573826", "MH4QCMPS5")</f>
        <v>MH4QCMPS5</v>
      </c>
      <c r="B7005" t="s">
        <v>1032</v>
      </c>
      <c r="C7005">
        <v>258</v>
      </c>
      <c r="D7005">
        <v>280.45999999999998</v>
      </c>
      <c r="E7005">
        <v>280.45</v>
      </c>
      <c r="F7005">
        <v>0.01</v>
      </c>
    </row>
    <row r="7006" spans="1:6" x14ac:dyDescent="0.3">
      <c r="A7006" t="str">
        <f>HYPERLINK("https://us2.cloudbeds.com/connect/10074733072513#/reservations/31674193473730?display=MH6Z1UXSF&amp;reservation_id=31674193473730", "MH6Z1UXSF")</f>
        <v>MH6Z1UXSF</v>
      </c>
      <c r="B7006" t="s">
        <v>1006</v>
      </c>
      <c r="C7006">
        <v>278</v>
      </c>
      <c r="D7006">
        <v>302.2</v>
      </c>
      <c r="E7006">
        <v>302.19</v>
      </c>
      <c r="F7006">
        <v>0.01</v>
      </c>
    </row>
    <row r="7007" spans="1:6" x14ac:dyDescent="0.3">
      <c r="A7007" t="str">
        <f>HYPERLINK("https://us2.cloudbeds.com/connect/10074733072513#/reservations/31674209648770?display=MH6ZFXYW6&amp;reservation_id=31674209648770", "MH6ZFXYW6")</f>
        <v>MH6ZFXYW6</v>
      </c>
      <c r="B7007" t="s">
        <v>1006</v>
      </c>
      <c r="C7007">
        <v>139</v>
      </c>
      <c r="D7007">
        <v>151.1</v>
      </c>
      <c r="E7007">
        <v>151.09</v>
      </c>
      <c r="F7007">
        <v>0.01</v>
      </c>
    </row>
    <row r="7008" spans="1:6" x14ac:dyDescent="0.3">
      <c r="A7008" t="str">
        <f>HYPERLINK("https://us2.cloudbeds.com/connect/10074733072513#/reservations/31672022241420?display=MH51J2REW&amp;reservation_id=31672022241420", "MH51J2REW")</f>
        <v>MH51J2REW</v>
      </c>
      <c r="B7008" t="s">
        <v>1054</v>
      </c>
      <c r="C7008">
        <v>129</v>
      </c>
      <c r="D7008">
        <v>140.22999999999999</v>
      </c>
      <c r="E7008">
        <v>140.22</v>
      </c>
      <c r="F7008">
        <v>0.01</v>
      </c>
    </row>
    <row r="7009" spans="1:6" x14ac:dyDescent="0.3">
      <c r="A7009" t="str">
        <f>HYPERLINK("https://us2.cloudbeds.com/connect/10074733072513#/reservations/31671669960865?display=MH4PJ13GK&amp;reservation_id=31671669960865", "MH4PJ13GK")</f>
        <v>MH4PJ13GK</v>
      </c>
      <c r="B7009" t="s">
        <v>1084</v>
      </c>
      <c r="C7009">
        <v>62.56</v>
      </c>
      <c r="D7009">
        <v>68.010000000000005</v>
      </c>
      <c r="E7009">
        <v>68</v>
      </c>
      <c r="F7009">
        <v>0.01</v>
      </c>
    </row>
    <row r="7010" spans="1:6" x14ac:dyDescent="0.3">
      <c r="A7010" t="str">
        <f>HYPERLINK("https://us2.cloudbeds.com/connect/10074733072513#/reservations/31671679217919?display=MH4PQRN0E&amp;reservation_id=31671679217919", "MH4PQRN0E")</f>
        <v>MH4PQRN0E</v>
      </c>
      <c r="B7010" t="s">
        <v>1084</v>
      </c>
      <c r="C7010">
        <v>99</v>
      </c>
      <c r="D7010">
        <v>107.62</v>
      </c>
      <c r="E7010">
        <v>107.61</v>
      </c>
      <c r="F7010">
        <v>0.01</v>
      </c>
    </row>
    <row r="7011" spans="1:6" x14ac:dyDescent="0.3">
      <c r="A7011" t="str">
        <f>HYPERLINK("https://us2.cloudbeds.com/connect/10074733072513#/reservations/31671988191430?display=MH50NCB83&amp;reservation_id=31671988191430", "MH50NCB83")</f>
        <v>MH50NCB83</v>
      </c>
      <c r="B7011" t="s">
        <v>1054</v>
      </c>
      <c r="C7011">
        <v>79</v>
      </c>
      <c r="D7011">
        <v>85.88</v>
      </c>
      <c r="E7011">
        <v>85.87</v>
      </c>
      <c r="F7011">
        <v>0.01</v>
      </c>
    </row>
    <row r="7012" spans="1:6" x14ac:dyDescent="0.3">
      <c r="A7012" t="str">
        <f>HYPERLINK("https://us2.cloudbeds.com/connect/10074733072513#/reservations/31671969235166?display=MH507CS6S&amp;reservation_id=31671969235166", "MH507CS6S")</f>
        <v>MH507CS6S</v>
      </c>
      <c r="B7012" t="s">
        <v>1084</v>
      </c>
      <c r="C7012">
        <v>73</v>
      </c>
      <c r="D7012">
        <v>79.36</v>
      </c>
      <c r="E7012">
        <v>79.349999999999994</v>
      </c>
      <c r="F7012">
        <v>0.01</v>
      </c>
    </row>
    <row r="7013" spans="1:6" x14ac:dyDescent="0.3">
      <c r="A7013" t="str">
        <f>HYPERLINK("https://us2.cloudbeds.com/connect/10074733072513#/reservations/31675418894533?display=MH7MC7NG6&amp;reservation_id=31675418894533", "MH7MC7NG6")</f>
        <v>MH7MC7NG6</v>
      </c>
      <c r="B7013" t="s">
        <v>1073</v>
      </c>
      <c r="C7013">
        <v>226.1</v>
      </c>
      <c r="D7013">
        <v>245.78</v>
      </c>
      <c r="E7013">
        <v>245.77</v>
      </c>
      <c r="F7013">
        <v>0.01</v>
      </c>
    </row>
    <row r="7014" spans="1:6" x14ac:dyDescent="0.3">
      <c r="A7014" t="str">
        <f>HYPERLINK("https://us2.cloudbeds.com/connect/10074733072513#/reservations/31671860814062?display=MH4UEVSVR&amp;reservation_id=31671860814062", "MH4UEVSVR")</f>
        <v>MH4UEVSVR</v>
      </c>
      <c r="B7014" t="s">
        <v>1028</v>
      </c>
      <c r="C7014">
        <v>129</v>
      </c>
      <c r="D7014">
        <v>140.22999999999999</v>
      </c>
      <c r="E7014">
        <v>140.22</v>
      </c>
      <c r="F7014">
        <v>0.01</v>
      </c>
    </row>
    <row r="7015" spans="1:6" x14ac:dyDescent="0.3">
      <c r="A7015" t="str">
        <f>HYPERLINK("https://us2.cloudbeds.com/connect/10074733072513#/reservations/31672005038237?display=MH514J47D&amp;reservation_id=31672005038237", "MH514J47D")</f>
        <v>MH514J47D</v>
      </c>
      <c r="B7015" t="s">
        <v>1054</v>
      </c>
      <c r="C7015">
        <v>139</v>
      </c>
      <c r="D7015">
        <v>151.1</v>
      </c>
      <c r="E7015">
        <v>151.09</v>
      </c>
      <c r="F7015">
        <v>0.01</v>
      </c>
    </row>
    <row r="7016" spans="1:6" x14ac:dyDescent="0.3">
      <c r="A7016" t="str">
        <f>HYPERLINK("https://us2.cloudbeds.com/connect/10074733072513#/reservations/31673345622242?display=MH62CWS64&amp;reservation_id=31673345622242", "MH62CWS64")</f>
        <v>MH62CWS64</v>
      </c>
      <c r="B7016" t="s">
        <v>1028</v>
      </c>
      <c r="C7016">
        <v>129</v>
      </c>
      <c r="D7016">
        <v>140.22999999999999</v>
      </c>
      <c r="E7016">
        <v>140.22</v>
      </c>
      <c r="F7016">
        <v>0.01</v>
      </c>
    </row>
    <row r="7017" spans="1:6" x14ac:dyDescent="0.3">
      <c r="A7017" t="str">
        <f>HYPERLINK("https://us2.cloudbeds.com/connect/10074733072513#/reservations/31673337950413?display=MH626HCBF&amp;reservation_id=31673337950413", "MH626HCBF")</f>
        <v>MH626HCBF</v>
      </c>
      <c r="B7017" t="s">
        <v>1028</v>
      </c>
      <c r="C7017">
        <v>169</v>
      </c>
      <c r="D7017">
        <v>183.71</v>
      </c>
      <c r="E7017">
        <v>183.7</v>
      </c>
      <c r="F7017">
        <v>0.01</v>
      </c>
    </row>
    <row r="7018" spans="1:6" x14ac:dyDescent="0.3">
      <c r="A7018" t="str">
        <f>HYPERLINK("https://us2.cloudbeds.com/connect/10074733072513#/reservations/31675451908250?display=MH7N72C3S&amp;reservation_id=31675451908250", "MH7N72C3S")</f>
        <v>MH7N72C3S</v>
      </c>
      <c r="B7018" t="s">
        <v>1073</v>
      </c>
      <c r="C7018">
        <v>226.1</v>
      </c>
      <c r="D7018">
        <v>245.78</v>
      </c>
      <c r="E7018">
        <v>245.77</v>
      </c>
      <c r="F7018">
        <v>0.01</v>
      </c>
    </row>
    <row r="7019" spans="1:6" x14ac:dyDescent="0.3">
      <c r="A7019" t="str">
        <f>HYPERLINK("https://us2.cloudbeds.com/connect/10074733072513#/reservations/31671836029066?display=MH4TR26XC&amp;reservation_id=31671836029066", "MH4TR26XC")</f>
        <v>MH4TR26XC</v>
      </c>
      <c r="B7019" t="s">
        <v>1028</v>
      </c>
      <c r="C7019">
        <v>129</v>
      </c>
      <c r="D7019">
        <v>140.22999999999999</v>
      </c>
      <c r="E7019">
        <v>140.22</v>
      </c>
      <c r="F7019">
        <v>0.01</v>
      </c>
    </row>
    <row r="7020" spans="1:6" x14ac:dyDescent="0.3">
      <c r="A7020" t="str">
        <f>HYPERLINK("https://us2.cloudbeds.com/connect/10074733072513#/reservations/31672209735902?display=MH56C64MV&amp;reservation_id=31672209735902", "MH56C64MV")</f>
        <v>MH56C64MV</v>
      </c>
      <c r="B7020" t="s">
        <v>1078</v>
      </c>
      <c r="C7020">
        <v>99</v>
      </c>
      <c r="D7020">
        <v>107.62</v>
      </c>
      <c r="E7020">
        <v>107.61</v>
      </c>
      <c r="F7020">
        <v>0.01</v>
      </c>
    </row>
    <row r="7021" spans="1:6" x14ac:dyDescent="0.3">
      <c r="A7021" t="str">
        <f>HYPERLINK("https://us2.cloudbeds.com/connect/10074733072513#/reservations/31671842369764?display=MH4TWDY1Z&amp;reservation_id=31671842369764", "MH4TWDY1Z")</f>
        <v>MH4TWDY1Z</v>
      </c>
      <c r="B7021" t="s">
        <v>1080</v>
      </c>
      <c r="C7021">
        <v>89</v>
      </c>
      <c r="D7021">
        <v>96.75</v>
      </c>
      <c r="E7021">
        <v>96.74</v>
      </c>
      <c r="F7021">
        <v>0.01</v>
      </c>
    </row>
    <row r="7022" spans="1:6" x14ac:dyDescent="0.3">
      <c r="A7022" t="str">
        <f>HYPERLINK("https://us2.cloudbeds.com/connect/10074733072513#/reservations/31679921074324?display=MHB5DJGHR&amp;reservation_id=31679921074324", "MHB5DJGHR")</f>
        <v>MHB5DJGHR</v>
      </c>
      <c r="B7022" t="s">
        <v>878</v>
      </c>
      <c r="C7022">
        <v>169</v>
      </c>
      <c r="D7022">
        <v>183.71</v>
      </c>
      <c r="E7022">
        <v>183.7</v>
      </c>
      <c r="F7022">
        <v>0.01</v>
      </c>
    </row>
    <row r="7023" spans="1:6" x14ac:dyDescent="0.3">
      <c r="A7023" t="str">
        <f>HYPERLINK("https://us2.cloudbeds.com/connect/10074733072513#/reservations/31674304913616?display=MH6QTTX5N&amp;reservation_id=31674304913616", "MH6QTTX5N")</f>
        <v>MH6QTTX5N</v>
      </c>
      <c r="B7023" t="s">
        <v>1090</v>
      </c>
      <c r="C7023">
        <v>169</v>
      </c>
      <c r="D7023">
        <v>183.71</v>
      </c>
      <c r="E7023">
        <v>183.7</v>
      </c>
      <c r="F7023">
        <v>0.01</v>
      </c>
    </row>
    <row r="7024" spans="1:6" x14ac:dyDescent="0.3">
      <c r="A7024" t="str">
        <f>HYPERLINK("https://us2.cloudbeds.com/connect/10074733072513#/reservations/31671969849508?display=MH507TVB9&amp;reservation_id=31671969849508", "MH507TVB9")</f>
        <v>MH507TVB9</v>
      </c>
      <c r="B7024" t="s">
        <v>1091</v>
      </c>
      <c r="C7024">
        <v>238</v>
      </c>
      <c r="D7024">
        <v>258.72000000000003</v>
      </c>
      <c r="E7024">
        <v>258.70999999999998</v>
      </c>
      <c r="F7024">
        <v>0.01</v>
      </c>
    </row>
    <row r="7025" spans="1:6" x14ac:dyDescent="0.3">
      <c r="A7025" t="str">
        <f>HYPERLINK("https://us2.cloudbeds.com/connect/10074733072513#/reservations/31671836024977?display=MH4TR22QF&amp;reservation_id=31671836024977", "MH4TR22QF")</f>
        <v>MH4TR22QF</v>
      </c>
      <c r="B7025" t="s">
        <v>1080</v>
      </c>
      <c r="C7025">
        <v>73</v>
      </c>
      <c r="D7025">
        <v>79.36</v>
      </c>
      <c r="E7025">
        <v>79.349999999999994</v>
      </c>
      <c r="F7025">
        <v>0.01</v>
      </c>
    </row>
    <row r="7026" spans="1:6" x14ac:dyDescent="0.3">
      <c r="A7026" t="str">
        <f>HYPERLINK("https://us2.cloudbeds.com/connect/10074733072513#/reservations/31671853183128?display=MH4U8HHME&amp;reservation_id=31671853183128", "MH4U8HHME")</f>
        <v>MH4U8HHME</v>
      </c>
      <c r="B7026" t="s">
        <v>1080</v>
      </c>
      <c r="C7026">
        <v>73</v>
      </c>
      <c r="D7026">
        <v>79.36</v>
      </c>
      <c r="E7026">
        <v>79.349999999999994</v>
      </c>
      <c r="F7026">
        <v>0.01</v>
      </c>
    </row>
    <row r="7027" spans="1:6" x14ac:dyDescent="0.3">
      <c r="A7027" t="str">
        <f>HYPERLINK("https://us2.cloudbeds.com/connect/10074733072513#/reservations/31671984234625?display=MH50K17QU&amp;reservation_id=31671984234625", "MH50K17QU")</f>
        <v>MH50K17QU</v>
      </c>
      <c r="B7027" t="s">
        <v>1091</v>
      </c>
      <c r="C7027">
        <v>218</v>
      </c>
      <c r="D7027">
        <v>236.98</v>
      </c>
      <c r="E7027">
        <v>236.97</v>
      </c>
      <c r="F7027">
        <v>0.01</v>
      </c>
    </row>
    <row r="7028" spans="1:6" x14ac:dyDescent="0.3">
      <c r="A7028" t="str">
        <f>HYPERLINK("https://us2.cloudbeds.com/connect/10074733072513#/reservations/31671945318533?display=MH4WK7B6D&amp;reservation_id=31671945318533", "MH4WK7B6D")</f>
        <v>MH4WK7B6D</v>
      </c>
      <c r="B7028" t="s">
        <v>1092</v>
      </c>
      <c r="C7028">
        <v>119</v>
      </c>
      <c r="D7028">
        <v>129.36000000000001</v>
      </c>
      <c r="E7028">
        <v>129.35</v>
      </c>
      <c r="F7028">
        <v>0.01</v>
      </c>
    </row>
    <row r="7029" spans="1:6" x14ac:dyDescent="0.3">
      <c r="A7029" t="str">
        <f>HYPERLINK("https://us2.cloudbeds.com/connect/10074733072513#/reservations/31675599982796?display=MH7QWUP2A&amp;reservation_id=31675599982796", "MH7QWUP2A")</f>
        <v>MH7QWUP2A</v>
      </c>
      <c r="B7029" t="s">
        <v>982</v>
      </c>
      <c r="C7029">
        <v>258</v>
      </c>
      <c r="D7029">
        <v>280.45999999999998</v>
      </c>
      <c r="E7029">
        <v>280.45</v>
      </c>
      <c r="F7029">
        <v>0.01</v>
      </c>
    </row>
    <row r="7030" spans="1:6" x14ac:dyDescent="0.3">
      <c r="A7030" t="str">
        <f>HYPERLINK("https://us2.cloudbeds.com/connect/10074733072513#/reservations/31671917768897?display=MH4VTWZ2V&amp;reservation_id=31671917768897", "MH4VTWZ2V")</f>
        <v>MH4VTWZ2V</v>
      </c>
      <c r="B7030" t="s">
        <v>1080</v>
      </c>
      <c r="C7030">
        <v>109</v>
      </c>
      <c r="D7030">
        <v>118.49</v>
      </c>
      <c r="E7030">
        <v>118.48</v>
      </c>
      <c r="F7030">
        <v>0.01</v>
      </c>
    </row>
    <row r="7031" spans="1:6" x14ac:dyDescent="0.3">
      <c r="A7031" t="str">
        <f>HYPERLINK("https://us2.cloudbeds.com/connect/10074733072513#/reservations/31671931805907?display=MH4W8RATT&amp;reservation_id=31671931805907", "MH4W8RATT")</f>
        <v>MH4W8RATT</v>
      </c>
      <c r="B7031" t="s">
        <v>1080</v>
      </c>
      <c r="C7031">
        <v>87.84</v>
      </c>
      <c r="D7031">
        <v>95.49</v>
      </c>
      <c r="E7031">
        <v>95.48</v>
      </c>
      <c r="F7031">
        <v>0.01</v>
      </c>
    </row>
    <row r="7032" spans="1:6" x14ac:dyDescent="0.3">
      <c r="A7032" t="str">
        <f>HYPERLINK("https://us2.cloudbeds.com/connect/10074733072513#/reservations/31671961022629?display=MH500FAS3&amp;reservation_id=31671961022629", "MH500FAS3")</f>
        <v>MH500FAS3</v>
      </c>
      <c r="B7032" t="s">
        <v>1092</v>
      </c>
      <c r="C7032">
        <v>99</v>
      </c>
      <c r="D7032">
        <v>107.62</v>
      </c>
      <c r="E7032">
        <v>107.61</v>
      </c>
      <c r="F7032">
        <v>0.01</v>
      </c>
    </row>
    <row r="7033" spans="1:6" x14ac:dyDescent="0.3">
      <c r="A7033" t="str">
        <f>HYPERLINK("https://us2.cloudbeds.com/connect/10074733072513#/reservations/31674678022273?display=MH73EGS0Y&amp;reservation_id=31674678022273", "MH73EGS0Y")</f>
        <v>MH73EGS0Y</v>
      </c>
      <c r="B7033" t="s">
        <v>982</v>
      </c>
      <c r="C7033">
        <v>258</v>
      </c>
      <c r="D7033">
        <v>280.45999999999998</v>
      </c>
      <c r="E7033">
        <v>280.45</v>
      </c>
      <c r="F7033">
        <v>0.01</v>
      </c>
    </row>
    <row r="7034" spans="1:6" x14ac:dyDescent="0.3">
      <c r="A7034" t="str">
        <f>HYPERLINK("https://us2.cloudbeds.com/connect/10074733072513#/reservations/31672238776476?display=MH573M7TB&amp;reservation_id=31672238776476", "MH573M7TB")</f>
        <v>MH573M7TB</v>
      </c>
      <c r="B7034" t="s">
        <v>1080</v>
      </c>
      <c r="C7034">
        <v>119</v>
      </c>
      <c r="D7034">
        <v>129.36000000000001</v>
      </c>
      <c r="E7034">
        <v>129.35</v>
      </c>
      <c r="F7034">
        <v>0.01</v>
      </c>
    </row>
    <row r="7035" spans="1:6" x14ac:dyDescent="0.3">
      <c r="A7035" t="str">
        <f>HYPERLINK("https://us2.cloudbeds.com/connect/10074733072513#/reservations/31676902707447?display=MH8R9DWPT&amp;reservation_id=31676902707447", "MH8R9DWPT")</f>
        <v>MH8R9DWPT</v>
      </c>
      <c r="B7035" t="s">
        <v>925</v>
      </c>
      <c r="C7035">
        <v>149</v>
      </c>
      <c r="D7035">
        <v>161.97</v>
      </c>
      <c r="E7035">
        <v>161.96</v>
      </c>
      <c r="F7035">
        <v>0.01</v>
      </c>
    </row>
    <row r="7036" spans="1:6" x14ac:dyDescent="0.3">
      <c r="A7036" t="str">
        <f>HYPERLINK("https://us2.cloudbeds.com/connect/10074733072513#/reservations/31671988195532?display=MH50NCF0D&amp;reservation_id=31671988195532", "MH50NCF0D")</f>
        <v>MH50NCF0D</v>
      </c>
      <c r="B7036" t="s">
        <v>1061</v>
      </c>
      <c r="C7036">
        <v>159.88</v>
      </c>
      <c r="D7036">
        <v>173.8</v>
      </c>
      <c r="E7036">
        <v>173.79</v>
      </c>
      <c r="F7036">
        <v>0.01</v>
      </c>
    </row>
    <row r="7037" spans="1:6" x14ac:dyDescent="0.3">
      <c r="A7037" t="str">
        <f>HYPERLINK("https://us2.cloudbeds.com/connect/10074733072513#/reservations/31672003944654?display=MH513YN0H&amp;reservation_id=31672003944654", "MH513YN0H")</f>
        <v>MH513YN0H</v>
      </c>
      <c r="B7037" t="s">
        <v>1091</v>
      </c>
      <c r="C7037">
        <v>99</v>
      </c>
      <c r="D7037">
        <v>107.62</v>
      </c>
      <c r="E7037">
        <v>107.61</v>
      </c>
      <c r="F7037">
        <v>0.01</v>
      </c>
    </row>
    <row r="7038" spans="1:6" x14ac:dyDescent="0.3">
      <c r="A7038" t="str">
        <f>HYPERLINK("https://us2.cloudbeds.com/connect/10074733072513#/reservations/31672607256774?display=MH5GHCZKW&amp;reservation_id=31672607256774", "MH5GHCZKW")</f>
        <v>MH5GHCZKW</v>
      </c>
      <c r="B7038" t="s">
        <v>1069</v>
      </c>
      <c r="C7038">
        <v>238</v>
      </c>
      <c r="D7038">
        <v>258.72000000000003</v>
      </c>
      <c r="E7038">
        <v>258.70999999999998</v>
      </c>
      <c r="F7038">
        <v>0.01</v>
      </c>
    </row>
    <row r="7039" spans="1:6" x14ac:dyDescent="0.3">
      <c r="A7039" t="str">
        <f>HYPERLINK("https://us2.cloudbeds.com/connect/10074733072513#/reservations/31671947231443?display=MH4WYRXPC&amp;reservation_id=31671947231443", "MH4WYRXPC")</f>
        <v>MH4WYRXPC</v>
      </c>
      <c r="B7039" t="s">
        <v>1091</v>
      </c>
      <c r="C7039">
        <v>84.65</v>
      </c>
      <c r="D7039">
        <v>92.02</v>
      </c>
      <c r="E7039">
        <v>92.01</v>
      </c>
      <c r="F7039">
        <v>0.01</v>
      </c>
    </row>
    <row r="7040" spans="1:6" x14ac:dyDescent="0.3">
      <c r="A7040" t="str">
        <f>HYPERLINK("https://us2.cloudbeds.com/connect/10074733072513#/reservations/31672106426570?display=MH53Z2DF4&amp;reservation_id=31672106426570", "MH53Z2DF4")</f>
        <v>MH53Z2DF4</v>
      </c>
      <c r="B7040" t="s">
        <v>1061</v>
      </c>
      <c r="C7040">
        <v>99</v>
      </c>
      <c r="D7040">
        <v>107.62</v>
      </c>
      <c r="E7040">
        <v>107.61</v>
      </c>
      <c r="F7040">
        <v>0.01</v>
      </c>
    </row>
    <row r="7041" spans="1:6" x14ac:dyDescent="0.3">
      <c r="A7041" t="str">
        <f>HYPERLINK("https://us2.cloudbeds.com/connect/10074733072513#/reservations/31672022237324?display=MH51J2NMS&amp;reservation_id=31672022237324", "MH51J2NMS")</f>
        <v>MH51J2NMS</v>
      </c>
      <c r="B7041" t="s">
        <v>1091</v>
      </c>
      <c r="C7041">
        <v>62.56</v>
      </c>
      <c r="D7041">
        <v>68.010000000000005</v>
      </c>
      <c r="E7041">
        <v>68</v>
      </c>
      <c r="F7041">
        <v>0.01</v>
      </c>
    </row>
    <row r="7042" spans="1:6" x14ac:dyDescent="0.3">
      <c r="A7042" t="str">
        <f>HYPERLINK("https://us2.cloudbeds.com/connect/10074733072513#/reservations/31672031858903?display=MH51R6EUS&amp;reservation_id=31672031858903", "MH51R6EUS")</f>
        <v>MH51R6EUS</v>
      </c>
      <c r="B7042" t="s">
        <v>1091</v>
      </c>
      <c r="C7042">
        <v>62.56</v>
      </c>
      <c r="D7042">
        <v>68.010000000000005</v>
      </c>
      <c r="E7042">
        <v>68</v>
      </c>
      <c r="F7042">
        <v>0.01</v>
      </c>
    </row>
    <row r="7043" spans="1:6" x14ac:dyDescent="0.3">
      <c r="A7043" t="str">
        <f>HYPERLINK("https://us2.cloudbeds.com/connect/10074733072513#/reservations/31672950849780?display=MH5PA3Z18&amp;reservation_id=31672950849780", "MH5PA3Z18")</f>
        <v>MH5PA3Z18</v>
      </c>
      <c r="B7043" t="s">
        <v>1069</v>
      </c>
      <c r="C7043">
        <v>119</v>
      </c>
      <c r="D7043">
        <v>129.36000000000001</v>
      </c>
      <c r="E7043">
        <v>129.35</v>
      </c>
      <c r="F7043">
        <v>0.01</v>
      </c>
    </row>
    <row r="7044" spans="1:6" x14ac:dyDescent="0.3">
      <c r="A7044" t="str">
        <f>HYPERLINK("https://us2.cloudbeds.com/connect/10074733072513#/reservations/31671982088375?display=MH50X7GW1&amp;reservation_id=31671982088375", "MH50X7GW1")</f>
        <v>MH50X7GW1</v>
      </c>
      <c r="B7044" t="s">
        <v>1091</v>
      </c>
      <c r="C7044">
        <v>62.56</v>
      </c>
      <c r="D7044">
        <v>68.010000000000005</v>
      </c>
      <c r="E7044">
        <v>68</v>
      </c>
      <c r="F7044">
        <v>0.01</v>
      </c>
    </row>
    <row r="7045" spans="1:6" x14ac:dyDescent="0.3">
      <c r="A7045" t="str">
        <f>HYPERLINK("https://us2.cloudbeds.com/connect/10074733072513#/reservations/31672266330323?display=MH57QTVSD&amp;reservation_id=31672266330323", "MH57QTVSD")</f>
        <v>MH57QTVSD</v>
      </c>
      <c r="B7045" t="s">
        <v>1053</v>
      </c>
      <c r="C7045">
        <v>238</v>
      </c>
      <c r="D7045">
        <v>258.72000000000003</v>
      </c>
      <c r="E7045">
        <v>258.70999999999998</v>
      </c>
      <c r="F7045">
        <v>0.01</v>
      </c>
    </row>
    <row r="7046" spans="1:6" x14ac:dyDescent="0.3">
      <c r="A7046" t="str">
        <f>HYPERLINK("https://us2.cloudbeds.com/connect/10074733072513#/reservations/31672020717698?display=MH51HQE8J&amp;reservation_id=31672020717698", "MH51HQE8J")</f>
        <v>MH51HQE8J</v>
      </c>
      <c r="B7046" t="s">
        <v>1061</v>
      </c>
      <c r="C7046">
        <v>99</v>
      </c>
      <c r="D7046">
        <v>107.62</v>
      </c>
      <c r="E7046">
        <v>107.61</v>
      </c>
      <c r="F7046">
        <v>0.01</v>
      </c>
    </row>
    <row r="7047" spans="1:6" x14ac:dyDescent="0.3">
      <c r="A7047" t="str">
        <f>HYPERLINK("https://us2.cloudbeds.com/connect/10074733072513#/reservations/31672296005768?display=MH58XUZ1A&amp;reservation_id=31672296005768", "MH58XUZ1A")</f>
        <v>MH58XUZ1A</v>
      </c>
      <c r="B7047" t="s">
        <v>1061</v>
      </c>
      <c r="C7047">
        <v>99</v>
      </c>
      <c r="D7047">
        <v>107.62</v>
      </c>
      <c r="E7047">
        <v>107.61</v>
      </c>
      <c r="F7047">
        <v>0.01</v>
      </c>
    </row>
    <row r="7048" spans="1:6" x14ac:dyDescent="0.3">
      <c r="A7048" t="str">
        <f>HYPERLINK("https://us2.cloudbeds.com/connect/10074733072513#/reservations/31672000692469?display=MH510U6KF&amp;reservation_id=31672000692469", "MH510U6KF")</f>
        <v>MH510U6KF</v>
      </c>
      <c r="B7048" t="s">
        <v>1061</v>
      </c>
      <c r="C7048">
        <v>99</v>
      </c>
      <c r="D7048">
        <v>107.62</v>
      </c>
      <c r="E7048">
        <v>107.61</v>
      </c>
      <c r="F7048">
        <v>0.01</v>
      </c>
    </row>
    <row r="7049" spans="1:6" x14ac:dyDescent="0.3">
      <c r="A7049" t="str">
        <f>HYPERLINK("https://us2.cloudbeds.com/connect/10074733072513#/reservations/31672615637152?display=MH5GZEV3R&amp;reservation_id=31672615637152", "MH5GZEV3R")</f>
        <v>MH5GZEV3R</v>
      </c>
      <c r="B7049" t="s">
        <v>1067</v>
      </c>
      <c r="C7049">
        <v>129</v>
      </c>
      <c r="D7049">
        <v>140.22999999999999</v>
      </c>
      <c r="E7049">
        <v>140.22</v>
      </c>
      <c r="F7049">
        <v>0.01</v>
      </c>
    </row>
    <row r="7050" spans="1:6" x14ac:dyDescent="0.3">
      <c r="A7050" t="str">
        <f>HYPERLINK("https://us2.cloudbeds.com/connect/10074733072513#/reservations/31672648085753?display=MH5HXQSQP&amp;reservation_id=31672648085753", "MH5HXQSQP")</f>
        <v>MH5HXQSQP</v>
      </c>
      <c r="B7050" t="s">
        <v>1067</v>
      </c>
      <c r="C7050">
        <v>119</v>
      </c>
      <c r="D7050">
        <v>129.36000000000001</v>
      </c>
      <c r="E7050">
        <v>129.35</v>
      </c>
      <c r="F7050">
        <v>0.01</v>
      </c>
    </row>
    <row r="7051" spans="1:6" x14ac:dyDescent="0.3">
      <c r="A7051" t="str">
        <f>HYPERLINK("https://us2.cloudbeds.com/connect/10074733072513#/reservations/31672319611074?display=MH595RJ5K&amp;reservation_id=31672319611074", "MH595RJ5K")</f>
        <v>MH595RJ5K</v>
      </c>
      <c r="B7051" t="s">
        <v>1061</v>
      </c>
      <c r="C7051">
        <v>62.56</v>
      </c>
      <c r="D7051">
        <v>68.010000000000005</v>
      </c>
      <c r="E7051">
        <v>68</v>
      </c>
      <c r="F7051">
        <v>0.01</v>
      </c>
    </row>
    <row r="7052" spans="1:6" x14ac:dyDescent="0.3">
      <c r="A7052" t="str">
        <f>HYPERLINK("https://us2.cloudbeds.com/connect/10074733072513#/reservations/31672165503151?display=MH557T9UX&amp;reservation_id=31672165503151", "MH557T9UX")</f>
        <v>MH557T9UX</v>
      </c>
      <c r="B7052" t="s">
        <v>1068</v>
      </c>
      <c r="C7052">
        <v>109</v>
      </c>
      <c r="D7052">
        <v>118.49</v>
      </c>
      <c r="E7052">
        <v>118.48</v>
      </c>
      <c r="F7052">
        <v>0.01</v>
      </c>
    </row>
    <row r="7053" spans="1:6" x14ac:dyDescent="0.3">
      <c r="A7053" t="str">
        <f>HYPERLINK("https://us2.cloudbeds.com/connect/10074733072513#/reservations/31672384364757?display=MH5AREEPE&amp;reservation_id=31672384364757", "MH5AREEPE")</f>
        <v>MH5AREEPE</v>
      </c>
      <c r="B7053" t="s">
        <v>1053</v>
      </c>
      <c r="C7053">
        <v>119</v>
      </c>
      <c r="D7053">
        <v>129.36000000000001</v>
      </c>
      <c r="E7053">
        <v>129.35</v>
      </c>
      <c r="F7053">
        <v>0.01</v>
      </c>
    </row>
    <row r="7054" spans="1:6" x14ac:dyDescent="0.3">
      <c r="A7054" t="str">
        <f>HYPERLINK("https://us2.cloudbeds.com/connect/10074733072513#/reservations/31672378548353?display=MH5AMHJNP&amp;reservation_id=31672378548353", "MH5AMHJNP")</f>
        <v>MH5AMHJNP</v>
      </c>
      <c r="B7054" t="s">
        <v>1053</v>
      </c>
      <c r="C7054">
        <v>119</v>
      </c>
      <c r="D7054">
        <v>129.36000000000001</v>
      </c>
      <c r="E7054">
        <v>129.35</v>
      </c>
      <c r="F7054">
        <v>0.01</v>
      </c>
    </row>
    <row r="7055" spans="1:6" x14ac:dyDescent="0.3">
      <c r="A7055" t="str">
        <f>HYPERLINK("https://us2.cloudbeds.com/connect/10074733072513#/reservations/31672673992896?display=MH5X7YYVH&amp;reservation_id=31672673992896", "MH5X7YYVH")</f>
        <v>MH5X7YYVH</v>
      </c>
      <c r="B7055" t="s">
        <v>1053</v>
      </c>
      <c r="C7055">
        <v>119</v>
      </c>
      <c r="D7055">
        <v>129.36000000000001</v>
      </c>
      <c r="E7055">
        <v>129.35</v>
      </c>
      <c r="F7055">
        <v>0.01</v>
      </c>
    </row>
    <row r="7056" spans="1:6" x14ac:dyDescent="0.3">
      <c r="A7056" t="str">
        <f>HYPERLINK("https://us2.cloudbeds.com/connect/10074733072513#/reservations/31672328896656?display=MH59DYVST&amp;reservation_id=31672328896656", "MH59DYVST")</f>
        <v>MH59DYVST</v>
      </c>
      <c r="B7056" t="s">
        <v>1067</v>
      </c>
      <c r="C7056">
        <v>99</v>
      </c>
      <c r="D7056">
        <v>107.62</v>
      </c>
      <c r="E7056">
        <v>107.61</v>
      </c>
      <c r="F7056">
        <v>0.01</v>
      </c>
    </row>
    <row r="7057" spans="1:6" x14ac:dyDescent="0.3">
      <c r="A7057" t="str">
        <f>HYPERLINK("https://us2.cloudbeds.com/connect/10074733072513#/reservations/31672559988952?display=MH5FAHERZ&amp;reservation_id=31672559988952", "MH5FAHERZ")</f>
        <v>MH5FAHERZ</v>
      </c>
      <c r="B7057" t="s">
        <v>1069</v>
      </c>
      <c r="C7057">
        <v>129</v>
      </c>
      <c r="D7057">
        <v>140.22999999999999</v>
      </c>
      <c r="E7057">
        <v>140.22</v>
      </c>
      <c r="F7057">
        <v>0.01</v>
      </c>
    </row>
    <row r="7058" spans="1:6" x14ac:dyDescent="0.3">
      <c r="A7058" t="str">
        <f>HYPERLINK("https://us2.cloudbeds.com/connect/10074733072513#/reservations/31672418083005?display=MH5BMSNBH&amp;reservation_id=31672418083005", "MH5BMSNBH")</f>
        <v>MH5BMSNBH</v>
      </c>
      <c r="B7058" t="s">
        <v>1095</v>
      </c>
      <c r="C7058">
        <v>109</v>
      </c>
      <c r="D7058">
        <v>118.49</v>
      </c>
      <c r="E7058">
        <v>118.48</v>
      </c>
      <c r="F7058">
        <v>0.01</v>
      </c>
    </row>
    <row r="7059" spans="1:6" x14ac:dyDescent="0.3">
      <c r="A7059" t="str">
        <f>HYPERLINK("https://us2.cloudbeds.com/connect/10074733072513#/reservations/31672116342933?display=MH53WEBCW&amp;reservation_id=31672116342933", "MH53WEBCW")</f>
        <v>MH53WEBCW</v>
      </c>
      <c r="B7059" t="s">
        <v>1077</v>
      </c>
      <c r="C7059">
        <v>231.92</v>
      </c>
      <c r="D7059">
        <v>252.11</v>
      </c>
      <c r="E7059">
        <v>252.1</v>
      </c>
      <c r="F7059">
        <v>0.01</v>
      </c>
    </row>
    <row r="7060" spans="1:6" x14ac:dyDescent="0.3">
      <c r="A7060" t="str">
        <f>HYPERLINK("https://us2.cloudbeds.com/connect/10074733072513#/reservations/31672408031465?display=MH5BED09D&amp;reservation_id=31672408031465", "MH5BED09D")</f>
        <v>MH5BED09D</v>
      </c>
      <c r="B7060" t="s">
        <v>1095</v>
      </c>
      <c r="C7060">
        <v>109</v>
      </c>
      <c r="D7060">
        <v>118.49</v>
      </c>
      <c r="E7060">
        <v>118.48</v>
      </c>
      <c r="F7060">
        <v>0.01</v>
      </c>
    </row>
    <row r="7061" spans="1:6" x14ac:dyDescent="0.3">
      <c r="A7061" t="str">
        <f>HYPERLINK("https://us2.cloudbeds.com/connect/10074733072513#/reservations/31672800882918?display=MH5YFYMDT&amp;reservation_id=31672800882918", "MH5YFYMDT")</f>
        <v>MH5YFYMDT</v>
      </c>
      <c r="B7061" t="s">
        <v>1096</v>
      </c>
      <c r="C7061">
        <v>73</v>
      </c>
      <c r="D7061">
        <v>79.36</v>
      </c>
      <c r="E7061">
        <v>79.349999999999994</v>
      </c>
      <c r="F7061">
        <v>0.01</v>
      </c>
    </row>
    <row r="7062" spans="1:6" x14ac:dyDescent="0.3">
      <c r="A7062" t="str">
        <f>HYPERLINK("https://us2.cloudbeds.com/connect/10074733072513#/reservations/31672794808460?display=MH5YAHYDD&amp;reservation_id=31672794808460", "MH5YAHYDD")</f>
        <v>MH5YAHYDD</v>
      </c>
      <c r="B7062" t="s">
        <v>1095</v>
      </c>
      <c r="C7062">
        <v>109</v>
      </c>
      <c r="D7062">
        <v>118.49</v>
      </c>
      <c r="E7062">
        <v>118.48</v>
      </c>
      <c r="F7062">
        <v>0.01</v>
      </c>
    </row>
    <row r="7063" spans="1:6" x14ac:dyDescent="0.3">
      <c r="A7063" t="str">
        <f>HYPERLINK("https://us2.cloudbeds.com/connect/10074733072513#/reservations/31671723810961?display=MH4QVEXKZ&amp;reservation_id=31671723810961", "MH4QVEXKZ")</f>
        <v>MH4QVEXKZ</v>
      </c>
      <c r="B7063" t="s">
        <v>1064</v>
      </c>
      <c r="C7063">
        <v>119</v>
      </c>
      <c r="D7063">
        <v>129.36000000000001</v>
      </c>
      <c r="E7063">
        <v>129.35</v>
      </c>
      <c r="F7063">
        <v>0.01</v>
      </c>
    </row>
    <row r="7064" spans="1:6" x14ac:dyDescent="0.3">
      <c r="A7064" t="str">
        <f>HYPERLINK("https://us2.cloudbeds.com/connect/10074733072513#/reservations/31672438689920?display=MH5C780EA&amp;reservation_id=31672438689920", "MH5C780EA")</f>
        <v>MH5C780EA</v>
      </c>
      <c r="B7064" t="s">
        <v>1089</v>
      </c>
      <c r="C7064">
        <v>321.3</v>
      </c>
      <c r="D7064">
        <v>349.26</v>
      </c>
      <c r="E7064">
        <v>349.25</v>
      </c>
      <c r="F7064">
        <v>0.01</v>
      </c>
    </row>
    <row r="7065" spans="1:6" x14ac:dyDescent="0.3">
      <c r="A7065" t="str">
        <f>HYPERLINK("https://us2.cloudbeds.com/connect/10074733072513#/reservations/31673369772258?display=MH630BSGQ&amp;reservation_id=31673369772258", "MH630BSGQ")</f>
        <v>MH630BSGQ</v>
      </c>
      <c r="B7065" t="s">
        <v>1028</v>
      </c>
      <c r="C7065">
        <v>258</v>
      </c>
      <c r="D7065">
        <v>280.45999999999998</v>
      </c>
      <c r="E7065">
        <v>280.45</v>
      </c>
      <c r="F7065">
        <v>0.01</v>
      </c>
    </row>
    <row r="7066" spans="1:6" x14ac:dyDescent="0.3">
      <c r="A7066" t="str">
        <f>HYPERLINK("https://us2.cloudbeds.com/connect/10074733072513#/reservations/31673014644942?display=MH5QUTUEW&amp;reservation_id=31673014644942", "MH5QUTUEW")</f>
        <v>MH5QUTUEW</v>
      </c>
      <c r="B7066" t="s">
        <v>1083</v>
      </c>
      <c r="C7066">
        <v>99</v>
      </c>
      <c r="D7066">
        <v>107.62</v>
      </c>
      <c r="E7066">
        <v>107.61</v>
      </c>
      <c r="F7066">
        <v>0.01</v>
      </c>
    </row>
    <row r="7067" spans="1:6" x14ac:dyDescent="0.3">
      <c r="A7067" t="str">
        <f>HYPERLINK("https://us2.cloudbeds.com/connect/10074733072513#/reservations/31672944259227?display=MH5P4XB3G&amp;reservation_id=31672944259227", "MH5P4XB3G")</f>
        <v>MH5P4XB3G</v>
      </c>
      <c r="B7067" t="s">
        <v>1069</v>
      </c>
      <c r="C7067">
        <v>159</v>
      </c>
      <c r="D7067">
        <v>172.84</v>
      </c>
      <c r="E7067">
        <v>172.83</v>
      </c>
      <c r="F7067">
        <v>0.01</v>
      </c>
    </row>
    <row r="7068" spans="1:6" x14ac:dyDescent="0.3">
      <c r="A7068" t="str">
        <f>HYPERLINK("https://us2.cloudbeds.com/connect/10074733072513#/reservations/31672311644323?display=MH58W3TGU&amp;reservation_id=31672311644323", "MH58W3TGU")</f>
        <v>MH58W3TGU</v>
      </c>
      <c r="B7068" t="s">
        <v>1099</v>
      </c>
      <c r="C7068">
        <v>321.3</v>
      </c>
      <c r="D7068">
        <v>349.26</v>
      </c>
      <c r="E7068">
        <v>349.25</v>
      </c>
      <c r="F7068">
        <v>0.01</v>
      </c>
    </row>
    <row r="7069" spans="1:6" x14ac:dyDescent="0.3">
      <c r="A7069" t="str">
        <f>HYPERLINK("https://us2.cloudbeds.com/connect/10074733072513#/reservations/31672976543914?display=MH5PVPN9C&amp;reservation_id=31672976543914", "MH5PVPN9C")</f>
        <v>MH5PVPN9C</v>
      </c>
      <c r="B7069" t="s">
        <v>1083</v>
      </c>
      <c r="C7069">
        <v>79.94</v>
      </c>
      <c r="D7069">
        <v>86.9</v>
      </c>
      <c r="E7069">
        <v>86.89</v>
      </c>
      <c r="F7069">
        <v>0.01</v>
      </c>
    </row>
    <row r="7070" spans="1:6" x14ac:dyDescent="0.3">
      <c r="A7070" t="str">
        <f>HYPERLINK("https://us2.cloudbeds.com/connect/10074733072513#/reservations/31671778922731?display=MH4SBU4AC&amp;reservation_id=31671778922731", "MH4SBU4AC")</f>
        <v>MH4SBU4AC</v>
      </c>
      <c r="B7070" t="s">
        <v>1064</v>
      </c>
      <c r="C7070">
        <v>87.84</v>
      </c>
      <c r="D7070">
        <v>95.49</v>
      </c>
      <c r="E7070">
        <v>95.48</v>
      </c>
      <c r="F7070">
        <v>0.01</v>
      </c>
    </row>
    <row r="7071" spans="1:6" x14ac:dyDescent="0.3">
      <c r="A7071" t="str">
        <f>HYPERLINK("https://us2.cloudbeds.com/connect/10074733072513#/reservations/31672080220412?display=MH531W614&amp;reservation_id=31672080220412", "MH531W614")</f>
        <v>MH531W614</v>
      </c>
      <c r="B7071" t="s">
        <v>1068</v>
      </c>
      <c r="C7071">
        <v>109</v>
      </c>
      <c r="D7071">
        <v>118.49</v>
      </c>
      <c r="E7071">
        <v>118.48</v>
      </c>
      <c r="F7071">
        <v>0.01</v>
      </c>
    </row>
    <row r="7072" spans="1:6" x14ac:dyDescent="0.3">
      <c r="A7072" t="str">
        <f>HYPERLINK("https://us2.cloudbeds.com/connect/10074733072513#/reservations/31673686876290?display=MH6B3ZZPT&amp;reservation_id=31673686876290", "MH6B3ZZPT")</f>
        <v>MH6B3ZZPT</v>
      </c>
      <c r="B7072" t="s">
        <v>1101</v>
      </c>
      <c r="C7072">
        <v>376</v>
      </c>
      <c r="D7072">
        <v>408.72</v>
      </c>
      <c r="E7072">
        <v>408.71</v>
      </c>
      <c r="F7072">
        <v>0.01</v>
      </c>
    </row>
    <row r="7073" spans="1:6" x14ac:dyDescent="0.3">
      <c r="A7073" t="str">
        <f>HYPERLINK("https://us2.cloudbeds.com/connect/10074733072513#/reservations/31672519258260?display=MH5E961UB&amp;reservation_id=31672519258260", "MH5E961UB")</f>
        <v>MH5E961UB</v>
      </c>
      <c r="B7073" t="s">
        <v>1069</v>
      </c>
      <c r="C7073">
        <v>258</v>
      </c>
      <c r="D7073">
        <v>280.45999999999998</v>
      </c>
      <c r="E7073">
        <v>280.45</v>
      </c>
      <c r="F7073">
        <v>0.01</v>
      </c>
    </row>
    <row r="7074" spans="1:6" x14ac:dyDescent="0.3">
      <c r="A7074" t="str">
        <f>HYPERLINK("https://us2.cloudbeds.com/connect/10074733072513#/reservations/31672397414560?display=MH5B5EJ1W&amp;reservation_id=31672397414560", "MH5B5EJ1W")</f>
        <v>MH5B5EJ1W</v>
      </c>
      <c r="B7074" t="s">
        <v>1068</v>
      </c>
      <c r="C7074">
        <v>77.5</v>
      </c>
      <c r="D7074">
        <v>84.25</v>
      </c>
      <c r="E7074">
        <v>84.24</v>
      </c>
      <c r="F7074">
        <v>0.01</v>
      </c>
    </row>
    <row r="7075" spans="1:6" x14ac:dyDescent="0.3">
      <c r="A7075" t="str">
        <f>HYPERLINK("https://us2.cloudbeds.com/connect/10074733072513#/reservations/31673023156383?display=MH5R52P9E&amp;reservation_id=31673023156383", "MH5R52P9E")</f>
        <v>MH5R52P9E</v>
      </c>
      <c r="B7075" t="s">
        <v>1060</v>
      </c>
      <c r="C7075">
        <v>119</v>
      </c>
      <c r="D7075">
        <v>129.36000000000001</v>
      </c>
      <c r="E7075">
        <v>129.35</v>
      </c>
      <c r="F7075">
        <v>0.01</v>
      </c>
    </row>
    <row r="7076" spans="1:6" x14ac:dyDescent="0.3">
      <c r="A7076" t="str">
        <f>HYPERLINK("https://us2.cloudbeds.com/connect/10074733072513#/reservations/31672481915011?display=MH5DAMUJZ&amp;reservation_id=31672481915011", "MH5DAMUJZ")</f>
        <v>MH5DAMUJZ</v>
      </c>
      <c r="B7076" t="s">
        <v>1097</v>
      </c>
      <c r="C7076">
        <v>139</v>
      </c>
      <c r="D7076">
        <v>151.1</v>
      </c>
      <c r="E7076">
        <v>151.09</v>
      </c>
      <c r="F7076">
        <v>0.01</v>
      </c>
    </row>
    <row r="7077" spans="1:6" x14ac:dyDescent="0.3">
      <c r="A7077" t="str">
        <f>HYPERLINK("https://us2.cloudbeds.com/connect/10074733072513#/reservations/31672385458380?display=MH5ASBT0H&amp;reservation_id=31672385458380", "MH5ASBT0H")</f>
        <v>MH5ASBT0H</v>
      </c>
      <c r="B7077" t="s">
        <v>1077</v>
      </c>
      <c r="C7077">
        <v>149</v>
      </c>
      <c r="D7077">
        <v>161.97</v>
      </c>
      <c r="E7077">
        <v>161.96</v>
      </c>
      <c r="F7077">
        <v>0.01</v>
      </c>
    </row>
    <row r="7078" spans="1:6" x14ac:dyDescent="0.3">
      <c r="A7078" t="str">
        <f>HYPERLINK("https://us2.cloudbeds.com/connect/10074733072513#/reservations/31674213863638?display=MH6ZJ3VCF&amp;reservation_id=31674213863638", "MH6ZJ3VCF")</f>
        <v>MH6ZJ3VCF</v>
      </c>
      <c r="B7078" t="s">
        <v>1006</v>
      </c>
      <c r="C7078">
        <v>278</v>
      </c>
      <c r="D7078">
        <v>302.2</v>
      </c>
      <c r="E7078">
        <v>302.19</v>
      </c>
      <c r="F7078">
        <v>0.01</v>
      </c>
    </row>
    <row r="7079" spans="1:6" x14ac:dyDescent="0.3">
      <c r="A7079" t="str">
        <f>HYPERLINK("https://us2.cloudbeds.com/connect/10074733072513#/reservations/31672477425916?display=MH5D6U0CX&amp;reservation_id=31672477425916", "MH5D6U0CX")</f>
        <v>MH5D6U0CX</v>
      </c>
      <c r="B7079" t="s">
        <v>1089</v>
      </c>
      <c r="C7079">
        <v>182</v>
      </c>
      <c r="D7079">
        <v>197.84</v>
      </c>
      <c r="E7079">
        <v>197.83</v>
      </c>
      <c r="F7079">
        <v>0.01</v>
      </c>
    </row>
    <row r="7080" spans="1:6" x14ac:dyDescent="0.3">
      <c r="A7080" t="str">
        <f>HYPERLINK("https://us2.cloudbeds.com/connect/10074733072513#/reservations/31672364380382?display=MH5AAJBYA&amp;reservation_id=31672364380382", "MH5AAJBYA")</f>
        <v>MH5AAJBYA</v>
      </c>
      <c r="B7080" t="s">
        <v>1077</v>
      </c>
      <c r="C7080">
        <v>87.84</v>
      </c>
      <c r="D7080">
        <v>95.49</v>
      </c>
      <c r="E7080">
        <v>95.48</v>
      </c>
      <c r="F7080">
        <v>0.01</v>
      </c>
    </row>
    <row r="7081" spans="1:6" x14ac:dyDescent="0.3">
      <c r="A7081" t="str">
        <f>HYPERLINK("https://us2.cloudbeds.com/connect/10074733072513#/reservations/31672442519798?display=MH5CAFN0D&amp;reservation_id=31672442519798", "MH5CAFN0D")</f>
        <v>MH5CAFN0D</v>
      </c>
      <c r="B7081" t="s">
        <v>1097</v>
      </c>
      <c r="C7081">
        <v>109</v>
      </c>
      <c r="D7081">
        <v>118.49</v>
      </c>
      <c r="E7081">
        <v>118.48</v>
      </c>
      <c r="F7081">
        <v>0.01</v>
      </c>
    </row>
    <row r="7082" spans="1:6" x14ac:dyDescent="0.3">
      <c r="A7082" t="str">
        <f>HYPERLINK("https://us2.cloudbeds.com/connect/10074733072513#/reservations/31671763968169?display=MH4RW9WUR&amp;reservation_id=31671763968169", "MH4RW9WUR")</f>
        <v>MH4RW9WUR</v>
      </c>
      <c r="B7082" t="s">
        <v>1064</v>
      </c>
      <c r="C7082">
        <v>169</v>
      </c>
      <c r="D7082">
        <v>183.71</v>
      </c>
      <c r="E7082">
        <v>183.7</v>
      </c>
      <c r="F7082">
        <v>0.01</v>
      </c>
    </row>
    <row r="7083" spans="1:6" x14ac:dyDescent="0.3">
      <c r="A7083" t="str">
        <f>HYPERLINK("https://us2.cloudbeds.com/connect/10074733072513#/reservations/31671738552462?display=MH4RASPBT&amp;reservation_id=31671738552462", "MH4RASPBT")</f>
        <v>MH4RASPBT</v>
      </c>
      <c r="B7083" t="s">
        <v>1097</v>
      </c>
      <c r="C7083">
        <v>109</v>
      </c>
      <c r="D7083">
        <v>118.49</v>
      </c>
      <c r="E7083">
        <v>118.48</v>
      </c>
      <c r="F7083">
        <v>0.01</v>
      </c>
    </row>
    <row r="7084" spans="1:6" x14ac:dyDescent="0.3">
      <c r="A7084" t="str">
        <f>HYPERLINK("https://us2.cloudbeds.com/connect/10074733072513#/reservations/31671733440697?display=MH4R6XHBU&amp;reservation_id=31671733440697", "MH4R6XHBU")</f>
        <v>MH4R6XHBU</v>
      </c>
      <c r="B7084" t="s">
        <v>1097</v>
      </c>
      <c r="C7084">
        <v>109</v>
      </c>
      <c r="D7084">
        <v>118.49</v>
      </c>
      <c r="E7084">
        <v>118.48</v>
      </c>
      <c r="F7084">
        <v>0.01</v>
      </c>
    </row>
    <row r="7085" spans="1:6" x14ac:dyDescent="0.3">
      <c r="A7085" t="str">
        <f>HYPERLINK("https://us2.cloudbeds.com/connect/10074733072513#/reservations/31672557441243?display=MH5F8CXBE&amp;reservation_id=31672557441243", "MH5F8CXBE")</f>
        <v>MH5F8CXBE</v>
      </c>
      <c r="B7085" t="s">
        <v>1102</v>
      </c>
      <c r="C7085">
        <v>129</v>
      </c>
      <c r="D7085">
        <v>140.22999999999999</v>
      </c>
      <c r="E7085">
        <v>140.22</v>
      </c>
      <c r="F7085">
        <v>0.01</v>
      </c>
    </row>
    <row r="7086" spans="1:6" x14ac:dyDescent="0.3">
      <c r="A7086" t="str">
        <f>HYPERLINK("https://us2.cloudbeds.com/connect/10074733072513#/reservations/31672377913524?display=MH5AYWUPH&amp;reservation_id=31672377913524", "MH5AYWUPH")</f>
        <v>MH5AYWUPH</v>
      </c>
      <c r="B7086" t="s">
        <v>1077</v>
      </c>
      <c r="C7086">
        <v>149</v>
      </c>
      <c r="D7086">
        <v>161.97</v>
      </c>
      <c r="E7086">
        <v>161.96</v>
      </c>
      <c r="F7086">
        <v>0.01</v>
      </c>
    </row>
    <row r="7087" spans="1:6" x14ac:dyDescent="0.3">
      <c r="A7087" t="str">
        <f>HYPERLINK("https://us2.cloudbeds.com/connect/10074733072513#/reservations/31672418082944?display=MH5BED41C&amp;reservation_id=31672418082944", "MH5BED41C")</f>
        <v>MH5BED41C</v>
      </c>
      <c r="B7087" t="s">
        <v>1077</v>
      </c>
      <c r="C7087">
        <v>159</v>
      </c>
      <c r="D7087">
        <v>172.84</v>
      </c>
      <c r="E7087">
        <v>172.83</v>
      </c>
      <c r="F7087">
        <v>0.01</v>
      </c>
    </row>
    <row r="7088" spans="1:6" x14ac:dyDescent="0.3">
      <c r="A7088" t="str">
        <f>HYPERLINK("https://us2.cloudbeds.com/connect/10074733072513#/reservations/31671801000187?display=MH4SUHFF6&amp;reservation_id=31671801000187", "MH4SUHFF6")</f>
        <v>MH4SUHFF6</v>
      </c>
      <c r="B7088" t="s">
        <v>1064</v>
      </c>
      <c r="C7088">
        <v>87.84</v>
      </c>
      <c r="D7088">
        <v>95.49</v>
      </c>
      <c r="E7088">
        <v>95.48</v>
      </c>
      <c r="F7088">
        <v>0.01</v>
      </c>
    </row>
    <row r="7089" spans="1:6" x14ac:dyDescent="0.3">
      <c r="A7089" t="str">
        <f>HYPERLINK("https://us2.cloudbeds.com/connect/10074733072513#/reservations/31672651636942?display=MH5HYQMPX&amp;reservation_id=31672651636942", "MH5HYQMPX")</f>
        <v>MH5HYQMPX</v>
      </c>
      <c r="B7089" t="s">
        <v>1074</v>
      </c>
      <c r="C7089">
        <v>190</v>
      </c>
      <c r="D7089">
        <v>206.54</v>
      </c>
      <c r="E7089">
        <v>206.53</v>
      </c>
      <c r="F7089">
        <v>0.01</v>
      </c>
    </row>
    <row r="7090" spans="1:6" x14ac:dyDescent="0.3">
      <c r="A7090" t="str">
        <f>HYPERLINK("https://us2.cloudbeds.com/connect/10074733072513#/reservations/31672868622545?display=MH5N6PKUS&amp;reservation_id=31672868622545", "MH5N6PKUS")</f>
        <v>MH5N6PKUS</v>
      </c>
      <c r="B7090" t="s">
        <v>1088</v>
      </c>
      <c r="C7090">
        <v>518</v>
      </c>
      <c r="D7090">
        <v>563.08000000000004</v>
      </c>
      <c r="E7090">
        <v>563.07000000000005</v>
      </c>
      <c r="F7090">
        <v>0.01</v>
      </c>
    </row>
    <row r="7091" spans="1:6" x14ac:dyDescent="0.3">
      <c r="A7091" t="str">
        <f>HYPERLINK("https://us2.cloudbeds.com/connect/10074733072513#/reservations/31672081215659?display=MH532QSV4&amp;reservation_id=31672081215659", "MH532QSV4")</f>
        <v>MH532QSV4</v>
      </c>
      <c r="B7091" t="s">
        <v>1077</v>
      </c>
      <c r="C7091">
        <v>159</v>
      </c>
      <c r="D7091">
        <v>172.84</v>
      </c>
      <c r="E7091">
        <v>172.83</v>
      </c>
      <c r="F7091">
        <v>0.01</v>
      </c>
    </row>
    <row r="7092" spans="1:6" x14ac:dyDescent="0.3">
      <c r="A7092" t="str">
        <f>HYPERLINK("https://us2.cloudbeds.com/connect/10074733072513#/reservations/31677354795240?display=MH95RY02W&amp;reservation_id=31677354795240", "MH95RY02W")</f>
        <v>MH95RY02W</v>
      </c>
      <c r="B7092" t="s">
        <v>1035</v>
      </c>
      <c r="C7092">
        <v>149</v>
      </c>
      <c r="D7092">
        <v>161.97</v>
      </c>
      <c r="E7092">
        <v>161.96</v>
      </c>
      <c r="F7092">
        <v>0.01</v>
      </c>
    </row>
    <row r="7093" spans="1:6" x14ac:dyDescent="0.3">
      <c r="A7093" t="str">
        <f>HYPERLINK("https://us2.cloudbeds.com/connect/10074733072513#/reservations/31672841728233?display=MH5MH38JN&amp;reservation_id=31672841728233", "MH5MH38JN")</f>
        <v>MH5MH38JN</v>
      </c>
      <c r="B7093" t="s">
        <v>1088</v>
      </c>
      <c r="C7093">
        <v>109</v>
      </c>
      <c r="D7093">
        <v>118.49</v>
      </c>
      <c r="E7093">
        <v>118.48</v>
      </c>
      <c r="F7093">
        <v>0.01</v>
      </c>
    </row>
    <row r="7094" spans="1:6" x14ac:dyDescent="0.3">
      <c r="A7094" t="str">
        <f>HYPERLINK("https://us2.cloudbeds.com/connect/10074733072513#/reservations/31672651632848?display=MH5HYQJ0G&amp;reservation_id=31672651632848", "MH5HYQJ0G")</f>
        <v>MH5HYQJ0G</v>
      </c>
      <c r="B7094" t="s">
        <v>1098</v>
      </c>
      <c r="C7094">
        <v>77.5</v>
      </c>
      <c r="D7094">
        <v>84.25</v>
      </c>
      <c r="E7094">
        <v>84.24</v>
      </c>
      <c r="F7094">
        <v>0.01</v>
      </c>
    </row>
    <row r="7095" spans="1:6" x14ac:dyDescent="0.3">
      <c r="A7095" t="str">
        <f>HYPERLINK("https://us2.cloudbeds.com/connect/10074733072513#/reservations/31689143673057?display=MHXA2ATTM&amp;reservation_id=31689143673057", "MHXA2ATTM")</f>
        <v>MHXA2ATTM</v>
      </c>
      <c r="B7095" t="s">
        <v>974</v>
      </c>
      <c r="C7095">
        <v>238</v>
      </c>
      <c r="D7095">
        <v>258.72000000000003</v>
      </c>
      <c r="E7095">
        <v>258.70999999999998</v>
      </c>
      <c r="F7095">
        <v>0.01</v>
      </c>
    </row>
    <row r="7096" spans="1:6" x14ac:dyDescent="0.3">
      <c r="A7096" t="str">
        <f>HYPERLINK("https://us2.cloudbeds.com/connect/10074733072513#/reservations/31672501252311?display=MH5DR00HH&amp;reservation_id=31672501252311", "MH5DR00HH")</f>
        <v>MH5DR00HH</v>
      </c>
      <c r="B7096" t="s">
        <v>1105</v>
      </c>
      <c r="C7096">
        <v>109</v>
      </c>
      <c r="D7096">
        <v>118.49</v>
      </c>
      <c r="E7096">
        <v>118.48</v>
      </c>
      <c r="F7096">
        <v>0.01</v>
      </c>
    </row>
    <row r="7097" spans="1:6" x14ac:dyDescent="0.3">
      <c r="A7097" t="str">
        <f>HYPERLINK("https://us2.cloudbeds.com/connect/10074733072513#/reservations/31689570504897?display=MHXKW84AT&amp;reservation_id=31689570504897", "MHXKW84AT")</f>
        <v>MHXKW84AT</v>
      </c>
      <c r="B7097" t="s">
        <v>974</v>
      </c>
      <c r="C7097">
        <v>238</v>
      </c>
      <c r="D7097">
        <v>258.72000000000003</v>
      </c>
      <c r="E7097">
        <v>258.70999999999998</v>
      </c>
      <c r="F7097">
        <v>0.01</v>
      </c>
    </row>
    <row r="7098" spans="1:6" x14ac:dyDescent="0.3">
      <c r="A7098" t="str">
        <f>HYPERLINK("https://us2.cloudbeds.com/connect/10074733072513#/reservations/31672473657517?display=MH5D3Z4VY&amp;reservation_id=31672473657517", "MH5D3Z4VY")</f>
        <v>MH5D3Z4VY</v>
      </c>
      <c r="B7098" t="s">
        <v>1089</v>
      </c>
      <c r="C7098">
        <v>109</v>
      </c>
      <c r="D7098">
        <v>118.49</v>
      </c>
      <c r="E7098">
        <v>118.48</v>
      </c>
      <c r="F7098">
        <v>0.01</v>
      </c>
    </row>
    <row r="7099" spans="1:6" x14ac:dyDescent="0.3">
      <c r="A7099" t="str">
        <f>HYPERLINK("https://us2.cloudbeds.com/connect/10074733072513#/reservations/31672496107772?display=MH5DMYSED&amp;reservation_id=31672496107772", "MH5DMYSED")</f>
        <v>MH5DMYSED</v>
      </c>
      <c r="B7099" t="s">
        <v>1105</v>
      </c>
      <c r="C7099">
        <v>73</v>
      </c>
      <c r="D7099">
        <v>79.36</v>
      </c>
      <c r="E7099">
        <v>79.349999999999994</v>
      </c>
      <c r="F7099">
        <v>0.01</v>
      </c>
    </row>
    <row r="7100" spans="1:6" x14ac:dyDescent="0.3">
      <c r="A7100" t="str">
        <f>HYPERLINK("https://us2.cloudbeds.com/connect/10074733072513#/reservations/31672530424046?display=MH5EXJP5G&amp;reservation_id=31672530424046", "MH5EXJP5G")</f>
        <v>MH5EXJP5G</v>
      </c>
      <c r="B7100" t="s">
        <v>1098</v>
      </c>
      <c r="C7100">
        <v>109</v>
      </c>
      <c r="D7100">
        <v>118.49</v>
      </c>
      <c r="E7100">
        <v>118.48</v>
      </c>
      <c r="F7100">
        <v>0.01</v>
      </c>
    </row>
    <row r="7101" spans="1:6" x14ac:dyDescent="0.3">
      <c r="A7101" t="str">
        <f>HYPERLINK("https://us2.cloudbeds.com/connect/10074733072513#/reservations/31672603672721?display=MH5GEC0G8&amp;reservation_id=31672603672721", "MH5GEC0G8")</f>
        <v>MH5GEC0G8</v>
      </c>
      <c r="B7101" t="s">
        <v>1069</v>
      </c>
      <c r="C7101">
        <v>87.84</v>
      </c>
      <c r="D7101">
        <v>95.49</v>
      </c>
      <c r="E7101">
        <v>95.48</v>
      </c>
      <c r="F7101">
        <v>0.01</v>
      </c>
    </row>
    <row r="7102" spans="1:6" x14ac:dyDescent="0.3">
      <c r="A7102" t="str">
        <f>HYPERLINK("https://us2.cloudbeds.com/connect/10074733072513#/reservations/31677024690404?display=MH8UD9BH4&amp;reservation_id=31677024690404", "MH8UD9BH4")</f>
        <v>MH8UD9BH4</v>
      </c>
      <c r="B7102" t="s">
        <v>957</v>
      </c>
      <c r="C7102">
        <v>139</v>
      </c>
      <c r="D7102">
        <v>151.1</v>
      </c>
      <c r="E7102">
        <v>151.09</v>
      </c>
      <c r="F7102">
        <v>0.01</v>
      </c>
    </row>
    <row r="7103" spans="1:6" x14ac:dyDescent="0.3">
      <c r="A7103" t="str">
        <f>HYPERLINK("https://us2.cloudbeds.com/connect/10074733072513#/reservations/31671895396586?display=MH4VB4664&amp;reservation_id=31671895396586", "MH4VB4664")</f>
        <v>MH4VB4664</v>
      </c>
      <c r="B7103" t="s">
        <v>1028</v>
      </c>
      <c r="C7103">
        <v>150</v>
      </c>
      <c r="D7103">
        <v>163.06</v>
      </c>
      <c r="E7103">
        <v>163.05000000000001</v>
      </c>
      <c r="F7103">
        <v>0.01</v>
      </c>
    </row>
    <row r="7104" spans="1:6" x14ac:dyDescent="0.3">
      <c r="A7104" t="str">
        <f>HYPERLINK("https://us2.cloudbeds.com/connect/10074733072513#/reservations/31689172861182?display=MHXAQV3JB&amp;reservation_id=31689172861182", "MHXAQV3JB")</f>
        <v>MHXAQV3JB</v>
      </c>
      <c r="B7104" t="s">
        <v>974</v>
      </c>
      <c r="C7104">
        <v>322.2</v>
      </c>
      <c r="D7104">
        <v>350.24</v>
      </c>
      <c r="E7104">
        <v>350.23</v>
      </c>
      <c r="F7104">
        <v>0.01</v>
      </c>
    </row>
    <row r="7105" spans="1:6" x14ac:dyDescent="0.3">
      <c r="A7105" t="str">
        <f>HYPERLINK("https://us2.cloudbeds.com/connect/10074733072513#/reservations/31689546694886?display=MHXKC5J7D&amp;reservation_id=31689546694886", "MHXKC5J7D")</f>
        <v>MHXKC5J7D</v>
      </c>
      <c r="B7105" t="s">
        <v>974</v>
      </c>
      <c r="C7105">
        <v>322.2</v>
      </c>
      <c r="D7105">
        <v>350.24</v>
      </c>
      <c r="E7105">
        <v>350.23</v>
      </c>
      <c r="F7105">
        <v>0.01</v>
      </c>
    </row>
    <row r="7106" spans="1:6" x14ac:dyDescent="0.3">
      <c r="A7106" t="str">
        <f>HYPERLINK("https://us2.cloudbeds.com/connect/10074733072513#/reservations/31676513771665?display=MH8HBF9A3&amp;reservation_id=31676513771665", "MH8HBF9A3")</f>
        <v>MH8HBF9A3</v>
      </c>
      <c r="B7106" t="s">
        <v>1110</v>
      </c>
      <c r="C7106">
        <v>252</v>
      </c>
      <c r="D7106">
        <v>273.93</v>
      </c>
      <c r="E7106">
        <v>273.92</v>
      </c>
      <c r="F7106">
        <v>0.01</v>
      </c>
    </row>
    <row r="7107" spans="1:6" x14ac:dyDescent="0.3">
      <c r="A7107" t="str">
        <f>HYPERLINK("https://us2.cloudbeds.com/connect/10074733072513#/reservations/31673067000034?display=MH5S91PZU&amp;reservation_id=31673067000034", "MH5S91PZU")</f>
        <v>MH5S91PZU</v>
      </c>
      <c r="B7107" t="s">
        <v>1111</v>
      </c>
      <c r="C7107">
        <v>79</v>
      </c>
      <c r="D7107">
        <v>85.88</v>
      </c>
      <c r="E7107">
        <v>85.87</v>
      </c>
      <c r="F7107">
        <v>0.01</v>
      </c>
    </row>
    <row r="7108" spans="1:6" x14ac:dyDescent="0.3">
      <c r="A7108" t="str">
        <f>HYPERLINK("https://us2.cloudbeds.com/connect/10074733072513#/reservations/31673080226005?display=MH5SK6QQU&amp;reservation_id=31673080226005", "MH5SK6QQU")</f>
        <v>MH5SK6QQU</v>
      </c>
      <c r="B7108" t="s">
        <v>1111</v>
      </c>
      <c r="C7108">
        <v>79</v>
      </c>
      <c r="D7108">
        <v>85.88</v>
      </c>
      <c r="E7108">
        <v>85.87</v>
      </c>
      <c r="F7108">
        <v>0.01</v>
      </c>
    </row>
    <row r="7109" spans="1:6" x14ac:dyDescent="0.3">
      <c r="A7109" t="str">
        <f>HYPERLINK("https://us2.cloudbeds.com/connect/10074733072513#/reservations/31673077530808?display=MH5SHUQT9&amp;reservation_id=31673077530808", "MH5SHUQT9")</f>
        <v>MH5SHUQT9</v>
      </c>
      <c r="B7109" t="s">
        <v>1111</v>
      </c>
      <c r="C7109">
        <v>79</v>
      </c>
      <c r="D7109">
        <v>85.88</v>
      </c>
      <c r="E7109">
        <v>85.87</v>
      </c>
      <c r="F7109">
        <v>0.01</v>
      </c>
    </row>
    <row r="7110" spans="1:6" x14ac:dyDescent="0.3">
      <c r="A7110" t="str">
        <f>HYPERLINK("https://us2.cloudbeds.com/connect/10074733072513#/reservations/31672901734558?display=MH5Z1N0R6&amp;reservation_id=31672901734558", "MH5Z1N0R6")</f>
        <v>MH5Z1N0R6</v>
      </c>
      <c r="B7110" t="s">
        <v>1088</v>
      </c>
      <c r="C7110">
        <v>213</v>
      </c>
      <c r="D7110">
        <v>231.54</v>
      </c>
      <c r="E7110">
        <v>231.53</v>
      </c>
      <c r="F7110">
        <v>0.01</v>
      </c>
    </row>
    <row r="7111" spans="1:6" x14ac:dyDescent="0.3">
      <c r="A7111" t="str">
        <f>HYPERLINK("https://us2.cloudbeds.com/connect/10074733072513#/reservations/31672535462024?display=MH5EMRVDG&amp;reservation_id=31672535462024", "MH5EMRVDG")</f>
        <v>MH5EMRVDG</v>
      </c>
      <c r="B7111" t="s">
        <v>1098</v>
      </c>
      <c r="C7111">
        <v>109</v>
      </c>
      <c r="D7111">
        <v>118.49</v>
      </c>
      <c r="E7111">
        <v>118.48</v>
      </c>
      <c r="F7111">
        <v>0.01</v>
      </c>
    </row>
    <row r="7112" spans="1:6" x14ac:dyDescent="0.3">
      <c r="A7112" t="str">
        <f>HYPERLINK("https://us2.cloudbeds.com/connect/10074733072513#/reservations/31672995696789?display=MH5QEUYSH&amp;reservation_id=31672995696789", "MH5QEUYSH")</f>
        <v>MH5QEUYSH</v>
      </c>
      <c r="B7112" t="s">
        <v>1111</v>
      </c>
      <c r="C7112">
        <v>79</v>
      </c>
      <c r="D7112">
        <v>85.88</v>
      </c>
      <c r="E7112">
        <v>85.87</v>
      </c>
      <c r="F7112">
        <v>0.01</v>
      </c>
    </row>
    <row r="7113" spans="1:6" x14ac:dyDescent="0.3">
      <c r="A7113" t="str">
        <f>HYPERLINK("https://us2.cloudbeds.com/connect/10074733072513#/reservations/31676282900682?display=MH8BEPVXN&amp;reservation_id=31676282900682", "MH8BEPVXN")</f>
        <v>MH8BEPVXN</v>
      </c>
      <c r="B7113" t="s">
        <v>1101</v>
      </c>
      <c r="C7113">
        <v>139</v>
      </c>
      <c r="D7113">
        <v>151.1</v>
      </c>
      <c r="E7113">
        <v>151.09</v>
      </c>
      <c r="F7113">
        <v>0.01</v>
      </c>
    </row>
    <row r="7114" spans="1:6" x14ac:dyDescent="0.3">
      <c r="A7114" t="str">
        <f>HYPERLINK("https://us2.cloudbeds.com/connect/10074733072513#/reservations/31673015255238?display=MH5QVDTSQ&amp;reservation_id=31673015255238", "MH5QVDTSQ")</f>
        <v>MH5QVDTSQ</v>
      </c>
      <c r="B7114" t="s">
        <v>1111</v>
      </c>
      <c r="C7114">
        <v>79</v>
      </c>
      <c r="D7114">
        <v>85.88</v>
      </c>
      <c r="E7114">
        <v>85.87</v>
      </c>
      <c r="F7114">
        <v>0.01</v>
      </c>
    </row>
    <row r="7115" spans="1:6" x14ac:dyDescent="0.3">
      <c r="A7115" t="str">
        <f>HYPERLINK("https://us2.cloudbeds.com/connect/10074733072513#/reservations/31672708857998?display=MH5J41VBV&amp;reservation_id=31672708857998", "MH5J41VBV")</f>
        <v>MH5J41VBV</v>
      </c>
      <c r="B7115" t="s">
        <v>1074</v>
      </c>
      <c r="C7115">
        <v>139</v>
      </c>
      <c r="D7115">
        <v>151.1</v>
      </c>
      <c r="E7115">
        <v>151.09</v>
      </c>
      <c r="F7115">
        <v>0.01</v>
      </c>
    </row>
    <row r="7116" spans="1:6" x14ac:dyDescent="0.3">
      <c r="A7116" t="str">
        <f>HYPERLINK("https://us2.cloudbeds.com/connect/10074733072513#/reservations/31673020936347?display=MH5R36WMK&amp;reservation_id=31673020936347", "MH5R36WMK")</f>
        <v>MH5R36WMK</v>
      </c>
      <c r="B7116" t="s">
        <v>1111</v>
      </c>
      <c r="C7116">
        <v>79</v>
      </c>
      <c r="D7116">
        <v>85.88</v>
      </c>
      <c r="E7116">
        <v>85.87</v>
      </c>
      <c r="F7116">
        <v>0.01</v>
      </c>
    </row>
    <row r="7117" spans="1:6" x14ac:dyDescent="0.3">
      <c r="A7117" t="str">
        <f>HYPERLINK("https://us2.cloudbeds.com/connect/10074733072513#/reservations/31671864701122?display=MH4UX81BX&amp;reservation_id=31671864701122", "MH4UX81BX")</f>
        <v>MH4UX81BX</v>
      </c>
      <c r="B7117" t="s">
        <v>1028</v>
      </c>
      <c r="C7117">
        <v>467</v>
      </c>
      <c r="D7117">
        <v>507.64</v>
      </c>
      <c r="E7117">
        <v>507.63</v>
      </c>
      <c r="F7117">
        <v>0.01</v>
      </c>
    </row>
    <row r="7118" spans="1:6" x14ac:dyDescent="0.3">
      <c r="A7118" t="str">
        <f>HYPERLINK("https://us2.cloudbeds.com/connect/10074733072513#/reservations/31673120419969?display=MH5TY38SR&amp;reservation_id=31673120419969", "MH5TY38SR")</f>
        <v>MH5TY38SR</v>
      </c>
      <c r="B7118" t="s">
        <v>1112</v>
      </c>
      <c r="C7118">
        <v>158</v>
      </c>
      <c r="D7118">
        <v>171.76</v>
      </c>
      <c r="E7118">
        <v>171.75</v>
      </c>
      <c r="F7118">
        <v>0.01</v>
      </c>
    </row>
    <row r="7119" spans="1:6" x14ac:dyDescent="0.3">
      <c r="A7119" t="str">
        <f>HYPERLINK("https://us2.cloudbeds.com/connect/10074733072513#/reservations/31672783163543?display=MH5Y0NK64&amp;reservation_id=31672783163543", "MH5Y0NK64")</f>
        <v>MH5Y0NK64</v>
      </c>
      <c r="B7119" t="s">
        <v>1094</v>
      </c>
      <c r="C7119">
        <v>258</v>
      </c>
      <c r="D7119">
        <v>280.45999999999998</v>
      </c>
      <c r="E7119">
        <v>280.45</v>
      </c>
      <c r="F7119">
        <v>0.01</v>
      </c>
    </row>
    <row r="7120" spans="1:6" x14ac:dyDescent="0.3">
      <c r="A7120" t="str">
        <f>HYPERLINK("https://us2.cloudbeds.com/connect/10074733072513#/reservations/31672917381325?display=MH5ZETDRY&amp;reservation_id=31672917381325", "MH5ZETDRY")</f>
        <v>MH5ZETDRY</v>
      </c>
      <c r="B7120" t="s">
        <v>1088</v>
      </c>
      <c r="C7120">
        <v>129</v>
      </c>
      <c r="D7120">
        <v>140.22999999999999</v>
      </c>
      <c r="E7120">
        <v>140.22</v>
      </c>
      <c r="F7120">
        <v>0.01</v>
      </c>
    </row>
    <row r="7121" spans="1:6" x14ac:dyDescent="0.3">
      <c r="A7121" t="str">
        <f>HYPERLINK("https://us2.cloudbeds.com/connect/10074733072513#/reservations/31674569011437?display=MH70YJF7W&amp;reservation_id=31674569011437", "MH70YJF7W")</f>
        <v>MH70YJF7W</v>
      </c>
      <c r="B7121" t="s">
        <v>1094</v>
      </c>
      <c r="C7121">
        <v>258</v>
      </c>
      <c r="D7121">
        <v>280.45999999999998</v>
      </c>
      <c r="E7121">
        <v>280.45</v>
      </c>
      <c r="F7121">
        <v>0.01</v>
      </c>
    </row>
    <row r="7122" spans="1:6" x14ac:dyDescent="0.3">
      <c r="A7122" t="str">
        <f>HYPERLINK("https://us2.cloudbeds.com/connect/10074733072513#/reservations/31674560319627?display=MH70E8JPQ&amp;reservation_id=31674560319627", "MH70E8JPQ")</f>
        <v>MH70E8JPQ</v>
      </c>
      <c r="B7122" t="s">
        <v>1094</v>
      </c>
      <c r="C7122">
        <v>258</v>
      </c>
      <c r="D7122">
        <v>280.45999999999998</v>
      </c>
      <c r="E7122">
        <v>280.45</v>
      </c>
      <c r="F7122">
        <v>0.01</v>
      </c>
    </row>
    <row r="7123" spans="1:6" x14ac:dyDescent="0.3">
      <c r="A7123" t="str">
        <f>HYPERLINK("https://us2.cloudbeds.com/connect/10074733072513#/reservations/31672867147971?display=MH5N5HJSQ&amp;reservation_id=31672867147971", "MH5N5HJSQ")</f>
        <v>MH5N5HJSQ</v>
      </c>
      <c r="B7123" t="s">
        <v>1088</v>
      </c>
      <c r="C7123">
        <v>253</v>
      </c>
      <c r="D7123">
        <v>275.02</v>
      </c>
      <c r="E7123">
        <v>275.01</v>
      </c>
      <c r="F7123">
        <v>0.01</v>
      </c>
    </row>
    <row r="7124" spans="1:6" x14ac:dyDescent="0.3">
      <c r="A7124" t="str">
        <f>HYPERLINK("https://us2.cloudbeds.com/connect/10074733072513#/reservations/31671907434632?display=MH4VY95DD&amp;reservation_id=31671907434632", "MH4VY95DD")</f>
        <v>MH4VY95DD</v>
      </c>
      <c r="B7124" t="s">
        <v>1028</v>
      </c>
      <c r="C7124">
        <v>338</v>
      </c>
      <c r="D7124">
        <v>367.42</v>
      </c>
      <c r="E7124">
        <v>367.41</v>
      </c>
      <c r="F7124">
        <v>0.01</v>
      </c>
    </row>
    <row r="7125" spans="1:6" x14ac:dyDescent="0.3">
      <c r="A7125" t="str">
        <f>HYPERLINK("https://us2.cloudbeds.com/connect/10074733072513#/reservations/31673836216457?display=MH6EUMBUG&amp;reservation_id=31673836216457", "MH6EUMBUG")</f>
        <v>MH6EUMBUG</v>
      </c>
      <c r="B7125" t="s">
        <v>1114</v>
      </c>
      <c r="C7125">
        <v>169</v>
      </c>
      <c r="D7125">
        <v>183.71</v>
      </c>
      <c r="E7125">
        <v>183.7</v>
      </c>
      <c r="F7125">
        <v>0.01</v>
      </c>
    </row>
    <row r="7126" spans="1:6" x14ac:dyDescent="0.3">
      <c r="A7126" t="str">
        <f>HYPERLINK("https://us2.cloudbeds.com/connect/10074733072513#/reservations/31675609100522?display=MH7R7KFY1&amp;reservation_id=31675609100522", "MH7R7KFY1")</f>
        <v>MH7R7KFY1</v>
      </c>
      <c r="B7126" t="s">
        <v>982</v>
      </c>
      <c r="C7126">
        <v>258</v>
      </c>
      <c r="D7126">
        <v>280.45999999999998</v>
      </c>
      <c r="E7126">
        <v>280.45</v>
      </c>
      <c r="F7126">
        <v>0.01</v>
      </c>
    </row>
    <row r="7127" spans="1:6" x14ac:dyDescent="0.3">
      <c r="A7127" t="str">
        <f>HYPERLINK("https://us2.cloudbeds.com/connect/10074733072513#/reservations/31675619279047?display=MH7RG6NA6&amp;reservation_id=31675619279047", "MH7RG6NA6")</f>
        <v>MH7RG6NA6</v>
      </c>
      <c r="B7127" t="s">
        <v>982</v>
      </c>
      <c r="C7127">
        <v>258</v>
      </c>
      <c r="D7127">
        <v>280.45999999999998</v>
      </c>
      <c r="E7127">
        <v>280.45</v>
      </c>
      <c r="F7127">
        <v>0.01</v>
      </c>
    </row>
    <row r="7128" spans="1:6" x14ac:dyDescent="0.3">
      <c r="A7128" t="str">
        <f>HYPERLINK("https://us2.cloudbeds.com/connect/10074733072513#/reservations/31674482241770?display=MH6VEDVV4&amp;reservation_id=31674482241770", "MH6VEDVV4")</f>
        <v>MH6VEDVV4</v>
      </c>
      <c r="B7128" t="s">
        <v>1116</v>
      </c>
      <c r="C7128">
        <v>258</v>
      </c>
      <c r="D7128">
        <v>280.45999999999998</v>
      </c>
      <c r="E7128">
        <v>280.45</v>
      </c>
      <c r="F7128">
        <v>0.01</v>
      </c>
    </row>
    <row r="7129" spans="1:6" x14ac:dyDescent="0.3">
      <c r="A7129" t="str">
        <f>HYPERLINK("https://us2.cloudbeds.com/connect/10074733072513#/reservations/31671831888117?display=MH4TNXW12&amp;reservation_id=31671831888117", "MH4TNXW12")</f>
        <v>MH4TNXW12</v>
      </c>
      <c r="B7129" t="s">
        <v>1028</v>
      </c>
      <c r="C7129">
        <v>149</v>
      </c>
      <c r="D7129">
        <v>161.97</v>
      </c>
      <c r="E7129">
        <v>161.96</v>
      </c>
      <c r="F7129">
        <v>0.01</v>
      </c>
    </row>
    <row r="7130" spans="1:6" x14ac:dyDescent="0.3">
      <c r="A7130" t="str">
        <f>HYPERLINK("https://us2.cloudbeds.com/connect/10074733072513#/reservations/31672794804366?display=MH5YAHHYB&amp;reservation_id=31672794804366", "MH5YAHHYB")</f>
        <v>MH5YAHHYB</v>
      </c>
      <c r="B7130" t="s">
        <v>1094</v>
      </c>
      <c r="C7130">
        <v>258</v>
      </c>
      <c r="D7130">
        <v>280.45999999999998</v>
      </c>
      <c r="E7130">
        <v>280.45</v>
      </c>
      <c r="F7130">
        <v>0.01</v>
      </c>
    </row>
    <row r="7131" spans="1:6" x14ac:dyDescent="0.3">
      <c r="A7131" t="str">
        <f>HYPERLINK("https://us2.cloudbeds.com/connect/10074733072513#/reservations/31674680484058?display=MH73GJBK6&amp;reservation_id=31674680484058", "MH73GJBK6")</f>
        <v>MH73GJBK6</v>
      </c>
      <c r="B7131" t="s">
        <v>1116</v>
      </c>
      <c r="C7131">
        <v>139</v>
      </c>
      <c r="D7131">
        <v>151.1</v>
      </c>
      <c r="E7131">
        <v>151.09</v>
      </c>
      <c r="F7131">
        <v>0.01</v>
      </c>
    </row>
    <row r="7132" spans="1:6" x14ac:dyDescent="0.3">
      <c r="A7132" t="str">
        <f>HYPERLINK("https://us2.cloudbeds.com/connect/10074733072513#/reservations/31674671505541?display=MH7390GSU&amp;reservation_id=31674671505541", "MH7390GSU")</f>
        <v>MH7390GSU</v>
      </c>
      <c r="B7132" t="s">
        <v>1116</v>
      </c>
      <c r="C7132">
        <v>139</v>
      </c>
      <c r="D7132">
        <v>151.1</v>
      </c>
      <c r="E7132">
        <v>151.09</v>
      </c>
      <c r="F7132">
        <v>0.01</v>
      </c>
    </row>
    <row r="7133" spans="1:6" x14ac:dyDescent="0.3">
      <c r="A7133" t="str">
        <f>HYPERLINK("https://us2.cloudbeds.com/connect/10074733072513#/reservations/31673462980772?display=MH65CVHE7&amp;reservation_id=31673462980772", "MH65CVHE7")</f>
        <v>MH65CVHE7</v>
      </c>
      <c r="B7133" t="s">
        <v>1028</v>
      </c>
      <c r="C7133">
        <v>149</v>
      </c>
      <c r="D7133">
        <v>161.97</v>
      </c>
      <c r="E7133">
        <v>161.96</v>
      </c>
      <c r="F7133">
        <v>0.01</v>
      </c>
    </row>
    <row r="7134" spans="1:6" x14ac:dyDescent="0.3">
      <c r="A7134" t="str">
        <f>HYPERLINK("https://us2.cloudbeds.com/connect/10074733072513#/reservations/31673418522754?display=MH648FDQX&amp;reservation_id=31673418522754", "MH648FDQX")</f>
        <v>MH648FDQX</v>
      </c>
      <c r="B7134" t="s">
        <v>1028</v>
      </c>
      <c r="C7134">
        <v>211.88</v>
      </c>
      <c r="D7134">
        <v>230.32</v>
      </c>
      <c r="E7134">
        <v>230.31</v>
      </c>
      <c r="F7134">
        <v>0.01</v>
      </c>
    </row>
    <row r="7135" spans="1:6" x14ac:dyDescent="0.3">
      <c r="A7135" t="str">
        <f>HYPERLINK("https://us2.cloudbeds.com/connect/10074733072513#/reservations/31677363572865?display=MH95PNDA6&amp;reservation_id=31677363572865", "MH95PNDA6")</f>
        <v>MH95PNDA6</v>
      </c>
      <c r="B7135" t="s">
        <v>1035</v>
      </c>
      <c r="C7135">
        <v>179</v>
      </c>
      <c r="D7135">
        <v>194.58</v>
      </c>
      <c r="E7135">
        <v>194.57</v>
      </c>
      <c r="F7135">
        <v>0.01</v>
      </c>
    </row>
    <row r="7136" spans="1:6" x14ac:dyDescent="0.3">
      <c r="A7136" t="str">
        <f>HYPERLINK("https://us2.cloudbeds.com/connect/10074733072513#/reservations/31674228822146?display=MH6ZVZ6CJ&amp;reservation_id=31674228822146", "MH6ZVZ6CJ")</f>
        <v>MH6ZVZ6CJ</v>
      </c>
      <c r="B7136" t="s">
        <v>1006</v>
      </c>
      <c r="C7136">
        <v>169</v>
      </c>
      <c r="D7136">
        <v>183.71</v>
      </c>
      <c r="E7136">
        <v>183.7</v>
      </c>
      <c r="F7136">
        <v>0.01</v>
      </c>
    </row>
    <row r="7137" spans="1:6" x14ac:dyDescent="0.3">
      <c r="A7137" t="str">
        <f>HYPERLINK("https://us2.cloudbeds.com/connect/10074733072513#/reservations/31673519255795?display=MH66RDF9V&amp;reservation_id=31673519255795", "MH66RDF9V")</f>
        <v>MH66RDF9V</v>
      </c>
      <c r="B7137" t="s">
        <v>1071</v>
      </c>
      <c r="C7137">
        <v>129</v>
      </c>
      <c r="D7137">
        <v>140.22999999999999</v>
      </c>
      <c r="E7137">
        <v>140.22</v>
      </c>
      <c r="F7137">
        <v>0.01</v>
      </c>
    </row>
    <row r="7138" spans="1:6" x14ac:dyDescent="0.3">
      <c r="A7138" t="str">
        <f>HYPERLINK("https://us2.cloudbeds.com/connect/10074733072513#/reservations/31689052610690?display=MHX7ZHVZ1&amp;reservation_id=31689052610690", "MHX7ZHVZ1")</f>
        <v>MHX7ZHVZ1</v>
      </c>
      <c r="B7138" t="s">
        <v>974</v>
      </c>
      <c r="C7138">
        <v>278</v>
      </c>
      <c r="D7138">
        <v>302.2</v>
      </c>
      <c r="E7138">
        <v>302.19</v>
      </c>
      <c r="F7138">
        <v>0.01</v>
      </c>
    </row>
    <row r="7139" spans="1:6" x14ac:dyDescent="0.3">
      <c r="A7139" t="str">
        <f>HYPERLINK("https://us2.cloudbeds.com/connect/10074733072513#/reservations/31676787011809?display=MH8ZASJHF&amp;reservation_id=31676787011809", "MH8ZASJHF")</f>
        <v>MH8ZASJHF</v>
      </c>
      <c r="B7139" t="s">
        <v>1065</v>
      </c>
      <c r="C7139">
        <v>149</v>
      </c>
      <c r="D7139">
        <v>161.97</v>
      </c>
      <c r="E7139">
        <v>161.96</v>
      </c>
      <c r="F7139">
        <v>0.01</v>
      </c>
    </row>
    <row r="7140" spans="1:6" x14ac:dyDescent="0.3">
      <c r="A7140" t="str">
        <f>HYPERLINK("https://us2.cloudbeds.com/connect/10074733072513#/reservations/31672088301703?display=MH538Q1SZ&amp;reservation_id=31672088301703", "MH538Q1SZ")</f>
        <v>MH538Q1SZ</v>
      </c>
      <c r="B7140" t="s">
        <v>1117</v>
      </c>
      <c r="C7140">
        <v>62.56</v>
      </c>
      <c r="D7140">
        <v>68.010000000000005</v>
      </c>
      <c r="E7140">
        <v>68</v>
      </c>
      <c r="F7140">
        <v>0.01</v>
      </c>
    </row>
    <row r="7141" spans="1:6" x14ac:dyDescent="0.3">
      <c r="A7141" t="str">
        <f>HYPERLINK("https://us2.cloudbeds.com/connect/10074733072513#/reservations/31672071794851?display=MH52RSZ23&amp;reservation_id=31672071794851", "MH52RSZ23")</f>
        <v>MH52RSZ23</v>
      </c>
      <c r="B7141" t="s">
        <v>1117</v>
      </c>
      <c r="C7141">
        <v>73</v>
      </c>
      <c r="D7141">
        <v>79.36</v>
      </c>
      <c r="E7141">
        <v>79.349999999999994</v>
      </c>
      <c r="F7141">
        <v>0.01</v>
      </c>
    </row>
    <row r="7142" spans="1:6" x14ac:dyDescent="0.3">
      <c r="A7142" t="str">
        <f>HYPERLINK("https://us2.cloudbeds.com/connect/10074733072513#/reservations/31672157036761?display=MH550ZNF9&amp;reservation_id=31672157036761", "MH550ZNF9")</f>
        <v>MH550ZNF9</v>
      </c>
      <c r="B7142" t="s">
        <v>1119</v>
      </c>
      <c r="C7142">
        <v>158</v>
      </c>
      <c r="D7142">
        <v>171.76</v>
      </c>
      <c r="E7142">
        <v>171.75</v>
      </c>
      <c r="F7142">
        <v>0.01</v>
      </c>
    </row>
    <row r="7143" spans="1:6" x14ac:dyDescent="0.3">
      <c r="A7143" t="str">
        <f>HYPERLINK("https://us2.cloudbeds.com/connect/10074733072513#/reservations/31673048154252?display=MH5RQ5C5K&amp;reservation_id=31673048154252", "MH5RQ5C5K")</f>
        <v>MH5RQ5C5K</v>
      </c>
      <c r="B7143" t="s">
        <v>1119</v>
      </c>
      <c r="C7143">
        <v>99</v>
      </c>
      <c r="D7143">
        <v>107.62</v>
      </c>
      <c r="E7143">
        <v>107.61</v>
      </c>
      <c r="F7143">
        <v>0.01</v>
      </c>
    </row>
    <row r="7144" spans="1:6" x14ac:dyDescent="0.3">
      <c r="A7144" t="str">
        <f>HYPERLINK("https://us2.cloudbeds.com/connect/10074733072513#/reservations/31672188616933?display=MH55RCFN6&amp;reservation_id=31672188616933", "MH55RCFN6")</f>
        <v>MH55RCFN6</v>
      </c>
      <c r="B7144" t="s">
        <v>1119</v>
      </c>
      <c r="C7144">
        <v>62.56</v>
      </c>
      <c r="D7144">
        <v>68.010000000000005</v>
      </c>
      <c r="E7144">
        <v>68</v>
      </c>
      <c r="F7144">
        <v>0.01</v>
      </c>
    </row>
    <row r="7145" spans="1:6" x14ac:dyDescent="0.3">
      <c r="A7145" t="str">
        <f>HYPERLINK("https://us2.cloudbeds.com/connect/10074733072513#/reservations/31672181969098?display=MH55YPG5Y&amp;reservation_id=31672181969098", "MH55YPG5Y")</f>
        <v>MH55YPG5Y</v>
      </c>
      <c r="B7145" t="s">
        <v>1119</v>
      </c>
      <c r="C7145">
        <v>62.56</v>
      </c>
      <c r="D7145">
        <v>68.010000000000005</v>
      </c>
      <c r="E7145">
        <v>68</v>
      </c>
      <c r="F7145">
        <v>0.01</v>
      </c>
    </row>
    <row r="7146" spans="1:6" x14ac:dyDescent="0.3">
      <c r="A7146" t="str">
        <f>HYPERLINK("https://us2.cloudbeds.com/connect/10074733072513#/reservations/31672120459467?display=MH542TTGE&amp;reservation_id=31672120459467", "MH542TTGE")</f>
        <v>MH542TTGE</v>
      </c>
      <c r="B7146" t="s">
        <v>1119</v>
      </c>
      <c r="C7146">
        <v>99</v>
      </c>
      <c r="D7146">
        <v>107.62</v>
      </c>
      <c r="E7146">
        <v>107.61</v>
      </c>
      <c r="F7146">
        <v>0.01</v>
      </c>
    </row>
    <row r="7147" spans="1:6" x14ac:dyDescent="0.3">
      <c r="A7147" t="str">
        <f>HYPERLINK("https://us2.cloudbeds.com/connect/10074733072513#/reservations/31672171450580?display=MH55CTQ9M&amp;reservation_id=31672171450580", "MH55CTQ9M")</f>
        <v>MH55CTQ9M</v>
      </c>
      <c r="B7147" t="s">
        <v>1119</v>
      </c>
      <c r="C7147">
        <v>70.39</v>
      </c>
      <c r="D7147">
        <v>76.52</v>
      </c>
      <c r="E7147">
        <v>76.510000000000005</v>
      </c>
      <c r="F7147">
        <v>0.01</v>
      </c>
    </row>
    <row r="7148" spans="1:6" x14ac:dyDescent="0.3">
      <c r="A7148" t="str">
        <f>HYPERLINK("https://us2.cloudbeds.com/connect/10074733072513#/reservations/31672611541171?display=MH5GKWVT6&amp;reservation_id=31672611541171", "MH5GKWVT6")</f>
        <v>MH5GKWVT6</v>
      </c>
      <c r="B7148" t="s">
        <v>1074</v>
      </c>
      <c r="C7148">
        <v>139</v>
      </c>
      <c r="D7148">
        <v>151.1</v>
      </c>
      <c r="E7148">
        <v>151.09</v>
      </c>
      <c r="F7148">
        <v>0.01</v>
      </c>
    </row>
    <row r="7149" spans="1:6" x14ac:dyDescent="0.3">
      <c r="A7149" t="str">
        <f>HYPERLINK("https://us2.cloudbeds.com/connect/10074733072513#/reservations/31673525764296?display=MH66WTXT8&amp;reservation_id=31673525764296", "MH66WTXT8")</f>
        <v>MH66WTXT8</v>
      </c>
      <c r="B7149" t="s">
        <v>1117</v>
      </c>
      <c r="C7149">
        <v>139</v>
      </c>
      <c r="D7149">
        <v>151.1</v>
      </c>
      <c r="E7149">
        <v>151.09</v>
      </c>
      <c r="F7149">
        <v>0.01</v>
      </c>
    </row>
    <row r="7150" spans="1:6" x14ac:dyDescent="0.3">
      <c r="A7150" t="str">
        <f>HYPERLINK("https://us2.cloudbeds.com/connect/10074733072513#/reservations/31673276518601?display=MH60KNV4D&amp;reservation_id=31673276518601", "MH60KNV4D")</f>
        <v>MH60KNV4D</v>
      </c>
      <c r="B7150" t="s">
        <v>981</v>
      </c>
      <c r="C7150">
        <v>238</v>
      </c>
      <c r="D7150">
        <v>258.72000000000003</v>
      </c>
      <c r="E7150">
        <v>258.70999999999998</v>
      </c>
      <c r="F7150">
        <v>0.01</v>
      </c>
    </row>
    <row r="7151" spans="1:6" x14ac:dyDescent="0.3">
      <c r="A7151" t="str">
        <f>HYPERLINK("https://us2.cloudbeds.com/connect/10074733072513#/reservations/31672130969830?display=MH54BPBT9&amp;reservation_id=31672130969830", "MH54BPBT9")</f>
        <v>MH54BPBT9</v>
      </c>
      <c r="B7151" t="s">
        <v>1119</v>
      </c>
      <c r="C7151">
        <v>99</v>
      </c>
      <c r="D7151">
        <v>107.62</v>
      </c>
      <c r="E7151">
        <v>107.61</v>
      </c>
      <c r="F7151">
        <v>0.01</v>
      </c>
    </row>
    <row r="7152" spans="1:6" x14ac:dyDescent="0.3">
      <c r="A7152" t="str">
        <f>HYPERLINK("https://us2.cloudbeds.com/connect/10074733072513#/reservations/31673794273478?display=MH6DSA7Q4&amp;reservation_id=31673794273478", "MH6DSA7Q4")</f>
        <v>MH6DSA7Q4</v>
      </c>
      <c r="B7152" t="s">
        <v>1124</v>
      </c>
      <c r="C7152">
        <v>338</v>
      </c>
      <c r="D7152">
        <v>367.42</v>
      </c>
      <c r="E7152">
        <v>367.41</v>
      </c>
      <c r="F7152">
        <v>0.01</v>
      </c>
    </row>
    <row r="7153" spans="1:6" x14ac:dyDescent="0.3">
      <c r="A7153" t="str">
        <f>HYPERLINK("https://us2.cloudbeds.com/connect/10074733072513#/reservations/31673996325082?display=MH6J0MKF0&amp;reservation_id=31673996325082", "MH6J0MKF0")</f>
        <v>MH6J0MKF0</v>
      </c>
      <c r="B7153" t="s">
        <v>1114</v>
      </c>
      <c r="C7153">
        <v>139</v>
      </c>
      <c r="D7153">
        <v>151.1</v>
      </c>
      <c r="E7153">
        <v>151.09</v>
      </c>
      <c r="F7153">
        <v>0.01</v>
      </c>
    </row>
    <row r="7154" spans="1:6" x14ac:dyDescent="0.3">
      <c r="A7154" t="str">
        <f>HYPERLINK("https://us2.cloudbeds.com/connect/10074733072513#/reservations/31673054720223?display=MH5RVN2HE&amp;reservation_id=31673054720223", "MH5RVN2HE")</f>
        <v>MH5RVN2HE</v>
      </c>
      <c r="B7154" t="s">
        <v>1123</v>
      </c>
      <c r="C7154">
        <v>73</v>
      </c>
      <c r="D7154">
        <v>79.36</v>
      </c>
      <c r="E7154">
        <v>79.349999999999994</v>
      </c>
      <c r="F7154">
        <v>0.01</v>
      </c>
    </row>
    <row r="7155" spans="1:6" x14ac:dyDescent="0.3">
      <c r="A7155" t="str">
        <f>HYPERLINK("https://us2.cloudbeds.com/connect/10074733072513#/reservations/31672415592655?display=MH5BKPDHC&amp;reservation_id=31672415592655", "MH5BKPDHC")</f>
        <v>MH5BKPDHC</v>
      </c>
      <c r="B7155" t="s">
        <v>1106</v>
      </c>
      <c r="C7155">
        <v>642.6</v>
      </c>
      <c r="D7155">
        <v>698.52</v>
      </c>
      <c r="E7155">
        <v>698.51</v>
      </c>
      <c r="F7155">
        <v>0.01</v>
      </c>
    </row>
    <row r="7156" spans="1:6" x14ac:dyDescent="0.3">
      <c r="A7156" t="str">
        <f>HYPERLINK("https://us2.cloudbeds.com/connect/10074733072513#/reservations/31672800886994?display=MH5YFYQ5C&amp;reservation_id=31672800886994", "MH5YFYQ5C")</f>
        <v>MH5YFYQ5C</v>
      </c>
      <c r="B7156" t="s">
        <v>1094</v>
      </c>
      <c r="C7156">
        <v>258</v>
      </c>
      <c r="D7156">
        <v>280.45999999999998</v>
      </c>
      <c r="E7156">
        <v>280.45</v>
      </c>
      <c r="F7156">
        <v>0.01</v>
      </c>
    </row>
    <row r="7157" spans="1:6" x14ac:dyDescent="0.3">
      <c r="A7157" t="str">
        <f>HYPERLINK("https://us2.cloudbeds.com/connect/10074733072513#/reservations/31673248768227?display=MH5WUAZMW&amp;reservation_id=31673248768227", "MH5WUAZMW")</f>
        <v>MH5WUAZMW</v>
      </c>
      <c r="B7157" t="s">
        <v>1125</v>
      </c>
      <c r="C7157">
        <v>99</v>
      </c>
      <c r="D7157">
        <v>107.62</v>
      </c>
      <c r="E7157">
        <v>107.61</v>
      </c>
      <c r="F7157">
        <v>0.01</v>
      </c>
    </row>
    <row r="7158" spans="1:6" x14ac:dyDescent="0.3">
      <c r="A7158" t="str">
        <f>HYPERLINK("https://us2.cloudbeds.com/connect/10074733072513#/reservations/31672837185684?display=MH5MD8S9N&amp;reservation_id=31672837185684", "MH5MD8S9N")</f>
        <v>MH5MD8S9N</v>
      </c>
      <c r="B7158" t="s">
        <v>1126</v>
      </c>
      <c r="C7158">
        <v>89</v>
      </c>
      <c r="D7158">
        <v>96.75</v>
      </c>
      <c r="E7158">
        <v>96.74</v>
      </c>
      <c r="F7158">
        <v>0.01</v>
      </c>
    </row>
    <row r="7159" spans="1:6" x14ac:dyDescent="0.3">
      <c r="A7159" t="str">
        <f>HYPERLINK("https://us2.cloudbeds.com/connect/10074733072513#/reservations/31673211605196?display=MH5VVWKSH&amp;reservation_id=31673211605196", "MH5VVWKSH")</f>
        <v>MH5VVWKSH</v>
      </c>
      <c r="B7159" t="s">
        <v>1123</v>
      </c>
      <c r="C7159">
        <v>77.5</v>
      </c>
      <c r="D7159">
        <v>84.25</v>
      </c>
      <c r="E7159">
        <v>84.24</v>
      </c>
      <c r="F7159">
        <v>0.01</v>
      </c>
    </row>
    <row r="7160" spans="1:6" x14ac:dyDescent="0.3">
      <c r="A7160" t="str">
        <f>HYPERLINK("https://us2.cloudbeds.com/connect/10074733072513#/reservations/31673242149007?display=MH5WZZXEX&amp;reservation_id=31673242149007", "MH5WZZXEX")</f>
        <v>MH5WZZXEX</v>
      </c>
      <c r="B7160" t="s">
        <v>1125</v>
      </c>
      <c r="C7160">
        <v>99</v>
      </c>
      <c r="D7160">
        <v>107.62</v>
      </c>
      <c r="E7160">
        <v>107.61</v>
      </c>
      <c r="F7160">
        <v>0.01</v>
      </c>
    </row>
    <row r="7161" spans="1:6" x14ac:dyDescent="0.3">
      <c r="A7161" t="str">
        <f>HYPERLINK("https://us2.cloudbeds.com/connect/10074733072513#/reservations/31672536674433?display=MH5ENSMZ5&amp;reservation_id=31672536674433", "MH5ENSMZ5")</f>
        <v>MH5ENSMZ5</v>
      </c>
      <c r="B7161" t="s">
        <v>1125</v>
      </c>
      <c r="C7161">
        <v>79.94</v>
      </c>
      <c r="D7161">
        <v>86.9</v>
      </c>
      <c r="E7161">
        <v>86.89</v>
      </c>
      <c r="F7161">
        <v>0.01</v>
      </c>
    </row>
    <row r="7162" spans="1:6" x14ac:dyDescent="0.3">
      <c r="A7162" t="str">
        <f>HYPERLINK("https://us2.cloudbeds.com/connect/10074733072513#/reservations/31672735637716?display=MH5JQY4FX&amp;reservation_id=31672735637716", "MH5JQY4FX")</f>
        <v>MH5JQY4FX</v>
      </c>
      <c r="B7162" t="s">
        <v>1074</v>
      </c>
      <c r="C7162">
        <v>278</v>
      </c>
      <c r="D7162">
        <v>302.2</v>
      </c>
      <c r="E7162">
        <v>302.19</v>
      </c>
      <c r="F7162">
        <v>0.01</v>
      </c>
    </row>
    <row r="7163" spans="1:6" x14ac:dyDescent="0.3">
      <c r="A7163" t="str">
        <f>HYPERLINK("https://us2.cloudbeds.com/connect/10074733072513#/reservations/31672549019779?display=MH5F1974X&amp;reservation_id=31672549019779", "MH5F1974X")</f>
        <v>MH5F1974X</v>
      </c>
      <c r="B7163" t="s">
        <v>1125</v>
      </c>
      <c r="C7163">
        <v>73</v>
      </c>
      <c r="D7163">
        <v>79.36</v>
      </c>
      <c r="E7163">
        <v>79.349999999999994</v>
      </c>
      <c r="F7163">
        <v>0.01</v>
      </c>
    </row>
    <row r="7164" spans="1:6" x14ac:dyDescent="0.3">
      <c r="A7164" t="str">
        <f>HYPERLINK("https://us2.cloudbeds.com/connect/10074733072513#/reservations/31672549015683?display=MH5F193CE&amp;reservation_id=31672549015683", "MH5F193CE")</f>
        <v>MH5F193CE</v>
      </c>
      <c r="B7164" t="s">
        <v>1125</v>
      </c>
      <c r="C7164">
        <v>62.56</v>
      </c>
      <c r="D7164">
        <v>68.010000000000005</v>
      </c>
      <c r="E7164">
        <v>68</v>
      </c>
      <c r="F7164">
        <v>0.01</v>
      </c>
    </row>
    <row r="7165" spans="1:6" x14ac:dyDescent="0.3">
      <c r="A7165" t="str">
        <f>HYPERLINK("https://us2.cloudbeds.com/connect/10074733072513#/reservations/31682132897927?display=MHCSUYZSF&amp;reservation_id=31682132897927", "MHCSUYZSF")</f>
        <v>MHCSUYZSF</v>
      </c>
      <c r="B7165" t="s">
        <v>1127</v>
      </c>
      <c r="C7165">
        <v>179</v>
      </c>
      <c r="D7165">
        <v>194.58</v>
      </c>
      <c r="E7165">
        <v>194.57</v>
      </c>
      <c r="F7165">
        <v>0.01</v>
      </c>
    </row>
    <row r="7166" spans="1:6" x14ac:dyDescent="0.3">
      <c r="A7166" t="str">
        <f>HYPERLINK("https://us2.cloudbeds.com/connect/10074733072513#/reservations/31674234601648?display=MH6P3K0X0&amp;reservation_id=31674234601648", "MH6P3K0X0")</f>
        <v>MH6P3K0X0</v>
      </c>
      <c r="B7166" t="s">
        <v>1122</v>
      </c>
      <c r="C7166">
        <v>238</v>
      </c>
      <c r="D7166">
        <v>258.72000000000003</v>
      </c>
      <c r="E7166">
        <v>258.70999999999998</v>
      </c>
      <c r="F7166">
        <v>0.01</v>
      </c>
    </row>
    <row r="7167" spans="1:6" x14ac:dyDescent="0.3">
      <c r="A7167" t="str">
        <f>HYPERLINK("https://us2.cloudbeds.com/connect/10074733072513#/reservations/31679105888400?display=MHAHJ6ZQ2&amp;reservation_id=31679105888400", "MHAHJ6ZQ2")</f>
        <v>MHAHJ6ZQ2</v>
      </c>
      <c r="B7167" t="s">
        <v>1065</v>
      </c>
      <c r="C7167">
        <v>298</v>
      </c>
      <c r="D7167">
        <v>323.94</v>
      </c>
      <c r="E7167">
        <v>323.93</v>
      </c>
      <c r="F7167">
        <v>0.01</v>
      </c>
    </row>
    <row r="7168" spans="1:6" x14ac:dyDescent="0.3">
      <c r="A7168" t="str">
        <f>HYPERLINK("https://us2.cloudbeds.com/connect/10074733072513#/reservations/31673978036463?display=MH6XX8NGE&amp;reservation_id=31673978036463", "MH6XX8NGE")</f>
        <v>MH6XX8NGE</v>
      </c>
      <c r="B7168" t="s">
        <v>1114</v>
      </c>
      <c r="C7168">
        <v>139</v>
      </c>
      <c r="D7168">
        <v>151.1</v>
      </c>
      <c r="E7168">
        <v>151.09</v>
      </c>
      <c r="F7168">
        <v>0.01</v>
      </c>
    </row>
    <row r="7169" spans="1:6" x14ac:dyDescent="0.3">
      <c r="A7169" t="str">
        <f>HYPERLINK("https://us2.cloudbeds.com/connect/10074733072513#/reservations/31672579895492?display=MH5FRACG7&amp;reservation_id=31672579895492", "MH5FRACG7")</f>
        <v>MH5FRACG7</v>
      </c>
      <c r="B7169" t="s">
        <v>1102</v>
      </c>
      <c r="C7169">
        <v>137.76</v>
      </c>
      <c r="D7169">
        <v>149.76</v>
      </c>
      <c r="E7169">
        <v>149.75</v>
      </c>
      <c r="F7169">
        <v>0.01</v>
      </c>
    </row>
    <row r="7170" spans="1:6" x14ac:dyDescent="0.3">
      <c r="A7170" t="str">
        <f>HYPERLINK("https://us2.cloudbeds.com/connect/10074733072513#/reservations/31673223110843?display=MH5W8MQ6G&amp;reservation_id=31673223110843", "MH5W8MQ6G")</f>
        <v>MH5W8MQ6G</v>
      </c>
      <c r="B7170" t="s">
        <v>1125</v>
      </c>
      <c r="C7170">
        <v>99</v>
      </c>
      <c r="D7170">
        <v>107.62</v>
      </c>
      <c r="E7170">
        <v>107.61</v>
      </c>
      <c r="F7170">
        <v>0.01</v>
      </c>
    </row>
    <row r="7171" spans="1:6" x14ac:dyDescent="0.3">
      <c r="A7171" t="str">
        <f>HYPERLINK("https://us2.cloudbeds.com/connect/10074733072513#/reservations/31672867143880?display=MH5N5HG3R&amp;reservation_id=31672867143880", "MH5N5HG3R")</f>
        <v>MH5N5HG3R</v>
      </c>
      <c r="B7171" t="s">
        <v>1126</v>
      </c>
      <c r="C7171">
        <v>89</v>
      </c>
      <c r="D7171">
        <v>96.75</v>
      </c>
      <c r="E7171">
        <v>96.74</v>
      </c>
      <c r="F7171">
        <v>0.01</v>
      </c>
    </row>
    <row r="7172" spans="1:6" x14ac:dyDescent="0.3">
      <c r="A7172" t="str">
        <f>HYPERLINK("https://us2.cloudbeds.com/connect/10074733072513#/reservations/31674224951472?display=MH6ZSFG1E&amp;reservation_id=31674224951472", "MH6ZSFG1E")</f>
        <v>MH6ZSFG1E</v>
      </c>
      <c r="B7172" t="s">
        <v>1122</v>
      </c>
      <c r="C7172">
        <v>109</v>
      </c>
      <c r="D7172">
        <v>118.49</v>
      </c>
      <c r="E7172">
        <v>118.48</v>
      </c>
      <c r="F7172">
        <v>0.01</v>
      </c>
    </row>
    <row r="7173" spans="1:6" x14ac:dyDescent="0.3">
      <c r="A7173" t="str">
        <f>HYPERLINK("https://us2.cloudbeds.com/connect/10074733072513#/reservations/31674227011777?display=MH6ZU6QVU&amp;reservation_id=31674227011777", "MH6ZU6QVU")</f>
        <v>MH6ZU6QVU</v>
      </c>
      <c r="B7173" t="s">
        <v>1122</v>
      </c>
      <c r="C7173">
        <v>109</v>
      </c>
      <c r="D7173">
        <v>118.49</v>
      </c>
      <c r="E7173">
        <v>118.48</v>
      </c>
      <c r="F7173">
        <v>0.01</v>
      </c>
    </row>
    <row r="7174" spans="1:6" x14ac:dyDescent="0.3">
      <c r="A7174" t="str">
        <f>HYPERLINK("https://us2.cloudbeds.com/connect/10074733072513#/reservations/31673242153102?display=MH5WZZM6Y&amp;reservation_id=31673242153102", "MH5WZZM6Y")</f>
        <v>MH5WZZM6Y</v>
      </c>
      <c r="B7174" t="s">
        <v>1074</v>
      </c>
      <c r="C7174">
        <v>129</v>
      </c>
      <c r="D7174">
        <v>140.22999999999999</v>
      </c>
      <c r="E7174">
        <v>140.22</v>
      </c>
      <c r="F7174">
        <v>0.01</v>
      </c>
    </row>
    <row r="7175" spans="1:6" x14ac:dyDescent="0.3">
      <c r="A7175" t="str">
        <f>HYPERLINK("https://us2.cloudbeds.com/connect/10074733072513#/reservations/31673235566829?display=MH5WJ6D6K&amp;reservation_id=31673235566829", "MH5WJ6D6K")</f>
        <v>MH5WJ6D6K</v>
      </c>
      <c r="B7175" t="s">
        <v>1074</v>
      </c>
      <c r="C7175">
        <v>77.5</v>
      </c>
      <c r="D7175">
        <v>84.25</v>
      </c>
      <c r="E7175">
        <v>84.24</v>
      </c>
      <c r="F7175">
        <v>0.01</v>
      </c>
    </row>
    <row r="7176" spans="1:6" x14ac:dyDescent="0.3">
      <c r="A7176" t="str">
        <f>HYPERLINK("https://us2.cloudbeds.com/connect/10074733072513#/reservations/31691233456326?display=MHJUFG6QE&amp;reservation_id=31691233456326", "MHJUFG6QE")</f>
        <v>MHJUFG6QE</v>
      </c>
      <c r="B7176" t="s">
        <v>1013</v>
      </c>
      <c r="C7176">
        <v>258</v>
      </c>
      <c r="D7176">
        <v>280.45999999999998</v>
      </c>
      <c r="E7176">
        <v>280.45</v>
      </c>
      <c r="F7176">
        <v>0.01</v>
      </c>
    </row>
    <row r="7177" spans="1:6" x14ac:dyDescent="0.3">
      <c r="A7177" t="str">
        <f>HYPERLINK("https://us2.cloudbeds.com/connect/10074733072513#/reservations/31691242672289?display=MHJUN8YJ1&amp;reservation_id=31691242672289", "MHJUN8YJ1")</f>
        <v>MHJUN8YJ1</v>
      </c>
      <c r="B7177" t="s">
        <v>1013</v>
      </c>
      <c r="C7177">
        <v>258</v>
      </c>
      <c r="D7177">
        <v>280.45999999999998</v>
      </c>
      <c r="E7177">
        <v>280.45</v>
      </c>
      <c r="F7177">
        <v>0.01</v>
      </c>
    </row>
    <row r="7178" spans="1:6" x14ac:dyDescent="0.3">
      <c r="A7178" t="str">
        <f>HYPERLINK("https://us2.cloudbeds.com/connect/10074733072513#/reservations/31680219554014?display=MHBD194XU&amp;reservation_id=31680219554014", "MHBD194XU")</f>
        <v>MHBD194XU</v>
      </c>
      <c r="B7178" t="s">
        <v>819</v>
      </c>
      <c r="C7178">
        <v>587</v>
      </c>
      <c r="D7178">
        <v>638.08000000000004</v>
      </c>
      <c r="E7178">
        <v>638.07000000000005</v>
      </c>
      <c r="F7178">
        <v>0.01</v>
      </c>
    </row>
    <row r="7179" spans="1:6" x14ac:dyDescent="0.3">
      <c r="A7179" t="str">
        <f>HYPERLINK("https://us2.cloudbeds.com/connect/10074733072513#/reservations/31672596889742?display=MH5G8Y8SG&amp;reservation_id=31672596889742", "MH5G8Y8SG")</f>
        <v>MH5G8Y8SG</v>
      </c>
      <c r="B7179" t="s">
        <v>1102</v>
      </c>
      <c r="C7179">
        <v>119</v>
      </c>
      <c r="D7179">
        <v>129.36000000000001</v>
      </c>
      <c r="E7179">
        <v>129.35</v>
      </c>
      <c r="F7179">
        <v>0.01</v>
      </c>
    </row>
    <row r="7180" spans="1:6" x14ac:dyDescent="0.3">
      <c r="A7180" t="str">
        <f>HYPERLINK("https://us2.cloudbeds.com/connect/10074733072513#/reservations/31673203597505?display=MH5VP7QK7&amp;reservation_id=31673203597505", "MH5VP7QK7")</f>
        <v>MH5VP7QK7</v>
      </c>
      <c r="B7180" t="s">
        <v>1074</v>
      </c>
      <c r="C7180">
        <v>87.84</v>
      </c>
      <c r="D7180">
        <v>95.49</v>
      </c>
      <c r="E7180">
        <v>95.48</v>
      </c>
      <c r="F7180">
        <v>0.01</v>
      </c>
    </row>
    <row r="7181" spans="1:6" x14ac:dyDescent="0.3">
      <c r="A7181" t="str">
        <f>HYPERLINK("https://us2.cloudbeds.com/connect/10074733072513#/reservations/31673223110791?display=MH5W8MQ4U&amp;reservation_id=31673223110791", "MH5W8MQ4U")</f>
        <v>MH5W8MQ4U</v>
      </c>
      <c r="B7181" t="s">
        <v>1074</v>
      </c>
      <c r="C7181">
        <v>77.5</v>
      </c>
      <c r="D7181">
        <v>84.25</v>
      </c>
      <c r="E7181">
        <v>84.24</v>
      </c>
      <c r="F7181">
        <v>0.01</v>
      </c>
    </row>
    <row r="7182" spans="1:6" x14ac:dyDescent="0.3">
      <c r="A7182" t="str">
        <f>HYPERLINK("https://us2.cloudbeds.com/connect/10074733072513#/reservations/31673228353738?display=MH5WD3MK3&amp;reservation_id=31673228353738", "MH5WD3MK3")</f>
        <v>MH5WD3MK3</v>
      </c>
      <c r="B7182" t="s">
        <v>1074</v>
      </c>
      <c r="C7182">
        <v>129</v>
      </c>
      <c r="D7182">
        <v>140.22999999999999</v>
      </c>
      <c r="E7182">
        <v>140.22</v>
      </c>
      <c r="F7182">
        <v>0.01</v>
      </c>
    </row>
    <row r="7183" spans="1:6" x14ac:dyDescent="0.3">
      <c r="A7183" t="str">
        <f>HYPERLINK("https://us2.cloudbeds.com/connect/10074733072513#/reservations/31673248772323?display=MH5WUASF3&amp;reservation_id=31673248772323", "MH5WUASF3")</f>
        <v>MH5WUASF3</v>
      </c>
      <c r="B7183" t="s">
        <v>1074</v>
      </c>
      <c r="C7183">
        <v>77.5</v>
      </c>
      <c r="D7183">
        <v>84.25</v>
      </c>
      <c r="E7183">
        <v>84.24</v>
      </c>
      <c r="F7183">
        <v>0.01</v>
      </c>
    </row>
    <row r="7184" spans="1:6" x14ac:dyDescent="0.3">
      <c r="A7184" t="str">
        <f>HYPERLINK("https://us2.cloudbeds.com/connect/10074733072513#/reservations/31673392930989?display=MH63JT9XH&amp;reservation_id=31673392930989", "MH63JT9XH")</f>
        <v>MH63JT9XH</v>
      </c>
      <c r="B7184" t="s">
        <v>1106</v>
      </c>
      <c r="C7184">
        <v>159</v>
      </c>
      <c r="D7184">
        <v>172.84</v>
      </c>
      <c r="E7184">
        <v>172.83</v>
      </c>
      <c r="F7184">
        <v>0.01</v>
      </c>
    </row>
    <row r="7185" spans="1:6" x14ac:dyDescent="0.3">
      <c r="A7185" t="str">
        <f>HYPERLINK("https://us2.cloudbeds.com/connect/10074733072513#/reservations/31673284485289?display=MH60REKZ6&amp;reservation_id=31673284485289", "MH60REKZ6")</f>
        <v>MH60REKZ6</v>
      </c>
      <c r="B7185" t="s">
        <v>981</v>
      </c>
      <c r="C7185">
        <v>211.88</v>
      </c>
      <c r="D7185">
        <v>230.32</v>
      </c>
      <c r="E7185">
        <v>230.31</v>
      </c>
      <c r="F7185">
        <v>0.01</v>
      </c>
    </row>
    <row r="7186" spans="1:6" x14ac:dyDescent="0.3">
      <c r="A7186" t="str">
        <f>HYPERLINK("https://us2.cloudbeds.com/connect/10074733072513#/reservations/31672693911696?display=MH5XZF1XN&amp;reservation_id=31672693911696", "MH5XZF1XN")</f>
        <v>MH5XZF1XN</v>
      </c>
      <c r="B7186" t="s">
        <v>1130</v>
      </c>
      <c r="C7186">
        <v>218</v>
      </c>
      <c r="D7186">
        <v>236.98</v>
      </c>
      <c r="E7186">
        <v>236.97</v>
      </c>
      <c r="F7186">
        <v>0.01</v>
      </c>
    </row>
    <row r="7187" spans="1:6" x14ac:dyDescent="0.3">
      <c r="A7187" t="str">
        <f>HYPERLINK("https://us2.cloudbeds.com/connect/10074733072513#/reservations/31672724639927?display=MH5JHC3G6&amp;reservation_id=31672724639927", "MH5JHC3G6")</f>
        <v>MH5JHC3G6</v>
      </c>
      <c r="B7187" t="s">
        <v>1130</v>
      </c>
      <c r="C7187">
        <v>129</v>
      </c>
      <c r="D7187">
        <v>140.22999999999999</v>
      </c>
      <c r="E7187">
        <v>140.22</v>
      </c>
      <c r="F7187">
        <v>0.01</v>
      </c>
    </row>
    <row r="7188" spans="1:6" x14ac:dyDescent="0.3">
      <c r="A7188" t="str">
        <f>HYPERLINK("https://us2.cloudbeds.com/connect/10074733072513#/reservations/31673616064736?display=MH69A1AD7&amp;reservation_id=31673616064736", "MH69A1AD7")</f>
        <v>MH69A1AD7</v>
      </c>
      <c r="B7188" t="s">
        <v>1131</v>
      </c>
      <c r="C7188">
        <v>139</v>
      </c>
      <c r="D7188">
        <v>151.1</v>
      </c>
      <c r="E7188">
        <v>151.09</v>
      </c>
      <c r="F7188">
        <v>0.01</v>
      </c>
    </row>
    <row r="7189" spans="1:6" x14ac:dyDescent="0.3">
      <c r="A7189" t="str">
        <f>HYPERLINK("https://us2.cloudbeds.com/connect/10074733072513#/reservations/31676293673126?display=MH8BNSNKD&amp;reservation_id=31676293673126", "MH8BNSNKD")</f>
        <v>MH8BNSNKD</v>
      </c>
      <c r="B7189" t="s">
        <v>1101</v>
      </c>
      <c r="C7189">
        <v>278</v>
      </c>
      <c r="D7189">
        <v>302.2</v>
      </c>
      <c r="E7189">
        <v>302.19</v>
      </c>
      <c r="F7189">
        <v>0.01</v>
      </c>
    </row>
    <row r="7190" spans="1:6" x14ac:dyDescent="0.3">
      <c r="A7190" t="str">
        <f>HYPERLINK("https://us2.cloudbeds.com/connect/10074733072513#/reservations/31676734132375?display=MH8MW94ZC&amp;reservation_id=31676734132375", "MH8MW94ZC")</f>
        <v>MH8MW94ZC</v>
      </c>
      <c r="B7190" t="s">
        <v>1065</v>
      </c>
      <c r="C7190">
        <v>169</v>
      </c>
      <c r="D7190">
        <v>183.71</v>
      </c>
      <c r="E7190">
        <v>183.7</v>
      </c>
      <c r="F7190">
        <v>0.01</v>
      </c>
    </row>
    <row r="7191" spans="1:6" x14ac:dyDescent="0.3">
      <c r="A7191" t="str">
        <f>HYPERLINK("https://us2.cloudbeds.com/connect/10074733072513#/reservations/31672853725388?display=MH5MR738S&amp;reservation_id=31672853725388", "MH5MR738S")</f>
        <v>MH5MR738S</v>
      </c>
      <c r="B7191" t="s">
        <v>1126</v>
      </c>
      <c r="C7191">
        <v>218</v>
      </c>
      <c r="D7191">
        <v>236.98</v>
      </c>
      <c r="E7191">
        <v>236.97</v>
      </c>
      <c r="F7191">
        <v>0.01</v>
      </c>
    </row>
    <row r="7192" spans="1:6" x14ac:dyDescent="0.3">
      <c r="A7192" t="str">
        <f>HYPERLINK("https://us2.cloudbeds.com/connect/10074733072513#/reservations/31672744714448?display=MH5K19ND1&amp;reservation_id=31672744714448", "MH5K19ND1")</f>
        <v>MH5K19ND1</v>
      </c>
      <c r="B7192" t="s">
        <v>1126</v>
      </c>
      <c r="C7192">
        <v>89</v>
      </c>
      <c r="D7192">
        <v>96.75</v>
      </c>
      <c r="E7192">
        <v>96.74</v>
      </c>
      <c r="F7192">
        <v>0.01</v>
      </c>
    </row>
    <row r="7193" spans="1:6" x14ac:dyDescent="0.3">
      <c r="A7193" t="str">
        <f>HYPERLINK("https://us2.cloudbeds.com/connect/10074733072513#/reservations/31674574282893?display=MH70Q14T2&amp;reservation_id=31674574282893", "MH70Q14T2")</f>
        <v>MH70Q14T2</v>
      </c>
      <c r="B7193" t="s">
        <v>1094</v>
      </c>
      <c r="C7193">
        <v>258</v>
      </c>
      <c r="D7193">
        <v>280.45999999999998</v>
      </c>
      <c r="E7193">
        <v>280.45</v>
      </c>
      <c r="F7193">
        <v>0.01</v>
      </c>
    </row>
    <row r="7194" spans="1:6" x14ac:dyDescent="0.3">
      <c r="A7194" t="str">
        <f>HYPERLINK("https://us2.cloudbeds.com/connect/10074733072513#/reservations/31672627241143?display=MH5H17RZU&amp;reservation_id=31672627241143", "MH5H17RZU")</f>
        <v>MH5H17RZU</v>
      </c>
      <c r="B7194" t="s">
        <v>1120</v>
      </c>
      <c r="C7194">
        <v>73</v>
      </c>
      <c r="D7194">
        <v>79.36</v>
      </c>
      <c r="E7194">
        <v>79.349999999999994</v>
      </c>
      <c r="F7194">
        <v>0.01</v>
      </c>
    </row>
    <row r="7195" spans="1:6" x14ac:dyDescent="0.3">
      <c r="A7195" t="str">
        <f>HYPERLINK("https://us2.cloudbeds.com/connect/10074733072513#/reservations/31672734367969?display=MH5JPXQGC&amp;reservation_id=31672734367969", "MH5JPXQGC")</f>
        <v>MH5JPXQGC</v>
      </c>
      <c r="B7195" t="s">
        <v>1126</v>
      </c>
      <c r="C7195">
        <v>109</v>
      </c>
      <c r="D7195">
        <v>118.49</v>
      </c>
      <c r="E7195">
        <v>118.48</v>
      </c>
      <c r="F7195">
        <v>0.01</v>
      </c>
    </row>
    <row r="7196" spans="1:6" x14ac:dyDescent="0.3">
      <c r="A7196" t="str">
        <f>HYPERLINK("https://us2.cloudbeds.com/connect/10074733072513#/reservations/31678010331355?display=MH9MJD8KZ&amp;reservation_id=31678010331355", "MH9MJD8KZ")</f>
        <v>MH9MJD8KZ</v>
      </c>
      <c r="B7196" t="s">
        <v>878</v>
      </c>
      <c r="C7196">
        <v>258</v>
      </c>
      <c r="D7196">
        <v>280.45999999999998</v>
      </c>
      <c r="E7196">
        <v>280.45</v>
      </c>
      <c r="F7196">
        <v>0.01</v>
      </c>
    </row>
    <row r="7197" spans="1:6" x14ac:dyDescent="0.3">
      <c r="A7197" t="str">
        <f>HYPERLINK("https://us2.cloudbeds.com/connect/10074733072513#/reservations/31672751452323?display=MH5K6W6K2&amp;reservation_id=31672751452323", "MH5K6W6K2")</f>
        <v>MH5K6W6K2</v>
      </c>
      <c r="B7197" t="s">
        <v>1126</v>
      </c>
      <c r="C7197">
        <v>109</v>
      </c>
      <c r="D7197">
        <v>118.49</v>
      </c>
      <c r="E7197">
        <v>118.48</v>
      </c>
      <c r="F7197">
        <v>0.01</v>
      </c>
    </row>
    <row r="7198" spans="1:6" x14ac:dyDescent="0.3">
      <c r="A7198" t="str">
        <f>HYPERLINK("https://us2.cloudbeds.com/connect/10074733072513#/reservations/31672615633063?display=MH5GZERBU&amp;reservation_id=31672615633063", "MH5GZERBU")</f>
        <v>MH5GZERBU</v>
      </c>
      <c r="B7198" t="s">
        <v>1120</v>
      </c>
      <c r="C7198">
        <v>109</v>
      </c>
      <c r="D7198">
        <v>118.49</v>
      </c>
      <c r="E7198">
        <v>118.48</v>
      </c>
      <c r="F7198">
        <v>0.01</v>
      </c>
    </row>
    <row r="7199" spans="1:6" x14ac:dyDescent="0.3">
      <c r="A7199" t="str">
        <f>HYPERLINK("https://us2.cloudbeds.com/connect/10074733072513#/reservations/31674977861762?display=MH7B3BANP&amp;reservation_id=31674977861762", "MH7B3BANP")</f>
        <v>MH7B3BANP</v>
      </c>
      <c r="B7199" t="s">
        <v>1128</v>
      </c>
      <c r="C7199">
        <v>258</v>
      </c>
      <c r="D7199">
        <v>280.45999999999998</v>
      </c>
      <c r="E7199">
        <v>280.45</v>
      </c>
      <c r="F7199">
        <v>0.01</v>
      </c>
    </row>
    <row r="7200" spans="1:6" x14ac:dyDescent="0.3">
      <c r="A7200" t="str">
        <f>HYPERLINK("https://us2.cloudbeds.com/connect/10074733072513#/reservations/31673776263374?display=MH6DD42JD&amp;reservation_id=31673776263374", "MH6DD42JD")</f>
        <v>MH6DD42JD</v>
      </c>
      <c r="B7200" t="s">
        <v>1131</v>
      </c>
      <c r="C7200">
        <v>139</v>
      </c>
      <c r="D7200">
        <v>151.1</v>
      </c>
      <c r="E7200">
        <v>151.09</v>
      </c>
      <c r="F7200">
        <v>0.01</v>
      </c>
    </row>
    <row r="7201" spans="1:6" x14ac:dyDescent="0.3">
      <c r="A7201" t="str">
        <f>HYPERLINK("https://us2.cloudbeds.com/connect/10074733072513#/reservations/31673792536722?display=MH6DQRTW5&amp;reservation_id=31673792536722", "MH6DQRTW5")</f>
        <v>MH6DQRTW5</v>
      </c>
      <c r="B7201" t="s">
        <v>1131</v>
      </c>
      <c r="C7201">
        <v>296</v>
      </c>
      <c r="D7201">
        <v>321.76</v>
      </c>
      <c r="E7201">
        <v>321.75</v>
      </c>
      <c r="F7201">
        <v>0.01</v>
      </c>
    </row>
    <row r="7202" spans="1:6" x14ac:dyDescent="0.3">
      <c r="A7202" t="str">
        <f>HYPERLINK("https://us2.cloudbeds.com/connect/10074733072513#/reservations/31672709107842?display=MH5J48TPW&amp;reservation_id=31672709107842", "MH5J48TPW")</f>
        <v>MH5J48TPW</v>
      </c>
      <c r="B7202" t="s">
        <v>1132</v>
      </c>
      <c r="C7202">
        <v>238</v>
      </c>
      <c r="D7202">
        <v>258.72000000000003</v>
      </c>
      <c r="E7202">
        <v>258.70999999999998</v>
      </c>
      <c r="F7202">
        <v>0.01</v>
      </c>
    </row>
    <row r="7203" spans="1:6" x14ac:dyDescent="0.3">
      <c r="A7203" t="str">
        <f>HYPERLINK("https://us2.cloudbeds.com/connect/10074733072513#/reservations/31674584805607?display=MH711TVK6&amp;reservation_id=31674584805607", "MH711TVK6")</f>
        <v>MH711TVK6</v>
      </c>
      <c r="B7203" t="s">
        <v>1094</v>
      </c>
      <c r="C7203">
        <v>258</v>
      </c>
      <c r="D7203">
        <v>280.45999999999998</v>
      </c>
      <c r="E7203">
        <v>280.45</v>
      </c>
      <c r="F7203">
        <v>0.01</v>
      </c>
    </row>
    <row r="7204" spans="1:6" x14ac:dyDescent="0.3">
      <c r="A7204" t="str">
        <f>HYPERLINK("https://us2.cloudbeds.com/connect/10074733072513#/reservations/31673337577617?display=MH626700K&amp;reservation_id=31673337577617", "MH626700K")</f>
        <v>MH626700K</v>
      </c>
      <c r="B7204" t="s">
        <v>981</v>
      </c>
      <c r="C7204">
        <v>87.84</v>
      </c>
      <c r="D7204">
        <v>95.49</v>
      </c>
      <c r="E7204">
        <v>95.48</v>
      </c>
      <c r="F7204">
        <v>0.01</v>
      </c>
    </row>
    <row r="7205" spans="1:6" x14ac:dyDescent="0.3">
      <c r="A7205" t="str">
        <f>HYPERLINK("https://us2.cloudbeds.com/connect/10074733072513#/reservations/31672741564600?display=MH5JVY1W3&amp;reservation_id=31672741564600", "MH5JVY1W3")</f>
        <v>MH5JVY1W3</v>
      </c>
      <c r="B7205" t="s">
        <v>1132</v>
      </c>
      <c r="C7205">
        <v>73</v>
      </c>
      <c r="D7205">
        <v>79.36</v>
      </c>
      <c r="E7205">
        <v>79.349999999999994</v>
      </c>
      <c r="F7205">
        <v>0.01</v>
      </c>
    </row>
    <row r="7206" spans="1:6" x14ac:dyDescent="0.3">
      <c r="A7206" t="str">
        <f>HYPERLINK("https://us2.cloudbeds.com/connect/10074733072513#/reservations/31672734363877?display=MH5JPXMZC&amp;reservation_id=31672734363877", "MH5JPXMZC")</f>
        <v>MH5JPXMZC</v>
      </c>
      <c r="B7206" t="s">
        <v>1132</v>
      </c>
      <c r="C7206">
        <v>109</v>
      </c>
      <c r="D7206">
        <v>118.49</v>
      </c>
      <c r="E7206">
        <v>118.48</v>
      </c>
      <c r="F7206">
        <v>0.01</v>
      </c>
    </row>
    <row r="7207" spans="1:6" x14ac:dyDescent="0.3">
      <c r="A7207" t="str">
        <f>HYPERLINK("https://us2.cloudbeds.com/connect/10074733072513#/reservations/31673611980932?display=MH696JMBJ&amp;reservation_id=31673611980932", "MH696JMBJ")</f>
        <v>MH696JMBJ</v>
      </c>
      <c r="B7207" t="s">
        <v>1134</v>
      </c>
      <c r="C7207">
        <v>258</v>
      </c>
      <c r="D7207">
        <v>280.45999999999998</v>
      </c>
      <c r="E7207">
        <v>280.45</v>
      </c>
      <c r="F7207">
        <v>0.01</v>
      </c>
    </row>
    <row r="7208" spans="1:6" x14ac:dyDescent="0.3">
      <c r="A7208" t="str">
        <f>HYPERLINK("https://us2.cloudbeds.com/connect/10074733072513#/reservations/31672897425539?display=MH5NV23VS&amp;reservation_id=31672897425539", "MH5NV23VS")</f>
        <v>MH5NV23VS</v>
      </c>
      <c r="B7208" t="s">
        <v>1120</v>
      </c>
      <c r="C7208">
        <v>109</v>
      </c>
      <c r="D7208">
        <v>118.49</v>
      </c>
      <c r="E7208">
        <v>118.48</v>
      </c>
      <c r="F7208">
        <v>0.01</v>
      </c>
    </row>
    <row r="7209" spans="1:6" x14ac:dyDescent="0.3">
      <c r="A7209" t="str">
        <f>HYPERLINK("https://us2.cloudbeds.com/connect/10074733072513#/reservations/31672828514554?display=MH5M5VXR6&amp;reservation_id=31672828514554", "MH5M5VXR6")</f>
        <v>MH5M5VXR6</v>
      </c>
      <c r="B7209" t="s">
        <v>981</v>
      </c>
      <c r="C7209">
        <v>87.84</v>
      </c>
      <c r="D7209">
        <v>95.49</v>
      </c>
      <c r="E7209">
        <v>95.48</v>
      </c>
      <c r="F7209">
        <v>0.01</v>
      </c>
    </row>
    <row r="7210" spans="1:6" x14ac:dyDescent="0.3">
      <c r="A7210" t="str">
        <f>HYPERLINK("https://us2.cloudbeds.com/connect/10074733072513#/reservations/31673635246230?display=MH69Q728K&amp;reservation_id=31673635246230", "MH69Q728K")</f>
        <v>MH69Q728K</v>
      </c>
      <c r="B7210" t="s">
        <v>1107</v>
      </c>
      <c r="C7210">
        <v>196</v>
      </c>
      <c r="D7210">
        <v>213.06</v>
      </c>
      <c r="E7210">
        <v>213.05</v>
      </c>
      <c r="F7210">
        <v>0.01</v>
      </c>
    </row>
    <row r="7211" spans="1:6" x14ac:dyDescent="0.3">
      <c r="A7211" t="str">
        <f>HYPERLINK("https://us2.cloudbeds.com/connect/10074733072513#/reservations/31672751456418?display=MH5K6WAC5&amp;reservation_id=31672751456418", "MH5K6WAC5")</f>
        <v>MH5K6WAC5</v>
      </c>
      <c r="B7211" t="s">
        <v>1132</v>
      </c>
      <c r="C7211">
        <v>73</v>
      </c>
      <c r="D7211">
        <v>79.36</v>
      </c>
      <c r="E7211">
        <v>79.349999999999994</v>
      </c>
      <c r="F7211">
        <v>0.01</v>
      </c>
    </row>
    <row r="7212" spans="1:6" x14ac:dyDescent="0.3">
      <c r="A7212" t="str">
        <f>HYPERLINK("https://us2.cloudbeds.com/connect/10074733072513#/reservations/31682816372899?display=MHDDCWEU9&amp;reservation_id=31682816372899", "MHDDCWEU9")</f>
        <v>MHDDCWEU9</v>
      </c>
      <c r="B7212" t="s">
        <v>1079</v>
      </c>
      <c r="C7212">
        <v>587</v>
      </c>
      <c r="D7212">
        <v>638.08000000000004</v>
      </c>
      <c r="E7212">
        <v>638.07000000000005</v>
      </c>
      <c r="F7212">
        <v>0.01</v>
      </c>
    </row>
    <row r="7213" spans="1:6" x14ac:dyDescent="0.3">
      <c r="A7213" t="str">
        <f>HYPERLINK("https://us2.cloudbeds.com/connect/10074733072513#/reservations/31672744718541?display=MH5K19R52&amp;reservation_id=31672744718541", "MH5K19R52")</f>
        <v>MH5K19R52</v>
      </c>
      <c r="B7213" t="s">
        <v>1132</v>
      </c>
      <c r="C7213">
        <v>73</v>
      </c>
      <c r="D7213">
        <v>79.36</v>
      </c>
      <c r="E7213">
        <v>79.349999999999994</v>
      </c>
      <c r="F7213">
        <v>0.01</v>
      </c>
    </row>
    <row r="7214" spans="1:6" x14ac:dyDescent="0.3">
      <c r="A7214" t="str">
        <f>HYPERLINK("https://us2.cloudbeds.com/connect/10074733072513#/reservations/31682662772972?display=MHD9FFA50&amp;reservation_id=31682662772972", "MHD9FFA50")</f>
        <v>MHD9FFA50</v>
      </c>
      <c r="B7214" t="s">
        <v>1135</v>
      </c>
      <c r="C7214">
        <v>338</v>
      </c>
      <c r="D7214">
        <v>367.42</v>
      </c>
      <c r="E7214">
        <v>367.41</v>
      </c>
      <c r="F7214">
        <v>0.01</v>
      </c>
    </row>
    <row r="7215" spans="1:6" x14ac:dyDescent="0.3">
      <c r="A7215" t="str">
        <f>HYPERLINK("https://us2.cloudbeds.com/connect/10074733072513#/reservations/31672760848595?display=MH5KETYVJ&amp;reservation_id=31672760848595", "MH5KETYVJ")</f>
        <v>MH5KETYVJ</v>
      </c>
      <c r="B7215" t="s">
        <v>1132</v>
      </c>
      <c r="C7215">
        <v>73</v>
      </c>
      <c r="D7215">
        <v>79.36</v>
      </c>
      <c r="E7215">
        <v>79.349999999999994</v>
      </c>
      <c r="F7215">
        <v>0.01</v>
      </c>
    </row>
    <row r="7216" spans="1:6" x14ac:dyDescent="0.3">
      <c r="A7216" t="str">
        <f>HYPERLINK("https://us2.cloudbeds.com/connect/10074733072513#/reservations/31672693915794?display=MH5XZF5AT&amp;reservation_id=31672693915794", "MH5XZF5AT")</f>
        <v>MH5XZF5AT</v>
      </c>
      <c r="B7216" t="s">
        <v>1132</v>
      </c>
      <c r="C7216">
        <v>218</v>
      </c>
      <c r="D7216">
        <v>236.98</v>
      </c>
      <c r="E7216">
        <v>236.97</v>
      </c>
      <c r="F7216">
        <v>0.01</v>
      </c>
    </row>
    <row r="7217" spans="1:6" x14ac:dyDescent="0.3">
      <c r="A7217" t="str">
        <f>HYPERLINK("https://us2.cloudbeds.com/connect/10074733072513#/reservations/31681075294427?display=MHC1TSCEJ&amp;reservation_id=31681075294427", "MHC1TSCEJ")</f>
        <v>MHC1TSCEJ</v>
      </c>
      <c r="B7217" t="s">
        <v>1136</v>
      </c>
      <c r="C7217">
        <v>179</v>
      </c>
      <c r="D7217">
        <v>194.58</v>
      </c>
      <c r="E7217">
        <v>194.57</v>
      </c>
      <c r="F7217">
        <v>0.01</v>
      </c>
    </row>
    <row r="7218" spans="1:6" x14ac:dyDescent="0.3">
      <c r="A7218" t="str">
        <f>HYPERLINK("https://us2.cloudbeds.com/connect/10074733072513#/reservations/31673191055575?display=MH5VEYQMZ&amp;reservation_id=31673191055575", "MH5VEYQMZ")</f>
        <v>MH5VEYQMZ</v>
      </c>
      <c r="B7218" t="s">
        <v>981</v>
      </c>
      <c r="C7218">
        <v>149</v>
      </c>
      <c r="D7218">
        <v>161.97</v>
      </c>
      <c r="E7218">
        <v>161.96</v>
      </c>
      <c r="F7218">
        <v>0.01</v>
      </c>
    </row>
    <row r="7219" spans="1:6" x14ac:dyDescent="0.3">
      <c r="A7219" t="str">
        <f>HYPERLINK("https://us2.cloudbeds.com/connect/10074733072513#/reservations/31672847147141?display=MH5MYM1Y1&amp;reservation_id=31672847147141", "MH5MYM1Y1")</f>
        <v>MH5MYM1Y1</v>
      </c>
      <c r="B7219" t="s">
        <v>981</v>
      </c>
      <c r="C7219">
        <v>87.84</v>
      </c>
      <c r="D7219">
        <v>95.49</v>
      </c>
      <c r="E7219">
        <v>95.48</v>
      </c>
      <c r="F7219">
        <v>0.01</v>
      </c>
    </row>
    <row r="7220" spans="1:6" x14ac:dyDescent="0.3">
      <c r="A7220" t="str">
        <f>HYPERLINK("https://us2.cloudbeds.com/connect/10074733072513#/reservations/31673737048259?display=MH6CD1SCJ&amp;reservation_id=31673737048259", "MH6CD1SCJ")</f>
        <v>MH6CD1SCJ</v>
      </c>
      <c r="B7220" t="s">
        <v>1101</v>
      </c>
      <c r="C7220">
        <v>358</v>
      </c>
      <c r="D7220">
        <v>389.16</v>
      </c>
      <c r="E7220">
        <v>389.15</v>
      </c>
      <c r="F7220">
        <v>0.01</v>
      </c>
    </row>
    <row r="7221" spans="1:6" x14ac:dyDescent="0.3">
      <c r="A7221" t="str">
        <f>HYPERLINK("https://us2.cloudbeds.com/connect/10074733072513#/reservations/31673814257863?display=MH6EC5AUX&amp;reservation_id=31673814257863", "MH6EC5AUX")</f>
        <v>MH6EC5AUX</v>
      </c>
      <c r="B7221" t="s">
        <v>1131</v>
      </c>
      <c r="C7221">
        <v>106.8</v>
      </c>
      <c r="D7221">
        <v>116.1</v>
      </c>
      <c r="E7221">
        <v>116.09</v>
      </c>
      <c r="F7221">
        <v>0.01</v>
      </c>
    </row>
    <row r="7222" spans="1:6" x14ac:dyDescent="0.3">
      <c r="A7222" t="str">
        <f>HYPERLINK("https://us2.cloudbeds.com/connect/10074733072513#/reservations/31673546797263?display=MH67HKRTT&amp;reservation_id=31673546797263", "MH67HKRTT")</f>
        <v>MH67HKRTT</v>
      </c>
      <c r="B7222" t="s">
        <v>1107</v>
      </c>
      <c r="C7222">
        <v>109</v>
      </c>
      <c r="D7222">
        <v>118.49</v>
      </c>
      <c r="E7222">
        <v>118.48</v>
      </c>
      <c r="F7222">
        <v>0.01</v>
      </c>
    </row>
    <row r="7223" spans="1:6" x14ac:dyDescent="0.3">
      <c r="A7223" t="str">
        <f>HYPERLINK("https://us2.cloudbeds.com/connect/10074733072513#/reservations/31673569767645?display=MH6840102&amp;reservation_id=31673569767645", "MH6840102")</f>
        <v>MH6840102</v>
      </c>
      <c r="B7223" t="s">
        <v>1107</v>
      </c>
      <c r="C7223">
        <v>238</v>
      </c>
      <c r="D7223">
        <v>258.72000000000003</v>
      </c>
      <c r="E7223">
        <v>258.70999999999998</v>
      </c>
      <c r="F7223">
        <v>0.01</v>
      </c>
    </row>
    <row r="7224" spans="1:6" x14ac:dyDescent="0.3">
      <c r="A7224" t="str">
        <f>HYPERLINK("https://us2.cloudbeds.com/connect/10074733072513#/reservations/31673853223159?display=MH6FC0JZ3&amp;reservation_id=31673853223159", "MH6FC0JZ3")</f>
        <v>MH6FC0JZ3</v>
      </c>
      <c r="B7224" t="s">
        <v>981</v>
      </c>
      <c r="C7224">
        <v>149</v>
      </c>
      <c r="D7224">
        <v>161.97</v>
      </c>
      <c r="E7224">
        <v>161.96</v>
      </c>
      <c r="F7224">
        <v>0.01</v>
      </c>
    </row>
    <row r="7225" spans="1:6" x14ac:dyDescent="0.3">
      <c r="A7225" t="str">
        <f>HYPERLINK("https://us2.cloudbeds.com/connect/10074733072513#/reservations/31673852281017?display=MH6FB7CJB&amp;reservation_id=31673852281017", "MH6FB7CJB")</f>
        <v>MH6FB7CJB</v>
      </c>
      <c r="B7225" t="s">
        <v>1131</v>
      </c>
      <c r="C7225">
        <v>79</v>
      </c>
      <c r="D7225">
        <v>85.88</v>
      </c>
      <c r="E7225">
        <v>85.87</v>
      </c>
      <c r="F7225">
        <v>0.01</v>
      </c>
    </row>
    <row r="7226" spans="1:6" x14ac:dyDescent="0.3">
      <c r="A7226" t="str">
        <f>HYPERLINK("https://us2.cloudbeds.com/connect/10074733072513#/reservations/31673845465314?display=MH6F5FNTT&amp;reservation_id=31673845465314", "MH6F5FNTT")</f>
        <v>MH6F5FNTT</v>
      </c>
      <c r="B7226" t="s">
        <v>1131</v>
      </c>
      <c r="C7226">
        <v>87.84</v>
      </c>
      <c r="D7226">
        <v>95.49</v>
      </c>
      <c r="E7226">
        <v>95.48</v>
      </c>
      <c r="F7226">
        <v>0.01</v>
      </c>
    </row>
    <row r="7227" spans="1:6" x14ac:dyDescent="0.3">
      <c r="A7227" t="str">
        <f>HYPERLINK("https://us2.cloudbeds.com/connect/10074733072513#/reservations/31673818771602?display=MH6EFVUPH&amp;reservation_id=31673818771602", "MH6EFVUPH")</f>
        <v>MH6EFVUPH</v>
      </c>
      <c r="B7227" t="s">
        <v>1131</v>
      </c>
      <c r="C7227">
        <v>169</v>
      </c>
      <c r="D7227">
        <v>183.71</v>
      </c>
      <c r="E7227">
        <v>183.7</v>
      </c>
      <c r="F7227">
        <v>0.01</v>
      </c>
    </row>
    <row r="7228" spans="1:6" x14ac:dyDescent="0.3">
      <c r="A7228" t="str">
        <f>HYPERLINK("https://us2.cloudbeds.com/connect/10074733072513#/reservations/31674922766497?display=MH79MT769&amp;reservation_id=31674922766497", "MH79MT769")</f>
        <v>MH79MT769</v>
      </c>
      <c r="B7228" t="s">
        <v>1128</v>
      </c>
      <c r="C7228">
        <v>297.83</v>
      </c>
      <c r="D7228">
        <v>323.75</v>
      </c>
      <c r="E7228">
        <v>323.74</v>
      </c>
      <c r="F7228">
        <v>0.01</v>
      </c>
    </row>
    <row r="7229" spans="1:6" x14ac:dyDescent="0.3">
      <c r="A7229" t="str">
        <f>HYPERLINK("https://us2.cloudbeds.com/connect/10074733072513#/reservations/31673958641836?display=MH6X1U0UF&amp;reservation_id=31673958641836", "MH6X1U0UF")</f>
        <v>MH6X1U0UF</v>
      </c>
      <c r="B7229" t="s">
        <v>1138</v>
      </c>
      <c r="C7229">
        <v>321.3</v>
      </c>
      <c r="D7229">
        <v>349.26</v>
      </c>
      <c r="E7229">
        <v>349.25</v>
      </c>
      <c r="F7229">
        <v>0.01</v>
      </c>
    </row>
    <row r="7230" spans="1:6" x14ac:dyDescent="0.3">
      <c r="A7230" t="str">
        <f>HYPERLINK("https://us2.cloudbeds.com/connect/10074733072513#/reservations/31673531994274?display=MH6754UNF&amp;reservation_id=31673531994274", "MH6754UNF")</f>
        <v>MH6754UNF</v>
      </c>
      <c r="B7230" t="s">
        <v>1107</v>
      </c>
      <c r="C7230">
        <v>109</v>
      </c>
      <c r="D7230">
        <v>118.49</v>
      </c>
      <c r="E7230">
        <v>118.48</v>
      </c>
      <c r="F7230">
        <v>0.01</v>
      </c>
    </row>
    <row r="7231" spans="1:6" x14ac:dyDescent="0.3">
      <c r="A7231" t="str">
        <f>HYPERLINK("https://us2.cloudbeds.com/connect/10074733072513#/reservations/31672857297121?display=MH5MU7G36&amp;reservation_id=31672857297121", "MH5MU7G36")</f>
        <v>MH5MU7G36</v>
      </c>
      <c r="B7231" t="s">
        <v>981</v>
      </c>
      <c r="C7231">
        <v>139</v>
      </c>
      <c r="D7231">
        <v>151.1</v>
      </c>
      <c r="E7231">
        <v>151.09</v>
      </c>
      <c r="F7231">
        <v>0.01</v>
      </c>
    </row>
    <row r="7232" spans="1:6" x14ac:dyDescent="0.3">
      <c r="A7232" t="str">
        <f>HYPERLINK("https://us2.cloudbeds.com/connect/10074733072513#/reservations/31672857293012?display=MH5MU7CAM&amp;reservation_id=31672857293012", "MH5MU7CAM")</f>
        <v>MH5MU7CAM</v>
      </c>
      <c r="B7232" t="s">
        <v>981</v>
      </c>
      <c r="C7232">
        <v>87.84</v>
      </c>
      <c r="D7232">
        <v>95.49</v>
      </c>
      <c r="E7232">
        <v>95.48</v>
      </c>
      <c r="F7232">
        <v>0.01</v>
      </c>
    </row>
    <row r="7233" spans="1:6" x14ac:dyDescent="0.3">
      <c r="A7233" t="str">
        <f>HYPERLINK("https://us2.cloudbeds.com/connect/10074733072513#/reservations/31673546793174?display=MH67HKZ4W&amp;reservation_id=31673546793174", "MH67HKZ4W")</f>
        <v>MH67HKZ4W</v>
      </c>
      <c r="B7233" t="s">
        <v>1107</v>
      </c>
      <c r="C7233">
        <v>109</v>
      </c>
      <c r="D7233">
        <v>118.49</v>
      </c>
      <c r="E7233">
        <v>118.48</v>
      </c>
      <c r="F7233">
        <v>0.01</v>
      </c>
    </row>
    <row r="7234" spans="1:6" x14ac:dyDescent="0.3">
      <c r="A7234" t="str">
        <f>HYPERLINK("https://us2.cloudbeds.com/connect/10074733072513#/reservations/31673014649034?display=MH5QUU16W&amp;reservation_id=31673014649034", "MH5QUU16W")</f>
        <v>MH5QUU16W</v>
      </c>
      <c r="B7234" t="s">
        <v>981</v>
      </c>
      <c r="C7234">
        <v>159</v>
      </c>
      <c r="D7234">
        <v>172.84</v>
      </c>
      <c r="E7234">
        <v>172.83</v>
      </c>
      <c r="F7234">
        <v>0.01</v>
      </c>
    </row>
    <row r="7235" spans="1:6" x14ac:dyDescent="0.3">
      <c r="A7235" t="str">
        <f>HYPERLINK("https://us2.cloudbeds.com/connect/10074733072513#/reservations/31673831391474?display=MH6EQK38T&amp;reservation_id=31673831391474", "MH6EQK38T")</f>
        <v>MH6EQK38T</v>
      </c>
      <c r="B7235" t="s">
        <v>1131</v>
      </c>
      <c r="C7235">
        <v>109</v>
      </c>
      <c r="D7235">
        <v>118.49</v>
      </c>
      <c r="E7235">
        <v>118.48</v>
      </c>
      <c r="F7235">
        <v>0.01</v>
      </c>
    </row>
    <row r="7236" spans="1:6" x14ac:dyDescent="0.3">
      <c r="A7236" t="str">
        <f>HYPERLINK("https://us2.cloudbeds.com/connect/10074733072513#/reservations/31672877940871?display=MH5NEKUNC&amp;reservation_id=31672877940871", "MH5NEKUNC")</f>
        <v>MH5NEKUNC</v>
      </c>
      <c r="B7236" t="s">
        <v>981</v>
      </c>
      <c r="C7236">
        <v>79</v>
      </c>
      <c r="D7236">
        <v>85.88</v>
      </c>
      <c r="E7236">
        <v>85.87</v>
      </c>
      <c r="F7236">
        <v>0.01</v>
      </c>
    </row>
    <row r="7237" spans="1:6" x14ac:dyDescent="0.3">
      <c r="A7237" t="str">
        <f>HYPERLINK("https://us2.cloudbeds.com/connect/10074733072513#/reservations/31672886022305?display=MH5NYEQMA&amp;reservation_id=31672886022305", "MH5NYEQMA")</f>
        <v>MH5NYEQMA</v>
      </c>
      <c r="B7237" t="s">
        <v>981</v>
      </c>
      <c r="C7237">
        <v>169</v>
      </c>
      <c r="D7237">
        <v>183.71</v>
      </c>
      <c r="E7237">
        <v>183.7</v>
      </c>
      <c r="F7237">
        <v>0.01</v>
      </c>
    </row>
    <row r="7238" spans="1:6" x14ac:dyDescent="0.3">
      <c r="A7238" t="str">
        <f>HYPERLINK("https://us2.cloudbeds.com/connect/10074733072513#/reservations/31673010340019?display=MH5QR94BP&amp;reservation_id=31673010340019", "MH5QR94BP")</f>
        <v>MH5QR94BP</v>
      </c>
      <c r="B7238" t="s">
        <v>981</v>
      </c>
      <c r="C7238">
        <v>149</v>
      </c>
      <c r="D7238">
        <v>161.97</v>
      </c>
      <c r="E7238">
        <v>161.96</v>
      </c>
      <c r="F7238">
        <v>0.01</v>
      </c>
    </row>
    <row r="7239" spans="1:6" x14ac:dyDescent="0.3">
      <c r="A7239" t="str">
        <f>HYPERLINK("https://us2.cloudbeds.com/connect/10074733072513#/reservations/31674046984374?display=MH6KAD9X2&amp;reservation_id=31674046984374", "MH6KAD9X2")</f>
        <v>MH6KAD9X2</v>
      </c>
      <c r="B7239" t="s">
        <v>1114</v>
      </c>
      <c r="C7239">
        <v>87.84</v>
      </c>
      <c r="D7239">
        <v>95.49</v>
      </c>
      <c r="E7239">
        <v>95.48</v>
      </c>
      <c r="F7239">
        <v>0.01</v>
      </c>
    </row>
    <row r="7240" spans="1:6" x14ac:dyDescent="0.3">
      <c r="A7240" t="str">
        <f>HYPERLINK("https://us2.cloudbeds.com/connect/10074733072513#/reservations/31674689999088?display=MH73ZK40E&amp;reservation_id=31674689999088", "MH73ZK40E")</f>
        <v>MH73ZK40E</v>
      </c>
      <c r="B7240" t="s">
        <v>1116</v>
      </c>
      <c r="C7240">
        <v>129</v>
      </c>
      <c r="D7240">
        <v>140.22999999999999</v>
      </c>
      <c r="E7240">
        <v>140.22</v>
      </c>
      <c r="F7240">
        <v>0.01</v>
      </c>
    </row>
    <row r="7241" spans="1:6" x14ac:dyDescent="0.3">
      <c r="A7241" t="str">
        <f>HYPERLINK("https://us2.cloudbeds.com/connect/10074733072513#/reservations/31672292946122?display=MH58GBJEP&amp;reservation_id=31672292946122", "MH58GBJEP")</f>
        <v>MH58GBJEP</v>
      </c>
      <c r="B7241" t="s">
        <v>1099</v>
      </c>
      <c r="C7241">
        <v>370</v>
      </c>
      <c r="D7241">
        <v>402.2</v>
      </c>
      <c r="E7241">
        <v>402.19</v>
      </c>
      <c r="F7241">
        <v>0.01</v>
      </c>
    </row>
    <row r="7242" spans="1:6" x14ac:dyDescent="0.3">
      <c r="A7242" t="str">
        <f>HYPERLINK("https://us2.cloudbeds.com/connect/10074733072513#/reservations/31682535428288?display=MHD60KCQF&amp;reservation_id=31682535428288", "MHD60KCQF")</f>
        <v>MHD60KCQF</v>
      </c>
      <c r="B7242" t="s">
        <v>1139</v>
      </c>
      <c r="C7242">
        <v>129</v>
      </c>
      <c r="D7242">
        <v>140.22999999999999</v>
      </c>
      <c r="E7242">
        <v>140.22</v>
      </c>
      <c r="F7242">
        <v>0.01</v>
      </c>
    </row>
    <row r="7243" spans="1:6" x14ac:dyDescent="0.3">
      <c r="A7243" t="str">
        <f>HYPERLINK("https://us2.cloudbeds.com/connect/10074733072513#/reservations/31677518336131?display=MH9A0HPCX&amp;reservation_id=31677518336131", "MH9A0HPCX")</f>
        <v>MH9A0HPCX</v>
      </c>
      <c r="B7243" t="s">
        <v>1009</v>
      </c>
      <c r="C7243">
        <v>298</v>
      </c>
      <c r="D7243">
        <v>323.94</v>
      </c>
      <c r="E7243">
        <v>323.93</v>
      </c>
      <c r="F7243">
        <v>0.01</v>
      </c>
    </row>
    <row r="7244" spans="1:6" x14ac:dyDescent="0.3">
      <c r="A7244" t="str">
        <f>HYPERLINK("https://us2.cloudbeds.com/connect/10074733072513#/reservations/31682522640513?display=MHD5T9U6T&amp;reservation_id=31682522640513", "MHD5T9U6T")</f>
        <v>MHD5T9U6T</v>
      </c>
      <c r="B7244" t="s">
        <v>1139</v>
      </c>
      <c r="C7244">
        <v>129</v>
      </c>
      <c r="D7244">
        <v>140.22999999999999</v>
      </c>
      <c r="E7244">
        <v>140.22</v>
      </c>
      <c r="F7244">
        <v>0.01</v>
      </c>
    </row>
    <row r="7245" spans="1:6" x14ac:dyDescent="0.3">
      <c r="A7245" t="str">
        <f>HYPERLINK("https://us2.cloudbeds.com/connect/10074733072513#/reservations/31673064194193?display=MH5S6MN7E&amp;reservation_id=31673064194193", "MH5S6MN7E")</f>
        <v>MH5S6MN7E</v>
      </c>
      <c r="B7245" t="s">
        <v>1112</v>
      </c>
      <c r="C7245">
        <v>109</v>
      </c>
      <c r="D7245">
        <v>118.49</v>
      </c>
      <c r="E7245">
        <v>118.48</v>
      </c>
      <c r="F7245">
        <v>0.01</v>
      </c>
    </row>
    <row r="7246" spans="1:6" x14ac:dyDescent="0.3">
      <c r="A7246" t="str">
        <f>HYPERLINK("https://us2.cloudbeds.com/connect/10074733072513#/reservations/31677499203783?display=MH99HDCYE&amp;reservation_id=31677499203783", "MH99HDCYE")</f>
        <v>MH99HDCYE</v>
      </c>
      <c r="B7246" t="s">
        <v>1009</v>
      </c>
      <c r="C7246">
        <v>298</v>
      </c>
      <c r="D7246">
        <v>323.94</v>
      </c>
      <c r="E7246">
        <v>323.93</v>
      </c>
      <c r="F7246">
        <v>0.01</v>
      </c>
    </row>
    <row r="7247" spans="1:6" x14ac:dyDescent="0.3">
      <c r="A7247" t="str">
        <f>HYPERLINK("https://us2.cloudbeds.com/connect/10074733072513#/reservations/31677525127390?display=MH9A68ZK8&amp;reservation_id=31677525127390", "MH9A68ZK8")</f>
        <v>MH9A68ZK8</v>
      </c>
      <c r="B7247" t="s">
        <v>1009</v>
      </c>
      <c r="C7247">
        <v>298</v>
      </c>
      <c r="D7247">
        <v>323.94</v>
      </c>
      <c r="E7247">
        <v>323.93</v>
      </c>
      <c r="F7247">
        <v>0.01</v>
      </c>
    </row>
    <row r="7248" spans="1:6" x14ac:dyDescent="0.3">
      <c r="A7248" t="str">
        <f>HYPERLINK("https://us2.cloudbeds.com/connect/10074733072513#/reservations/31673167864008?display=MH5US3FFW&amp;reservation_id=31673167864008", "MH5US3FFW")</f>
        <v>MH5US3FFW</v>
      </c>
      <c r="B7248" t="s">
        <v>1112</v>
      </c>
      <c r="C7248">
        <v>79</v>
      </c>
      <c r="D7248">
        <v>85.88</v>
      </c>
      <c r="E7248">
        <v>85.87</v>
      </c>
      <c r="F7248">
        <v>0.01</v>
      </c>
    </row>
    <row r="7249" spans="1:6" x14ac:dyDescent="0.3">
      <c r="A7249" t="str">
        <f>HYPERLINK("https://us2.cloudbeds.com/connect/10074733072513#/reservations/31674043003113?display=MH6K71GYQ&amp;reservation_id=31674043003113", "MH6K71GYQ")</f>
        <v>MH6K71GYQ</v>
      </c>
      <c r="B7249" t="s">
        <v>1129</v>
      </c>
      <c r="C7249">
        <v>313.44</v>
      </c>
      <c r="D7249">
        <v>340.72</v>
      </c>
      <c r="E7249">
        <v>340.71</v>
      </c>
      <c r="F7249">
        <v>0.01</v>
      </c>
    </row>
    <row r="7250" spans="1:6" x14ac:dyDescent="0.3">
      <c r="A7250" t="str">
        <f>HYPERLINK("https://us2.cloudbeds.com/connect/10074733072513#/reservations/31673917317257?display=MH6H023YG&amp;reservation_id=31673917317257", "MH6H023YG")</f>
        <v>MH6H023YG</v>
      </c>
      <c r="B7250" t="s">
        <v>1138</v>
      </c>
      <c r="C7250">
        <v>77.5</v>
      </c>
      <c r="D7250">
        <v>84.25</v>
      </c>
      <c r="E7250">
        <v>84.24</v>
      </c>
      <c r="F7250">
        <v>0.01</v>
      </c>
    </row>
    <row r="7251" spans="1:6" x14ac:dyDescent="0.3">
      <c r="A7251" t="str">
        <f>HYPERLINK("https://us2.cloudbeds.com/connect/10074733072513#/reservations/31673744507042?display=MH6CJBDJA&amp;reservation_id=31673744507042", "MH6CJBDJA")</f>
        <v>MH6CJBDJA</v>
      </c>
      <c r="B7251" t="s">
        <v>1101</v>
      </c>
      <c r="C7251">
        <v>150</v>
      </c>
      <c r="D7251">
        <v>163.06</v>
      </c>
      <c r="E7251">
        <v>163.05000000000001</v>
      </c>
      <c r="F7251">
        <v>0.01</v>
      </c>
    </row>
    <row r="7252" spans="1:6" x14ac:dyDescent="0.3">
      <c r="A7252" t="str">
        <f>HYPERLINK("https://us2.cloudbeds.com/connect/10074733072513#/reservations/31673416560852?display=MH646QR7W&amp;reservation_id=31673416560852", "MH646QR7W")</f>
        <v>MH646QR7W</v>
      </c>
      <c r="B7252" t="s">
        <v>1106</v>
      </c>
      <c r="C7252">
        <v>87.84</v>
      </c>
      <c r="D7252">
        <v>95.49</v>
      </c>
      <c r="E7252">
        <v>95.48</v>
      </c>
      <c r="F7252">
        <v>0.01</v>
      </c>
    </row>
    <row r="7253" spans="1:6" x14ac:dyDescent="0.3">
      <c r="A7253" t="str">
        <f>HYPERLINK("https://us2.cloudbeds.com/connect/10074733072513#/reservations/31672209731813?display=MH56C60V1&amp;reservation_id=31672209731813", "MH56C60V1")</f>
        <v>MH56C60V1</v>
      </c>
      <c r="B7253" t="s">
        <v>1114</v>
      </c>
      <c r="C7253">
        <v>99</v>
      </c>
      <c r="D7253">
        <v>107.62</v>
      </c>
      <c r="E7253">
        <v>107.61</v>
      </c>
      <c r="F7253">
        <v>0.01</v>
      </c>
    </row>
    <row r="7254" spans="1:6" x14ac:dyDescent="0.3">
      <c r="A7254" t="str">
        <f>HYPERLINK("https://us2.cloudbeds.com/connect/10074733072513#/reservations/31673739055359?display=MH6CEZNEQ&amp;reservation_id=31673739055359", "MH6CEZNEQ")</f>
        <v>MH6CEZNEQ</v>
      </c>
      <c r="B7254" t="s">
        <v>1122</v>
      </c>
      <c r="C7254">
        <v>87.84</v>
      </c>
      <c r="D7254">
        <v>95.49</v>
      </c>
      <c r="E7254">
        <v>95.48</v>
      </c>
      <c r="F7254">
        <v>0.01</v>
      </c>
    </row>
    <row r="7255" spans="1:6" x14ac:dyDescent="0.3">
      <c r="A7255" t="str">
        <f>HYPERLINK("https://us2.cloudbeds.com/connect/10074733072513#/reservations/31676269125844?display=MH8B35YGC&amp;reservation_id=31676269125844", "MH8B35YGC")</f>
        <v>MH8B35YGC</v>
      </c>
      <c r="B7255" t="s">
        <v>1101</v>
      </c>
      <c r="C7255">
        <v>150</v>
      </c>
      <c r="D7255">
        <v>163.06</v>
      </c>
      <c r="E7255">
        <v>163.05000000000001</v>
      </c>
      <c r="F7255">
        <v>0.01</v>
      </c>
    </row>
    <row r="7256" spans="1:6" x14ac:dyDescent="0.3">
      <c r="A7256" t="str">
        <f>HYPERLINK("https://us2.cloudbeds.com/connect/10074733072513#/reservations/31673582301439?display=MH68EXQF0&amp;reservation_id=31673582301439", "MH68EXQF0")</f>
        <v>MH68EXQF0</v>
      </c>
      <c r="B7256" t="s">
        <v>1143</v>
      </c>
      <c r="C7256">
        <v>535.5</v>
      </c>
      <c r="D7256">
        <v>582.1</v>
      </c>
      <c r="E7256">
        <v>582.09</v>
      </c>
      <c r="F7256">
        <v>0.01</v>
      </c>
    </row>
    <row r="7257" spans="1:6" x14ac:dyDescent="0.3">
      <c r="A7257" t="str">
        <f>HYPERLINK("https://us2.cloudbeds.com/connect/10074733072513#/reservations/31676223979654?display=MH89V3CUW&amp;reservation_id=31676223979654", "MH89V3CUW")</f>
        <v>MH89V3CUW</v>
      </c>
      <c r="B7257" t="s">
        <v>1101</v>
      </c>
      <c r="C7257">
        <v>298</v>
      </c>
      <c r="D7257">
        <v>323.94</v>
      </c>
      <c r="E7257">
        <v>323.93</v>
      </c>
      <c r="F7257">
        <v>0.01</v>
      </c>
    </row>
    <row r="7258" spans="1:6" x14ac:dyDescent="0.3">
      <c r="A7258" t="str">
        <f>HYPERLINK("https://us2.cloudbeds.com/connect/10074733072513#/reservations/31673747939482?display=MH6CM7UGY&amp;reservation_id=31673747939482", "MH6CM7UGY")</f>
        <v>MH6CM7UGY</v>
      </c>
      <c r="B7258" t="s">
        <v>1122</v>
      </c>
      <c r="C7258">
        <v>87.84</v>
      </c>
      <c r="D7258">
        <v>95.49</v>
      </c>
      <c r="E7258">
        <v>95.48</v>
      </c>
      <c r="F7258">
        <v>0.01</v>
      </c>
    </row>
    <row r="7259" spans="1:6" x14ac:dyDescent="0.3">
      <c r="A7259" t="str">
        <f>HYPERLINK("https://us2.cloudbeds.com/connect/10074733072513#/reservations/31673714835688?display=MH6BRAP5C&amp;reservation_id=31673714835688", "MH6BRAP5C")</f>
        <v>MH6BRAP5C</v>
      </c>
      <c r="B7259" t="s">
        <v>1101</v>
      </c>
      <c r="C7259">
        <v>218</v>
      </c>
      <c r="D7259">
        <v>236.98</v>
      </c>
      <c r="E7259">
        <v>236.97</v>
      </c>
      <c r="F7259">
        <v>0.01</v>
      </c>
    </row>
    <row r="7260" spans="1:6" x14ac:dyDescent="0.3">
      <c r="A7260" t="str">
        <f>HYPERLINK("https://us2.cloudbeds.com/connect/10074733072513#/reservations/31673706819722?display=MH6BKXNAA&amp;reservation_id=31673706819722", "MH6BKXNAA")</f>
        <v>MH6BKXNAA</v>
      </c>
      <c r="B7260" t="s">
        <v>1101</v>
      </c>
      <c r="C7260">
        <v>218</v>
      </c>
      <c r="D7260">
        <v>236.98</v>
      </c>
      <c r="E7260">
        <v>236.97</v>
      </c>
      <c r="F7260">
        <v>0.01</v>
      </c>
    </row>
    <row r="7261" spans="1:6" x14ac:dyDescent="0.3">
      <c r="A7261" t="str">
        <f>HYPERLINK("https://us2.cloudbeds.com/connect/10074733072513#/reservations/31673686880400?display=MH6B3ZSXE&amp;reservation_id=31673686880400", "MH6B3ZSXE")</f>
        <v>MH6B3ZSXE</v>
      </c>
      <c r="B7261" t="s">
        <v>1101</v>
      </c>
      <c r="C7261">
        <v>218</v>
      </c>
      <c r="D7261">
        <v>236.98</v>
      </c>
      <c r="E7261">
        <v>236.97</v>
      </c>
      <c r="F7261">
        <v>0.01</v>
      </c>
    </row>
    <row r="7262" spans="1:6" x14ac:dyDescent="0.3">
      <c r="A7262" t="str">
        <f>HYPERLINK("https://us2.cloudbeds.com/connect/10074733072513#/reservations/31673432510601?display=MH64K8YFN&amp;reservation_id=31673432510601", "MH64K8YFN")</f>
        <v>MH64K8YFN</v>
      </c>
      <c r="B7262" t="s">
        <v>1145</v>
      </c>
      <c r="C7262">
        <v>321.3</v>
      </c>
      <c r="D7262">
        <v>349.26</v>
      </c>
      <c r="E7262">
        <v>349.25</v>
      </c>
      <c r="F7262">
        <v>0.01</v>
      </c>
    </row>
    <row r="7263" spans="1:6" x14ac:dyDescent="0.3">
      <c r="A7263" t="str">
        <f>HYPERLINK("https://us2.cloudbeds.com/connect/10074733072513#/reservations/31674179444943?display=MH6NN36JN&amp;reservation_id=31674179444943", "MH6NN36JN")</f>
        <v>MH6NN36JN</v>
      </c>
      <c r="B7263" t="s">
        <v>1133</v>
      </c>
      <c r="C7263">
        <v>298</v>
      </c>
      <c r="D7263">
        <v>323.94</v>
      </c>
      <c r="E7263">
        <v>323.93</v>
      </c>
      <c r="F7263">
        <v>0.01</v>
      </c>
    </row>
    <row r="7264" spans="1:6" x14ac:dyDescent="0.3">
      <c r="A7264" t="str">
        <f>HYPERLINK("https://us2.cloudbeds.com/connect/10074733072513#/reservations/31672226607310?display=MH56QDK8Z&amp;reservation_id=31672226607310", "MH56QDK8Z")</f>
        <v>MH56QDK8Z</v>
      </c>
      <c r="B7264" t="s">
        <v>1114</v>
      </c>
      <c r="C7264">
        <v>298</v>
      </c>
      <c r="D7264">
        <v>323.94</v>
      </c>
      <c r="E7264">
        <v>323.93</v>
      </c>
      <c r="F7264">
        <v>0.01</v>
      </c>
    </row>
    <row r="7265" spans="1:6" x14ac:dyDescent="0.3">
      <c r="A7265" t="str">
        <f>HYPERLINK("https://us2.cloudbeds.com/connect/10074733072513#/reservations/31673754710218?display=MH6CRVATF&amp;reservation_id=31673754710218", "MH6CRVATF")</f>
        <v>MH6CRVATF</v>
      </c>
      <c r="B7265" t="s">
        <v>1122</v>
      </c>
      <c r="C7265">
        <v>73</v>
      </c>
      <c r="D7265">
        <v>79.36</v>
      </c>
      <c r="E7265">
        <v>79.349999999999994</v>
      </c>
      <c r="F7265">
        <v>0.01</v>
      </c>
    </row>
    <row r="7266" spans="1:6" x14ac:dyDescent="0.3">
      <c r="A7266" t="str">
        <f>HYPERLINK("https://us2.cloudbeds.com/connect/10074733072513#/reservations/31672397410469?display=MH5B5EFA1&amp;reservation_id=31672397410469", "MH5B5EFA1")</f>
        <v>MH5B5EFA1</v>
      </c>
      <c r="B7266" t="s">
        <v>1106</v>
      </c>
      <c r="C7266">
        <v>169</v>
      </c>
      <c r="D7266">
        <v>183.71</v>
      </c>
      <c r="E7266">
        <v>183.7</v>
      </c>
      <c r="F7266">
        <v>0.01</v>
      </c>
    </row>
    <row r="7267" spans="1:6" x14ac:dyDescent="0.3">
      <c r="A7267" t="str">
        <f>HYPERLINK("https://us2.cloudbeds.com/connect/10074733072513#/reservations/31673441120451?display=MH64RH7M8&amp;reservation_id=31673441120451", "MH64RH7M8")</f>
        <v>MH64RH7M8</v>
      </c>
      <c r="B7267" t="s">
        <v>1106</v>
      </c>
      <c r="C7267">
        <v>139</v>
      </c>
      <c r="D7267">
        <v>151.1</v>
      </c>
      <c r="E7267">
        <v>151.09</v>
      </c>
      <c r="F7267">
        <v>0.01</v>
      </c>
    </row>
    <row r="7268" spans="1:6" x14ac:dyDescent="0.3">
      <c r="A7268" t="str">
        <f>HYPERLINK("https://us2.cloudbeds.com/connect/10074733072513#/reservations/31672814510223?display=MH5YR4T0H&amp;reservation_id=31672814510223", "MH5YR4T0H")</f>
        <v>MH5YR4T0H</v>
      </c>
      <c r="B7268" t="s">
        <v>1094</v>
      </c>
      <c r="C7268">
        <v>169</v>
      </c>
      <c r="D7268">
        <v>183.71</v>
      </c>
      <c r="E7268">
        <v>183.7</v>
      </c>
      <c r="F7268">
        <v>0.01</v>
      </c>
    </row>
    <row r="7269" spans="1:6" x14ac:dyDescent="0.3">
      <c r="A7269" t="str">
        <f>HYPERLINK("https://us2.cloudbeds.com/connect/10074733072513#/reservations/31672213967084?display=MH56FZT2J&amp;reservation_id=31672213967084", "MH56FZT2J")</f>
        <v>MH56FZT2J</v>
      </c>
      <c r="B7269" t="s">
        <v>1106</v>
      </c>
      <c r="C7269">
        <v>139</v>
      </c>
      <c r="D7269">
        <v>151.1</v>
      </c>
      <c r="E7269">
        <v>151.09</v>
      </c>
      <c r="F7269">
        <v>0.01</v>
      </c>
    </row>
    <row r="7270" spans="1:6" x14ac:dyDescent="0.3">
      <c r="A7270" t="str">
        <f>HYPERLINK("https://us2.cloudbeds.com/connect/10074733072513#/reservations/31675799969986?display=MH7W3XN16&amp;reservation_id=31675799969986", "MH7W3XN16")</f>
        <v>MH7W3XN16</v>
      </c>
      <c r="B7270" t="s">
        <v>957</v>
      </c>
      <c r="C7270">
        <v>139</v>
      </c>
      <c r="D7270">
        <v>151.1</v>
      </c>
      <c r="E7270">
        <v>151.09</v>
      </c>
      <c r="F7270">
        <v>0.01</v>
      </c>
    </row>
    <row r="7271" spans="1:6" x14ac:dyDescent="0.3">
      <c r="A7271" t="str">
        <f>HYPERLINK("https://us2.cloudbeds.com/connect/10074733072513#/reservations/31673433514148?display=MH64Y3J07&amp;reservation_id=31673433514148", "MH64Y3J07")</f>
        <v>MH64Y3J07</v>
      </c>
      <c r="B7271" t="s">
        <v>1106</v>
      </c>
      <c r="C7271">
        <v>87.84</v>
      </c>
      <c r="D7271">
        <v>95.49</v>
      </c>
      <c r="E7271">
        <v>95.48</v>
      </c>
      <c r="F7271">
        <v>0.01</v>
      </c>
    </row>
    <row r="7272" spans="1:6" x14ac:dyDescent="0.3">
      <c r="A7272" t="str">
        <f>HYPERLINK("https://us2.cloudbeds.com/connect/10074733072513#/reservations/31673465114835?display=MH65EZU2Q&amp;reservation_id=31673465114835", "MH65EZU2Q")</f>
        <v>MH65EZU2Q</v>
      </c>
      <c r="B7272" t="s">
        <v>1128</v>
      </c>
      <c r="C7272">
        <v>258</v>
      </c>
      <c r="D7272">
        <v>280.45999999999998</v>
      </c>
      <c r="E7272">
        <v>280.45</v>
      </c>
      <c r="F7272">
        <v>0.01</v>
      </c>
    </row>
    <row r="7273" spans="1:6" x14ac:dyDescent="0.3">
      <c r="A7273" t="str">
        <f>HYPERLINK("https://us2.cloudbeds.com/connect/10074733072513#/reservations/31673464414409?display=MH65E5DTP&amp;reservation_id=31673464414409", "MH65E5DTP")</f>
        <v>MH65E5DTP</v>
      </c>
      <c r="B7273" t="s">
        <v>1093</v>
      </c>
      <c r="C7273">
        <v>139</v>
      </c>
      <c r="D7273">
        <v>151.1</v>
      </c>
      <c r="E7273">
        <v>151.09</v>
      </c>
      <c r="F7273">
        <v>0.01</v>
      </c>
    </row>
    <row r="7274" spans="1:6" x14ac:dyDescent="0.3">
      <c r="A7274" t="str">
        <f>HYPERLINK("https://us2.cloudbeds.com/connect/10074733072513#/reservations/31678972539078?display=MHAE5P3KH&amp;reservation_id=31678972539078", "MHAE5P3KH")</f>
        <v>MHAE5P3KH</v>
      </c>
      <c r="B7274" t="s">
        <v>1065</v>
      </c>
      <c r="C7274">
        <v>298</v>
      </c>
      <c r="D7274">
        <v>323.94</v>
      </c>
      <c r="E7274">
        <v>323.93</v>
      </c>
      <c r="F7274">
        <v>0.01</v>
      </c>
    </row>
    <row r="7275" spans="1:6" x14ac:dyDescent="0.3">
      <c r="A7275" t="str">
        <f>HYPERLINK("https://us2.cloudbeds.com/connect/10074733072513#/reservations/31673454727385?display=MH655WSXJ&amp;reservation_id=31673454727385", "MH655WSXJ")</f>
        <v>MH655WSXJ</v>
      </c>
      <c r="B7275" t="s">
        <v>1093</v>
      </c>
      <c r="C7275">
        <v>109</v>
      </c>
      <c r="D7275">
        <v>118.49</v>
      </c>
      <c r="E7275">
        <v>118.48</v>
      </c>
      <c r="F7275">
        <v>0.01</v>
      </c>
    </row>
    <row r="7276" spans="1:6" x14ac:dyDescent="0.3">
      <c r="A7276" t="str">
        <f>HYPERLINK("https://us2.cloudbeds.com/connect/10074733072513#/reservations/31673595203714?display=MH68PER91&amp;reservation_id=31673595203714", "MH68PER91")</f>
        <v>MH68PER91</v>
      </c>
      <c r="B7276" t="s">
        <v>1093</v>
      </c>
      <c r="C7276">
        <v>109</v>
      </c>
      <c r="D7276">
        <v>118.49</v>
      </c>
      <c r="E7276">
        <v>118.48</v>
      </c>
      <c r="F7276">
        <v>0.01</v>
      </c>
    </row>
    <row r="7277" spans="1:6" x14ac:dyDescent="0.3">
      <c r="A7277" t="str">
        <f>HYPERLINK("https://us2.cloudbeds.com/connect/10074733072513#/reservations/31673879822466?display=MH6G1EP5N&amp;reservation_id=31673879822466", "MH6G1EP5N")</f>
        <v>MH6G1EP5N</v>
      </c>
      <c r="B7277" t="s">
        <v>1006</v>
      </c>
      <c r="C7277">
        <v>338</v>
      </c>
      <c r="D7277">
        <v>367.42</v>
      </c>
      <c r="E7277">
        <v>367.41</v>
      </c>
      <c r="F7277">
        <v>0.01</v>
      </c>
    </row>
    <row r="7278" spans="1:6" x14ac:dyDescent="0.3">
      <c r="A7278" t="str">
        <f>HYPERLINK("https://us2.cloudbeds.com/connect/10074733072513#/reservations/31676780183684?display=MH8Z53JEJ&amp;reservation_id=31676780183684", "MH8Z53JEJ")</f>
        <v>MH8Z53JEJ</v>
      </c>
      <c r="B7278" t="s">
        <v>1065</v>
      </c>
      <c r="C7278">
        <v>298</v>
      </c>
      <c r="D7278">
        <v>323.94</v>
      </c>
      <c r="E7278">
        <v>323.93</v>
      </c>
      <c r="F7278">
        <v>0.01</v>
      </c>
    </row>
    <row r="7279" spans="1:6" x14ac:dyDescent="0.3">
      <c r="A7279" t="str">
        <f>HYPERLINK("https://us2.cloudbeds.com/connect/10074733072513#/reservations/31672296001674?display=MH58XUK98&amp;reservation_id=31672296001674", "MH58XUK98")</f>
        <v>MH58XUK98</v>
      </c>
      <c r="B7279" t="s">
        <v>1099</v>
      </c>
      <c r="C7279">
        <v>238</v>
      </c>
      <c r="D7279">
        <v>258.72000000000003</v>
      </c>
      <c r="E7279">
        <v>258.70999999999998</v>
      </c>
      <c r="F7279">
        <v>0.01</v>
      </c>
    </row>
    <row r="7280" spans="1:6" x14ac:dyDescent="0.3">
      <c r="A7280" t="str">
        <f>HYPERLINK("https://us2.cloudbeds.com/connect/10074733072513#/reservations/31676607639688?display=MH8JZK9RY&amp;reservation_id=31676607639688", "MH8JZK9RY")</f>
        <v>MH8JZK9RY</v>
      </c>
      <c r="B7280" t="s">
        <v>1147</v>
      </c>
      <c r="C7280">
        <v>169</v>
      </c>
      <c r="D7280">
        <v>183.71</v>
      </c>
      <c r="E7280">
        <v>183.7</v>
      </c>
      <c r="F7280">
        <v>0.01</v>
      </c>
    </row>
    <row r="7281" spans="1:6" x14ac:dyDescent="0.3">
      <c r="A7281" t="str">
        <f>HYPERLINK("https://us2.cloudbeds.com/connect/10074733072513#/reservations/31674133348567?display=MH6MH7GGR&amp;reservation_id=31674133348567", "MH6MH7GGR")</f>
        <v>MH6MH7GGR</v>
      </c>
      <c r="B7281" t="s">
        <v>1133</v>
      </c>
      <c r="C7281">
        <v>258</v>
      </c>
      <c r="D7281">
        <v>280.45999999999998</v>
      </c>
      <c r="E7281">
        <v>280.45</v>
      </c>
      <c r="F7281">
        <v>0.01</v>
      </c>
    </row>
    <row r="7282" spans="1:6" x14ac:dyDescent="0.3">
      <c r="A7282" t="str">
        <f>HYPERLINK("https://us2.cloudbeds.com/connect/10074733072513#/reservations/31672278192283?display=MH583U1CN&amp;reservation_id=31672278192283", "MH583U1CN")</f>
        <v>MH583U1CN</v>
      </c>
      <c r="B7282" t="s">
        <v>1134</v>
      </c>
      <c r="C7282">
        <v>129</v>
      </c>
      <c r="D7282">
        <v>140.22999999999999</v>
      </c>
      <c r="E7282">
        <v>140.22</v>
      </c>
      <c r="F7282">
        <v>0.01</v>
      </c>
    </row>
    <row r="7283" spans="1:6" x14ac:dyDescent="0.3">
      <c r="A7283" t="str">
        <f>HYPERLINK("https://us2.cloudbeds.com/connect/10074733072513#/reservations/31673744502943?display=MH6CJB9R3&amp;reservation_id=31673744502943", "MH6CJB9R3")</f>
        <v>MH6CJB9R3</v>
      </c>
      <c r="B7283" t="s">
        <v>1101</v>
      </c>
      <c r="C7283">
        <v>358</v>
      </c>
      <c r="D7283">
        <v>389.16</v>
      </c>
      <c r="E7283">
        <v>389.15</v>
      </c>
      <c r="F7283">
        <v>0.01</v>
      </c>
    </row>
    <row r="7284" spans="1:6" x14ac:dyDescent="0.3">
      <c r="A7284" t="str">
        <f>HYPERLINK("https://us2.cloudbeds.com/connect/10074733072513#/reservations/31672466829489?display=MH5CUW4VN&amp;reservation_id=31672466829489", "MH5CUW4VN")</f>
        <v>MH5CUW4VN</v>
      </c>
      <c r="B7284" t="s">
        <v>1148</v>
      </c>
      <c r="C7284">
        <v>73</v>
      </c>
      <c r="D7284">
        <v>79.36</v>
      </c>
      <c r="E7284">
        <v>79.349999999999994</v>
      </c>
      <c r="F7284">
        <v>0.01</v>
      </c>
    </row>
    <row r="7285" spans="1:6" x14ac:dyDescent="0.3">
      <c r="A7285" t="str">
        <f>HYPERLINK("https://us2.cloudbeds.com/connect/10074733072513#/reservations/31672512061695?display=MH5E33QGK&amp;reservation_id=31672512061695", "MH5E33QGK")</f>
        <v>MH5E33QGK</v>
      </c>
      <c r="B7285" t="s">
        <v>1148</v>
      </c>
      <c r="C7285">
        <v>156.72</v>
      </c>
      <c r="D7285">
        <v>170.36</v>
      </c>
      <c r="E7285">
        <v>170.35</v>
      </c>
      <c r="F7285">
        <v>0.01</v>
      </c>
    </row>
    <row r="7286" spans="1:6" x14ac:dyDescent="0.3">
      <c r="A7286" t="str">
        <f>HYPERLINK("https://us2.cloudbeds.com/connect/10074733072513#/reservations/31673754468541?display=MH6CRZJVU&amp;reservation_id=31673754468541", "MH6CRZJVU")</f>
        <v>MH6CRZJVU</v>
      </c>
      <c r="B7286" t="s">
        <v>1101</v>
      </c>
      <c r="C7286">
        <v>318</v>
      </c>
      <c r="D7286">
        <v>345.68</v>
      </c>
      <c r="E7286">
        <v>345.67</v>
      </c>
      <c r="F7286">
        <v>0.01</v>
      </c>
    </row>
    <row r="7287" spans="1:6" x14ac:dyDescent="0.3">
      <c r="A7287" t="str">
        <f>HYPERLINK("https://us2.cloudbeds.com/connect/10074733072513#/reservations/31672481919107?display=MH5DAN1BS&amp;reservation_id=31672481919107", "MH5DAN1BS")</f>
        <v>MH5DAN1BS</v>
      </c>
      <c r="B7287" t="s">
        <v>1148</v>
      </c>
      <c r="C7287">
        <v>119</v>
      </c>
      <c r="D7287">
        <v>129.36000000000001</v>
      </c>
      <c r="E7287">
        <v>129.35</v>
      </c>
      <c r="F7287">
        <v>0.01</v>
      </c>
    </row>
    <row r="7288" spans="1:6" x14ac:dyDescent="0.3">
      <c r="A7288" t="str">
        <f>HYPERLINK("https://us2.cloudbeds.com/connect/10074733072513#/reservations/31672468132057?display=MH5CW2D2F&amp;reservation_id=31672468132057", "MH5CW2D2F")</f>
        <v>MH5CW2D2F</v>
      </c>
      <c r="B7288" t="s">
        <v>1148</v>
      </c>
      <c r="C7288">
        <v>73</v>
      </c>
      <c r="D7288">
        <v>79.36</v>
      </c>
      <c r="E7288">
        <v>79.349999999999994</v>
      </c>
      <c r="F7288">
        <v>0.01</v>
      </c>
    </row>
    <row r="7289" spans="1:6" x14ac:dyDescent="0.3">
      <c r="A7289" t="str">
        <f>HYPERLINK("https://us2.cloudbeds.com/connect/10074733072513#/reservations/31674380878068?display=MH6SRVCAQ&amp;reservation_id=31674380878068", "MH6SRVCAQ")</f>
        <v>MH6SRVCAQ</v>
      </c>
      <c r="B7289" t="s">
        <v>1133</v>
      </c>
      <c r="C7289">
        <v>77.5</v>
      </c>
      <c r="D7289">
        <v>84.25</v>
      </c>
      <c r="E7289">
        <v>84.24</v>
      </c>
      <c r="F7289">
        <v>0.01</v>
      </c>
    </row>
    <row r="7290" spans="1:6" x14ac:dyDescent="0.3">
      <c r="A7290" t="str">
        <f>HYPERLINK("https://us2.cloudbeds.com/connect/10074733072513#/reservations/31677352505592?display=MH95PN9XN&amp;reservation_id=31677352505592", "MH95PN9XN")</f>
        <v>MH95PN9XN</v>
      </c>
      <c r="B7290" t="s">
        <v>1006</v>
      </c>
      <c r="C7290">
        <v>139</v>
      </c>
      <c r="D7290">
        <v>151.1</v>
      </c>
      <c r="E7290">
        <v>151.09</v>
      </c>
      <c r="F7290">
        <v>0.01</v>
      </c>
    </row>
    <row r="7291" spans="1:6" x14ac:dyDescent="0.3">
      <c r="A7291" t="str">
        <f>HYPERLINK("https://us2.cloudbeds.com/connect/10074733072513#/reservations/31673311056032?display=MH61GRWV7&amp;reservation_id=31673311056032", "MH61GRWV7")</f>
        <v>MH61GRWV7</v>
      </c>
      <c r="B7291" t="s">
        <v>1150</v>
      </c>
      <c r="C7291">
        <v>129</v>
      </c>
      <c r="D7291">
        <v>140.22999999999999</v>
      </c>
      <c r="E7291">
        <v>140.22</v>
      </c>
      <c r="F7291">
        <v>0.01</v>
      </c>
    </row>
    <row r="7292" spans="1:6" x14ac:dyDescent="0.3">
      <c r="A7292" t="str">
        <f>HYPERLINK("https://us2.cloudbeds.com/connect/10074733072513#/reservations/31677416337647?display=MH97DHGSD&amp;reservation_id=31677416337647", "MH97DHGSD")</f>
        <v>MH97DHGSD</v>
      </c>
      <c r="B7292" t="s">
        <v>1006</v>
      </c>
      <c r="C7292">
        <v>139</v>
      </c>
      <c r="D7292">
        <v>151.1</v>
      </c>
      <c r="E7292">
        <v>151.09</v>
      </c>
      <c r="F7292">
        <v>0.01</v>
      </c>
    </row>
    <row r="7293" spans="1:6" x14ac:dyDescent="0.3">
      <c r="A7293" t="str">
        <f>HYPERLINK("https://us2.cloudbeds.com/connect/10074733072513#/reservations/31674715922571?display=MH74DFFSH&amp;reservation_id=31674715922571", "MH74DFFSH")</f>
        <v>MH74DFFSH</v>
      </c>
      <c r="B7293" t="s">
        <v>1116</v>
      </c>
      <c r="C7293">
        <v>169</v>
      </c>
      <c r="D7293">
        <v>183.71</v>
      </c>
      <c r="E7293">
        <v>183.7</v>
      </c>
      <c r="F7293">
        <v>0.01</v>
      </c>
    </row>
    <row r="7294" spans="1:6" x14ac:dyDescent="0.3">
      <c r="A7294" t="str">
        <f>HYPERLINK("https://us2.cloudbeds.com/connect/10074733072513#/reservations/31674445660327?display=MH6UGJ15X&amp;reservation_id=31674445660327", "MH6UGJ15X")</f>
        <v>MH6UGJ15X</v>
      </c>
      <c r="B7294" t="s">
        <v>1116</v>
      </c>
      <c r="C7294">
        <v>149</v>
      </c>
      <c r="D7294">
        <v>161.97</v>
      </c>
      <c r="E7294">
        <v>161.96</v>
      </c>
      <c r="F7294">
        <v>0.01</v>
      </c>
    </row>
    <row r="7295" spans="1:6" x14ac:dyDescent="0.3">
      <c r="A7295" t="str">
        <f>HYPERLINK("https://us2.cloudbeds.com/connect/10074733072513#/reservations/31674664853719?display=MH733DDMH&amp;reservation_id=31674664853719", "MH733DDMH")</f>
        <v>MH733DDMH</v>
      </c>
      <c r="B7295" t="s">
        <v>1116</v>
      </c>
      <c r="C7295">
        <v>298</v>
      </c>
      <c r="D7295">
        <v>323.94</v>
      </c>
      <c r="E7295">
        <v>323.93</v>
      </c>
      <c r="F7295">
        <v>0.01</v>
      </c>
    </row>
    <row r="7296" spans="1:6" x14ac:dyDescent="0.3">
      <c r="A7296" t="str">
        <f>HYPERLINK("https://us2.cloudbeds.com/connect/10074733072513#/reservations/31674418872453?display=MH6TQWKXQ&amp;reservation_id=31674418872453", "MH6TQWKXQ")</f>
        <v>MH6TQWKXQ</v>
      </c>
      <c r="B7296" t="s">
        <v>1133</v>
      </c>
      <c r="C7296">
        <v>73</v>
      </c>
      <c r="D7296">
        <v>79.36</v>
      </c>
      <c r="E7296">
        <v>79.349999999999994</v>
      </c>
      <c r="F7296">
        <v>0.01</v>
      </c>
    </row>
    <row r="7297" spans="1:6" x14ac:dyDescent="0.3">
      <c r="A7297" t="str">
        <f>HYPERLINK("https://us2.cloudbeds.com/connect/10074733072513#/reservations/31675380691139?display=MH7YD0YAJ&amp;reservation_id=31675380691139", "MH7YD0YAJ")</f>
        <v>MH7YD0YAJ</v>
      </c>
      <c r="B7297" t="s">
        <v>1151</v>
      </c>
      <c r="C7297">
        <v>338</v>
      </c>
      <c r="D7297">
        <v>367.42</v>
      </c>
      <c r="E7297">
        <v>367.41</v>
      </c>
      <c r="F7297">
        <v>0.01</v>
      </c>
    </row>
    <row r="7298" spans="1:6" x14ac:dyDescent="0.3">
      <c r="A7298" t="str">
        <f>HYPERLINK("https://us2.cloudbeds.com/connect/10074733072513#/reservations/31674725478582?display=MH74YHCTK&amp;reservation_id=31674725478582", "MH74YHCTK")</f>
        <v>MH74YHCTK</v>
      </c>
      <c r="B7298" t="s">
        <v>1116</v>
      </c>
      <c r="C7298">
        <v>159</v>
      </c>
      <c r="D7298">
        <v>172.84</v>
      </c>
      <c r="E7298">
        <v>172.83</v>
      </c>
      <c r="F7298">
        <v>0.01</v>
      </c>
    </row>
    <row r="7299" spans="1:6" x14ac:dyDescent="0.3">
      <c r="A7299" t="str">
        <f>HYPERLINK("https://us2.cloudbeds.com/connect/10074733072513#/reservations/31675637498049?display=MH7RVXMB5&amp;reservation_id=31675637498049", "MH7RVXMB5")</f>
        <v>MH7RVXMB5</v>
      </c>
      <c r="B7299" t="s">
        <v>982</v>
      </c>
      <c r="C7299">
        <v>358</v>
      </c>
      <c r="D7299">
        <v>389.16</v>
      </c>
      <c r="E7299">
        <v>389.15</v>
      </c>
      <c r="F7299">
        <v>0.01</v>
      </c>
    </row>
    <row r="7300" spans="1:6" x14ac:dyDescent="0.3">
      <c r="A7300" t="str">
        <f>HYPERLINK("https://us2.cloudbeds.com/connect/10074733072513#/reservations/31674439475410?display=MH6UBBUNR&amp;reservation_id=31674439475410", "MH6UBBUNR")</f>
        <v>MH6UBBUNR</v>
      </c>
      <c r="B7300" t="s">
        <v>1133</v>
      </c>
      <c r="C7300">
        <v>129</v>
      </c>
      <c r="D7300">
        <v>140.22999999999999</v>
      </c>
      <c r="E7300">
        <v>140.22</v>
      </c>
      <c r="F7300">
        <v>0.01</v>
      </c>
    </row>
    <row r="7301" spans="1:6" x14ac:dyDescent="0.3">
      <c r="A7301" t="str">
        <f>HYPERLINK("https://us2.cloudbeds.com/connect/10074733072513#/reservations/31680326942848?display=MHBFPR96R&amp;reservation_id=31680326942848", "MHBFPR96R")</f>
        <v>MHBFPR96R</v>
      </c>
      <c r="B7301" t="s">
        <v>819</v>
      </c>
      <c r="C7301">
        <v>278</v>
      </c>
      <c r="D7301">
        <v>302.2</v>
      </c>
      <c r="E7301">
        <v>302.19</v>
      </c>
      <c r="F7301">
        <v>0.01</v>
      </c>
    </row>
    <row r="7302" spans="1:6" x14ac:dyDescent="0.3">
      <c r="A7302" t="str">
        <f>HYPERLINK("https://us2.cloudbeds.com/connect/10074733072513#/reservations/31674452345083?display=MH6UM71JU&amp;reservation_id=31674452345083", "MH6UM71JU")</f>
        <v>MH6UM71JU</v>
      </c>
      <c r="B7302" t="s">
        <v>1116</v>
      </c>
      <c r="C7302">
        <v>169</v>
      </c>
      <c r="D7302">
        <v>183.71</v>
      </c>
      <c r="E7302">
        <v>183.7</v>
      </c>
      <c r="F7302">
        <v>0.01</v>
      </c>
    </row>
    <row r="7303" spans="1:6" x14ac:dyDescent="0.3">
      <c r="A7303" t="str">
        <f>HYPERLINK("https://us2.cloudbeds.com/connect/10074733072513#/reservations/31674897666246?display=MH791NP9K&amp;reservation_id=31674897666246", "MH791NP9K")</f>
        <v>MH791NP9K</v>
      </c>
      <c r="B7303" t="s">
        <v>1128</v>
      </c>
      <c r="C7303">
        <v>139</v>
      </c>
      <c r="D7303">
        <v>151.1</v>
      </c>
      <c r="E7303">
        <v>151.09</v>
      </c>
      <c r="F7303">
        <v>0.01</v>
      </c>
    </row>
    <row r="7304" spans="1:6" x14ac:dyDescent="0.3">
      <c r="A7304" t="str">
        <f>HYPERLINK("https://us2.cloudbeds.com/connect/10074733072513#/reservations/31673480720629?display=MH65RU5FY&amp;reservation_id=31673480720629", "MH65RU5FY")</f>
        <v>MH65RU5FY</v>
      </c>
      <c r="B7304" t="s">
        <v>1128</v>
      </c>
      <c r="C7304">
        <v>258</v>
      </c>
      <c r="D7304">
        <v>280.45999999999998</v>
      </c>
      <c r="E7304">
        <v>280.45</v>
      </c>
      <c r="F7304">
        <v>0.01</v>
      </c>
    </row>
    <row r="7305" spans="1:6" x14ac:dyDescent="0.3">
      <c r="A7305" t="str">
        <f>HYPERLINK("https://us2.cloudbeds.com/connect/10074733072513#/reservations/31672772067505?display=MH5KZBRWX&amp;reservation_id=31672772067505", "MH5KZBRWX")</f>
        <v>MH5KZBRWX</v>
      </c>
      <c r="B7305" t="s">
        <v>1094</v>
      </c>
      <c r="C7305">
        <v>158</v>
      </c>
      <c r="D7305">
        <v>171.76</v>
      </c>
      <c r="E7305">
        <v>171.75</v>
      </c>
      <c r="F7305">
        <v>0.01</v>
      </c>
    </row>
    <row r="7306" spans="1:6" x14ac:dyDescent="0.3">
      <c r="A7306" t="str">
        <f>HYPERLINK("https://us2.cloudbeds.com/connect/10074733072513#/reservations/31672735633625?display=MH5JQY0NJ&amp;reservation_id=31672735633625", "MH5JQY0NJ")</f>
        <v>MH5JQY0NJ</v>
      </c>
      <c r="B7306" t="s">
        <v>1116</v>
      </c>
      <c r="C7306">
        <v>199</v>
      </c>
      <c r="D7306">
        <v>216.32</v>
      </c>
      <c r="E7306">
        <v>216.31</v>
      </c>
      <c r="F7306">
        <v>0.01</v>
      </c>
    </row>
    <row r="7307" spans="1:6" x14ac:dyDescent="0.3">
      <c r="A7307" t="str">
        <f>HYPERLINK("https://us2.cloudbeds.com/connect/10074733072513#/reservations/31674383454346?display=MH6SU421R&amp;reservation_id=31674383454346", "MH6SU421R")</f>
        <v>MH6SU421R</v>
      </c>
      <c r="B7307" t="s">
        <v>1073</v>
      </c>
      <c r="C7307">
        <v>169</v>
      </c>
      <c r="D7307">
        <v>183.71</v>
      </c>
      <c r="E7307">
        <v>183.7</v>
      </c>
      <c r="F7307">
        <v>0.01</v>
      </c>
    </row>
    <row r="7308" spans="1:6" x14ac:dyDescent="0.3">
      <c r="A7308" t="str">
        <f>HYPERLINK("https://us2.cloudbeds.com/connect/10074733072513#/reservations/31674741383336?display=MH751UVQS&amp;reservation_id=31674741383336", "MH751UVQS")</f>
        <v>MH751UVQS</v>
      </c>
      <c r="B7308" t="s">
        <v>1116</v>
      </c>
      <c r="C7308">
        <v>159</v>
      </c>
      <c r="D7308">
        <v>172.84</v>
      </c>
      <c r="E7308">
        <v>172.83</v>
      </c>
      <c r="F7308">
        <v>0.01</v>
      </c>
    </row>
    <row r="7309" spans="1:6" x14ac:dyDescent="0.3">
      <c r="A7309" t="str">
        <f>HYPERLINK("https://us2.cloudbeds.com/connect/10074733072513#/reservations/31682666942601?display=MHD9XWB0C&amp;reservation_id=31682666942601", "MHD9XWB0C")</f>
        <v>MHD9XWB0C</v>
      </c>
      <c r="B7309" t="s">
        <v>1135</v>
      </c>
      <c r="C7309">
        <v>338</v>
      </c>
      <c r="D7309">
        <v>367.42</v>
      </c>
      <c r="E7309">
        <v>367.41</v>
      </c>
      <c r="F7309">
        <v>0.01</v>
      </c>
    </row>
    <row r="7310" spans="1:6" x14ac:dyDescent="0.3">
      <c r="A7310" t="str">
        <f>HYPERLINK("https://us2.cloudbeds.com/connect/10074733072513#/reservations/31675743719651?display=MH7UM4ERJ&amp;reservation_id=31675743719651", "MH7UM4ERJ")</f>
        <v>MH7UM4ERJ</v>
      </c>
      <c r="B7310" t="s">
        <v>982</v>
      </c>
      <c r="C7310">
        <v>298</v>
      </c>
      <c r="D7310">
        <v>323.94</v>
      </c>
      <c r="E7310">
        <v>323.93</v>
      </c>
      <c r="F7310">
        <v>0.01</v>
      </c>
    </row>
    <row r="7311" spans="1:6" x14ac:dyDescent="0.3">
      <c r="A7311" t="str">
        <f>HYPERLINK("https://us2.cloudbeds.com/connect/10074733072513#/reservations/31682543161492?display=MHD6DJV2Z&amp;reservation_id=31682543161492", "MHD6DJV2Z")</f>
        <v>MHD6DJV2Z</v>
      </c>
      <c r="B7311" t="s">
        <v>1135</v>
      </c>
      <c r="C7311">
        <v>238</v>
      </c>
      <c r="D7311">
        <v>258.72000000000003</v>
      </c>
      <c r="E7311">
        <v>258.70999999999998</v>
      </c>
      <c r="F7311">
        <v>0.01</v>
      </c>
    </row>
    <row r="7312" spans="1:6" x14ac:dyDescent="0.3">
      <c r="A7312" t="str">
        <f>HYPERLINK("https://us2.cloudbeds.com/connect/10074733072513#/reservations/31673192022157?display=MH5VFFN93&amp;reservation_id=31673192022157", "MH5VFFN93")</f>
        <v>MH5VFFN93</v>
      </c>
      <c r="B7312" t="s">
        <v>1150</v>
      </c>
      <c r="C7312">
        <v>158</v>
      </c>
      <c r="D7312">
        <v>171.76</v>
      </c>
      <c r="E7312">
        <v>171.75</v>
      </c>
      <c r="F7312">
        <v>0.01</v>
      </c>
    </row>
    <row r="7313" spans="1:6" x14ac:dyDescent="0.3">
      <c r="A7313" t="str">
        <f>HYPERLINK("https://us2.cloudbeds.com/connect/10074733072513#/reservations/31673650499788?display=MH6A62H6Y&amp;reservation_id=31673650499788", "MH6A62H6Y")</f>
        <v>MH6A62H6Y</v>
      </c>
      <c r="B7313" t="s">
        <v>1140</v>
      </c>
      <c r="C7313">
        <v>89</v>
      </c>
      <c r="D7313">
        <v>96.75</v>
      </c>
      <c r="E7313">
        <v>96.74</v>
      </c>
      <c r="F7313">
        <v>0.01</v>
      </c>
    </row>
    <row r="7314" spans="1:6" x14ac:dyDescent="0.3">
      <c r="A7314" t="str">
        <f>HYPERLINK("https://us2.cloudbeds.com/connect/10074733072513#/reservations/31673573953701?display=MH687HGV8&amp;reservation_id=31673573953701", "MH687HGV8")</f>
        <v>MH687HGV8</v>
      </c>
      <c r="B7314" t="s">
        <v>1143</v>
      </c>
      <c r="C7314">
        <v>238</v>
      </c>
      <c r="D7314">
        <v>258.72000000000003</v>
      </c>
      <c r="E7314">
        <v>258.70999999999998</v>
      </c>
      <c r="F7314">
        <v>0.01</v>
      </c>
    </row>
    <row r="7315" spans="1:6" x14ac:dyDescent="0.3">
      <c r="A7315" t="str">
        <f>HYPERLINK("https://us2.cloudbeds.com/connect/10074733072513#/reservations/31674834997488?display=MH77ESU7B&amp;reservation_id=31674834997488", "MH77ESU7B")</f>
        <v>MH77ESU7B</v>
      </c>
      <c r="B7315" t="s">
        <v>982</v>
      </c>
      <c r="C7315">
        <v>278</v>
      </c>
      <c r="D7315">
        <v>302.2</v>
      </c>
      <c r="E7315">
        <v>302.19</v>
      </c>
      <c r="F7315">
        <v>0.01</v>
      </c>
    </row>
    <row r="7316" spans="1:6" x14ac:dyDescent="0.3">
      <c r="A7316" t="str">
        <f>HYPERLINK("https://us2.cloudbeds.com/connect/10074733072513#/reservations/31674692989122?display=MH73R4AMH&amp;reservation_id=31674692989122", "MH73R4AMH")</f>
        <v>MH73R4AMH</v>
      </c>
      <c r="B7316" t="s">
        <v>982</v>
      </c>
      <c r="C7316">
        <v>278</v>
      </c>
      <c r="D7316">
        <v>302.2</v>
      </c>
      <c r="E7316">
        <v>302.19</v>
      </c>
      <c r="F7316">
        <v>0.01</v>
      </c>
    </row>
    <row r="7317" spans="1:6" x14ac:dyDescent="0.3">
      <c r="A7317" t="str">
        <f>HYPERLINK("https://us2.cloudbeds.com/connect/10074733072513#/reservations/31673761370274?display=MH6D0XYYB&amp;reservation_id=31673761370274", "MH6D0XYYB")</f>
        <v>MH6D0XYYB</v>
      </c>
      <c r="B7317" t="s">
        <v>1121</v>
      </c>
      <c r="C7317">
        <v>79</v>
      </c>
      <c r="D7317">
        <v>85.88</v>
      </c>
      <c r="E7317">
        <v>85.87</v>
      </c>
      <c r="F7317">
        <v>0.01</v>
      </c>
    </row>
    <row r="7318" spans="1:6" x14ac:dyDescent="0.3">
      <c r="A7318" t="str">
        <f>HYPERLINK("https://us2.cloudbeds.com/connect/10074733072513#/reservations/31681171149027?display=MHC4BMM6E&amp;reservation_id=31681171149027", "MHC4BMM6E")</f>
        <v>MHC4BMM6E</v>
      </c>
      <c r="B7318" t="s">
        <v>1135</v>
      </c>
      <c r="C7318">
        <v>298</v>
      </c>
      <c r="D7318">
        <v>323.94</v>
      </c>
      <c r="E7318">
        <v>323.93</v>
      </c>
      <c r="F7318">
        <v>0.01</v>
      </c>
    </row>
    <row r="7319" spans="1:6" x14ac:dyDescent="0.3">
      <c r="A7319" t="str">
        <f>HYPERLINK("https://us2.cloudbeds.com/connect/10074733072513#/reservations/31672990150787?display=MH5QA8B3S&amp;reservation_id=31672990150787", "MH5QA8B3S")</f>
        <v>MH5QA8B3S</v>
      </c>
      <c r="B7319" t="s">
        <v>1153</v>
      </c>
      <c r="C7319">
        <v>119</v>
      </c>
      <c r="D7319">
        <v>129.36000000000001</v>
      </c>
      <c r="E7319">
        <v>129.35</v>
      </c>
      <c r="F7319">
        <v>0.01</v>
      </c>
    </row>
    <row r="7320" spans="1:6" x14ac:dyDescent="0.3">
      <c r="A7320" t="str">
        <f>HYPERLINK("https://us2.cloudbeds.com/connect/10074733072513#/reservations/31674631651583?display=MH728DH17&amp;reservation_id=31674631651583", "MH728DH17")</f>
        <v>MH728DH17</v>
      </c>
      <c r="B7320" t="s">
        <v>1140</v>
      </c>
      <c r="C7320">
        <v>119</v>
      </c>
      <c r="D7320">
        <v>129.36000000000001</v>
      </c>
      <c r="E7320">
        <v>129.35</v>
      </c>
      <c r="F7320">
        <v>0.01</v>
      </c>
    </row>
    <row r="7321" spans="1:6" x14ac:dyDescent="0.3">
      <c r="A7321" t="str">
        <f>HYPERLINK("https://us2.cloudbeds.com/connect/10074733072513#/reservations/31673961930886?display=MH6X4MX5Y&amp;reservation_id=31673961930886", "MH6X4MX5Y")</f>
        <v>MH6X4MX5Y</v>
      </c>
      <c r="B7321" t="s">
        <v>1149</v>
      </c>
      <c r="C7321">
        <v>238</v>
      </c>
      <c r="D7321">
        <v>258.72000000000003</v>
      </c>
      <c r="E7321">
        <v>258.70999999999998</v>
      </c>
      <c r="F7321">
        <v>0.01</v>
      </c>
    </row>
    <row r="7322" spans="1:6" x14ac:dyDescent="0.3">
      <c r="A7322" t="str">
        <f>HYPERLINK("https://us2.cloudbeds.com/connect/10074733072513#/reservations/31673952321765?display=MH6HTJ5C5&amp;reservation_id=31673952321765", "MH6HTJ5C5")</f>
        <v>MH6HTJ5C5</v>
      </c>
      <c r="B7322" t="s">
        <v>1149</v>
      </c>
      <c r="C7322">
        <v>178</v>
      </c>
      <c r="D7322">
        <v>193.5</v>
      </c>
      <c r="E7322">
        <v>193.49</v>
      </c>
      <c r="F7322">
        <v>0.01</v>
      </c>
    </row>
    <row r="7323" spans="1:6" x14ac:dyDescent="0.3">
      <c r="A7323" t="str">
        <f>HYPERLINK("https://us2.cloudbeds.com/connect/10074733072513#/reservations/31683426021626?display=MHDSW1R94&amp;reservation_id=31683426021626", "MHDSW1R94")</f>
        <v>MHDSW1R94</v>
      </c>
      <c r="B7323" t="s">
        <v>1154</v>
      </c>
      <c r="C7323">
        <v>322.2</v>
      </c>
      <c r="D7323">
        <v>350.24</v>
      </c>
      <c r="E7323">
        <v>350.23</v>
      </c>
      <c r="F7323">
        <v>0.01</v>
      </c>
    </row>
    <row r="7324" spans="1:6" x14ac:dyDescent="0.3">
      <c r="A7324" t="str">
        <f>HYPERLINK("https://us2.cloudbeds.com/connect/10074733072513#/reservations/31673384374433?display=MH63CM69V&amp;reservation_id=31673384374433", "MH63CM69V")</f>
        <v>MH63CM69V</v>
      </c>
      <c r="B7324" t="s">
        <v>1149</v>
      </c>
      <c r="C7324">
        <v>119</v>
      </c>
      <c r="D7324">
        <v>129.36000000000001</v>
      </c>
      <c r="E7324">
        <v>129.35</v>
      </c>
      <c r="F7324">
        <v>0.01</v>
      </c>
    </row>
    <row r="7325" spans="1:6" x14ac:dyDescent="0.3">
      <c r="A7325" t="str">
        <f>HYPERLINK("https://us2.cloudbeds.com/connect/10074733072513#/reservations/31674754855141?display=MH75D9RKC&amp;reservation_id=31674754855141", "MH75D9RKC")</f>
        <v>MH75D9RKC</v>
      </c>
      <c r="B7325" t="s">
        <v>982</v>
      </c>
      <c r="C7325">
        <v>169</v>
      </c>
      <c r="D7325">
        <v>183.71</v>
      </c>
      <c r="E7325">
        <v>183.7</v>
      </c>
      <c r="F7325">
        <v>0.01</v>
      </c>
    </row>
    <row r="7326" spans="1:6" x14ac:dyDescent="0.3">
      <c r="A7326" t="str">
        <f>HYPERLINK("https://us2.cloudbeds.com/connect/10074733072513#/reservations/31676597362923?display=MH8JFVAVH&amp;reservation_id=31676597362923", "MH8JFVAVH")</f>
        <v>MH8JFVAVH</v>
      </c>
      <c r="B7326" t="s">
        <v>1147</v>
      </c>
      <c r="C7326">
        <v>139</v>
      </c>
      <c r="D7326">
        <v>151.1</v>
      </c>
      <c r="E7326">
        <v>151.09</v>
      </c>
      <c r="F7326">
        <v>0.01</v>
      </c>
    </row>
    <row r="7327" spans="1:6" x14ac:dyDescent="0.3">
      <c r="A7327" t="str">
        <f>HYPERLINK("https://us2.cloudbeds.com/connect/10074733072513#/reservations/31682219507931?display=MHCV4MQX2&amp;reservation_id=31682219507931", "MHCV4MQX2")</f>
        <v>MHCV4MQX2</v>
      </c>
      <c r="B7327" t="s">
        <v>1100</v>
      </c>
      <c r="C7327">
        <v>139</v>
      </c>
      <c r="D7327">
        <v>151.1</v>
      </c>
      <c r="E7327">
        <v>151.09</v>
      </c>
      <c r="F7327">
        <v>0.01</v>
      </c>
    </row>
    <row r="7328" spans="1:6" x14ac:dyDescent="0.3">
      <c r="A7328" t="str">
        <f>HYPERLINK("https://us2.cloudbeds.com/connect/10074733072513#/reservations/31673396961534?display=MH63N9EN8&amp;reservation_id=31673396961534", "MH63N9EN8")</f>
        <v>MH63N9EN8</v>
      </c>
      <c r="B7328" t="s">
        <v>1149</v>
      </c>
      <c r="C7328">
        <v>159</v>
      </c>
      <c r="D7328">
        <v>172.84</v>
      </c>
      <c r="E7328">
        <v>172.83</v>
      </c>
      <c r="F7328">
        <v>0.01</v>
      </c>
    </row>
    <row r="7329" spans="1:6" x14ac:dyDescent="0.3">
      <c r="A7329" t="str">
        <f>HYPERLINK("https://us2.cloudbeds.com/connect/10074733072513#/reservations/31681188061434?display=MHC4PV9DK&amp;reservation_id=31681188061434", "MHC4PV9DK")</f>
        <v>MHC4PV9DK</v>
      </c>
      <c r="B7329" t="s">
        <v>1135</v>
      </c>
      <c r="C7329">
        <v>338</v>
      </c>
      <c r="D7329">
        <v>367.42</v>
      </c>
      <c r="E7329">
        <v>367.41</v>
      </c>
      <c r="F7329">
        <v>0.01</v>
      </c>
    </row>
    <row r="7330" spans="1:6" x14ac:dyDescent="0.3">
      <c r="A7330" t="str">
        <f>HYPERLINK("https://us2.cloudbeds.com/connect/10074733072513#/reservations/31675818590370?display=MH7WJ8RY8&amp;reservation_id=31675818590370", "MH7WJ8RY8")</f>
        <v>MH7WJ8RY8</v>
      </c>
      <c r="B7330" t="s">
        <v>957</v>
      </c>
      <c r="C7330">
        <v>139</v>
      </c>
      <c r="D7330">
        <v>151.1</v>
      </c>
      <c r="E7330">
        <v>151.09</v>
      </c>
      <c r="F7330">
        <v>0.01</v>
      </c>
    </row>
    <row r="7331" spans="1:6" x14ac:dyDescent="0.3">
      <c r="A7331" t="str">
        <f>HYPERLINK("https://us2.cloudbeds.com/connect/10074733072513#/reservations/31674018410713?display=MH6JJA63X&amp;reservation_id=31674018410713", "MH6JJA63X")</f>
        <v>MH6JJA63X</v>
      </c>
      <c r="B7331" t="s">
        <v>1129</v>
      </c>
      <c r="C7331">
        <v>129</v>
      </c>
      <c r="D7331">
        <v>140.22999999999999</v>
      </c>
      <c r="E7331">
        <v>140.22</v>
      </c>
      <c r="F7331">
        <v>0.01</v>
      </c>
    </row>
    <row r="7332" spans="1:6" x14ac:dyDescent="0.3">
      <c r="A7332" t="str">
        <f>HYPERLINK("https://us2.cloudbeds.com/connect/10074733072513#/reservations/31676182794392?display=MH88TCBJP&amp;reservation_id=31676182794392", "MH88TCBJP")</f>
        <v>MH88TCBJP</v>
      </c>
      <c r="B7332" t="s">
        <v>1009</v>
      </c>
      <c r="C7332">
        <v>298</v>
      </c>
      <c r="D7332">
        <v>323.94</v>
      </c>
      <c r="E7332">
        <v>323.93</v>
      </c>
      <c r="F7332">
        <v>0.01</v>
      </c>
    </row>
    <row r="7333" spans="1:6" x14ac:dyDescent="0.3">
      <c r="A7333" t="str">
        <f>HYPERLINK("https://us2.cloudbeds.com/connect/10074733072513#/reservations/31674009538771?display=MH6JBRA7R&amp;reservation_id=31674009538771", "MH6JBRA7R")</f>
        <v>MH6JBRA7R</v>
      </c>
      <c r="B7333" t="s">
        <v>1128</v>
      </c>
      <c r="C7333">
        <v>139</v>
      </c>
      <c r="D7333">
        <v>151.1</v>
      </c>
      <c r="E7333">
        <v>151.09</v>
      </c>
      <c r="F7333">
        <v>0.01</v>
      </c>
    </row>
    <row r="7334" spans="1:6" x14ac:dyDescent="0.3">
      <c r="A7334" t="str">
        <f>HYPERLINK("https://us2.cloudbeds.com/connect/10074733072513#/reservations/31673519878337?display=MH66RUPVS&amp;reservation_id=31673519878337", "MH66RUPVS")</f>
        <v>MH66RUPVS</v>
      </c>
      <c r="B7334" t="s">
        <v>1145</v>
      </c>
      <c r="C7334">
        <v>79</v>
      </c>
      <c r="D7334">
        <v>85.88</v>
      </c>
      <c r="E7334">
        <v>85.87</v>
      </c>
      <c r="F7334">
        <v>0.01</v>
      </c>
    </row>
    <row r="7335" spans="1:6" x14ac:dyDescent="0.3">
      <c r="A7335" t="str">
        <f>HYPERLINK("https://us2.cloudbeds.com/connect/10074733072513#/reservations/31673511133334?display=MH66KXEYP&amp;reservation_id=31673511133334", "MH66KXEYP")</f>
        <v>MH66KXEYP</v>
      </c>
      <c r="B7335" t="s">
        <v>1145</v>
      </c>
      <c r="C7335">
        <v>79</v>
      </c>
      <c r="D7335">
        <v>85.88</v>
      </c>
      <c r="E7335">
        <v>85.87</v>
      </c>
      <c r="F7335">
        <v>0.01</v>
      </c>
    </row>
    <row r="7336" spans="1:6" x14ac:dyDescent="0.3">
      <c r="A7336" t="str">
        <f>HYPERLINK("https://us2.cloudbeds.com/connect/10074733072513#/reservations/31673500315787?display=MH66BEE6A&amp;reservation_id=31673500315787", "MH66BEE6A")</f>
        <v>MH66BEE6A</v>
      </c>
      <c r="B7336" t="s">
        <v>1128</v>
      </c>
      <c r="C7336">
        <v>258</v>
      </c>
      <c r="D7336">
        <v>280.45999999999998</v>
      </c>
      <c r="E7336">
        <v>280.45</v>
      </c>
      <c r="F7336">
        <v>0.01</v>
      </c>
    </row>
    <row r="7337" spans="1:6" x14ac:dyDescent="0.3">
      <c r="A7337" t="str">
        <f>HYPERLINK("https://us2.cloudbeds.com/connect/10074733072513#/reservations/31675260014722?display=MH7XA8YBF&amp;reservation_id=31675260014722", "MH7XA8YBF")</f>
        <v>MH7XA8YBF</v>
      </c>
      <c r="B7337" t="s">
        <v>1109</v>
      </c>
      <c r="C7337">
        <v>139</v>
      </c>
      <c r="D7337">
        <v>151.1</v>
      </c>
      <c r="E7337">
        <v>151.09</v>
      </c>
      <c r="F7337">
        <v>0.01</v>
      </c>
    </row>
    <row r="7338" spans="1:6" x14ac:dyDescent="0.3">
      <c r="A7338" t="str">
        <f>HYPERLINK("https://us2.cloudbeds.com/connect/10074733072513#/reservations/31676309184759?display=MH8C3VBHT&amp;reservation_id=31676309184759", "MH8C3VBHT")</f>
        <v>MH8C3VBHT</v>
      </c>
      <c r="B7338" t="s">
        <v>1156</v>
      </c>
      <c r="C7338">
        <v>169</v>
      </c>
      <c r="D7338">
        <v>183.71</v>
      </c>
      <c r="E7338">
        <v>183.7</v>
      </c>
      <c r="F7338">
        <v>0.01</v>
      </c>
    </row>
    <row r="7339" spans="1:6" x14ac:dyDescent="0.3">
      <c r="A7339" t="str">
        <f>HYPERLINK("https://us2.cloudbeds.com/connect/10074733072513#/reservations/31674685071507?display=MH73KF04Q&amp;reservation_id=31674685071507", "MH73KF04Q")</f>
        <v>MH73KF04Q</v>
      </c>
      <c r="B7339" t="s">
        <v>982</v>
      </c>
      <c r="C7339">
        <v>211.88</v>
      </c>
      <c r="D7339">
        <v>230.32</v>
      </c>
      <c r="E7339">
        <v>230.31</v>
      </c>
      <c r="F7339">
        <v>0.01</v>
      </c>
    </row>
    <row r="7340" spans="1:6" x14ac:dyDescent="0.3">
      <c r="A7340" t="str">
        <f>HYPERLINK("https://us2.cloudbeds.com/connect/10074733072513#/reservations/31678173008000?display=MH9QZXSJS&amp;reservation_id=31678173008000", "MH9QZXSJS")</f>
        <v>MH9QZXSJS</v>
      </c>
      <c r="B7340" t="s">
        <v>878</v>
      </c>
      <c r="C7340">
        <v>258</v>
      </c>
      <c r="D7340">
        <v>280.45999999999998</v>
      </c>
      <c r="E7340">
        <v>280.45</v>
      </c>
      <c r="F7340">
        <v>0.01</v>
      </c>
    </row>
    <row r="7341" spans="1:6" x14ac:dyDescent="0.3">
      <c r="A7341" t="str">
        <f>HYPERLINK("https://us2.cloudbeds.com/connect/10074733072513#/reservations/31673151344849?display=MH5UE5QCD&amp;reservation_id=31673151344849", "MH5UE5QCD")</f>
        <v>MH5UE5QCD</v>
      </c>
      <c r="B7341" t="s">
        <v>1143</v>
      </c>
      <c r="C7341">
        <v>119</v>
      </c>
      <c r="D7341">
        <v>129.36000000000001</v>
      </c>
      <c r="E7341">
        <v>129.35</v>
      </c>
      <c r="F7341">
        <v>0.01</v>
      </c>
    </row>
    <row r="7342" spans="1:6" x14ac:dyDescent="0.3">
      <c r="A7342" t="str">
        <f>HYPERLINK("https://us2.cloudbeds.com/connect/10074733072513#/reservations/31673904754895?display=MH6GMFHVS&amp;reservation_id=31673904754895", "MH6GMFHVS")</f>
        <v>MH6GMFHVS</v>
      </c>
      <c r="B7342" t="s">
        <v>1149</v>
      </c>
      <c r="C7342">
        <v>119</v>
      </c>
      <c r="D7342">
        <v>129.36000000000001</v>
      </c>
      <c r="E7342">
        <v>129.35</v>
      </c>
      <c r="F7342">
        <v>0.01</v>
      </c>
    </row>
    <row r="7343" spans="1:6" x14ac:dyDescent="0.3">
      <c r="A7343" t="str">
        <f>HYPERLINK("https://us2.cloudbeds.com/connect/10074733072513#/reservations/31679918674164?display=MHB5BXNHN&amp;reservation_id=31679918674164", "MHB5BXNHN")</f>
        <v>MHB5BXNHN</v>
      </c>
      <c r="B7343" t="s">
        <v>878</v>
      </c>
      <c r="C7343">
        <v>258</v>
      </c>
      <c r="D7343">
        <v>280.45999999999998</v>
      </c>
      <c r="E7343">
        <v>280.45</v>
      </c>
      <c r="F7343">
        <v>0.01</v>
      </c>
    </row>
    <row r="7344" spans="1:6" x14ac:dyDescent="0.3">
      <c r="A7344" t="str">
        <f>HYPERLINK("https://us2.cloudbeds.com/connect/10074733072513#/reservations/31685798232199?display=MHFNJC2Z0&amp;reservation_id=31685798232199", "MHFNJC2Z0")</f>
        <v>MHFNJC2Z0</v>
      </c>
      <c r="B7344" t="s">
        <v>1135</v>
      </c>
      <c r="C7344">
        <v>318</v>
      </c>
      <c r="D7344">
        <v>345.68</v>
      </c>
      <c r="E7344">
        <v>345.67</v>
      </c>
      <c r="F7344">
        <v>0.01</v>
      </c>
    </row>
    <row r="7345" spans="1:6" x14ac:dyDescent="0.3">
      <c r="A7345" t="str">
        <f>HYPERLINK("https://us2.cloudbeds.com/connect/10074733072513#/reservations/31673541632137?display=MH67D93TU&amp;reservation_id=31673541632137", "MH67D93TU")</f>
        <v>MH67D93TU</v>
      </c>
      <c r="B7345" t="s">
        <v>1145</v>
      </c>
      <c r="C7345">
        <v>79</v>
      </c>
      <c r="D7345">
        <v>85.88</v>
      </c>
      <c r="E7345">
        <v>85.87</v>
      </c>
      <c r="F7345">
        <v>0.01</v>
      </c>
    </row>
    <row r="7346" spans="1:6" x14ac:dyDescent="0.3">
      <c r="A7346" t="str">
        <f>HYPERLINK("https://us2.cloudbeds.com/connect/10074733072513#/reservations/31673554493662?display=MH67Z40A3&amp;reservation_id=31673554493662", "MH67Z40A3")</f>
        <v>MH67Z40A3</v>
      </c>
      <c r="B7346" t="s">
        <v>1145</v>
      </c>
      <c r="C7346">
        <v>79</v>
      </c>
      <c r="D7346">
        <v>85.88</v>
      </c>
      <c r="E7346">
        <v>85.87</v>
      </c>
      <c r="F7346">
        <v>0.01</v>
      </c>
    </row>
    <row r="7347" spans="1:6" x14ac:dyDescent="0.3">
      <c r="A7347" t="str">
        <f>HYPERLINK("https://us2.cloudbeds.com/connect/10074733072513#/reservations/31674813456512?display=MH76TND0A&amp;reservation_id=31674813456512", "MH76TND0A")</f>
        <v>MH76TND0A</v>
      </c>
      <c r="B7347" t="s">
        <v>1150</v>
      </c>
      <c r="C7347">
        <v>296</v>
      </c>
      <c r="D7347">
        <v>321.76</v>
      </c>
      <c r="E7347">
        <v>321.75</v>
      </c>
      <c r="F7347">
        <v>0.01</v>
      </c>
    </row>
    <row r="7348" spans="1:6" x14ac:dyDescent="0.3">
      <c r="A7348" t="str">
        <f>HYPERLINK("https://us2.cloudbeds.com/connect/10074733072513#/reservations/31674775318694?display=MH75UX8P1&amp;reservation_id=31674775318694", "MH75UX8P1")</f>
        <v>MH75UX8P1</v>
      </c>
      <c r="B7348" t="s">
        <v>982</v>
      </c>
      <c r="C7348">
        <v>278</v>
      </c>
      <c r="D7348">
        <v>302.2</v>
      </c>
      <c r="E7348">
        <v>302.19</v>
      </c>
      <c r="F7348">
        <v>0.01</v>
      </c>
    </row>
    <row r="7349" spans="1:6" x14ac:dyDescent="0.3">
      <c r="A7349" t="str">
        <f>HYPERLINK("https://us2.cloudbeds.com/connect/10074733072513#/reservations/31675810586839?display=MH7WCH470&amp;reservation_id=31675810586839", "MH7WCH470")</f>
        <v>MH7WCH470</v>
      </c>
      <c r="B7349" t="s">
        <v>982</v>
      </c>
      <c r="C7349">
        <v>179</v>
      </c>
      <c r="D7349">
        <v>194.58</v>
      </c>
      <c r="E7349">
        <v>194.57</v>
      </c>
      <c r="F7349">
        <v>0.01</v>
      </c>
    </row>
    <row r="7350" spans="1:6" x14ac:dyDescent="0.3">
      <c r="A7350" t="str">
        <f>HYPERLINK("https://us2.cloudbeds.com/connect/10074733072513#/reservations/31675821367426?display=MH7WYK3ZF&amp;reservation_id=31675821367426", "MH7WYK3ZF")</f>
        <v>MH7WYK3ZF</v>
      </c>
      <c r="B7350" t="s">
        <v>982</v>
      </c>
      <c r="C7350">
        <v>278</v>
      </c>
      <c r="D7350">
        <v>302.2</v>
      </c>
      <c r="E7350">
        <v>302.19</v>
      </c>
      <c r="F7350">
        <v>0.01</v>
      </c>
    </row>
    <row r="7351" spans="1:6" x14ac:dyDescent="0.3">
      <c r="A7351" t="str">
        <f>HYPERLINK("https://us2.cloudbeds.com/connect/10074733072513#/reservations/31673541628044?display=MH67D904T&amp;reservation_id=31673541628044", "MH67D904T")</f>
        <v>MH67D904T</v>
      </c>
      <c r="B7351" t="s">
        <v>1145</v>
      </c>
      <c r="C7351">
        <v>79</v>
      </c>
      <c r="D7351">
        <v>85.88</v>
      </c>
      <c r="E7351">
        <v>85.87</v>
      </c>
      <c r="F7351">
        <v>0.01</v>
      </c>
    </row>
    <row r="7352" spans="1:6" x14ac:dyDescent="0.3">
      <c r="A7352" t="str">
        <f>HYPERLINK("https://us2.cloudbeds.com/connect/10074733072513#/reservations/31674014761122?display=MH6JG7KPT&amp;reservation_id=31674014761122", "MH6JG7KPT")</f>
        <v>MH6JG7KPT</v>
      </c>
      <c r="B7352" t="s">
        <v>1158</v>
      </c>
      <c r="C7352">
        <v>139</v>
      </c>
      <c r="D7352">
        <v>151.1</v>
      </c>
      <c r="E7352">
        <v>151.09</v>
      </c>
      <c r="F7352">
        <v>0.01</v>
      </c>
    </row>
    <row r="7353" spans="1:6" x14ac:dyDescent="0.3">
      <c r="A7353" t="str">
        <f>HYPERLINK("https://us2.cloudbeds.com/connect/10074733072513#/reservations/31675564941544?display=MH7Q3CMK6&amp;reservation_id=31675564941544", "MH7Q3CMK6")</f>
        <v>MH7Q3CMK6</v>
      </c>
      <c r="B7353" t="s">
        <v>1151</v>
      </c>
      <c r="C7353">
        <v>308</v>
      </c>
      <c r="D7353">
        <v>334.81</v>
      </c>
      <c r="E7353">
        <v>334.8</v>
      </c>
      <c r="F7353">
        <v>0.01</v>
      </c>
    </row>
    <row r="7354" spans="1:6" x14ac:dyDescent="0.3">
      <c r="A7354" t="str">
        <f>HYPERLINK("https://us2.cloudbeds.com/connect/10074733072513#/reservations/31674144030936?display=MH6MQ7ZRW&amp;reservation_id=31674144030936", "MH6MQ7ZRW")</f>
        <v>MH6MQ7ZRW</v>
      </c>
      <c r="B7354" t="s">
        <v>1006</v>
      </c>
      <c r="C7354">
        <v>211.88</v>
      </c>
      <c r="D7354">
        <v>230.32</v>
      </c>
      <c r="E7354">
        <v>230.31</v>
      </c>
      <c r="F7354">
        <v>0.01</v>
      </c>
    </row>
    <row r="7355" spans="1:6" x14ac:dyDescent="0.3">
      <c r="A7355" t="str">
        <f>HYPERLINK("https://us2.cloudbeds.com/connect/10074733072513#/reservations/31673519878394?display=MH66RUQ0F&amp;reservation_id=31673519878394", "MH66RUQ0F")</f>
        <v>MH66RUQ0F</v>
      </c>
      <c r="B7355" t="s">
        <v>1128</v>
      </c>
      <c r="C7355">
        <v>298</v>
      </c>
      <c r="D7355">
        <v>323.94</v>
      </c>
      <c r="E7355">
        <v>323.93</v>
      </c>
      <c r="F7355">
        <v>0.01</v>
      </c>
    </row>
    <row r="7356" spans="1:6" x14ac:dyDescent="0.3">
      <c r="A7356" t="str">
        <f>HYPERLINK("https://us2.cloudbeds.com/connect/10074733072513#/reservations/31673177149665?display=MH5V2US8H&amp;reservation_id=31673177149665", "MH5V2US8H")</f>
        <v>MH5V2US8H</v>
      </c>
      <c r="B7356" t="s">
        <v>1143</v>
      </c>
      <c r="C7356">
        <v>119</v>
      </c>
      <c r="D7356">
        <v>129.36000000000001</v>
      </c>
      <c r="E7356">
        <v>129.35</v>
      </c>
      <c r="F7356">
        <v>0.01</v>
      </c>
    </row>
    <row r="7357" spans="1:6" x14ac:dyDescent="0.3">
      <c r="A7357" t="str">
        <f>HYPERLINK("https://us2.cloudbeds.com/connect/10074733072513#/reservations/31673170583756?display=MH5UUD4VX&amp;reservation_id=31673170583756", "MH5UUD4VX")</f>
        <v>MH5UUD4VX</v>
      </c>
      <c r="B7357" t="s">
        <v>1143</v>
      </c>
      <c r="C7357">
        <v>119</v>
      </c>
      <c r="D7357">
        <v>129.36000000000001</v>
      </c>
      <c r="E7357">
        <v>129.35</v>
      </c>
      <c r="F7357">
        <v>0.01</v>
      </c>
    </row>
    <row r="7358" spans="1:6" x14ac:dyDescent="0.3">
      <c r="A7358" t="str">
        <f>HYPERLINK("https://us2.cloudbeds.com/connect/10074733072513#/reservations/31675881677006?display=MH816FAEG&amp;reservation_id=31675881677006", "MH816FAEG")</f>
        <v>MH816FAEG</v>
      </c>
      <c r="B7358" t="s">
        <v>1159</v>
      </c>
      <c r="C7358">
        <v>102.58</v>
      </c>
      <c r="D7358">
        <v>111.51</v>
      </c>
      <c r="E7358">
        <v>111.5</v>
      </c>
      <c r="F7358">
        <v>0.01</v>
      </c>
    </row>
    <row r="7359" spans="1:6" x14ac:dyDescent="0.3">
      <c r="A7359" t="str">
        <f>HYPERLINK("https://us2.cloudbeds.com/connect/10074733072513#/reservations/31682491129995?display=MHD52Z2UN&amp;reservation_id=31682491129995", "MHD52Z2UN")</f>
        <v>MHD52Z2UN</v>
      </c>
      <c r="B7359" t="s">
        <v>1135</v>
      </c>
      <c r="C7359">
        <v>338</v>
      </c>
      <c r="D7359">
        <v>367.42</v>
      </c>
      <c r="E7359">
        <v>367.41</v>
      </c>
      <c r="F7359">
        <v>0.01</v>
      </c>
    </row>
    <row r="7360" spans="1:6" x14ac:dyDescent="0.3">
      <c r="A7360" t="str">
        <f>HYPERLINK("https://us2.cloudbeds.com/connect/10074733072513#/reservations/31673989234892?display=MH6XRNANP&amp;reservation_id=31673989234892", "MH6XRNANP")</f>
        <v>MH6XRNANP</v>
      </c>
      <c r="B7360" t="s">
        <v>1128</v>
      </c>
      <c r="C7360">
        <v>222</v>
      </c>
      <c r="D7360">
        <v>241.32</v>
      </c>
      <c r="E7360">
        <v>241.31</v>
      </c>
      <c r="F7360">
        <v>0.01</v>
      </c>
    </row>
    <row r="7361" spans="1:6" x14ac:dyDescent="0.3">
      <c r="A7361" t="str">
        <f>HYPERLINK("https://us2.cloudbeds.com/connect/10074733072513#/reservations/31676511842452?display=MH8H9RJP3&amp;reservation_id=31676511842452", "MH8H9RJP3")</f>
        <v>MH8H9RJP3</v>
      </c>
      <c r="B7361" t="s">
        <v>1034</v>
      </c>
      <c r="C7361">
        <v>278</v>
      </c>
      <c r="D7361">
        <v>302.2</v>
      </c>
      <c r="E7361">
        <v>302.19</v>
      </c>
      <c r="F7361">
        <v>0.01</v>
      </c>
    </row>
    <row r="7362" spans="1:6" x14ac:dyDescent="0.3">
      <c r="A7362" t="str">
        <f>HYPERLINK("https://us2.cloudbeds.com/connect/10074733072513#/reservations/31676500099223?display=MH8GWUR8M&amp;reservation_id=31676500099223", "MH8GWUR8M")</f>
        <v>MH8GWUR8M</v>
      </c>
      <c r="B7362" t="s">
        <v>1034</v>
      </c>
      <c r="C7362">
        <v>278</v>
      </c>
      <c r="D7362">
        <v>302.2</v>
      </c>
      <c r="E7362">
        <v>302.19</v>
      </c>
      <c r="F7362">
        <v>0.01</v>
      </c>
    </row>
    <row r="7363" spans="1:6" x14ac:dyDescent="0.3">
      <c r="A7363" t="str">
        <f>HYPERLINK("https://us2.cloudbeds.com/connect/10074733072513#/reservations/31679897170075?display=MHB4QEATY&amp;reservation_id=31679897170075", "MHB4QEATY")</f>
        <v>MHB4QEATY</v>
      </c>
      <c r="B7363" t="s">
        <v>878</v>
      </c>
      <c r="C7363">
        <v>258</v>
      </c>
      <c r="D7363">
        <v>280.45999999999998</v>
      </c>
      <c r="E7363">
        <v>280.45</v>
      </c>
      <c r="F7363">
        <v>0.01</v>
      </c>
    </row>
    <row r="7364" spans="1:6" x14ac:dyDescent="0.3">
      <c r="A7364" t="str">
        <f>HYPERLINK("https://us2.cloudbeds.com/connect/10074733072513#/reservations/31672925712529?display=MH5ZYU85C&amp;reservation_id=31672925712529", "MH5ZYU85C")</f>
        <v>MH5ZYU85C</v>
      </c>
      <c r="B7364" t="s">
        <v>1160</v>
      </c>
      <c r="C7364">
        <v>321.3</v>
      </c>
      <c r="D7364">
        <v>349.26</v>
      </c>
      <c r="E7364">
        <v>349.25</v>
      </c>
      <c r="F7364">
        <v>0.01</v>
      </c>
    </row>
    <row r="7365" spans="1:6" x14ac:dyDescent="0.3">
      <c r="A7365" t="str">
        <f>HYPERLINK("https://us2.cloudbeds.com/connect/10074733072513#/reservations/31674002886784?display=MH6J08G0B&amp;reservation_id=31674002886784", "MH6J08G0B")</f>
        <v>MH6J08G0B</v>
      </c>
      <c r="B7365" t="s">
        <v>1128</v>
      </c>
      <c r="C7365">
        <v>139</v>
      </c>
      <c r="D7365">
        <v>151.1</v>
      </c>
      <c r="E7365">
        <v>151.09</v>
      </c>
      <c r="F7365">
        <v>0.01</v>
      </c>
    </row>
    <row r="7366" spans="1:6" x14ac:dyDescent="0.3">
      <c r="A7366" t="str">
        <f>HYPERLINK("https://us2.cloudbeds.com/connect/10074733072513#/reservations/31674078650575?display=MH6Y43EPU&amp;reservation_id=31674078650575", "MH6Y43EPU")</f>
        <v>MH6Y43EPU</v>
      </c>
      <c r="B7366" t="s">
        <v>1129</v>
      </c>
      <c r="C7366">
        <v>119</v>
      </c>
      <c r="D7366">
        <v>129.36000000000001</v>
      </c>
      <c r="E7366">
        <v>129.35</v>
      </c>
      <c r="F7366">
        <v>0.01</v>
      </c>
    </row>
    <row r="7367" spans="1:6" x14ac:dyDescent="0.3">
      <c r="A7367" t="str">
        <f>HYPERLINK("https://us2.cloudbeds.com/connect/10074733072513#/reservations/31674087366819?display=MH6YBEWMH&amp;reservation_id=31674087366819", "MH6YBEWMH")</f>
        <v>MH6YBEWMH</v>
      </c>
      <c r="B7367" t="s">
        <v>1129</v>
      </c>
      <c r="C7367">
        <v>141.55000000000001</v>
      </c>
      <c r="D7367">
        <v>153.87</v>
      </c>
      <c r="E7367">
        <v>153.86000000000001</v>
      </c>
      <c r="F7367">
        <v>0.01</v>
      </c>
    </row>
    <row r="7368" spans="1:6" x14ac:dyDescent="0.3">
      <c r="A7368" t="str">
        <f>HYPERLINK("https://us2.cloudbeds.com/connect/10074733072513#/reservations/31674106642611?display=MH6YRNC4D&amp;reservation_id=31674106642611", "MH6YRNC4D")</f>
        <v>MH6YRNC4D</v>
      </c>
      <c r="B7368" t="s">
        <v>1129</v>
      </c>
      <c r="C7368">
        <v>87.84</v>
      </c>
      <c r="D7368">
        <v>95.49</v>
      </c>
      <c r="E7368">
        <v>95.48</v>
      </c>
      <c r="F7368">
        <v>0.01</v>
      </c>
    </row>
    <row r="7369" spans="1:6" x14ac:dyDescent="0.3">
      <c r="A7369" t="str">
        <f>HYPERLINK("https://us2.cloudbeds.com/connect/10074733072513#/reservations/31678178324685?display=MH9QT1UFN&amp;reservation_id=31678178324685", "MH9QT1UFN")</f>
        <v>MH9QT1UFN</v>
      </c>
      <c r="B7369" t="s">
        <v>878</v>
      </c>
      <c r="C7369">
        <v>258</v>
      </c>
      <c r="D7369">
        <v>280.45999999999998</v>
      </c>
      <c r="E7369">
        <v>280.45</v>
      </c>
      <c r="F7369">
        <v>0.01</v>
      </c>
    </row>
    <row r="7370" spans="1:6" x14ac:dyDescent="0.3">
      <c r="A7370" t="str">
        <f>HYPERLINK("https://us2.cloudbeds.com/connect/10074733072513#/reservations/31674122506386?display=MH6M82QDT&amp;reservation_id=31674122506386", "MH6M82QDT")</f>
        <v>MH6M82QDT</v>
      </c>
      <c r="B7370" t="s">
        <v>1129</v>
      </c>
      <c r="C7370">
        <v>119</v>
      </c>
      <c r="D7370">
        <v>129.36000000000001</v>
      </c>
      <c r="E7370">
        <v>129.35</v>
      </c>
      <c r="F7370">
        <v>0.01</v>
      </c>
    </row>
    <row r="7371" spans="1:6" x14ac:dyDescent="0.3">
      <c r="A7371" t="str">
        <f>HYPERLINK("https://us2.cloudbeds.com/connect/10074733072513#/reservations/31674129875175?display=MH6ME9RWH&amp;reservation_id=31674129875175", "MH6ME9RWH")</f>
        <v>MH6ME9RWH</v>
      </c>
      <c r="B7371" t="s">
        <v>1129</v>
      </c>
      <c r="C7371">
        <v>119</v>
      </c>
      <c r="D7371">
        <v>129.36000000000001</v>
      </c>
      <c r="E7371">
        <v>129.35</v>
      </c>
      <c r="F7371">
        <v>0.01</v>
      </c>
    </row>
    <row r="7372" spans="1:6" x14ac:dyDescent="0.3">
      <c r="A7372" t="str">
        <f>HYPERLINK("https://us2.cloudbeds.com/connect/10074733072513#/reservations/31674190626994?display=MH6NWHBPZ&amp;reservation_id=31674190626994", "MH6NWHBPZ")</f>
        <v>MH6NWHBPZ</v>
      </c>
      <c r="B7372" t="s">
        <v>1161</v>
      </c>
      <c r="C7372">
        <v>129</v>
      </c>
      <c r="D7372">
        <v>140.22999999999999</v>
      </c>
      <c r="E7372">
        <v>140.22</v>
      </c>
      <c r="F7372">
        <v>0.01</v>
      </c>
    </row>
    <row r="7373" spans="1:6" x14ac:dyDescent="0.3">
      <c r="A7373" t="str">
        <f>HYPERLINK("https://us2.cloudbeds.com/connect/10074733072513#/reservations/31677225009349?display=MH92H6H46&amp;reservation_id=31677225009349", "MH92H6H46")</f>
        <v>MH92H6H46</v>
      </c>
      <c r="B7373" t="s">
        <v>1162</v>
      </c>
      <c r="C7373">
        <v>270</v>
      </c>
      <c r="D7373">
        <v>293.5</v>
      </c>
      <c r="E7373">
        <v>293.49</v>
      </c>
      <c r="F7373">
        <v>0.01</v>
      </c>
    </row>
    <row r="7374" spans="1:6" x14ac:dyDescent="0.3">
      <c r="A7374" t="str">
        <f>HYPERLINK("https://us2.cloudbeds.com/connect/10074733072513#/reservations/31674220826868?display=MH6ZZWNHE&amp;reservation_id=31674220826868", "MH6ZZWNHE")</f>
        <v>MH6ZZWNHE</v>
      </c>
      <c r="B7374" t="s">
        <v>1160</v>
      </c>
      <c r="C7374">
        <v>73</v>
      </c>
      <c r="D7374">
        <v>79.36</v>
      </c>
      <c r="E7374">
        <v>79.349999999999994</v>
      </c>
      <c r="F7374">
        <v>0.01</v>
      </c>
    </row>
    <row r="7375" spans="1:6" x14ac:dyDescent="0.3">
      <c r="A7375" t="str">
        <f>HYPERLINK("https://us2.cloudbeds.com/connect/10074733072513#/reservations/31674213867724?display=MH6ZJ4249&amp;reservation_id=31674213867724", "MH6ZJ4249")</f>
        <v>MH6ZJ4249</v>
      </c>
      <c r="B7375" t="s">
        <v>1160</v>
      </c>
      <c r="C7375">
        <v>101.75</v>
      </c>
      <c r="D7375">
        <v>110.61</v>
      </c>
      <c r="E7375">
        <v>110.6</v>
      </c>
      <c r="F7375">
        <v>0.01</v>
      </c>
    </row>
    <row r="7376" spans="1:6" x14ac:dyDescent="0.3">
      <c r="A7376" t="str">
        <f>HYPERLINK("https://us2.cloudbeds.com/connect/10074733072513#/reservations/31673062215901?display=MH5S50YK6&amp;reservation_id=31673062215901", "MH5S50YK6")</f>
        <v>MH5S50YK6</v>
      </c>
      <c r="B7376" t="s">
        <v>1163</v>
      </c>
      <c r="C7376">
        <v>336</v>
      </c>
      <c r="D7376">
        <v>365.24</v>
      </c>
      <c r="E7376">
        <v>365.23</v>
      </c>
      <c r="F7376">
        <v>0.01</v>
      </c>
    </row>
    <row r="7377" spans="1:6" x14ac:dyDescent="0.3">
      <c r="A7377" t="str">
        <f>HYPERLINK("https://us2.cloudbeds.com/connect/10074733072513#/reservations/31675090509976?display=MH7DWAUK0&amp;reservation_id=31675090509976", "MH7DWAUK0")</f>
        <v>MH7DWAUK0</v>
      </c>
      <c r="B7377" t="s">
        <v>1164</v>
      </c>
      <c r="C7377">
        <v>139</v>
      </c>
      <c r="D7377">
        <v>151.1</v>
      </c>
      <c r="E7377">
        <v>151.09</v>
      </c>
      <c r="F7377">
        <v>0.01</v>
      </c>
    </row>
    <row r="7378" spans="1:6" x14ac:dyDescent="0.3">
      <c r="A7378" t="str">
        <f>HYPERLINK("https://us2.cloudbeds.com/connect/10074733072513#/reservations/31672983654632?display=MH5Q4PXSM&amp;reservation_id=31672983654632", "MH5Q4PXSM")</f>
        <v>MH5Q4PXSM</v>
      </c>
      <c r="B7378" t="s">
        <v>1160</v>
      </c>
      <c r="C7378">
        <v>79</v>
      </c>
      <c r="D7378">
        <v>85.88</v>
      </c>
      <c r="E7378">
        <v>85.87</v>
      </c>
      <c r="F7378">
        <v>0.01</v>
      </c>
    </row>
    <row r="7379" spans="1:6" x14ac:dyDescent="0.3">
      <c r="A7379" t="str">
        <f>HYPERLINK("https://us2.cloudbeds.com/connect/10074733072513#/reservations/31679459909849?display=MHAQKNUBP&amp;reservation_id=31679459909849", "MHAQKNUBP")</f>
        <v>MHAQKNUBP</v>
      </c>
      <c r="B7379" t="s">
        <v>878</v>
      </c>
      <c r="C7379">
        <v>129</v>
      </c>
      <c r="D7379">
        <v>140.22999999999999</v>
      </c>
      <c r="E7379">
        <v>140.22</v>
      </c>
      <c r="F7379">
        <v>0.01</v>
      </c>
    </row>
    <row r="7380" spans="1:6" x14ac:dyDescent="0.3">
      <c r="A7380" t="str">
        <f>HYPERLINK("https://us2.cloudbeds.com/connect/10074733072513#/reservations/31681303949490?display=MHC7ZM1BT&amp;reservation_id=31681303949490", "MHC7ZM1BT")</f>
        <v>MHC7ZM1BT</v>
      </c>
      <c r="B7380" t="s">
        <v>1136</v>
      </c>
      <c r="C7380">
        <v>378</v>
      </c>
      <c r="D7380">
        <v>410.9</v>
      </c>
      <c r="E7380">
        <v>410.89</v>
      </c>
      <c r="F7380">
        <v>0.01</v>
      </c>
    </row>
    <row r="7381" spans="1:6" x14ac:dyDescent="0.3">
      <c r="A7381" t="str">
        <f>HYPERLINK("https://us2.cloudbeds.com/connect/10074733072513#/reservations/31673015255285?display=MH5QVDTU7&amp;reservation_id=31673015255285", "MH5QVDTU7")</f>
        <v>MH5QVDTU7</v>
      </c>
      <c r="B7381" t="s">
        <v>1153</v>
      </c>
      <c r="C7381">
        <v>119</v>
      </c>
      <c r="D7381">
        <v>129.36000000000001</v>
      </c>
      <c r="E7381">
        <v>129.35</v>
      </c>
      <c r="F7381">
        <v>0.01</v>
      </c>
    </row>
    <row r="7382" spans="1:6" x14ac:dyDescent="0.3">
      <c r="A7382" t="str">
        <f>HYPERLINK("https://us2.cloudbeds.com/connect/10074733072513#/reservations/31672925716632?display=MH5ZYUBUN&amp;reservation_id=31672925716632", "MH5ZYUBUN")</f>
        <v>MH5ZYUBUN</v>
      </c>
      <c r="B7382" t="s">
        <v>1153</v>
      </c>
      <c r="C7382">
        <v>101.75</v>
      </c>
      <c r="D7382">
        <v>110.61</v>
      </c>
      <c r="E7382">
        <v>110.6</v>
      </c>
      <c r="F7382">
        <v>0.01</v>
      </c>
    </row>
    <row r="7383" spans="1:6" x14ac:dyDescent="0.3">
      <c r="A7383" t="str">
        <f>HYPERLINK("https://us2.cloudbeds.com/connect/10074733072513#/reservations/31672990150834?display=MH5QA8B59&amp;reservation_id=31672990150834", "MH5QA8B59")</f>
        <v>MH5QA8B59</v>
      </c>
      <c r="B7383" t="s">
        <v>1160</v>
      </c>
      <c r="C7383">
        <v>119</v>
      </c>
      <c r="D7383">
        <v>129.36000000000001</v>
      </c>
      <c r="E7383">
        <v>129.35</v>
      </c>
      <c r="F7383">
        <v>0.01</v>
      </c>
    </row>
    <row r="7384" spans="1:6" x14ac:dyDescent="0.3">
      <c r="A7384" t="str">
        <f>HYPERLINK("https://us2.cloudbeds.com/connect/10074733072513#/reservations/31677156286647?display=MH90P86T2&amp;reservation_id=31677156286647", "MH90P86T2")</f>
        <v>MH90P86T2</v>
      </c>
      <c r="B7384" t="s">
        <v>1006</v>
      </c>
      <c r="C7384">
        <v>139</v>
      </c>
      <c r="D7384">
        <v>151.1</v>
      </c>
      <c r="E7384">
        <v>151.09</v>
      </c>
      <c r="F7384">
        <v>0.01</v>
      </c>
    </row>
    <row r="7385" spans="1:6" x14ac:dyDescent="0.3">
      <c r="A7385" t="str">
        <f>HYPERLINK("https://us2.cloudbeds.com/connect/10074733072513#/reservations/31675152801958?display=MH7FXS9MR&amp;reservation_id=31675152801958", "MH7FXS9MR")</f>
        <v>MH7FXS9MR</v>
      </c>
      <c r="B7385" t="s">
        <v>1029</v>
      </c>
      <c r="C7385">
        <v>139</v>
      </c>
      <c r="D7385">
        <v>151.1</v>
      </c>
      <c r="E7385">
        <v>151.09</v>
      </c>
      <c r="F7385">
        <v>0.01</v>
      </c>
    </row>
    <row r="7386" spans="1:6" x14ac:dyDescent="0.3">
      <c r="A7386" t="str">
        <f>HYPERLINK("https://us2.cloudbeds.com/connect/10074733072513#/reservations/31672918290618?display=MH5ZFYNQW&amp;reservation_id=31672918290618", "MH5ZFYNQW")</f>
        <v>MH5ZFYNQW</v>
      </c>
      <c r="B7386" t="s">
        <v>1153</v>
      </c>
      <c r="C7386">
        <v>129</v>
      </c>
      <c r="D7386">
        <v>140.22999999999999</v>
      </c>
      <c r="E7386">
        <v>140.22</v>
      </c>
      <c r="F7386">
        <v>0.01</v>
      </c>
    </row>
    <row r="7387" spans="1:6" x14ac:dyDescent="0.3">
      <c r="A7387" t="str">
        <f>HYPERLINK("https://us2.cloudbeds.com/connect/10074733072513#/reservations/31675361558711?display=MH7KTT8H1&amp;reservation_id=31675361558711", "MH7KTT8H1")</f>
        <v>MH7KTT8H1</v>
      </c>
      <c r="B7387" t="s">
        <v>1151</v>
      </c>
      <c r="C7387">
        <v>129</v>
      </c>
      <c r="D7387">
        <v>140.22999999999999</v>
      </c>
      <c r="E7387">
        <v>140.22</v>
      </c>
      <c r="F7387">
        <v>0.01</v>
      </c>
    </row>
    <row r="7388" spans="1:6" x14ac:dyDescent="0.3">
      <c r="A7388" t="str">
        <f>HYPERLINK("https://us2.cloudbeds.com/connect/10074733072513#/reservations/31675109269706?display=MH7EF4V5M&amp;reservation_id=31675109269706", "MH7EF4V5M")</f>
        <v>MH7EF4V5M</v>
      </c>
      <c r="B7388" t="s">
        <v>1153</v>
      </c>
      <c r="C7388">
        <v>101.75</v>
      </c>
      <c r="D7388">
        <v>110.61</v>
      </c>
      <c r="E7388">
        <v>110.6</v>
      </c>
      <c r="F7388">
        <v>0.01</v>
      </c>
    </row>
    <row r="7389" spans="1:6" x14ac:dyDescent="0.3">
      <c r="A7389" t="str">
        <f>HYPERLINK("https://us2.cloudbeds.com/connect/10074733072513#/reservations/31674148778144?display=MH6MU7S2P&amp;reservation_id=31674148778144", "MH6MU7S2P")</f>
        <v>MH6MU7S2P</v>
      </c>
      <c r="B7389" t="s">
        <v>1165</v>
      </c>
      <c r="C7389">
        <v>89</v>
      </c>
      <c r="D7389">
        <v>96.75</v>
      </c>
      <c r="E7389">
        <v>96.74</v>
      </c>
      <c r="F7389">
        <v>0.01</v>
      </c>
    </row>
    <row r="7390" spans="1:6" x14ac:dyDescent="0.3">
      <c r="A7390" t="str">
        <f>HYPERLINK("https://us2.cloudbeds.com/connect/10074733072513#/reservations/31682753970379?display=MHDBQC0AR&amp;reservation_id=31682753970379", "MHDBQC0AR")</f>
        <v>MHDBQC0AR</v>
      </c>
      <c r="B7390" t="s">
        <v>1079</v>
      </c>
      <c r="C7390">
        <v>278</v>
      </c>
      <c r="D7390">
        <v>302.2</v>
      </c>
      <c r="E7390">
        <v>302.19</v>
      </c>
      <c r="F7390">
        <v>0.01</v>
      </c>
    </row>
    <row r="7391" spans="1:6" x14ac:dyDescent="0.3">
      <c r="A7391" t="str">
        <f>HYPERLINK("https://us2.cloudbeds.com/connect/10074733072513#/reservations/31675103703285?display=MH7EAF1M8&amp;reservation_id=31675103703285", "MH7EAF1M8")</f>
        <v>MH7EAF1M8</v>
      </c>
      <c r="B7391" t="s">
        <v>1153</v>
      </c>
      <c r="C7391">
        <v>119</v>
      </c>
      <c r="D7391">
        <v>129.36000000000001</v>
      </c>
      <c r="E7391">
        <v>129.35</v>
      </c>
      <c r="F7391">
        <v>0.01</v>
      </c>
    </row>
    <row r="7392" spans="1:6" x14ac:dyDescent="0.3">
      <c r="A7392" t="str">
        <f>HYPERLINK("https://us2.cloudbeds.com/connect/10074733072513#/reservations/31679471599863?display=MHAQUJ6WK&amp;reservation_id=31679471599863", "MHAQUJ6WK")</f>
        <v>MHAQUJ6WK</v>
      </c>
      <c r="B7392" t="s">
        <v>878</v>
      </c>
      <c r="C7392">
        <v>268</v>
      </c>
      <c r="D7392">
        <v>291.33</v>
      </c>
      <c r="E7392">
        <v>291.32</v>
      </c>
      <c r="F7392">
        <v>0.01</v>
      </c>
    </row>
    <row r="7393" spans="1:6" x14ac:dyDescent="0.3">
      <c r="A7393" t="str">
        <f>HYPERLINK("https://us2.cloudbeds.com/connect/10074733072513#/reservations/31675098001565?display=MH7E5YCUS&amp;reservation_id=31675098001565", "MH7E5YCUS")</f>
        <v>MH7E5YCUS</v>
      </c>
      <c r="B7393" t="s">
        <v>1153</v>
      </c>
      <c r="C7393">
        <v>119</v>
      </c>
      <c r="D7393">
        <v>129.36000000000001</v>
      </c>
      <c r="E7393">
        <v>129.35</v>
      </c>
      <c r="F7393">
        <v>0.01</v>
      </c>
    </row>
    <row r="7394" spans="1:6" x14ac:dyDescent="0.3">
      <c r="A7394" t="str">
        <f>HYPERLINK("https://us2.cloudbeds.com/connect/10074733072513#/reservations/31675117674742?display=MH7EM7R9Z&amp;reservation_id=31675117674742", "MH7EM7R9Z")</f>
        <v>MH7EM7R9Z</v>
      </c>
      <c r="B7394" t="s">
        <v>1164</v>
      </c>
      <c r="C7394">
        <v>158</v>
      </c>
      <c r="D7394">
        <v>171.76</v>
      </c>
      <c r="E7394">
        <v>171.75</v>
      </c>
      <c r="F7394">
        <v>0.01</v>
      </c>
    </row>
    <row r="7395" spans="1:6" x14ac:dyDescent="0.3">
      <c r="A7395" t="str">
        <f>HYPERLINK("https://us2.cloudbeds.com/connect/10074733072513#/reservations/31676910076062?display=MH8RFY168&amp;reservation_id=31676910076062", "MH8RFY168")</f>
        <v>MH8RFY168</v>
      </c>
      <c r="B7395" t="s">
        <v>925</v>
      </c>
      <c r="C7395">
        <v>129</v>
      </c>
      <c r="D7395">
        <v>140.22999999999999</v>
      </c>
      <c r="E7395">
        <v>140.22</v>
      </c>
      <c r="F7395">
        <v>0.01</v>
      </c>
    </row>
    <row r="7396" spans="1:6" x14ac:dyDescent="0.3">
      <c r="A7396" t="str">
        <f>HYPERLINK("https://us2.cloudbeds.com/connect/10074733072513#/reservations/31677543678149?display=MH9AYTV9G&amp;reservation_id=31677543678149", "MH9AYTV9G")</f>
        <v>MH9AYTV9G</v>
      </c>
      <c r="B7396" t="s">
        <v>1006</v>
      </c>
      <c r="C7396">
        <v>119</v>
      </c>
      <c r="D7396">
        <v>129.36000000000001</v>
      </c>
      <c r="E7396">
        <v>129.35</v>
      </c>
      <c r="F7396">
        <v>0.01</v>
      </c>
    </row>
    <row r="7397" spans="1:6" x14ac:dyDescent="0.3">
      <c r="A7397" t="str">
        <f>HYPERLINK("https://us2.cloudbeds.com/connect/10074733072513#/reservations/31677549367454?display=MH9AQN8KM&amp;reservation_id=31677549367454", "MH9AQN8KM")</f>
        <v>MH9AQN8KM</v>
      </c>
      <c r="B7397" t="s">
        <v>1006</v>
      </c>
      <c r="C7397">
        <v>278</v>
      </c>
      <c r="D7397">
        <v>302.2</v>
      </c>
      <c r="E7397">
        <v>302.19</v>
      </c>
      <c r="F7397">
        <v>0.01</v>
      </c>
    </row>
    <row r="7398" spans="1:6" x14ac:dyDescent="0.3">
      <c r="A7398" t="str">
        <f>HYPERLINK("https://us2.cloudbeds.com/connect/10074733072513#/reservations/31676944797856?display=MH8SBU79R&amp;reservation_id=31676944797856", "MH8SBU79R")</f>
        <v>MH8SBU79R</v>
      </c>
      <c r="B7398" t="s">
        <v>957</v>
      </c>
      <c r="C7398">
        <v>149</v>
      </c>
      <c r="D7398">
        <v>161.97</v>
      </c>
      <c r="E7398">
        <v>161.96</v>
      </c>
      <c r="F7398">
        <v>0.01</v>
      </c>
    </row>
    <row r="7399" spans="1:6" x14ac:dyDescent="0.3">
      <c r="A7399" t="str">
        <f>HYPERLINK("https://us2.cloudbeds.com/connect/10074733072513#/reservations/31691221348582?display=MHJU599J3&amp;reservation_id=31691221348582", "MHJU599J3")</f>
        <v>MHJU599J3</v>
      </c>
      <c r="B7399" t="s">
        <v>1013</v>
      </c>
      <c r="C7399">
        <v>129</v>
      </c>
      <c r="D7399">
        <v>140.22999999999999</v>
      </c>
      <c r="E7399">
        <v>140.22</v>
      </c>
      <c r="F7399">
        <v>0.01</v>
      </c>
    </row>
    <row r="7400" spans="1:6" x14ac:dyDescent="0.3">
      <c r="A7400" t="str">
        <f>HYPERLINK("https://us2.cloudbeds.com/connect/10074733072513#/reservations/31685735510173?display=MHFYWFZZX&amp;reservation_id=31685735510173", "MHFYWFZZX")</f>
        <v>MHFYWFZZX</v>
      </c>
      <c r="B7400" t="s">
        <v>1013</v>
      </c>
      <c r="C7400">
        <v>129</v>
      </c>
      <c r="D7400">
        <v>140.22999999999999</v>
      </c>
      <c r="E7400">
        <v>140.22</v>
      </c>
      <c r="F7400">
        <v>0.01</v>
      </c>
    </row>
    <row r="7401" spans="1:6" x14ac:dyDescent="0.3">
      <c r="A7401" t="str">
        <f>HYPERLINK("https://us2.cloudbeds.com/connect/10074733072513#/reservations/31689549992069?display=MHXKEVAV1&amp;reservation_id=31689549992069", "MHXKEVAV1")</f>
        <v>MHXKEVAV1</v>
      </c>
      <c r="B7401" t="s">
        <v>974</v>
      </c>
      <c r="C7401">
        <v>278</v>
      </c>
      <c r="D7401">
        <v>302.2</v>
      </c>
      <c r="E7401">
        <v>302.19</v>
      </c>
      <c r="F7401">
        <v>0.01</v>
      </c>
    </row>
    <row r="7402" spans="1:6" x14ac:dyDescent="0.3">
      <c r="A7402" t="str">
        <f>HYPERLINK("https://us2.cloudbeds.com/connect/10074733072513#/reservations/31674002890889?display=MH6J67AYS&amp;reservation_id=31674002890889", "MH6J67AYS")</f>
        <v>MH6J67AYS</v>
      </c>
      <c r="B7402" t="s">
        <v>1101</v>
      </c>
      <c r="C7402">
        <v>159</v>
      </c>
      <c r="D7402">
        <v>172.84</v>
      </c>
      <c r="E7402">
        <v>172.83</v>
      </c>
      <c r="F7402">
        <v>0.01</v>
      </c>
    </row>
    <row r="7403" spans="1:6" x14ac:dyDescent="0.3">
      <c r="A7403" t="str">
        <f>HYPERLINK("https://us2.cloudbeds.com/connect/10074733072513#/reservations/31677720744105?display=MH9F6729H&amp;reservation_id=31677720744105", "MH9F6729H")</f>
        <v>MH9F6729H</v>
      </c>
      <c r="B7403" t="s">
        <v>819</v>
      </c>
      <c r="C7403">
        <v>179</v>
      </c>
      <c r="D7403">
        <v>194.58</v>
      </c>
      <c r="E7403">
        <v>194.57</v>
      </c>
      <c r="F7403">
        <v>0.01</v>
      </c>
    </row>
    <row r="7404" spans="1:6" x14ac:dyDescent="0.3">
      <c r="A7404" t="str">
        <f>HYPERLINK("https://us2.cloudbeds.com/connect/10074733072513#/reservations/31676806390002?display=MH8ZR6R0E&amp;reservation_id=31676806390002", "MH8ZR6R0E")</f>
        <v>MH8ZR6R0E</v>
      </c>
      <c r="B7404" t="s">
        <v>1147</v>
      </c>
      <c r="C7404">
        <v>119</v>
      </c>
      <c r="D7404">
        <v>129.36000000000001</v>
      </c>
      <c r="E7404">
        <v>129.35</v>
      </c>
      <c r="F7404">
        <v>0.01</v>
      </c>
    </row>
    <row r="7405" spans="1:6" x14ac:dyDescent="0.3">
      <c r="A7405" t="str">
        <f>HYPERLINK("https://us2.cloudbeds.com/connect/10074733072513#/reservations/31674177441956?display=MH6NYDFA4&amp;reservation_id=31674177441956", "MH6NYDFA4")</f>
        <v>MH6NYDFA4</v>
      </c>
      <c r="B7405" t="s">
        <v>1165</v>
      </c>
      <c r="C7405">
        <v>87.84</v>
      </c>
      <c r="D7405">
        <v>95.49</v>
      </c>
      <c r="E7405">
        <v>95.48</v>
      </c>
      <c r="F7405">
        <v>0.01</v>
      </c>
    </row>
    <row r="7406" spans="1:6" x14ac:dyDescent="0.3">
      <c r="A7406" t="str">
        <f>HYPERLINK("https://us2.cloudbeds.com/connect/10074733072513#/reservations/31674165371032?display=MH6NB7XTX&amp;reservation_id=31674165371032", "MH6NB7XTX")</f>
        <v>MH6NB7XTX</v>
      </c>
      <c r="B7406" t="s">
        <v>1165</v>
      </c>
      <c r="C7406">
        <v>89</v>
      </c>
      <c r="D7406">
        <v>96.75</v>
      </c>
      <c r="E7406">
        <v>96.74</v>
      </c>
      <c r="F7406">
        <v>0.01</v>
      </c>
    </row>
    <row r="7407" spans="1:6" x14ac:dyDescent="0.3">
      <c r="A7407" t="str">
        <f>HYPERLINK("https://us2.cloudbeds.com/connect/10074733072513#/reservations/31674148782237?display=MH6MU7VRQ&amp;reservation_id=31674148782237", "MH6MU7VRQ")</f>
        <v>MH6MU7VRQ</v>
      </c>
      <c r="B7407" t="s">
        <v>1165</v>
      </c>
      <c r="C7407">
        <v>89</v>
      </c>
      <c r="D7407">
        <v>96.75</v>
      </c>
      <c r="E7407">
        <v>96.74</v>
      </c>
      <c r="F7407">
        <v>0.01</v>
      </c>
    </row>
    <row r="7408" spans="1:6" x14ac:dyDescent="0.3">
      <c r="A7408" t="str">
        <f>HYPERLINK("https://us2.cloudbeds.com/connect/10074733072513#/reservations/31674044453021?display=MH6K88S2D&amp;reservation_id=31674044453021", "MH6K88S2D")</f>
        <v>MH6K88S2D</v>
      </c>
      <c r="B7408" t="s">
        <v>1165</v>
      </c>
      <c r="C7408">
        <v>87.84</v>
      </c>
      <c r="D7408">
        <v>95.49</v>
      </c>
      <c r="E7408">
        <v>95.48</v>
      </c>
      <c r="F7408">
        <v>0.01</v>
      </c>
    </row>
    <row r="7409" spans="1:6" x14ac:dyDescent="0.3">
      <c r="A7409" t="str">
        <f>HYPERLINK("https://us2.cloudbeds.com/connect/10074733072513#/reservations/31674952773776?display=MH7AF672P&amp;reservation_id=31674952773776", "MH7AF672P")</f>
        <v>MH7AF672P</v>
      </c>
      <c r="B7409" t="s">
        <v>1167</v>
      </c>
      <c r="C7409">
        <v>420</v>
      </c>
      <c r="D7409">
        <v>456.55</v>
      </c>
      <c r="E7409">
        <v>456.54</v>
      </c>
      <c r="F7409">
        <v>0.01</v>
      </c>
    </row>
    <row r="7410" spans="1:6" x14ac:dyDescent="0.3">
      <c r="A7410" t="str">
        <f>HYPERLINK("https://us2.cloudbeds.com/connect/10074733072513#/reservations/31690402472144?display=MHJ97PRUJ&amp;reservation_id=31690402472144", "MHJ97PRUJ")</f>
        <v>MHJ97PRUJ</v>
      </c>
      <c r="B7410" t="s">
        <v>1168</v>
      </c>
      <c r="C7410">
        <v>238</v>
      </c>
      <c r="D7410">
        <v>258.72000000000003</v>
      </c>
      <c r="E7410">
        <v>258.70999999999998</v>
      </c>
      <c r="F7410">
        <v>0.01</v>
      </c>
    </row>
    <row r="7411" spans="1:6" x14ac:dyDescent="0.3">
      <c r="A7411" t="str">
        <f>HYPERLINK("https://us2.cloudbeds.com/connect/10074733072513#/reservations/31676798664854?display=MH8ZKMS71&amp;reservation_id=31676798664854", "MH8ZKMS71")</f>
        <v>MH8ZKMS71</v>
      </c>
      <c r="B7411" t="s">
        <v>1147</v>
      </c>
      <c r="C7411">
        <v>119</v>
      </c>
      <c r="D7411">
        <v>129.36000000000001</v>
      </c>
      <c r="E7411">
        <v>129.35</v>
      </c>
      <c r="F7411">
        <v>0.01</v>
      </c>
    </row>
    <row r="7412" spans="1:6" x14ac:dyDescent="0.3">
      <c r="A7412" t="str">
        <f>HYPERLINK("https://us2.cloudbeds.com/connect/10074733072513#/reservations/31678694404242?display=MHA727JZ5&amp;reservation_id=31678694404242", "MHA727JZ5")</f>
        <v>MHA727JZ5</v>
      </c>
      <c r="B7412" t="s">
        <v>1170</v>
      </c>
      <c r="C7412">
        <v>106.8</v>
      </c>
      <c r="D7412">
        <v>116.1</v>
      </c>
      <c r="E7412">
        <v>116.09</v>
      </c>
      <c r="F7412">
        <v>0.01</v>
      </c>
    </row>
    <row r="7413" spans="1:6" x14ac:dyDescent="0.3">
      <c r="A7413" t="str">
        <f>HYPERLINK("https://us2.cloudbeds.com/connect/10074733072513#/reservations/31674125373682?display=MH6MAGJCY&amp;reservation_id=31674125373682", "MH6MAGJCY")</f>
        <v>MH6MAGJCY</v>
      </c>
      <c r="B7413" t="s">
        <v>1165</v>
      </c>
      <c r="C7413">
        <v>338</v>
      </c>
      <c r="D7413">
        <v>367.42</v>
      </c>
      <c r="E7413">
        <v>367.41</v>
      </c>
      <c r="F7413">
        <v>0.01</v>
      </c>
    </row>
    <row r="7414" spans="1:6" x14ac:dyDescent="0.3">
      <c r="A7414" t="str">
        <f>HYPERLINK("https://us2.cloudbeds.com/connect/10074733072513#/reservations/31674179440853?display=MH6NN32RP&amp;reservation_id=31674179440853", "MH6NN32RP")</f>
        <v>MH6NN32RP</v>
      </c>
      <c r="B7414" t="s">
        <v>1164</v>
      </c>
      <c r="C7414">
        <v>87.84</v>
      </c>
      <c r="D7414">
        <v>95.49</v>
      </c>
      <c r="E7414">
        <v>95.48</v>
      </c>
      <c r="F7414">
        <v>0.01</v>
      </c>
    </row>
    <row r="7415" spans="1:6" x14ac:dyDescent="0.3">
      <c r="A7415" t="str">
        <f>HYPERLINK("https://us2.cloudbeds.com/connect/10074733072513#/reservations/31675447382156?display=MH7N38DUG&amp;reservation_id=31675447382156", "MH7N38DUG")</f>
        <v>MH7N38DUG</v>
      </c>
      <c r="B7415" t="s">
        <v>1171</v>
      </c>
      <c r="C7415">
        <v>129</v>
      </c>
      <c r="D7415">
        <v>140.22999999999999</v>
      </c>
      <c r="E7415">
        <v>140.22</v>
      </c>
      <c r="F7415">
        <v>0.01</v>
      </c>
    </row>
    <row r="7416" spans="1:6" x14ac:dyDescent="0.3">
      <c r="A7416" t="str">
        <f>HYPERLINK("https://us2.cloudbeds.com/connect/10074733072513#/reservations/31675337097387?display=MH7K98JAQ&amp;reservation_id=31675337097387", "MH7K98JAQ")</f>
        <v>MH7K98JAQ</v>
      </c>
      <c r="B7416" t="s">
        <v>1109</v>
      </c>
      <c r="C7416">
        <v>178</v>
      </c>
      <c r="D7416">
        <v>193.5</v>
      </c>
      <c r="E7416">
        <v>193.49</v>
      </c>
      <c r="F7416">
        <v>0.01</v>
      </c>
    </row>
    <row r="7417" spans="1:6" x14ac:dyDescent="0.3">
      <c r="A7417" t="str">
        <f>HYPERLINK("https://us2.cloudbeds.com/connect/10074733072513#/reservations/31674281623749?display=MH6QA8FN5&amp;reservation_id=31674281623749", "MH6QA8FN5")</f>
        <v>MH6QA8FN5</v>
      </c>
      <c r="B7417" t="s">
        <v>1090</v>
      </c>
      <c r="C7417">
        <v>169</v>
      </c>
      <c r="D7417">
        <v>183.71</v>
      </c>
      <c r="E7417">
        <v>183.7</v>
      </c>
      <c r="F7417">
        <v>0.01</v>
      </c>
    </row>
    <row r="7418" spans="1:6" x14ac:dyDescent="0.3">
      <c r="A7418" t="str">
        <f>HYPERLINK("https://us2.cloudbeds.com/connect/10074733072513#/reservations/31688319295723?display=MHHM06CUC&amp;reservation_id=31688319295723", "MHHM06CUC")</f>
        <v>MHHM06CUC</v>
      </c>
      <c r="B7418" t="s">
        <v>1168</v>
      </c>
      <c r="C7418">
        <v>238</v>
      </c>
      <c r="D7418">
        <v>258.72000000000003</v>
      </c>
      <c r="E7418">
        <v>258.70999999999998</v>
      </c>
      <c r="F7418">
        <v>0.01</v>
      </c>
    </row>
    <row r="7419" spans="1:6" x14ac:dyDescent="0.3">
      <c r="A7419" t="str">
        <f>HYPERLINK("https://us2.cloudbeds.com/connect/10074733072513#/reservations/31677234430114?display=MH92P4YVU&amp;reservation_id=31677234430114", "MH92P4YVU")</f>
        <v>MH92P4YVU</v>
      </c>
      <c r="B7419" t="s">
        <v>1172</v>
      </c>
      <c r="C7419">
        <v>211.88</v>
      </c>
      <c r="D7419">
        <v>230.32</v>
      </c>
      <c r="E7419">
        <v>230.31</v>
      </c>
      <c r="F7419">
        <v>0.01</v>
      </c>
    </row>
    <row r="7420" spans="1:6" x14ac:dyDescent="0.3">
      <c r="A7420" t="str">
        <f>HYPERLINK("https://us2.cloudbeds.com/connect/10074733072513#/reservations/31673120420031?display=MH5TY38UN&amp;reservation_id=31673120420031", "MH5TY38UN")</f>
        <v>MH5TY38UN</v>
      </c>
      <c r="B7420" t="s">
        <v>1146</v>
      </c>
      <c r="C7420">
        <v>139</v>
      </c>
      <c r="D7420">
        <v>151.1</v>
      </c>
      <c r="E7420">
        <v>151.09</v>
      </c>
      <c r="F7420">
        <v>0.01</v>
      </c>
    </row>
    <row r="7421" spans="1:6" x14ac:dyDescent="0.3">
      <c r="A7421" t="str">
        <f>HYPERLINK("https://us2.cloudbeds.com/connect/10074733072513#/reservations/31678877708435?display=MHABZQA4M&amp;reservation_id=31678877708435", "MHABZQA4M")</f>
        <v>MHABZQA4M</v>
      </c>
      <c r="B7421" t="s">
        <v>1079</v>
      </c>
      <c r="C7421">
        <v>278</v>
      </c>
      <c r="D7421">
        <v>302.2</v>
      </c>
      <c r="E7421">
        <v>302.19</v>
      </c>
      <c r="F7421">
        <v>0.01</v>
      </c>
    </row>
    <row r="7422" spans="1:6" x14ac:dyDescent="0.3">
      <c r="A7422" t="str">
        <f>HYPERLINK("https://us2.cloudbeds.com/connect/10074733072513#/reservations/31677463486592?display=MH98BTWQ9&amp;reservation_id=31677463486592", "MH98BTWQ9")</f>
        <v>MH98BTWQ9</v>
      </c>
      <c r="B7422" t="s">
        <v>1009</v>
      </c>
      <c r="C7422">
        <v>169</v>
      </c>
      <c r="D7422">
        <v>183.71</v>
      </c>
      <c r="E7422">
        <v>183.7</v>
      </c>
      <c r="F7422">
        <v>0.01</v>
      </c>
    </row>
    <row r="7423" spans="1:6" x14ac:dyDescent="0.3">
      <c r="A7423" t="str">
        <f>HYPERLINK("https://us2.cloudbeds.com/connect/10074733072513#/reservations/31677380550834?display=MH96GBMPH&amp;reservation_id=31677380550834", "MH96GBMPH")</f>
        <v>MH96GBMPH</v>
      </c>
      <c r="B7423" t="s">
        <v>1035</v>
      </c>
      <c r="C7423">
        <v>169</v>
      </c>
      <c r="D7423">
        <v>183.71</v>
      </c>
      <c r="E7423">
        <v>183.7</v>
      </c>
      <c r="F7423">
        <v>0.01</v>
      </c>
    </row>
    <row r="7424" spans="1:6" x14ac:dyDescent="0.3">
      <c r="A7424" t="str">
        <f>HYPERLINK("https://us2.cloudbeds.com/connect/10074733072513#/reservations/31674190864625?display=MH6NWNVWM&amp;reservation_id=31674190864625", "MH6NWNVWM")</f>
        <v>MH6NWNVWM</v>
      </c>
      <c r="B7424" t="s">
        <v>1164</v>
      </c>
      <c r="C7424">
        <v>109</v>
      </c>
      <c r="D7424">
        <v>118.49</v>
      </c>
      <c r="E7424">
        <v>118.48</v>
      </c>
      <c r="F7424">
        <v>0.01</v>
      </c>
    </row>
    <row r="7425" spans="1:6" x14ac:dyDescent="0.3">
      <c r="A7425" t="str">
        <f>HYPERLINK("https://us2.cloudbeds.com/connect/10074733072513#/reservations/31674370261137?display=MH6SXWV2K&amp;reservation_id=31674370261137", "MH6SXWV2K")</f>
        <v>MH6SXWV2K</v>
      </c>
      <c r="B7425" t="s">
        <v>1073</v>
      </c>
      <c r="C7425">
        <v>89</v>
      </c>
      <c r="D7425">
        <v>96.75</v>
      </c>
      <c r="E7425">
        <v>96.74</v>
      </c>
      <c r="F7425">
        <v>0.01</v>
      </c>
    </row>
    <row r="7426" spans="1:6" x14ac:dyDescent="0.3">
      <c r="A7426" t="str">
        <f>HYPERLINK("https://us2.cloudbeds.com/connect/10074733072513#/reservations/31677391532210?display=MH96PK8MG&amp;reservation_id=31677391532210", "MH96PK8MG")</f>
        <v>MH96PK8MG</v>
      </c>
      <c r="B7426" t="s">
        <v>1006</v>
      </c>
      <c r="C7426">
        <v>278</v>
      </c>
      <c r="D7426">
        <v>302.2</v>
      </c>
      <c r="E7426">
        <v>302.19</v>
      </c>
      <c r="F7426">
        <v>0.01</v>
      </c>
    </row>
    <row r="7427" spans="1:6" x14ac:dyDescent="0.3">
      <c r="A7427" t="str">
        <f>HYPERLINK("https://us2.cloudbeds.com/connect/10074733072513#/reservations/31679492133110?display=MHARETJ46&amp;reservation_id=31679492133110", "MHARETJ46")</f>
        <v>MHARETJ46</v>
      </c>
      <c r="B7427" t="s">
        <v>878</v>
      </c>
      <c r="C7427">
        <v>129</v>
      </c>
      <c r="D7427">
        <v>140.22999999999999</v>
      </c>
      <c r="E7427">
        <v>140.22</v>
      </c>
      <c r="F7427">
        <v>0.01</v>
      </c>
    </row>
    <row r="7428" spans="1:6" x14ac:dyDescent="0.3">
      <c r="A7428" t="str">
        <f>HYPERLINK("https://us2.cloudbeds.com/connect/10074733072513#/reservations/31678084362383?display=MH9ZFR9C7&amp;reservation_id=31678084362383", "MH9ZFR9C7")</f>
        <v>MH9ZFR9C7</v>
      </c>
      <c r="B7428" t="s">
        <v>1175</v>
      </c>
      <c r="C7428">
        <v>169</v>
      </c>
      <c r="D7428">
        <v>183.71</v>
      </c>
      <c r="E7428">
        <v>183.7</v>
      </c>
      <c r="F7428">
        <v>0.01</v>
      </c>
    </row>
    <row r="7429" spans="1:6" x14ac:dyDescent="0.3">
      <c r="A7429" t="str">
        <f>HYPERLINK("https://us2.cloudbeds.com/connect/10074733072513#/reservations/31681636081856?display=MHCG7Z01S&amp;reservation_id=31681636081856", "MHCG7Z01S")</f>
        <v>MHCG7Z01S</v>
      </c>
      <c r="B7429" t="s">
        <v>819</v>
      </c>
      <c r="C7429">
        <v>99</v>
      </c>
      <c r="D7429">
        <v>107.62</v>
      </c>
      <c r="E7429">
        <v>107.61</v>
      </c>
      <c r="F7429">
        <v>0.01</v>
      </c>
    </row>
    <row r="7430" spans="1:6" x14ac:dyDescent="0.3">
      <c r="A7430" t="str">
        <f>HYPERLINK("https://us2.cloudbeds.com/connect/10074733072513#/reservations/31673110503639?display=MH5TCZAVW&amp;reservation_id=31673110503639", "MH5TCZAVW")</f>
        <v>MH5TCZAVW</v>
      </c>
      <c r="B7430" t="s">
        <v>1146</v>
      </c>
      <c r="C7430">
        <v>158</v>
      </c>
      <c r="D7430">
        <v>171.76</v>
      </c>
      <c r="E7430">
        <v>171.75</v>
      </c>
      <c r="F7430">
        <v>0.01</v>
      </c>
    </row>
    <row r="7431" spans="1:6" x14ac:dyDescent="0.3">
      <c r="A7431" t="str">
        <f>HYPERLINK("https://us2.cloudbeds.com/connect/10074733072513#/reservations/31674247110900?display=MH6PE53F8&amp;reservation_id=31674247110900", "MH6PE53F8")</f>
        <v>MH6PE53F8</v>
      </c>
      <c r="B7431" t="s">
        <v>1146</v>
      </c>
      <c r="C7431">
        <v>139</v>
      </c>
      <c r="D7431">
        <v>151.1</v>
      </c>
      <c r="E7431">
        <v>151.09</v>
      </c>
      <c r="F7431">
        <v>0.01</v>
      </c>
    </row>
    <row r="7432" spans="1:6" x14ac:dyDescent="0.3">
      <c r="A7432" t="str">
        <f>HYPERLINK("https://us2.cloudbeds.com/connect/10074733072513#/reservations/31676319297704?display=MH8CCFZWP&amp;reservation_id=31676319297704", "MH8CCFZWP")</f>
        <v>MH8CCFZWP</v>
      </c>
      <c r="B7432" t="s">
        <v>1156</v>
      </c>
      <c r="C7432">
        <v>101.75</v>
      </c>
      <c r="D7432">
        <v>110.61</v>
      </c>
      <c r="E7432">
        <v>110.6</v>
      </c>
      <c r="F7432">
        <v>0.01</v>
      </c>
    </row>
    <row r="7433" spans="1:6" x14ac:dyDescent="0.3">
      <c r="A7433" t="str">
        <f>HYPERLINK("https://us2.cloudbeds.com/connect/10074733072513#/reservations/31675287515370?display=MH7J0ETFE&amp;reservation_id=31675287515370", "MH7J0ETFE")</f>
        <v>MH7J0ETFE</v>
      </c>
      <c r="B7433" t="s">
        <v>1109</v>
      </c>
      <c r="C7433">
        <v>139</v>
      </c>
      <c r="D7433">
        <v>151.1</v>
      </c>
      <c r="E7433">
        <v>151.09</v>
      </c>
      <c r="F7433">
        <v>0.01</v>
      </c>
    </row>
    <row r="7434" spans="1:6" x14ac:dyDescent="0.3">
      <c r="A7434" t="str">
        <f>HYPERLINK("https://us2.cloudbeds.com/connect/10074733072513#/reservations/31675442933955?display=MH7MWGY8H&amp;reservation_id=31675442933955", "MH7MWGY8H")</f>
        <v>MH7MWGY8H</v>
      </c>
      <c r="B7434" t="s">
        <v>1073</v>
      </c>
      <c r="C7434">
        <v>109</v>
      </c>
      <c r="D7434">
        <v>118.49</v>
      </c>
      <c r="E7434">
        <v>118.48</v>
      </c>
      <c r="F7434">
        <v>0.01</v>
      </c>
    </row>
    <row r="7435" spans="1:6" x14ac:dyDescent="0.3">
      <c r="A7435" t="str">
        <f>HYPERLINK("https://us2.cloudbeds.com/connect/10074733072513#/reservations/31677363576973?display=MH9621C43&amp;reservation_id=31677363576973", "MH9621C43")</f>
        <v>MH9621C43</v>
      </c>
      <c r="B7435" t="s">
        <v>1006</v>
      </c>
      <c r="C7435">
        <v>159</v>
      </c>
      <c r="D7435">
        <v>172.84</v>
      </c>
      <c r="E7435">
        <v>172.83</v>
      </c>
      <c r="F7435">
        <v>0.01</v>
      </c>
    </row>
    <row r="7436" spans="1:6" x14ac:dyDescent="0.3">
      <c r="A7436" t="str">
        <f>HYPERLINK("https://us2.cloudbeds.com/connect/10074733072513#/reservations/31680246710454?display=MHBDZ5QKB&amp;reservation_id=31680246710454", "MHBDZ5QKB")</f>
        <v>MHBDZ5QKB</v>
      </c>
      <c r="B7436" t="s">
        <v>819</v>
      </c>
      <c r="C7436">
        <v>278</v>
      </c>
      <c r="D7436">
        <v>302.2</v>
      </c>
      <c r="E7436">
        <v>302.19</v>
      </c>
      <c r="F7436">
        <v>0.01</v>
      </c>
    </row>
    <row r="7437" spans="1:6" x14ac:dyDescent="0.3">
      <c r="A7437" t="str">
        <f>HYPERLINK("https://us2.cloudbeds.com/connect/10074733072513#/reservations/31674357616848?display=MH6S8B35B&amp;reservation_id=31674357616848", "MH6S8B35B")</f>
        <v>MH6S8B35B</v>
      </c>
      <c r="B7437" t="s">
        <v>1073</v>
      </c>
      <c r="C7437">
        <v>278</v>
      </c>
      <c r="D7437">
        <v>302.2</v>
      </c>
      <c r="E7437">
        <v>302.19</v>
      </c>
      <c r="F7437">
        <v>0.01</v>
      </c>
    </row>
    <row r="7438" spans="1:6" x14ac:dyDescent="0.3">
      <c r="A7438" t="str">
        <f>HYPERLINK("https://us2.cloudbeds.com/connect/10074733072513#/reservations/31673096601809?display=MH5T10G9D&amp;reservation_id=31673096601809", "MH5T10G9D")</f>
        <v>MH5T10G9D</v>
      </c>
      <c r="B7438" t="s">
        <v>1163</v>
      </c>
      <c r="C7438">
        <v>89</v>
      </c>
      <c r="D7438">
        <v>96.75</v>
      </c>
      <c r="E7438">
        <v>96.74</v>
      </c>
      <c r="F7438">
        <v>0.01</v>
      </c>
    </row>
    <row r="7439" spans="1:6" x14ac:dyDescent="0.3">
      <c r="A7439" t="str">
        <f>HYPERLINK("https://us2.cloudbeds.com/connect/10074733072513#/reservations/31679488778403?display=MHARC27JE&amp;reservation_id=31679488778403", "MHARC27JE")</f>
        <v>MHARC27JE</v>
      </c>
      <c r="B7439" t="s">
        <v>878</v>
      </c>
      <c r="C7439">
        <v>129</v>
      </c>
      <c r="D7439">
        <v>140.22999999999999</v>
      </c>
      <c r="E7439">
        <v>140.22</v>
      </c>
      <c r="F7439">
        <v>0.01</v>
      </c>
    </row>
    <row r="7440" spans="1:6" x14ac:dyDescent="0.3">
      <c r="A7440" t="str">
        <f>HYPERLINK("https://us2.cloudbeds.com/connect/10074733072513#/reservations/31677403283599?display=MH972H8M6&amp;reservation_id=31677403283599", "MH972H8M6")</f>
        <v>MH972H8M6</v>
      </c>
      <c r="B7440" t="s">
        <v>1006</v>
      </c>
      <c r="C7440">
        <v>318</v>
      </c>
      <c r="D7440">
        <v>345.68</v>
      </c>
      <c r="E7440">
        <v>345.67</v>
      </c>
      <c r="F7440">
        <v>0.01</v>
      </c>
    </row>
    <row r="7441" spans="1:6" x14ac:dyDescent="0.3">
      <c r="A7441" t="str">
        <f>HYPERLINK("https://us2.cloudbeds.com/connect/10074733072513#/reservations/31680253456598?display=MHBDTSHDV&amp;reservation_id=31680253456598", "MHBDTSHDV")</f>
        <v>MHBDTSHDV</v>
      </c>
      <c r="B7441" t="s">
        <v>819</v>
      </c>
      <c r="C7441">
        <v>318</v>
      </c>
      <c r="D7441">
        <v>345.68</v>
      </c>
      <c r="E7441">
        <v>345.67</v>
      </c>
      <c r="F7441">
        <v>0.01</v>
      </c>
    </row>
    <row r="7442" spans="1:6" x14ac:dyDescent="0.3">
      <c r="A7442" t="str">
        <f>HYPERLINK("https://us2.cloudbeds.com/connect/10074733072513#/reservations/31675018768569?display=MH7C4RKBW&amp;reservation_id=31675018768569", "MH7C4RKBW")</f>
        <v>MH7C4RKBW</v>
      </c>
      <c r="B7442" t="s">
        <v>1167</v>
      </c>
      <c r="C7442">
        <v>79</v>
      </c>
      <c r="D7442">
        <v>85.88</v>
      </c>
      <c r="E7442">
        <v>85.87</v>
      </c>
      <c r="F7442">
        <v>0.01</v>
      </c>
    </row>
    <row r="7443" spans="1:6" x14ac:dyDescent="0.3">
      <c r="A7443" t="str">
        <f>HYPERLINK("https://us2.cloudbeds.com/connect/10074733072513#/reservations/31674404225160?display=MH6TEY1BD&amp;reservation_id=31674404225160", "MH6TEY1BD")</f>
        <v>MH6TEY1BD</v>
      </c>
      <c r="B7443" t="s">
        <v>1085</v>
      </c>
      <c r="C7443">
        <v>169</v>
      </c>
      <c r="D7443">
        <v>183.71</v>
      </c>
      <c r="E7443">
        <v>183.7</v>
      </c>
      <c r="F7443">
        <v>0.01</v>
      </c>
    </row>
    <row r="7444" spans="1:6" x14ac:dyDescent="0.3">
      <c r="A7444" t="str">
        <f>HYPERLINK("https://us2.cloudbeds.com/connect/10074733072513#/reservations/31674343661774?display=MH6RTXPJA&amp;reservation_id=31674343661774", "MH6RTXPJA")</f>
        <v>MH6RTXPJA</v>
      </c>
      <c r="B7444" t="s">
        <v>1178</v>
      </c>
      <c r="C7444">
        <v>190</v>
      </c>
      <c r="D7444">
        <v>206.54</v>
      </c>
      <c r="E7444">
        <v>206.53</v>
      </c>
      <c r="F7444">
        <v>0.01</v>
      </c>
    </row>
    <row r="7445" spans="1:6" x14ac:dyDescent="0.3">
      <c r="A7445" t="str">
        <f>HYPERLINK("https://us2.cloudbeds.com/connect/10074733072513#/reservations/31674287497377?display=MH6QF6U9T&amp;reservation_id=31674287497377", "MH6QF6U9T")</f>
        <v>MH6QF6U9T</v>
      </c>
      <c r="B7445" t="s">
        <v>1073</v>
      </c>
      <c r="C7445">
        <v>278</v>
      </c>
      <c r="D7445">
        <v>302.2</v>
      </c>
      <c r="E7445">
        <v>302.19</v>
      </c>
      <c r="F7445">
        <v>0.01</v>
      </c>
    </row>
    <row r="7446" spans="1:6" x14ac:dyDescent="0.3">
      <c r="A7446" t="str">
        <f>HYPERLINK("https://us2.cloudbeds.com/connect/10074733072513#/reservations/31674257948913?display=MH6PN9MNT&amp;reservation_id=31674257948913", "MH6PN9MNT")</f>
        <v>MH6PN9MNT</v>
      </c>
      <c r="B7446" t="s">
        <v>1146</v>
      </c>
      <c r="C7446">
        <v>87.84</v>
      </c>
      <c r="D7446">
        <v>95.49</v>
      </c>
      <c r="E7446">
        <v>95.48</v>
      </c>
      <c r="F7446">
        <v>0.01</v>
      </c>
    </row>
    <row r="7447" spans="1:6" x14ac:dyDescent="0.3">
      <c r="A7447" t="str">
        <f>HYPERLINK("https://us2.cloudbeds.com/connect/10074733072513#/reservations/31674251255945?display=MH6PHYEZM&amp;reservation_id=31674251255945", "MH6PHYEZM")</f>
        <v>MH6PHYEZM</v>
      </c>
      <c r="B7447" t="s">
        <v>1146</v>
      </c>
      <c r="C7447">
        <v>139</v>
      </c>
      <c r="D7447">
        <v>151.1</v>
      </c>
      <c r="E7447">
        <v>151.09</v>
      </c>
      <c r="F7447">
        <v>0.01</v>
      </c>
    </row>
    <row r="7448" spans="1:6" x14ac:dyDescent="0.3">
      <c r="A7448" t="str">
        <f>HYPERLINK("https://us2.cloudbeds.com/connect/10074733072513#/reservations/31677562036400?display=MH9B4CQ64&amp;reservation_id=31677562036400", "MH9B4CQ64")</f>
        <v>MH9B4CQ64</v>
      </c>
      <c r="B7448" t="s">
        <v>1006</v>
      </c>
      <c r="C7448">
        <v>179</v>
      </c>
      <c r="D7448">
        <v>194.58</v>
      </c>
      <c r="E7448">
        <v>194.57</v>
      </c>
      <c r="F7448">
        <v>0.01</v>
      </c>
    </row>
    <row r="7449" spans="1:6" x14ac:dyDescent="0.3">
      <c r="A7449" t="str">
        <f>HYPERLINK("https://us2.cloudbeds.com/connect/10074733072513#/reservations/31673228546202?display=MH5WD91BB&amp;reservation_id=31673228546202", "MH5WD91BB")</f>
        <v>MH5WD91BB</v>
      </c>
      <c r="B7449" t="s">
        <v>1178</v>
      </c>
      <c r="C7449">
        <v>218</v>
      </c>
      <c r="D7449">
        <v>236.98</v>
      </c>
      <c r="E7449">
        <v>236.97</v>
      </c>
      <c r="F7449">
        <v>0.01</v>
      </c>
    </row>
    <row r="7450" spans="1:6" x14ac:dyDescent="0.3">
      <c r="A7450" t="str">
        <f>HYPERLINK("https://us2.cloudbeds.com/connect/10074733072513#/reservations/31673251049643?display=MH5WW87YQ&amp;reservation_id=31673251049643", "MH5WW87YQ")</f>
        <v>MH5WW87YQ</v>
      </c>
      <c r="B7450" t="s">
        <v>1178</v>
      </c>
      <c r="C7450">
        <v>218</v>
      </c>
      <c r="D7450">
        <v>236.98</v>
      </c>
      <c r="E7450">
        <v>236.97</v>
      </c>
      <c r="F7450">
        <v>0.01</v>
      </c>
    </row>
    <row r="7451" spans="1:6" x14ac:dyDescent="0.3">
      <c r="A7451" t="str">
        <f>HYPERLINK("https://us2.cloudbeds.com/connect/10074733072513#/reservations/31677382435028?display=MH96HV3WA&amp;reservation_id=31677382435028", "MH96HV3WA")</f>
        <v>MH96HV3WA</v>
      </c>
      <c r="B7451" t="s">
        <v>1006</v>
      </c>
      <c r="C7451">
        <v>318</v>
      </c>
      <c r="D7451">
        <v>345.68</v>
      </c>
      <c r="E7451">
        <v>345.67</v>
      </c>
      <c r="F7451">
        <v>0.01</v>
      </c>
    </row>
    <row r="7452" spans="1:6" x14ac:dyDescent="0.3">
      <c r="A7452" t="str">
        <f>HYPERLINK("https://us2.cloudbeds.com/connect/10074733072513#/reservations/31677299298524?display=MH94DRNUA&amp;reservation_id=31677299298524", "MH94DRNUA")</f>
        <v>MH94DRNUA</v>
      </c>
      <c r="B7452" t="s">
        <v>1172</v>
      </c>
      <c r="C7452">
        <v>298</v>
      </c>
      <c r="D7452">
        <v>323.94</v>
      </c>
      <c r="E7452">
        <v>323.93</v>
      </c>
      <c r="F7452">
        <v>0.01</v>
      </c>
    </row>
    <row r="7453" spans="1:6" x14ac:dyDescent="0.3">
      <c r="A7453" t="str">
        <f>HYPERLINK("https://us2.cloudbeds.com/connect/10074733072513#/reservations/31674281619660?display=MH6QA8BV8&amp;reservation_id=31674281619660", "MH6QA8BV8")</f>
        <v>MH6QA8BV8</v>
      </c>
      <c r="B7453" t="s">
        <v>1146</v>
      </c>
      <c r="C7453">
        <v>89</v>
      </c>
      <c r="D7453">
        <v>96.75</v>
      </c>
      <c r="E7453">
        <v>96.74</v>
      </c>
      <c r="F7453">
        <v>0.01</v>
      </c>
    </row>
    <row r="7454" spans="1:6" x14ac:dyDescent="0.3">
      <c r="A7454" t="str">
        <f>HYPERLINK("https://us2.cloudbeds.com/connect/10074733072513#/reservations/31674376630490?display=MH6SZC5TA&amp;reservation_id=31674376630490", "MH6SZC5TA")</f>
        <v>MH6SZC5TA</v>
      </c>
      <c r="B7454" t="s">
        <v>1073</v>
      </c>
      <c r="C7454">
        <v>159</v>
      </c>
      <c r="D7454">
        <v>172.84</v>
      </c>
      <c r="E7454">
        <v>172.83</v>
      </c>
      <c r="F7454">
        <v>0.01</v>
      </c>
    </row>
    <row r="7455" spans="1:6" x14ac:dyDescent="0.3">
      <c r="A7455" t="str">
        <f>HYPERLINK("https://us2.cloudbeds.com/connect/10074733072513#/reservations/31674364330162?display=MH6SDWTR3&amp;reservation_id=31674364330162", "MH6SDWTR3")</f>
        <v>MH6SDWTR3</v>
      </c>
      <c r="B7455" t="s">
        <v>1073</v>
      </c>
      <c r="C7455">
        <v>179</v>
      </c>
      <c r="D7455">
        <v>194.58</v>
      </c>
      <c r="E7455">
        <v>194.57</v>
      </c>
      <c r="F7455">
        <v>0.01</v>
      </c>
    </row>
    <row r="7456" spans="1:6" x14ac:dyDescent="0.3">
      <c r="A7456" t="str">
        <f>HYPERLINK("https://us2.cloudbeds.com/connect/10074733072513#/reservations/31677221638375?display=MH92EBNYF&amp;reservation_id=31677221638375", "MH92EBNYF")</f>
        <v>MH92EBNYF</v>
      </c>
      <c r="B7456" t="s">
        <v>1172</v>
      </c>
      <c r="C7456">
        <v>278</v>
      </c>
      <c r="D7456">
        <v>302.2</v>
      </c>
      <c r="E7456">
        <v>302.19</v>
      </c>
      <c r="F7456">
        <v>0.01</v>
      </c>
    </row>
    <row r="7457" spans="1:6" x14ac:dyDescent="0.3">
      <c r="A7457" t="str">
        <f>HYPERLINK("https://us2.cloudbeds.com/connect/10074733072513#/reservations/31674265624711?display=MH6PTP96R&amp;reservation_id=31674265624711", "MH6PTP96R")</f>
        <v>MH6PTP96R</v>
      </c>
      <c r="B7457" t="s">
        <v>1146</v>
      </c>
      <c r="C7457">
        <v>139</v>
      </c>
      <c r="D7457">
        <v>151.1</v>
      </c>
      <c r="E7457">
        <v>151.09</v>
      </c>
      <c r="F7457">
        <v>0.01</v>
      </c>
    </row>
    <row r="7458" spans="1:6" x14ac:dyDescent="0.3">
      <c r="A7458" t="str">
        <f>HYPERLINK("https://us2.cloudbeds.com/connect/10074733072513#/reservations/31674271473884?display=MH6Q1N1BG&amp;reservation_id=31674271473884", "MH6Q1N1BG")</f>
        <v>MH6Q1N1BG</v>
      </c>
      <c r="B7458" t="s">
        <v>1146</v>
      </c>
      <c r="C7458">
        <v>149</v>
      </c>
      <c r="D7458">
        <v>161.97</v>
      </c>
      <c r="E7458">
        <v>161.96</v>
      </c>
      <c r="F7458">
        <v>0.01</v>
      </c>
    </row>
    <row r="7459" spans="1:6" x14ac:dyDescent="0.3">
      <c r="A7459" t="str">
        <f>HYPERLINK("https://us2.cloudbeds.com/connect/10074733072513#/reservations/31677576659075?display=MH9BGNMQF&amp;reservation_id=31677576659075", "MH9BGNMQF")</f>
        <v>MH9BGNMQF</v>
      </c>
      <c r="B7459" t="s">
        <v>1179</v>
      </c>
      <c r="C7459">
        <v>169</v>
      </c>
      <c r="D7459">
        <v>183.71</v>
      </c>
      <c r="E7459">
        <v>183.7</v>
      </c>
      <c r="F7459">
        <v>0.01</v>
      </c>
    </row>
    <row r="7460" spans="1:6" x14ac:dyDescent="0.3">
      <c r="A7460" t="str">
        <f>HYPERLINK("https://us2.cloudbeds.com/connect/10074733072513#/reservations/31675241111801?display=MH7HRAY9M&amp;reservation_id=31675241111801", "MH7HRAY9M")</f>
        <v>MH7HRAY9M</v>
      </c>
      <c r="B7460" t="s">
        <v>1180</v>
      </c>
      <c r="C7460">
        <v>139</v>
      </c>
      <c r="D7460">
        <v>151.1</v>
      </c>
      <c r="E7460">
        <v>151.09</v>
      </c>
      <c r="F7460">
        <v>0.01</v>
      </c>
    </row>
    <row r="7461" spans="1:6" x14ac:dyDescent="0.3">
      <c r="A7461" t="str">
        <f>HYPERLINK("https://us2.cloudbeds.com/connect/10074733072513#/reservations/31675497558145?display=MH7ZCXY70&amp;reservation_id=31675497558145", "MH7ZCXY70")</f>
        <v>MH7ZCXY70</v>
      </c>
      <c r="B7461" t="s">
        <v>1176</v>
      </c>
      <c r="C7461">
        <v>139</v>
      </c>
      <c r="D7461">
        <v>151.1</v>
      </c>
      <c r="E7461">
        <v>151.09</v>
      </c>
      <c r="F7461">
        <v>0.01</v>
      </c>
    </row>
    <row r="7462" spans="1:6" x14ac:dyDescent="0.3">
      <c r="A7462" t="str">
        <f>HYPERLINK("https://us2.cloudbeds.com/connect/10074733072513#/reservations/31675518042321?display=MH7ZTRY9K&amp;reservation_id=31675518042321", "MH7ZTRY9K")</f>
        <v>MH7ZTRY9K</v>
      </c>
      <c r="B7462" t="s">
        <v>1176</v>
      </c>
      <c r="C7462">
        <v>109</v>
      </c>
      <c r="D7462">
        <v>118.49</v>
      </c>
      <c r="E7462">
        <v>118.48</v>
      </c>
      <c r="F7462">
        <v>0.01</v>
      </c>
    </row>
    <row r="7463" spans="1:6" x14ac:dyDescent="0.3">
      <c r="A7463" t="str">
        <f>HYPERLINK("https://us2.cloudbeds.com/connect/10074733072513#/reservations/31673151348940?display=MH5UE5U4C&amp;reservation_id=31673151348940", "MH5UE5U4C")</f>
        <v>MH5UE5U4C</v>
      </c>
      <c r="B7463" t="s">
        <v>1176</v>
      </c>
      <c r="C7463">
        <v>73</v>
      </c>
      <c r="D7463">
        <v>79.36</v>
      </c>
      <c r="E7463">
        <v>79.349999999999994</v>
      </c>
      <c r="F7463">
        <v>0.01</v>
      </c>
    </row>
    <row r="7464" spans="1:6" x14ac:dyDescent="0.3">
      <c r="A7464" t="str">
        <f>HYPERLINK("https://us2.cloudbeds.com/connect/10074733072513#/reservations/31677203095714?display=MH91VNZDY&amp;reservation_id=31677203095714", "MH91VNZDY")</f>
        <v>MH91VNZDY</v>
      </c>
      <c r="B7464" t="s">
        <v>1172</v>
      </c>
      <c r="C7464">
        <v>139</v>
      </c>
      <c r="D7464">
        <v>151.1</v>
      </c>
      <c r="E7464">
        <v>151.09</v>
      </c>
      <c r="F7464">
        <v>0.01</v>
      </c>
    </row>
    <row r="7465" spans="1:6" x14ac:dyDescent="0.3">
      <c r="A7465" t="str">
        <f>HYPERLINK("https://us2.cloudbeds.com/connect/10074733072513#/reservations/31677244649708?display=MH930P1BJ&amp;reservation_id=31677244649708", "MH930P1BJ")</f>
        <v>MH930P1BJ</v>
      </c>
      <c r="B7465" t="s">
        <v>1172</v>
      </c>
      <c r="C7465">
        <v>139</v>
      </c>
      <c r="D7465">
        <v>151.1</v>
      </c>
      <c r="E7465">
        <v>151.09</v>
      </c>
      <c r="F7465">
        <v>0.01</v>
      </c>
    </row>
    <row r="7466" spans="1:6" x14ac:dyDescent="0.3">
      <c r="A7466" t="str">
        <f>HYPERLINK("https://us2.cloudbeds.com/connect/10074733072513#/reservations/31675490013400?display=MH7Z66N2C&amp;reservation_id=31675490013400", "MH7Z66N2C")</f>
        <v>MH7Z66N2C</v>
      </c>
      <c r="B7466" t="s">
        <v>1171</v>
      </c>
      <c r="C7466">
        <v>156.72</v>
      </c>
      <c r="D7466">
        <v>170.36</v>
      </c>
      <c r="E7466">
        <v>170.35</v>
      </c>
      <c r="F7466">
        <v>0.01</v>
      </c>
    </row>
    <row r="7467" spans="1:6" x14ac:dyDescent="0.3">
      <c r="A7467" t="str">
        <f>HYPERLINK("https://us2.cloudbeds.com/connect/10074733072513#/reservations/31675373805753?display=MH7Y771YH&amp;reservation_id=31675373805753", "MH7Y771YH")</f>
        <v>MH7Y771YH</v>
      </c>
      <c r="B7467" t="s">
        <v>1108</v>
      </c>
      <c r="C7467">
        <v>159</v>
      </c>
      <c r="D7467">
        <v>172.84</v>
      </c>
      <c r="E7467">
        <v>172.83</v>
      </c>
      <c r="F7467">
        <v>0.01</v>
      </c>
    </row>
    <row r="7468" spans="1:6" x14ac:dyDescent="0.3">
      <c r="A7468" t="str">
        <f>HYPERLINK("https://us2.cloudbeds.com/connect/10074733072513#/reservations/31674605908123?display=MH71JN5GC&amp;reservation_id=31674605908123", "MH71JN5GC")</f>
        <v>MH71JN5GC</v>
      </c>
      <c r="B7468" t="s">
        <v>1147</v>
      </c>
      <c r="C7468">
        <v>159</v>
      </c>
      <c r="D7468">
        <v>172.84</v>
      </c>
      <c r="E7468">
        <v>172.83</v>
      </c>
      <c r="F7468">
        <v>0.01</v>
      </c>
    </row>
    <row r="7469" spans="1:6" x14ac:dyDescent="0.3">
      <c r="A7469" t="str">
        <f>HYPERLINK("https://us2.cloudbeds.com/connect/10074733072513#/reservations/31676750307466?display=MH8NCU7TY&amp;reservation_id=31676750307466", "MH8NCU7TY")</f>
        <v>MH8NCU7TY</v>
      </c>
      <c r="B7469" t="s">
        <v>1147</v>
      </c>
      <c r="C7469">
        <v>258</v>
      </c>
      <c r="D7469">
        <v>280.45999999999998</v>
      </c>
      <c r="E7469">
        <v>280.45</v>
      </c>
      <c r="F7469">
        <v>0.01</v>
      </c>
    </row>
    <row r="7470" spans="1:6" x14ac:dyDescent="0.3">
      <c r="A7470" t="str">
        <f>HYPERLINK("https://us2.cloudbeds.com/connect/10074733072513#/reservations/31678669193460?display=MHA6DW2B2&amp;reservation_id=31678669193460", "MHA6DW2B2")</f>
        <v>MHA6DW2B2</v>
      </c>
      <c r="B7470" t="s">
        <v>1172</v>
      </c>
      <c r="C7470">
        <v>149</v>
      </c>
      <c r="D7470">
        <v>161.97</v>
      </c>
      <c r="E7470">
        <v>161.96</v>
      </c>
      <c r="F7470">
        <v>0.01</v>
      </c>
    </row>
    <row r="7471" spans="1:6" x14ac:dyDescent="0.3">
      <c r="A7471" t="str">
        <f>HYPERLINK("https://us2.cloudbeds.com/connect/10074733072513#/reservations/31676634194145?display=MH8KE0735&amp;reservation_id=31676634194145", "MH8KE0735")</f>
        <v>MH8KE0735</v>
      </c>
      <c r="B7471" t="s">
        <v>1147</v>
      </c>
      <c r="C7471">
        <v>211.88</v>
      </c>
      <c r="D7471">
        <v>230.32</v>
      </c>
      <c r="E7471">
        <v>230.31</v>
      </c>
      <c r="F7471">
        <v>0.01</v>
      </c>
    </row>
    <row r="7472" spans="1:6" x14ac:dyDescent="0.3">
      <c r="A7472" t="str">
        <f>HYPERLINK("https://us2.cloudbeds.com/connect/10074733072513#/reservations/31678711402628?display=MHA7GXJTP&amp;reservation_id=31678711402628", "MHA7GXJTP")</f>
        <v>MHA7GXJTP</v>
      </c>
      <c r="B7472" t="s">
        <v>1172</v>
      </c>
      <c r="C7472">
        <v>298</v>
      </c>
      <c r="D7472">
        <v>323.94</v>
      </c>
      <c r="E7472">
        <v>323.93</v>
      </c>
      <c r="F7472">
        <v>0.01</v>
      </c>
    </row>
    <row r="7473" spans="1:6" x14ac:dyDescent="0.3">
      <c r="A7473" t="str">
        <f>HYPERLINK("https://us2.cloudbeds.com/connect/10074733072513#/reservations/31675410731143?display=MH7M5BX8Z&amp;reservation_id=31675410731143", "MH7M5BX8Z")</f>
        <v>MH7M5BX8Z</v>
      </c>
      <c r="B7473" t="s">
        <v>1171</v>
      </c>
      <c r="C7473">
        <v>129</v>
      </c>
      <c r="D7473">
        <v>140.22999999999999</v>
      </c>
      <c r="E7473">
        <v>140.22</v>
      </c>
      <c r="F7473">
        <v>0.01</v>
      </c>
    </row>
    <row r="7474" spans="1:6" x14ac:dyDescent="0.3">
      <c r="A7474" t="str">
        <f>HYPERLINK("https://us2.cloudbeds.com/connect/10074733072513#/reservations/31674523529380?display=MH6WG7S8R&amp;reservation_id=31674523529380", "MH6WG7S8R")</f>
        <v>MH6WG7S8R</v>
      </c>
      <c r="B7474" t="s">
        <v>1185</v>
      </c>
      <c r="C7474">
        <v>158</v>
      </c>
      <c r="D7474">
        <v>171.76</v>
      </c>
      <c r="E7474">
        <v>171.75</v>
      </c>
      <c r="F7474">
        <v>0.01</v>
      </c>
    </row>
    <row r="7475" spans="1:6" x14ac:dyDescent="0.3">
      <c r="A7475" t="str">
        <f>HYPERLINK("https://us2.cloudbeds.com/connect/10074733072513#/reservations/31674535682237?display=MH6WQG0U7&amp;reservation_id=31674535682237", "MH6WQG0U7")</f>
        <v>MH6WQG0U7</v>
      </c>
      <c r="B7475" t="s">
        <v>1185</v>
      </c>
      <c r="C7475">
        <v>158</v>
      </c>
      <c r="D7475">
        <v>171.76</v>
      </c>
      <c r="E7475">
        <v>171.75</v>
      </c>
      <c r="F7475">
        <v>0.01</v>
      </c>
    </row>
    <row r="7476" spans="1:6" x14ac:dyDescent="0.3">
      <c r="A7476" t="str">
        <f>HYPERLINK("https://us2.cloudbeds.com/connect/10074733072513#/reservations/31675504881870?display=MH7ZXZED2&amp;reservation_id=31675504881870", "MH7ZXZED2")</f>
        <v>MH7ZXZED2</v>
      </c>
      <c r="B7476" t="s">
        <v>1171</v>
      </c>
      <c r="C7476">
        <v>258</v>
      </c>
      <c r="D7476">
        <v>280.45999999999998</v>
      </c>
      <c r="E7476">
        <v>280.45</v>
      </c>
      <c r="F7476">
        <v>0.01</v>
      </c>
    </row>
    <row r="7477" spans="1:6" x14ac:dyDescent="0.3">
      <c r="A7477" t="str">
        <f>HYPERLINK("https://us2.cloudbeds.com/connect/10074733072513#/reservations/31676377706712?display=MH8DSZ2EN&amp;reservation_id=31676377706712", "MH8DSZ2EN")</f>
        <v>MH8DSZ2EN</v>
      </c>
      <c r="B7477" t="s">
        <v>1185</v>
      </c>
      <c r="C7477">
        <v>109</v>
      </c>
      <c r="D7477">
        <v>118.49</v>
      </c>
      <c r="E7477">
        <v>118.48</v>
      </c>
      <c r="F7477">
        <v>0.01</v>
      </c>
    </row>
    <row r="7478" spans="1:6" x14ac:dyDescent="0.3">
      <c r="A7478" t="str">
        <f>HYPERLINK("https://us2.cloudbeds.com/connect/10074733072513#/reservations/31674560323734?display=MH70E8NX8&amp;reservation_id=31674560323734", "MH70E8NX8")</f>
        <v>MH70E8NX8</v>
      </c>
      <c r="B7478" t="s">
        <v>1185</v>
      </c>
      <c r="C7478">
        <v>109</v>
      </c>
      <c r="D7478">
        <v>118.49</v>
      </c>
      <c r="E7478">
        <v>118.48</v>
      </c>
      <c r="F7478">
        <v>0.01</v>
      </c>
    </row>
    <row r="7479" spans="1:6" x14ac:dyDescent="0.3">
      <c r="A7479" t="str">
        <f>HYPERLINK("https://us2.cloudbeds.com/connect/10074733072513#/reservations/31674540462236?display=MH6WUH18M&amp;reservation_id=31674540462236", "MH6WUH18M")</f>
        <v>MH6WUH18M</v>
      </c>
      <c r="B7479" t="s">
        <v>1185</v>
      </c>
      <c r="C7479">
        <v>158</v>
      </c>
      <c r="D7479">
        <v>171.76</v>
      </c>
      <c r="E7479">
        <v>171.75</v>
      </c>
      <c r="F7479">
        <v>0.01</v>
      </c>
    </row>
    <row r="7480" spans="1:6" x14ac:dyDescent="0.3">
      <c r="A7480" t="str">
        <f>HYPERLINK("https://us2.cloudbeds.com/connect/10074733072513#/reservations/31678141296801?display=MH9PURXZK&amp;reservation_id=31678141296801", "MH9PURXZK")</f>
        <v>MH9PURXZK</v>
      </c>
      <c r="B7480" t="s">
        <v>1070</v>
      </c>
      <c r="C7480">
        <v>338</v>
      </c>
      <c r="D7480">
        <v>367.42</v>
      </c>
      <c r="E7480">
        <v>367.41</v>
      </c>
      <c r="F7480">
        <v>0.01</v>
      </c>
    </row>
    <row r="7481" spans="1:6" x14ac:dyDescent="0.3">
      <c r="A7481" t="str">
        <f>HYPERLINK("https://us2.cloudbeds.com/connect/10074733072513#/reservations/31676397265151?display=MH8EC7AEM&amp;reservation_id=31676397265151", "MH8EC7AEM")</f>
        <v>MH8EC7AEM</v>
      </c>
      <c r="B7481" t="s">
        <v>1185</v>
      </c>
      <c r="C7481">
        <v>109</v>
      </c>
      <c r="D7481">
        <v>118.49</v>
      </c>
      <c r="E7481">
        <v>118.48</v>
      </c>
      <c r="F7481">
        <v>0.01</v>
      </c>
    </row>
    <row r="7482" spans="1:6" x14ac:dyDescent="0.3">
      <c r="A7482" t="str">
        <f>HYPERLINK("https://us2.cloudbeds.com/connect/10074733072513#/reservations/31676764713214?display=MH8NP23AF&amp;reservation_id=31676764713214", "MH8NP23AF")</f>
        <v>MH8NP23AF</v>
      </c>
      <c r="B7482" t="s">
        <v>1147</v>
      </c>
      <c r="C7482">
        <v>129</v>
      </c>
      <c r="D7482">
        <v>140.22999999999999</v>
      </c>
      <c r="E7482">
        <v>140.22</v>
      </c>
      <c r="F7482">
        <v>0.01</v>
      </c>
    </row>
    <row r="7483" spans="1:6" x14ac:dyDescent="0.3">
      <c r="A7483" t="str">
        <f>HYPERLINK("https://us2.cloudbeds.com/connect/10074733072513#/reservations/31684270592195?display=MHEHX785M&amp;reservation_id=31684270592195", "MHEHX785M")</f>
        <v>MHEHX785M</v>
      </c>
      <c r="B7483" t="s">
        <v>1187</v>
      </c>
      <c r="C7483">
        <v>170</v>
      </c>
      <c r="D7483">
        <v>184.8</v>
      </c>
      <c r="E7483">
        <v>184.79</v>
      </c>
      <c r="F7483">
        <v>0.01</v>
      </c>
    </row>
    <row r="7484" spans="1:6" x14ac:dyDescent="0.3">
      <c r="A7484" t="str">
        <f>HYPERLINK("https://us2.cloudbeds.com/connect/10074733072513#/reservations/31678972534982?display=MHAE5ZWSC&amp;reservation_id=31678972534982", "MHAE5ZWSC")</f>
        <v>MHAE5ZWSC</v>
      </c>
      <c r="B7484" t="s">
        <v>1188</v>
      </c>
      <c r="C7484">
        <v>278</v>
      </c>
      <c r="D7484">
        <v>302.2</v>
      </c>
      <c r="E7484">
        <v>302.19</v>
      </c>
      <c r="F7484">
        <v>0.01</v>
      </c>
    </row>
    <row r="7485" spans="1:6" x14ac:dyDescent="0.3">
      <c r="A7485" t="str">
        <f>HYPERLINK("https://us2.cloudbeds.com/connect/10074733072513#/reservations/31678448955550?display=MHA0Q8KM0&amp;reservation_id=31678448955550", "MHA0Q8KM0")</f>
        <v>MHA0Q8KM0</v>
      </c>
      <c r="B7485" t="s">
        <v>925</v>
      </c>
      <c r="C7485">
        <v>159</v>
      </c>
      <c r="D7485">
        <v>172.84</v>
      </c>
      <c r="E7485">
        <v>172.83</v>
      </c>
      <c r="F7485">
        <v>0.01</v>
      </c>
    </row>
    <row r="7486" spans="1:6" x14ac:dyDescent="0.3">
      <c r="A7486" t="str">
        <f>HYPERLINK("https://us2.cloudbeds.com/connect/10074733072513#/reservations/31676553625741?display=MH8XC298C&amp;reservation_id=31676553625741", "MH8XC298C")</f>
        <v>MH8XC298C</v>
      </c>
      <c r="B7486" t="s">
        <v>1110</v>
      </c>
      <c r="C7486">
        <v>141.55000000000001</v>
      </c>
      <c r="D7486">
        <v>153.87</v>
      </c>
      <c r="E7486">
        <v>153.86000000000001</v>
      </c>
      <c r="F7486">
        <v>0.01</v>
      </c>
    </row>
    <row r="7487" spans="1:6" x14ac:dyDescent="0.3">
      <c r="A7487" t="str">
        <f>HYPERLINK("https://us2.cloudbeds.com/connect/10074733072513#/reservations/31676530569351?display=MH8HPKN5T&amp;reservation_id=31676530569351", "MH8HPKN5T")</f>
        <v>MH8HPKN5T</v>
      </c>
      <c r="B7487" t="s">
        <v>1110</v>
      </c>
      <c r="C7487">
        <v>119</v>
      </c>
      <c r="D7487">
        <v>129.36000000000001</v>
      </c>
      <c r="E7487">
        <v>129.35</v>
      </c>
      <c r="F7487">
        <v>0.01</v>
      </c>
    </row>
    <row r="7488" spans="1:6" x14ac:dyDescent="0.3">
      <c r="A7488" t="str">
        <f>HYPERLINK("https://us2.cloudbeds.com/connect/10074733072513#/reservations/31676403994771?display=MH8EHTJ2X&amp;reservation_id=31676403994771", "MH8EHTJ2X")</f>
        <v>MH8EHTJ2X</v>
      </c>
      <c r="B7488" t="s">
        <v>1185</v>
      </c>
      <c r="C7488">
        <v>73</v>
      </c>
      <c r="D7488">
        <v>79.36</v>
      </c>
      <c r="E7488">
        <v>79.349999999999994</v>
      </c>
      <c r="F7488">
        <v>0.01</v>
      </c>
    </row>
    <row r="7489" spans="1:6" x14ac:dyDescent="0.3">
      <c r="A7489" t="str">
        <f>HYPERLINK("https://us2.cloudbeds.com/connect/10074733072513#/reservations/31675757994188?display=MH7V15YPA&amp;reservation_id=31675757994188", "MH7V15YPA")</f>
        <v>MH7V15YPA</v>
      </c>
      <c r="B7489" t="s">
        <v>1034</v>
      </c>
      <c r="C7489">
        <v>149</v>
      </c>
      <c r="D7489">
        <v>161.97</v>
      </c>
      <c r="E7489">
        <v>161.96</v>
      </c>
      <c r="F7489">
        <v>0.01</v>
      </c>
    </row>
    <row r="7490" spans="1:6" x14ac:dyDescent="0.3">
      <c r="A7490" t="str">
        <f>HYPERLINK("https://us2.cloudbeds.com/connect/10074733072513#/reservations/31675772027033?display=MH7VD04P0&amp;reservation_id=31675772027033", "MH7VD04P0")</f>
        <v>MH7VD04P0</v>
      </c>
      <c r="B7490" t="s">
        <v>1034</v>
      </c>
      <c r="C7490">
        <v>79</v>
      </c>
      <c r="D7490">
        <v>85.88</v>
      </c>
      <c r="E7490">
        <v>85.87</v>
      </c>
      <c r="F7490">
        <v>0.01</v>
      </c>
    </row>
    <row r="7491" spans="1:6" x14ac:dyDescent="0.3">
      <c r="A7491" t="str">
        <f>HYPERLINK("https://us2.cloudbeds.com/connect/10074733072513#/reservations/31676332863649?display=MH8CNU880&amp;reservation_id=31676332863649", "MH8CNU880")</f>
        <v>MH8CNU880</v>
      </c>
      <c r="B7491" t="s">
        <v>1189</v>
      </c>
      <c r="C7491">
        <v>109</v>
      </c>
      <c r="D7491">
        <v>118.49</v>
      </c>
      <c r="E7491">
        <v>118.48</v>
      </c>
      <c r="F7491">
        <v>0.01</v>
      </c>
    </row>
    <row r="7492" spans="1:6" x14ac:dyDescent="0.3">
      <c r="A7492" t="str">
        <f>HYPERLINK("https://us2.cloudbeds.com/connect/10074733072513#/reservations/31675511578789?display=MH7ZZCQ00&amp;reservation_id=31675511578789", "MH7ZZCQ00")</f>
        <v>MH7ZZCQ00</v>
      </c>
      <c r="B7492" t="s">
        <v>1171</v>
      </c>
      <c r="C7492">
        <v>139</v>
      </c>
      <c r="D7492">
        <v>151.1</v>
      </c>
      <c r="E7492">
        <v>151.09</v>
      </c>
      <c r="F7492">
        <v>0.01</v>
      </c>
    </row>
    <row r="7493" spans="1:6" x14ac:dyDescent="0.3">
      <c r="A7493" t="str">
        <f>HYPERLINK("https://us2.cloudbeds.com/connect/10074733072513#/reservations/31674052239514?display=MH6KERH6Z&amp;reservation_id=31674052239514", "MH6KERH6Z")</f>
        <v>MH6KERH6Z</v>
      </c>
      <c r="B7493" t="s">
        <v>1158</v>
      </c>
      <c r="C7493">
        <v>159</v>
      </c>
      <c r="D7493">
        <v>172.84</v>
      </c>
      <c r="E7493">
        <v>172.83</v>
      </c>
      <c r="F7493">
        <v>0.01</v>
      </c>
    </row>
    <row r="7494" spans="1:6" x14ac:dyDescent="0.3">
      <c r="A7494" t="str">
        <f>HYPERLINK("https://us2.cloudbeds.com/connect/10074733072513#/reservations/31675752329392?display=MH7UTD0UR&amp;reservation_id=31675752329392", "MH7UTD0UR")</f>
        <v>MH7UTD0UR</v>
      </c>
      <c r="B7494" t="s">
        <v>1034</v>
      </c>
      <c r="C7494">
        <v>79</v>
      </c>
      <c r="D7494">
        <v>85.88</v>
      </c>
      <c r="E7494">
        <v>85.87</v>
      </c>
      <c r="F7494">
        <v>0.01</v>
      </c>
    </row>
    <row r="7495" spans="1:6" x14ac:dyDescent="0.3">
      <c r="A7495" t="str">
        <f>HYPERLINK("https://us2.cloudbeds.com/connect/10074733072513#/reservations/31674031182038?display=MH6JU2XMB&amp;reservation_id=31674031182038", "MH6JU2XMB")</f>
        <v>MH6JU2XMB</v>
      </c>
      <c r="B7495" t="s">
        <v>1158</v>
      </c>
      <c r="C7495">
        <v>87.84</v>
      </c>
      <c r="D7495">
        <v>95.49</v>
      </c>
      <c r="E7495">
        <v>95.48</v>
      </c>
      <c r="F7495">
        <v>0.01</v>
      </c>
    </row>
    <row r="7496" spans="1:6" x14ac:dyDescent="0.3">
      <c r="A7496" t="str">
        <f>HYPERLINK("https://us2.cloudbeds.com/connect/10074733072513#/reservations/31675840762000?display=MH804VQ8R&amp;reservation_id=31675840762000", "MH804VQ8R")</f>
        <v>MH804VQ8R</v>
      </c>
      <c r="B7496" t="s">
        <v>1124</v>
      </c>
      <c r="C7496">
        <v>109</v>
      </c>
      <c r="D7496">
        <v>118.49</v>
      </c>
      <c r="E7496">
        <v>118.48</v>
      </c>
      <c r="F7496">
        <v>0.01</v>
      </c>
    </row>
    <row r="7497" spans="1:6" x14ac:dyDescent="0.3">
      <c r="A7497" t="str">
        <f>HYPERLINK("https://us2.cloudbeds.com/connect/10074733072513#/reservations/31676813516990?display=MH8P074HP&amp;reservation_id=31676813516990", "MH8P074HP")</f>
        <v>MH8P074HP</v>
      </c>
      <c r="B7497" t="s">
        <v>1147</v>
      </c>
      <c r="C7497">
        <v>149</v>
      </c>
      <c r="D7497">
        <v>161.97</v>
      </c>
      <c r="E7497">
        <v>161.96</v>
      </c>
      <c r="F7497">
        <v>0.01</v>
      </c>
    </row>
    <row r="7498" spans="1:6" x14ac:dyDescent="0.3">
      <c r="A7498" t="str">
        <f>HYPERLINK("https://us2.cloudbeds.com/connect/10074733072513#/reservations/31678909964471?display=MHACXWT0A&amp;reservation_id=31678909964471", "MHACXWT0A")</f>
        <v>MHACXWT0A</v>
      </c>
      <c r="B7498" t="s">
        <v>1144</v>
      </c>
      <c r="C7498">
        <v>189</v>
      </c>
      <c r="D7498">
        <v>205.45</v>
      </c>
      <c r="E7498">
        <v>205.44</v>
      </c>
      <c r="F7498">
        <v>0.01</v>
      </c>
    </row>
    <row r="7499" spans="1:6" x14ac:dyDescent="0.3">
      <c r="A7499" t="str">
        <f>HYPERLINK("https://us2.cloudbeds.com/connect/10074733072513#/reservations/31674076319961?display=MH6Y24JY8&amp;reservation_id=31674076319961", "MH6Y24JY8")</f>
        <v>MH6Y24JY8</v>
      </c>
      <c r="B7499" t="s">
        <v>1158</v>
      </c>
      <c r="C7499">
        <v>139</v>
      </c>
      <c r="D7499">
        <v>151.1</v>
      </c>
      <c r="E7499">
        <v>151.09</v>
      </c>
      <c r="F7499">
        <v>0.01</v>
      </c>
    </row>
    <row r="7500" spans="1:6" x14ac:dyDescent="0.3">
      <c r="A7500" t="str">
        <f>HYPERLINK("https://us2.cloudbeds.com/connect/10074733072513#/reservations/31678643597511?display=MHA5PCR88&amp;reservation_id=31678643597511", "MHA5PCR88")</f>
        <v>MHA5PCR88</v>
      </c>
      <c r="B7500" t="s">
        <v>1172</v>
      </c>
      <c r="C7500">
        <v>298</v>
      </c>
      <c r="D7500">
        <v>323.94</v>
      </c>
      <c r="E7500">
        <v>323.93</v>
      </c>
      <c r="F7500">
        <v>0.01</v>
      </c>
    </row>
    <row r="7501" spans="1:6" x14ac:dyDescent="0.3">
      <c r="A7501" t="str">
        <f>HYPERLINK("https://us2.cloudbeds.com/connect/10074733072513#/reservations/31673806958804?display=MH6E607CV&amp;reservation_id=31673806958804", "MH6E607CV")</f>
        <v>MH6E607CV</v>
      </c>
      <c r="B7501" t="s">
        <v>1124</v>
      </c>
      <c r="C7501">
        <v>109</v>
      </c>
      <c r="D7501">
        <v>118.49</v>
      </c>
      <c r="E7501">
        <v>118.48</v>
      </c>
      <c r="F7501">
        <v>0.01</v>
      </c>
    </row>
    <row r="7502" spans="1:6" x14ac:dyDescent="0.3">
      <c r="A7502" t="str">
        <f>HYPERLINK("https://us2.cloudbeds.com/connect/10074733072513#/reservations/31673870717063?display=MH6FQPCUD&amp;reservation_id=31673870717063", "MH6FQPCUD")</f>
        <v>MH6FQPCUD</v>
      </c>
      <c r="B7502" t="s">
        <v>1124</v>
      </c>
      <c r="C7502">
        <v>238</v>
      </c>
      <c r="D7502">
        <v>258.72000000000003</v>
      </c>
      <c r="E7502">
        <v>258.70999999999998</v>
      </c>
      <c r="F7502">
        <v>0.01</v>
      </c>
    </row>
    <row r="7503" spans="1:6" x14ac:dyDescent="0.3">
      <c r="A7503" t="str">
        <f>HYPERLINK("https://us2.cloudbeds.com/connect/10074733072513#/reservations/31676758925510?display=MH8NK61KG&amp;reservation_id=31676758925510", "MH8NK61KG")</f>
        <v>MH8NK61KG</v>
      </c>
      <c r="B7503" t="s">
        <v>957</v>
      </c>
      <c r="C7503">
        <v>258</v>
      </c>
      <c r="D7503">
        <v>280.45999999999998</v>
      </c>
      <c r="E7503">
        <v>280.45</v>
      </c>
      <c r="F7503">
        <v>0.01</v>
      </c>
    </row>
    <row r="7504" spans="1:6" x14ac:dyDescent="0.3">
      <c r="A7504" t="str">
        <f>HYPERLINK("https://us2.cloudbeds.com/connect/10074733072513#/reservations/31676843143420?display=MH8PP6HNB&amp;reservation_id=31676843143420", "MH8PP6HNB")</f>
        <v>MH8PP6HNB</v>
      </c>
      <c r="B7504" t="s">
        <v>1141</v>
      </c>
      <c r="C7504">
        <v>229.1</v>
      </c>
      <c r="D7504">
        <v>249.04</v>
      </c>
      <c r="E7504">
        <v>249.03</v>
      </c>
      <c r="F7504">
        <v>0.01</v>
      </c>
    </row>
    <row r="7505" spans="1:6" x14ac:dyDescent="0.3">
      <c r="A7505" t="str">
        <f>HYPERLINK("https://us2.cloudbeds.com/connect/10074733072513#/reservations/31674063859916?display=MH6KZKSU4&amp;reservation_id=31674063859916", "MH6KZKSU4")</f>
        <v>MH6KZKSU4</v>
      </c>
      <c r="B7505" t="s">
        <v>1158</v>
      </c>
      <c r="C7505">
        <v>139</v>
      </c>
      <c r="D7505">
        <v>151.1</v>
      </c>
      <c r="E7505">
        <v>151.09</v>
      </c>
      <c r="F7505">
        <v>0.01</v>
      </c>
    </row>
    <row r="7506" spans="1:6" x14ac:dyDescent="0.3">
      <c r="A7506" t="str">
        <f>HYPERLINK("https://us2.cloudbeds.com/connect/10074733072513#/reservations/31675829702880?display=MH7WSY1VW&amp;reservation_id=31675829702880", "MH7WSY1VW")</f>
        <v>MH7WSY1VW</v>
      </c>
      <c r="B7506" t="s">
        <v>957</v>
      </c>
      <c r="C7506">
        <v>159</v>
      </c>
      <c r="D7506">
        <v>172.84</v>
      </c>
      <c r="E7506">
        <v>172.83</v>
      </c>
      <c r="F7506">
        <v>0.01</v>
      </c>
    </row>
    <row r="7507" spans="1:6" x14ac:dyDescent="0.3">
      <c r="A7507" t="str">
        <f>HYPERLINK("https://us2.cloudbeds.com/connect/10074733072513#/reservations/31673320612000?display=MH61ZTTV0&amp;reservation_id=31673320612000", "MH61ZTTV0")</f>
        <v>MH61ZTTV0</v>
      </c>
      <c r="B7507" t="s">
        <v>1157</v>
      </c>
      <c r="C7507">
        <v>73</v>
      </c>
      <c r="D7507">
        <v>79.36</v>
      </c>
      <c r="E7507">
        <v>79.349999999999994</v>
      </c>
      <c r="F7507">
        <v>0.01</v>
      </c>
    </row>
    <row r="7508" spans="1:6" x14ac:dyDescent="0.3">
      <c r="A7508" t="str">
        <f>HYPERLINK("https://us2.cloudbeds.com/connect/10074733072513#/reservations/31677115453678?display=MH8WNQW1C&amp;reservation_id=31677115453678", "MH8WNQW1C")</f>
        <v>MH8WNQW1C</v>
      </c>
      <c r="B7508" t="s">
        <v>1158</v>
      </c>
      <c r="C7508">
        <v>179</v>
      </c>
      <c r="D7508">
        <v>194.58</v>
      </c>
      <c r="E7508">
        <v>194.57</v>
      </c>
      <c r="F7508">
        <v>0.01</v>
      </c>
    </row>
    <row r="7509" spans="1:6" x14ac:dyDescent="0.3">
      <c r="A7509" t="str">
        <f>HYPERLINK("https://us2.cloudbeds.com/connect/10074733072513#/reservations/31677089784021?display=MH8W25M8W&amp;reservation_id=31677089784021", "MH8W25M8W")</f>
        <v>MH8W25M8W</v>
      </c>
      <c r="B7509" t="s">
        <v>1158</v>
      </c>
      <c r="C7509">
        <v>149</v>
      </c>
      <c r="D7509">
        <v>161.97</v>
      </c>
      <c r="E7509">
        <v>161.96</v>
      </c>
      <c r="F7509">
        <v>0.01</v>
      </c>
    </row>
    <row r="7510" spans="1:6" x14ac:dyDescent="0.3">
      <c r="A7510" t="str">
        <f>HYPERLINK("https://us2.cloudbeds.com/connect/10074733072513#/reservations/31675838517429?display=MH8032B4H&amp;reservation_id=31675838517429", "MH8032B4H")</f>
        <v>MH8032B4H</v>
      </c>
      <c r="B7510" t="s">
        <v>957</v>
      </c>
      <c r="C7510">
        <v>129</v>
      </c>
      <c r="D7510">
        <v>140.22999999999999</v>
      </c>
      <c r="E7510">
        <v>140.22</v>
      </c>
      <c r="F7510">
        <v>0.01</v>
      </c>
    </row>
    <row r="7511" spans="1:6" x14ac:dyDescent="0.3">
      <c r="A7511" t="str">
        <f>HYPERLINK("https://us2.cloudbeds.com/connect/10074733072513#/reservations/31676959797458?display=MH8SZXK17&amp;reservation_id=31676959797458", "MH8SZXK17")</f>
        <v>MH8SZXK17</v>
      </c>
      <c r="B7511" t="s">
        <v>957</v>
      </c>
      <c r="C7511">
        <v>258</v>
      </c>
      <c r="D7511">
        <v>280.45999999999998</v>
      </c>
      <c r="E7511">
        <v>280.45</v>
      </c>
      <c r="F7511">
        <v>0.01</v>
      </c>
    </row>
    <row r="7512" spans="1:6" x14ac:dyDescent="0.3">
      <c r="A7512" t="str">
        <f>HYPERLINK("https://us2.cloudbeds.com/connect/10074733072513#/reservations/31673314541765?display=MH61JPWQG&amp;reservation_id=31673314541765", "MH61JPWQG")</f>
        <v>MH61JPWQG</v>
      </c>
      <c r="B7512" t="s">
        <v>1157</v>
      </c>
      <c r="C7512">
        <v>89</v>
      </c>
      <c r="D7512">
        <v>96.75</v>
      </c>
      <c r="E7512">
        <v>96.74</v>
      </c>
      <c r="F7512">
        <v>0.01</v>
      </c>
    </row>
    <row r="7513" spans="1:6" x14ac:dyDescent="0.3">
      <c r="A7513" t="str">
        <f>HYPERLINK("https://us2.cloudbeds.com/connect/10074733072513#/reservations/31674046984324?display=MH6KAD9GX&amp;reservation_id=31674046984324", "MH6KAD9GX")</f>
        <v>MH6KAD9GX</v>
      </c>
      <c r="B7513" t="s">
        <v>1158</v>
      </c>
      <c r="C7513">
        <v>229</v>
      </c>
      <c r="D7513">
        <v>248.93</v>
      </c>
      <c r="E7513">
        <v>248.92</v>
      </c>
      <c r="F7513">
        <v>0.01</v>
      </c>
    </row>
    <row r="7514" spans="1:6" x14ac:dyDescent="0.3">
      <c r="A7514" t="str">
        <f>HYPERLINK("https://us2.cloudbeds.com/connect/10074733072513#/reservations/31675757998281?display=MH7V15PHB&amp;reservation_id=31675757998281", "MH7V15PHB")</f>
        <v>MH7V15PHB</v>
      </c>
      <c r="B7514" t="s">
        <v>1190</v>
      </c>
      <c r="C7514">
        <v>109</v>
      </c>
      <c r="D7514">
        <v>118.49</v>
      </c>
      <c r="E7514">
        <v>118.48</v>
      </c>
      <c r="F7514">
        <v>0.01</v>
      </c>
    </row>
    <row r="7515" spans="1:6" x14ac:dyDescent="0.3">
      <c r="A7515" t="str">
        <f>HYPERLINK("https://us2.cloudbeds.com/connect/10074733072513#/reservations/31673931612298?display=MH6HC3TDX&amp;reservation_id=31673931612298", "MH6HC3TDX")</f>
        <v>MH6HC3TDX</v>
      </c>
      <c r="B7515" t="s">
        <v>1157</v>
      </c>
      <c r="C7515">
        <v>73</v>
      </c>
      <c r="D7515">
        <v>79.36</v>
      </c>
      <c r="E7515">
        <v>79.349999999999994</v>
      </c>
      <c r="F7515">
        <v>0.01</v>
      </c>
    </row>
    <row r="7516" spans="1:6" x14ac:dyDescent="0.3">
      <c r="A7516" t="str">
        <f>HYPERLINK("https://us2.cloudbeds.com/connect/10074733072513#/reservations/31675772031133?display=MH7VD08H9&amp;reservation_id=31675772031133", "MH7VD08H9")</f>
        <v>MH7VD08H9</v>
      </c>
      <c r="B7516" t="s">
        <v>1190</v>
      </c>
      <c r="C7516">
        <v>73</v>
      </c>
      <c r="D7516">
        <v>79.36</v>
      </c>
      <c r="E7516">
        <v>79.349999999999994</v>
      </c>
      <c r="F7516">
        <v>0.01</v>
      </c>
    </row>
    <row r="7517" spans="1:6" x14ac:dyDescent="0.3">
      <c r="A7517" t="str">
        <f>HYPERLINK("https://us2.cloudbeds.com/connect/10074733072513#/reservations/31677130973339?display=MH903TRB3&amp;reservation_id=31677130973339", "MH903TRB3")</f>
        <v>MH903TRB3</v>
      </c>
      <c r="B7517" t="s">
        <v>1158</v>
      </c>
      <c r="C7517">
        <v>179</v>
      </c>
      <c r="D7517">
        <v>194.58</v>
      </c>
      <c r="E7517">
        <v>194.57</v>
      </c>
      <c r="F7517">
        <v>0.01</v>
      </c>
    </row>
    <row r="7518" spans="1:6" x14ac:dyDescent="0.3">
      <c r="A7518" t="str">
        <f>HYPERLINK("https://us2.cloudbeds.com/connect/10074733072513#/reservations/31677119029451?display=MH8WQRFJ4&amp;reservation_id=31677119029451", "MH8WQRFJ4")</f>
        <v>MH8WQRFJ4</v>
      </c>
      <c r="B7518" t="s">
        <v>1158</v>
      </c>
      <c r="C7518">
        <v>199</v>
      </c>
      <c r="D7518">
        <v>216.32</v>
      </c>
      <c r="E7518">
        <v>216.31</v>
      </c>
      <c r="F7518">
        <v>0.01</v>
      </c>
    </row>
    <row r="7519" spans="1:6" x14ac:dyDescent="0.3">
      <c r="A7519" t="str">
        <f>HYPERLINK("https://us2.cloudbeds.com/connect/10074733072513#/reservations/31673896665310?display=MH6GFYEGU&amp;reservation_id=31673896665310", "MH6GFYEGU")</f>
        <v>MH6GFYEGU</v>
      </c>
      <c r="B7519" t="s">
        <v>1157</v>
      </c>
      <c r="C7519">
        <v>139</v>
      </c>
      <c r="D7519">
        <v>151.1</v>
      </c>
      <c r="E7519">
        <v>151.09</v>
      </c>
      <c r="F7519">
        <v>0.01</v>
      </c>
    </row>
    <row r="7520" spans="1:6" x14ac:dyDescent="0.3">
      <c r="A7520" t="str">
        <f>HYPERLINK("https://us2.cloudbeds.com/connect/10074733072513#/reservations/31682392723669?display=MHD2XZPWR&amp;reservation_id=31682392723669", "MHD2XZPWR")</f>
        <v>MHD2XZPWR</v>
      </c>
      <c r="B7520" t="s">
        <v>1174</v>
      </c>
      <c r="C7520">
        <v>218</v>
      </c>
      <c r="D7520">
        <v>236.98</v>
      </c>
      <c r="E7520">
        <v>236.97</v>
      </c>
      <c r="F7520">
        <v>0.01</v>
      </c>
    </row>
    <row r="7521" spans="1:6" x14ac:dyDescent="0.3">
      <c r="A7521" t="str">
        <f>HYPERLINK("https://us2.cloudbeds.com/connect/10074733072513#/reservations/31681136914613?display=MHC3FR1KV&amp;reservation_id=31681136914613", "MHC3FR1KV")</f>
        <v>MHC3FR1KV</v>
      </c>
      <c r="B7521" t="s">
        <v>1135</v>
      </c>
      <c r="C7521">
        <v>159</v>
      </c>
      <c r="D7521">
        <v>172.84</v>
      </c>
      <c r="E7521">
        <v>172.83</v>
      </c>
      <c r="F7521">
        <v>0.01</v>
      </c>
    </row>
    <row r="7522" spans="1:6" x14ac:dyDescent="0.3">
      <c r="A7522" t="str">
        <f>HYPERLINK("https://us2.cloudbeds.com/connect/10074733072513#/reservations/31675800338656?display=MH7W3SVJ0&amp;reservation_id=31675800338656", "MH7W3SVJ0")</f>
        <v>MH7W3SVJ0</v>
      </c>
      <c r="B7522" t="s">
        <v>1190</v>
      </c>
      <c r="C7522">
        <v>179</v>
      </c>
      <c r="D7522">
        <v>194.58</v>
      </c>
      <c r="E7522">
        <v>194.57</v>
      </c>
      <c r="F7522">
        <v>0.01</v>
      </c>
    </row>
    <row r="7523" spans="1:6" x14ac:dyDescent="0.3">
      <c r="A7523" t="str">
        <f>HYPERLINK("https://us2.cloudbeds.com/connect/10074733072513#/reservations/31674068402308?display=MH6KSF92C&amp;reservation_id=31674068402308", "MH6KSF92C")</f>
        <v>MH6KSF92C</v>
      </c>
      <c r="B7523" t="s">
        <v>1158</v>
      </c>
      <c r="C7523">
        <v>229</v>
      </c>
      <c r="D7523">
        <v>248.93</v>
      </c>
      <c r="E7523">
        <v>248.92</v>
      </c>
      <c r="F7523">
        <v>0.01</v>
      </c>
    </row>
    <row r="7524" spans="1:6" x14ac:dyDescent="0.3">
      <c r="A7524" t="str">
        <f>HYPERLINK("https://us2.cloudbeds.com/connect/10074733072513#/reservations/31675913396469?display=MH8206VJB&amp;reservation_id=31675913396469", "MH8206VJB")</f>
        <v>MH8206VJB</v>
      </c>
      <c r="B7524" t="s">
        <v>1159</v>
      </c>
      <c r="C7524">
        <v>139</v>
      </c>
      <c r="D7524">
        <v>151.1</v>
      </c>
      <c r="E7524">
        <v>151.09</v>
      </c>
      <c r="F7524">
        <v>0.01</v>
      </c>
    </row>
    <row r="7525" spans="1:6" x14ac:dyDescent="0.3">
      <c r="A7525" t="str">
        <f>HYPERLINK("https://us2.cloudbeds.com/connect/10074733072513#/reservations/31675924033775?display=MH8295VHV&amp;reservation_id=31675924033775", "MH8295VHV")</f>
        <v>MH8295VHV</v>
      </c>
      <c r="B7525" t="s">
        <v>1159</v>
      </c>
      <c r="C7525">
        <v>89</v>
      </c>
      <c r="D7525">
        <v>96.75</v>
      </c>
      <c r="E7525">
        <v>96.74</v>
      </c>
      <c r="F7525">
        <v>0.01</v>
      </c>
    </row>
    <row r="7526" spans="1:6" x14ac:dyDescent="0.3">
      <c r="A7526" t="str">
        <f>HYPERLINK("https://us2.cloudbeds.com/connect/10074733072513#/reservations/31673345626331?display=MH62CWVV1&amp;reservation_id=31673345626331", "MH62CWVV1")</f>
        <v>MH62CWVV1</v>
      </c>
      <c r="B7526" t="s">
        <v>1190</v>
      </c>
      <c r="C7526">
        <v>87.84</v>
      </c>
      <c r="D7526">
        <v>95.49</v>
      </c>
      <c r="E7526">
        <v>95.48</v>
      </c>
      <c r="F7526">
        <v>0.01</v>
      </c>
    </row>
    <row r="7527" spans="1:6" x14ac:dyDescent="0.3">
      <c r="A7527" t="str">
        <f>HYPERLINK("https://us2.cloudbeds.com/connect/10074733072513#/reservations/31675945357520?display=MH82R5AJ0&amp;reservation_id=31675945357520", "MH82R5AJ0")</f>
        <v>MH82R5AJ0</v>
      </c>
      <c r="B7527" t="s">
        <v>1159</v>
      </c>
      <c r="C7527">
        <v>222</v>
      </c>
      <c r="D7527">
        <v>241.32</v>
      </c>
      <c r="E7527">
        <v>241.31</v>
      </c>
      <c r="F7527">
        <v>0.01</v>
      </c>
    </row>
    <row r="7528" spans="1:6" x14ac:dyDescent="0.3">
      <c r="A7528" t="str">
        <f>HYPERLINK("https://us2.cloudbeds.com/connect/10074733072513#/reservations/31674710835375?display=MH7495UE2&amp;reservation_id=31674710835375", "MH7495UE2")</f>
        <v>MH7495UE2</v>
      </c>
      <c r="B7528" t="s">
        <v>1090</v>
      </c>
      <c r="C7528">
        <v>149</v>
      </c>
      <c r="D7528">
        <v>161.97</v>
      </c>
      <c r="E7528">
        <v>161.96</v>
      </c>
      <c r="F7528">
        <v>0.01</v>
      </c>
    </row>
    <row r="7529" spans="1:6" x14ac:dyDescent="0.3">
      <c r="A7529" t="str">
        <f>HYPERLINK("https://us2.cloudbeds.com/connect/10074733072513#/reservations/31675785195726?display=MH7VZ3J7B&amp;reservation_id=31675785195726", "MH7VZ3J7B")</f>
        <v>MH7VZ3J7B</v>
      </c>
      <c r="B7529" t="s">
        <v>1190</v>
      </c>
      <c r="C7529">
        <v>73</v>
      </c>
      <c r="D7529">
        <v>79.36</v>
      </c>
      <c r="E7529">
        <v>79.349999999999994</v>
      </c>
      <c r="F7529">
        <v>0.01</v>
      </c>
    </row>
    <row r="7530" spans="1:6" x14ac:dyDescent="0.3">
      <c r="A7530" t="str">
        <f>HYPERLINK("https://us2.cloudbeds.com/connect/10074733072513#/reservations/31675005919443?display=MH7BR02BH&amp;reservation_id=31675005919443", "MH7BR02BH")</f>
        <v>MH7BR02BH</v>
      </c>
      <c r="B7530" t="s">
        <v>1167</v>
      </c>
      <c r="C7530">
        <v>178</v>
      </c>
      <c r="D7530">
        <v>193.5</v>
      </c>
      <c r="E7530">
        <v>193.49</v>
      </c>
      <c r="F7530">
        <v>0.01</v>
      </c>
    </row>
    <row r="7531" spans="1:6" x14ac:dyDescent="0.3">
      <c r="A7531" t="str">
        <f>HYPERLINK("https://us2.cloudbeds.com/connect/10074733072513#/reservations/31685159501966?display=MHF78PFJD&amp;reservation_id=31685159501966", "MHF78PFJD")</f>
        <v>MHF78PFJD</v>
      </c>
      <c r="B7531" t="s">
        <v>1100</v>
      </c>
      <c r="C7531">
        <v>278</v>
      </c>
      <c r="D7531">
        <v>302.2</v>
      </c>
      <c r="E7531">
        <v>302.19</v>
      </c>
      <c r="F7531">
        <v>0.01</v>
      </c>
    </row>
    <row r="7532" spans="1:6" x14ac:dyDescent="0.3">
      <c r="A7532" t="str">
        <f>HYPERLINK("https://us2.cloudbeds.com/connect/10074733072513#/reservations/31675812003984?display=MH7WDNXHQ&amp;reservation_id=31675812003984", "MH7WDNXHQ")</f>
        <v>MH7WDNXHQ</v>
      </c>
      <c r="B7532" t="s">
        <v>1159</v>
      </c>
      <c r="C7532">
        <v>139</v>
      </c>
      <c r="D7532">
        <v>151.1</v>
      </c>
      <c r="E7532">
        <v>151.09</v>
      </c>
      <c r="F7532">
        <v>0.01</v>
      </c>
    </row>
    <row r="7533" spans="1:6" x14ac:dyDescent="0.3">
      <c r="A7533" t="str">
        <f>HYPERLINK("https://us2.cloudbeds.com/connect/10074733072513#/reservations/31675948056773?display=MH82TEE7J&amp;reservation_id=31675948056773", "MH82TEE7J")</f>
        <v>MH82TEE7J</v>
      </c>
      <c r="B7533" t="s">
        <v>1159</v>
      </c>
      <c r="C7533">
        <v>139</v>
      </c>
      <c r="D7533">
        <v>151.1</v>
      </c>
      <c r="E7533">
        <v>151.09</v>
      </c>
      <c r="F7533">
        <v>0.01</v>
      </c>
    </row>
    <row r="7534" spans="1:6" x14ac:dyDescent="0.3">
      <c r="A7534" t="str">
        <f>HYPERLINK("https://us2.cloudbeds.com/connect/10074733072513#/reservations/31674961588369?display=MH7AMKG9Y&amp;reservation_id=31674961588369", "MH7AMKG9Y")</f>
        <v>MH7AMKG9Y</v>
      </c>
      <c r="B7534" t="s">
        <v>1159</v>
      </c>
      <c r="C7534">
        <v>89</v>
      </c>
      <c r="D7534">
        <v>96.75</v>
      </c>
      <c r="E7534">
        <v>96.74</v>
      </c>
      <c r="F7534">
        <v>0.01</v>
      </c>
    </row>
    <row r="7535" spans="1:6" x14ac:dyDescent="0.3">
      <c r="A7535" t="str">
        <f>HYPERLINK("https://us2.cloudbeds.com/connect/10074733072513#/reservations/31676479549641?display=MH8GFK042&amp;reservation_id=31676479549641", "MH8GFK042")</f>
        <v>MH8GFK042</v>
      </c>
      <c r="B7535" t="s">
        <v>1034</v>
      </c>
      <c r="C7535">
        <v>278</v>
      </c>
      <c r="D7535">
        <v>302.2</v>
      </c>
      <c r="E7535">
        <v>302.19</v>
      </c>
      <c r="F7535">
        <v>0.01</v>
      </c>
    </row>
    <row r="7536" spans="1:6" x14ac:dyDescent="0.3">
      <c r="A7536" t="str">
        <f>HYPERLINK("https://us2.cloudbeds.com/connect/10074733072513#/reservations/31674939044007?display=MH7A3K5D5&amp;reservation_id=31674939044007", "MH7A3K5D5")</f>
        <v>MH7A3K5D5</v>
      </c>
      <c r="B7536" t="s">
        <v>1167</v>
      </c>
      <c r="C7536">
        <v>73</v>
      </c>
      <c r="D7536">
        <v>79.36</v>
      </c>
      <c r="E7536">
        <v>79.349999999999994</v>
      </c>
      <c r="F7536">
        <v>0.01</v>
      </c>
    </row>
    <row r="7537" spans="1:6" x14ac:dyDescent="0.3">
      <c r="A7537" t="str">
        <f>HYPERLINK("https://us2.cloudbeds.com/connect/10074733072513#/reservations/31676137840811?display=MH87ZFEU1&amp;reservation_id=31676137840811", "MH87ZFEU1")</f>
        <v>MH87ZFEU1</v>
      </c>
      <c r="B7537" t="s">
        <v>1192</v>
      </c>
      <c r="C7537">
        <v>73</v>
      </c>
      <c r="D7537">
        <v>79.36</v>
      </c>
      <c r="E7537">
        <v>79.349999999999994</v>
      </c>
      <c r="F7537">
        <v>0.01</v>
      </c>
    </row>
    <row r="7538" spans="1:6" x14ac:dyDescent="0.3">
      <c r="A7538" t="str">
        <f>HYPERLINK("https://us2.cloudbeds.com/connect/10074733072513#/reservations/31674961592463?display=MH7AMKK1N&amp;reservation_id=31674961592463", "MH7AMKK1N")</f>
        <v>MH7AMKK1N</v>
      </c>
      <c r="B7538" t="s">
        <v>1159</v>
      </c>
      <c r="C7538">
        <v>87.84</v>
      </c>
      <c r="D7538">
        <v>95.49</v>
      </c>
      <c r="E7538">
        <v>95.48</v>
      </c>
      <c r="F7538">
        <v>0.01</v>
      </c>
    </row>
    <row r="7539" spans="1:6" x14ac:dyDescent="0.3">
      <c r="A7539" t="str">
        <f>HYPERLINK("https://us2.cloudbeds.com/connect/10074733072513#/reservations/31676750307517?display=MH8NCU7V6&amp;reservation_id=31676750307517", "MH8NCU7V6")</f>
        <v>MH8NCU7V6</v>
      </c>
      <c r="B7539" t="s">
        <v>1065</v>
      </c>
      <c r="C7539">
        <v>318</v>
      </c>
      <c r="D7539">
        <v>345.68</v>
      </c>
      <c r="E7539">
        <v>345.67</v>
      </c>
      <c r="F7539">
        <v>0.01</v>
      </c>
    </row>
    <row r="7540" spans="1:6" x14ac:dyDescent="0.3">
      <c r="A7540" t="str">
        <f>HYPERLINK("https://us2.cloudbeds.com/connect/10074733072513#/reservations/31675916587156?display=MH822TZGR&amp;reservation_id=31675916587156", "MH822TZGR")</f>
        <v>MH822TZGR</v>
      </c>
      <c r="B7540" t="s">
        <v>1159</v>
      </c>
      <c r="C7540">
        <v>139</v>
      </c>
      <c r="D7540">
        <v>151.1</v>
      </c>
      <c r="E7540">
        <v>151.09</v>
      </c>
      <c r="F7540">
        <v>0.01</v>
      </c>
    </row>
    <row r="7541" spans="1:6" x14ac:dyDescent="0.3">
      <c r="A7541" t="str">
        <f>HYPERLINK("https://us2.cloudbeds.com/connect/10074733072513#/reservations/31676742471923?display=MH8N6A6NV&amp;reservation_id=31676742471923", "MH8N6A6NV")</f>
        <v>MH8N6A6NV</v>
      </c>
      <c r="B7541" t="s">
        <v>1065</v>
      </c>
      <c r="C7541">
        <v>159</v>
      </c>
      <c r="D7541">
        <v>172.84</v>
      </c>
      <c r="E7541">
        <v>172.83</v>
      </c>
      <c r="F7541">
        <v>0.01</v>
      </c>
    </row>
    <row r="7542" spans="1:6" x14ac:dyDescent="0.3">
      <c r="A7542" t="str">
        <f>HYPERLINK("https://us2.cloudbeds.com/connect/10074733072513#/reservations/31674947150075?display=MH7AAENWJ&amp;reservation_id=31674947150075", "MH7AAENWJ")</f>
        <v>MH7AAENWJ</v>
      </c>
      <c r="B7542" t="s">
        <v>1167</v>
      </c>
      <c r="C7542">
        <v>73</v>
      </c>
      <c r="D7542">
        <v>79.36</v>
      </c>
      <c r="E7542">
        <v>79.349999999999994</v>
      </c>
      <c r="F7542">
        <v>0.01</v>
      </c>
    </row>
    <row r="7543" spans="1:6" x14ac:dyDescent="0.3">
      <c r="A7543" t="str">
        <f>HYPERLINK("https://us2.cloudbeds.com/connect/10074733072513#/reservations/31677777178832?display=MH9GKQEQP&amp;reservation_id=31677777178832", "MH9GKQEQP")</f>
        <v>MH9GKQEQP</v>
      </c>
      <c r="B7543" t="s">
        <v>1186</v>
      </c>
      <c r="C7543">
        <v>437</v>
      </c>
      <c r="D7543">
        <v>475.03</v>
      </c>
      <c r="E7543">
        <v>475.02</v>
      </c>
      <c r="F7543">
        <v>0.01</v>
      </c>
    </row>
    <row r="7544" spans="1:6" x14ac:dyDescent="0.3">
      <c r="A7544" t="str">
        <f>HYPERLINK("https://us2.cloudbeds.com/connect/10074733072513#/reservations/31682227921058?display=MHCVBPU3A&amp;reservation_id=31682227921058", "MHCVBPU3A")</f>
        <v>MHCVBPU3A</v>
      </c>
      <c r="B7544" t="s">
        <v>1100</v>
      </c>
      <c r="C7544">
        <v>89</v>
      </c>
      <c r="D7544">
        <v>96.75</v>
      </c>
      <c r="E7544">
        <v>96.74</v>
      </c>
      <c r="F7544">
        <v>0.01</v>
      </c>
    </row>
    <row r="7545" spans="1:6" x14ac:dyDescent="0.3">
      <c r="A7545" t="str">
        <f>HYPERLINK("https://us2.cloudbeds.com/connect/10074733072513#/reservations/31675146096775?display=MH7FD6NGF&amp;reservation_id=31675146096775", "MH7FD6NGF")</f>
        <v>MH7FD6NGF</v>
      </c>
      <c r="B7545" t="s">
        <v>1181</v>
      </c>
      <c r="C7545">
        <v>222</v>
      </c>
      <c r="D7545">
        <v>241.32</v>
      </c>
      <c r="E7545">
        <v>241.31</v>
      </c>
      <c r="F7545">
        <v>0.01</v>
      </c>
    </row>
    <row r="7546" spans="1:6" x14ac:dyDescent="0.3">
      <c r="A7546" t="str">
        <f>HYPERLINK("https://us2.cloudbeds.com/connect/10074733072513#/reservations/31675041857749?display=MH7CZA3X3&amp;reservation_id=31675041857749", "MH7CZA3X3")</f>
        <v>MH7CZA3X3</v>
      </c>
      <c r="B7546" t="s">
        <v>1167</v>
      </c>
      <c r="C7546">
        <v>139</v>
      </c>
      <c r="D7546">
        <v>151.1</v>
      </c>
      <c r="E7546">
        <v>151.09</v>
      </c>
      <c r="F7546">
        <v>0.01</v>
      </c>
    </row>
    <row r="7547" spans="1:6" x14ac:dyDescent="0.3">
      <c r="A7547" t="str">
        <f>HYPERLINK("https://us2.cloudbeds.com/connect/10074733072513#/reservations/31674983665810?display=MH7B87RE0&amp;reservation_id=31674983665810", "MH7B87RE0")</f>
        <v>MH7B87RE0</v>
      </c>
      <c r="B7547" t="s">
        <v>1167</v>
      </c>
      <c r="C7547">
        <v>139</v>
      </c>
      <c r="D7547">
        <v>151.1</v>
      </c>
      <c r="E7547">
        <v>151.09</v>
      </c>
      <c r="F7547">
        <v>0.01</v>
      </c>
    </row>
    <row r="7548" spans="1:6" x14ac:dyDescent="0.3">
      <c r="A7548" t="str">
        <f>HYPERLINK("https://us2.cloudbeds.com/connect/10074733072513#/reservations/31674983661718?display=MH7B87NM0&amp;reservation_id=31674983661718", "MH7B87NM0")</f>
        <v>MH7B87NM0</v>
      </c>
      <c r="B7548" t="s">
        <v>1167</v>
      </c>
      <c r="C7548">
        <v>129</v>
      </c>
      <c r="D7548">
        <v>140.22999999999999</v>
      </c>
      <c r="E7548">
        <v>140.22</v>
      </c>
      <c r="F7548">
        <v>0.01</v>
      </c>
    </row>
    <row r="7549" spans="1:6" x14ac:dyDescent="0.3">
      <c r="A7549" t="str">
        <f>HYPERLINK("https://us2.cloudbeds.com/connect/10074733072513#/reservations/31674004439219?display=MH6J7HDEV&amp;reservation_id=31674004439219", "MH6J7HDEV")</f>
        <v>MH6J7HDEV</v>
      </c>
      <c r="B7549" t="s">
        <v>1167</v>
      </c>
      <c r="C7549">
        <v>139</v>
      </c>
      <c r="D7549">
        <v>151.1</v>
      </c>
      <c r="E7549">
        <v>151.09</v>
      </c>
      <c r="F7549">
        <v>0.01</v>
      </c>
    </row>
    <row r="7550" spans="1:6" x14ac:dyDescent="0.3">
      <c r="A7550" t="str">
        <f>HYPERLINK("https://us2.cloudbeds.com/connect/10074733072513#/reservations/31675840766089?display=MH804VU0Z&amp;reservation_id=31675840766089", "MH804VU0Z")</f>
        <v>MH804VU0Z</v>
      </c>
      <c r="B7550" t="s">
        <v>957</v>
      </c>
      <c r="C7550">
        <v>129</v>
      </c>
      <c r="D7550">
        <v>140.22999999999999</v>
      </c>
      <c r="E7550">
        <v>140.22</v>
      </c>
      <c r="F7550">
        <v>0.01</v>
      </c>
    </row>
    <row r="7551" spans="1:6" x14ac:dyDescent="0.3">
      <c r="A7551" t="str">
        <f>HYPERLINK("https://us2.cloudbeds.com/connect/10074733072513#/reservations/31673888333982?display=MH6G8KK2E&amp;reservation_id=31673888333982", "MH6G8KK2E")</f>
        <v>MH6G8KK2E</v>
      </c>
      <c r="B7551" t="s">
        <v>1006</v>
      </c>
      <c r="C7551">
        <v>259</v>
      </c>
      <c r="D7551">
        <v>281.54000000000002</v>
      </c>
      <c r="E7551">
        <v>281.52999999999997</v>
      </c>
      <c r="F7551">
        <v>0.01</v>
      </c>
    </row>
    <row r="7552" spans="1:6" x14ac:dyDescent="0.3">
      <c r="A7552" t="str">
        <f>HYPERLINK("https://us2.cloudbeds.com/connect/10074733072513#/reservations/31682058551460?display=MHCR0VVF8&amp;reservation_id=31682058551460", "MHCR0VVF8")</f>
        <v>MHCR0VVF8</v>
      </c>
      <c r="B7552" t="s">
        <v>1127</v>
      </c>
      <c r="C7552">
        <v>378</v>
      </c>
      <c r="D7552">
        <v>410.9</v>
      </c>
      <c r="E7552">
        <v>410.89</v>
      </c>
      <c r="F7552">
        <v>0.01</v>
      </c>
    </row>
    <row r="7553" spans="1:6" x14ac:dyDescent="0.3">
      <c r="A7553" t="str">
        <f>HYPERLINK("https://us2.cloudbeds.com/connect/10074733072513#/reservations/31675847463142?display=MH80AK8ZZ&amp;reservation_id=31675847463142", "MH80AK8ZZ")</f>
        <v>MH80AK8ZZ</v>
      </c>
      <c r="B7553" t="s">
        <v>957</v>
      </c>
      <c r="C7553">
        <v>149</v>
      </c>
      <c r="D7553">
        <v>161.97</v>
      </c>
      <c r="E7553">
        <v>161.96</v>
      </c>
      <c r="F7553">
        <v>0.01</v>
      </c>
    </row>
    <row r="7554" spans="1:6" x14ac:dyDescent="0.3">
      <c r="A7554" t="str">
        <f>HYPERLINK("https://us2.cloudbeds.com/connect/10074733072513#/reservations/31677578580100?display=MH9BXB4RC&amp;reservation_id=31677578580100", "MH9BXB4RC")</f>
        <v>MH9BXB4RC</v>
      </c>
      <c r="B7554" t="s">
        <v>1194</v>
      </c>
      <c r="C7554">
        <v>139</v>
      </c>
      <c r="D7554">
        <v>151.1</v>
      </c>
      <c r="E7554">
        <v>151.09</v>
      </c>
      <c r="F7554">
        <v>0.01</v>
      </c>
    </row>
    <row r="7555" spans="1:6" x14ac:dyDescent="0.3">
      <c r="A7555" t="str">
        <f>HYPERLINK("https://us2.cloudbeds.com/connect/10074733072513#/reservations/31676530565257?display=MH8HPKJDR&amp;reservation_id=31676530565257", "MH8HPKJDR")</f>
        <v>MH8HPKJDR</v>
      </c>
      <c r="B7555" t="s">
        <v>1065</v>
      </c>
      <c r="C7555">
        <v>318</v>
      </c>
      <c r="D7555">
        <v>345.68</v>
      </c>
      <c r="E7555">
        <v>345.67</v>
      </c>
      <c r="F7555">
        <v>0.01</v>
      </c>
    </row>
    <row r="7556" spans="1:6" x14ac:dyDescent="0.3">
      <c r="A7556" t="str">
        <f>HYPERLINK("https://us2.cloudbeds.com/connect/10074733072513#/reservations/31677665534167?display=MH9DPYPF3&amp;reservation_id=31677665534167", "MH9DPYPF3")</f>
        <v>MH9DPYPF3</v>
      </c>
      <c r="B7556" t="s">
        <v>1194</v>
      </c>
      <c r="C7556">
        <v>170</v>
      </c>
      <c r="D7556">
        <v>184.8</v>
      </c>
      <c r="E7556">
        <v>184.79</v>
      </c>
      <c r="F7556">
        <v>0.01</v>
      </c>
    </row>
    <row r="7557" spans="1:6" x14ac:dyDescent="0.3">
      <c r="A7557" t="str">
        <f>HYPERLINK("https://us2.cloudbeds.com/connect/10074733072513#/reservations/31676821495998?display=MH8P6V5ET&amp;reservation_id=31676821495998", "MH8P6V5ET")</f>
        <v>MH8P6V5ET</v>
      </c>
      <c r="B7557" t="s">
        <v>957</v>
      </c>
      <c r="C7557">
        <v>149</v>
      </c>
      <c r="D7557">
        <v>161.97</v>
      </c>
      <c r="E7557">
        <v>161.96</v>
      </c>
      <c r="F7557">
        <v>0.01</v>
      </c>
    </row>
    <row r="7558" spans="1:6" x14ac:dyDescent="0.3">
      <c r="A7558" t="str">
        <f>HYPERLINK("https://us2.cloudbeds.com/connect/10074733072513#/reservations/31675399377036?display=MH7YSPK2T&amp;reservation_id=31675399377036", "MH7YSPK2T")</f>
        <v>MH7YSPK2T</v>
      </c>
      <c r="B7558" t="s">
        <v>1171</v>
      </c>
      <c r="C7558">
        <v>278</v>
      </c>
      <c r="D7558">
        <v>302.2</v>
      </c>
      <c r="E7558">
        <v>302.19</v>
      </c>
      <c r="F7558">
        <v>0.01</v>
      </c>
    </row>
    <row r="7559" spans="1:6" x14ac:dyDescent="0.3">
      <c r="A7559" t="str">
        <f>HYPERLINK("https://us2.cloudbeds.com/connect/10074733072513#/reservations/31674317758665?display=MH6R7NWEK&amp;reservation_id=31674317758665", "MH6R7NWEK")</f>
        <v>MH6R7NWEK</v>
      </c>
      <c r="B7559" t="s">
        <v>1183</v>
      </c>
      <c r="C7559">
        <v>296</v>
      </c>
      <c r="D7559">
        <v>321.76</v>
      </c>
      <c r="E7559">
        <v>321.75</v>
      </c>
      <c r="F7559">
        <v>0.01</v>
      </c>
    </row>
    <row r="7560" spans="1:6" x14ac:dyDescent="0.3">
      <c r="A7560" t="str">
        <f>HYPERLINK("https://us2.cloudbeds.com/connect/10074733072513#/reservations/31682089353352?display=MHCRQV20U&amp;reservation_id=31682089353352", "MHCRQV20U")</f>
        <v>MHCRQV20U</v>
      </c>
      <c r="B7560" t="s">
        <v>1127</v>
      </c>
      <c r="C7560">
        <v>307.76</v>
      </c>
      <c r="D7560">
        <v>334.55</v>
      </c>
      <c r="E7560">
        <v>334.54</v>
      </c>
      <c r="F7560">
        <v>0.01</v>
      </c>
    </row>
    <row r="7561" spans="1:6" x14ac:dyDescent="0.3">
      <c r="A7561" t="str">
        <f>HYPERLINK("https://us2.cloudbeds.com/connect/10074733072513#/reservations/31675858518199?display=MH80JUTAF&amp;reservation_id=31675858518199", "MH80JUTAF")</f>
        <v>MH80JUTAF</v>
      </c>
      <c r="B7561" t="s">
        <v>957</v>
      </c>
      <c r="C7561">
        <v>169</v>
      </c>
      <c r="D7561">
        <v>183.71</v>
      </c>
      <c r="E7561">
        <v>183.7</v>
      </c>
      <c r="F7561">
        <v>0.01</v>
      </c>
    </row>
    <row r="7562" spans="1:6" x14ac:dyDescent="0.3">
      <c r="A7562" t="str">
        <f>HYPERLINK("https://us2.cloudbeds.com/connect/10074733072513#/reservations/31680217121017?display=MHBCW7EDY&amp;reservation_id=31680217121017", "MHBCW7EDY")</f>
        <v>MHBCW7EDY</v>
      </c>
      <c r="B7562" t="s">
        <v>819</v>
      </c>
      <c r="C7562">
        <v>358</v>
      </c>
      <c r="D7562">
        <v>389.16</v>
      </c>
      <c r="E7562">
        <v>389.15</v>
      </c>
      <c r="F7562">
        <v>0.01</v>
      </c>
    </row>
    <row r="7563" spans="1:6" x14ac:dyDescent="0.3">
      <c r="A7563" t="str">
        <f>HYPERLINK("https://us2.cloudbeds.com/connect/10074733072513#/reservations/31676995874974?display=MH8TYWH29&amp;reservation_id=31676995874974", "MH8TYWH29")</f>
        <v>MH8TYWH29</v>
      </c>
      <c r="B7563" t="s">
        <v>957</v>
      </c>
      <c r="C7563">
        <v>258</v>
      </c>
      <c r="D7563">
        <v>280.45999999999998</v>
      </c>
      <c r="E7563">
        <v>280.45</v>
      </c>
      <c r="F7563">
        <v>0.01</v>
      </c>
    </row>
    <row r="7564" spans="1:6" x14ac:dyDescent="0.3">
      <c r="A7564" t="str">
        <f>HYPERLINK("https://us2.cloudbeds.com/connect/10074733072513#/reservations/31675018768518?display=MH7C4RKAE&amp;reservation_id=31675018768518", "MH7C4RKAE")</f>
        <v>MH7C4RKAE</v>
      </c>
      <c r="B7564" t="s">
        <v>1196</v>
      </c>
      <c r="C7564">
        <v>79</v>
      </c>
      <c r="D7564">
        <v>85.88</v>
      </c>
      <c r="E7564">
        <v>85.87</v>
      </c>
      <c r="F7564">
        <v>0.01</v>
      </c>
    </row>
    <row r="7565" spans="1:6" x14ac:dyDescent="0.3">
      <c r="A7565" t="str">
        <f>HYPERLINK("https://us2.cloudbeds.com/connect/10074733072513#/reservations/31676142559432?display=MH87SEZTX&amp;reservation_id=31676142559432", "MH87SEZTX")</f>
        <v>MH87SEZTX</v>
      </c>
      <c r="B7565" t="s">
        <v>1009</v>
      </c>
      <c r="C7565">
        <v>169</v>
      </c>
      <c r="D7565">
        <v>183.71</v>
      </c>
      <c r="E7565">
        <v>183.7</v>
      </c>
      <c r="F7565">
        <v>0.01</v>
      </c>
    </row>
    <row r="7566" spans="1:6" x14ac:dyDescent="0.3">
      <c r="A7566" t="str">
        <f>HYPERLINK("https://us2.cloudbeds.com/connect/10074733072513#/reservations/31676865126543?display=MH8QAZ87K&amp;reservation_id=31676865126543", "MH8QAZ87K")</f>
        <v>MH8QAZ87K</v>
      </c>
      <c r="B7566" t="s">
        <v>925</v>
      </c>
      <c r="C7566">
        <v>321.3</v>
      </c>
      <c r="D7566">
        <v>349.26</v>
      </c>
      <c r="E7566">
        <v>349.25</v>
      </c>
      <c r="F7566">
        <v>0.01</v>
      </c>
    </row>
    <row r="7567" spans="1:6" x14ac:dyDescent="0.3">
      <c r="A7567" t="str">
        <f>HYPERLINK("https://us2.cloudbeds.com/connect/10074733072513#/reservations/31677697810563?display=MH9EJSU0N&amp;reservation_id=31677697810563", "MH9EJSU0N")</f>
        <v>MH9EJSU0N</v>
      </c>
      <c r="B7567" t="s">
        <v>1194</v>
      </c>
      <c r="C7567">
        <v>109</v>
      </c>
      <c r="D7567">
        <v>118.49</v>
      </c>
      <c r="E7567">
        <v>118.48</v>
      </c>
      <c r="F7567">
        <v>0.01</v>
      </c>
    </row>
    <row r="7568" spans="1:6" x14ac:dyDescent="0.3">
      <c r="A7568" t="str">
        <f>HYPERLINK("https://us2.cloudbeds.com/connect/10074733072513#/reservations/31677814218918?display=MH9HJ14ZK&amp;reservation_id=31677814218918", "MH9HJ14ZK")</f>
        <v>MH9HJ14ZK</v>
      </c>
      <c r="B7568" t="s">
        <v>1197</v>
      </c>
      <c r="C7568">
        <v>73</v>
      </c>
      <c r="D7568">
        <v>79.36</v>
      </c>
      <c r="E7568">
        <v>79.349999999999994</v>
      </c>
      <c r="F7568">
        <v>0.01</v>
      </c>
    </row>
    <row r="7569" spans="1:6" x14ac:dyDescent="0.3">
      <c r="A7569" t="str">
        <f>HYPERLINK("https://us2.cloudbeds.com/connect/10074733072513#/reservations/31675125887105?display=MH7ET5BG7&amp;reservation_id=31675125887105", "MH7ET5BG7")</f>
        <v>MH7ET5BG7</v>
      </c>
      <c r="B7569" t="s">
        <v>1181</v>
      </c>
      <c r="C7569">
        <v>73</v>
      </c>
      <c r="D7569">
        <v>79.36</v>
      </c>
      <c r="E7569">
        <v>79.349999999999994</v>
      </c>
      <c r="F7569">
        <v>0.01</v>
      </c>
    </row>
    <row r="7570" spans="1:6" x14ac:dyDescent="0.3">
      <c r="A7570" t="str">
        <f>HYPERLINK("https://us2.cloudbeds.com/connect/10074733072513#/reservations/31674489168113?display=MH6VK8N7A&amp;reservation_id=31674489168113", "MH6VK8N7A")</f>
        <v>MH6VK8N7A</v>
      </c>
      <c r="B7570" t="s">
        <v>1108</v>
      </c>
      <c r="C7570">
        <v>149</v>
      </c>
      <c r="D7570">
        <v>161.97</v>
      </c>
      <c r="E7570">
        <v>161.96</v>
      </c>
      <c r="F7570">
        <v>0.01</v>
      </c>
    </row>
    <row r="7571" spans="1:6" x14ac:dyDescent="0.3">
      <c r="A7571" t="str">
        <f>HYPERLINK("https://us2.cloudbeds.com/connect/10074733072513#/reservations/31675005915347?display=MH7BQWVJD&amp;reservation_id=31675005915347", "MH7BQWVJD")</f>
        <v>MH7BQWVJD</v>
      </c>
      <c r="B7571" t="s">
        <v>1196</v>
      </c>
      <c r="C7571">
        <v>77.5</v>
      </c>
      <c r="D7571">
        <v>84.25</v>
      </c>
      <c r="E7571">
        <v>84.24</v>
      </c>
      <c r="F7571">
        <v>0.01</v>
      </c>
    </row>
    <row r="7572" spans="1:6" x14ac:dyDescent="0.3">
      <c r="A7572" t="str">
        <f>HYPERLINK("https://us2.cloudbeds.com/connect/10074733072513#/reservations/31681293091033?display=MHC7FGTAZ&amp;reservation_id=31681293091033", "MHC7FGTAZ")</f>
        <v>MHC7FGTAZ</v>
      </c>
      <c r="B7572" t="s">
        <v>1136</v>
      </c>
      <c r="C7572">
        <v>139</v>
      </c>
      <c r="D7572">
        <v>151.1</v>
      </c>
      <c r="E7572">
        <v>151.09</v>
      </c>
      <c r="F7572">
        <v>0.01</v>
      </c>
    </row>
    <row r="7573" spans="1:6" x14ac:dyDescent="0.3">
      <c r="A7573" t="str">
        <f>HYPERLINK("https://us2.cloudbeds.com/connect/10074733072513#/reservations/31677725622408?display=MH9FAAQTT&amp;reservation_id=31677725622408", "MH9FAAQTT")</f>
        <v>MH9FAAQTT</v>
      </c>
      <c r="B7573" t="s">
        <v>1196</v>
      </c>
      <c r="C7573">
        <v>158</v>
      </c>
      <c r="D7573">
        <v>171.76</v>
      </c>
      <c r="E7573">
        <v>171.75</v>
      </c>
      <c r="F7573">
        <v>0.01</v>
      </c>
    </row>
    <row r="7574" spans="1:6" x14ac:dyDescent="0.3">
      <c r="A7574" t="str">
        <f>HYPERLINK("https://us2.cloudbeds.com/connect/10074733072513#/reservations/31675988082834?display=MH83U673H&amp;reservation_id=31675988082834", "MH83U673H")</f>
        <v>MH83U673H</v>
      </c>
      <c r="B7574" t="s">
        <v>1181</v>
      </c>
      <c r="C7574">
        <v>109</v>
      </c>
      <c r="D7574">
        <v>118.49</v>
      </c>
      <c r="E7574">
        <v>118.48</v>
      </c>
      <c r="F7574">
        <v>0.01</v>
      </c>
    </row>
    <row r="7575" spans="1:6" x14ac:dyDescent="0.3">
      <c r="A7575" t="str">
        <f>HYPERLINK("https://us2.cloudbeds.com/connect/10074733072513#/reservations/31675053297799?display=MH7D0VEY9&amp;reservation_id=31675053297799", "MH7D0VEY9")</f>
        <v>MH7D0VEY9</v>
      </c>
      <c r="B7575" t="s">
        <v>1181</v>
      </c>
      <c r="C7575">
        <v>139</v>
      </c>
      <c r="D7575">
        <v>151.1</v>
      </c>
      <c r="E7575">
        <v>151.09</v>
      </c>
      <c r="F7575">
        <v>0.01</v>
      </c>
    </row>
    <row r="7576" spans="1:6" x14ac:dyDescent="0.3">
      <c r="A7576" t="str">
        <f>HYPERLINK("https://us2.cloudbeds.com/connect/10074733072513#/reservations/31677468520661?display=MH98ZHJ4S&amp;reservation_id=31677468520661", "MH98ZHJ4S")</f>
        <v>MH98ZHJ4S</v>
      </c>
      <c r="B7576" t="s">
        <v>1009</v>
      </c>
      <c r="C7576">
        <v>106.8</v>
      </c>
      <c r="D7576">
        <v>116.1</v>
      </c>
      <c r="E7576">
        <v>116.09</v>
      </c>
      <c r="F7576">
        <v>0.01</v>
      </c>
    </row>
    <row r="7577" spans="1:6" x14ac:dyDescent="0.3">
      <c r="A7577" t="str">
        <f>HYPERLINK("https://us2.cloudbeds.com/connect/10074733072513#/reservations/31681247830147?display=MHC6ABEEZ&amp;reservation_id=31681247830147", "MHC6ABEEZ")</f>
        <v>MHC6ABEEZ</v>
      </c>
      <c r="B7577" t="s">
        <v>1136</v>
      </c>
      <c r="C7577">
        <v>159</v>
      </c>
      <c r="D7577">
        <v>172.84</v>
      </c>
      <c r="E7577">
        <v>172.83</v>
      </c>
      <c r="F7577">
        <v>0.01</v>
      </c>
    </row>
    <row r="7578" spans="1:6" x14ac:dyDescent="0.3">
      <c r="A7578" t="str">
        <f>HYPERLINK("https://us2.cloudbeds.com/connect/10074733072513#/reservations/31674797039854?display=MH76FSMZ0&amp;reservation_id=31674797039854", "MH76FSMZ0")</f>
        <v>MH76FSMZ0</v>
      </c>
      <c r="B7578" t="s">
        <v>1186</v>
      </c>
      <c r="C7578">
        <v>298</v>
      </c>
      <c r="D7578">
        <v>323.94</v>
      </c>
      <c r="E7578">
        <v>323.93</v>
      </c>
      <c r="F7578">
        <v>0.01</v>
      </c>
    </row>
    <row r="7579" spans="1:6" x14ac:dyDescent="0.3">
      <c r="A7579" t="str">
        <f>HYPERLINK("https://us2.cloudbeds.com/connect/10074733072513#/reservations/31674457850001?display=MH6UQS7KK&amp;reservation_id=31674457850001", "MH6UQS7KK")</f>
        <v>MH6UQS7KK</v>
      </c>
      <c r="B7579" t="s">
        <v>1085</v>
      </c>
      <c r="C7579">
        <v>321.3</v>
      </c>
      <c r="D7579">
        <v>349.26</v>
      </c>
      <c r="E7579">
        <v>349.25</v>
      </c>
      <c r="F7579">
        <v>0.01</v>
      </c>
    </row>
    <row r="7580" spans="1:6" x14ac:dyDescent="0.3">
      <c r="A7580" t="str">
        <f>HYPERLINK("https://us2.cloudbeds.com/connect/10074733072513#/reservations/31675999314169?display=MH846YZHW&amp;reservation_id=31675999314169", "MH846YZHW")</f>
        <v>MH846YZHW</v>
      </c>
      <c r="B7580" t="s">
        <v>1181</v>
      </c>
      <c r="C7580">
        <v>139</v>
      </c>
      <c r="D7580">
        <v>151.1</v>
      </c>
      <c r="E7580">
        <v>151.09</v>
      </c>
      <c r="F7580">
        <v>0.01</v>
      </c>
    </row>
    <row r="7581" spans="1:6" x14ac:dyDescent="0.3">
      <c r="A7581" t="str">
        <f>HYPERLINK("https://us2.cloudbeds.com/connect/10074733072513#/reservations/31681128558805?display=MHC38PHNY&amp;reservation_id=31681128558805", "MHC38PHNY")</f>
        <v>MHC38PHNY</v>
      </c>
      <c r="B7581" t="s">
        <v>1174</v>
      </c>
      <c r="C7581">
        <v>218</v>
      </c>
      <c r="D7581">
        <v>236.98</v>
      </c>
      <c r="E7581">
        <v>236.97</v>
      </c>
      <c r="F7581">
        <v>0.01</v>
      </c>
    </row>
    <row r="7582" spans="1:6" x14ac:dyDescent="0.3">
      <c r="A7582" t="str">
        <f>HYPERLINK("https://us2.cloudbeds.com/connect/10074733072513#/reservations/31676791607441?display=MH8ZEZFJ1&amp;reservation_id=31676791607441", "MH8ZEZFJ1")</f>
        <v>MH8ZEZFJ1</v>
      </c>
      <c r="B7582" t="s">
        <v>957</v>
      </c>
      <c r="C7582">
        <v>298</v>
      </c>
      <c r="D7582">
        <v>323.94</v>
      </c>
      <c r="E7582">
        <v>323.93</v>
      </c>
      <c r="F7582">
        <v>0.01</v>
      </c>
    </row>
    <row r="7583" spans="1:6" x14ac:dyDescent="0.3">
      <c r="A7583" t="str">
        <f>HYPERLINK("https://us2.cloudbeds.com/connect/10074733072513#/reservations/31676024037533?display=MH84RGNBS&amp;reservation_id=31676024037533", "MH84RGNBS")</f>
        <v>MH84RGNBS</v>
      </c>
      <c r="B7583" t="s">
        <v>1192</v>
      </c>
      <c r="C7583">
        <v>79</v>
      </c>
      <c r="D7583">
        <v>85.88</v>
      </c>
      <c r="E7583">
        <v>85.87</v>
      </c>
      <c r="F7583">
        <v>0.01</v>
      </c>
    </row>
    <row r="7584" spans="1:6" x14ac:dyDescent="0.3">
      <c r="A7584" t="str">
        <f>HYPERLINK("https://us2.cloudbeds.com/connect/10074733072513#/reservations/31675528683654?display=MH7P5QZV8&amp;reservation_id=31675528683654", "MH7P5QZV8")</f>
        <v>MH7P5QZV8</v>
      </c>
      <c r="B7584" t="s">
        <v>1171</v>
      </c>
      <c r="C7584">
        <v>87.84</v>
      </c>
      <c r="D7584">
        <v>95.49</v>
      </c>
      <c r="E7584">
        <v>95.48</v>
      </c>
      <c r="F7584">
        <v>0.01</v>
      </c>
    </row>
    <row r="7585" spans="1:6" x14ac:dyDescent="0.3">
      <c r="A7585" t="str">
        <f>HYPERLINK("https://us2.cloudbeds.com/connect/10074733072513#/reservations/31675034390710?display=MH7CX0AP6&amp;reservation_id=31675034390710", "MH7CX0AP6")</f>
        <v>MH7CX0AP6</v>
      </c>
      <c r="B7585" t="s">
        <v>1181</v>
      </c>
      <c r="C7585">
        <v>278</v>
      </c>
      <c r="D7585">
        <v>302.2</v>
      </c>
      <c r="E7585">
        <v>302.19</v>
      </c>
      <c r="F7585">
        <v>0.01</v>
      </c>
    </row>
    <row r="7586" spans="1:6" x14ac:dyDescent="0.3">
      <c r="A7586" t="str">
        <f>HYPERLINK("https://us2.cloudbeds.com/connect/10074733072513#/reservations/31676149285100?display=MH8813TTM&amp;reservation_id=31676149285100", "MH8813TTM")</f>
        <v>MH8813TTM</v>
      </c>
      <c r="B7586" t="s">
        <v>1192</v>
      </c>
      <c r="C7586">
        <v>89</v>
      </c>
      <c r="D7586">
        <v>96.75</v>
      </c>
      <c r="E7586">
        <v>96.74</v>
      </c>
      <c r="F7586">
        <v>0.01</v>
      </c>
    </row>
    <row r="7587" spans="1:6" x14ac:dyDescent="0.3">
      <c r="A7587" t="str">
        <f>HYPERLINK("https://us2.cloudbeds.com/connect/10074733072513#/reservations/31674244886730?display=MH6PC9725&amp;reservation_id=31674244886730", "MH6PC9725")</f>
        <v>MH6PC9725</v>
      </c>
      <c r="B7587" t="s">
        <v>1183</v>
      </c>
      <c r="C7587">
        <v>258</v>
      </c>
      <c r="D7587">
        <v>280.45999999999998</v>
      </c>
      <c r="E7587">
        <v>280.45</v>
      </c>
      <c r="F7587">
        <v>0.01</v>
      </c>
    </row>
    <row r="7588" spans="1:6" x14ac:dyDescent="0.3">
      <c r="A7588" t="str">
        <f>HYPERLINK("https://us2.cloudbeds.com/connect/10074733072513#/reservations/31676944793760?display=MH8SBU3HN&amp;reservation_id=31676944793760", "MH8SBU3HN")</f>
        <v>MH8SBU3HN</v>
      </c>
      <c r="B7588" t="s">
        <v>1113</v>
      </c>
      <c r="C7588">
        <v>159</v>
      </c>
      <c r="D7588">
        <v>172.84</v>
      </c>
      <c r="E7588">
        <v>172.83</v>
      </c>
      <c r="F7588">
        <v>0.01</v>
      </c>
    </row>
    <row r="7589" spans="1:6" x14ac:dyDescent="0.3">
      <c r="A7589" t="str">
        <f>HYPERLINK("https://us2.cloudbeds.com/connect/10074733072513#/reservations/31677342830747?display=MH95HX2DJ&amp;reservation_id=31677342830747", "MH95HX2DJ")</f>
        <v>MH95HX2DJ</v>
      </c>
      <c r="B7589" t="s">
        <v>1035</v>
      </c>
      <c r="C7589">
        <v>149</v>
      </c>
      <c r="D7589">
        <v>161.97</v>
      </c>
      <c r="E7589">
        <v>161.96</v>
      </c>
      <c r="F7589">
        <v>0.01</v>
      </c>
    </row>
    <row r="7590" spans="1:6" x14ac:dyDescent="0.3">
      <c r="A7590" t="str">
        <f>HYPERLINK("https://us2.cloudbeds.com/connect/10074733072513#/reservations/31674889203863?display=MH78RJ9GP&amp;reservation_id=31674889203863", "MH78RJ9GP")</f>
        <v>MH78RJ9GP</v>
      </c>
      <c r="B7590" t="s">
        <v>1050</v>
      </c>
      <c r="C7590">
        <v>109</v>
      </c>
      <c r="D7590">
        <v>118.49</v>
      </c>
      <c r="E7590">
        <v>118.48</v>
      </c>
      <c r="F7590">
        <v>0.01</v>
      </c>
    </row>
    <row r="7591" spans="1:6" x14ac:dyDescent="0.3">
      <c r="A7591" t="str">
        <f>HYPERLINK("https://us2.cloudbeds.com/connect/10074733072513#/reservations/31674399482052?display=MH6TAY1SS&amp;reservation_id=31674399482052", "MH6TAY1SS")</f>
        <v>MH6TAY1SS</v>
      </c>
      <c r="B7591" t="s">
        <v>1085</v>
      </c>
      <c r="C7591">
        <v>169</v>
      </c>
      <c r="D7591">
        <v>183.71</v>
      </c>
      <c r="E7591">
        <v>183.7</v>
      </c>
      <c r="F7591">
        <v>0.01</v>
      </c>
    </row>
    <row r="7592" spans="1:6" x14ac:dyDescent="0.3">
      <c r="A7592" t="str">
        <f>HYPERLINK("https://us2.cloudbeds.com/connect/10074733072513#/reservations/31675924037857?display=MH829629Y&amp;reservation_id=31675924037857", "MH829629Y")</f>
        <v>MH829629Y</v>
      </c>
      <c r="B7592" t="s">
        <v>1113</v>
      </c>
      <c r="C7592">
        <v>159</v>
      </c>
      <c r="D7592">
        <v>172.84</v>
      </c>
      <c r="E7592">
        <v>172.83</v>
      </c>
      <c r="F7592">
        <v>0.01</v>
      </c>
    </row>
    <row r="7593" spans="1:6" x14ac:dyDescent="0.3">
      <c r="A7593" t="str">
        <f>HYPERLINK("https://us2.cloudbeds.com/connect/10074733072513#/reservations/31674253717658?display=MH6PJNV91&amp;reservation_id=31674253717658", "MH6PJNV91")</f>
        <v>MH6PJNV91</v>
      </c>
      <c r="B7593" t="s">
        <v>1183</v>
      </c>
      <c r="C7593">
        <v>318</v>
      </c>
      <c r="D7593">
        <v>345.68</v>
      </c>
      <c r="E7593">
        <v>345.67</v>
      </c>
      <c r="F7593">
        <v>0.01</v>
      </c>
    </row>
    <row r="7594" spans="1:6" x14ac:dyDescent="0.3">
      <c r="A7594" t="str">
        <f>HYPERLINK("https://us2.cloudbeds.com/connect/10074733072513#/reservations/31676197044426?display=MH898CT0W&amp;reservation_id=31676197044426", "MH898CT0W")</f>
        <v>MH898CT0W</v>
      </c>
      <c r="B7594" t="s">
        <v>1183</v>
      </c>
      <c r="C7594">
        <v>109</v>
      </c>
      <c r="D7594">
        <v>118.49</v>
      </c>
      <c r="E7594">
        <v>118.48</v>
      </c>
      <c r="F7594">
        <v>0.01</v>
      </c>
    </row>
    <row r="7595" spans="1:6" x14ac:dyDescent="0.3">
      <c r="A7595" t="str">
        <f>HYPERLINK("https://us2.cloudbeds.com/connect/10074733072513#/reservations/31674390511844?display=MH6T32EPD&amp;reservation_id=31674390511844", "MH6T32EPD")</f>
        <v>MH6T32EPD</v>
      </c>
      <c r="B7595" t="s">
        <v>1085</v>
      </c>
      <c r="C7595">
        <v>218</v>
      </c>
      <c r="D7595">
        <v>236.98</v>
      </c>
      <c r="E7595">
        <v>236.97</v>
      </c>
      <c r="F7595">
        <v>0.01</v>
      </c>
    </row>
    <row r="7596" spans="1:6" x14ac:dyDescent="0.3">
      <c r="A7596" t="str">
        <f>HYPERLINK("https://us2.cloudbeds.com/connect/10074733072513#/reservations/31676311711943?display=MH8C62M67&amp;reservation_id=31676311711943", "MH8C62M67")</f>
        <v>MH8C62M67</v>
      </c>
      <c r="B7596" t="s">
        <v>1156</v>
      </c>
      <c r="C7596">
        <v>89</v>
      </c>
      <c r="D7596">
        <v>96.75</v>
      </c>
      <c r="E7596">
        <v>96.74</v>
      </c>
      <c r="F7596">
        <v>0.01</v>
      </c>
    </row>
    <row r="7597" spans="1:6" x14ac:dyDescent="0.3">
      <c r="A7597" t="str">
        <f>HYPERLINK("https://us2.cloudbeds.com/connect/10074733072513#/reservations/31674399482051?display=MH6TAY1SR&amp;reservation_id=31674399482051", "MH6TAY1SR")</f>
        <v>MH6TAY1SR</v>
      </c>
      <c r="B7597" t="s">
        <v>1183</v>
      </c>
      <c r="C7597">
        <v>139</v>
      </c>
      <c r="D7597">
        <v>151.1</v>
      </c>
      <c r="E7597">
        <v>151.09</v>
      </c>
      <c r="F7597">
        <v>0.01</v>
      </c>
    </row>
    <row r="7598" spans="1:6" x14ac:dyDescent="0.3">
      <c r="A7598" t="str">
        <f>HYPERLINK("https://us2.cloudbeds.com/connect/10074733072513#/reservations/31677477028030?display=MH98VNA7U&amp;reservation_id=31677477028030", "MH98VNA7U")</f>
        <v>MH98VNA7U</v>
      </c>
      <c r="B7598" t="s">
        <v>1009</v>
      </c>
      <c r="C7598">
        <v>106.8</v>
      </c>
      <c r="D7598">
        <v>116.1</v>
      </c>
      <c r="E7598">
        <v>116.09</v>
      </c>
      <c r="F7598">
        <v>0.01</v>
      </c>
    </row>
    <row r="7599" spans="1:6" x14ac:dyDescent="0.3">
      <c r="A7599" t="str">
        <f>HYPERLINK("https://us2.cloudbeds.com/connect/10074733072513#/reservations/31675480793271?display=MH7NVE4FH&amp;reservation_id=31675480793271", "MH7NVE4FH")</f>
        <v>MH7NVE4FH</v>
      </c>
      <c r="B7599" t="s">
        <v>1171</v>
      </c>
      <c r="C7599">
        <v>222</v>
      </c>
      <c r="D7599">
        <v>241.32</v>
      </c>
      <c r="E7599">
        <v>241.31</v>
      </c>
      <c r="F7599">
        <v>0.01</v>
      </c>
    </row>
    <row r="7600" spans="1:6" x14ac:dyDescent="0.3">
      <c r="A7600" t="str">
        <f>HYPERLINK("https://us2.cloudbeds.com/connect/10074733072513#/reservations/31676178186458?display=MH88PG48D&amp;reservation_id=31676178186458", "MH88PG48D")</f>
        <v>MH88PG48D</v>
      </c>
      <c r="B7600" t="s">
        <v>1183</v>
      </c>
      <c r="C7600">
        <v>129</v>
      </c>
      <c r="D7600">
        <v>140.22999999999999</v>
      </c>
      <c r="E7600">
        <v>140.22</v>
      </c>
      <c r="F7600">
        <v>0.01</v>
      </c>
    </row>
    <row r="7601" spans="1:6" x14ac:dyDescent="0.3">
      <c r="A7601" t="str">
        <f>HYPERLINK("https://us2.cloudbeds.com/connect/10074733072513#/reservations/31675399364813?display=MH7YSP8SG&amp;reservation_id=31675399364813", "MH7YSP8SG")</f>
        <v>MH7YSP8SG</v>
      </c>
      <c r="B7601" t="s">
        <v>1152</v>
      </c>
      <c r="C7601">
        <v>282</v>
      </c>
      <c r="D7601">
        <v>306.54000000000002</v>
      </c>
      <c r="E7601">
        <v>306.52999999999997</v>
      </c>
      <c r="F7601">
        <v>0.01</v>
      </c>
    </row>
    <row r="7602" spans="1:6" x14ac:dyDescent="0.3">
      <c r="A7602" t="str">
        <f>HYPERLINK("https://us2.cloudbeds.com/connect/10074733072513#/reservations/31676482396401?display=MH8GX077H&amp;reservation_id=31676482396401", "MH8GX077H")</f>
        <v>MH8GX077H</v>
      </c>
      <c r="B7602" t="s">
        <v>1198</v>
      </c>
      <c r="C7602">
        <v>444</v>
      </c>
      <c r="D7602">
        <v>482.64</v>
      </c>
      <c r="E7602">
        <v>482.63</v>
      </c>
      <c r="F7602">
        <v>0.01</v>
      </c>
    </row>
    <row r="7603" spans="1:6" x14ac:dyDescent="0.3">
      <c r="A7603" t="str">
        <f>HYPERLINK("https://us2.cloudbeds.com/connect/10074733072513#/reservations/31675999314119?display=MH846YZGG&amp;reservation_id=31675999314119", "MH846YZGG")</f>
        <v>MH846YZGG</v>
      </c>
      <c r="B7603" t="s">
        <v>1199</v>
      </c>
      <c r="C7603">
        <v>318</v>
      </c>
      <c r="D7603">
        <v>345.68</v>
      </c>
      <c r="E7603">
        <v>345.67</v>
      </c>
      <c r="F7603">
        <v>0.01</v>
      </c>
    </row>
    <row r="7604" spans="1:6" x14ac:dyDescent="0.3">
      <c r="A7604" t="str">
        <f>HYPERLINK("https://us2.cloudbeds.com/connect/10074733072513#/reservations/31674499186829?display=MH6VSNG4P&amp;reservation_id=31674499186829", "MH6VSNG4P")</f>
        <v>MH6VSNG4P</v>
      </c>
      <c r="B7604" t="s">
        <v>1108</v>
      </c>
      <c r="C7604">
        <v>139</v>
      </c>
      <c r="D7604">
        <v>151.1</v>
      </c>
      <c r="E7604">
        <v>151.09</v>
      </c>
      <c r="F7604">
        <v>0.01</v>
      </c>
    </row>
    <row r="7605" spans="1:6" x14ac:dyDescent="0.3">
      <c r="A7605" t="str">
        <f>HYPERLINK("https://us2.cloudbeds.com/connect/10074733072513#/reservations/31677481066714?display=MH9923MS9&amp;reservation_id=31677481066714", "MH9923MS9")</f>
        <v>MH9923MS9</v>
      </c>
      <c r="B7605" t="s">
        <v>1009</v>
      </c>
      <c r="C7605">
        <v>106.8</v>
      </c>
      <c r="D7605">
        <v>116.1</v>
      </c>
      <c r="E7605">
        <v>116.09</v>
      </c>
      <c r="F7605">
        <v>0.01</v>
      </c>
    </row>
    <row r="7606" spans="1:6" x14ac:dyDescent="0.3">
      <c r="A7606" t="str">
        <f>HYPERLINK("https://us2.cloudbeds.com/connect/10074733072513#/reservations/31674466418878?display=MH6V12M6X&amp;reservation_id=31674466418878", "MH6V12M6X")</f>
        <v>MH6V12M6X</v>
      </c>
      <c r="B7606" t="s">
        <v>1108</v>
      </c>
      <c r="C7606">
        <v>139</v>
      </c>
      <c r="D7606">
        <v>151.1</v>
      </c>
      <c r="E7606">
        <v>151.09</v>
      </c>
      <c r="F7606">
        <v>0.01</v>
      </c>
    </row>
    <row r="7607" spans="1:6" x14ac:dyDescent="0.3">
      <c r="A7607" t="str">
        <f>HYPERLINK("https://us2.cloudbeds.com/connect/10074733072513#/reservations/31674333413603?display=MH6RKUJVM&amp;reservation_id=31674333413603", "MH6RKUJVM")</f>
        <v>MH6RKUJVM</v>
      </c>
      <c r="B7607" t="s">
        <v>1085</v>
      </c>
      <c r="C7607">
        <v>139</v>
      </c>
      <c r="D7607">
        <v>151.1</v>
      </c>
      <c r="E7607">
        <v>151.09</v>
      </c>
      <c r="F7607">
        <v>0.01</v>
      </c>
    </row>
    <row r="7608" spans="1:6" x14ac:dyDescent="0.3">
      <c r="A7608" t="str">
        <f>HYPERLINK("https://us2.cloudbeds.com/connect/10074733072513#/reservations/31677481070807?display=MH9923QKA&amp;reservation_id=31677481070807", "MH9923QKA")</f>
        <v>MH9923QKA</v>
      </c>
      <c r="B7608" t="s">
        <v>1009</v>
      </c>
      <c r="C7608">
        <v>321.3</v>
      </c>
      <c r="D7608">
        <v>349.26</v>
      </c>
      <c r="E7608">
        <v>349.25</v>
      </c>
      <c r="F7608">
        <v>0.01</v>
      </c>
    </row>
    <row r="7609" spans="1:6" x14ac:dyDescent="0.3">
      <c r="A7609" t="str">
        <f>HYPERLINK("https://us2.cloudbeds.com/connect/10074733072513#/reservations/31675373805706?display=MH7Y771K3&amp;reservation_id=31675373805706", "MH7Y771K3")</f>
        <v>MH7Y771K3</v>
      </c>
      <c r="B7609" t="s">
        <v>1152</v>
      </c>
      <c r="C7609">
        <v>139</v>
      </c>
      <c r="D7609">
        <v>151.1</v>
      </c>
      <c r="E7609">
        <v>151.09</v>
      </c>
      <c r="F7609">
        <v>0.01</v>
      </c>
    </row>
    <row r="7610" spans="1:6" x14ac:dyDescent="0.3">
      <c r="A7610" t="str">
        <f>HYPERLINK("https://us2.cloudbeds.com/connect/10074733072513#/reservations/31675315917055?display=MH7JZD6WX&amp;reservation_id=31675315917055", "MH7JZD6WX")</f>
        <v>MH7JZD6WX</v>
      </c>
      <c r="B7610" t="s">
        <v>1152</v>
      </c>
      <c r="C7610">
        <v>149</v>
      </c>
      <c r="D7610">
        <v>161.97</v>
      </c>
      <c r="E7610">
        <v>161.96</v>
      </c>
      <c r="F7610">
        <v>0.01</v>
      </c>
    </row>
    <row r="7611" spans="1:6" x14ac:dyDescent="0.3">
      <c r="A7611" t="str">
        <f>HYPERLINK("https://us2.cloudbeds.com/connect/10074733072513#/reservations/31674278801585?display=MH6Q7SV61&amp;reservation_id=31674278801585", "MH6Q7SV61")</f>
        <v>MH6Q7SV61</v>
      </c>
      <c r="B7611" t="s">
        <v>1090</v>
      </c>
      <c r="C7611">
        <v>139</v>
      </c>
      <c r="D7611">
        <v>151.1</v>
      </c>
      <c r="E7611">
        <v>151.09</v>
      </c>
      <c r="F7611">
        <v>0.01</v>
      </c>
    </row>
    <row r="7612" spans="1:6" x14ac:dyDescent="0.3">
      <c r="A7612" t="str">
        <f>HYPERLINK("https://us2.cloudbeds.com/connect/10074733072513#/reservations/31679380340956?display=MHAZJKQB6&amp;reservation_id=31679380340956", "MHAZJKQB6")</f>
        <v>MHAZJKQB6</v>
      </c>
      <c r="B7612" t="s">
        <v>1187</v>
      </c>
      <c r="C7612">
        <v>318</v>
      </c>
      <c r="D7612">
        <v>345.68</v>
      </c>
      <c r="E7612">
        <v>345.67</v>
      </c>
      <c r="F7612">
        <v>0.01</v>
      </c>
    </row>
    <row r="7613" spans="1:6" x14ac:dyDescent="0.3">
      <c r="A7613" t="str">
        <f>HYPERLINK("https://us2.cloudbeds.com/connect/10074733072513#/reservations/31676333768919?display=MH8CZMEHE&amp;reservation_id=31676333768919", "MH8CZMEHE")</f>
        <v>MH8CZMEHE</v>
      </c>
      <c r="B7613" t="s">
        <v>1156</v>
      </c>
      <c r="C7613">
        <v>149</v>
      </c>
      <c r="D7613">
        <v>161.97</v>
      </c>
      <c r="E7613">
        <v>161.96</v>
      </c>
      <c r="F7613">
        <v>0.01</v>
      </c>
    </row>
    <row r="7614" spans="1:6" x14ac:dyDescent="0.3">
      <c r="A7614" t="str">
        <f>HYPERLINK("https://us2.cloudbeds.com/connect/10074733072513#/reservations/31674251251863?display=MH6PHYAWW&amp;reservation_id=31674251251863", "MH6PHYAWW")</f>
        <v>MH6PHYAWW</v>
      </c>
      <c r="B7614" t="s">
        <v>1090</v>
      </c>
      <c r="C7614">
        <v>178</v>
      </c>
      <c r="D7614">
        <v>193.5</v>
      </c>
      <c r="E7614">
        <v>193.49</v>
      </c>
      <c r="F7614">
        <v>0.01</v>
      </c>
    </row>
    <row r="7615" spans="1:6" x14ac:dyDescent="0.3">
      <c r="A7615" t="str">
        <f>HYPERLINK("https://us2.cloudbeds.com/connect/10074733072513#/reservations/31675418890440?display=MH7MC7JZ5&amp;reservation_id=31675418890440", "MH7MC7JZ5")</f>
        <v>MH7MC7JZ5</v>
      </c>
      <c r="B7615" t="s">
        <v>1156</v>
      </c>
      <c r="C7615">
        <v>79</v>
      </c>
      <c r="D7615">
        <v>85.88</v>
      </c>
      <c r="E7615">
        <v>85.87</v>
      </c>
      <c r="F7615">
        <v>0.01</v>
      </c>
    </row>
    <row r="7616" spans="1:6" x14ac:dyDescent="0.3">
      <c r="A7616" t="str">
        <f>HYPERLINK("https://us2.cloudbeds.com/connect/10074733072513#/reservations/31676328747206?display=MH8CKEN7A&amp;reservation_id=31676328747206", "MH8CKEN7A")</f>
        <v>MH8CKEN7A</v>
      </c>
      <c r="B7616" t="s">
        <v>1156</v>
      </c>
      <c r="C7616">
        <v>119</v>
      </c>
      <c r="D7616">
        <v>129.36000000000001</v>
      </c>
      <c r="E7616">
        <v>129.35</v>
      </c>
      <c r="F7616">
        <v>0.01</v>
      </c>
    </row>
    <row r="7617" spans="1:6" x14ac:dyDescent="0.3">
      <c r="A7617" t="str">
        <f>HYPERLINK("https://us2.cloudbeds.com/connect/10074733072513#/reservations/31681756229807?display=MHCJA1DF1&amp;reservation_id=31681756229807", "MHCJA1DF1")</f>
        <v>MHCJA1DF1</v>
      </c>
      <c r="B7617" t="s">
        <v>1201</v>
      </c>
      <c r="C7617">
        <v>169</v>
      </c>
      <c r="D7617">
        <v>183.71</v>
      </c>
      <c r="E7617">
        <v>183.7</v>
      </c>
      <c r="F7617">
        <v>0.01</v>
      </c>
    </row>
    <row r="7618" spans="1:6" x14ac:dyDescent="0.3">
      <c r="A7618" t="str">
        <f>HYPERLINK("https://us2.cloudbeds.com/connect/10074733072513#/reservations/31675847467234?display=MH80AKCGZ&amp;reservation_id=31675847467234", "MH80AKCGZ")</f>
        <v>MH80AKCGZ</v>
      </c>
      <c r="B7618" t="s">
        <v>957</v>
      </c>
      <c r="C7618">
        <v>159</v>
      </c>
      <c r="D7618">
        <v>172.84</v>
      </c>
      <c r="E7618">
        <v>172.83</v>
      </c>
      <c r="F7618">
        <v>0.01</v>
      </c>
    </row>
    <row r="7619" spans="1:6" x14ac:dyDescent="0.3">
      <c r="A7619" t="str">
        <f>HYPERLINK("https://us2.cloudbeds.com/connect/10074733072513#/reservations/31675127787695?display=MH7EUP7ZS&amp;reservation_id=31675127787695", "MH7EUP7ZS")</f>
        <v>MH7EUP7ZS</v>
      </c>
      <c r="B7619" t="s">
        <v>1180</v>
      </c>
      <c r="C7619">
        <v>199</v>
      </c>
      <c r="D7619">
        <v>216.32</v>
      </c>
      <c r="E7619">
        <v>216.31</v>
      </c>
      <c r="F7619">
        <v>0.01</v>
      </c>
    </row>
    <row r="7620" spans="1:6" x14ac:dyDescent="0.3">
      <c r="A7620" t="str">
        <f>HYPERLINK("https://us2.cloudbeds.com/connect/10074733072513#/reservations/31675871084770?display=MH80UHXSY&amp;reservation_id=31675871084770", "MH80UHXSY")</f>
        <v>MH80UHXSY</v>
      </c>
      <c r="B7620" t="s">
        <v>957</v>
      </c>
      <c r="C7620">
        <v>159</v>
      </c>
      <c r="D7620">
        <v>172.84</v>
      </c>
      <c r="E7620">
        <v>172.83</v>
      </c>
      <c r="F7620">
        <v>0.01</v>
      </c>
    </row>
    <row r="7621" spans="1:6" x14ac:dyDescent="0.3">
      <c r="A7621" t="str">
        <f>HYPERLINK("https://us2.cloudbeds.com/connect/10074733072513#/reservations/31674719490271?display=MH74GFZWY&amp;reservation_id=31674719490271", "MH74GFZWY")</f>
        <v>MH74GFZWY</v>
      </c>
      <c r="B7621" t="s">
        <v>1200</v>
      </c>
      <c r="C7621">
        <v>179</v>
      </c>
      <c r="D7621">
        <v>194.58</v>
      </c>
      <c r="E7621">
        <v>194.57</v>
      </c>
      <c r="F7621">
        <v>0.01</v>
      </c>
    </row>
    <row r="7622" spans="1:6" x14ac:dyDescent="0.3">
      <c r="A7622" t="str">
        <f>HYPERLINK("https://us2.cloudbeds.com/connect/10074733072513#/reservations/31676116730087?display=MH876M0G4&amp;reservation_id=31676116730087", "MH876M0G4")</f>
        <v>MH876M0G4</v>
      </c>
      <c r="B7622" t="s">
        <v>1172</v>
      </c>
      <c r="C7622">
        <v>169</v>
      </c>
      <c r="D7622">
        <v>183.71</v>
      </c>
      <c r="E7622">
        <v>183.7</v>
      </c>
      <c r="F7622">
        <v>0.01</v>
      </c>
    </row>
    <row r="7623" spans="1:6" x14ac:dyDescent="0.3">
      <c r="A7623" t="str">
        <f>HYPERLINK("https://us2.cloudbeds.com/connect/10074733072513#/reservations/31685748273351?display=MHFMA7TRH&amp;reservation_id=31685748273351", "MHFMA7TRH")</f>
        <v>MHFMA7TRH</v>
      </c>
      <c r="B7623" t="s">
        <v>1013</v>
      </c>
      <c r="C7623">
        <v>258</v>
      </c>
      <c r="D7623">
        <v>280.45999999999998</v>
      </c>
      <c r="E7623">
        <v>280.45</v>
      </c>
      <c r="F7623">
        <v>0.01</v>
      </c>
    </row>
    <row r="7624" spans="1:6" x14ac:dyDescent="0.3">
      <c r="A7624" t="str">
        <f>HYPERLINK("https://us2.cloudbeds.com/connect/10074733072513#/reservations/31674692985028?display=MH73R46UF&amp;reservation_id=31674692985028", "MH73R46UF")</f>
        <v>MH73R46UF</v>
      </c>
      <c r="B7624" t="s">
        <v>1198</v>
      </c>
      <c r="C7624">
        <v>158</v>
      </c>
      <c r="D7624">
        <v>171.76</v>
      </c>
      <c r="E7624">
        <v>171.75</v>
      </c>
      <c r="F7624">
        <v>0.01</v>
      </c>
    </row>
    <row r="7625" spans="1:6" x14ac:dyDescent="0.3">
      <c r="A7625" t="str">
        <f>HYPERLINK("https://us2.cloudbeds.com/connect/10074733072513#/reservations/31675604996283?display=MH7R458R5&amp;reservation_id=31675604996283", "MH7R458R5")</f>
        <v>MH7R458R5</v>
      </c>
      <c r="B7625" t="s">
        <v>1193</v>
      </c>
      <c r="C7625">
        <v>73</v>
      </c>
      <c r="D7625">
        <v>79.36</v>
      </c>
      <c r="E7625">
        <v>79.349999999999994</v>
      </c>
      <c r="F7625">
        <v>0.01</v>
      </c>
    </row>
    <row r="7626" spans="1:6" x14ac:dyDescent="0.3">
      <c r="A7626" t="str">
        <f>HYPERLINK("https://us2.cloudbeds.com/connect/10074733072513#/reservations/31679421018295?display=MHAPKUN8R&amp;reservation_id=31679421018295", "MHAPKUN8R")</f>
        <v>MHAPKUN8R</v>
      </c>
      <c r="B7626" t="s">
        <v>1202</v>
      </c>
      <c r="C7626">
        <v>73</v>
      </c>
      <c r="D7626">
        <v>79.36</v>
      </c>
      <c r="E7626">
        <v>79.349999999999994</v>
      </c>
      <c r="F7626">
        <v>0.01</v>
      </c>
    </row>
    <row r="7627" spans="1:6" x14ac:dyDescent="0.3">
      <c r="A7627" t="str">
        <f>HYPERLINK("https://us2.cloudbeds.com/connect/10074733072513#/reservations/31679643840706?display=MHAVAR273&amp;reservation_id=31679643840706", "MHAVAR273")</f>
        <v>MHAVAR273</v>
      </c>
      <c r="B7627" t="s">
        <v>1203</v>
      </c>
      <c r="C7627">
        <v>73</v>
      </c>
      <c r="D7627">
        <v>79.36</v>
      </c>
      <c r="E7627">
        <v>79.349999999999994</v>
      </c>
      <c r="F7627">
        <v>0.01</v>
      </c>
    </row>
    <row r="7628" spans="1:6" x14ac:dyDescent="0.3">
      <c r="A7628" t="str">
        <f>HYPERLINK("https://us2.cloudbeds.com/connect/10074733072513#/reservations/31676197703892?display=MH898V7JQ&amp;reservation_id=31676197703892", "MH898V7JQ")</f>
        <v>MH898V7JQ</v>
      </c>
      <c r="B7628" t="s">
        <v>1009</v>
      </c>
      <c r="C7628">
        <v>149</v>
      </c>
      <c r="D7628">
        <v>161.97</v>
      </c>
      <c r="E7628">
        <v>161.96</v>
      </c>
      <c r="F7628">
        <v>0.01</v>
      </c>
    </row>
    <row r="7629" spans="1:6" x14ac:dyDescent="0.3">
      <c r="A7629" t="str">
        <f>HYPERLINK("https://us2.cloudbeds.com/connect/10074733072513#/reservations/31686105260261?display=MHFVE8JGM&amp;reservation_id=31686105260261", "MHFVE8JGM")</f>
        <v>MHFVE8JGM</v>
      </c>
      <c r="B7629" t="s">
        <v>1204</v>
      </c>
      <c r="C7629">
        <v>73</v>
      </c>
      <c r="D7629">
        <v>79.36</v>
      </c>
      <c r="E7629">
        <v>79.349999999999994</v>
      </c>
      <c r="F7629">
        <v>0.01</v>
      </c>
    </row>
    <row r="7630" spans="1:6" x14ac:dyDescent="0.3">
      <c r="A7630" t="str">
        <f>HYPERLINK("https://us2.cloudbeds.com/connect/10074733072513#/reservations/31675447378061?display=MH7N38A5D&amp;reservation_id=31675447378061", "MH7N38A5D")</f>
        <v>MH7N38A5D</v>
      </c>
      <c r="B7630" t="s">
        <v>1205</v>
      </c>
      <c r="C7630">
        <v>73</v>
      </c>
      <c r="D7630">
        <v>79.36</v>
      </c>
      <c r="E7630">
        <v>79.349999999999994</v>
      </c>
      <c r="F7630">
        <v>0.01</v>
      </c>
    </row>
    <row r="7631" spans="1:6" x14ac:dyDescent="0.3">
      <c r="A7631" t="str">
        <f>HYPERLINK("https://us2.cloudbeds.com/connect/10074733072513#/reservations/31678290473182?display=MH9TZKKG0&amp;reservation_id=31678290473182", "MH9TZKKG0")</f>
        <v>MH9TZKKG0</v>
      </c>
      <c r="B7631" t="s">
        <v>1206</v>
      </c>
      <c r="C7631">
        <v>73</v>
      </c>
      <c r="D7631">
        <v>79.36</v>
      </c>
      <c r="E7631">
        <v>79.349999999999994</v>
      </c>
      <c r="F7631">
        <v>0.01</v>
      </c>
    </row>
    <row r="7632" spans="1:6" x14ac:dyDescent="0.3">
      <c r="A7632" t="str">
        <f>HYPERLINK("https://us2.cloudbeds.com/connect/10074733072513#/reservations/31674825752824?display=MH7772M30&amp;reservation_id=31674825752824", "MH7772M30")</f>
        <v>MH7772M30</v>
      </c>
      <c r="B7632" t="s">
        <v>1207</v>
      </c>
      <c r="C7632">
        <v>73</v>
      </c>
      <c r="D7632">
        <v>79.36</v>
      </c>
      <c r="E7632">
        <v>79.349999999999994</v>
      </c>
      <c r="F7632">
        <v>0.01</v>
      </c>
    </row>
    <row r="7633" spans="1:6" x14ac:dyDescent="0.3">
      <c r="A7633" t="str">
        <f>HYPERLINK("https://us2.cloudbeds.com/connect/10074733072513#/reservations/31690357104779?display=MHJ82HE8V&amp;reservation_id=31690357104779", "MHJ82HE8V")</f>
        <v>MHJ82HE8V</v>
      </c>
      <c r="B7633" t="s">
        <v>1208</v>
      </c>
      <c r="C7633">
        <v>73</v>
      </c>
      <c r="D7633">
        <v>79.36</v>
      </c>
      <c r="E7633">
        <v>79.349999999999994</v>
      </c>
      <c r="F7633">
        <v>0.01</v>
      </c>
    </row>
    <row r="7634" spans="1:6" x14ac:dyDescent="0.3">
      <c r="A7634" t="str">
        <f>HYPERLINK("https://us2.cloudbeds.com/connect/10074733072513#/reservations/31689671569569?display=MHXNXFDBN&amp;reservation_id=31689671569569", "MHXNXFDBN")</f>
        <v>MHXNXFDBN</v>
      </c>
      <c r="B7634" t="s">
        <v>1209</v>
      </c>
      <c r="C7634">
        <v>73</v>
      </c>
      <c r="D7634">
        <v>79.36</v>
      </c>
      <c r="E7634">
        <v>79.349999999999994</v>
      </c>
      <c r="F7634">
        <v>0.01</v>
      </c>
    </row>
    <row r="7635" spans="1:6" x14ac:dyDescent="0.3">
      <c r="A7635" t="str">
        <f>HYPERLINK("https://us2.cloudbeds.com/connect/10074733072513#/reservations/31689608671361?display=MHXYVE5JD&amp;reservation_id=31689608671361", "MHXYVE5JD")</f>
        <v>MHXYVE5JD</v>
      </c>
      <c r="B7635" t="s">
        <v>1210</v>
      </c>
      <c r="C7635">
        <v>73</v>
      </c>
      <c r="D7635">
        <v>79.36</v>
      </c>
      <c r="E7635">
        <v>79.349999999999994</v>
      </c>
      <c r="F7635">
        <v>0.01</v>
      </c>
    </row>
    <row r="7636" spans="1:6" x14ac:dyDescent="0.3">
      <c r="A7636" t="str">
        <f>HYPERLINK("https://us2.cloudbeds.com/connect/10074733072513#/reservations/31680233832589?display=MHBDDAF70&amp;reservation_id=31680233832589", "MHBDDAF70")</f>
        <v>MHBDDAF70</v>
      </c>
      <c r="B7636" t="s">
        <v>1211</v>
      </c>
      <c r="C7636">
        <v>73</v>
      </c>
      <c r="D7636">
        <v>79.36</v>
      </c>
      <c r="E7636">
        <v>79.349999999999994</v>
      </c>
      <c r="F7636">
        <v>0.01</v>
      </c>
    </row>
    <row r="7637" spans="1:6" x14ac:dyDescent="0.3">
      <c r="A7637" t="str">
        <f>HYPERLINK("https://us2.cloudbeds.com/connect/10074733072513#/reservations/31685730500753?display=MHFYS8BNV&amp;reservation_id=31685730500753", "MHFYS8BNV")</f>
        <v>MHFYS8BNV</v>
      </c>
      <c r="B7637" t="s">
        <v>1212</v>
      </c>
      <c r="C7637">
        <v>73</v>
      </c>
      <c r="D7637">
        <v>79.36</v>
      </c>
      <c r="E7637">
        <v>79.349999999999994</v>
      </c>
      <c r="F7637">
        <v>0.01</v>
      </c>
    </row>
    <row r="7638" spans="1:6" x14ac:dyDescent="0.3">
      <c r="A7638" t="str">
        <f>HYPERLINK("https://us2.cloudbeds.com/connect/10074733072513#/reservations/31685475283104?display=MHFFB1X2Q&amp;reservation_id=31685475283104", "MHFFB1X2Q")</f>
        <v>MHFFB1X2Q</v>
      </c>
      <c r="B7638" t="s">
        <v>1213</v>
      </c>
      <c r="C7638">
        <v>73</v>
      </c>
      <c r="D7638">
        <v>79.36</v>
      </c>
      <c r="E7638">
        <v>79.349999999999994</v>
      </c>
      <c r="F7638">
        <v>0.01</v>
      </c>
    </row>
    <row r="7639" spans="1:6" x14ac:dyDescent="0.3">
      <c r="A7639" t="str">
        <f>HYPERLINK("https://us2.cloudbeds.com/connect/10074733072513#/reservations/31685343826143?display=MHFBW6XKH&amp;reservation_id=31685343826143", "MHFBW6XKH")</f>
        <v>MHFBW6XKH</v>
      </c>
      <c r="B7639" t="s">
        <v>1214</v>
      </c>
      <c r="C7639">
        <v>73</v>
      </c>
      <c r="D7639">
        <v>79.36</v>
      </c>
      <c r="E7639">
        <v>79.349999999999994</v>
      </c>
      <c r="F7639">
        <v>0.01</v>
      </c>
    </row>
    <row r="7640" spans="1:6" x14ac:dyDescent="0.3">
      <c r="A7640" t="str">
        <f>HYPERLINK("https://us2.cloudbeds.com/connect/10074733072513#/reservations/31680556286150?display=MHBYY76R1&amp;reservation_id=31680556286150", "MHBYY76R1")</f>
        <v>MHBYY76R1</v>
      </c>
      <c r="B7640" t="s">
        <v>1215</v>
      </c>
      <c r="C7640">
        <v>73</v>
      </c>
      <c r="D7640">
        <v>79.36</v>
      </c>
      <c r="E7640">
        <v>79.349999999999994</v>
      </c>
      <c r="F7640">
        <v>0.01</v>
      </c>
    </row>
    <row r="7641" spans="1:6" x14ac:dyDescent="0.3">
      <c r="A7641" t="str">
        <f>HYPERLINK("https://us2.cloudbeds.com/connect/10074733072513#/reservations/31686852800651?display=MHGHHK04P&amp;reservation_id=31686852800651", "MHGHHK04P")</f>
        <v>MHGHHK04P</v>
      </c>
      <c r="B7641" t="s">
        <v>1216</v>
      </c>
      <c r="C7641">
        <v>73</v>
      </c>
      <c r="D7641">
        <v>79.36</v>
      </c>
      <c r="E7641">
        <v>79.349999999999994</v>
      </c>
      <c r="F7641">
        <v>0.01</v>
      </c>
    </row>
    <row r="7642" spans="1:6" x14ac:dyDescent="0.3">
      <c r="A7642" t="str">
        <f>HYPERLINK("https://us2.cloudbeds.com/connect/10074733072513#/reservations/31678471286944?display=MHA1C30WU&amp;reservation_id=31678471286944", "MHA1C30WU")</f>
        <v>MHA1C30WU</v>
      </c>
      <c r="B7642" t="s">
        <v>1217</v>
      </c>
      <c r="C7642">
        <v>73</v>
      </c>
      <c r="D7642">
        <v>79.36</v>
      </c>
      <c r="E7642">
        <v>79.349999999999994</v>
      </c>
      <c r="F7642">
        <v>0.01</v>
      </c>
    </row>
    <row r="7643" spans="1:6" x14ac:dyDescent="0.3">
      <c r="A7643" t="str">
        <f>HYPERLINK("https://us2.cloudbeds.com/connect/10074733072513#/reservations/31684414443679?display=MHEY7H46X&amp;reservation_id=31684414443679", "MHEY7H46X")</f>
        <v>MHEY7H46X</v>
      </c>
      <c r="B7643" t="s">
        <v>1218</v>
      </c>
      <c r="C7643">
        <v>73</v>
      </c>
      <c r="D7643">
        <v>79.36</v>
      </c>
      <c r="E7643">
        <v>79.349999999999994</v>
      </c>
      <c r="F7643">
        <v>0.01</v>
      </c>
    </row>
    <row r="7644" spans="1:6" x14ac:dyDescent="0.3">
      <c r="A7644" t="str">
        <f>HYPERLINK("https://us2.cloudbeds.com/connect/10074733072513#/reservations/31675195924681?display=MH7GM7850&amp;reservation_id=31675195924681", "MH7GM7850")</f>
        <v>MH7GM7850</v>
      </c>
      <c r="B7644" t="s">
        <v>1180</v>
      </c>
      <c r="C7644">
        <v>159</v>
      </c>
      <c r="D7644">
        <v>172.84</v>
      </c>
      <c r="E7644">
        <v>172.83</v>
      </c>
      <c r="F7644">
        <v>0.01</v>
      </c>
    </row>
    <row r="7645" spans="1:6" x14ac:dyDescent="0.3">
      <c r="A7645" t="str">
        <f>HYPERLINK("https://us2.cloudbeds.com/connect/10074733072513#/reservations/31677863579883?display=MH9XRYMKE&amp;reservation_id=31677863579883", "MH9XRYMKE")</f>
        <v>MH9XRYMKE</v>
      </c>
      <c r="B7645" t="s">
        <v>1219</v>
      </c>
      <c r="C7645">
        <v>73</v>
      </c>
      <c r="D7645">
        <v>79.36</v>
      </c>
      <c r="E7645">
        <v>79.349999999999994</v>
      </c>
      <c r="F7645">
        <v>0.01</v>
      </c>
    </row>
    <row r="7646" spans="1:6" x14ac:dyDescent="0.3">
      <c r="A7646" t="str">
        <f>HYPERLINK("https://us2.cloudbeds.com/connect/10074733072513#/reservations/31684103659686?display=MHED9F3EQ&amp;reservation_id=31684103659686", "MHED9F3EQ")</f>
        <v>MHED9F3EQ</v>
      </c>
      <c r="B7646" t="s">
        <v>1220</v>
      </c>
      <c r="C7646">
        <v>73</v>
      </c>
      <c r="D7646">
        <v>79.36</v>
      </c>
      <c r="E7646">
        <v>79.349999999999994</v>
      </c>
      <c r="F7646">
        <v>0.01</v>
      </c>
    </row>
    <row r="7647" spans="1:6" x14ac:dyDescent="0.3">
      <c r="A7647" t="str">
        <f>HYPERLINK("https://us2.cloudbeds.com/connect/10074733072513#/reservations/31683957330136?display=MHE9X28T0&amp;reservation_id=31683957330136", "MHE9X28T0")</f>
        <v>MHE9X28T0</v>
      </c>
      <c r="B7647" t="s">
        <v>1221</v>
      </c>
      <c r="C7647">
        <v>73</v>
      </c>
      <c r="D7647">
        <v>79.36</v>
      </c>
      <c r="E7647">
        <v>79.349999999999994</v>
      </c>
      <c r="F7647">
        <v>0.01</v>
      </c>
    </row>
    <row r="7648" spans="1:6" x14ac:dyDescent="0.3">
      <c r="A7648" t="str">
        <f>HYPERLINK("https://us2.cloudbeds.com/connect/10074733072513#/reservations/31679616995478?display=MHAUY61VA&amp;reservation_id=31679616995478", "MHAUY61VA")</f>
        <v>MHAUY61VA</v>
      </c>
      <c r="B7648" t="s">
        <v>1222</v>
      </c>
      <c r="C7648">
        <v>73</v>
      </c>
      <c r="D7648">
        <v>79.36</v>
      </c>
      <c r="E7648">
        <v>79.349999999999994</v>
      </c>
      <c r="F7648">
        <v>0.01</v>
      </c>
    </row>
    <row r="7649" spans="1:6" x14ac:dyDescent="0.3">
      <c r="A7649" t="str">
        <f>HYPERLINK("https://us2.cloudbeds.com/connect/10074733072513#/reservations/31676340576498?display=MH8CUDSZN&amp;reservation_id=31676340576498", "MH8CUDSZN")</f>
        <v>MH8CUDSZN</v>
      </c>
      <c r="B7649" t="s">
        <v>1223</v>
      </c>
      <c r="C7649">
        <v>89</v>
      </c>
      <c r="D7649">
        <v>96.75</v>
      </c>
      <c r="E7649">
        <v>96.74</v>
      </c>
      <c r="F7649">
        <v>0.01</v>
      </c>
    </row>
    <row r="7650" spans="1:6" x14ac:dyDescent="0.3">
      <c r="A7650" t="str">
        <f>HYPERLINK("https://us2.cloudbeds.com/connect/10074733072513#/reservations/31683314192604?display=MHDQ3P0KT&amp;reservation_id=31683314192604", "MHDQ3P0KT")</f>
        <v>MHDQ3P0KT</v>
      </c>
      <c r="B7650" t="s">
        <v>1224</v>
      </c>
      <c r="C7650">
        <v>73</v>
      </c>
      <c r="D7650">
        <v>79.36</v>
      </c>
      <c r="E7650">
        <v>79.349999999999994</v>
      </c>
      <c r="F7650">
        <v>0.01</v>
      </c>
    </row>
    <row r="7651" spans="1:6" x14ac:dyDescent="0.3">
      <c r="A7651" t="str">
        <f>HYPERLINK("https://us2.cloudbeds.com/connect/10074733072513#/reservations/31675021181172?display=MH7C6SZQ5&amp;reservation_id=31675021181172", "MH7C6SZQ5")</f>
        <v>MH7C6SZQ5</v>
      </c>
      <c r="B7651" t="s">
        <v>1207</v>
      </c>
      <c r="C7651">
        <v>178</v>
      </c>
      <c r="D7651">
        <v>193.5</v>
      </c>
      <c r="E7651">
        <v>193.49</v>
      </c>
      <c r="F7651">
        <v>0.01</v>
      </c>
    </row>
    <row r="7652" spans="1:6" x14ac:dyDescent="0.3">
      <c r="A7652" t="str">
        <f>HYPERLINK("https://us2.cloudbeds.com/connect/10074733072513#/reservations/31686971674839?display=MHGKXRS5T&amp;reservation_id=31686971674839", "MHGKXRS5T")</f>
        <v>MHGKXRS5T</v>
      </c>
      <c r="B7652" t="s">
        <v>1225</v>
      </c>
      <c r="C7652">
        <v>73</v>
      </c>
      <c r="D7652">
        <v>79.36</v>
      </c>
      <c r="E7652">
        <v>79.349999999999994</v>
      </c>
      <c r="F7652">
        <v>0.01</v>
      </c>
    </row>
    <row r="7653" spans="1:6" x14ac:dyDescent="0.3">
      <c r="A7653" t="str">
        <f>HYPERLINK("https://us2.cloudbeds.com/connect/10074733072513#/reservations/31675298447514?display=MH7J9M35H&amp;reservation_id=31675298447514", "MH7J9M35H")</f>
        <v>MH7J9M35H</v>
      </c>
      <c r="B7653" t="s">
        <v>1226</v>
      </c>
      <c r="C7653">
        <v>73</v>
      </c>
      <c r="D7653">
        <v>79.36</v>
      </c>
      <c r="E7653">
        <v>79.349999999999994</v>
      </c>
      <c r="F7653">
        <v>0.01</v>
      </c>
    </row>
    <row r="7654" spans="1:6" x14ac:dyDescent="0.3">
      <c r="A7654" t="str">
        <f>HYPERLINK("https://us2.cloudbeds.com/connect/10074733072513#/reservations/31683576172702?display=MHDWQM01Z&amp;reservation_id=31683576172702", "MHDWQM01Z")</f>
        <v>MHDWQM01Z</v>
      </c>
      <c r="B7654" t="s">
        <v>1227</v>
      </c>
      <c r="C7654">
        <v>73</v>
      </c>
      <c r="D7654">
        <v>79.36</v>
      </c>
      <c r="E7654">
        <v>79.349999999999994</v>
      </c>
      <c r="F7654">
        <v>0.01</v>
      </c>
    </row>
    <row r="7655" spans="1:6" x14ac:dyDescent="0.3">
      <c r="A7655" t="str">
        <f>HYPERLINK("https://us2.cloudbeds.com/connect/10074733072513#/reservations/31676391497910?display=MH8E7BRHQ&amp;reservation_id=31676391497910", "MH8E7BRHQ")</f>
        <v>MH8E7BRHQ</v>
      </c>
      <c r="B7655" t="s">
        <v>1198</v>
      </c>
      <c r="C7655">
        <v>73</v>
      </c>
      <c r="D7655">
        <v>79.36</v>
      </c>
      <c r="E7655">
        <v>79.349999999999994</v>
      </c>
      <c r="F7655">
        <v>0.01</v>
      </c>
    </row>
    <row r="7656" spans="1:6" x14ac:dyDescent="0.3">
      <c r="A7656" t="str">
        <f>HYPERLINK("https://us2.cloudbeds.com/connect/10074733072513#/reservations/31689466474624?display=MHXX3AQNQ&amp;reservation_id=31689466474624", "MHXX3AQNQ")</f>
        <v>MHXX3AQNQ</v>
      </c>
      <c r="B7656" t="s">
        <v>1228</v>
      </c>
      <c r="C7656">
        <v>73</v>
      </c>
      <c r="D7656">
        <v>79.36</v>
      </c>
      <c r="E7656">
        <v>79.349999999999994</v>
      </c>
      <c r="F7656">
        <v>0.01</v>
      </c>
    </row>
    <row r="7657" spans="1:6" x14ac:dyDescent="0.3">
      <c r="A7657" t="str">
        <f>HYPERLINK("https://us2.cloudbeds.com/connect/10074733072513#/reservations/31678055964825?display=MH9NZT2Y5&amp;reservation_id=31678055964825", "MH9NZT2Y5")</f>
        <v>MH9NZT2Y5</v>
      </c>
      <c r="B7657" t="s">
        <v>1229</v>
      </c>
      <c r="C7657">
        <v>87.84</v>
      </c>
      <c r="D7657">
        <v>95.49</v>
      </c>
      <c r="E7657">
        <v>95.48</v>
      </c>
      <c r="F7657">
        <v>0.01</v>
      </c>
    </row>
    <row r="7658" spans="1:6" x14ac:dyDescent="0.3">
      <c r="A7658" t="str">
        <f>HYPERLINK("https://us2.cloudbeds.com/connect/10074733072513#/reservations/31676961386703?display=MH8SPTRD5&amp;reservation_id=31676961386703", "MH8SPTRD5")</f>
        <v>MH8SPTRD5</v>
      </c>
      <c r="B7658" t="s">
        <v>957</v>
      </c>
      <c r="C7658">
        <v>169</v>
      </c>
      <c r="D7658">
        <v>183.71</v>
      </c>
      <c r="E7658">
        <v>183.7</v>
      </c>
      <c r="F7658">
        <v>0.01</v>
      </c>
    </row>
    <row r="7659" spans="1:6" x14ac:dyDescent="0.3">
      <c r="A7659" t="str">
        <f>HYPERLINK("https://us2.cloudbeds.com/connect/10074733072513#/reservations/31692922335401?display=MHY7KJZV7&amp;reservation_id=31692922335401", "MHY7KJZV7")</f>
        <v>MHY7KJZV7</v>
      </c>
      <c r="B7659" t="s">
        <v>1230</v>
      </c>
      <c r="C7659">
        <v>73</v>
      </c>
      <c r="D7659">
        <v>79.36</v>
      </c>
      <c r="E7659">
        <v>79.349999999999994</v>
      </c>
      <c r="F7659">
        <v>0.01</v>
      </c>
    </row>
    <row r="7660" spans="1:6" x14ac:dyDescent="0.3">
      <c r="A7660" t="str">
        <f>HYPERLINK("https://us2.cloudbeds.com/connect/10074733072513#/reservations/31677771325623?display=MH9GFSXVQ&amp;reservation_id=31677771325623", "MH9GFSXVQ")</f>
        <v>MH9GFSXVQ</v>
      </c>
      <c r="B7660" t="s">
        <v>1104</v>
      </c>
      <c r="C7660">
        <v>73</v>
      </c>
      <c r="D7660">
        <v>79.36</v>
      </c>
      <c r="E7660">
        <v>79.349999999999994</v>
      </c>
      <c r="F7660">
        <v>0.01</v>
      </c>
    </row>
    <row r="7661" spans="1:6" x14ac:dyDescent="0.3">
      <c r="A7661" t="str">
        <f>HYPERLINK("https://us2.cloudbeds.com/connect/10074733072513#/reservations/31677988638855?display=MH9M13KW8&amp;reservation_id=31677988638855", "MH9M13KW8")</f>
        <v>MH9M13KW8</v>
      </c>
      <c r="B7661" t="s">
        <v>1231</v>
      </c>
      <c r="C7661">
        <v>73</v>
      </c>
      <c r="D7661">
        <v>79.36</v>
      </c>
      <c r="E7661">
        <v>79.349999999999994</v>
      </c>
      <c r="F7661">
        <v>0.01</v>
      </c>
    </row>
    <row r="7662" spans="1:6" x14ac:dyDescent="0.3">
      <c r="A7662" t="str">
        <f>HYPERLINK("https://us2.cloudbeds.com/connect/10074733072513#/reservations/31681380876423?display=MHC9NHYB2&amp;reservation_id=31681380876423", "MHC9NHYB2")</f>
        <v>MHC9NHYB2</v>
      </c>
      <c r="B7662" t="s">
        <v>1232</v>
      </c>
      <c r="C7662">
        <v>73</v>
      </c>
      <c r="D7662">
        <v>79.36</v>
      </c>
      <c r="E7662">
        <v>79.349999999999994</v>
      </c>
      <c r="F7662">
        <v>0.01</v>
      </c>
    </row>
    <row r="7663" spans="1:6" x14ac:dyDescent="0.3">
      <c r="A7663" t="str">
        <f>HYPERLINK("https://us2.cloudbeds.com/connect/10074733072513#/reservations/31689425182850?display=MHXH8NAUG&amp;reservation_id=31689425182850", "MHXH8NAUG")</f>
        <v>MHXH8NAUG</v>
      </c>
      <c r="B7663" t="s">
        <v>1233</v>
      </c>
      <c r="C7663">
        <v>73</v>
      </c>
      <c r="D7663">
        <v>79.36</v>
      </c>
      <c r="E7663">
        <v>79.349999999999994</v>
      </c>
      <c r="F7663">
        <v>0.01</v>
      </c>
    </row>
    <row r="7664" spans="1:6" x14ac:dyDescent="0.3">
      <c r="A7664" t="str">
        <f>HYPERLINK("https://us2.cloudbeds.com/connect/10074733072513#/reservations/31678803751077?display=MHA9SEB1K&amp;reservation_id=31678803751077", "MHA9SEB1K")</f>
        <v>MHA9SEB1K</v>
      </c>
      <c r="B7664" t="s">
        <v>1234</v>
      </c>
      <c r="C7664">
        <v>73</v>
      </c>
      <c r="D7664">
        <v>79.36</v>
      </c>
      <c r="E7664">
        <v>79.349999999999994</v>
      </c>
      <c r="F7664">
        <v>0.01</v>
      </c>
    </row>
    <row r="7665" spans="1:6" x14ac:dyDescent="0.3">
      <c r="A7665" t="str">
        <f>HYPERLINK("https://us2.cloudbeds.com/connect/10074733072513#/reservations/31674605904029?display=MH71JN1ZA&amp;reservation_id=31674605904029", "MH71JN1ZA")</f>
        <v>MH71JN1ZA</v>
      </c>
      <c r="B7665" t="s">
        <v>1200</v>
      </c>
      <c r="C7665">
        <v>119</v>
      </c>
      <c r="D7665">
        <v>129.36000000000001</v>
      </c>
      <c r="E7665">
        <v>129.35</v>
      </c>
      <c r="F7665">
        <v>0.01</v>
      </c>
    </row>
    <row r="7666" spans="1:6" x14ac:dyDescent="0.3">
      <c r="A7666" t="str">
        <f>HYPERLINK("https://us2.cloudbeds.com/connect/10074733072513#/reservations/31691763609811?display=MHKB0HGPX&amp;reservation_id=31691763609811", "MHKB0HGPX")</f>
        <v>MHKB0HGPX</v>
      </c>
      <c r="B7666" t="s">
        <v>1237</v>
      </c>
      <c r="C7666">
        <v>119</v>
      </c>
      <c r="D7666">
        <v>129.36000000000001</v>
      </c>
      <c r="E7666">
        <v>129.35</v>
      </c>
      <c r="F7666">
        <v>0.01</v>
      </c>
    </row>
    <row r="7667" spans="1:6" x14ac:dyDescent="0.3">
      <c r="A7667" t="str">
        <f>HYPERLINK("https://us2.cloudbeds.com/connect/10074733072513#/reservations/31676553629837?display=MH8XC2D0G&amp;reservation_id=31676553629837", "MH8XC2D0G")</f>
        <v>MH8XC2D0G</v>
      </c>
      <c r="B7667" t="s">
        <v>1065</v>
      </c>
      <c r="C7667">
        <v>398</v>
      </c>
      <c r="D7667">
        <v>432.64</v>
      </c>
      <c r="E7667">
        <v>432.63</v>
      </c>
      <c r="F7667">
        <v>0.01</v>
      </c>
    </row>
    <row r="7668" spans="1:6" x14ac:dyDescent="0.3">
      <c r="A7668" t="str">
        <f>HYPERLINK("https://us2.cloudbeds.com/connect/10074733072513#/reservations/31679147356354?display=MHAXY5YNZ&amp;reservation_id=31679147356354", "MHAXY5YNZ")</f>
        <v>MHAXY5YNZ</v>
      </c>
      <c r="B7668" t="s">
        <v>1065</v>
      </c>
      <c r="C7668">
        <v>398</v>
      </c>
      <c r="D7668">
        <v>432.64</v>
      </c>
      <c r="E7668">
        <v>432.63</v>
      </c>
      <c r="F7668">
        <v>0.01</v>
      </c>
    </row>
    <row r="7669" spans="1:6" x14ac:dyDescent="0.3">
      <c r="A7669" t="str">
        <f>HYPERLINK("https://us2.cloudbeds.com/connect/10074733072513#/reservations/31679122370690?display=MHAX03D1D&amp;reservation_id=31679122370690", "MHAX03D1D")</f>
        <v>MHAX03D1D</v>
      </c>
      <c r="B7669" t="s">
        <v>1065</v>
      </c>
      <c r="C7669">
        <v>209</v>
      </c>
      <c r="D7669">
        <v>227.19</v>
      </c>
      <c r="E7669">
        <v>227.18</v>
      </c>
      <c r="F7669">
        <v>0.01</v>
      </c>
    </row>
    <row r="7670" spans="1:6" x14ac:dyDescent="0.3">
      <c r="A7670" t="str">
        <f>HYPERLINK("https://us2.cloudbeds.com/connect/10074733072513#/reservations/31676652949756?display=MH8KTR3T0&amp;reservation_id=31676652949756", "MH8KTR3T0")</f>
        <v>MH8KTR3T0</v>
      </c>
      <c r="B7670" t="s">
        <v>1070</v>
      </c>
      <c r="C7670">
        <v>338</v>
      </c>
      <c r="D7670">
        <v>367.42</v>
      </c>
      <c r="E7670">
        <v>367.41</v>
      </c>
      <c r="F7670">
        <v>0.01</v>
      </c>
    </row>
    <row r="7671" spans="1:6" x14ac:dyDescent="0.3">
      <c r="A7671" t="str">
        <f>HYPERLINK("https://us2.cloudbeds.com/connect/10074733072513#/reservations/31675176312997?display=MH7G5MH8X&amp;reservation_id=31675176312997", "MH7G5MH8X")</f>
        <v>MH7G5MH8X</v>
      </c>
      <c r="B7671" t="s">
        <v>1155</v>
      </c>
      <c r="C7671">
        <v>296</v>
      </c>
      <c r="D7671">
        <v>321.76</v>
      </c>
      <c r="E7671">
        <v>321.75</v>
      </c>
      <c r="F7671">
        <v>0.01</v>
      </c>
    </row>
    <row r="7672" spans="1:6" x14ac:dyDescent="0.3">
      <c r="A7672" t="str">
        <f>HYPERLINK("https://us2.cloudbeds.com/connect/10074733072513#/reservations/31674241003671?display=MH6P905BN&amp;reservation_id=31674241003671", "MH6P905BN")</f>
        <v>MH6P905BN</v>
      </c>
      <c r="B7672" t="s">
        <v>1200</v>
      </c>
      <c r="C7672">
        <v>119</v>
      </c>
      <c r="D7672">
        <v>129.36000000000001</v>
      </c>
      <c r="E7672">
        <v>129.35</v>
      </c>
      <c r="F7672">
        <v>0.01</v>
      </c>
    </row>
    <row r="7673" spans="1:6" x14ac:dyDescent="0.3">
      <c r="A7673" t="str">
        <f>HYPERLINK("https://us2.cloudbeds.com/connect/10074733072513#/reservations/31674744156301?display=MH7549453&amp;reservation_id=31674744156301", "MH7549453")</f>
        <v>MH7549453</v>
      </c>
      <c r="B7673" t="s">
        <v>1090</v>
      </c>
      <c r="C7673">
        <v>139</v>
      </c>
      <c r="D7673">
        <v>151.1</v>
      </c>
      <c r="E7673">
        <v>151.09</v>
      </c>
      <c r="F7673">
        <v>0.01</v>
      </c>
    </row>
    <row r="7674" spans="1:6" x14ac:dyDescent="0.3">
      <c r="A7674" t="str">
        <f>HYPERLINK("https://us2.cloudbeds.com/connect/10074733072513#/reservations/31674247110850?display=MH6PE53DZ&amp;reservation_id=31674247110850", "MH6PE53DZ")</f>
        <v>MH6PE53DZ</v>
      </c>
      <c r="B7674" t="s">
        <v>1090</v>
      </c>
      <c r="C7674">
        <v>109</v>
      </c>
      <c r="D7674">
        <v>118.49</v>
      </c>
      <c r="E7674">
        <v>118.48</v>
      </c>
      <c r="F7674">
        <v>0.01</v>
      </c>
    </row>
    <row r="7675" spans="1:6" x14ac:dyDescent="0.3">
      <c r="A7675" t="str">
        <f>HYPERLINK("https://us2.cloudbeds.com/connect/10074733072513#/reservations/31682695287037?display=MHDA9T1VZ&amp;reservation_id=31682695287037", "MHDA9T1VZ")</f>
        <v>MHDA9T1VZ</v>
      </c>
      <c r="B7675" t="s">
        <v>1079</v>
      </c>
      <c r="C7675">
        <v>576</v>
      </c>
      <c r="D7675">
        <v>626.12</v>
      </c>
      <c r="E7675">
        <v>626.11</v>
      </c>
      <c r="F7675">
        <v>0.01</v>
      </c>
    </row>
    <row r="7676" spans="1:6" x14ac:dyDescent="0.3">
      <c r="A7676" t="str">
        <f>HYPERLINK("https://us2.cloudbeds.com/connect/10074733072513#/reservations/31677784862896?display=MH9GR98T6&amp;reservation_id=31677784862896", "MH9GR98T6")</f>
        <v>MH9GR98T6</v>
      </c>
      <c r="B7676" t="s">
        <v>1197</v>
      </c>
      <c r="C7676">
        <v>73</v>
      </c>
      <c r="D7676">
        <v>79.36</v>
      </c>
      <c r="E7676">
        <v>79.349999999999994</v>
      </c>
      <c r="F7676">
        <v>0.01</v>
      </c>
    </row>
    <row r="7677" spans="1:6" x14ac:dyDescent="0.3">
      <c r="A7677" t="str">
        <f>HYPERLINK("https://us2.cloudbeds.com/connect/10074733072513#/reservations/31677797941402?display=MH9H5A6HX&amp;reservation_id=31677797941402", "MH9H5A6HX")</f>
        <v>MH9H5A6HX</v>
      </c>
      <c r="B7677" t="s">
        <v>1197</v>
      </c>
      <c r="C7677">
        <v>129</v>
      </c>
      <c r="D7677">
        <v>140.22999999999999</v>
      </c>
      <c r="E7677">
        <v>140.22</v>
      </c>
      <c r="F7677">
        <v>0.01</v>
      </c>
    </row>
    <row r="7678" spans="1:6" x14ac:dyDescent="0.3">
      <c r="A7678" t="str">
        <f>HYPERLINK("https://us2.cloudbeds.com/connect/10074733072513#/reservations/31676861849810?display=MH8Q7W29M&amp;reservation_id=31676861849810", "MH8Q7W29M")</f>
        <v>MH8Q7W29M</v>
      </c>
      <c r="B7678" t="s">
        <v>957</v>
      </c>
      <c r="C7678">
        <v>179</v>
      </c>
      <c r="D7678">
        <v>194.58</v>
      </c>
      <c r="E7678">
        <v>194.57</v>
      </c>
      <c r="F7678">
        <v>0.01</v>
      </c>
    </row>
    <row r="7679" spans="1:6" x14ac:dyDescent="0.3">
      <c r="A7679" t="str">
        <f>HYPERLINK("https://us2.cloudbeds.com/connect/10074733072513#/reservations/31675054719221?display=MH7D24WTM&amp;reservation_id=31675054719221", "MH7D24WTM")</f>
        <v>MH7D24WTM</v>
      </c>
      <c r="B7679" t="s">
        <v>1207</v>
      </c>
      <c r="C7679">
        <v>79</v>
      </c>
      <c r="D7679">
        <v>85.88</v>
      </c>
      <c r="E7679">
        <v>85.87</v>
      </c>
      <c r="F7679">
        <v>0.01</v>
      </c>
    </row>
    <row r="7680" spans="1:6" x14ac:dyDescent="0.3">
      <c r="A7680" t="str">
        <f>HYPERLINK("https://us2.cloudbeds.com/connect/10074733072513#/reservations/31675046338719?display=MH7CS2QA2&amp;reservation_id=31675046338719", "MH7CS2QA2")</f>
        <v>MH7CS2QA2</v>
      </c>
      <c r="B7680" t="s">
        <v>1207</v>
      </c>
      <c r="C7680">
        <v>79</v>
      </c>
      <c r="D7680">
        <v>85.88</v>
      </c>
      <c r="E7680">
        <v>85.87</v>
      </c>
      <c r="F7680">
        <v>0.01</v>
      </c>
    </row>
    <row r="7681" spans="1:6" x14ac:dyDescent="0.3">
      <c r="A7681" t="str">
        <f>HYPERLINK("https://us2.cloudbeds.com/connect/10074733072513#/reservations/31675059789962?display=MH7D6E37G&amp;reservation_id=31675059789962", "MH7D6E37G")</f>
        <v>MH7D6E37G</v>
      </c>
      <c r="B7681" t="s">
        <v>1207</v>
      </c>
      <c r="C7681">
        <v>79</v>
      </c>
      <c r="D7681">
        <v>85.88</v>
      </c>
      <c r="E7681">
        <v>85.87</v>
      </c>
      <c r="F7681">
        <v>0.01</v>
      </c>
    </row>
    <row r="7682" spans="1:6" x14ac:dyDescent="0.3">
      <c r="A7682" t="str">
        <f>HYPERLINK("https://us2.cloudbeds.com/connect/10074733072513#/reservations/31674810314946?display=MH76R22TH&amp;reservation_id=31674810314946", "MH76R22TH")</f>
        <v>MH76R22TH</v>
      </c>
      <c r="B7682" t="s">
        <v>1169</v>
      </c>
      <c r="C7682">
        <v>79</v>
      </c>
      <c r="D7682">
        <v>85.88</v>
      </c>
      <c r="E7682">
        <v>85.87</v>
      </c>
      <c r="F7682">
        <v>0.01</v>
      </c>
    </row>
    <row r="7683" spans="1:6" x14ac:dyDescent="0.3">
      <c r="A7683" t="str">
        <f>HYPERLINK("https://us2.cloudbeds.com/connect/10074733072513#/reservations/31678103531735?display=MH9ZVWN2M&amp;reservation_id=31678103531735", "MH9ZVWN2M")</f>
        <v>MH9ZVWN2M</v>
      </c>
      <c r="B7683" t="s">
        <v>1169</v>
      </c>
      <c r="C7683">
        <v>119</v>
      </c>
      <c r="D7683">
        <v>129.36000000000001</v>
      </c>
      <c r="E7683">
        <v>129.35</v>
      </c>
      <c r="F7683">
        <v>0.01</v>
      </c>
    </row>
    <row r="7684" spans="1:6" x14ac:dyDescent="0.3">
      <c r="A7684" t="str">
        <f>HYPERLINK("https://us2.cloudbeds.com/connect/10074733072513#/reservations/31681108476034?display=MHC2ZRN7R&amp;reservation_id=31681108476034", "MHC2ZRN7R")</f>
        <v>MHC2ZRN7R</v>
      </c>
      <c r="B7684" t="s">
        <v>1174</v>
      </c>
      <c r="C7684">
        <v>218</v>
      </c>
      <c r="D7684">
        <v>236.98</v>
      </c>
      <c r="E7684">
        <v>236.97</v>
      </c>
      <c r="F7684">
        <v>0.01</v>
      </c>
    </row>
    <row r="7685" spans="1:6" x14ac:dyDescent="0.3">
      <c r="A7685" t="str">
        <f>HYPERLINK("https://us2.cloudbeds.com/connect/10074733072513#/reservations/31676767305961?display=MH8NR885X&amp;reservation_id=31676767305961", "MH8NR885X")</f>
        <v>MH8NR885X</v>
      </c>
      <c r="B7685" t="s">
        <v>957</v>
      </c>
      <c r="C7685">
        <v>358</v>
      </c>
      <c r="D7685">
        <v>389.16</v>
      </c>
      <c r="E7685">
        <v>389.15</v>
      </c>
      <c r="F7685">
        <v>0.01</v>
      </c>
    </row>
    <row r="7686" spans="1:6" x14ac:dyDescent="0.3">
      <c r="A7686" t="str">
        <f>HYPERLINK("https://us2.cloudbeds.com/connect/10074733072513#/reservations/31682575302813?display=MHD77NAK5&amp;reservation_id=31682575302813", "MHD77NAK5")</f>
        <v>MHD77NAK5</v>
      </c>
      <c r="B7686" t="s">
        <v>1135</v>
      </c>
      <c r="C7686">
        <v>159</v>
      </c>
      <c r="D7686">
        <v>172.84</v>
      </c>
      <c r="E7686">
        <v>172.83</v>
      </c>
      <c r="F7686">
        <v>0.01</v>
      </c>
    </row>
    <row r="7687" spans="1:6" x14ac:dyDescent="0.3">
      <c r="A7687" t="str">
        <f>HYPERLINK("https://us2.cloudbeds.com/connect/10074733072513#/reservations/31678194565320?display=MH9R9ZRR5&amp;reservation_id=31678194565320", "MH9R9ZRR5")</f>
        <v>MH9R9ZRR5</v>
      </c>
      <c r="B7687" t="s">
        <v>878</v>
      </c>
      <c r="C7687">
        <v>258</v>
      </c>
      <c r="D7687">
        <v>280.45999999999998</v>
      </c>
      <c r="E7687">
        <v>280.45</v>
      </c>
      <c r="F7687">
        <v>0.01</v>
      </c>
    </row>
    <row r="7688" spans="1:6" x14ac:dyDescent="0.3">
      <c r="A7688" t="str">
        <f>HYPERLINK("https://us2.cloudbeds.com/connect/10074733072513#/reservations/31675368517829?display=MH7Y2ZTTD&amp;reservation_id=31675368517829", "MH7Y2ZTTD")</f>
        <v>MH7Y2ZTTD</v>
      </c>
      <c r="B7688" t="s">
        <v>1155</v>
      </c>
      <c r="C7688">
        <v>238</v>
      </c>
      <c r="D7688">
        <v>258.72000000000003</v>
      </c>
      <c r="E7688">
        <v>258.70999999999998</v>
      </c>
      <c r="F7688">
        <v>0.01</v>
      </c>
    </row>
    <row r="7689" spans="1:6" x14ac:dyDescent="0.3">
      <c r="A7689" t="str">
        <f>HYPERLINK("https://us2.cloudbeds.com/connect/10074733072513#/reservations/31681536680132?display=MHCDMU3PJ&amp;reservation_id=31681536680132", "MHCDMU3PJ")</f>
        <v>MHCDMU3PJ</v>
      </c>
      <c r="B7689" t="s">
        <v>1201</v>
      </c>
      <c r="C7689">
        <v>338</v>
      </c>
      <c r="D7689">
        <v>367.42</v>
      </c>
      <c r="E7689">
        <v>367.41</v>
      </c>
      <c r="F7689">
        <v>0.01</v>
      </c>
    </row>
    <row r="7690" spans="1:6" x14ac:dyDescent="0.3">
      <c r="A7690" t="str">
        <f>HYPERLINK("https://us2.cloudbeds.com/connect/10074733072513#/reservations/31676671549636?display=MH8YCGMYZ&amp;reservation_id=31676671549636", "MH8YCGMYZ")</f>
        <v>MH8YCGMYZ</v>
      </c>
      <c r="B7690" t="s">
        <v>1070</v>
      </c>
      <c r="C7690">
        <v>318</v>
      </c>
      <c r="D7690">
        <v>345.68</v>
      </c>
      <c r="E7690">
        <v>345.67</v>
      </c>
      <c r="F7690">
        <v>0.01</v>
      </c>
    </row>
    <row r="7691" spans="1:6" x14ac:dyDescent="0.3">
      <c r="A7691" t="str">
        <f>HYPERLINK("https://us2.cloudbeds.com/connect/10074733072513#/reservations/31676671545541?display=MH8YCGXTY&amp;reservation_id=31676671545541", "MH8YCGXTY")</f>
        <v>MH8YCGXTY</v>
      </c>
      <c r="B7691" t="s">
        <v>1070</v>
      </c>
      <c r="C7691">
        <v>106.8</v>
      </c>
      <c r="D7691">
        <v>116.1</v>
      </c>
      <c r="E7691">
        <v>116.09</v>
      </c>
      <c r="F7691">
        <v>0.01</v>
      </c>
    </row>
    <row r="7692" spans="1:6" x14ac:dyDescent="0.3">
      <c r="A7692" t="str">
        <f>HYPERLINK("https://us2.cloudbeds.com/connect/10074733072513#/reservations/31675002200198?display=MH7BNSJ24&amp;reservation_id=31675002200198", "MH7BNSJ24")</f>
        <v>MH7BNSJ24</v>
      </c>
      <c r="B7692" t="s">
        <v>1207</v>
      </c>
      <c r="C7692">
        <v>222</v>
      </c>
      <c r="D7692">
        <v>241.32</v>
      </c>
      <c r="E7692">
        <v>241.31</v>
      </c>
      <c r="F7692">
        <v>0.01</v>
      </c>
    </row>
    <row r="7693" spans="1:6" x14ac:dyDescent="0.3">
      <c r="A7693" t="str">
        <f>HYPERLINK("https://us2.cloudbeds.com/connect/10074733072513#/reservations/31674680488151?display=MH73GJFC7&amp;reservation_id=31674680488151", "MH73GJFC7")</f>
        <v>MH73GJFC7</v>
      </c>
      <c r="B7693" t="s">
        <v>1169</v>
      </c>
      <c r="C7693">
        <v>119</v>
      </c>
      <c r="D7693">
        <v>129.36000000000001</v>
      </c>
      <c r="E7693">
        <v>129.35</v>
      </c>
      <c r="F7693">
        <v>0.01</v>
      </c>
    </row>
    <row r="7694" spans="1:6" x14ac:dyDescent="0.3">
      <c r="A7694" t="str">
        <f>HYPERLINK("https://us2.cloudbeds.com/connect/10074733072513#/reservations/31675701895382?display=MH7TJSKNG&amp;reservation_id=31675701895382", "MH7TJSKNG")</f>
        <v>MH7TJSKNG</v>
      </c>
      <c r="B7694" t="s">
        <v>1238</v>
      </c>
      <c r="C7694">
        <v>238</v>
      </c>
      <c r="D7694">
        <v>258.72000000000003</v>
      </c>
      <c r="E7694">
        <v>258.70999999999998</v>
      </c>
      <c r="F7694">
        <v>0.01</v>
      </c>
    </row>
    <row r="7695" spans="1:6" x14ac:dyDescent="0.3">
      <c r="A7695" t="str">
        <f>HYPERLINK("https://us2.cloudbeds.com/connect/10074733072513#/reservations/31678037745860?display=MH9N9H3YA&amp;reservation_id=31678037745860", "MH9N9H3YA")</f>
        <v>MH9N9H3YA</v>
      </c>
      <c r="B7695" t="s">
        <v>1175</v>
      </c>
      <c r="C7695">
        <v>398</v>
      </c>
      <c r="D7695">
        <v>432.64</v>
      </c>
      <c r="E7695">
        <v>432.63</v>
      </c>
      <c r="F7695">
        <v>0.01</v>
      </c>
    </row>
    <row r="7696" spans="1:6" x14ac:dyDescent="0.3">
      <c r="A7696" t="str">
        <f>HYPERLINK("https://us2.cloudbeds.com/connect/10074733072513#/reservations/31675082174671?display=MH7DP9WH0&amp;reservation_id=31675082174671", "MH7DP9WH0")</f>
        <v>MH7DP9WH0</v>
      </c>
      <c r="B7696" t="s">
        <v>1207</v>
      </c>
      <c r="C7696">
        <v>79</v>
      </c>
      <c r="D7696">
        <v>85.88</v>
      </c>
      <c r="E7696">
        <v>85.87</v>
      </c>
      <c r="F7696">
        <v>0.01</v>
      </c>
    </row>
    <row r="7697" spans="1:6" x14ac:dyDescent="0.3">
      <c r="A7697" t="str">
        <f>HYPERLINK("https://us2.cloudbeds.com/connect/10074733072513#/reservations/31679430078596?display=MHAPSXR3D&amp;reservation_id=31679430078596", "MHAPSXR3D")</f>
        <v>MHAPSXR3D</v>
      </c>
      <c r="B7697" t="s">
        <v>1187</v>
      </c>
      <c r="C7697">
        <v>707</v>
      </c>
      <c r="D7697">
        <v>768.52</v>
      </c>
      <c r="E7697">
        <v>768.51</v>
      </c>
      <c r="F7697">
        <v>0.01</v>
      </c>
    </row>
    <row r="7698" spans="1:6" x14ac:dyDescent="0.3">
      <c r="A7698" t="str">
        <f>HYPERLINK("https://us2.cloudbeds.com/connect/10074733072513#/reservations/31676014993607?display=MH84JT1XG&amp;reservation_id=31676014993607", "MH84JT1XG")</f>
        <v>MH84JT1XG</v>
      </c>
      <c r="B7698" t="s">
        <v>1199</v>
      </c>
      <c r="C7698">
        <v>169</v>
      </c>
      <c r="D7698">
        <v>183.71</v>
      </c>
      <c r="E7698">
        <v>183.7</v>
      </c>
      <c r="F7698">
        <v>0.01</v>
      </c>
    </row>
    <row r="7699" spans="1:6" x14ac:dyDescent="0.3">
      <c r="A7699" t="str">
        <f>HYPERLINK("https://us2.cloudbeds.com/connect/10074733072513#/reservations/31675135279314?display=MH7F42N3K&amp;reservation_id=31675135279314", "MH7F42N3K")</f>
        <v>MH7F42N3K</v>
      </c>
      <c r="B7699" t="s">
        <v>1207</v>
      </c>
      <c r="C7699">
        <v>106.8</v>
      </c>
      <c r="D7699">
        <v>116.1</v>
      </c>
      <c r="E7699">
        <v>116.09</v>
      </c>
      <c r="F7699">
        <v>0.01</v>
      </c>
    </row>
    <row r="7700" spans="1:6" x14ac:dyDescent="0.3">
      <c r="A7700" t="str">
        <f>HYPERLINK("https://us2.cloudbeds.com/connect/10074733072513#/reservations/31675782402284?display=MH7VYZS2J&amp;reservation_id=31675782402284", "MH7VYZS2J")</f>
        <v>MH7VYZS2J</v>
      </c>
      <c r="B7700" t="s">
        <v>1034</v>
      </c>
      <c r="C7700">
        <v>169</v>
      </c>
      <c r="D7700">
        <v>183.71</v>
      </c>
      <c r="E7700">
        <v>183.7</v>
      </c>
      <c r="F7700">
        <v>0.01</v>
      </c>
    </row>
    <row r="7701" spans="1:6" x14ac:dyDescent="0.3">
      <c r="A7701" t="str">
        <f>HYPERLINK("https://us2.cloudbeds.com/connect/10074733072513#/reservations/31675155693731?display=MH7FY9P4A&amp;reservation_id=31675155693731", "MH7FY9P4A")</f>
        <v>MH7FY9P4A</v>
      </c>
      <c r="B7701" t="s">
        <v>1155</v>
      </c>
      <c r="C7701">
        <v>149</v>
      </c>
      <c r="D7701">
        <v>161.97</v>
      </c>
      <c r="E7701">
        <v>161.96</v>
      </c>
      <c r="F7701">
        <v>0.01</v>
      </c>
    </row>
    <row r="7702" spans="1:6" x14ac:dyDescent="0.3">
      <c r="A7702" t="str">
        <f>HYPERLINK("https://us2.cloudbeds.com/connect/10074733072513#/reservations/31675384656017?display=MH7YGBW5D&amp;reservation_id=31675384656017", "MH7YGBW5D")</f>
        <v>MH7YGBW5D</v>
      </c>
      <c r="B7702" t="s">
        <v>1155</v>
      </c>
      <c r="C7702">
        <v>87.84</v>
      </c>
      <c r="D7702">
        <v>95.49</v>
      </c>
      <c r="E7702">
        <v>95.48</v>
      </c>
      <c r="F7702">
        <v>0.01</v>
      </c>
    </row>
    <row r="7703" spans="1:6" x14ac:dyDescent="0.3">
      <c r="A7703" t="str">
        <f>HYPERLINK("https://us2.cloudbeds.com/connect/10074733072513#/reservations/31676741026013?display=MH8N52VWG&amp;reservation_id=31676741026013", "MH8N52VWG")</f>
        <v>MH8N52VWG</v>
      </c>
      <c r="B7703" t="s">
        <v>1070</v>
      </c>
      <c r="C7703">
        <v>169</v>
      </c>
      <c r="D7703">
        <v>183.71</v>
      </c>
      <c r="E7703">
        <v>183.7</v>
      </c>
      <c r="F7703">
        <v>0.01</v>
      </c>
    </row>
    <row r="7704" spans="1:6" x14ac:dyDescent="0.3">
      <c r="A7704" t="str">
        <f>HYPERLINK("https://us2.cloudbeds.com/connect/10074733072513#/reservations/31676924661988?display=MH8RX188M&amp;reservation_id=31676924661988", "MH8RX188M")</f>
        <v>MH8RX188M</v>
      </c>
      <c r="B7704" t="s">
        <v>957</v>
      </c>
      <c r="C7704">
        <v>358</v>
      </c>
      <c r="D7704">
        <v>389.16</v>
      </c>
      <c r="E7704">
        <v>389.15</v>
      </c>
      <c r="F7704">
        <v>0.01</v>
      </c>
    </row>
    <row r="7705" spans="1:6" x14ac:dyDescent="0.3">
      <c r="A7705" t="str">
        <f>HYPERLINK("https://us2.cloudbeds.com/connect/10074733072513#/reservations/31676018565333?display=MH84MTECK&amp;reservation_id=31676018565333", "MH84MTECK")</f>
        <v>MH84MTECK</v>
      </c>
      <c r="B7705" t="s">
        <v>1166</v>
      </c>
      <c r="C7705">
        <v>211.88</v>
      </c>
      <c r="D7705">
        <v>230.32</v>
      </c>
      <c r="E7705">
        <v>230.31</v>
      </c>
      <c r="F7705">
        <v>0.01</v>
      </c>
    </row>
    <row r="7706" spans="1:6" x14ac:dyDescent="0.3">
      <c r="A7706" t="str">
        <f>HYPERLINK("https://us2.cloudbeds.com/connect/10074733072513#/reservations/31678550089914?display=MHA3CHRMN&amp;reservation_id=31678550089914", "MHA3CHRMN")</f>
        <v>MHA3CHRMN</v>
      </c>
      <c r="B7706" t="s">
        <v>1195</v>
      </c>
      <c r="C7706">
        <v>298</v>
      </c>
      <c r="D7706">
        <v>323.94</v>
      </c>
      <c r="E7706">
        <v>323.93</v>
      </c>
      <c r="F7706">
        <v>0.01</v>
      </c>
    </row>
    <row r="7707" spans="1:6" x14ac:dyDescent="0.3">
      <c r="A7707" t="str">
        <f>HYPERLINK("https://us2.cloudbeds.com/connect/10074733072513#/reservations/31675392221432?display=MH7YMZG9D&amp;reservation_id=31675392221432", "MH7YMZG9D")</f>
        <v>MH7YMZG9D</v>
      </c>
      <c r="B7707" t="s">
        <v>1155</v>
      </c>
      <c r="C7707">
        <v>89</v>
      </c>
      <c r="D7707">
        <v>96.75</v>
      </c>
      <c r="E7707">
        <v>96.74</v>
      </c>
      <c r="F7707">
        <v>0.01</v>
      </c>
    </row>
    <row r="7708" spans="1:6" x14ac:dyDescent="0.3">
      <c r="A7708" t="str">
        <f>HYPERLINK("https://us2.cloudbeds.com/connect/10074733072513#/reservations/31675072098493?display=MH7DGQJR9&amp;reservation_id=31675072098493", "MH7DGQJR9")</f>
        <v>MH7DGQJR9</v>
      </c>
      <c r="B7708" t="s">
        <v>1240</v>
      </c>
      <c r="C7708">
        <v>226.1</v>
      </c>
      <c r="D7708">
        <v>245.78</v>
      </c>
      <c r="E7708">
        <v>245.77</v>
      </c>
      <c r="F7708">
        <v>0.01</v>
      </c>
    </row>
    <row r="7709" spans="1:6" x14ac:dyDescent="0.3">
      <c r="A7709" t="str">
        <f>HYPERLINK("https://us2.cloudbeds.com/connect/10074733072513#/reservations/31678230192294?display=MH9S6Q74E&amp;reservation_id=31678230192294", "MH9S6Q74E")</f>
        <v>MH9S6Q74E</v>
      </c>
      <c r="B7709" t="s">
        <v>1070</v>
      </c>
      <c r="C7709">
        <v>159</v>
      </c>
      <c r="D7709">
        <v>172.84</v>
      </c>
      <c r="E7709">
        <v>172.83</v>
      </c>
      <c r="F7709">
        <v>0.01</v>
      </c>
    </row>
    <row r="7710" spans="1:6" x14ac:dyDescent="0.3">
      <c r="A7710" t="str">
        <f>HYPERLINK("https://us2.cloudbeds.com/connect/10074733072513#/reservations/31675165323510?display=MH7FTDNTQ&amp;reservation_id=31675165323510", "MH7FTDNTQ")</f>
        <v>MH7FTDNTQ</v>
      </c>
      <c r="B7710" t="s">
        <v>1155</v>
      </c>
      <c r="C7710">
        <v>139</v>
      </c>
      <c r="D7710">
        <v>151.1</v>
      </c>
      <c r="E7710">
        <v>151.09</v>
      </c>
      <c r="F7710">
        <v>0.01</v>
      </c>
    </row>
    <row r="7711" spans="1:6" x14ac:dyDescent="0.3">
      <c r="A7711" t="str">
        <f>HYPERLINK("https://us2.cloudbeds.com/connect/10074733072513#/reservations/31676734210182?display=MH8MWBA65&amp;reservation_id=31676734210182", "MH8MWBA65")</f>
        <v>MH8MWBA65</v>
      </c>
      <c r="B7711" t="s">
        <v>1070</v>
      </c>
      <c r="C7711">
        <v>159</v>
      </c>
      <c r="D7711">
        <v>172.84</v>
      </c>
      <c r="E7711">
        <v>172.83</v>
      </c>
      <c r="F7711">
        <v>0.01</v>
      </c>
    </row>
    <row r="7712" spans="1:6" x14ac:dyDescent="0.3">
      <c r="A7712" t="str">
        <f>HYPERLINK("https://us2.cloudbeds.com/connect/10074733072513#/reservations/31681644044444?display=MHCGEEMJJ&amp;reservation_id=31681644044444", "MHCGEEMJJ")</f>
        <v>MHCGEEMJJ</v>
      </c>
      <c r="B7712" t="s">
        <v>819</v>
      </c>
      <c r="C7712">
        <v>139</v>
      </c>
      <c r="D7712">
        <v>151.1</v>
      </c>
      <c r="E7712">
        <v>151.09</v>
      </c>
      <c r="F7712">
        <v>0.01</v>
      </c>
    </row>
    <row r="7713" spans="1:6" x14ac:dyDescent="0.3">
      <c r="A7713" t="str">
        <f>HYPERLINK("https://us2.cloudbeds.com/connect/10074733072513#/reservations/31678309662852?display=MH9U7QJS5&amp;reservation_id=31678309662852", "MH9U7QJS5")</f>
        <v>MH9U7QJS5</v>
      </c>
      <c r="B7713" t="s">
        <v>1184</v>
      </c>
      <c r="C7713">
        <v>237</v>
      </c>
      <c r="D7713">
        <v>257.63</v>
      </c>
      <c r="E7713">
        <v>257.62</v>
      </c>
      <c r="F7713">
        <v>0.01</v>
      </c>
    </row>
    <row r="7714" spans="1:6" x14ac:dyDescent="0.3">
      <c r="A7714" t="str">
        <f>HYPERLINK("https://us2.cloudbeds.com/connect/10074733072513#/reservations/31676713095296?display=MH8M8YYKZ&amp;reservation_id=31676713095296", "MH8M8YYKZ")</f>
        <v>MH8M8YYKZ</v>
      </c>
      <c r="B7714" t="s">
        <v>1034</v>
      </c>
      <c r="C7714">
        <v>338</v>
      </c>
      <c r="D7714">
        <v>367.42</v>
      </c>
      <c r="E7714">
        <v>367.41</v>
      </c>
      <c r="F7714">
        <v>0.01</v>
      </c>
    </row>
    <row r="7715" spans="1:6" x14ac:dyDescent="0.3">
      <c r="A7715" t="str">
        <f>HYPERLINK("https://us2.cloudbeds.com/connect/10074733072513#/reservations/31676900606135?display=MH8R7YH6P&amp;reservation_id=31676900606135", "MH8R7YH6P")</f>
        <v>MH8R7YH6P</v>
      </c>
      <c r="B7715" t="s">
        <v>1141</v>
      </c>
      <c r="C7715">
        <v>169</v>
      </c>
      <c r="D7715">
        <v>183.71</v>
      </c>
      <c r="E7715">
        <v>183.7</v>
      </c>
      <c r="F7715">
        <v>0.01</v>
      </c>
    </row>
    <row r="7716" spans="1:6" x14ac:dyDescent="0.3">
      <c r="A7716" t="str">
        <f>HYPERLINK("https://us2.cloudbeds.com/connect/10074733072513#/reservations/31678280872185?display=MH9TGHF4N&amp;reservation_id=31678280872185", "MH9TGHF4N")</f>
        <v>MH9TGHF4N</v>
      </c>
      <c r="B7716" t="s">
        <v>1050</v>
      </c>
      <c r="C7716">
        <v>77.5</v>
      </c>
      <c r="D7716">
        <v>84.25</v>
      </c>
      <c r="E7716">
        <v>84.24</v>
      </c>
      <c r="F7716">
        <v>0.01</v>
      </c>
    </row>
    <row r="7717" spans="1:6" x14ac:dyDescent="0.3">
      <c r="A7717" t="str">
        <f>HYPERLINK("https://us2.cloudbeds.com/connect/10074733072513#/reservations/31682825449622?display=MHDDKY0RG&amp;reservation_id=31682825449622", "MHDDKY0RG")</f>
        <v>MHDDKY0RG</v>
      </c>
      <c r="B7717" t="s">
        <v>1242</v>
      </c>
      <c r="C7717">
        <v>338</v>
      </c>
      <c r="D7717">
        <v>367.42</v>
      </c>
      <c r="E7717">
        <v>367.41</v>
      </c>
      <c r="F7717">
        <v>0.01</v>
      </c>
    </row>
    <row r="7718" spans="1:6" x14ac:dyDescent="0.3">
      <c r="A7718" t="str">
        <f>HYPERLINK("https://us2.cloudbeds.com/connect/10074733072513#/reservations/31678945808529?display=MHADG79YT&amp;reservation_id=31678945808529", "MHADG79YT")</f>
        <v>MHADG79YT</v>
      </c>
      <c r="B7718" t="s">
        <v>1079</v>
      </c>
      <c r="C7718">
        <v>321.3</v>
      </c>
      <c r="D7718">
        <v>349.26</v>
      </c>
      <c r="E7718">
        <v>349.25</v>
      </c>
      <c r="F7718">
        <v>0.01</v>
      </c>
    </row>
    <row r="7719" spans="1:6" x14ac:dyDescent="0.3">
      <c r="A7719" t="str">
        <f>HYPERLINK("https://us2.cloudbeds.com/connect/10074733072513#/reservations/31676052021448?display=MH85X3D89&amp;reservation_id=31676052021448", "MH85X3D89")</f>
        <v>MH85X3D89</v>
      </c>
      <c r="B7719" t="s">
        <v>1166</v>
      </c>
      <c r="C7719">
        <v>358</v>
      </c>
      <c r="D7719">
        <v>389.16</v>
      </c>
      <c r="E7719">
        <v>389.15</v>
      </c>
      <c r="F7719">
        <v>0.01</v>
      </c>
    </row>
    <row r="7720" spans="1:6" x14ac:dyDescent="0.3">
      <c r="A7720" t="str">
        <f>HYPERLINK("https://us2.cloudbeds.com/connect/10074733072513#/reservations/31676071215233?display=MH8619GD4&amp;reservation_id=31676071215233", "MH8619GD4")</f>
        <v>MH8619GD4</v>
      </c>
      <c r="B7720" t="s">
        <v>1166</v>
      </c>
      <c r="C7720">
        <v>149</v>
      </c>
      <c r="D7720">
        <v>161.97</v>
      </c>
      <c r="E7720">
        <v>161.96</v>
      </c>
      <c r="F7720">
        <v>0.01</v>
      </c>
    </row>
    <row r="7721" spans="1:6" x14ac:dyDescent="0.3">
      <c r="A7721" t="str">
        <f>HYPERLINK("https://us2.cloudbeds.com/connect/10074733072513#/reservations/31675531849955?display=MH7P8FSFP&amp;reservation_id=31675531849955", "MH7P8FSFP")</f>
        <v>MH7P8FSFP</v>
      </c>
      <c r="B7721" t="s">
        <v>1193</v>
      </c>
      <c r="C7721">
        <v>158</v>
      </c>
      <c r="D7721">
        <v>171.76</v>
      </c>
      <c r="E7721">
        <v>171.75</v>
      </c>
      <c r="F7721">
        <v>0.01</v>
      </c>
    </row>
    <row r="7722" spans="1:6" x14ac:dyDescent="0.3">
      <c r="A7722" t="str">
        <f>HYPERLINK("https://us2.cloudbeds.com/connect/10074733072513#/reservations/31684296593662?display=MHEX74PKU&amp;reservation_id=31684296593662", "MHEX74PKU")</f>
        <v>MHEX74PKU</v>
      </c>
      <c r="B7722" t="s">
        <v>1168</v>
      </c>
      <c r="C7722">
        <v>238</v>
      </c>
      <c r="D7722">
        <v>258.72000000000003</v>
      </c>
      <c r="E7722">
        <v>258.70999999999998</v>
      </c>
      <c r="F7722">
        <v>0.01</v>
      </c>
    </row>
    <row r="7723" spans="1:6" x14ac:dyDescent="0.3">
      <c r="A7723" t="str">
        <f>HYPERLINK("https://us2.cloudbeds.com/connect/10074733072513#/reservations/31682741227672?display=MHDBFKE16&amp;reservation_id=31682741227672", "MHDBFKE16")</f>
        <v>MHDBFKE16</v>
      </c>
      <c r="B7723" t="s">
        <v>1079</v>
      </c>
      <c r="C7723">
        <v>189</v>
      </c>
      <c r="D7723">
        <v>205.45</v>
      </c>
      <c r="E7723">
        <v>205.44</v>
      </c>
      <c r="F7723">
        <v>0.01</v>
      </c>
    </row>
    <row r="7724" spans="1:6" x14ac:dyDescent="0.3">
      <c r="A7724" t="str">
        <f>HYPERLINK("https://us2.cloudbeds.com/connect/10074733072513#/reservations/31674865811612?display=MH787SC0M&amp;reservation_id=31674865811612", "MH787SC0M")</f>
        <v>MH787SC0M</v>
      </c>
      <c r="B7724" t="s">
        <v>1241</v>
      </c>
      <c r="C7724">
        <v>89</v>
      </c>
      <c r="D7724">
        <v>96.75</v>
      </c>
      <c r="E7724">
        <v>96.74</v>
      </c>
      <c r="F7724">
        <v>0.01</v>
      </c>
    </row>
    <row r="7725" spans="1:6" x14ac:dyDescent="0.3">
      <c r="A7725" t="str">
        <f>HYPERLINK("https://us2.cloudbeds.com/connect/10074733072513#/reservations/31682704216244?display=MHDAHDHDP&amp;reservation_id=31682704216244", "MHDAHDHDP")</f>
        <v>MHDAHDHDP</v>
      </c>
      <c r="B7725" t="s">
        <v>1079</v>
      </c>
      <c r="C7725">
        <v>258</v>
      </c>
      <c r="D7725">
        <v>280.45999999999998</v>
      </c>
      <c r="E7725">
        <v>280.45</v>
      </c>
      <c r="F7725">
        <v>0.01</v>
      </c>
    </row>
    <row r="7726" spans="1:6" x14ac:dyDescent="0.3">
      <c r="A7726" t="str">
        <f>HYPERLINK("https://us2.cloudbeds.com/connect/10074733072513#/reservations/31677421744283?display=MH97X2VKS&amp;reservation_id=31677421744283", "MH97X2VKS")</f>
        <v>MH97X2VKS</v>
      </c>
      <c r="B7726" t="s">
        <v>1034</v>
      </c>
      <c r="C7726">
        <v>106.8</v>
      </c>
      <c r="D7726">
        <v>116.1</v>
      </c>
      <c r="E7726">
        <v>116.09</v>
      </c>
      <c r="F7726">
        <v>0.01</v>
      </c>
    </row>
    <row r="7727" spans="1:6" x14ac:dyDescent="0.3">
      <c r="A7727" t="str">
        <f>HYPERLINK("https://us2.cloudbeds.com/connect/10074733072513#/reservations/31675504885964?display=MH7ZXZX54&amp;reservation_id=31675504885964", "MH7ZXZX54")</f>
        <v>MH7ZXZX54</v>
      </c>
      <c r="B7727" t="s">
        <v>1193</v>
      </c>
      <c r="C7727">
        <v>73</v>
      </c>
      <c r="D7727">
        <v>79.36</v>
      </c>
      <c r="E7727">
        <v>79.349999999999994</v>
      </c>
      <c r="F7727">
        <v>0.01</v>
      </c>
    </row>
    <row r="7728" spans="1:6" x14ac:dyDescent="0.3">
      <c r="A7728" t="str">
        <f>HYPERLINK("https://us2.cloudbeds.com/connect/10074733072513#/reservations/31679424835753?display=MHAPZ4UZC&amp;reservation_id=31679424835753", "MHAPZ4UZC")</f>
        <v>MHAPZ4UZC</v>
      </c>
      <c r="B7728" t="s">
        <v>1187</v>
      </c>
      <c r="C7728">
        <v>170</v>
      </c>
      <c r="D7728">
        <v>184.8</v>
      </c>
      <c r="E7728">
        <v>184.79</v>
      </c>
      <c r="F7728">
        <v>0.01</v>
      </c>
    </row>
    <row r="7729" spans="1:6" x14ac:dyDescent="0.3">
      <c r="A7729" t="str">
        <f>HYPERLINK("https://us2.cloudbeds.com/connect/10074733072513#/reservations/31676279083161?display=MH8BBXZ18&amp;reservation_id=31676279083161", "MH8BBXZ18")</f>
        <v>MH8BBXZ18</v>
      </c>
      <c r="B7729" t="s">
        <v>1240</v>
      </c>
      <c r="C7729">
        <v>296</v>
      </c>
      <c r="D7729">
        <v>321.76</v>
      </c>
      <c r="E7729">
        <v>321.75</v>
      </c>
      <c r="F7729">
        <v>0.01</v>
      </c>
    </row>
    <row r="7730" spans="1:6" x14ac:dyDescent="0.3">
      <c r="A7730" t="str">
        <f>HYPERLINK("https://us2.cloudbeds.com/connect/10074733072513#/reservations/31674776641757?display=MH75VM2MS&amp;reservation_id=31674776641757", "MH75VM2MS")</f>
        <v>MH75VM2MS</v>
      </c>
      <c r="B7730" t="s">
        <v>1241</v>
      </c>
      <c r="C7730">
        <v>119</v>
      </c>
      <c r="D7730">
        <v>129.36000000000001</v>
      </c>
      <c r="E7730">
        <v>129.35</v>
      </c>
      <c r="F7730">
        <v>0.01</v>
      </c>
    </row>
    <row r="7731" spans="1:6" x14ac:dyDescent="0.3">
      <c r="A7731" t="str">
        <f>HYPERLINK("https://us2.cloudbeds.com/connect/10074733072513#/reservations/31675500339443?display=MH7ZEU16P&amp;reservation_id=31675500339443", "MH7ZEU16P")</f>
        <v>MH7ZEU16P</v>
      </c>
      <c r="B7731" t="s">
        <v>1193</v>
      </c>
      <c r="C7731">
        <v>101.75</v>
      </c>
      <c r="D7731">
        <v>110.61</v>
      </c>
      <c r="E7731">
        <v>110.6</v>
      </c>
      <c r="F7731">
        <v>0.01</v>
      </c>
    </row>
    <row r="7732" spans="1:6" x14ac:dyDescent="0.3">
      <c r="A7732" t="str">
        <f>HYPERLINK("https://us2.cloudbeds.com/connect/10074733072513#/reservations/31674834735245?display=MH77EYKDJ&amp;reservation_id=31674834735245", "MH77EYKDJ")</f>
        <v>MH77EYKDJ</v>
      </c>
      <c r="B7732" t="s">
        <v>1241</v>
      </c>
      <c r="C7732">
        <v>238</v>
      </c>
      <c r="D7732">
        <v>258.72000000000003</v>
      </c>
      <c r="E7732">
        <v>258.70999999999998</v>
      </c>
      <c r="F7732">
        <v>0.01</v>
      </c>
    </row>
    <row r="7733" spans="1:6" x14ac:dyDescent="0.3">
      <c r="A7733" t="str">
        <f>HYPERLINK("https://us2.cloudbeds.com/connect/10074733072513#/reservations/31675583414450?display=MH7QXVNQ7&amp;reservation_id=31675583414450", "MH7QXVNQ7")</f>
        <v>MH7QXVNQ7</v>
      </c>
      <c r="B7733" t="s">
        <v>1193</v>
      </c>
      <c r="C7733">
        <v>139</v>
      </c>
      <c r="D7733">
        <v>151.1</v>
      </c>
      <c r="E7733">
        <v>151.09</v>
      </c>
      <c r="F7733">
        <v>0.01</v>
      </c>
    </row>
    <row r="7734" spans="1:6" x14ac:dyDescent="0.3">
      <c r="A7734" t="str">
        <f>HYPERLINK("https://us2.cloudbeds.com/connect/10074733072513#/reservations/31677225013447?display=MH92H6KTC&amp;reservation_id=31677225013447", "MH92H6KTC")</f>
        <v>MH92H6KTC</v>
      </c>
      <c r="B7734" t="s">
        <v>1172</v>
      </c>
      <c r="C7734">
        <v>321.3</v>
      </c>
      <c r="D7734">
        <v>349.26</v>
      </c>
      <c r="E7734">
        <v>349.25</v>
      </c>
      <c r="F7734">
        <v>0.01</v>
      </c>
    </row>
    <row r="7735" spans="1:6" x14ac:dyDescent="0.3">
      <c r="A7735" t="str">
        <f>HYPERLINK("https://us2.cloudbeds.com/connect/10074733072513#/reservations/31678367101120?display=MH9VN7Q6X&amp;reservation_id=31678367101120", "MH9VN7Q6X")</f>
        <v>MH9VN7Q6X</v>
      </c>
      <c r="B7735" t="s">
        <v>1184</v>
      </c>
      <c r="C7735">
        <v>73</v>
      </c>
      <c r="D7735">
        <v>79.36</v>
      </c>
      <c r="E7735">
        <v>79.349999999999994</v>
      </c>
      <c r="F7735">
        <v>0.01</v>
      </c>
    </row>
    <row r="7736" spans="1:6" x14ac:dyDescent="0.3">
      <c r="A7736" t="str">
        <f>HYPERLINK("https://us2.cloudbeds.com/connect/10074733072513#/reservations/31675934683378?display=MH82X59Q6&amp;reservation_id=31675934683378", "MH82X59Q6")</f>
        <v>MH82X59Q6</v>
      </c>
      <c r="B7736" t="s">
        <v>1243</v>
      </c>
      <c r="C7736">
        <v>169</v>
      </c>
      <c r="D7736">
        <v>183.71</v>
      </c>
      <c r="E7736">
        <v>183.7</v>
      </c>
      <c r="F7736">
        <v>0.01</v>
      </c>
    </row>
    <row r="7737" spans="1:6" x14ac:dyDescent="0.3">
      <c r="A7737" t="str">
        <f>HYPERLINK("https://us2.cloudbeds.com/connect/10074733072513#/reservations/31679787798773?display=MHB206U3P&amp;reservation_id=31679787798773", "MHB206U3P")</f>
        <v>MHB206U3P</v>
      </c>
      <c r="B7737" t="s">
        <v>1244</v>
      </c>
      <c r="C7737">
        <v>189</v>
      </c>
      <c r="D7737">
        <v>205.45</v>
      </c>
      <c r="E7737">
        <v>205.44</v>
      </c>
      <c r="F7737">
        <v>0.01</v>
      </c>
    </row>
    <row r="7738" spans="1:6" x14ac:dyDescent="0.3">
      <c r="A7738" t="str">
        <f>HYPERLINK("https://us2.cloudbeds.com/connect/10074733072513#/reservations/31678374908117?display=MH9VTR4SD&amp;reservation_id=31678374908117", "MH9VTR4SD")</f>
        <v>MH9VTR4SD</v>
      </c>
      <c r="B7738" t="s">
        <v>1184</v>
      </c>
      <c r="C7738">
        <v>89</v>
      </c>
      <c r="D7738">
        <v>96.75</v>
      </c>
      <c r="E7738">
        <v>96.74</v>
      </c>
      <c r="F7738">
        <v>0.01</v>
      </c>
    </row>
    <row r="7739" spans="1:6" x14ac:dyDescent="0.3">
      <c r="A7739" t="str">
        <f>HYPERLINK("https://us2.cloudbeds.com/connect/10074733072513#/reservations/31675604996232?display=MH7R458PK&amp;reservation_id=31675604996232", "MH7R458PK")</f>
        <v>MH7R458PK</v>
      </c>
      <c r="B7739" t="s">
        <v>1184</v>
      </c>
      <c r="C7739">
        <v>101.75</v>
      </c>
      <c r="D7739">
        <v>110.61</v>
      </c>
      <c r="E7739">
        <v>110.6</v>
      </c>
      <c r="F7739">
        <v>0.01</v>
      </c>
    </row>
    <row r="7740" spans="1:6" x14ac:dyDescent="0.3">
      <c r="A7740" t="str">
        <f>HYPERLINK("https://us2.cloudbeds.com/connect/10074733072513#/reservations/31681286901957?display=MHC7A9M1W&amp;reservation_id=31681286901957", "MHC7A9M1W")</f>
        <v>MHC7A9M1W</v>
      </c>
      <c r="B7740" t="s">
        <v>1244</v>
      </c>
      <c r="C7740">
        <v>189</v>
      </c>
      <c r="D7740">
        <v>205.45</v>
      </c>
      <c r="E7740">
        <v>205.44</v>
      </c>
      <c r="F7740">
        <v>0.01</v>
      </c>
    </row>
    <row r="7741" spans="1:6" x14ac:dyDescent="0.3">
      <c r="A7741" t="str">
        <f>HYPERLINK("https://us2.cloudbeds.com/connect/10074733072513#/reservations/31675590484108?display=MH7QZUEM9&amp;reservation_id=31675590484108", "MH7QZUEM9")</f>
        <v>MH7QZUEM9</v>
      </c>
      <c r="B7741" t="s">
        <v>1184</v>
      </c>
      <c r="C7741">
        <v>119</v>
      </c>
      <c r="D7741">
        <v>129.36000000000001</v>
      </c>
      <c r="E7741">
        <v>129.35</v>
      </c>
      <c r="F7741">
        <v>0.01</v>
      </c>
    </row>
    <row r="7742" spans="1:6" x14ac:dyDescent="0.3">
      <c r="A7742" t="str">
        <f>HYPERLINK("https://us2.cloudbeds.com/connect/10074733072513#/reservations/31674914963599?display=MH79GA2WR&amp;reservation_id=31674914963599", "MH79GA2WR")</f>
        <v>MH79GA2WR</v>
      </c>
      <c r="B7742" t="s">
        <v>1193</v>
      </c>
      <c r="C7742">
        <v>139</v>
      </c>
      <c r="D7742">
        <v>151.1</v>
      </c>
      <c r="E7742">
        <v>151.09</v>
      </c>
      <c r="F7742">
        <v>0.01</v>
      </c>
    </row>
    <row r="7743" spans="1:6" x14ac:dyDescent="0.3">
      <c r="A7743" t="str">
        <f>HYPERLINK("https://us2.cloudbeds.com/connect/10074733072513#/reservations/31677259280587?display=MH93D35GX&amp;reservation_id=31677259280587", "MH93D35GX")</f>
        <v>MH93D35GX</v>
      </c>
      <c r="B7743" t="s">
        <v>1172</v>
      </c>
      <c r="C7743">
        <v>322.2</v>
      </c>
      <c r="D7743">
        <v>350.24</v>
      </c>
      <c r="E7743">
        <v>350.23</v>
      </c>
      <c r="F7743">
        <v>0.01</v>
      </c>
    </row>
    <row r="7744" spans="1:6" x14ac:dyDescent="0.3">
      <c r="A7744" t="str">
        <f>HYPERLINK("https://us2.cloudbeds.com/connect/10074733072513#/reservations/31678366675088?display=MH9VMT1MM&amp;reservation_id=31678366675088", "MH9VMT1MM")</f>
        <v>MH9VMT1MM</v>
      </c>
      <c r="B7744" t="s">
        <v>1184</v>
      </c>
      <c r="C7744">
        <v>255</v>
      </c>
      <c r="D7744">
        <v>277.2</v>
      </c>
      <c r="E7744">
        <v>277.19</v>
      </c>
      <c r="F7744">
        <v>0.01</v>
      </c>
    </row>
    <row r="7745" spans="1:6" x14ac:dyDescent="0.3">
      <c r="A7745" t="str">
        <f>HYPERLINK("https://us2.cloudbeds.com/connect/10074733072513#/reservations/31677129588961?display=MH902ZA39&amp;reservation_id=31677129588961", "MH902ZA39")</f>
        <v>MH902ZA39</v>
      </c>
      <c r="B7745" t="s">
        <v>1236</v>
      </c>
      <c r="C7745">
        <v>89</v>
      </c>
      <c r="D7745">
        <v>96.75</v>
      </c>
      <c r="E7745">
        <v>96.74</v>
      </c>
      <c r="F7745">
        <v>0.01</v>
      </c>
    </row>
    <row r="7746" spans="1:6" x14ac:dyDescent="0.3">
      <c r="A7746" t="str">
        <f>HYPERLINK("https://us2.cloudbeds.com/connect/10074733072513#/reservations/31678260060408?display=MH9SVWB7Q&amp;reservation_id=31678260060408", "MH9SVWB7Q")</f>
        <v>MH9SVWB7Q</v>
      </c>
      <c r="B7746" t="s">
        <v>1184</v>
      </c>
      <c r="C7746">
        <v>119</v>
      </c>
      <c r="D7746">
        <v>129.36000000000001</v>
      </c>
      <c r="E7746">
        <v>129.35</v>
      </c>
      <c r="F7746">
        <v>0.01</v>
      </c>
    </row>
    <row r="7747" spans="1:6" x14ac:dyDescent="0.3">
      <c r="A7747" t="str">
        <f>HYPERLINK("https://us2.cloudbeds.com/connect/10074733072513#/reservations/31676977316075?display=MH8T6B2UD&amp;reservation_id=31676977316075", "MH8T6B2UD")</f>
        <v>MH8T6B2UD</v>
      </c>
      <c r="B7747" t="s">
        <v>1166</v>
      </c>
      <c r="C7747">
        <v>159</v>
      </c>
      <c r="D7747">
        <v>172.84</v>
      </c>
      <c r="E7747">
        <v>172.83</v>
      </c>
      <c r="F7747">
        <v>0.01</v>
      </c>
    </row>
    <row r="7748" spans="1:6" x14ac:dyDescent="0.3">
      <c r="A7748" t="str">
        <f>HYPERLINK("https://us2.cloudbeds.com/connect/10074733072513#/reservations/31675184947399?display=MH7GCVQ03&amp;reservation_id=31675184947399", "MH7GCVQ03")</f>
        <v>MH7GCVQ03</v>
      </c>
      <c r="B7748" t="s">
        <v>1180</v>
      </c>
      <c r="C7748">
        <v>258</v>
      </c>
      <c r="D7748">
        <v>280.45999999999998</v>
      </c>
      <c r="E7748">
        <v>280.45</v>
      </c>
      <c r="F7748">
        <v>0.01</v>
      </c>
    </row>
    <row r="7749" spans="1:6" x14ac:dyDescent="0.3">
      <c r="A7749" t="str">
        <f>HYPERLINK("https://us2.cloudbeds.com/connect/10074733072513#/reservations/31677142769803?display=MH90DS2NZ&amp;reservation_id=31677142769803", "MH90DS2NZ")</f>
        <v>MH90DS2NZ</v>
      </c>
      <c r="B7749" t="s">
        <v>1175</v>
      </c>
      <c r="C7749">
        <v>139</v>
      </c>
      <c r="D7749">
        <v>151.1</v>
      </c>
      <c r="E7749">
        <v>151.09</v>
      </c>
      <c r="F7749">
        <v>0.01</v>
      </c>
    </row>
    <row r="7750" spans="1:6" x14ac:dyDescent="0.3">
      <c r="A7750" t="str">
        <f>HYPERLINK("https://us2.cloudbeds.com/connect/10074733072513#/reservations/31678278328452?display=MH9TECM9T&amp;reservation_id=31678278328452", "MH9TECM9T")</f>
        <v>MH9TECM9T</v>
      </c>
      <c r="B7750" t="s">
        <v>1184</v>
      </c>
      <c r="C7750">
        <v>119</v>
      </c>
      <c r="D7750">
        <v>129.36000000000001</v>
      </c>
      <c r="E7750">
        <v>129.35</v>
      </c>
      <c r="F7750">
        <v>0.01</v>
      </c>
    </row>
    <row r="7751" spans="1:6" x14ac:dyDescent="0.3">
      <c r="A7751" t="str">
        <f>HYPERLINK("https://us2.cloudbeds.com/connect/10074733072513#/reservations/31678679498994?display=MHA6MYRKW&amp;reservation_id=31678679498994", "MHA6MYRKW")</f>
        <v>MHA6MYRKW</v>
      </c>
      <c r="B7751" t="s">
        <v>1172</v>
      </c>
      <c r="C7751">
        <v>322.2</v>
      </c>
      <c r="D7751">
        <v>350.24</v>
      </c>
      <c r="E7751">
        <v>350.23</v>
      </c>
      <c r="F7751">
        <v>0.01</v>
      </c>
    </row>
    <row r="7752" spans="1:6" x14ac:dyDescent="0.3">
      <c r="A7752" t="str">
        <f>HYPERLINK("https://us2.cloudbeds.com/connect/10074733072513#/reservations/31677999534212?display=MH9MA9QTJ&amp;reservation_id=31677999534212", "MH9MA9QTJ")</f>
        <v>MH9MA9QTJ</v>
      </c>
      <c r="B7752" t="s">
        <v>1175</v>
      </c>
      <c r="C7752">
        <v>139</v>
      </c>
      <c r="D7752">
        <v>151.1</v>
      </c>
      <c r="E7752">
        <v>151.09</v>
      </c>
      <c r="F7752">
        <v>0.01</v>
      </c>
    </row>
    <row r="7753" spans="1:6" x14ac:dyDescent="0.3">
      <c r="A7753" t="str">
        <f>HYPERLINK("https://us2.cloudbeds.com/connect/10074733072513#/reservations/31678044999843?display=MH9NFKVPW&amp;reservation_id=31678044999843", "MH9NFKVPW")</f>
        <v>MH9NFKVPW</v>
      </c>
      <c r="B7753" t="s">
        <v>1175</v>
      </c>
      <c r="C7753">
        <v>139</v>
      </c>
      <c r="D7753">
        <v>151.1</v>
      </c>
      <c r="E7753">
        <v>151.09</v>
      </c>
      <c r="F7753">
        <v>0.01</v>
      </c>
    </row>
    <row r="7754" spans="1:6" x14ac:dyDescent="0.3">
      <c r="A7754" t="str">
        <f>HYPERLINK("https://us2.cloudbeds.com/connect/10074733072513#/reservations/31678045003938?display=MH9NFY2X2&amp;reservation_id=31678045003938", "MH9NFY2X2")</f>
        <v>MH9NFY2X2</v>
      </c>
      <c r="B7754" t="s">
        <v>1175</v>
      </c>
      <c r="C7754">
        <v>278</v>
      </c>
      <c r="D7754">
        <v>302.2</v>
      </c>
      <c r="E7754">
        <v>302.19</v>
      </c>
      <c r="F7754">
        <v>0.01</v>
      </c>
    </row>
    <row r="7755" spans="1:6" x14ac:dyDescent="0.3">
      <c r="A7755" t="str">
        <f>HYPERLINK("https://us2.cloudbeds.com/connect/10074733072513#/reservations/31676488171684?display=MH8GMSUH3&amp;reservation_id=31676488171684", "MH8GMSUH3")</f>
        <v>MH8GMSUH3</v>
      </c>
      <c r="B7755" t="s">
        <v>1034</v>
      </c>
      <c r="C7755">
        <v>418</v>
      </c>
      <c r="D7755">
        <v>454.38</v>
      </c>
      <c r="E7755">
        <v>454.37</v>
      </c>
      <c r="F7755">
        <v>0.01</v>
      </c>
    </row>
    <row r="7756" spans="1:6" x14ac:dyDescent="0.3">
      <c r="A7756" t="str">
        <f>HYPERLINK("https://us2.cloudbeds.com/connect/10074733072513#/reservations/31676804468963?display=MH8ZPJBW4&amp;reservation_id=31676804468963", "MH8ZPJBW4")</f>
        <v>MH8ZPJBW4</v>
      </c>
      <c r="B7756" t="s">
        <v>957</v>
      </c>
      <c r="C7756">
        <v>238</v>
      </c>
      <c r="D7756">
        <v>258.72000000000003</v>
      </c>
      <c r="E7756">
        <v>258.70999999999998</v>
      </c>
      <c r="F7756">
        <v>0.01</v>
      </c>
    </row>
    <row r="7757" spans="1:6" x14ac:dyDescent="0.3">
      <c r="A7757" t="str">
        <f>HYPERLINK("https://us2.cloudbeds.com/connect/10074733072513#/reservations/31677042127003?display=MH8URWX2U&amp;reservation_id=31677042127003", "MH8URWX2U")</f>
        <v>MH8URWX2U</v>
      </c>
      <c r="B7757" t="s">
        <v>1175</v>
      </c>
      <c r="C7757">
        <v>129</v>
      </c>
      <c r="D7757">
        <v>140.22999999999999</v>
      </c>
      <c r="E7757">
        <v>140.22</v>
      </c>
      <c r="F7757">
        <v>0.01</v>
      </c>
    </row>
    <row r="7758" spans="1:6" x14ac:dyDescent="0.3">
      <c r="A7758" t="str">
        <f>HYPERLINK("https://us2.cloudbeds.com/connect/10074733072513#/reservations/31677066715323?display=MH8VFNZTH&amp;reservation_id=31677066715323", "MH8VFNZTH")</f>
        <v>MH8VFNZTH</v>
      </c>
      <c r="B7758" t="s">
        <v>1175</v>
      </c>
      <c r="C7758">
        <v>106.8</v>
      </c>
      <c r="D7758">
        <v>116.1</v>
      </c>
      <c r="E7758">
        <v>116.09</v>
      </c>
      <c r="F7758">
        <v>0.01</v>
      </c>
    </row>
    <row r="7759" spans="1:6" x14ac:dyDescent="0.3">
      <c r="A7759" t="str">
        <f>HYPERLINK("https://us2.cloudbeds.com/connect/10074733072513#/reservations/31677041696896?display=MH8UJ8WHA&amp;reservation_id=31677041696896", "MH8UJ8WHA")</f>
        <v>MH8UJ8WHA</v>
      </c>
      <c r="B7759" t="s">
        <v>1236</v>
      </c>
      <c r="C7759">
        <v>119</v>
      </c>
      <c r="D7759">
        <v>129.36000000000001</v>
      </c>
      <c r="E7759">
        <v>129.35</v>
      </c>
      <c r="F7759">
        <v>0.01</v>
      </c>
    </row>
    <row r="7760" spans="1:6" x14ac:dyDescent="0.3">
      <c r="A7760" t="str">
        <f>HYPERLINK("https://us2.cloudbeds.com/connect/10074733072513#/reservations/31677244502216?display=MH930KUU4&amp;reservation_id=31677244502216", "MH930KUU4")</f>
        <v>MH930KUU4</v>
      </c>
      <c r="B7760" t="s">
        <v>1172</v>
      </c>
      <c r="C7760">
        <v>418</v>
      </c>
      <c r="D7760">
        <v>454.38</v>
      </c>
      <c r="E7760">
        <v>454.37</v>
      </c>
      <c r="F7760">
        <v>0.01</v>
      </c>
    </row>
    <row r="7761" spans="1:6" x14ac:dyDescent="0.3">
      <c r="A7761" t="str">
        <f>HYPERLINK("https://us2.cloudbeds.com/connect/10074733072513#/reservations/31682064568552?display=MHCR61CQC&amp;reservation_id=31682064568552", "MHCR61CQC")</f>
        <v>MHCR61CQC</v>
      </c>
      <c r="B7761" t="s">
        <v>1127</v>
      </c>
      <c r="C7761">
        <v>169</v>
      </c>
      <c r="D7761">
        <v>183.71</v>
      </c>
      <c r="E7761">
        <v>183.7</v>
      </c>
      <c r="F7761">
        <v>0.01</v>
      </c>
    </row>
    <row r="7762" spans="1:6" x14ac:dyDescent="0.3">
      <c r="A7762" t="str">
        <f>HYPERLINK("https://us2.cloudbeds.com/connect/10074733072513#/reservations/31677153530025?display=MH90MUGX2&amp;reservation_id=31677153530025", "MH90MUGX2")</f>
        <v>MH90MUGX2</v>
      </c>
      <c r="B7762" t="s">
        <v>1236</v>
      </c>
      <c r="C7762">
        <v>101.75</v>
      </c>
      <c r="D7762">
        <v>110.61</v>
      </c>
      <c r="E7762">
        <v>110.6</v>
      </c>
      <c r="F7762">
        <v>0.01</v>
      </c>
    </row>
    <row r="7763" spans="1:6" x14ac:dyDescent="0.3">
      <c r="A7763" t="str">
        <f>HYPERLINK("https://us2.cloudbeds.com/connect/10074733072513#/reservations/31678686625942?display=MHA6SM543&amp;reservation_id=31678686625942", "MHA6SM543")</f>
        <v>MHA6SM543</v>
      </c>
      <c r="B7763" t="s">
        <v>1172</v>
      </c>
      <c r="C7763">
        <v>119</v>
      </c>
      <c r="D7763">
        <v>129.36000000000001</v>
      </c>
      <c r="E7763">
        <v>129.35</v>
      </c>
      <c r="F7763">
        <v>0.01</v>
      </c>
    </row>
    <row r="7764" spans="1:6" x14ac:dyDescent="0.3">
      <c r="A7764" t="str">
        <f>HYPERLINK("https://us2.cloudbeds.com/connect/10074733072513#/reservations/31676777865379?display=MH8Z352JU&amp;reservation_id=31676777865379", "MH8Z352JU")</f>
        <v>MH8Z352JU</v>
      </c>
      <c r="B7764" t="s">
        <v>1065</v>
      </c>
      <c r="C7764">
        <v>311.42</v>
      </c>
      <c r="D7764">
        <v>338.52</v>
      </c>
      <c r="E7764">
        <v>338.51</v>
      </c>
      <c r="F7764">
        <v>0.01</v>
      </c>
    </row>
    <row r="7765" spans="1:6" x14ac:dyDescent="0.3">
      <c r="A7765" t="str">
        <f>HYPERLINK("https://us2.cloudbeds.com/connect/10074733072513#/reservations/31676950900954?display=MH8SH21K6&amp;reservation_id=31676950900954", "MH8SH21K6")</f>
        <v>MH8SH21K6</v>
      </c>
      <c r="B7765" t="s">
        <v>1166</v>
      </c>
      <c r="C7765">
        <v>149</v>
      </c>
      <c r="D7765">
        <v>161.97</v>
      </c>
      <c r="E7765">
        <v>161.96</v>
      </c>
      <c r="F7765">
        <v>0.01</v>
      </c>
    </row>
    <row r="7766" spans="1:6" x14ac:dyDescent="0.3">
      <c r="A7766" t="str">
        <f>HYPERLINK("https://us2.cloudbeds.com/connect/10074733072513#/reservations/31677089779928?display=MH8W25XGV&amp;reservation_id=31677089779928", "MH8W25XGV")</f>
        <v>MH8W25XGV</v>
      </c>
      <c r="B7766" t="s">
        <v>1175</v>
      </c>
      <c r="C7766">
        <v>139</v>
      </c>
      <c r="D7766">
        <v>151.1</v>
      </c>
      <c r="E7766">
        <v>151.09</v>
      </c>
      <c r="F7766">
        <v>0.01</v>
      </c>
    </row>
    <row r="7767" spans="1:6" x14ac:dyDescent="0.3">
      <c r="A7767" t="str">
        <f>HYPERLINK("https://us2.cloudbeds.com/connect/10074733072513#/reservations/31675285053594?display=MH7XVCCT5&amp;reservation_id=31675285053594", "MH7XVCCT5")</f>
        <v>MH7XVCCT5</v>
      </c>
      <c r="B7767" t="s">
        <v>1247</v>
      </c>
      <c r="C7767">
        <v>178</v>
      </c>
      <c r="D7767">
        <v>193.5</v>
      </c>
      <c r="E7767">
        <v>193.49</v>
      </c>
      <c r="F7767">
        <v>0.01</v>
      </c>
    </row>
    <row r="7768" spans="1:6" x14ac:dyDescent="0.3">
      <c r="A7768" t="str">
        <f>HYPERLINK("https://us2.cloudbeds.com/connect/10074733072513#/reservations/31679036199164?display=MHAFQEX01&amp;reservation_id=31679036199164", "MHAFQEX01")</f>
        <v>MHAFQEX01</v>
      </c>
      <c r="B7768" t="s">
        <v>1188</v>
      </c>
      <c r="C7768">
        <v>101.75</v>
      </c>
      <c r="D7768">
        <v>110.61</v>
      </c>
      <c r="E7768">
        <v>110.6</v>
      </c>
      <c r="F7768">
        <v>0.01</v>
      </c>
    </row>
    <row r="7769" spans="1:6" x14ac:dyDescent="0.3">
      <c r="A7769" t="str">
        <f>HYPERLINK("https://us2.cloudbeds.com/connect/10074733072513#/reservations/31676986020061?display=MH8TDM9XX&amp;reservation_id=31676986020061", "MH8TDM9XX")</f>
        <v>MH8TDM9XX</v>
      </c>
      <c r="B7769" t="s">
        <v>1236</v>
      </c>
      <c r="C7769">
        <v>80.38</v>
      </c>
      <c r="D7769">
        <v>87.38</v>
      </c>
      <c r="E7769">
        <v>87.37</v>
      </c>
      <c r="F7769">
        <v>0.01</v>
      </c>
    </row>
    <row r="7770" spans="1:6" x14ac:dyDescent="0.3">
      <c r="A7770" t="str">
        <f>HYPERLINK("https://us2.cloudbeds.com/connect/10074733072513#/reservations/31679219228895?display=MHAKFPKCH&amp;reservation_id=31679219228895", "MHAKFPKCH")</f>
        <v>MHAKFPKCH</v>
      </c>
      <c r="B7770" t="s">
        <v>1141</v>
      </c>
      <c r="C7770">
        <v>106.8</v>
      </c>
      <c r="D7770">
        <v>116.1</v>
      </c>
      <c r="E7770">
        <v>116.09</v>
      </c>
      <c r="F7770">
        <v>0.01</v>
      </c>
    </row>
    <row r="7771" spans="1:6" x14ac:dyDescent="0.3">
      <c r="A7771" t="str">
        <f>HYPERLINK("https://us2.cloudbeds.com/connect/10074733072513#/reservations/31677220159711?display=MH92D3XRF&amp;reservation_id=31677220159711", "MH92D3XRF")</f>
        <v>MH92D3XRF</v>
      </c>
      <c r="B7771" t="s">
        <v>1245</v>
      </c>
      <c r="C7771">
        <v>119</v>
      </c>
      <c r="D7771">
        <v>129.36000000000001</v>
      </c>
      <c r="E7771">
        <v>129.35</v>
      </c>
      <c r="F7771">
        <v>0.01</v>
      </c>
    </row>
    <row r="7772" spans="1:6" x14ac:dyDescent="0.3">
      <c r="A7772" t="str">
        <f>HYPERLINK("https://us2.cloudbeds.com/connect/10074733072513#/reservations/31677203091634?display=MH91VNKM0&amp;reservation_id=31677203091634", "MH91VNKM0")</f>
        <v>MH91VNKM0</v>
      </c>
      <c r="B7772" t="s">
        <v>1245</v>
      </c>
      <c r="C7772">
        <v>119</v>
      </c>
      <c r="D7772">
        <v>129.36000000000001</v>
      </c>
      <c r="E7772">
        <v>129.35</v>
      </c>
      <c r="F7772">
        <v>0.01</v>
      </c>
    </row>
    <row r="7773" spans="1:6" x14ac:dyDescent="0.3">
      <c r="A7773" t="str">
        <f>HYPERLINK("https://us2.cloudbeds.com/connect/10074733072513#/reservations/31680611934461?display=MHBN24N6F&amp;reservation_id=31680611934461", "MHBN24N6F")</f>
        <v>MHBN24N6F</v>
      </c>
      <c r="B7773" t="s">
        <v>1187</v>
      </c>
      <c r="C7773">
        <v>149</v>
      </c>
      <c r="D7773">
        <v>161.97</v>
      </c>
      <c r="E7773">
        <v>161.96</v>
      </c>
      <c r="F7773">
        <v>0.01</v>
      </c>
    </row>
    <row r="7774" spans="1:6" x14ac:dyDescent="0.3">
      <c r="A7774" t="str">
        <f>HYPERLINK("https://us2.cloudbeds.com/connect/10074733072513#/reservations/31675238584458?display=MH7HP6AGH&amp;reservation_id=31675238584458", "MH7HP6AGH")</f>
        <v>MH7HP6AGH</v>
      </c>
      <c r="B7774" t="s">
        <v>1247</v>
      </c>
      <c r="C7774">
        <v>73</v>
      </c>
      <c r="D7774">
        <v>79.36</v>
      </c>
      <c r="E7774">
        <v>79.349999999999994</v>
      </c>
      <c r="F7774">
        <v>0.01</v>
      </c>
    </row>
    <row r="7775" spans="1:6" x14ac:dyDescent="0.3">
      <c r="A7775" t="str">
        <f>HYPERLINK("https://us2.cloudbeds.com/connect/10074733072513#/reservations/31682729177256?display=MHDB5F3F2&amp;reservation_id=31682729177256", "MHDB5F3F2")</f>
        <v>MHDB5F3F2</v>
      </c>
      <c r="B7775" t="s">
        <v>1249</v>
      </c>
      <c r="C7775">
        <v>149</v>
      </c>
      <c r="D7775">
        <v>161.97</v>
      </c>
      <c r="E7775">
        <v>161.96</v>
      </c>
      <c r="F7775">
        <v>0.01</v>
      </c>
    </row>
    <row r="7776" spans="1:6" x14ac:dyDescent="0.3">
      <c r="A7776" t="str">
        <f>HYPERLINK("https://us2.cloudbeds.com/connect/10074733072513#/reservations/31682735042802?display=MHDBADAKT&amp;reservation_id=31682735042802", "MHDBADAKT")</f>
        <v>MHDBADAKT</v>
      </c>
      <c r="B7776" t="s">
        <v>1249</v>
      </c>
      <c r="C7776">
        <v>149</v>
      </c>
      <c r="D7776">
        <v>161.97</v>
      </c>
      <c r="E7776">
        <v>161.96</v>
      </c>
      <c r="F7776">
        <v>0.01</v>
      </c>
    </row>
    <row r="7777" spans="1:6" x14ac:dyDescent="0.3">
      <c r="A7777" t="str">
        <f>HYPERLINK("https://us2.cloudbeds.com/connect/10074733072513#/reservations/31675259723922?display=MH7XA0XAB&amp;reservation_id=31675259723922", "MH7XA0XAB")</f>
        <v>MH7XA0XAB</v>
      </c>
      <c r="B7777" t="s">
        <v>1247</v>
      </c>
      <c r="C7777">
        <v>119</v>
      </c>
      <c r="D7777">
        <v>129.36000000000001</v>
      </c>
      <c r="E7777">
        <v>129.35</v>
      </c>
      <c r="F7777">
        <v>0.01</v>
      </c>
    </row>
    <row r="7778" spans="1:6" x14ac:dyDescent="0.3">
      <c r="A7778" t="str">
        <f>HYPERLINK("https://us2.cloudbeds.com/connect/10074733072513#/reservations/31676756087005?display=MH8NHQ236&amp;reservation_id=31676756087005", "MH8NHQ236")</f>
        <v>MH8NHQ236</v>
      </c>
      <c r="B7778" t="s">
        <v>1065</v>
      </c>
      <c r="C7778">
        <v>149</v>
      </c>
      <c r="D7778">
        <v>161.97</v>
      </c>
      <c r="E7778">
        <v>161.96</v>
      </c>
      <c r="F7778">
        <v>0.01</v>
      </c>
    </row>
    <row r="7779" spans="1:6" x14ac:dyDescent="0.3">
      <c r="A7779" t="str">
        <f>HYPERLINK("https://us2.cloudbeds.com/connect/10074733072513#/reservations/31686380978347?display=MHG5FZS56&amp;reservation_id=31686380978347", "MHG5FZS56")</f>
        <v>MHG5FZS56</v>
      </c>
      <c r="B7779" t="s">
        <v>1250</v>
      </c>
      <c r="C7779">
        <v>149</v>
      </c>
      <c r="D7779">
        <v>161.97</v>
      </c>
      <c r="E7779">
        <v>161.96</v>
      </c>
      <c r="F7779">
        <v>0.01</v>
      </c>
    </row>
    <row r="7780" spans="1:6" x14ac:dyDescent="0.3">
      <c r="A7780" t="str">
        <f>HYPERLINK("https://us2.cloudbeds.com/connect/10074733072513#/reservations/31686338183372?display=MHG4CM0YP&amp;reservation_id=31686338183372", "MHG4CM0YP")</f>
        <v>MHG4CM0YP</v>
      </c>
      <c r="B7780" t="s">
        <v>1250</v>
      </c>
      <c r="C7780">
        <v>298</v>
      </c>
      <c r="D7780">
        <v>323.94</v>
      </c>
      <c r="E7780">
        <v>323.93</v>
      </c>
      <c r="F7780">
        <v>0.01</v>
      </c>
    </row>
    <row r="7781" spans="1:6" x14ac:dyDescent="0.3">
      <c r="A7781" t="str">
        <f>HYPERLINK("https://us2.cloudbeds.com/connect/10074733072513#/reservations/31685988012179?display=MHFSECWMG&amp;reservation_id=31685988012179", "MHFSECWMG")</f>
        <v>MHFSECWMG</v>
      </c>
      <c r="B7781" t="s">
        <v>1250</v>
      </c>
      <c r="C7781">
        <v>318</v>
      </c>
      <c r="D7781">
        <v>345.68</v>
      </c>
      <c r="E7781">
        <v>345.67</v>
      </c>
      <c r="F7781">
        <v>0.01</v>
      </c>
    </row>
    <row r="7782" spans="1:6" x14ac:dyDescent="0.3">
      <c r="A7782" t="str">
        <f>HYPERLINK("https://us2.cloudbeds.com/connect/10074733072513#/reservations/31678019854518?display=MH9MRE8GE&amp;reservation_id=31678019854518", "MH9MRE8GE")</f>
        <v>MH9MRE8GE</v>
      </c>
      <c r="B7782" t="s">
        <v>1175</v>
      </c>
      <c r="C7782">
        <v>129</v>
      </c>
      <c r="D7782">
        <v>140.22999999999999</v>
      </c>
      <c r="E7782">
        <v>140.22</v>
      </c>
      <c r="F7782">
        <v>0.01</v>
      </c>
    </row>
    <row r="7783" spans="1:6" x14ac:dyDescent="0.3">
      <c r="A7783" t="str">
        <f>HYPERLINK("https://us2.cloudbeds.com/connect/10074733072513#/reservations/31675662180566?display=MH7SJCGY7&amp;reservation_id=31675662180566", "MH7SJCGY7")</f>
        <v>MH7SJCGY7</v>
      </c>
      <c r="B7783" t="s">
        <v>1247</v>
      </c>
      <c r="C7783">
        <v>119</v>
      </c>
      <c r="D7783">
        <v>129.36000000000001</v>
      </c>
      <c r="E7783">
        <v>129.35</v>
      </c>
      <c r="F7783">
        <v>0.01</v>
      </c>
    </row>
    <row r="7784" spans="1:6" x14ac:dyDescent="0.3">
      <c r="A7784" t="str">
        <f>HYPERLINK("https://us2.cloudbeds.com/connect/10074733072513#/reservations/31679462637797?display=MHAQN0RBS&amp;reservation_id=31679462637797", "MHAQN0RBS")</f>
        <v>MHAQN0RBS</v>
      </c>
      <c r="B7784" t="s">
        <v>1187</v>
      </c>
      <c r="C7784">
        <v>298</v>
      </c>
      <c r="D7784">
        <v>323.94</v>
      </c>
      <c r="E7784">
        <v>323.93</v>
      </c>
      <c r="F7784">
        <v>0.01</v>
      </c>
    </row>
    <row r="7785" spans="1:6" x14ac:dyDescent="0.3">
      <c r="A7785" t="str">
        <f>HYPERLINK("https://us2.cloudbeds.com/connect/10074733072513#/reservations/31675053301892?display=MH7D0VXDA&amp;reservation_id=31675053301892", "MH7D0VXDA")</f>
        <v>MH7D0VXDA</v>
      </c>
      <c r="B7785" t="s">
        <v>1240</v>
      </c>
      <c r="C7785">
        <v>321.3</v>
      </c>
      <c r="D7785">
        <v>349.26</v>
      </c>
      <c r="E7785">
        <v>349.25</v>
      </c>
      <c r="F7785">
        <v>0.01</v>
      </c>
    </row>
    <row r="7786" spans="1:6" x14ac:dyDescent="0.3">
      <c r="A7786" t="str">
        <f>HYPERLINK("https://us2.cloudbeds.com/connect/10074733072513#/reservations/31679517376725?display=MHAS360M8&amp;reservation_id=31679517376725", "MHAS360M8")</f>
        <v>MHAS360M8</v>
      </c>
      <c r="B7786" t="s">
        <v>878</v>
      </c>
      <c r="C7786">
        <v>129</v>
      </c>
      <c r="D7786">
        <v>140.22999999999999</v>
      </c>
      <c r="E7786">
        <v>140.22</v>
      </c>
      <c r="F7786">
        <v>0.01</v>
      </c>
    </row>
    <row r="7787" spans="1:6" x14ac:dyDescent="0.3">
      <c r="A7787" t="str">
        <f>HYPERLINK("https://us2.cloudbeds.com/connect/10074733072513#/reservations/31675719381138?display=MH7U1K6DT&amp;reservation_id=31675719381138", "MH7U1K6DT")</f>
        <v>MH7U1K6DT</v>
      </c>
      <c r="B7787" t="s">
        <v>1238</v>
      </c>
      <c r="C7787">
        <v>89</v>
      </c>
      <c r="D7787">
        <v>96.75</v>
      </c>
      <c r="E7787">
        <v>96.74</v>
      </c>
      <c r="F7787">
        <v>0.01</v>
      </c>
    </row>
    <row r="7788" spans="1:6" x14ac:dyDescent="0.3">
      <c r="A7788" t="str">
        <f>HYPERLINK("https://us2.cloudbeds.com/connect/10074733072513#/reservations/31675765362942?display=MH7V7CN9T&amp;reservation_id=31675765362942", "MH7V7CN9T")</f>
        <v>MH7V7CN9T</v>
      </c>
      <c r="B7788" t="s">
        <v>1238</v>
      </c>
      <c r="C7788">
        <v>73</v>
      </c>
      <c r="D7788">
        <v>79.36</v>
      </c>
      <c r="E7788">
        <v>79.349999999999994</v>
      </c>
      <c r="F7788">
        <v>0.01</v>
      </c>
    </row>
    <row r="7789" spans="1:6" x14ac:dyDescent="0.3">
      <c r="A7789" t="str">
        <f>HYPERLINK("https://us2.cloudbeds.com/connect/10074733072513#/reservations/31675074060445?display=MH7DXF6EC&amp;reservation_id=31675074060445", "MH7DXF6EC")</f>
        <v>MH7DXF6EC</v>
      </c>
      <c r="B7789" t="s">
        <v>1240</v>
      </c>
      <c r="C7789">
        <v>198</v>
      </c>
      <c r="D7789">
        <v>215.24</v>
      </c>
      <c r="E7789">
        <v>215.23</v>
      </c>
      <c r="F7789">
        <v>0.01</v>
      </c>
    </row>
    <row r="7790" spans="1:6" x14ac:dyDescent="0.3">
      <c r="A7790" t="str">
        <f>HYPERLINK("https://us2.cloudbeds.com/connect/10074733072513#/reservations/31675773944022?display=MH7VEKG2K&amp;reservation_id=31675773944022", "MH7VEKG2K")</f>
        <v>MH7VEKG2K</v>
      </c>
      <c r="B7790" t="s">
        <v>1238</v>
      </c>
      <c r="C7790">
        <v>73</v>
      </c>
      <c r="D7790">
        <v>79.36</v>
      </c>
      <c r="E7790">
        <v>79.349999999999994</v>
      </c>
      <c r="F7790">
        <v>0.01</v>
      </c>
    </row>
    <row r="7791" spans="1:6" x14ac:dyDescent="0.3">
      <c r="A7791" t="str">
        <f>HYPERLINK("https://us2.cloudbeds.com/connect/10074733072513#/reservations/31677074432209?display=MH8VM7G3X&amp;reservation_id=31677074432209", "MH8VM7G3X")</f>
        <v>MH8VM7G3X</v>
      </c>
      <c r="B7791" t="s">
        <v>1175</v>
      </c>
      <c r="C7791">
        <v>199</v>
      </c>
      <c r="D7791">
        <v>216.32</v>
      </c>
      <c r="E7791">
        <v>216.31</v>
      </c>
      <c r="F7791">
        <v>0.01</v>
      </c>
    </row>
    <row r="7792" spans="1:6" x14ac:dyDescent="0.3">
      <c r="A7792" t="str">
        <f>HYPERLINK("https://us2.cloudbeds.com/connect/10074733072513#/reservations/31683472892101?display=MHDU5J26X&amp;reservation_id=31683472892101", "MHDU5J26X")</f>
        <v>MHDU5J26X</v>
      </c>
      <c r="B7792" t="s">
        <v>1154</v>
      </c>
      <c r="C7792">
        <v>139</v>
      </c>
      <c r="D7792">
        <v>151.1</v>
      </c>
      <c r="E7792">
        <v>151.09</v>
      </c>
      <c r="F7792">
        <v>0.01</v>
      </c>
    </row>
    <row r="7793" spans="1:6" x14ac:dyDescent="0.3">
      <c r="A7793" t="str">
        <f>HYPERLINK("https://us2.cloudbeds.com/connect/10074733072513#/reservations/31675232084212?display=MH7HJNEGC&amp;reservation_id=31675232084212", "MH7HJNEGC")</f>
        <v>MH7HJNEGC</v>
      </c>
      <c r="B7793" t="s">
        <v>1247</v>
      </c>
      <c r="C7793">
        <v>79</v>
      </c>
      <c r="D7793">
        <v>85.88</v>
      </c>
      <c r="E7793">
        <v>85.87</v>
      </c>
      <c r="F7793">
        <v>0.01</v>
      </c>
    </row>
    <row r="7794" spans="1:6" x14ac:dyDescent="0.3">
      <c r="A7794" t="str">
        <f>HYPERLINK("https://us2.cloudbeds.com/connect/10074733072513#/reservations/31676801847527?display=MH8ZNCDPM&amp;reservation_id=31676801847527", "MH8ZNCDPM")</f>
        <v>MH8ZNCDPM</v>
      </c>
      <c r="B7794" t="s">
        <v>957</v>
      </c>
      <c r="C7794">
        <v>599.4</v>
      </c>
      <c r="D7794">
        <v>651.55999999999995</v>
      </c>
      <c r="E7794">
        <v>651.54999999999995</v>
      </c>
      <c r="F7794">
        <v>0.01</v>
      </c>
    </row>
    <row r="7795" spans="1:6" x14ac:dyDescent="0.3">
      <c r="A7795" t="str">
        <f>HYPERLINK("https://us2.cloudbeds.com/connect/10074733072513#/reservations/31676158591197?display=MH888VSEK&amp;reservation_id=31676158591197", "MH888VSEK")</f>
        <v>MH888VSEK</v>
      </c>
      <c r="B7795" t="s">
        <v>1009</v>
      </c>
      <c r="C7795">
        <v>209</v>
      </c>
      <c r="D7795">
        <v>227.19</v>
      </c>
      <c r="E7795">
        <v>227.18</v>
      </c>
      <c r="F7795">
        <v>0.01</v>
      </c>
    </row>
    <row r="7796" spans="1:6" x14ac:dyDescent="0.3">
      <c r="A7796" t="str">
        <f>HYPERLINK("https://us2.cloudbeds.com/connect/10074733072513#/reservations/31677915836612?display=MH9K5NQJM&amp;reservation_id=31677915836612", "MH9K5NQJM")</f>
        <v>MH9K5NQJM</v>
      </c>
      <c r="B7796" t="s">
        <v>1162</v>
      </c>
      <c r="C7796">
        <v>377</v>
      </c>
      <c r="D7796">
        <v>409.81</v>
      </c>
      <c r="E7796">
        <v>409.8</v>
      </c>
      <c r="F7796">
        <v>0.01</v>
      </c>
    </row>
    <row r="7797" spans="1:6" x14ac:dyDescent="0.3">
      <c r="A7797" t="str">
        <f>HYPERLINK("https://us2.cloudbeds.com/connect/10074733072513#/reservations/31676167033034?display=MH88G2PBS&amp;reservation_id=31676167033034", "MH88G2PBS")</f>
        <v>MH88G2PBS</v>
      </c>
      <c r="B7797" t="s">
        <v>1252</v>
      </c>
      <c r="C7797">
        <v>89</v>
      </c>
      <c r="D7797">
        <v>96.75</v>
      </c>
      <c r="E7797">
        <v>96.74</v>
      </c>
      <c r="F7797">
        <v>0.01</v>
      </c>
    </row>
    <row r="7798" spans="1:6" x14ac:dyDescent="0.3">
      <c r="A7798" t="str">
        <f>HYPERLINK("https://us2.cloudbeds.com/connect/10074733072513#/reservations/31676191293681?display=MH893HS8W&amp;reservation_id=31676191293681", "MH893HS8W")</f>
        <v>MH893HS8W</v>
      </c>
      <c r="B7798" t="s">
        <v>1252</v>
      </c>
      <c r="C7798">
        <v>89</v>
      </c>
      <c r="D7798">
        <v>96.75</v>
      </c>
      <c r="E7798">
        <v>96.74</v>
      </c>
      <c r="F7798">
        <v>0.01</v>
      </c>
    </row>
    <row r="7799" spans="1:6" x14ac:dyDescent="0.3">
      <c r="A7799" t="str">
        <f>HYPERLINK("https://us2.cloudbeds.com/connect/10074733072513#/reservations/31677931098249?display=MH9KXJFVH&amp;reservation_id=31677931098249", "MH9KXJFVH")</f>
        <v>MH9KXJFVH</v>
      </c>
      <c r="B7799" t="s">
        <v>1162</v>
      </c>
      <c r="C7799">
        <v>377</v>
      </c>
      <c r="D7799">
        <v>409.81</v>
      </c>
      <c r="E7799">
        <v>409.8</v>
      </c>
      <c r="F7799">
        <v>0.01</v>
      </c>
    </row>
    <row r="7800" spans="1:6" x14ac:dyDescent="0.3">
      <c r="A7800" t="str">
        <f>HYPERLINK("https://us2.cloudbeds.com/connect/10074733072513#/reservations/31675681362070?display=MH7T2X8GU&amp;reservation_id=31675681362070", "MH7T2X8GU")</f>
        <v>MH7T2X8GU</v>
      </c>
      <c r="B7800" t="s">
        <v>1238</v>
      </c>
      <c r="C7800">
        <v>89</v>
      </c>
      <c r="D7800">
        <v>96.75</v>
      </c>
      <c r="E7800">
        <v>96.74</v>
      </c>
      <c r="F7800">
        <v>0.01</v>
      </c>
    </row>
    <row r="7801" spans="1:6" x14ac:dyDescent="0.3">
      <c r="A7801" t="str">
        <f>HYPERLINK("https://us2.cloudbeds.com/connect/10074733072513#/reservations/31678610002136?display=MHA4U1WGJ&amp;reservation_id=31678610002136", "MHA4U1WGJ")</f>
        <v>MHA4U1WGJ</v>
      </c>
      <c r="B7801" t="s">
        <v>1180</v>
      </c>
      <c r="C7801">
        <v>209</v>
      </c>
      <c r="D7801">
        <v>227.19</v>
      </c>
      <c r="E7801">
        <v>227.18</v>
      </c>
      <c r="F7801">
        <v>0.01</v>
      </c>
    </row>
    <row r="7802" spans="1:6" x14ac:dyDescent="0.3">
      <c r="A7802" t="str">
        <f>HYPERLINK("https://us2.cloudbeds.com/connect/10074733072513#/reservations/31682029002981?display=MHCQ91NSQ&amp;reservation_id=31682029002981", "MHCQ91NSQ")</f>
        <v>MHCQ91NSQ</v>
      </c>
      <c r="B7802" t="s">
        <v>1127</v>
      </c>
      <c r="C7802">
        <v>169</v>
      </c>
      <c r="D7802">
        <v>183.71</v>
      </c>
      <c r="E7802">
        <v>183.7</v>
      </c>
      <c r="F7802">
        <v>0.01</v>
      </c>
    </row>
    <row r="7803" spans="1:6" x14ac:dyDescent="0.3">
      <c r="A7803" t="str">
        <f>HYPERLINK("https://us2.cloudbeds.com/connect/10074733072513#/reservations/31676252430507?display=MH8AM32K1&amp;reservation_id=31676252430507", "MH8AM32K1")</f>
        <v>MH8AM32K1</v>
      </c>
      <c r="B7803" t="s">
        <v>1240</v>
      </c>
      <c r="C7803">
        <v>119</v>
      </c>
      <c r="D7803">
        <v>129.36000000000001</v>
      </c>
      <c r="E7803">
        <v>129.35</v>
      </c>
      <c r="F7803">
        <v>0.01</v>
      </c>
    </row>
    <row r="7804" spans="1:6" x14ac:dyDescent="0.3">
      <c r="A7804" t="str">
        <f>HYPERLINK("https://us2.cloudbeds.com/connect/10074733072513#/reservations/31682952143004?display=MHDGSFF0T&amp;reservation_id=31682952143004", "MHDGSFF0T")</f>
        <v>MHDGSFF0T</v>
      </c>
      <c r="B7804" t="s">
        <v>1154</v>
      </c>
      <c r="C7804">
        <v>139</v>
      </c>
      <c r="D7804">
        <v>151.1</v>
      </c>
      <c r="E7804">
        <v>151.09</v>
      </c>
      <c r="F7804">
        <v>0.01</v>
      </c>
    </row>
    <row r="7805" spans="1:6" x14ac:dyDescent="0.3">
      <c r="A7805" t="str">
        <f>HYPERLINK("https://us2.cloudbeds.com/connect/10074733072513#/reservations/31675790393512?display=MH7VSG770&amp;reservation_id=31675790393512", "MH7VSG770")</f>
        <v>MH7VSG770</v>
      </c>
      <c r="B7805" t="s">
        <v>1240</v>
      </c>
      <c r="C7805">
        <v>119</v>
      </c>
      <c r="D7805">
        <v>129.36000000000001</v>
      </c>
      <c r="E7805">
        <v>129.35</v>
      </c>
      <c r="F7805">
        <v>0.01</v>
      </c>
    </row>
    <row r="7806" spans="1:6" x14ac:dyDescent="0.3">
      <c r="A7806" t="str">
        <f>HYPERLINK("https://us2.cloudbeds.com/connect/10074733072513#/reservations/31675786973364?display=MH7VPK1J5&amp;reservation_id=31675786973364", "MH7VPK1J5")</f>
        <v>MH7VPK1J5</v>
      </c>
      <c r="B7806" t="s">
        <v>1238</v>
      </c>
      <c r="C7806">
        <v>80.38</v>
      </c>
      <c r="D7806">
        <v>87.38</v>
      </c>
      <c r="E7806">
        <v>87.37</v>
      </c>
      <c r="F7806">
        <v>0.01</v>
      </c>
    </row>
    <row r="7807" spans="1:6" x14ac:dyDescent="0.3">
      <c r="A7807" t="str">
        <f>HYPERLINK("https://us2.cloudbeds.com/connect/10074733072513#/reservations/31678660518044?display=MHA66YYUM&amp;reservation_id=31678660518044", "MHA66YYUM")</f>
        <v>MHA66YYUM</v>
      </c>
      <c r="B7807" t="s">
        <v>1180</v>
      </c>
      <c r="C7807">
        <v>209</v>
      </c>
      <c r="D7807">
        <v>227.19</v>
      </c>
      <c r="E7807">
        <v>227.18</v>
      </c>
      <c r="F7807">
        <v>0.01</v>
      </c>
    </row>
    <row r="7808" spans="1:6" x14ac:dyDescent="0.3">
      <c r="A7808" t="str">
        <f>HYPERLINK("https://us2.cloudbeds.com/connect/10074733072513#/reservations/31680934154455?display=MHBV9RVAZ&amp;reservation_id=31680934154455", "MHBV9RVAZ")</f>
        <v>MHBV9RVAZ</v>
      </c>
      <c r="B7808" t="s">
        <v>1254</v>
      </c>
      <c r="C7808">
        <v>338</v>
      </c>
      <c r="D7808">
        <v>367.42</v>
      </c>
      <c r="E7808">
        <v>367.41</v>
      </c>
      <c r="F7808">
        <v>0.01</v>
      </c>
    </row>
    <row r="7809" spans="1:6" x14ac:dyDescent="0.3">
      <c r="A7809" t="str">
        <f>HYPERLINK("https://us2.cloudbeds.com/connect/10074733072513#/reservations/31678633595008?display=MHA591C9E&amp;reservation_id=31678633595008", "MHA591C9E")</f>
        <v>MHA591C9E</v>
      </c>
      <c r="B7809" t="s">
        <v>1180</v>
      </c>
      <c r="C7809">
        <v>209</v>
      </c>
      <c r="D7809">
        <v>227.19</v>
      </c>
      <c r="E7809">
        <v>227.18</v>
      </c>
      <c r="F7809">
        <v>0.01</v>
      </c>
    </row>
    <row r="7810" spans="1:6" x14ac:dyDescent="0.3">
      <c r="A7810" t="str">
        <f>HYPERLINK("https://us2.cloudbeds.com/connect/10074733072513#/reservations/31684136980695?display=MHEE4XA8B&amp;reservation_id=31684136980695", "MHEE4XA8B")</f>
        <v>MHEE4XA8B</v>
      </c>
      <c r="B7810" t="s">
        <v>1139</v>
      </c>
      <c r="C7810">
        <v>129</v>
      </c>
      <c r="D7810">
        <v>140.22999999999999</v>
      </c>
      <c r="E7810">
        <v>140.22</v>
      </c>
      <c r="F7810">
        <v>0.01</v>
      </c>
    </row>
    <row r="7811" spans="1:6" x14ac:dyDescent="0.3">
      <c r="A7811" t="str">
        <f>HYPERLINK("https://us2.cloudbeds.com/connect/10074733072513#/reservations/31676240584885?display=MH8AC3F2R&amp;reservation_id=31676240584885", "MH8AC3F2R")</f>
        <v>MH8AC3F2R</v>
      </c>
      <c r="B7811" t="s">
        <v>1240</v>
      </c>
      <c r="C7811">
        <v>139</v>
      </c>
      <c r="D7811">
        <v>151.1</v>
      </c>
      <c r="E7811">
        <v>151.09</v>
      </c>
      <c r="F7811">
        <v>0.01</v>
      </c>
    </row>
    <row r="7812" spans="1:6" x14ac:dyDescent="0.3">
      <c r="A7812" t="str">
        <f>HYPERLINK("https://us2.cloudbeds.com/connect/10074733072513#/reservations/31681517207738?display=MHCD6G8Q1&amp;reservation_id=31681517207738", "MHCD6G8Q1")</f>
        <v>MHCD6G8Q1</v>
      </c>
      <c r="B7812" t="s">
        <v>1201</v>
      </c>
      <c r="C7812">
        <v>258</v>
      </c>
      <c r="D7812">
        <v>280.45999999999998</v>
      </c>
      <c r="E7812">
        <v>280.45</v>
      </c>
      <c r="F7812">
        <v>0.01</v>
      </c>
    </row>
    <row r="7813" spans="1:6" x14ac:dyDescent="0.3">
      <c r="A7813" t="str">
        <f>HYPERLINK("https://us2.cloudbeds.com/connect/10074733072513#/reservations/31681707131070?display=MHCX1Y5CH&amp;reservation_id=31681707131070", "MHCX1Y5CH")</f>
        <v>MHCX1Y5CH</v>
      </c>
      <c r="B7813" t="s">
        <v>1201</v>
      </c>
      <c r="C7813">
        <v>129</v>
      </c>
      <c r="D7813">
        <v>140.22999999999999</v>
      </c>
      <c r="E7813">
        <v>140.22</v>
      </c>
      <c r="F7813">
        <v>0.01</v>
      </c>
    </row>
    <row r="7814" spans="1:6" x14ac:dyDescent="0.3">
      <c r="A7814" t="str">
        <f>HYPERLINK("https://us2.cloudbeds.com/connect/10074733072513#/reservations/31678702530782?display=MHA792Z3V&amp;reservation_id=31678702530782", "MHA792Z3V")</f>
        <v>MHA792Z3V</v>
      </c>
      <c r="B7814" t="s">
        <v>1172</v>
      </c>
      <c r="C7814">
        <v>189</v>
      </c>
      <c r="D7814">
        <v>205.45</v>
      </c>
      <c r="E7814">
        <v>205.44</v>
      </c>
      <c r="F7814">
        <v>0.01</v>
      </c>
    </row>
    <row r="7815" spans="1:6" x14ac:dyDescent="0.3">
      <c r="A7815" t="str">
        <f>HYPERLINK("https://us2.cloudbeds.com/connect/10074733072513#/reservations/31681468408053?display=MHCBVBBAN&amp;reservation_id=31681468408053", "MHCBVBBAN")</f>
        <v>MHCBVBBAN</v>
      </c>
      <c r="B7815" t="s">
        <v>1201</v>
      </c>
      <c r="C7815">
        <v>129</v>
      </c>
      <c r="D7815">
        <v>140.22999999999999</v>
      </c>
      <c r="E7815">
        <v>140.22</v>
      </c>
      <c r="F7815">
        <v>0.01</v>
      </c>
    </row>
    <row r="7816" spans="1:6" x14ac:dyDescent="0.3">
      <c r="A7816" t="str">
        <f>HYPERLINK("https://us2.cloudbeds.com/connect/10074733072513#/reservations/31676662100124?display=MH8Y4HZDT&amp;reservation_id=31676662100124", "MH8Y4HZDT")</f>
        <v>MH8Y4HZDT</v>
      </c>
      <c r="B7816" t="s">
        <v>1253</v>
      </c>
      <c r="C7816">
        <v>370</v>
      </c>
      <c r="D7816">
        <v>402.2</v>
      </c>
      <c r="E7816">
        <v>402.19</v>
      </c>
      <c r="F7816">
        <v>0.01</v>
      </c>
    </row>
    <row r="7817" spans="1:6" x14ac:dyDescent="0.3">
      <c r="A7817" t="str">
        <f>HYPERLINK("https://us2.cloudbeds.com/connect/10074733072513#/reservations/31676137836732?display=MH87ZFB5E&amp;reservation_id=31676137836732", "MH87ZFB5E")</f>
        <v>MH87ZFB5E</v>
      </c>
      <c r="B7817" t="s">
        <v>1248</v>
      </c>
      <c r="C7817">
        <v>149</v>
      </c>
      <c r="D7817">
        <v>161.97</v>
      </c>
      <c r="E7817">
        <v>161.96</v>
      </c>
      <c r="F7817">
        <v>0.01</v>
      </c>
    </row>
    <row r="7818" spans="1:6" x14ac:dyDescent="0.3">
      <c r="A7818" t="str">
        <f>HYPERLINK("https://us2.cloudbeds.com/connect/10074733072513#/reservations/31679869227178?display=MHB42SPM6&amp;reservation_id=31679869227178", "MHB42SPM6")</f>
        <v>MHB42SPM6</v>
      </c>
      <c r="B7818" t="s">
        <v>1137</v>
      </c>
      <c r="C7818">
        <v>199</v>
      </c>
      <c r="D7818">
        <v>216.32</v>
      </c>
      <c r="E7818">
        <v>216.31</v>
      </c>
      <c r="F7818">
        <v>0.01</v>
      </c>
    </row>
    <row r="7819" spans="1:6" x14ac:dyDescent="0.3">
      <c r="A7819" t="str">
        <f>HYPERLINK("https://us2.cloudbeds.com/connect/10074733072513#/reservations/31683480416410?display=MHDUBUEXU&amp;reservation_id=31683480416410", "MHDUBUEXU")</f>
        <v>MHDUBUEXU</v>
      </c>
      <c r="B7819" t="s">
        <v>1154</v>
      </c>
      <c r="C7819">
        <v>139</v>
      </c>
      <c r="D7819">
        <v>151.1</v>
      </c>
      <c r="E7819">
        <v>151.09</v>
      </c>
      <c r="F7819">
        <v>0.01</v>
      </c>
    </row>
    <row r="7820" spans="1:6" x14ac:dyDescent="0.3">
      <c r="A7820" t="str">
        <f>HYPERLINK("https://us2.cloudbeds.com/connect/10074733072513#/reservations/31676197048518?display=MH898CWPV&amp;reservation_id=31676197048518", "MH898CWPV")</f>
        <v>MH898CWPV</v>
      </c>
      <c r="B7820" t="s">
        <v>1252</v>
      </c>
      <c r="C7820">
        <v>101.75</v>
      </c>
      <c r="D7820">
        <v>110.61</v>
      </c>
      <c r="E7820">
        <v>110.6</v>
      </c>
      <c r="F7820">
        <v>0.01</v>
      </c>
    </row>
    <row r="7821" spans="1:6" x14ac:dyDescent="0.3">
      <c r="A7821" t="str">
        <f>HYPERLINK("https://us2.cloudbeds.com/connect/10074733072513#/reservations/31680444354697?display=MHBXPRX3R&amp;reservation_id=31680444354697", "MHBXPRX3R")</f>
        <v>MHBXPRX3R</v>
      </c>
      <c r="B7821" t="s">
        <v>1170</v>
      </c>
      <c r="C7821">
        <v>129</v>
      </c>
      <c r="D7821">
        <v>140.22999999999999</v>
      </c>
      <c r="E7821">
        <v>140.22</v>
      </c>
      <c r="F7821">
        <v>0.01</v>
      </c>
    </row>
    <row r="7822" spans="1:6" x14ac:dyDescent="0.3">
      <c r="A7822" t="str">
        <f>HYPERLINK("https://us2.cloudbeds.com/connect/10074733072513#/reservations/31683442520292?display=MHDTCVUXN&amp;reservation_id=31683442520292", "MHDTCVUXN")</f>
        <v>MHDTCVUXN</v>
      </c>
      <c r="B7822" t="s">
        <v>1154</v>
      </c>
      <c r="C7822">
        <v>278</v>
      </c>
      <c r="D7822">
        <v>302.2</v>
      </c>
      <c r="E7822">
        <v>302.19</v>
      </c>
      <c r="F7822">
        <v>0.01</v>
      </c>
    </row>
    <row r="7823" spans="1:6" x14ac:dyDescent="0.3">
      <c r="A7823" t="str">
        <f>HYPERLINK("https://us2.cloudbeds.com/connect/10074733072513#/reservations/31681516736710?display=MHCD6358F&amp;reservation_id=31681516736710", "MHCD6358F")</f>
        <v>MHCD6358F</v>
      </c>
      <c r="B7823" t="s">
        <v>1201</v>
      </c>
      <c r="C7823">
        <v>129</v>
      </c>
      <c r="D7823">
        <v>140.22999999999999</v>
      </c>
      <c r="E7823">
        <v>140.22</v>
      </c>
      <c r="F7823">
        <v>0.01</v>
      </c>
    </row>
    <row r="7824" spans="1:6" x14ac:dyDescent="0.3">
      <c r="A7824" t="str">
        <f>HYPERLINK("https://us2.cloudbeds.com/connect/10074733072513#/reservations/31681525932187?display=MHCDDS179&amp;reservation_id=31681525932187", "MHCDDS179")</f>
        <v>MHCDDS179</v>
      </c>
      <c r="B7824" t="s">
        <v>1201</v>
      </c>
      <c r="C7824">
        <v>129</v>
      </c>
      <c r="D7824">
        <v>140.22999999999999</v>
      </c>
      <c r="E7824">
        <v>140.22</v>
      </c>
      <c r="F7824">
        <v>0.01</v>
      </c>
    </row>
    <row r="7825" spans="1:6" x14ac:dyDescent="0.3">
      <c r="A7825" t="str">
        <f>HYPERLINK("https://us2.cloudbeds.com/connect/10074733072513#/reservations/31675206693084?display=MH7GV9TG8&amp;reservation_id=31675206693084", "MH7GV9TG8")</f>
        <v>MH7GV9TG8</v>
      </c>
      <c r="B7825" t="s">
        <v>1258</v>
      </c>
      <c r="C7825">
        <v>79</v>
      </c>
      <c r="D7825">
        <v>85.88</v>
      </c>
      <c r="E7825">
        <v>85.87</v>
      </c>
      <c r="F7825">
        <v>0.01</v>
      </c>
    </row>
    <row r="7826" spans="1:6" x14ac:dyDescent="0.3">
      <c r="A7826" t="str">
        <f>HYPERLINK("https://us2.cloudbeds.com/connect/10074733072513#/reservations/31676240933045?display=MH8ACD4Q4&amp;reservation_id=31676240933045", "MH8ACD4Q4")</f>
        <v>MH8ACD4Q4</v>
      </c>
      <c r="B7826" t="s">
        <v>1226</v>
      </c>
      <c r="C7826">
        <v>79</v>
      </c>
      <c r="D7826">
        <v>85.88</v>
      </c>
      <c r="E7826">
        <v>85.87</v>
      </c>
      <c r="F7826">
        <v>0.01</v>
      </c>
    </row>
    <row r="7827" spans="1:6" x14ac:dyDescent="0.3">
      <c r="A7827" t="str">
        <f>HYPERLINK("https://us2.cloudbeds.com/connect/10074733072513#/reservations/31680405393594?display=MHBHPWD5B&amp;reservation_id=31680405393594", "MHBHPWD5B")</f>
        <v>MHBHPWD5B</v>
      </c>
      <c r="B7827" t="s">
        <v>1170</v>
      </c>
      <c r="C7827">
        <v>169</v>
      </c>
      <c r="D7827">
        <v>183.71</v>
      </c>
      <c r="E7827">
        <v>183.7</v>
      </c>
      <c r="F7827">
        <v>0.01</v>
      </c>
    </row>
    <row r="7828" spans="1:6" x14ac:dyDescent="0.3">
      <c r="A7828" t="str">
        <f>HYPERLINK("https://us2.cloudbeds.com/connect/10074733072513#/reservations/31675871805637?display=MH80V4KR3&amp;reservation_id=31675871805637", "MH80V4KR3")</f>
        <v>MH80V4KR3</v>
      </c>
      <c r="B7828" t="s">
        <v>1037</v>
      </c>
      <c r="C7828">
        <v>101.75</v>
      </c>
      <c r="D7828">
        <v>110.61</v>
      </c>
      <c r="E7828">
        <v>110.6</v>
      </c>
      <c r="F7828">
        <v>0.01</v>
      </c>
    </row>
    <row r="7829" spans="1:6" x14ac:dyDescent="0.3">
      <c r="A7829" t="str">
        <f>HYPERLINK("https://us2.cloudbeds.com/connect/10074733072513#/reservations/31677327991017?display=MH95514FQ&amp;reservation_id=31677327991017", "MH95514FQ")</f>
        <v>MH95514FQ</v>
      </c>
      <c r="B7829" t="s">
        <v>1035</v>
      </c>
      <c r="C7829">
        <v>209</v>
      </c>
      <c r="D7829">
        <v>227.19</v>
      </c>
      <c r="E7829">
        <v>227.18</v>
      </c>
      <c r="F7829">
        <v>0.01</v>
      </c>
    </row>
    <row r="7830" spans="1:6" x14ac:dyDescent="0.3">
      <c r="A7830" t="str">
        <f>HYPERLINK("https://us2.cloudbeds.com/connect/10074733072513#/reservations/31676592869542?display=MH8JC59QF&amp;reservation_id=31676592869542", "MH8JC59QF")</f>
        <v>MH8JC59QF</v>
      </c>
      <c r="B7830" t="s">
        <v>1065</v>
      </c>
      <c r="C7830">
        <v>199</v>
      </c>
      <c r="D7830">
        <v>216.32</v>
      </c>
      <c r="E7830">
        <v>216.31</v>
      </c>
      <c r="F7830">
        <v>0.01</v>
      </c>
    </row>
    <row r="7831" spans="1:6" x14ac:dyDescent="0.3">
      <c r="A7831" t="str">
        <f>HYPERLINK("https://us2.cloudbeds.com/connect/10074733072513#/reservations/31676350365884?display=MH8D5M92P&amp;reservation_id=31676350365884", "MH8D5M92P")</f>
        <v>MH8D5M92P</v>
      </c>
      <c r="B7831" t="s">
        <v>1226</v>
      </c>
      <c r="C7831">
        <v>79</v>
      </c>
      <c r="D7831">
        <v>85.88</v>
      </c>
      <c r="E7831">
        <v>85.87</v>
      </c>
      <c r="F7831">
        <v>0.01</v>
      </c>
    </row>
    <row r="7832" spans="1:6" x14ac:dyDescent="0.3">
      <c r="A7832" t="str">
        <f>HYPERLINK("https://us2.cloudbeds.com/connect/10074733072513#/reservations/31676475908317?display=MH8GCHMCU&amp;reservation_id=31676475908317", "MH8GCHMCU")</f>
        <v>MH8GCHMCU</v>
      </c>
      <c r="B7832" t="s">
        <v>1253</v>
      </c>
      <c r="C7832">
        <v>222</v>
      </c>
      <c r="D7832">
        <v>241.32</v>
      </c>
      <c r="E7832">
        <v>241.31</v>
      </c>
      <c r="F7832">
        <v>0.01</v>
      </c>
    </row>
    <row r="7833" spans="1:6" x14ac:dyDescent="0.3">
      <c r="A7833" t="str">
        <f>HYPERLINK("https://us2.cloudbeds.com/connect/10074733072513#/reservations/31675215151289?display=MH7H5E8EF&amp;reservation_id=31675215151289", "MH7H5E8EF")</f>
        <v>MH7H5E8EF</v>
      </c>
      <c r="B7833" t="s">
        <v>1258</v>
      </c>
      <c r="C7833">
        <v>73</v>
      </c>
      <c r="D7833">
        <v>79.36</v>
      </c>
      <c r="E7833">
        <v>79.349999999999994</v>
      </c>
      <c r="F7833">
        <v>0.01</v>
      </c>
    </row>
    <row r="7834" spans="1:6" x14ac:dyDescent="0.3">
      <c r="A7834" t="str">
        <f>HYPERLINK("https://us2.cloudbeds.com/connect/10074733072513#/reservations/31675231436957?display=MH7HJ5E4J&amp;reservation_id=31675231436957", "MH7HJ5E4J")</f>
        <v>MH7HJ5E4J</v>
      </c>
      <c r="B7834" t="s">
        <v>1258</v>
      </c>
      <c r="C7834">
        <v>101.75</v>
      </c>
      <c r="D7834">
        <v>110.61</v>
      </c>
      <c r="E7834">
        <v>110.6</v>
      </c>
      <c r="F7834">
        <v>0.01</v>
      </c>
    </row>
    <row r="7835" spans="1:6" x14ac:dyDescent="0.3">
      <c r="A7835" t="str">
        <f>HYPERLINK("https://us2.cloudbeds.com/connect/10074733072513#/reservations/31677059522783?display=MH8V9YK5P&amp;reservation_id=31677059522783", "MH8V9YK5P")</f>
        <v>MH8V9YK5P</v>
      </c>
      <c r="B7835" t="s">
        <v>1175</v>
      </c>
      <c r="C7835">
        <v>209</v>
      </c>
      <c r="D7835">
        <v>227.19</v>
      </c>
      <c r="E7835">
        <v>227.18</v>
      </c>
      <c r="F7835">
        <v>0.01</v>
      </c>
    </row>
    <row r="7836" spans="1:6" x14ac:dyDescent="0.3">
      <c r="A7836" t="str">
        <f>HYPERLINK("https://us2.cloudbeds.com/connect/10074733072513#/reservations/31675246035109?display=MH7HVFY7R&amp;reservation_id=31675246035109", "MH7HVFY7R")</f>
        <v>MH7HVFY7R</v>
      </c>
      <c r="B7836" t="s">
        <v>1258</v>
      </c>
      <c r="C7836">
        <v>89</v>
      </c>
      <c r="D7836">
        <v>96.75</v>
      </c>
      <c r="E7836">
        <v>96.74</v>
      </c>
      <c r="F7836">
        <v>0.01</v>
      </c>
    </row>
    <row r="7837" spans="1:6" x14ac:dyDescent="0.3">
      <c r="A7837" t="str">
        <f>HYPERLINK("https://us2.cloudbeds.com/connect/10074733072513#/reservations/31676279218350?display=MH8BBMG5T&amp;reservation_id=31676279218350", "MH8BBMG5T")</f>
        <v>MH8BBMG5T</v>
      </c>
      <c r="B7837" t="s">
        <v>1226</v>
      </c>
      <c r="C7837">
        <v>149</v>
      </c>
      <c r="D7837">
        <v>161.97</v>
      </c>
      <c r="E7837">
        <v>161.96</v>
      </c>
      <c r="F7837">
        <v>0.01</v>
      </c>
    </row>
    <row r="7838" spans="1:6" x14ac:dyDescent="0.3">
      <c r="A7838" t="str">
        <f>HYPERLINK("https://us2.cloudbeds.com/connect/10074733072513#/reservations/31676375380161?display=MH8DQPB15&amp;reservation_id=31676375380161", "MH8DQPB15")</f>
        <v>MH8DQPB15</v>
      </c>
      <c r="B7838" t="s">
        <v>1226</v>
      </c>
      <c r="C7838">
        <v>89</v>
      </c>
      <c r="D7838">
        <v>96.75</v>
      </c>
      <c r="E7838">
        <v>96.74</v>
      </c>
      <c r="F7838">
        <v>0.01</v>
      </c>
    </row>
    <row r="7839" spans="1:6" x14ac:dyDescent="0.3">
      <c r="A7839" t="str">
        <f>HYPERLINK("https://us2.cloudbeds.com/connect/10074733072513#/reservations/31676378030300?display=MH8DT02JD&amp;reservation_id=31676378030300", "MH8DT02JD")</f>
        <v>MH8DT02JD</v>
      </c>
      <c r="B7839" t="s">
        <v>1226</v>
      </c>
      <c r="C7839">
        <v>89</v>
      </c>
      <c r="D7839">
        <v>96.75</v>
      </c>
      <c r="E7839">
        <v>96.74</v>
      </c>
      <c r="F7839">
        <v>0.01</v>
      </c>
    </row>
    <row r="7840" spans="1:6" x14ac:dyDescent="0.3">
      <c r="A7840" t="str">
        <f>HYPERLINK("https://us2.cloudbeds.com/connect/10074733072513#/reservations/31676400550091?display=MH8EEWNUA&amp;reservation_id=31676400550091", "MH8EEWNUA")</f>
        <v>MH8EEWNUA</v>
      </c>
      <c r="B7840" t="s">
        <v>1226</v>
      </c>
      <c r="C7840">
        <v>89</v>
      </c>
      <c r="D7840">
        <v>96.75</v>
      </c>
      <c r="E7840">
        <v>96.74</v>
      </c>
      <c r="F7840">
        <v>0.01</v>
      </c>
    </row>
    <row r="7841" spans="1:6" x14ac:dyDescent="0.3">
      <c r="A7841" t="str">
        <f>HYPERLINK("https://us2.cloudbeds.com/connect/10074733072513#/reservations/31676437909727?display=MH8FDGA9G&amp;reservation_id=31676437909727", "MH8FDGA9G")</f>
        <v>MH8FDGA9G</v>
      </c>
      <c r="B7841" t="s">
        <v>1223</v>
      </c>
      <c r="C7841">
        <v>222</v>
      </c>
      <c r="D7841">
        <v>241.32</v>
      </c>
      <c r="E7841">
        <v>241.31</v>
      </c>
      <c r="F7841">
        <v>0.01</v>
      </c>
    </row>
    <row r="7842" spans="1:6" x14ac:dyDescent="0.3">
      <c r="A7842" t="str">
        <f>HYPERLINK("https://us2.cloudbeds.com/connect/10074733072513#/reservations/31676448247962?display=MH8FM6WKB&amp;reservation_id=31676448247962", "MH8FM6WKB")</f>
        <v>MH8FM6WKB</v>
      </c>
      <c r="B7842" t="s">
        <v>1223</v>
      </c>
      <c r="C7842">
        <v>222</v>
      </c>
      <c r="D7842">
        <v>241.32</v>
      </c>
      <c r="E7842">
        <v>241.31</v>
      </c>
      <c r="F7842">
        <v>0.01</v>
      </c>
    </row>
    <row r="7843" spans="1:6" x14ac:dyDescent="0.3">
      <c r="A7843" t="str">
        <f>HYPERLINK("https://us2.cloudbeds.com/connect/10074733072513#/reservations/31687641878674?display=MHH4MW8N0&amp;reservation_id=31687641878674", "MHH4MW8N0")</f>
        <v>MHH4MW8N0</v>
      </c>
      <c r="B7843" t="s">
        <v>1259</v>
      </c>
      <c r="C7843">
        <v>179</v>
      </c>
      <c r="D7843">
        <v>194.58</v>
      </c>
      <c r="E7843">
        <v>194.57</v>
      </c>
      <c r="F7843">
        <v>0.01</v>
      </c>
    </row>
    <row r="7844" spans="1:6" x14ac:dyDescent="0.3">
      <c r="A7844" t="str">
        <f>HYPERLINK("https://us2.cloudbeds.com/connect/10074733072513#/reservations/31676928712923?display=MH8RVBKUK&amp;reservation_id=31676928712923", "MH8RVBKUK")</f>
        <v>MH8RVBKUK</v>
      </c>
      <c r="B7844" t="s">
        <v>957</v>
      </c>
      <c r="C7844">
        <v>247.43</v>
      </c>
      <c r="D7844">
        <v>268.97000000000003</v>
      </c>
      <c r="E7844">
        <v>268.95999999999998</v>
      </c>
      <c r="F7844">
        <v>0.01</v>
      </c>
    </row>
    <row r="7845" spans="1:6" x14ac:dyDescent="0.3">
      <c r="A7845" t="str">
        <f>HYPERLINK("https://us2.cloudbeds.com/connect/10074733072513#/reservations/31677438431441?display=MH97W5A0A&amp;reservation_id=31677438431441", "MH97W5A0A")</f>
        <v>MH97W5A0A</v>
      </c>
      <c r="B7845" t="s">
        <v>1009</v>
      </c>
      <c r="C7845">
        <v>189</v>
      </c>
      <c r="D7845">
        <v>205.45</v>
      </c>
      <c r="E7845">
        <v>205.44</v>
      </c>
      <c r="F7845">
        <v>0.01</v>
      </c>
    </row>
    <row r="7846" spans="1:6" x14ac:dyDescent="0.3">
      <c r="A7846" t="str">
        <f>HYPERLINK("https://us2.cloudbeds.com/connect/10074733072513#/reservations/31675630186653?display=MH7RPD7FN&amp;reservation_id=31675630186653", "MH7RPD7FN")</f>
        <v>MH7RPD7FN</v>
      </c>
      <c r="B7846" t="s">
        <v>1205</v>
      </c>
      <c r="C7846">
        <v>283.10000000000002</v>
      </c>
      <c r="D7846">
        <v>307.74</v>
      </c>
      <c r="E7846">
        <v>307.73</v>
      </c>
      <c r="F7846">
        <v>0.01</v>
      </c>
    </row>
    <row r="7847" spans="1:6" x14ac:dyDescent="0.3">
      <c r="A7847" t="str">
        <f>HYPERLINK("https://us2.cloudbeds.com/connect/10074733072513#/reservations/31678054678685?display=MH9NNQ9K6&amp;reservation_id=31678054678685", "MH9NNQ9K6")</f>
        <v>MH9NNQ9K6</v>
      </c>
      <c r="B7847" t="s">
        <v>1175</v>
      </c>
      <c r="C7847">
        <v>169</v>
      </c>
      <c r="D7847">
        <v>183.71</v>
      </c>
      <c r="E7847">
        <v>183.7</v>
      </c>
      <c r="F7847">
        <v>0.01</v>
      </c>
    </row>
    <row r="7848" spans="1:6" x14ac:dyDescent="0.3">
      <c r="A7848" t="str">
        <f>HYPERLINK("https://us2.cloudbeds.com/connect/10074733072513#/reservations/31675293040774?display=MH7J53Y9U&amp;reservation_id=31675293040774", "MH7J53Y9U")</f>
        <v>MH7J53Y9U</v>
      </c>
      <c r="B7848" t="s">
        <v>1226</v>
      </c>
      <c r="C7848">
        <v>119</v>
      </c>
      <c r="D7848">
        <v>129.36000000000001</v>
      </c>
      <c r="E7848">
        <v>129.35</v>
      </c>
      <c r="F7848">
        <v>0.01</v>
      </c>
    </row>
    <row r="7849" spans="1:6" x14ac:dyDescent="0.3">
      <c r="A7849" t="str">
        <f>HYPERLINK("https://us2.cloudbeds.com/connect/10074733072513#/reservations/31684337197250?display=MHEJ8CKRM&amp;reservation_id=31684337197250", "MHEJ8CKRM")</f>
        <v>MHEJ8CKRM</v>
      </c>
      <c r="B7849" t="s">
        <v>1187</v>
      </c>
      <c r="C7849">
        <v>298</v>
      </c>
      <c r="D7849">
        <v>323.94</v>
      </c>
      <c r="E7849">
        <v>323.93</v>
      </c>
      <c r="F7849">
        <v>0.01</v>
      </c>
    </row>
    <row r="7850" spans="1:6" x14ac:dyDescent="0.3">
      <c r="A7850" t="str">
        <f>HYPERLINK("https://us2.cloudbeds.com/connect/10074733072513#/reservations/31683333771494?display=MHDQK8RDJ&amp;reservation_id=31683333771494", "MHDQK8RDJ")</f>
        <v>MHDQK8RDJ</v>
      </c>
      <c r="B7850" t="s">
        <v>1154</v>
      </c>
      <c r="C7850">
        <v>278</v>
      </c>
      <c r="D7850">
        <v>302.2</v>
      </c>
      <c r="E7850">
        <v>302.19</v>
      </c>
      <c r="F7850">
        <v>0.01</v>
      </c>
    </row>
    <row r="7851" spans="1:6" x14ac:dyDescent="0.3">
      <c r="A7851" t="str">
        <f>HYPERLINK("https://us2.cloudbeds.com/connect/10074733072513#/reservations/31682641223904?display=MHD8U9M6W&amp;reservation_id=31682641223904", "MHD8U9M6W")</f>
        <v>MHD8U9M6W</v>
      </c>
      <c r="B7851" t="s">
        <v>1072</v>
      </c>
      <c r="C7851">
        <v>125.76</v>
      </c>
      <c r="D7851">
        <v>136.71</v>
      </c>
      <c r="E7851">
        <v>136.69999999999999</v>
      </c>
      <c r="F7851">
        <v>0.01</v>
      </c>
    </row>
    <row r="7852" spans="1:6" x14ac:dyDescent="0.3">
      <c r="A7852" t="str">
        <f>HYPERLINK("https://us2.cloudbeds.com/connect/10074733072513#/reservations/31676446785780?display=MH8FKW9UQ&amp;reservation_id=31676446785780", "MH8FKW9UQ")</f>
        <v>MH8FKW9UQ</v>
      </c>
      <c r="B7852" t="s">
        <v>1253</v>
      </c>
      <c r="C7852">
        <v>248</v>
      </c>
      <c r="D7852">
        <v>269.58999999999997</v>
      </c>
      <c r="E7852">
        <v>269.58</v>
      </c>
      <c r="F7852">
        <v>0.01</v>
      </c>
    </row>
    <row r="7853" spans="1:6" x14ac:dyDescent="0.3">
      <c r="A7853" t="str">
        <f>HYPERLINK("https://us2.cloudbeds.com/connect/10074733072513#/reservations/31679007379701?display=MHAF24JRW&amp;reservation_id=31679007379701", "MHAF24JRW")</f>
        <v>MHAF24JRW</v>
      </c>
      <c r="B7853" t="s">
        <v>1188</v>
      </c>
      <c r="C7853">
        <v>119</v>
      </c>
      <c r="D7853">
        <v>129.36000000000001</v>
      </c>
      <c r="E7853">
        <v>129.35</v>
      </c>
      <c r="F7853">
        <v>0.01</v>
      </c>
    </row>
    <row r="7854" spans="1:6" x14ac:dyDescent="0.3">
      <c r="A7854" t="str">
        <f>HYPERLINK("https://us2.cloudbeds.com/connect/10074733072513#/reservations/31687400702162?display=MHGVHK5YS&amp;reservation_id=31687400702162", "MHGVHK5YS")</f>
        <v>MHGVHK5YS</v>
      </c>
      <c r="B7854" t="s">
        <v>1262</v>
      </c>
      <c r="C7854">
        <v>119</v>
      </c>
      <c r="D7854">
        <v>129.36000000000001</v>
      </c>
      <c r="E7854">
        <v>129.35</v>
      </c>
      <c r="F7854">
        <v>0.01</v>
      </c>
    </row>
    <row r="7855" spans="1:6" x14ac:dyDescent="0.3">
      <c r="A7855" t="str">
        <f>HYPERLINK("https://us2.cloudbeds.com/connect/10074733072513#/reservations/31676415828160?display=MH8ERSZYU&amp;reservation_id=31676415828160", "MH8ERSZYU")</f>
        <v>MH8ERSZYU</v>
      </c>
      <c r="B7855" t="s">
        <v>1253</v>
      </c>
      <c r="C7855">
        <v>119</v>
      </c>
      <c r="D7855">
        <v>129.36000000000001</v>
      </c>
      <c r="E7855">
        <v>129.35</v>
      </c>
      <c r="F7855">
        <v>0.01</v>
      </c>
    </row>
    <row r="7856" spans="1:6" x14ac:dyDescent="0.3">
      <c r="A7856" t="str">
        <f>HYPERLINK("https://us2.cloudbeds.com/connect/10074733072513#/reservations/31684349227249?display=MHEJXHCM3&amp;reservation_id=31684349227249", "MHEJXHCM3")</f>
        <v>MHEJXHCM3</v>
      </c>
      <c r="B7856" t="s">
        <v>1187</v>
      </c>
      <c r="C7856">
        <v>298</v>
      </c>
      <c r="D7856">
        <v>323.94</v>
      </c>
      <c r="E7856">
        <v>323.93</v>
      </c>
      <c r="F7856">
        <v>0.01</v>
      </c>
    </row>
    <row r="7857" spans="1:6" x14ac:dyDescent="0.3">
      <c r="A7857" t="str">
        <f>HYPERLINK("https://us2.cloudbeds.com/connect/10074733072513#/reservations/31676429217944?display=MH8F65ES4&amp;reservation_id=31676429217944", "MH8F65ES4")</f>
        <v>MH8F65ES4</v>
      </c>
      <c r="B7857" t="s">
        <v>1253</v>
      </c>
      <c r="C7857">
        <v>73</v>
      </c>
      <c r="D7857">
        <v>79.36</v>
      </c>
      <c r="E7857">
        <v>79.349999999999994</v>
      </c>
      <c r="F7857">
        <v>0.01</v>
      </c>
    </row>
    <row r="7858" spans="1:6" x14ac:dyDescent="0.3">
      <c r="A7858" t="str">
        <f>HYPERLINK("https://us2.cloudbeds.com/connect/10074733072513#/reservations/31676479553739?display=MH8GFK3T8&amp;reservation_id=31676479553739", "MH8GFK3T8")</f>
        <v>MH8GFK3T8</v>
      </c>
      <c r="B7858" t="s">
        <v>1253</v>
      </c>
      <c r="C7858">
        <v>73</v>
      </c>
      <c r="D7858">
        <v>79.36</v>
      </c>
      <c r="E7858">
        <v>79.349999999999994</v>
      </c>
      <c r="F7858">
        <v>0.01</v>
      </c>
    </row>
    <row r="7859" spans="1:6" x14ac:dyDescent="0.3">
      <c r="A7859" t="str">
        <f>HYPERLINK("https://us2.cloudbeds.com/connect/10074733072513#/reservations/31684341723292?display=MHEJC6XWF&amp;reservation_id=31684341723292", "MHEJC6XWF")</f>
        <v>MHEJC6XWF</v>
      </c>
      <c r="B7859" t="s">
        <v>1187</v>
      </c>
      <c r="C7859">
        <v>149</v>
      </c>
      <c r="D7859">
        <v>161.97</v>
      </c>
      <c r="E7859">
        <v>161.96</v>
      </c>
      <c r="F7859">
        <v>0.01</v>
      </c>
    </row>
    <row r="7860" spans="1:6" x14ac:dyDescent="0.3">
      <c r="A7860" t="str">
        <f>HYPERLINK("https://us2.cloudbeds.com/connect/10074733072513#/reservations/31679361573071?display=MHAZ3QX9D&amp;reservation_id=31679361573071", "MHAZ3QX9D")</f>
        <v>MHAZ3QX9D</v>
      </c>
      <c r="B7860" t="s">
        <v>1187</v>
      </c>
      <c r="C7860">
        <v>298</v>
      </c>
      <c r="D7860">
        <v>323.94</v>
      </c>
      <c r="E7860">
        <v>323.93</v>
      </c>
      <c r="F7860">
        <v>0.01</v>
      </c>
    </row>
    <row r="7861" spans="1:6" x14ac:dyDescent="0.3">
      <c r="A7861" t="str">
        <f>HYPERLINK("https://us2.cloudbeds.com/connect/10074733072513#/reservations/31677331685609?display=MH9584V44&amp;reservation_id=31677331685609", "MH9584V44")</f>
        <v>MH9584V44</v>
      </c>
      <c r="B7861" t="s">
        <v>1035</v>
      </c>
      <c r="C7861">
        <v>179</v>
      </c>
      <c r="D7861">
        <v>194.58</v>
      </c>
      <c r="E7861">
        <v>194.57</v>
      </c>
      <c r="F7861">
        <v>0.01</v>
      </c>
    </row>
    <row r="7862" spans="1:6" x14ac:dyDescent="0.3">
      <c r="A7862" t="str">
        <f>HYPERLINK("https://us2.cloudbeds.com/connect/10074733072513#/reservations/31679465799811?display=MHAQPMQVF&amp;reservation_id=31679465799811", "MHAQPMQVF")</f>
        <v>MHAQPMQVF</v>
      </c>
      <c r="B7862" t="s">
        <v>1187</v>
      </c>
      <c r="C7862">
        <v>298</v>
      </c>
      <c r="D7862">
        <v>323.94</v>
      </c>
      <c r="E7862">
        <v>323.93</v>
      </c>
      <c r="F7862">
        <v>0.01</v>
      </c>
    </row>
    <row r="7863" spans="1:6" x14ac:dyDescent="0.3">
      <c r="A7863" t="str">
        <f>HYPERLINK("https://us2.cloudbeds.com/connect/10074733072513#/reservations/31676717981856?display=MH8MXYZ4N&amp;reservation_id=31676717981856", "MH8MXYZ4N")</f>
        <v>MH8MXYZ4N</v>
      </c>
      <c r="B7863" t="s">
        <v>1034</v>
      </c>
      <c r="C7863">
        <v>189</v>
      </c>
      <c r="D7863">
        <v>205.45</v>
      </c>
      <c r="E7863">
        <v>205.44</v>
      </c>
      <c r="F7863">
        <v>0.01</v>
      </c>
    </row>
    <row r="7864" spans="1:6" x14ac:dyDescent="0.3">
      <c r="A7864" t="str">
        <f>HYPERLINK("https://us2.cloudbeds.com/connect/10074733072513#/reservations/31676716929237?display=MH8MHPEX5&amp;reservation_id=31676716929237", "MH8MHPEX5")</f>
        <v>MH8MHPEX5</v>
      </c>
      <c r="B7864" t="s">
        <v>1253</v>
      </c>
      <c r="C7864">
        <v>119</v>
      </c>
      <c r="D7864">
        <v>129.36000000000001</v>
      </c>
      <c r="E7864">
        <v>129.35</v>
      </c>
      <c r="F7864">
        <v>0.01</v>
      </c>
    </row>
    <row r="7865" spans="1:6" x14ac:dyDescent="0.3">
      <c r="A7865" t="str">
        <f>HYPERLINK("https://us2.cloudbeds.com/connect/10074733072513#/reservations/31675785199819?display=MH7VZ3MWC&amp;reservation_id=31675785199819", "MH7VZ3MWC")</f>
        <v>MH7VZ3MWC</v>
      </c>
      <c r="B7865" t="s">
        <v>1034</v>
      </c>
      <c r="C7865">
        <v>149</v>
      </c>
      <c r="D7865">
        <v>161.97</v>
      </c>
      <c r="E7865">
        <v>161.96</v>
      </c>
      <c r="F7865">
        <v>0.01</v>
      </c>
    </row>
    <row r="7866" spans="1:6" x14ac:dyDescent="0.3">
      <c r="A7866" t="str">
        <f>HYPERLINK("https://us2.cloudbeds.com/connect/10074733072513#/reservations/31676578455724?display=MH8J006W3&amp;reservation_id=31676578455724", "MH8J006W3")</f>
        <v>MH8J006W3</v>
      </c>
      <c r="B7866" t="s">
        <v>1065</v>
      </c>
      <c r="C7866">
        <v>199</v>
      </c>
      <c r="D7866">
        <v>216.32</v>
      </c>
      <c r="E7866">
        <v>216.31</v>
      </c>
      <c r="F7866">
        <v>0.01</v>
      </c>
    </row>
    <row r="7867" spans="1:6" x14ac:dyDescent="0.3">
      <c r="A7867" t="str">
        <f>HYPERLINK("https://us2.cloudbeds.com/connect/10074733072513#/reservations/31676460134553?display=MH8FW7ZP2&amp;reservation_id=31676460134553", "MH8FW7ZP2")</f>
        <v>MH8FW7ZP2</v>
      </c>
      <c r="B7867" t="s">
        <v>1253</v>
      </c>
      <c r="C7867">
        <v>89</v>
      </c>
      <c r="D7867">
        <v>96.75</v>
      </c>
      <c r="E7867">
        <v>96.74</v>
      </c>
      <c r="F7867">
        <v>0.01</v>
      </c>
    </row>
    <row r="7868" spans="1:6" x14ac:dyDescent="0.3">
      <c r="A7868" t="str">
        <f>HYPERLINK("https://us2.cloudbeds.com/connect/10074733072513#/reservations/31677159682255?display=MH90S3MW9&amp;reservation_id=31677159682255", "MH90S3MW9")</f>
        <v>MH90S3MW9</v>
      </c>
      <c r="B7868" t="s">
        <v>1175</v>
      </c>
      <c r="C7868">
        <v>169</v>
      </c>
      <c r="D7868">
        <v>183.71</v>
      </c>
      <c r="E7868">
        <v>183.7</v>
      </c>
      <c r="F7868">
        <v>0.01</v>
      </c>
    </row>
    <row r="7869" spans="1:6" x14ac:dyDescent="0.3">
      <c r="A7869" t="str">
        <f>HYPERLINK("https://us2.cloudbeds.com/connect/10074733072513#/reservations/31678538789084?display=MHA330CEA&amp;reservation_id=31678538789084", "MHA330CEA")</f>
        <v>MHA330CEA</v>
      </c>
      <c r="B7869" t="s">
        <v>1195</v>
      </c>
      <c r="C7869">
        <v>199</v>
      </c>
      <c r="D7869">
        <v>216.32</v>
      </c>
      <c r="E7869">
        <v>216.31</v>
      </c>
      <c r="F7869">
        <v>0.01</v>
      </c>
    </row>
    <row r="7870" spans="1:6" x14ac:dyDescent="0.3">
      <c r="A7870" t="str">
        <f>HYPERLINK("https://us2.cloudbeds.com/connect/10074733072513#/reservations/31679299854482?display=MHAMHP4Z4&amp;reservation_id=31679299854482", "MHAMHP4Z4")</f>
        <v>MHAMHP4Z4</v>
      </c>
      <c r="B7870" t="s">
        <v>1065</v>
      </c>
      <c r="C7870">
        <v>149</v>
      </c>
      <c r="D7870">
        <v>161.97</v>
      </c>
      <c r="E7870">
        <v>161.96</v>
      </c>
      <c r="F7870">
        <v>0.01</v>
      </c>
    </row>
    <row r="7871" spans="1:6" x14ac:dyDescent="0.3">
      <c r="A7871" t="str">
        <f>HYPERLINK("https://us2.cloudbeds.com/connect/10074733072513#/reservations/31681281388778?display=MHC75Y8EV&amp;reservation_id=31681281388778", "MHC75Y8EV")</f>
        <v>MHC75Y8EV</v>
      </c>
      <c r="B7871" t="s">
        <v>1136</v>
      </c>
      <c r="C7871">
        <v>159</v>
      </c>
      <c r="D7871">
        <v>172.84</v>
      </c>
      <c r="E7871">
        <v>172.83</v>
      </c>
      <c r="F7871">
        <v>0.01</v>
      </c>
    </row>
    <row r="7872" spans="1:6" x14ac:dyDescent="0.3">
      <c r="A7872" t="str">
        <f>HYPERLINK("https://us2.cloudbeds.com/connect/10074733072513#/reservations/31679474520286?display=MHAR01FZ8&amp;reservation_id=31679474520286", "MHAR01FZ8")</f>
        <v>MHAR01FZ8</v>
      </c>
      <c r="B7872" t="s">
        <v>1187</v>
      </c>
      <c r="C7872">
        <v>298</v>
      </c>
      <c r="D7872">
        <v>323.94</v>
      </c>
      <c r="E7872">
        <v>323.93</v>
      </c>
      <c r="F7872">
        <v>0.01</v>
      </c>
    </row>
    <row r="7873" spans="1:6" x14ac:dyDescent="0.3">
      <c r="A7873" t="str">
        <f>HYPERLINK("https://us2.cloudbeds.com/connect/10074733072513#/reservations/31679797473408?display=MHB28C0CB&amp;reservation_id=31679797473408", "MHB28C0CB")</f>
        <v>MHB28C0CB</v>
      </c>
      <c r="B7873" t="s">
        <v>1137</v>
      </c>
      <c r="C7873">
        <v>169</v>
      </c>
      <c r="D7873">
        <v>183.71</v>
      </c>
      <c r="E7873">
        <v>183.7</v>
      </c>
      <c r="F7873">
        <v>0.01</v>
      </c>
    </row>
    <row r="7874" spans="1:6" x14ac:dyDescent="0.3">
      <c r="A7874" t="str">
        <f>HYPERLINK("https://us2.cloudbeds.com/connect/10074733072513#/reservations/31681673007283?display=MHCH5SKDC&amp;reservation_id=31681673007283", "MHCH5SKDC")</f>
        <v>MHCH5SKDC</v>
      </c>
      <c r="B7874" t="s">
        <v>819</v>
      </c>
      <c r="C7874">
        <v>139</v>
      </c>
      <c r="D7874">
        <v>151.1</v>
      </c>
      <c r="E7874">
        <v>151.09</v>
      </c>
      <c r="F7874">
        <v>0.01</v>
      </c>
    </row>
    <row r="7875" spans="1:6" x14ac:dyDescent="0.3">
      <c r="A7875" t="str">
        <f>HYPERLINK("https://us2.cloudbeds.com/connect/10074733072513#/reservations/31675861352619?display=MH80MAP2W&amp;reservation_id=31675861352619", "MH80MAP2W")</f>
        <v>MH80MAP2W</v>
      </c>
      <c r="B7875" t="s">
        <v>1037</v>
      </c>
      <c r="C7875">
        <v>149</v>
      </c>
      <c r="D7875">
        <v>161.97</v>
      </c>
      <c r="E7875">
        <v>161.96</v>
      </c>
      <c r="F7875">
        <v>0.01</v>
      </c>
    </row>
    <row r="7876" spans="1:6" x14ac:dyDescent="0.3">
      <c r="A7876" t="str">
        <f>HYPERLINK("https://us2.cloudbeds.com/connect/10074733072513#/reservations/31678979272869?display=MHAEBEG2Q&amp;reservation_id=31678979272869", "MHAEBEG2Q")</f>
        <v>MHAEBEG2Q</v>
      </c>
      <c r="B7876" t="s">
        <v>1188</v>
      </c>
      <c r="C7876">
        <v>101.75</v>
      </c>
      <c r="D7876">
        <v>110.61</v>
      </c>
      <c r="E7876">
        <v>110.6</v>
      </c>
      <c r="F7876">
        <v>0.01</v>
      </c>
    </row>
    <row r="7877" spans="1:6" x14ac:dyDescent="0.3">
      <c r="A7877" t="str">
        <f>HYPERLINK("https://us2.cloudbeds.com/connect/10074733072513#/reservations/31679308783781?display=MHAMP9K8U&amp;reservation_id=31679308783781", "MHAMP9K8U")</f>
        <v>MHAMP9K8U</v>
      </c>
      <c r="B7877" t="s">
        <v>1065</v>
      </c>
      <c r="C7877">
        <v>159</v>
      </c>
      <c r="D7877">
        <v>172.84</v>
      </c>
      <c r="E7877">
        <v>172.83</v>
      </c>
      <c r="F7877">
        <v>0.01</v>
      </c>
    </row>
    <row r="7878" spans="1:6" x14ac:dyDescent="0.3">
      <c r="A7878" t="str">
        <f>HYPERLINK("https://us2.cloudbeds.com/connect/10074733072513#/reservations/31681562902729?display=MHCEC0Q9Z&amp;reservation_id=31681562902729", "MHCEC0Q9Z")</f>
        <v>MHCEC0Q9Z</v>
      </c>
      <c r="B7878" t="s">
        <v>1265</v>
      </c>
      <c r="C7878">
        <v>338</v>
      </c>
      <c r="D7878">
        <v>367.42</v>
      </c>
      <c r="E7878">
        <v>367.41</v>
      </c>
      <c r="F7878">
        <v>0.01</v>
      </c>
    </row>
    <row r="7879" spans="1:6" x14ac:dyDescent="0.3">
      <c r="A7879" t="str">
        <f>HYPERLINK("https://us2.cloudbeds.com/connect/10074733072513#/reservations/31675819815120?display=MH7WK9QXF&amp;reservation_id=31675819815120", "MH7WK9QXF")</f>
        <v>MH7WK9QXF</v>
      </c>
      <c r="B7879" t="s">
        <v>1037</v>
      </c>
      <c r="C7879">
        <v>119</v>
      </c>
      <c r="D7879">
        <v>129.36000000000001</v>
      </c>
      <c r="E7879">
        <v>129.35</v>
      </c>
      <c r="F7879">
        <v>0.01</v>
      </c>
    </row>
    <row r="7880" spans="1:6" x14ac:dyDescent="0.3">
      <c r="A7880" t="str">
        <f>HYPERLINK("https://us2.cloudbeds.com/connect/10074733072513#/reservations/31676299378845?display=MH8BSMG0W&amp;reservation_id=31676299378845", "MH8BSMG0W")</f>
        <v>MH8BSMG0W</v>
      </c>
      <c r="B7880" t="s">
        <v>1188</v>
      </c>
      <c r="C7880">
        <v>158</v>
      </c>
      <c r="D7880">
        <v>171.76</v>
      </c>
      <c r="E7880">
        <v>171.75</v>
      </c>
      <c r="F7880">
        <v>0.01</v>
      </c>
    </row>
    <row r="7881" spans="1:6" x14ac:dyDescent="0.3">
      <c r="A7881" t="str">
        <f>HYPERLINK("https://us2.cloudbeds.com/connect/10074733072513#/reservations/31679200903329?display=MHAK0AMGB&amp;reservation_id=31679200903329", "MHAK0AMGB")</f>
        <v>MHAK0AMGB</v>
      </c>
      <c r="B7881" t="s">
        <v>1141</v>
      </c>
      <c r="C7881">
        <v>313.2</v>
      </c>
      <c r="D7881">
        <v>340.46</v>
      </c>
      <c r="E7881">
        <v>340.45</v>
      </c>
      <c r="F7881">
        <v>0.01</v>
      </c>
    </row>
    <row r="7882" spans="1:6" x14ac:dyDescent="0.3">
      <c r="A7882" t="str">
        <f>HYPERLINK("https://us2.cloudbeds.com/connect/10074733072513#/reservations/31681558081670?display=MHCE7VY7U&amp;reservation_id=31681558081670", "MHCE7VY7U")</f>
        <v>MHCE7VY7U</v>
      </c>
      <c r="B7882" t="s">
        <v>1201</v>
      </c>
      <c r="C7882">
        <v>298</v>
      </c>
      <c r="D7882">
        <v>323.94</v>
      </c>
      <c r="E7882">
        <v>323.93</v>
      </c>
      <c r="F7882">
        <v>0.01</v>
      </c>
    </row>
    <row r="7883" spans="1:6" x14ac:dyDescent="0.3">
      <c r="A7883" t="str">
        <f>HYPERLINK("https://us2.cloudbeds.com/connect/10074733072513#/reservations/31676006154387?display=MH84CE2ZB&amp;reservation_id=31676006154387", "MH84CE2ZB")</f>
        <v>MH84CE2ZB</v>
      </c>
      <c r="B7883" t="s">
        <v>1199</v>
      </c>
      <c r="C7883">
        <v>238</v>
      </c>
      <c r="D7883">
        <v>258.72000000000003</v>
      </c>
      <c r="E7883">
        <v>258.70999999999998</v>
      </c>
      <c r="F7883">
        <v>0.01</v>
      </c>
    </row>
    <row r="7884" spans="1:6" x14ac:dyDescent="0.3">
      <c r="A7884" t="str">
        <f>HYPERLINK("https://us2.cloudbeds.com/connect/10074733072513#/reservations/31676850909368?display=MH8PVZKW4&amp;reservation_id=31676850909368", "MH8PVZKW4")</f>
        <v>MH8PVZKW4</v>
      </c>
      <c r="B7884" t="s">
        <v>1141</v>
      </c>
      <c r="C7884">
        <v>278</v>
      </c>
      <c r="D7884">
        <v>302.2</v>
      </c>
      <c r="E7884">
        <v>302.19</v>
      </c>
      <c r="F7884">
        <v>0.01</v>
      </c>
    </row>
    <row r="7885" spans="1:6" x14ac:dyDescent="0.3">
      <c r="A7885" t="str">
        <f>HYPERLINK("https://us2.cloudbeds.com/connect/10074733072513#/reservations/31676333764830?display=MH8CZMAPH&amp;reservation_id=31676333764830", "MH8CZMAPH")</f>
        <v>MH8CZMAPH</v>
      </c>
      <c r="B7885" t="s">
        <v>1223</v>
      </c>
      <c r="C7885">
        <v>79</v>
      </c>
      <c r="D7885">
        <v>85.88</v>
      </c>
      <c r="E7885">
        <v>85.87</v>
      </c>
      <c r="F7885">
        <v>0.01</v>
      </c>
    </row>
    <row r="7886" spans="1:6" x14ac:dyDescent="0.3">
      <c r="A7886" t="str">
        <f>HYPERLINK("https://us2.cloudbeds.com/connect/10074733072513#/reservations/31679041745045?display=MHAFV3SY1&amp;reservation_id=31679041745045", "MHAFV3SY1")</f>
        <v>MHAFV3SY1</v>
      </c>
      <c r="B7886" t="s">
        <v>1188</v>
      </c>
      <c r="C7886">
        <v>139</v>
      </c>
      <c r="D7886">
        <v>151.1</v>
      </c>
      <c r="E7886">
        <v>151.09</v>
      </c>
      <c r="F7886">
        <v>0.01</v>
      </c>
    </row>
    <row r="7887" spans="1:6" x14ac:dyDescent="0.3">
      <c r="A7887" t="str">
        <f>HYPERLINK("https://us2.cloudbeds.com/connect/10074733072513#/reservations/31682655862917?display=MHD99Y0RE&amp;reservation_id=31682655862917", "MHD99Y0RE")</f>
        <v>MHD99Y0RE</v>
      </c>
      <c r="B7887" t="s">
        <v>1135</v>
      </c>
      <c r="C7887">
        <v>467</v>
      </c>
      <c r="D7887">
        <v>507.64</v>
      </c>
      <c r="E7887">
        <v>507.63</v>
      </c>
      <c r="F7887">
        <v>0.01</v>
      </c>
    </row>
    <row r="7888" spans="1:6" x14ac:dyDescent="0.3">
      <c r="A7888" t="str">
        <f>HYPERLINK("https://us2.cloudbeds.com/connect/10074733072513#/reservations/31676403990682?display=MH8EHTFAY&amp;reservation_id=31676403990682", "MH8EHTFAY")</f>
        <v>MH8EHTFAY</v>
      </c>
      <c r="B7888" t="s">
        <v>1223</v>
      </c>
      <c r="C7888">
        <v>89</v>
      </c>
      <c r="D7888">
        <v>96.75</v>
      </c>
      <c r="E7888">
        <v>96.74</v>
      </c>
      <c r="F7888">
        <v>0.01</v>
      </c>
    </row>
    <row r="7889" spans="1:6" x14ac:dyDescent="0.3">
      <c r="A7889" t="str">
        <f>HYPERLINK("https://us2.cloudbeds.com/connect/10074733072513#/reservations/31677179834582?display=MH91C3FAS&amp;reservation_id=31677179834582", "MH91C3FAS")</f>
        <v>MH91C3FAS</v>
      </c>
      <c r="B7889" t="s">
        <v>1175</v>
      </c>
      <c r="C7889">
        <v>418</v>
      </c>
      <c r="D7889">
        <v>454.38</v>
      </c>
      <c r="E7889">
        <v>454.37</v>
      </c>
      <c r="F7889">
        <v>0.01</v>
      </c>
    </row>
    <row r="7890" spans="1:6" x14ac:dyDescent="0.3">
      <c r="A7890" t="str">
        <f>HYPERLINK("https://us2.cloudbeds.com/connect/10074733072513#/reservations/31677777182932?display=MH9GKQXJ0&amp;reservation_id=31677777182932", "MH9GKQXJ0")</f>
        <v>MH9GKQXJ0</v>
      </c>
      <c r="B7890" t="s">
        <v>1104</v>
      </c>
      <c r="C7890">
        <v>149</v>
      </c>
      <c r="D7890">
        <v>161.97</v>
      </c>
      <c r="E7890">
        <v>161.96</v>
      </c>
      <c r="F7890">
        <v>0.01</v>
      </c>
    </row>
    <row r="7891" spans="1:6" x14ac:dyDescent="0.3">
      <c r="A7891" t="str">
        <f>HYPERLINK("https://us2.cloudbeds.com/connect/10074733072513#/reservations/31675429273832?display=MH7MKWHHD&amp;reservation_id=31675429273832", "MH7MKWHHD")</f>
        <v>MH7MKWHHD</v>
      </c>
      <c r="B7891" t="s">
        <v>1223</v>
      </c>
      <c r="C7891">
        <v>89</v>
      </c>
      <c r="D7891">
        <v>96.75</v>
      </c>
      <c r="E7891">
        <v>96.74</v>
      </c>
      <c r="F7891">
        <v>0.01</v>
      </c>
    </row>
    <row r="7892" spans="1:6" x14ac:dyDescent="0.3">
      <c r="A7892" t="str">
        <f>HYPERLINK("https://us2.cloudbeds.com/connect/10074733072513#/reservations/31677053493387?display=MH8V4XRHQ&amp;reservation_id=31677053493387", "MH8V4XRHQ")</f>
        <v>MH8V4XRHQ</v>
      </c>
      <c r="B7892" t="s">
        <v>1086</v>
      </c>
      <c r="C7892">
        <v>219.92</v>
      </c>
      <c r="D7892">
        <v>239.06</v>
      </c>
      <c r="E7892">
        <v>239.05</v>
      </c>
      <c r="F7892">
        <v>0.01</v>
      </c>
    </row>
    <row r="7893" spans="1:6" x14ac:dyDescent="0.3">
      <c r="A7893" t="str">
        <f>HYPERLINK("https://us2.cloudbeds.com/connect/10074733072513#/reservations/31679316144313?display=MHAMVGE8C&amp;reservation_id=31679316144313", "MHAMVGE8C")</f>
        <v>MHAMVGE8C</v>
      </c>
      <c r="B7893" t="s">
        <v>1065</v>
      </c>
      <c r="C7893">
        <v>149</v>
      </c>
      <c r="D7893">
        <v>161.97</v>
      </c>
      <c r="E7893">
        <v>161.96</v>
      </c>
      <c r="F7893">
        <v>0.01</v>
      </c>
    </row>
    <row r="7894" spans="1:6" x14ac:dyDescent="0.3">
      <c r="A7894" t="str">
        <f>HYPERLINK("https://us2.cloudbeds.com/connect/10074733072513#/reservations/31676422832303?display=MH8F0PP2S&amp;reservation_id=31676422832303", "MH8F0PP2S")</f>
        <v>MH8F0PP2S</v>
      </c>
      <c r="B7894" t="s">
        <v>1223</v>
      </c>
      <c r="C7894">
        <v>106.8</v>
      </c>
      <c r="D7894">
        <v>116.1</v>
      </c>
      <c r="E7894">
        <v>116.09</v>
      </c>
      <c r="F7894">
        <v>0.01</v>
      </c>
    </row>
    <row r="7895" spans="1:6" x14ac:dyDescent="0.3">
      <c r="A7895" t="str">
        <f>HYPERLINK("https://us2.cloudbeds.com/connect/10074733072513#/reservations/31675648651392?display=MH7S7VUF2&amp;reservation_id=31675648651392", "MH7S7VUF2")</f>
        <v>MH7S7VUF2</v>
      </c>
      <c r="B7895" t="s">
        <v>1205</v>
      </c>
      <c r="C7895">
        <v>238</v>
      </c>
      <c r="D7895">
        <v>258.72000000000003</v>
      </c>
      <c r="E7895">
        <v>258.70999999999998</v>
      </c>
      <c r="F7895">
        <v>0.01</v>
      </c>
    </row>
    <row r="7896" spans="1:6" x14ac:dyDescent="0.3">
      <c r="A7896" t="str">
        <f>HYPERLINK("https://us2.cloudbeds.com/connect/10074733072513#/reservations/31679057531014?display=MHAGBE4FZ&amp;reservation_id=31679057531014", "MHAGBE4FZ")</f>
        <v>MHAGBE4FZ</v>
      </c>
      <c r="B7896" t="s">
        <v>1188</v>
      </c>
      <c r="C7896">
        <v>87.84</v>
      </c>
      <c r="D7896">
        <v>95.49</v>
      </c>
      <c r="E7896">
        <v>95.48</v>
      </c>
      <c r="F7896">
        <v>0.01</v>
      </c>
    </row>
    <row r="7897" spans="1:6" x14ac:dyDescent="0.3">
      <c r="A7897" t="str">
        <f>HYPERLINK("https://us2.cloudbeds.com/connect/10074733072513#/reservations/31678940143854?display=MHADBEYV2&amp;reservation_id=31678940143854", "MHADBEYV2")</f>
        <v>MHADBEYV2</v>
      </c>
      <c r="B7897" t="s">
        <v>1267</v>
      </c>
      <c r="C7897">
        <v>497</v>
      </c>
      <c r="D7897">
        <v>540.25</v>
      </c>
      <c r="E7897">
        <v>540.24</v>
      </c>
      <c r="F7897">
        <v>0.01</v>
      </c>
    </row>
    <row r="7898" spans="1:6" x14ac:dyDescent="0.3">
      <c r="A7898" t="str">
        <f>HYPERLINK("https://us2.cloudbeds.com/connect/10074733072513#/reservations/31678078648556?display=MH9ZB09GV&amp;reservation_id=31678078648556", "MH9ZB09GV")</f>
        <v>MH9ZB09GV</v>
      </c>
      <c r="B7898" t="s">
        <v>1175</v>
      </c>
      <c r="C7898">
        <v>338</v>
      </c>
      <c r="D7898">
        <v>367.42</v>
      </c>
      <c r="E7898">
        <v>367.41</v>
      </c>
      <c r="F7898">
        <v>0.01</v>
      </c>
    </row>
    <row r="7899" spans="1:6" x14ac:dyDescent="0.3">
      <c r="A7899" t="str">
        <f>HYPERLINK("https://us2.cloudbeds.com/connect/10074733072513#/reservations/31677234426018?display=MH92P4X6Q&amp;reservation_id=31677234426018", "MH92P4X6Q")</f>
        <v>MH92P4X6Q</v>
      </c>
      <c r="B7899" t="s">
        <v>1162</v>
      </c>
      <c r="C7899">
        <v>189</v>
      </c>
      <c r="D7899">
        <v>205.45</v>
      </c>
      <c r="E7899">
        <v>205.44</v>
      </c>
      <c r="F7899">
        <v>0.01</v>
      </c>
    </row>
    <row r="7900" spans="1:6" x14ac:dyDescent="0.3">
      <c r="A7900" t="str">
        <f>HYPERLINK("https://us2.cloudbeds.com/connect/10074733072513#/reservations/31676345737353?display=MH8D1PFR8&amp;reservation_id=31676345737353", "MH8D1PFR8")</f>
        <v>MH8D1PFR8</v>
      </c>
      <c r="B7900" t="s">
        <v>1223</v>
      </c>
      <c r="C7900">
        <v>87.84</v>
      </c>
      <c r="D7900">
        <v>95.49</v>
      </c>
      <c r="E7900">
        <v>95.48</v>
      </c>
      <c r="F7900">
        <v>0.01</v>
      </c>
    </row>
    <row r="7901" spans="1:6" x14ac:dyDescent="0.3">
      <c r="A7901" t="str">
        <f>HYPERLINK("https://us2.cloudbeds.com/connect/10074733072513#/reservations/31675696881802?display=MH7TFY3SR&amp;reservation_id=31675696881802", "MH7TFY3SR")</f>
        <v>MH7TFY3SR</v>
      </c>
      <c r="B7901" t="s">
        <v>1205</v>
      </c>
      <c r="C7901">
        <v>139</v>
      </c>
      <c r="D7901">
        <v>151.1</v>
      </c>
      <c r="E7901">
        <v>151.09</v>
      </c>
      <c r="F7901">
        <v>0.01</v>
      </c>
    </row>
    <row r="7902" spans="1:6" x14ac:dyDescent="0.3">
      <c r="A7902" t="str">
        <f>HYPERLINK("https://us2.cloudbeds.com/connect/10074733072513#/reservations/31680622743695?display=MHBNB8G11&amp;reservation_id=31680622743695", "MHBNB8G11")</f>
        <v>MHBNB8G11</v>
      </c>
      <c r="B7902" t="s">
        <v>1187</v>
      </c>
      <c r="C7902">
        <v>149</v>
      </c>
      <c r="D7902">
        <v>161.97</v>
      </c>
      <c r="E7902">
        <v>161.96</v>
      </c>
      <c r="F7902">
        <v>0.01</v>
      </c>
    </row>
    <row r="7903" spans="1:6" x14ac:dyDescent="0.3">
      <c r="A7903" t="str">
        <f>HYPERLINK("https://us2.cloudbeds.com/connect/10074733072513#/reservations/31675715563665?display=MH7TVCVUT&amp;reservation_id=31675715563665", "MH7TVCVUT")</f>
        <v>MH7TVCVUT</v>
      </c>
      <c r="B7903" t="s">
        <v>1205</v>
      </c>
      <c r="C7903">
        <v>106.8</v>
      </c>
      <c r="D7903">
        <v>116.1</v>
      </c>
      <c r="E7903">
        <v>116.09</v>
      </c>
      <c r="F7903">
        <v>0.01</v>
      </c>
    </row>
    <row r="7904" spans="1:6" x14ac:dyDescent="0.3">
      <c r="A7904" t="str">
        <f>HYPERLINK("https://us2.cloudbeds.com/connect/10074733072513#/reservations/31675956994189?display=MH833W47C&amp;reservation_id=31675956994189", "MH833W47C")</f>
        <v>MH833W47C</v>
      </c>
      <c r="B7904" t="s">
        <v>1175</v>
      </c>
      <c r="C7904">
        <v>338</v>
      </c>
      <c r="D7904">
        <v>367.42</v>
      </c>
      <c r="E7904">
        <v>367.41</v>
      </c>
      <c r="F7904">
        <v>0.01</v>
      </c>
    </row>
    <row r="7905" spans="1:6" x14ac:dyDescent="0.3">
      <c r="A7905" t="str">
        <f>HYPERLINK("https://us2.cloudbeds.com/connect/10074733072513#/reservations/31677974925552?display=MH9YMX1DK&amp;reservation_id=31677974925552", "MH9YMX1DK")</f>
        <v>MH9YMX1DK</v>
      </c>
      <c r="B7905" t="s">
        <v>1162</v>
      </c>
      <c r="C7905">
        <v>238</v>
      </c>
      <c r="D7905">
        <v>258.72000000000003</v>
      </c>
      <c r="E7905">
        <v>258.70999999999998</v>
      </c>
      <c r="F7905">
        <v>0.01</v>
      </c>
    </row>
    <row r="7906" spans="1:6" x14ac:dyDescent="0.3">
      <c r="A7906" t="str">
        <f>HYPERLINK("https://us2.cloudbeds.com/connect/10074733072513#/reservations/31675430707351?display=MH7MM6DTC&amp;reservation_id=31675430707351", "MH7MM6DTC")</f>
        <v>MH7MM6DTC</v>
      </c>
      <c r="B7906" t="s">
        <v>1223</v>
      </c>
      <c r="C7906">
        <v>87.84</v>
      </c>
      <c r="D7906">
        <v>95.49</v>
      </c>
      <c r="E7906">
        <v>95.48</v>
      </c>
      <c r="F7906">
        <v>0.01</v>
      </c>
    </row>
    <row r="7907" spans="1:6" x14ac:dyDescent="0.3">
      <c r="A7907" t="str">
        <f>HYPERLINK("https://us2.cloudbeds.com/connect/10074733072513#/reservations/31676713099395?display=MH8MEHSNB&amp;reservation_id=31676713099395", "MH8MEHSNB")</f>
        <v>MH8MEHSNB</v>
      </c>
      <c r="B7907" t="s">
        <v>1177</v>
      </c>
      <c r="C7907">
        <v>73</v>
      </c>
      <c r="D7907">
        <v>79.36</v>
      </c>
      <c r="E7907">
        <v>79.349999999999994</v>
      </c>
      <c r="F7907">
        <v>0.01</v>
      </c>
    </row>
    <row r="7908" spans="1:6" x14ac:dyDescent="0.3">
      <c r="A7908" t="str">
        <f>HYPERLINK("https://us2.cloudbeds.com/connect/10074733072513#/reservations/31682860662937?display=MHDEHAT9Y&amp;reservation_id=31682860662937", "MHDEHAT9Y")</f>
        <v>MHDEHAT9Y</v>
      </c>
      <c r="B7908" t="s">
        <v>1242</v>
      </c>
      <c r="C7908">
        <v>258</v>
      </c>
      <c r="D7908">
        <v>280.45999999999998</v>
      </c>
      <c r="E7908">
        <v>280.45</v>
      </c>
      <c r="F7908">
        <v>0.01</v>
      </c>
    </row>
    <row r="7909" spans="1:6" x14ac:dyDescent="0.3">
      <c r="A7909" t="str">
        <f>HYPERLINK("https://us2.cloudbeds.com/connect/10074733072513#/reservations/31679201603723?display=MHAK0U5YD&amp;reservation_id=31679201603723", "MHAK0U5YD")</f>
        <v>MHAK0U5YD</v>
      </c>
      <c r="B7909" t="s">
        <v>1177</v>
      </c>
      <c r="C7909">
        <v>73</v>
      </c>
      <c r="D7909">
        <v>79.36</v>
      </c>
      <c r="E7909">
        <v>79.349999999999994</v>
      </c>
      <c r="F7909">
        <v>0.01</v>
      </c>
    </row>
    <row r="7910" spans="1:6" x14ac:dyDescent="0.3">
      <c r="A7910" t="str">
        <f>HYPERLINK("https://us2.cloudbeds.com/connect/10074733072513#/reservations/31677899952355?display=MH9JPAQGH&amp;reservation_id=31677899952355", "MH9JPAQGH")</f>
        <v>MH9JPAQGH</v>
      </c>
      <c r="B7910" t="s">
        <v>1162</v>
      </c>
      <c r="C7910">
        <v>209</v>
      </c>
      <c r="D7910">
        <v>227.19</v>
      </c>
      <c r="E7910">
        <v>227.18</v>
      </c>
      <c r="F7910">
        <v>0.01</v>
      </c>
    </row>
    <row r="7911" spans="1:6" x14ac:dyDescent="0.3">
      <c r="A7911" t="str">
        <f>HYPERLINK("https://us2.cloudbeds.com/connect/10074733072513#/reservations/31677149454559?display=MH90JG353&amp;reservation_id=31677149454559", "MH90JG353")</f>
        <v>MH90JG353</v>
      </c>
      <c r="B7911" t="s">
        <v>1175</v>
      </c>
      <c r="C7911">
        <v>209</v>
      </c>
      <c r="D7911">
        <v>227.19</v>
      </c>
      <c r="E7911">
        <v>227.18</v>
      </c>
      <c r="F7911">
        <v>0.01</v>
      </c>
    </row>
    <row r="7912" spans="1:6" x14ac:dyDescent="0.3">
      <c r="A7912" t="str">
        <f>HYPERLINK("https://us2.cloudbeds.com/connect/10074733072513#/reservations/31676643012796?display=MH8KYEK10&amp;reservation_id=31676643012796", "MH8KYEK10")</f>
        <v>MH8KYEK10</v>
      </c>
      <c r="B7912" t="s">
        <v>1177</v>
      </c>
      <c r="C7912">
        <v>139</v>
      </c>
      <c r="D7912">
        <v>151.1</v>
      </c>
      <c r="E7912">
        <v>151.09</v>
      </c>
      <c r="F7912">
        <v>0.01</v>
      </c>
    </row>
    <row r="7913" spans="1:6" x14ac:dyDescent="0.3">
      <c r="A7913" t="str">
        <f>HYPERLINK("https://us2.cloudbeds.com/connect/10074733072513#/reservations/31679750574273?display=MHB11R2RK&amp;reservation_id=31679750574273", "MHB11R2RK")</f>
        <v>MHB11R2RK</v>
      </c>
      <c r="B7913" t="s">
        <v>1244</v>
      </c>
      <c r="C7913">
        <v>169</v>
      </c>
      <c r="D7913">
        <v>183.71</v>
      </c>
      <c r="E7913">
        <v>183.7</v>
      </c>
      <c r="F7913">
        <v>0.01</v>
      </c>
    </row>
    <row r="7914" spans="1:6" x14ac:dyDescent="0.3">
      <c r="A7914" t="str">
        <f>HYPERLINK("https://us2.cloudbeds.com/connect/10074733072513#/reservations/31681163104491?display=MHC44TR3K&amp;reservation_id=31681163104491", "MHC44TR3K")</f>
        <v>MHC44TR3K</v>
      </c>
      <c r="B7914" t="s">
        <v>1135</v>
      </c>
      <c r="C7914">
        <v>169</v>
      </c>
      <c r="D7914">
        <v>183.71</v>
      </c>
      <c r="E7914">
        <v>183.7</v>
      </c>
      <c r="F7914">
        <v>0.01</v>
      </c>
    </row>
    <row r="7915" spans="1:6" x14ac:dyDescent="0.3">
      <c r="A7915" t="str">
        <f>HYPERLINK("https://us2.cloudbeds.com/connect/10074733072513#/reservations/31675861782674?display=MH80MMNWV&amp;reservation_id=31675861782674", "MH80MMNWV")</f>
        <v>MH80MMNWV</v>
      </c>
      <c r="B7915" t="s">
        <v>957</v>
      </c>
      <c r="C7915">
        <v>79</v>
      </c>
      <c r="D7915">
        <v>85.88</v>
      </c>
      <c r="E7915">
        <v>85.87</v>
      </c>
      <c r="F7915">
        <v>0.01</v>
      </c>
    </row>
    <row r="7916" spans="1:6" x14ac:dyDescent="0.3">
      <c r="A7916" t="str">
        <f>HYPERLINK("https://us2.cloudbeds.com/connect/10074733072513#/reservations/31682118070445?display=MHCSX555S&amp;reservation_id=31682118070445", "MHCSX555S")</f>
        <v>MHCSX555S</v>
      </c>
      <c r="B7916" t="s">
        <v>1268</v>
      </c>
      <c r="C7916">
        <v>149</v>
      </c>
      <c r="D7916">
        <v>161.97</v>
      </c>
      <c r="E7916">
        <v>161.96</v>
      </c>
      <c r="F7916">
        <v>0.01</v>
      </c>
    </row>
    <row r="7917" spans="1:6" x14ac:dyDescent="0.3">
      <c r="A7917" t="str">
        <f>HYPERLINK("https://us2.cloudbeds.com/connect/10074733072513#/reservations/31682488242430?display=MHD509ZBZ&amp;reservation_id=31682488242430", "MHD509ZBZ")</f>
        <v>MHD509ZBZ</v>
      </c>
      <c r="B7917" t="s">
        <v>1174</v>
      </c>
      <c r="C7917">
        <v>218</v>
      </c>
      <c r="D7917">
        <v>236.98</v>
      </c>
      <c r="E7917">
        <v>236.97</v>
      </c>
      <c r="F7917">
        <v>0.01</v>
      </c>
    </row>
    <row r="7918" spans="1:6" x14ac:dyDescent="0.3">
      <c r="A7918" t="str">
        <f>HYPERLINK("https://us2.cloudbeds.com/connect/10074733072513#/reservations/31679207948447?display=MHAK68NRP&amp;reservation_id=31679207948447", "MHAK68NRP")</f>
        <v>MHAK68NRP</v>
      </c>
      <c r="B7918" t="s">
        <v>1177</v>
      </c>
      <c r="C7918">
        <v>73</v>
      </c>
      <c r="D7918">
        <v>79.36</v>
      </c>
      <c r="E7918">
        <v>79.349999999999994</v>
      </c>
      <c r="F7918">
        <v>0.01</v>
      </c>
    </row>
    <row r="7919" spans="1:6" x14ac:dyDescent="0.3">
      <c r="A7919" t="str">
        <f>HYPERLINK("https://us2.cloudbeds.com/connect/10074733072513#/reservations/31679218208911?display=MHAKEU7ZU&amp;reservation_id=31679218208911", "MHAKEU7ZU")</f>
        <v>MHAKEU7ZU</v>
      </c>
      <c r="B7919" t="s">
        <v>1177</v>
      </c>
      <c r="C7919">
        <v>73</v>
      </c>
      <c r="D7919">
        <v>79.36</v>
      </c>
      <c r="E7919">
        <v>79.349999999999994</v>
      </c>
      <c r="F7919">
        <v>0.01</v>
      </c>
    </row>
    <row r="7920" spans="1:6" x14ac:dyDescent="0.3">
      <c r="A7920" t="str">
        <f>HYPERLINK("https://us2.cloudbeds.com/connect/10074733072513#/reservations/31679200899235?display=MHAK0AXZ9&amp;reservation_id=31679200899235", "MHAK0AXZ9")</f>
        <v>MHAK0AXZ9</v>
      </c>
      <c r="B7920" t="s">
        <v>1141</v>
      </c>
      <c r="C7920">
        <v>179</v>
      </c>
      <c r="D7920">
        <v>194.58</v>
      </c>
      <c r="E7920">
        <v>194.57</v>
      </c>
      <c r="F7920">
        <v>0.01</v>
      </c>
    </row>
    <row r="7921" spans="1:6" x14ac:dyDescent="0.3">
      <c r="A7921" t="str">
        <f>HYPERLINK("https://us2.cloudbeds.com/connect/10074733072513#/reservations/31680564924626?display=MHBYSGJA1&amp;reservation_id=31680564924626", "MHBYSGJA1")</f>
        <v>MHBYSGJA1</v>
      </c>
      <c r="B7921" t="s">
        <v>1187</v>
      </c>
      <c r="C7921">
        <v>298</v>
      </c>
      <c r="D7921">
        <v>323.94</v>
      </c>
      <c r="E7921">
        <v>323.93</v>
      </c>
      <c r="F7921">
        <v>0.01</v>
      </c>
    </row>
    <row r="7922" spans="1:6" x14ac:dyDescent="0.3">
      <c r="A7922" t="str">
        <f>HYPERLINK("https://us2.cloudbeds.com/connect/10074733072513#/reservations/31679721894079?display=MHB0AY0XR&amp;reservation_id=31679721894079", "MHB0AY0XR")</f>
        <v>MHB0AY0XR</v>
      </c>
      <c r="B7922" t="s">
        <v>1243</v>
      </c>
      <c r="C7922">
        <v>119</v>
      </c>
      <c r="D7922">
        <v>129.36000000000001</v>
      </c>
      <c r="E7922">
        <v>129.35</v>
      </c>
      <c r="F7922">
        <v>0.01</v>
      </c>
    </row>
    <row r="7923" spans="1:6" x14ac:dyDescent="0.3">
      <c r="A7923" t="str">
        <f>HYPERLINK("https://us2.cloudbeds.com/connect/10074733072513#/reservations/31675729866883?display=MH7UAEW6Z&amp;reservation_id=31675729866883", "MH7UAEW6Z")</f>
        <v>MH7UAEW6Z</v>
      </c>
      <c r="B7923" t="s">
        <v>1177</v>
      </c>
      <c r="C7923">
        <v>119</v>
      </c>
      <c r="D7923">
        <v>129.36000000000001</v>
      </c>
      <c r="E7923">
        <v>129.35</v>
      </c>
      <c r="F7923">
        <v>0.01</v>
      </c>
    </row>
    <row r="7924" spans="1:6" x14ac:dyDescent="0.3">
      <c r="A7924" t="str">
        <f>HYPERLINK("https://us2.cloudbeds.com/connect/10074733072513#/reservations/31676819894495?display=MH8P5JJRG&amp;reservation_id=31676819894495", "MH8P5JJRG")</f>
        <v>MH8P5JJRG</v>
      </c>
      <c r="B7924" t="s">
        <v>1177</v>
      </c>
      <c r="C7924">
        <v>139</v>
      </c>
      <c r="D7924">
        <v>151.1</v>
      </c>
      <c r="E7924">
        <v>151.09</v>
      </c>
      <c r="F7924">
        <v>0.01</v>
      </c>
    </row>
    <row r="7925" spans="1:6" x14ac:dyDescent="0.3">
      <c r="A7925" t="str">
        <f>HYPERLINK("https://us2.cloudbeds.com/connect/10074733072513#/reservations/31679239135389?display=MHAKWXHWK&amp;reservation_id=31679239135389", "MHAKWXHWK")</f>
        <v>MHAKWXHWK</v>
      </c>
      <c r="B7925" t="s">
        <v>1177</v>
      </c>
      <c r="C7925">
        <v>139</v>
      </c>
      <c r="D7925">
        <v>151.1</v>
      </c>
      <c r="E7925">
        <v>151.09</v>
      </c>
      <c r="F7925">
        <v>0.01</v>
      </c>
    </row>
    <row r="7926" spans="1:6" x14ac:dyDescent="0.3">
      <c r="A7926" t="str">
        <f>HYPERLINK("https://us2.cloudbeds.com/connect/10074733072513#/reservations/31679224598739?display=MHAKKA1C2&amp;reservation_id=31679224598739", "MHAKKA1C2")</f>
        <v>MHAKKA1C2</v>
      </c>
      <c r="B7926" t="s">
        <v>1177</v>
      </c>
      <c r="C7926">
        <v>278</v>
      </c>
      <c r="D7926">
        <v>302.2</v>
      </c>
      <c r="E7926">
        <v>302.19</v>
      </c>
      <c r="F7926">
        <v>0.01</v>
      </c>
    </row>
    <row r="7927" spans="1:6" x14ac:dyDescent="0.3">
      <c r="A7927" t="str">
        <f>HYPERLINK("https://us2.cloudbeds.com/connect/10074733072513#/reservations/31677151584492?display=MH90Y9C0H&amp;reservation_id=31677151584492", "MH90Y9C0H")</f>
        <v>MH90Y9C0H</v>
      </c>
      <c r="B7927" t="s">
        <v>1269</v>
      </c>
      <c r="C7927">
        <v>296</v>
      </c>
      <c r="D7927">
        <v>321.76</v>
      </c>
      <c r="E7927">
        <v>321.75</v>
      </c>
      <c r="F7927">
        <v>0.01</v>
      </c>
    </row>
    <row r="7928" spans="1:6" x14ac:dyDescent="0.3">
      <c r="A7928" t="str">
        <f>HYPERLINK("https://us2.cloudbeds.com/connect/10074733072513#/reservations/31677213946001?display=MH927SYV7&amp;reservation_id=31677213946001", "MH927SYV7")</f>
        <v>MH927SYV7</v>
      </c>
      <c r="B7928" t="s">
        <v>1162</v>
      </c>
      <c r="C7928">
        <v>169</v>
      </c>
      <c r="D7928">
        <v>183.71</v>
      </c>
      <c r="E7928">
        <v>183.7</v>
      </c>
      <c r="F7928">
        <v>0.01</v>
      </c>
    </row>
    <row r="7929" spans="1:6" x14ac:dyDescent="0.3">
      <c r="A7929" t="str">
        <f>HYPERLINK("https://us2.cloudbeds.com/connect/10074733072513#/reservations/31675871080675?display=MH80UHF3X&amp;reservation_id=31675871080675", "MH80UHF3X")</f>
        <v>MH80UHF3X</v>
      </c>
      <c r="B7929" t="s">
        <v>957</v>
      </c>
      <c r="C7929">
        <v>139</v>
      </c>
      <c r="D7929">
        <v>151.1</v>
      </c>
      <c r="E7929">
        <v>151.09</v>
      </c>
      <c r="F7929">
        <v>0.01</v>
      </c>
    </row>
    <row r="7930" spans="1:6" x14ac:dyDescent="0.3">
      <c r="A7930" t="str">
        <f>HYPERLINK("https://us2.cloudbeds.com/connect/10074733072513#/reservations/31677122089095?display=MH8WTDK5K&amp;reservation_id=31677122089095", "MH8WTDK5K")</f>
        <v>MH8WTDK5K</v>
      </c>
      <c r="B7930" t="s">
        <v>1269</v>
      </c>
      <c r="C7930">
        <v>119</v>
      </c>
      <c r="D7930">
        <v>129.36000000000001</v>
      </c>
      <c r="E7930">
        <v>129.35</v>
      </c>
      <c r="F7930">
        <v>0.01</v>
      </c>
    </row>
    <row r="7931" spans="1:6" x14ac:dyDescent="0.3">
      <c r="A7931" t="str">
        <f>HYPERLINK("https://us2.cloudbeds.com/connect/10074733072513#/reservations/31681675210887?display=MHCH7NUU8&amp;reservation_id=31681675210887", "MHCH7NUU8")</f>
        <v>MHCH7NUU8</v>
      </c>
      <c r="B7931" t="s">
        <v>819</v>
      </c>
      <c r="C7931">
        <v>139</v>
      </c>
      <c r="D7931">
        <v>151.1</v>
      </c>
      <c r="E7931">
        <v>151.09</v>
      </c>
      <c r="F7931">
        <v>0.01</v>
      </c>
    </row>
    <row r="7932" spans="1:6" x14ac:dyDescent="0.3">
      <c r="A7932" t="str">
        <f>HYPERLINK("https://us2.cloudbeds.com/connect/10074733072513#/reservations/31678733922448?display=MHA82X88X&amp;reservation_id=31678733922448", "MHA82X88X")</f>
        <v>MHA82X88X</v>
      </c>
      <c r="B7932" t="s">
        <v>1009</v>
      </c>
      <c r="C7932">
        <v>199</v>
      </c>
      <c r="D7932">
        <v>216.32</v>
      </c>
      <c r="E7932">
        <v>216.31</v>
      </c>
      <c r="F7932">
        <v>0.01</v>
      </c>
    </row>
    <row r="7933" spans="1:6" x14ac:dyDescent="0.3">
      <c r="A7933" t="str">
        <f>HYPERLINK("https://us2.cloudbeds.com/connect/10074733072513#/reservations/31677122085002?display=MH8WTDGDJ&amp;reservation_id=31677122085002", "MH8WTDGDJ")</f>
        <v>MH8WTDGDJ</v>
      </c>
      <c r="B7933" t="s">
        <v>1162</v>
      </c>
      <c r="C7933">
        <v>169</v>
      </c>
      <c r="D7933">
        <v>183.71</v>
      </c>
      <c r="E7933">
        <v>183.7</v>
      </c>
      <c r="F7933">
        <v>0.01</v>
      </c>
    </row>
    <row r="7934" spans="1:6" x14ac:dyDescent="0.3">
      <c r="A7934" t="str">
        <f>HYPERLINK("https://us2.cloudbeds.com/connect/10074733072513#/reservations/31676508815611?display=MH8H79C9Y&amp;reservation_id=31676508815611", "MH8H79C9Y")</f>
        <v>MH8H79C9Y</v>
      </c>
      <c r="B7934" t="s">
        <v>1065</v>
      </c>
      <c r="C7934">
        <v>209</v>
      </c>
      <c r="D7934">
        <v>227.19</v>
      </c>
      <c r="E7934">
        <v>227.18</v>
      </c>
      <c r="F7934">
        <v>0.01</v>
      </c>
    </row>
    <row r="7935" spans="1:6" x14ac:dyDescent="0.3">
      <c r="A7935" t="str">
        <f>HYPERLINK("https://us2.cloudbeds.com/connect/10074733072513#/reservations/31676243337354?display=MH8AEE1JW&amp;reservation_id=31676243337354", "MH8AEE1JW")</f>
        <v>MH8AEE1JW</v>
      </c>
      <c r="B7935" t="s">
        <v>1009</v>
      </c>
      <c r="C7935">
        <v>458</v>
      </c>
      <c r="D7935">
        <v>497.86</v>
      </c>
      <c r="E7935">
        <v>497.85</v>
      </c>
      <c r="F7935">
        <v>0.01</v>
      </c>
    </row>
    <row r="7936" spans="1:6" x14ac:dyDescent="0.3">
      <c r="A7936" t="str">
        <f>HYPERLINK("https://us2.cloudbeds.com/connect/10074733072513#/reservations/31681494888605?display=MHCCKM6NM&amp;reservation_id=31681494888605", "MHCCKM6NM")</f>
        <v>MHCCKM6NM</v>
      </c>
      <c r="B7936" t="s">
        <v>1201</v>
      </c>
      <c r="C7936">
        <v>129</v>
      </c>
      <c r="D7936">
        <v>140.22999999999999</v>
      </c>
      <c r="E7936">
        <v>140.22</v>
      </c>
      <c r="F7936">
        <v>0.01</v>
      </c>
    </row>
    <row r="7937" spans="1:6" x14ac:dyDescent="0.3">
      <c r="A7937" t="str">
        <f>HYPERLINK("https://us2.cloudbeds.com/connect/10074733072513#/reservations/31677049602290?display=MH8V19XEP&amp;reservation_id=31677049602290", "MH8V19XEP")</f>
        <v>MH8V19XEP</v>
      </c>
      <c r="B7937" t="s">
        <v>1175</v>
      </c>
      <c r="C7937">
        <v>169</v>
      </c>
      <c r="D7937">
        <v>183.71</v>
      </c>
      <c r="E7937">
        <v>183.7</v>
      </c>
      <c r="F7937">
        <v>0.01</v>
      </c>
    </row>
    <row r="7938" spans="1:6" x14ac:dyDescent="0.3">
      <c r="A7938" t="str">
        <f>HYPERLINK("https://us2.cloudbeds.com/connect/10074733072513#/reservations/31677106565343?display=MH8WGAY3T&amp;reservation_id=31677106565343", "MH8WGAY3T")</f>
        <v>MH8WGAY3T</v>
      </c>
      <c r="B7938" t="s">
        <v>1269</v>
      </c>
      <c r="C7938">
        <v>99</v>
      </c>
      <c r="D7938">
        <v>107.62</v>
      </c>
      <c r="E7938">
        <v>107.61</v>
      </c>
      <c r="F7938">
        <v>0.01</v>
      </c>
    </row>
    <row r="7939" spans="1:6" x14ac:dyDescent="0.3">
      <c r="A7939" t="str">
        <f>HYPERLINK("https://us2.cloudbeds.com/connect/10074733072513#/reservations/31677854650518?display=MH9XK470K&amp;reservation_id=31677854650518", "MH9XK470K")</f>
        <v>MH9XK470K</v>
      </c>
      <c r="B7939" t="s">
        <v>1219</v>
      </c>
      <c r="C7939">
        <v>101.75</v>
      </c>
      <c r="D7939">
        <v>110.61</v>
      </c>
      <c r="E7939">
        <v>110.6</v>
      </c>
      <c r="F7939">
        <v>0.01</v>
      </c>
    </row>
    <row r="7940" spans="1:6" x14ac:dyDescent="0.3">
      <c r="A7940" t="str">
        <f>HYPERLINK("https://us2.cloudbeds.com/connect/10074733072513#/reservations/31677174395042?display=MH917H3BA&amp;reservation_id=31677174395042", "MH917H3BA")</f>
        <v>MH917H3BA</v>
      </c>
      <c r="B7940" t="s">
        <v>1269</v>
      </c>
      <c r="C7940">
        <v>73</v>
      </c>
      <c r="D7940">
        <v>79.36</v>
      </c>
      <c r="E7940">
        <v>79.349999999999994</v>
      </c>
      <c r="F7940">
        <v>0.01</v>
      </c>
    </row>
    <row r="7941" spans="1:6" x14ac:dyDescent="0.3">
      <c r="A7941" t="str">
        <f>HYPERLINK("https://us2.cloudbeds.com/connect/10074733072513#/reservations/31680461795540?display=MHBJ7HSJ7&amp;reservation_id=31680461795540", "MHBJ7HSJ7")</f>
        <v>MHBJ7HSJ7</v>
      </c>
      <c r="B7941" t="s">
        <v>1127</v>
      </c>
      <c r="C7941">
        <v>358</v>
      </c>
      <c r="D7941">
        <v>389.16</v>
      </c>
      <c r="E7941">
        <v>389.15</v>
      </c>
      <c r="F7941">
        <v>0.01</v>
      </c>
    </row>
    <row r="7942" spans="1:6" x14ac:dyDescent="0.3">
      <c r="A7942" t="str">
        <f>HYPERLINK("https://us2.cloudbeds.com/connect/10074733072513#/reservations/31679280615568?display=MHAM1HQ4Z&amp;reservation_id=31679280615568", "MHAM1HQ4Z")</f>
        <v>MHAM1HQ4Z</v>
      </c>
      <c r="B7942" t="s">
        <v>1269</v>
      </c>
      <c r="C7942">
        <v>129</v>
      </c>
      <c r="D7942">
        <v>140.22999999999999</v>
      </c>
      <c r="E7942">
        <v>140.22</v>
      </c>
      <c r="F7942">
        <v>0.01</v>
      </c>
    </row>
    <row r="7943" spans="1:6" x14ac:dyDescent="0.3">
      <c r="A7943" t="str">
        <f>HYPERLINK("https://us2.cloudbeds.com/connect/10074733072513#/reservations/31679543136473?display=MHASZTR5M&amp;reservation_id=31679543136473", "MHASZTR5M")</f>
        <v>MHASZTR5M</v>
      </c>
      <c r="B7943" t="s">
        <v>1272</v>
      </c>
      <c r="C7943">
        <v>119</v>
      </c>
      <c r="D7943">
        <v>129.36000000000001</v>
      </c>
      <c r="E7943">
        <v>129.35</v>
      </c>
      <c r="F7943">
        <v>0.01</v>
      </c>
    </row>
    <row r="7944" spans="1:6" x14ac:dyDescent="0.3">
      <c r="A7944" t="str">
        <f>HYPERLINK("https://us2.cloudbeds.com/connect/10074733072513#/reservations/31677815914689?display=MH9HKF77C&amp;reservation_id=31677815914689", "MH9HKF77C")</f>
        <v>MH9HKF77C</v>
      </c>
      <c r="B7944" t="s">
        <v>1219</v>
      </c>
      <c r="C7944">
        <v>101.75</v>
      </c>
      <c r="D7944">
        <v>110.61</v>
      </c>
      <c r="E7944">
        <v>110.6</v>
      </c>
      <c r="F7944">
        <v>0.01</v>
      </c>
    </row>
    <row r="7945" spans="1:6" x14ac:dyDescent="0.3">
      <c r="A7945" t="str">
        <f>HYPERLINK("https://us2.cloudbeds.com/connect/10074733072513#/reservations/31679397347486?display=MHAP0W0WJ&amp;reservation_id=31679397347486", "MHAP0W0WJ")</f>
        <v>MHAP0W0WJ</v>
      </c>
      <c r="B7945" t="s">
        <v>1187</v>
      </c>
      <c r="C7945">
        <v>298</v>
      </c>
      <c r="D7945">
        <v>323.94</v>
      </c>
      <c r="E7945">
        <v>323.93</v>
      </c>
      <c r="F7945">
        <v>0.01</v>
      </c>
    </row>
    <row r="7946" spans="1:6" x14ac:dyDescent="0.3">
      <c r="A7946" t="str">
        <f>HYPERLINK("https://us2.cloudbeds.com/connect/10074733072513#/reservations/31679304667350?display=MHAMYR28K&amp;reservation_id=31679304667350", "MHAMYR28K")</f>
        <v>MHAMYR28K</v>
      </c>
      <c r="B7946" t="s">
        <v>1272</v>
      </c>
      <c r="C7946">
        <v>139</v>
      </c>
      <c r="D7946">
        <v>151.1</v>
      </c>
      <c r="E7946">
        <v>151.09</v>
      </c>
      <c r="F7946">
        <v>0.01</v>
      </c>
    </row>
    <row r="7947" spans="1:6" x14ac:dyDescent="0.3">
      <c r="A7947" t="str">
        <f>HYPERLINK("https://us2.cloudbeds.com/connect/10074733072513#/reservations/31679299444866?display=MHAMHDZJG&amp;reservation_id=31679299444866", "MHAMHDZJG")</f>
        <v>MHAMHDZJG</v>
      </c>
      <c r="B7947" t="s">
        <v>1272</v>
      </c>
      <c r="C7947">
        <v>73</v>
      </c>
      <c r="D7947">
        <v>79.36</v>
      </c>
      <c r="E7947">
        <v>79.349999999999994</v>
      </c>
      <c r="F7947">
        <v>0.01</v>
      </c>
    </row>
    <row r="7948" spans="1:6" x14ac:dyDescent="0.3">
      <c r="A7948" t="str">
        <f>HYPERLINK("https://us2.cloudbeds.com/connect/10074733072513#/reservations/31677191377113?display=MH91YRYHH&amp;reservation_id=31677191377113", "MH91YRYHH")</f>
        <v>MH91YRYHH</v>
      </c>
      <c r="B7948" t="s">
        <v>1269</v>
      </c>
      <c r="C7948">
        <v>129</v>
      </c>
      <c r="D7948">
        <v>140.22999999999999</v>
      </c>
      <c r="E7948">
        <v>140.22</v>
      </c>
      <c r="F7948">
        <v>0.01</v>
      </c>
    </row>
    <row r="7949" spans="1:6" x14ac:dyDescent="0.3">
      <c r="A7949" t="str">
        <f>HYPERLINK("https://us2.cloudbeds.com/connect/10074733072513#/reservations/31678125015276?display=MH9PH3GS2&amp;reservation_id=31678125015276", "MH9PH3GS2")</f>
        <v>MH9PH3GS2</v>
      </c>
      <c r="B7949" t="s">
        <v>1266</v>
      </c>
      <c r="C7949">
        <v>285</v>
      </c>
      <c r="D7949">
        <v>309.81</v>
      </c>
      <c r="E7949">
        <v>309.8</v>
      </c>
      <c r="F7949">
        <v>0.01</v>
      </c>
    </row>
    <row r="7950" spans="1:6" x14ac:dyDescent="0.3">
      <c r="A7950" t="str">
        <f>HYPERLINK("https://us2.cloudbeds.com/connect/10074733072513#/reservations/31677603709153?display=MH9C6HD5R&amp;reservation_id=31677603709153", "MH9C6HD5R")</f>
        <v>MH9C6HD5R</v>
      </c>
      <c r="B7950" t="s">
        <v>1219</v>
      </c>
      <c r="C7950">
        <v>79</v>
      </c>
      <c r="D7950">
        <v>85.88</v>
      </c>
      <c r="E7950">
        <v>85.87</v>
      </c>
      <c r="F7950">
        <v>0.01</v>
      </c>
    </row>
    <row r="7951" spans="1:6" x14ac:dyDescent="0.3">
      <c r="A7951" t="str">
        <f>HYPERLINK("https://us2.cloudbeds.com/connect/10074733072513#/reservations/31679660896468?display=MHAVP6M2B&amp;reservation_id=31679660896468", "MHAVP6M2B")</f>
        <v>MHAVP6M2B</v>
      </c>
      <c r="B7951" t="s">
        <v>1219</v>
      </c>
      <c r="C7951">
        <v>119</v>
      </c>
      <c r="D7951">
        <v>129.36000000000001</v>
      </c>
      <c r="E7951">
        <v>129.35</v>
      </c>
      <c r="F7951">
        <v>0.01</v>
      </c>
    </row>
    <row r="7952" spans="1:6" x14ac:dyDescent="0.3">
      <c r="A7952" t="str">
        <f>HYPERLINK("https://us2.cloudbeds.com/connect/10074733072513#/reservations/31677612200122?display=MH9CDMM6U&amp;reservation_id=31677612200122", "MH9CDMM6U")</f>
        <v>MH9CDMM6U</v>
      </c>
      <c r="B7952" t="s">
        <v>1219</v>
      </c>
      <c r="C7952">
        <v>79</v>
      </c>
      <c r="D7952">
        <v>85.88</v>
      </c>
      <c r="E7952">
        <v>85.87</v>
      </c>
      <c r="F7952">
        <v>0.01</v>
      </c>
    </row>
    <row r="7953" spans="1:6" x14ac:dyDescent="0.3">
      <c r="A7953" t="str">
        <f>HYPERLINK("https://us2.cloudbeds.com/connect/10074733072513#/reservations/31677618573463?display=MH9CJ20MF&amp;reservation_id=31677618573463", "MH9CJ20MF")</f>
        <v>MH9CJ20MF</v>
      </c>
      <c r="B7953" t="s">
        <v>1219</v>
      </c>
      <c r="C7953">
        <v>158</v>
      </c>
      <c r="D7953">
        <v>171.76</v>
      </c>
      <c r="E7953">
        <v>171.75</v>
      </c>
      <c r="F7953">
        <v>0.01</v>
      </c>
    </row>
    <row r="7954" spans="1:6" x14ac:dyDescent="0.3">
      <c r="A7954" t="str">
        <f>HYPERLINK("https://us2.cloudbeds.com/connect/10074733072513#/reservations/31679678914784?display=MHAW7D1QV&amp;reservation_id=31679678914784", "MHAW7D1QV")</f>
        <v>MHAW7D1QV</v>
      </c>
      <c r="B7954" t="s">
        <v>1219</v>
      </c>
      <c r="C7954">
        <v>99</v>
      </c>
      <c r="D7954">
        <v>107.62</v>
      </c>
      <c r="E7954">
        <v>107.61</v>
      </c>
      <c r="F7954">
        <v>0.01</v>
      </c>
    </row>
    <row r="7955" spans="1:6" x14ac:dyDescent="0.3">
      <c r="A7955" t="str">
        <f>HYPERLINK("https://us2.cloudbeds.com/connect/10074733072513#/reservations/31681286902002?display=MHC7A9M3A&amp;reservation_id=31681286902002", "MHC7A9M3A")</f>
        <v>MHC7A9M3A</v>
      </c>
      <c r="B7955" t="s">
        <v>1136</v>
      </c>
      <c r="C7955">
        <v>159</v>
      </c>
      <c r="D7955">
        <v>172.84</v>
      </c>
      <c r="E7955">
        <v>172.83</v>
      </c>
      <c r="F7955">
        <v>0.01</v>
      </c>
    </row>
    <row r="7956" spans="1:6" x14ac:dyDescent="0.3">
      <c r="A7956" t="str">
        <f>HYPERLINK("https://us2.cloudbeds.com/connect/10074733072513#/reservations/31675940389004?display=MH82MW23V&amp;reservation_id=31675940389004", "MH82MW23V")</f>
        <v>MH82MW23V</v>
      </c>
      <c r="B7956" t="s">
        <v>1243</v>
      </c>
      <c r="C7956">
        <v>129</v>
      </c>
      <c r="D7956">
        <v>140.22999999999999</v>
      </c>
      <c r="E7956">
        <v>140.22</v>
      </c>
      <c r="F7956">
        <v>0.01</v>
      </c>
    </row>
    <row r="7957" spans="1:6" x14ac:dyDescent="0.3">
      <c r="A7957" t="str">
        <f>HYPERLINK("https://us2.cloudbeds.com/connect/10074733072513#/reservations/31677017620618?display=MH8U7AKH6&amp;reservation_id=31677017620618", "MH8U7AKH6")</f>
        <v>MH8U7AKH6</v>
      </c>
      <c r="B7957" t="s">
        <v>1086</v>
      </c>
      <c r="C7957">
        <v>219.92</v>
      </c>
      <c r="D7957">
        <v>239.06</v>
      </c>
      <c r="E7957">
        <v>239.05</v>
      </c>
      <c r="F7957">
        <v>0.01</v>
      </c>
    </row>
    <row r="7958" spans="1:6" x14ac:dyDescent="0.3">
      <c r="A7958" t="str">
        <f>HYPERLINK("https://us2.cloudbeds.com/connect/10074733072513#/reservations/31677177548993?display=MH91A5SHJ&amp;reservation_id=31677177548993", "MH91A5SHJ")</f>
        <v>MH91A5SHJ</v>
      </c>
      <c r="B7958" t="s">
        <v>1175</v>
      </c>
      <c r="C7958">
        <v>169</v>
      </c>
      <c r="D7958">
        <v>183.71</v>
      </c>
      <c r="E7958">
        <v>183.7</v>
      </c>
      <c r="F7958">
        <v>0.01</v>
      </c>
    </row>
    <row r="7959" spans="1:6" x14ac:dyDescent="0.3">
      <c r="A7959" t="str">
        <f>HYPERLINK("https://us2.cloudbeds.com/connect/10074733072513#/reservations/31681273544925?display=MHC6W0WYE&amp;reservation_id=31681273544925", "MHC6W0WYE")</f>
        <v>MHC6W0WYE</v>
      </c>
      <c r="B7959" t="s">
        <v>1174</v>
      </c>
      <c r="C7959">
        <v>109</v>
      </c>
      <c r="D7959">
        <v>118.49</v>
      </c>
      <c r="E7959">
        <v>118.48</v>
      </c>
      <c r="F7959">
        <v>0.01</v>
      </c>
    </row>
    <row r="7960" spans="1:6" x14ac:dyDescent="0.3">
      <c r="A7960" t="str">
        <f>HYPERLINK("https://us2.cloudbeds.com/connect/10074733072513#/reservations/31677834748103?display=MH9X3BD54&amp;reservation_id=31677834748103", "MH9X3BD54")</f>
        <v>MH9X3BD54</v>
      </c>
      <c r="B7960" t="s">
        <v>1219</v>
      </c>
      <c r="C7960">
        <v>139</v>
      </c>
      <c r="D7960">
        <v>151.1</v>
      </c>
      <c r="E7960">
        <v>151.09</v>
      </c>
      <c r="F7960">
        <v>0.01</v>
      </c>
    </row>
    <row r="7961" spans="1:6" x14ac:dyDescent="0.3">
      <c r="A7961" t="str">
        <f>HYPERLINK("https://us2.cloudbeds.com/connect/10074733072513#/reservations/31677824520365?display=MH9HRNQ9M&amp;reservation_id=31677824520365", "MH9HRNQ9M")</f>
        <v>MH9HRNQ9M</v>
      </c>
      <c r="B7961" t="s">
        <v>1219</v>
      </c>
      <c r="C7961">
        <v>87.84</v>
      </c>
      <c r="D7961">
        <v>95.49</v>
      </c>
      <c r="E7961">
        <v>95.48</v>
      </c>
      <c r="F7961">
        <v>0.01</v>
      </c>
    </row>
    <row r="7962" spans="1:6" x14ac:dyDescent="0.3">
      <c r="A7962" t="str">
        <f>HYPERLINK("https://us2.cloudbeds.com/connect/10074733072513#/reservations/31679653597360?display=MHAVJ1XG9&amp;reservation_id=31679653597360", "MHAVJ1XG9")</f>
        <v>MHAVJ1XG9</v>
      </c>
      <c r="B7962" t="s">
        <v>1243</v>
      </c>
      <c r="C7962">
        <v>87.84</v>
      </c>
      <c r="D7962">
        <v>95.49</v>
      </c>
      <c r="E7962">
        <v>95.48</v>
      </c>
      <c r="F7962">
        <v>0.01</v>
      </c>
    </row>
    <row r="7963" spans="1:6" x14ac:dyDescent="0.3">
      <c r="A7963" t="str">
        <f>HYPERLINK("https://us2.cloudbeds.com/connect/10074733072513#/reservations/31675966263462?display=MH83BQ1VD&amp;reservation_id=31675966263462", "MH83BQ1VD")</f>
        <v>MH83BQ1VD</v>
      </c>
      <c r="B7963" t="s">
        <v>1243</v>
      </c>
      <c r="C7963">
        <v>159</v>
      </c>
      <c r="D7963">
        <v>172.84</v>
      </c>
      <c r="E7963">
        <v>172.83</v>
      </c>
      <c r="F7963">
        <v>0.01</v>
      </c>
    </row>
    <row r="7964" spans="1:6" x14ac:dyDescent="0.3">
      <c r="A7964" t="str">
        <f>HYPERLINK("https://us2.cloudbeds.com/connect/10074733072513#/reservations/31675957510274?display=MH834DG4A&amp;reservation_id=31675957510274", "MH834DG4A")</f>
        <v>MH834DG4A</v>
      </c>
      <c r="B7964" t="s">
        <v>1243</v>
      </c>
      <c r="C7964">
        <v>388</v>
      </c>
      <c r="D7964">
        <v>421.77</v>
      </c>
      <c r="E7964">
        <v>421.76</v>
      </c>
      <c r="F7964">
        <v>0.01</v>
      </c>
    </row>
    <row r="7965" spans="1:6" x14ac:dyDescent="0.3">
      <c r="A7965" t="str">
        <f>HYPERLINK("https://us2.cloudbeds.com/connect/10074733072513#/reservations/31675948462240?display=MH82TPNXF&amp;reservation_id=31675948462240", "MH82TPNXF")</f>
        <v>MH82TPNXF</v>
      </c>
      <c r="B7965" t="s">
        <v>1243</v>
      </c>
      <c r="C7965">
        <v>139</v>
      </c>
      <c r="D7965">
        <v>151.1</v>
      </c>
      <c r="E7965">
        <v>151.09</v>
      </c>
      <c r="F7965">
        <v>0.01</v>
      </c>
    </row>
    <row r="7966" spans="1:6" x14ac:dyDescent="0.3">
      <c r="A7966" t="str">
        <f>HYPERLINK("https://us2.cloudbeds.com/connect/10074733072513#/reservations/31675900182669?display=MH81M28N5&amp;reservation_id=31675900182669", "MH81M28N5")</f>
        <v>MH81M28N5</v>
      </c>
      <c r="B7966" t="s">
        <v>1243</v>
      </c>
      <c r="C7966">
        <v>106.8</v>
      </c>
      <c r="D7966">
        <v>116.1</v>
      </c>
      <c r="E7966">
        <v>116.09</v>
      </c>
      <c r="F7966">
        <v>0.01</v>
      </c>
    </row>
    <row r="7967" spans="1:6" x14ac:dyDescent="0.3">
      <c r="A7967" t="str">
        <f>HYPERLINK("https://us2.cloudbeds.com/connect/10074733072513#/reservations/31680787910880?display=MHBRXHGN8&amp;reservation_id=31680787910880", "MHBRXHGN8")</f>
        <v>MHBRXHGN8</v>
      </c>
      <c r="B7967" t="s">
        <v>1174</v>
      </c>
      <c r="C7967">
        <v>218</v>
      </c>
      <c r="D7967">
        <v>236.98</v>
      </c>
      <c r="E7967">
        <v>236.97</v>
      </c>
      <c r="F7967">
        <v>0.01</v>
      </c>
    </row>
    <row r="7968" spans="1:6" x14ac:dyDescent="0.3">
      <c r="A7968" t="str">
        <f>HYPERLINK("https://us2.cloudbeds.com/connect/10074733072513#/reservations/31675890442488?display=MH81DS7X5&amp;reservation_id=31675890442488", "MH81DS7X5")</f>
        <v>MH81DS7X5</v>
      </c>
      <c r="B7968" t="s">
        <v>1243</v>
      </c>
      <c r="C7968">
        <v>73</v>
      </c>
      <c r="D7968">
        <v>79.36</v>
      </c>
      <c r="E7968">
        <v>79.349999999999994</v>
      </c>
      <c r="F7968">
        <v>0.01</v>
      </c>
    </row>
    <row r="7969" spans="1:6" x14ac:dyDescent="0.3">
      <c r="A7969" t="str">
        <f>HYPERLINK("https://us2.cloudbeds.com/connect/10074733072513#/reservations/31678961184907?display=MHADT65CZ&amp;reservation_id=31678961184907", "MHADT65CZ")</f>
        <v>MHADT65CZ</v>
      </c>
      <c r="B7969" t="s">
        <v>1267</v>
      </c>
      <c r="C7969">
        <v>298</v>
      </c>
      <c r="D7969">
        <v>323.94</v>
      </c>
      <c r="E7969">
        <v>323.93</v>
      </c>
      <c r="F7969">
        <v>0.01</v>
      </c>
    </row>
    <row r="7970" spans="1:6" x14ac:dyDescent="0.3">
      <c r="A7970" t="str">
        <f>HYPERLINK("https://us2.cloudbeds.com/connect/10074733072513#/reservations/31679726477528?display=MHB0EGXE7&amp;reservation_id=31679726477528", "MHB0EGXE7")</f>
        <v>MHB0EGXE7</v>
      </c>
      <c r="B7970" t="s">
        <v>1243</v>
      </c>
      <c r="C7970">
        <v>169</v>
      </c>
      <c r="D7970">
        <v>183.71</v>
      </c>
      <c r="E7970">
        <v>183.7</v>
      </c>
      <c r="F7970">
        <v>0.01</v>
      </c>
    </row>
    <row r="7971" spans="1:6" x14ac:dyDescent="0.3">
      <c r="A7971" t="str">
        <f>HYPERLINK("https://us2.cloudbeds.com/connect/10074733072513#/reservations/31679713390763?display=MHB03FD6J&amp;reservation_id=31679713390763", "MHB03FD6J")</f>
        <v>MHB03FD6J</v>
      </c>
      <c r="B7971" t="s">
        <v>1243</v>
      </c>
      <c r="C7971">
        <v>73</v>
      </c>
      <c r="D7971">
        <v>79.36</v>
      </c>
      <c r="E7971">
        <v>79.349999999999994</v>
      </c>
      <c r="F7971">
        <v>0.01</v>
      </c>
    </row>
    <row r="7972" spans="1:6" x14ac:dyDescent="0.3">
      <c r="A7972" t="str">
        <f>HYPERLINK("https://us2.cloudbeds.com/connect/10074733072513#/reservations/31679705002199?display=MHAWTCW6M&amp;reservation_id=31679705002199", "MHAWTCW6M")</f>
        <v>MHAWTCW6M</v>
      </c>
      <c r="B7972" t="s">
        <v>1243</v>
      </c>
      <c r="C7972">
        <v>87.84</v>
      </c>
      <c r="D7972">
        <v>95.49</v>
      </c>
      <c r="E7972">
        <v>95.48</v>
      </c>
      <c r="F7972">
        <v>0.01</v>
      </c>
    </row>
    <row r="7973" spans="1:6" x14ac:dyDescent="0.3">
      <c r="A7973" t="str">
        <f>HYPERLINK("https://us2.cloudbeds.com/connect/10074733072513#/reservations/31679691751585?display=MHAWX78GU&amp;reservation_id=31679691751585", "MHAWX78GU")</f>
        <v>MHAWX78GU</v>
      </c>
      <c r="B7973" t="s">
        <v>1219</v>
      </c>
      <c r="C7973">
        <v>169</v>
      </c>
      <c r="D7973">
        <v>183.71</v>
      </c>
      <c r="E7973">
        <v>183.7</v>
      </c>
      <c r="F7973">
        <v>0.01</v>
      </c>
    </row>
    <row r="7974" spans="1:6" x14ac:dyDescent="0.3">
      <c r="A7974" t="str">
        <f>HYPERLINK("https://us2.cloudbeds.com/connect/10074733072513#/reservations/31675909562531?display=MH81TW8WD&amp;reservation_id=31675909562531", "MH81TW8WD")</f>
        <v>MH81TW8WD</v>
      </c>
      <c r="B7974" t="s">
        <v>1243</v>
      </c>
      <c r="C7974">
        <v>199</v>
      </c>
      <c r="D7974">
        <v>216.32</v>
      </c>
      <c r="E7974">
        <v>216.31</v>
      </c>
      <c r="F7974">
        <v>0.01</v>
      </c>
    </row>
    <row r="7975" spans="1:6" x14ac:dyDescent="0.3">
      <c r="A7975" t="str">
        <f>HYPERLINK("https://us2.cloudbeds.com/connect/10074733072513#/reservations/31678531022982?display=MHA2TF90T&amp;reservation_id=31678531022982", "MHA2TF90T")</f>
        <v>MHA2TF90T</v>
      </c>
      <c r="B7975" t="s">
        <v>1195</v>
      </c>
      <c r="C7975">
        <v>199</v>
      </c>
      <c r="D7975">
        <v>216.32</v>
      </c>
      <c r="E7975">
        <v>216.31</v>
      </c>
      <c r="F7975">
        <v>0.01</v>
      </c>
    </row>
    <row r="7976" spans="1:6" x14ac:dyDescent="0.3">
      <c r="A7976" t="str">
        <f>HYPERLINK("https://us2.cloudbeds.com/connect/10074733072513#/reservations/31675985670358?display=MH83S52Q6&amp;reservation_id=31675985670358", "MH83S52Q6")</f>
        <v>MH83S52Q6</v>
      </c>
      <c r="B7976" t="s">
        <v>1162</v>
      </c>
      <c r="C7976">
        <v>179</v>
      </c>
      <c r="D7976">
        <v>194.58</v>
      </c>
      <c r="E7976">
        <v>194.57</v>
      </c>
      <c r="F7976">
        <v>0.01</v>
      </c>
    </row>
    <row r="7977" spans="1:6" x14ac:dyDescent="0.3">
      <c r="A7977" t="str">
        <f>HYPERLINK("https://us2.cloudbeds.com/connect/10074733072513#/reservations/31679797342438?display=MHB288FQZ&amp;reservation_id=31679797342438", "MHB288FQZ")</f>
        <v>MHB288FQZ</v>
      </c>
      <c r="B7977" t="s">
        <v>1257</v>
      </c>
      <c r="C7977">
        <v>158</v>
      </c>
      <c r="D7977">
        <v>171.76</v>
      </c>
      <c r="E7977">
        <v>171.75</v>
      </c>
      <c r="F7977">
        <v>0.01</v>
      </c>
    </row>
    <row r="7978" spans="1:6" x14ac:dyDescent="0.3">
      <c r="A7978" t="str">
        <f>HYPERLINK("https://us2.cloudbeds.com/connect/10074733072513#/reservations/31685418385603?display=MHFDT29K3&amp;reservation_id=31685418385603", "MHFDT29K3")</f>
        <v>MHFDT29K3</v>
      </c>
      <c r="B7978" t="s">
        <v>1250</v>
      </c>
      <c r="C7978">
        <v>238</v>
      </c>
      <c r="D7978">
        <v>258.72000000000003</v>
      </c>
      <c r="E7978">
        <v>258.70999999999998</v>
      </c>
      <c r="F7978">
        <v>0.01</v>
      </c>
    </row>
    <row r="7979" spans="1:6" x14ac:dyDescent="0.3">
      <c r="A7979" t="str">
        <f>HYPERLINK("https://us2.cloudbeds.com/connect/10074733072513#/reservations/31675940393095?display=MH82MW5SU&amp;reservation_id=31675940393095", "MH82MW5SU")</f>
        <v>MH82MW5SU</v>
      </c>
      <c r="B7979" t="s">
        <v>1243</v>
      </c>
      <c r="C7979">
        <v>189</v>
      </c>
      <c r="D7979">
        <v>205.45</v>
      </c>
      <c r="E7979">
        <v>205.44</v>
      </c>
      <c r="F7979">
        <v>0.01</v>
      </c>
    </row>
    <row r="7980" spans="1:6" x14ac:dyDescent="0.3">
      <c r="A7980" t="str">
        <f>HYPERLINK("https://us2.cloudbeds.com/connect/10074733072513#/reservations/31677556637824?display=MH9AYB4NE&amp;reservation_id=31677556637824", "MH9AYB4NE")</f>
        <v>MH9AYB4NE</v>
      </c>
      <c r="B7980" t="s">
        <v>1009</v>
      </c>
      <c r="C7980">
        <v>398</v>
      </c>
      <c r="D7980">
        <v>432.64</v>
      </c>
      <c r="E7980">
        <v>432.63</v>
      </c>
      <c r="F7980">
        <v>0.01</v>
      </c>
    </row>
    <row r="7981" spans="1:6" x14ac:dyDescent="0.3">
      <c r="A7981" t="str">
        <f>HYPERLINK("https://us2.cloudbeds.com/connect/10074733072513#/reservations/31677990224090?display=MH9M2EZYM&amp;reservation_id=31677990224090", "MH9M2EZYM")</f>
        <v>MH9M2EZYM</v>
      </c>
      <c r="B7981" t="s">
        <v>1162</v>
      </c>
      <c r="C7981">
        <v>209</v>
      </c>
      <c r="D7981">
        <v>227.19</v>
      </c>
      <c r="E7981">
        <v>227.18</v>
      </c>
      <c r="F7981">
        <v>0.01</v>
      </c>
    </row>
    <row r="7982" spans="1:6" x14ac:dyDescent="0.3">
      <c r="A7982" t="str">
        <f>HYPERLINK("https://us2.cloudbeds.com/connect/10074733072513#/reservations/31676265443557?display=MH8B0264U&amp;reservation_id=31676265443557", "MH8B0264U")</f>
        <v>MH8B0264U</v>
      </c>
      <c r="B7982" t="s">
        <v>1009</v>
      </c>
      <c r="C7982">
        <v>398</v>
      </c>
      <c r="D7982">
        <v>432.64</v>
      </c>
      <c r="E7982">
        <v>432.63</v>
      </c>
      <c r="F7982">
        <v>0.01</v>
      </c>
    </row>
    <row r="7983" spans="1:6" x14ac:dyDescent="0.3">
      <c r="A7983" t="str">
        <f>HYPERLINK("https://us2.cloudbeds.com/connect/10074733072513#/reservations/31678024061135?display=MH9MUWAAM&amp;reservation_id=31678024061135", "MH9MUWAAM")</f>
        <v>MH9MUWAAM</v>
      </c>
      <c r="B7983" t="s">
        <v>1175</v>
      </c>
      <c r="C7983">
        <v>199</v>
      </c>
      <c r="D7983">
        <v>216.32</v>
      </c>
      <c r="E7983">
        <v>216.31</v>
      </c>
      <c r="F7983">
        <v>0.01</v>
      </c>
    </row>
    <row r="7984" spans="1:6" x14ac:dyDescent="0.3">
      <c r="A7984" t="str">
        <f>HYPERLINK("https://us2.cloudbeds.com/connect/10074733072513#/reservations/31682142142686?display=MHCT5F02N&amp;reservation_id=31682142142686", "MHCT5F02N")</f>
        <v>MHCT5F02N</v>
      </c>
      <c r="B7984" t="s">
        <v>1127</v>
      </c>
      <c r="C7984">
        <v>189</v>
      </c>
      <c r="D7984">
        <v>205.45</v>
      </c>
      <c r="E7984">
        <v>205.44</v>
      </c>
      <c r="F7984">
        <v>0.01</v>
      </c>
    </row>
    <row r="7985" spans="1:6" x14ac:dyDescent="0.3">
      <c r="A7985" t="str">
        <f>HYPERLINK("https://us2.cloudbeds.com/connect/10074733072513#/reservations/31677074448564?display=MH8VM7V45&amp;reservation_id=31677074448564", "MH8VM7V45")</f>
        <v>MH8VM7V45</v>
      </c>
      <c r="B7985" t="s">
        <v>1162</v>
      </c>
      <c r="C7985">
        <v>199</v>
      </c>
      <c r="D7985">
        <v>216.32</v>
      </c>
      <c r="E7985">
        <v>216.31</v>
      </c>
      <c r="F7985">
        <v>0.01</v>
      </c>
    </row>
    <row r="7986" spans="1:6" x14ac:dyDescent="0.3">
      <c r="A7986" t="str">
        <f>HYPERLINK("https://us2.cloudbeds.com/connect/10074733072513#/reservations/31678786998510?display=MHA9EA5K2&amp;reservation_id=31678786998510", "MHA9EA5K2")</f>
        <v>MHA9EA5K2</v>
      </c>
      <c r="B7986" t="s">
        <v>1260</v>
      </c>
      <c r="C7986">
        <v>258</v>
      </c>
      <c r="D7986">
        <v>280.45999999999998</v>
      </c>
      <c r="E7986">
        <v>280.45</v>
      </c>
      <c r="F7986">
        <v>0.01</v>
      </c>
    </row>
    <row r="7987" spans="1:6" x14ac:dyDescent="0.3">
      <c r="A7987" t="str">
        <f>HYPERLINK("https://us2.cloudbeds.com/connect/10074733072513#/reservations/31681152655575?display=MHC3T324Q&amp;reservation_id=31681152655575", "MHC3T324Q")</f>
        <v>MHC3T324Q</v>
      </c>
      <c r="B7987" t="s">
        <v>1136</v>
      </c>
      <c r="C7987">
        <v>298</v>
      </c>
      <c r="D7987">
        <v>323.94</v>
      </c>
      <c r="E7987">
        <v>323.93</v>
      </c>
      <c r="F7987">
        <v>0.01</v>
      </c>
    </row>
    <row r="7988" spans="1:6" x14ac:dyDescent="0.3">
      <c r="A7988" t="str">
        <f>HYPERLINK("https://us2.cloudbeds.com/connect/10074733072513#/reservations/31677130969248?display=MH903TNJ5&amp;reservation_id=31677130969248", "MH903TNJ5")</f>
        <v>MH903TNJ5</v>
      </c>
      <c r="B7988" t="s">
        <v>1175</v>
      </c>
      <c r="C7988">
        <v>169</v>
      </c>
      <c r="D7988">
        <v>183.71</v>
      </c>
      <c r="E7988">
        <v>183.7</v>
      </c>
      <c r="F7988">
        <v>0.01</v>
      </c>
    </row>
    <row r="7989" spans="1:6" x14ac:dyDescent="0.3">
      <c r="A7989" t="str">
        <f>HYPERLINK("https://us2.cloudbeds.com/connect/10074733072513#/reservations/31676044951778?display=MH85C4MBS&amp;reservation_id=31676044951778", "MH85C4MBS")</f>
        <v>MH85C4MBS</v>
      </c>
      <c r="B7989" t="s">
        <v>1199</v>
      </c>
      <c r="C7989">
        <v>149</v>
      </c>
      <c r="D7989">
        <v>161.97</v>
      </c>
      <c r="E7989">
        <v>161.96</v>
      </c>
      <c r="F7989">
        <v>0.01</v>
      </c>
    </row>
    <row r="7990" spans="1:6" x14ac:dyDescent="0.3">
      <c r="A7990" t="str">
        <f>HYPERLINK("https://us2.cloudbeds.com/connect/10074733072513#/reservations/31678968406254?display=MHAE293XE&amp;reservation_id=31678968406254", "MHAE293XE")</f>
        <v>MHAE293XE</v>
      </c>
      <c r="B7990" t="s">
        <v>1079</v>
      </c>
      <c r="C7990">
        <v>338</v>
      </c>
      <c r="D7990">
        <v>367.42</v>
      </c>
      <c r="E7990">
        <v>367.41</v>
      </c>
      <c r="F7990">
        <v>0.01</v>
      </c>
    </row>
    <row r="7991" spans="1:6" x14ac:dyDescent="0.3">
      <c r="A7991" t="str">
        <f>HYPERLINK("https://us2.cloudbeds.com/connect/10074733072513#/reservations/31682662138060?display=MHD9EUY49&amp;reservation_id=31682662138060", "MHD9EUY49")</f>
        <v>MHD9EUY49</v>
      </c>
      <c r="B7991" t="s">
        <v>1079</v>
      </c>
      <c r="C7991">
        <v>378</v>
      </c>
      <c r="D7991">
        <v>410.9</v>
      </c>
      <c r="E7991">
        <v>410.89</v>
      </c>
      <c r="F7991">
        <v>0.01</v>
      </c>
    </row>
    <row r="7992" spans="1:6" x14ac:dyDescent="0.3">
      <c r="A7992" t="str">
        <f>HYPERLINK("https://us2.cloudbeds.com/connect/10074733072513#/reservations/31682680983758?display=MHD9UR1Y1&amp;reservation_id=31682680983758", "MHD9UR1Y1")</f>
        <v>MHD9UR1Y1</v>
      </c>
      <c r="B7992" t="s">
        <v>1079</v>
      </c>
      <c r="C7992">
        <v>378</v>
      </c>
      <c r="D7992">
        <v>410.9</v>
      </c>
      <c r="E7992">
        <v>410.89</v>
      </c>
      <c r="F7992">
        <v>0.01</v>
      </c>
    </row>
    <row r="7993" spans="1:6" x14ac:dyDescent="0.3">
      <c r="A7993" t="str">
        <f>HYPERLINK("https://us2.cloudbeds.com/connect/10074733072513#/reservations/31679668383882?display=MHAVVH0XN&amp;reservation_id=31679668383882", "MHAVVH0XN")</f>
        <v>MHAVVH0XN</v>
      </c>
      <c r="B7993" t="s">
        <v>1275</v>
      </c>
      <c r="C7993">
        <v>129</v>
      </c>
      <c r="D7993">
        <v>140.22999999999999</v>
      </c>
      <c r="E7993">
        <v>140.22</v>
      </c>
      <c r="F7993">
        <v>0.01</v>
      </c>
    </row>
    <row r="7994" spans="1:6" x14ac:dyDescent="0.3">
      <c r="A7994" t="str">
        <f>HYPERLINK("https://us2.cloudbeds.com/connect/10074733072513#/reservations/31679668387998?display=MHAVVH4BE&amp;reservation_id=31679668387998", "MHAVVH4BE")</f>
        <v>MHAVVH4BE</v>
      </c>
      <c r="B7994" t="s">
        <v>1275</v>
      </c>
      <c r="C7994">
        <v>129</v>
      </c>
      <c r="D7994">
        <v>140.22999999999999</v>
      </c>
      <c r="E7994">
        <v>140.22</v>
      </c>
      <c r="F7994">
        <v>0.01</v>
      </c>
    </row>
    <row r="7995" spans="1:6" x14ac:dyDescent="0.3">
      <c r="A7995" t="str">
        <f>HYPERLINK("https://us2.cloudbeds.com/connect/10074733072513#/reservations/31678895837405?display=MHAC72PGD&amp;reservation_id=31678895837405", "MHAC72PGD")</f>
        <v>MHAC72PGD</v>
      </c>
      <c r="B7995" t="s">
        <v>1079</v>
      </c>
      <c r="C7995">
        <v>378</v>
      </c>
      <c r="D7995">
        <v>410.9</v>
      </c>
      <c r="E7995">
        <v>410.89</v>
      </c>
      <c r="F7995">
        <v>0.01</v>
      </c>
    </row>
    <row r="7996" spans="1:6" x14ac:dyDescent="0.3">
      <c r="A7996" t="str">
        <f>HYPERLINK("https://us2.cloudbeds.com/connect/10074733072513#/reservations/31678159089796?display=MH9QCRMJ9&amp;reservation_id=31678159089796", "MH9QCRMJ9")</f>
        <v>MH9QCRMJ9</v>
      </c>
      <c r="B7996" t="s">
        <v>1195</v>
      </c>
      <c r="C7996">
        <v>313.2</v>
      </c>
      <c r="D7996">
        <v>340.46</v>
      </c>
      <c r="E7996">
        <v>340.45</v>
      </c>
      <c r="F7996">
        <v>0.01</v>
      </c>
    </row>
    <row r="7997" spans="1:6" x14ac:dyDescent="0.3">
      <c r="A7997" t="str">
        <f>HYPERLINK("https://us2.cloudbeds.com/connect/10074733072513#/reservations/31678860251299?display=MHABA2HNX&amp;reservation_id=31678860251299", "MHABA2HNX")</f>
        <v>MHABA2HNX</v>
      </c>
      <c r="B7997" t="s">
        <v>1079</v>
      </c>
      <c r="C7997">
        <v>378</v>
      </c>
      <c r="D7997">
        <v>410.9</v>
      </c>
      <c r="E7997">
        <v>410.89</v>
      </c>
      <c r="F7997">
        <v>0.01</v>
      </c>
    </row>
    <row r="7998" spans="1:6" x14ac:dyDescent="0.3">
      <c r="A7998" t="str">
        <f>HYPERLINK("https://us2.cloudbeds.com/connect/10074733072513#/reservations/31682030416006?display=MHCQA81DZ&amp;reservation_id=31682030416006", "MHCQA81DZ")</f>
        <v>MHCQA81DZ</v>
      </c>
      <c r="B7998" t="s">
        <v>1127</v>
      </c>
      <c r="C7998">
        <v>338</v>
      </c>
      <c r="D7998">
        <v>367.42</v>
      </c>
      <c r="E7998">
        <v>367.41</v>
      </c>
      <c r="F7998">
        <v>0.01</v>
      </c>
    </row>
    <row r="7999" spans="1:6" x14ac:dyDescent="0.3">
      <c r="A7999" t="str">
        <f>HYPERLINK("https://us2.cloudbeds.com/connect/10074733072513#/reservations/31678925287665?display=MHACVU8TH&amp;reservation_id=31678925287665", "MHACVU8TH")</f>
        <v>MHACVU8TH</v>
      </c>
      <c r="B7999" t="s">
        <v>1079</v>
      </c>
      <c r="C7999">
        <v>378</v>
      </c>
      <c r="D7999">
        <v>410.9</v>
      </c>
      <c r="E7999">
        <v>410.89</v>
      </c>
      <c r="F7999">
        <v>0.01</v>
      </c>
    </row>
    <row r="8000" spans="1:6" x14ac:dyDescent="0.3">
      <c r="A8000" t="str">
        <f>HYPERLINK("https://us2.cloudbeds.com/connect/10074733072513#/reservations/31681951371502?display=MHCZ9JGUZ&amp;reservation_id=31681951371502", "MHCZ9JGUZ")</f>
        <v>MHCZ9JGUZ</v>
      </c>
      <c r="B8000" t="s">
        <v>1235</v>
      </c>
      <c r="C8000">
        <v>149</v>
      </c>
      <c r="D8000">
        <v>161.97</v>
      </c>
      <c r="E8000">
        <v>161.96</v>
      </c>
      <c r="F8000">
        <v>0.01</v>
      </c>
    </row>
    <row r="8001" spans="1:6" x14ac:dyDescent="0.3">
      <c r="A8001" t="str">
        <f>HYPERLINK("https://us2.cloudbeds.com/connect/10074733072513#/reservations/31680492986506?display=MHBK0RQE0&amp;reservation_id=31680492986506", "MHBK0RQE0")</f>
        <v>MHBK0RQE0</v>
      </c>
      <c r="B8001" t="s">
        <v>1127</v>
      </c>
      <c r="C8001">
        <v>338</v>
      </c>
      <c r="D8001">
        <v>367.42</v>
      </c>
      <c r="E8001">
        <v>367.41</v>
      </c>
      <c r="F8001">
        <v>0.01</v>
      </c>
    </row>
    <row r="8002" spans="1:6" x14ac:dyDescent="0.3">
      <c r="A8002" t="str">
        <f>HYPERLINK("https://us2.cloudbeds.com/connect/10074733072513#/reservations/31678954582254?display=MHADNKEBB&amp;reservation_id=31678954582254", "MHADNKEBB")</f>
        <v>MHADNKEBB</v>
      </c>
      <c r="B8002" t="s">
        <v>1079</v>
      </c>
      <c r="C8002">
        <v>378</v>
      </c>
      <c r="D8002">
        <v>410.9</v>
      </c>
      <c r="E8002">
        <v>410.89</v>
      </c>
      <c r="F8002">
        <v>0.01</v>
      </c>
    </row>
    <row r="8003" spans="1:6" x14ac:dyDescent="0.3">
      <c r="A8003" t="str">
        <f>HYPERLINK("https://us2.cloudbeds.com/connect/10074733072513#/reservations/31681943974041?display=MHCZ3BM18&amp;reservation_id=31681943974041", "MHCZ3BM18")</f>
        <v>MHCZ3BM18</v>
      </c>
      <c r="B8003" t="s">
        <v>1235</v>
      </c>
      <c r="C8003">
        <v>159</v>
      </c>
      <c r="D8003">
        <v>172.84</v>
      </c>
      <c r="E8003">
        <v>172.83</v>
      </c>
      <c r="F8003">
        <v>0.01</v>
      </c>
    </row>
    <row r="8004" spans="1:6" x14ac:dyDescent="0.3">
      <c r="A8004" t="str">
        <f>HYPERLINK("https://us2.cloudbeds.com/connect/10074733072513#/reservations/31679766028463?display=MHB1ES40D&amp;reservation_id=31679766028463", "MHB1ES40D")</f>
        <v>MHB1ES40D</v>
      </c>
      <c r="B8004" t="s">
        <v>1257</v>
      </c>
      <c r="C8004">
        <v>169.36</v>
      </c>
      <c r="D8004">
        <v>184.1</v>
      </c>
      <c r="E8004">
        <v>184.09</v>
      </c>
      <c r="F8004">
        <v>0.01</v>
      </c>
    </row>
    <row r="8005" spans="1:6" x14ac:dyDescent="0.3">
      <c r="A8005" t="str">
        <f>HYPERLINK("https://us2.cloudbeds.com/connect/10074733072513#/reservations/31679709765884?display=MHB00DHXP&amp;reservation_id=31679709765884", "MHB00DHXP")</f>
        <v>MHB00DHXP</v>
      </c>
      <c r="B8005" t="s">
        <v>1257</v>
      </c>
      <c r="C8005">
        <v>139</v>
      </c>
      <c r="D8005">
        <v>151.1</v>
      </c>
      <c r="E8005">
        <v>151.09</v>
      </c>
      <c r="F8005">
        <v>0.01</v>
      </c>
    </row>
    <row r="8006" spans="1:6" x14ac:dyDescent="0.3">
      <c r="A8006" t="str">
        <f>HYPERLINK("https://us2.cloudbeds.com/connect/10074733072513#/reservations/31679996956840?display=MHB7BJ1EW&amp;reservation_id=31679996956840", "MHB7BJ1EW")</f>
        <v>MHB7BJ1EW</v>
      </c>
      <c r="B8006" t="s">
        <v>1267</v>
      </c>
      <c r="C8006">
        <v>169</v>
      </c>
      <c r="D8006">
        <v>183.71</v>
      </c>
      <c r="E8006">
        <v>183.7</v>
      </c>
      <c r="F8006">
        <v>0.01</v>
      </c>
    </row>
    <row r="8007" spans="1:6" x14ac:dyDescent="0.3">
      <c r="A8007" t="str">
        <f>HYPERLINK("https://us2.cloudbeds.com/connect/10074733072513#/reservations/31682096455906?display=MHCRWUN3Q&amp;reservation_id=31682096455906", "MHCRWUN3Q")</f>
        <v>MHCRWUN3Q</v>
      </c>
      <c r="B8007" t="s">
        <v>1127</v>
      </c>
      <c r="C8007">
        <v>378</v>
      </c>
      <c r="D8007">
        <v>410.9</v>
      </c>
      <c r="E8007">
        <v>410.89</v>
      </c>
      <c r="F8007">
        <v>0.01</v>
      </c>
    </row>
    <row r="8008" spans="1:6" x14ac:dyDescent="0.3">
      <c r="A8008" t="str">
        <f>HYPERLINK("https://us2.cloudbeds.com/connect/10074733072513#/reservations/31678748066019?display=MHA8EFQUK&amp;reservation_id=31678748066019", "MHA8EFQUK")</f>
        <v>MHA8EFQUK</v>
      </c>
      <c r="B8008" t="s">
        <v>1127</v>
      </c>
      <c r="C8008">
        <v>378</v>
      </c>
      <c r="D8008">
        <v>410.9</v>
      </c>
      <c r="E8008">
        <v>410.89</v>
      </c>
      <c r="F8008">
        <v>0.01</v>
      </c>
    </row>
    <row r="8009" spans="1:6" x14ac:dyDescent="0.3">
      <c r="A8009" t="str">
        <f>HYPERLINK("https://us2.cloudbeds.com/connect/10074733072513#/reservations/31682435891389?display=MHD3M4WPX&amp;reservation_id=31682435891389", "MHD3M4WPX")</f>
        <v>MHD3M4WPX</v>
      </c>
      <c r="B8009" t="s">
        <v>1206</v>
      </c>
      <c r="C8009">
        <v>149</v>
      </c>
      <c r="D8009">
        <v>161.97</v>
      </c>
      <c r="E8009">
        <v>161.96</v>
      </c>
      <c r="F8009">
        <v>0.01</v>
      </c>
    </row>
    <row r="8010" spans="1:6" x14ac:dyDescent="0.3">
      <c r="A8010" t="str">
        <f>HYPERLINK("https://us2.cloudbeds.com/connect/10074733072513#/reservations/31680415387865?display=MHBX1DGY1&amp;reservation_id=31680415387865", "MHBX1DGY1")</f>
        <v>MHBX1DGY1</v>
      </c>
      <c r="B8010" t="s">
        <v>1179</v>
      </c>
      <c r="C8010">
        <v>348</v>
      </c>
      <c r="D8010">
        <v>378.29</v>
      </c>
      <c r="E8010">
        <v>378.28</v>
      </c>
      <c r="F8010">
        <v>0.01</v>
      </c>
    </row>
    <row r="8011" spans="1:6" x14ac:dyDescent="0.3">
      <c r="A8011" t="str">
        <f>HYPERLINK("https://us2.cloudbeds.com/connect/10074733072513#/reservations/31677444702377?display=MH984EQEM&amp;reservation_id=31677444702377", "MH984EQEM")</f>
        <v>MH984EQEM</v>
      </c>
      <c r="B8011" t="s">
        <v>1257</v>
      </c>
      <c r="C8011">
        <v>73</v>
      </c>
      <c r="D8011">
        <v>79.36</v>
      </c>
      <c r="E8011">
        <v>79.349999999999994</v>
      </c>
      <c r="F8011">
        <v>0.01</v>
      </c>
    </row>
    <row r="8012" spans="1:6" x14ac:dyDescent="0.3">
      <c r="A8012" t="str">
        <f>HYPERLINK("https://us2.cloudbeds.com/connect/10074733072513#/reservations/31679804629125?display=MHB2ED7WE&amp;reservation_id=31679804629125", "MHB2ED7WE")</f>
        <v>MHB2ED7WE</v>
      </c>
      <c r="B8012" t="s">
        <v>1257</v>
      </c>
      <c r="C8012">
        <v>87.84</v>
      </c>
      <c r="D8012">
        <v>95.49</v>
      </c>
      <c r="E8012">
        <v>95.48</v>
      </c>
      <c r="F8012">
        <v>0.01</v>
      </c>
    </row>
    <row r="8013" spans="1:6" x14ac:dyDescent="0.3">
      <c r="A8013" t="str">
        <f>HYPERLINK("https://us2.cloudbeds.com/connect/10074733072513#/reservations/31677452202237?display=MH98APGC5&amp;reservation_id=31677452202237", "MH98APGC5")</f>
        <v>MH98APGC5</v>
      </c>
      <c r="B8013" t="s">
        <v>1257</v>
      </c>
      <c r="C8013">
        <v>73</v>
      </c>
      <c r="D8013">
        <v>79.36</v>
      </c>
      <c r="E8013">
        <v>79.349999999999994</v>
      </c>
      <c r="F8013">
        <v>0.01</v>
      </c>
    </row>
    <row r="8014" spans="1:6" x14ac:dyDescent="0.3">
      <c r="A8014" t="str">
        <f>HYPERLINK("https://us2.cloudbeds.com/connect/10074733072513#/reservations/31679773069452?display=MHB1KQ1XY&amp;reservation_id=31679773069452", "MHB1KQ1XY")</f>
        <v>MHB1KQ1XY</v>
      </c>
      <c r="B8014" t="s">
        <v>1257</v>
      </c>
      <c r="C8014">
        <v>87.84</v>
      </c>
      <c r="D8014">
        <v>95.49</v>
      </c>
      <c r="E8014">
        <v>95.48</v>
      </c>
      <c r="F8014">
        <v>0.01</v>
      </c>
    </row>
    <row r="8015" spans="1:6" x14ac:dyDescent="0.3">
      <c r="A8015" t="str">
        <f>HYPERLINK("https://us2.cloudbeds.com/connect/10074733072513#/reservations/31679773065354?display=MHB1KPUQH&amp;reservation_id=31679773065354", "MHB1KPUQH")</f>
        <v>MHB1KPUQH</v>
      </c>
      <c r="B8015" t="s">
        <v>1244</v>
      </c>
      <c r="C8015">
        <v>199</v>
      </c>
      <c r="D8015">
        <v>216.32</v>
      </c>
      <c r="E8015">
        <v>216.31</v>
      </c>
      <c r="F8015">
        <v>0.01</v>
      </c>
    </row>
    <row r="8016" spans="1:6" x14ac:dyDescent="0.3">
      <c r="A8016" t="str">
        <f>HYPERLINK("https://us2.cloudbeds.com/connect/10074733072513#/reservations/31677456109713?display=MH98E27GH&amp;reservation_id=31677456109713", "MH98E27GH")</f>
        <v>MH98E27GH</v>
      </c>
      <c r="B8016" t="s">
        <v>1257</v>
      </c>
      <c r="C8016">
        <v>73</v>
      </c>
      <c r="D8016">
        <v>79.36</v>
      </c>
      <c r="E8016">
        <v>79.349999999999994</v>
      </c>
      <c r="F8016">
        <v>0.01</v>
      </c>
    </row>
    <row r="8017" spans="1:6" x14ac:dyDescent="0.3">
      <c r="A8017" t="str">
        <f>HYPERLINK("https://us2.cloudbeds.com/connect/10074733072513#/reservations/31685271408790?display=MHFA44EM9&amp;reservation_id=31685271408790", "MHFA44EM9")</f>
        <v>MHFA44EM9</v>
      </c>
      <c r="B8017" t="s">
        <v>1242</v>
      </c>
      <c r="C8017">
        <v>129</v>
      </c>
      <c r="D8017">
        <v>140.22999999999999</v>
      </c>
      <c r="E8017">
        <v>140.22</v>
      </c>
      <c r="F8017">
        <v>0.01</v>
      </c>
    </row>
    <row r="8018" spans="1:6" x14ac:dyDescent="0.3">
      <c r="A8018" t="str">
        <f>HYPERLINK("https://us2.cloudbeds.com/connect/10074733072513#/reservations/31677857476793?display=MH9XMGSAA&amp;reservation_id=31677857476793", "MH9XMGSAA")</f>
        <v>MH9XMGSAA</v>
      </c>
      <c r="B8018" t="s">
        <v>1231</v>
      </c>
      <c r="C8018">
        <v>119</v>
      </c>
      <c r="D8018">
        <v>129.36000000000001</v>
      </c>
      <c r="E8018">
        <v>129.35</v>
      </c>
      <c r="F8018">
        <v>0.01</v>
      </c>
    </row>
    <row r="8019" spans="1:6" x14ac:dyDescent="0.3">
      <c r="A8019" t="str">
        <f>HYPERLINK("https://us2.cloudbeds.com/connect/10074733072513#/reservations/31679719497936?display=MHB08KB8E&amp;reservation_id=31679719497936", "MHB08KB8E")</f>
        <v>MHB08KB8E</v>
      </c>
      <c r="B8019" t="s">
        <v>1257</v>
      </c>
      <c r="C8019">
        <v>87.84</v>
      </c>
      <c r="D8019">
        <v>95.49</v>
      </c>
      <c r="E8019">
        <v>95.48</v>
      </c>
      <c r="F8019">
        <v>0.01</v>
      </c>
    </row>
    <row r="8020" spans="1:6" x14ac:dyDescent="0.3">
      <c r="A8020" t="str">
        <f>HYPERLINK("https://us2.cloudbeds.com/connect/10074733072513#/reservations/31679709765824?display=MHAWJ2SJE&amp;reservation_id=31679709765824", "MHAWJ2SJE")</f>
        <v>MHAWJ2SJE</v>
      </c>
      <c r="B8020" t="s">
        <v>1257</v>
      </c>
      <c r="C8020">
        <v>139</v>
      </c>
      <c r="D8020">
        <v>151.1</v>
      </c>
      <c r="E8020">
        <v>151.09</v>
      </c>
      <c r="F8020">
        <v>0.01</v>
      </c>
    </row>
    <row r="8021" spans="1:6" x14ac:dyDescent="0.3">
      <c r="A8021" t="str">
        <f>HYPERLINK("https://us2.cloudbeds.com/connect/10074733072513#/reservations/31679692775591?display=MHAWJ2ZRD&amp;reservation_id=31679692775591", "MHAWJ2ZRD")</f>
        <v>MHAWJ2ZRD</v>
      </c>
      <c r="B8021" t="s">
        <v>1257</v>
      </c>
      <c r="C8021">
        <v>87.84</v>
      </c>
      <c r="D8021">
        <v>95.49</v>
      </c>
      <c r="E8021">
        <v>95.48</v>
      </c>
      <c r="F8021">
        <v>0.01</v>
      </c>
    </row>
    <row r="8022" spans="1:6" x14ac:dyDescent="0.3">
      <c r="A8022" t="str">
        <f>HYPERLINK("https://us2.cloudbeds.com/connect/10074733072513#/reservations/31680968753312?display=MHBW60NHV&amp;reservation_id=31680968753312", "MHBW60NHV")</f>
        <v>MHBW60NHV</v>
      </c>
      <c r="B8022" t="s">
        <v>1244</v>
      </c>
      <c r="C8022">
        <v>199</v>
      </c>
      <c r="D8022">
        <v>216.32</v>
      </c>
      <c r="E8022">
        <v>216.31</v>
      </c>
      <c r="F8022">
        <v>0.01</v>
      </c>
    </row>
    <row r="8023" spans="1:6" x14ac:dyDescent="0.3">
      <c r="A8023" t="str">
        <f>HYPERLINK("https://us2.cloudbeds.com/connect/10074733072513#/reservations/31681210937581?display=MHC5C7RW6&amp;reservation_id=31681210937581", "MHC5C7RW6")</f>
        <v>MHC5C7RW6</v>
      </c>
      <c r="B8023" t="s">
        <v>1244</v>
      </c>
      <c r="C8023">
        <v>199</v>
      </c>
      <c r="D8023">
        <v>216.32</v>
      </c>
      <c r="E8023">
        <v>216.31</v>
      </c>
      <c r="F8023">
        <v>0.01</v>
      </c>
    </row>
    <row r="8024" spans="1:6" x14ac:dyDescent="0.3">
      <c r="A8024" t="str">
        <f>HYPERLINK("https://us2.cloudbeds.com/connect/10074733072513#/reservations/31679649636568?display=MHAVFNBD9&amp;reservation_id=31679649636568", "MHAVFNBD9")</f>
        <v>MHAVFNBD9</v>
      </c>
      <c r="B8024" t="s">
        <v>1275</v>
      </c>
      <c r="C8024">
        <v>73</v>
      </c>
      <c r="D8024">
        <v>79.36</v>
      </c>
      <c r="E8024">
        <v>79.349999999999994</v>
      </c>
      <c r="F8024">
        <v>0.01</v>
      </c>
    </row>
    <row r="8025" spans="1:6" x14ac:dyDescent="0.3">
      <c r="A8025" t="str">
        <f>HYPERLINK("https://us2.cloudbeds.com/connect/10074733072513#/reservations/31676103790748?display=MH86SZVKV&amp;reservation_id=31676103790748", "MH86SZVKV")</f>
        <v>MH86SZVKV</v>
      </c>
      <c r="B8025" t="s">
        <v>1275</v>
      </c>
      <c r="C8025">
        <v>129</v>
      </c>
      <c r="D8025">
        <v>140.22999999999999</v>
      </c>
      <c r="E8025">
        <v>140.22</v>
      </c>
      <c r="F8025">
        <v>0.01</v>
      </c>
    </row>
    <row r="8026" spans="1:6" x14ac:dyDescent="0.3">
      <c r="A8026" t="str">
        <f>HYPERLINK("https://us2.cloudbeds.com/connect/10074733072513#/reservations/31683223068892?display=MHDNPUC3J&amp;reservation_id=31683223068892", "MHDNPUC3J")</f>
        <v>MHDNPUC3J</v>
      </c>
      <c r="B8026" t="s">
        <v>1100</v>
      </c>
      <c r="C8026">
        <v>258</v>
      </c>
      <c r="D8026">
        <v>280.45999999999998</v>
      </c>
      <c r="E8026">
        <v>280.45</v>
      </c>
      <c r="F8026">
        <v>0.01</v>
      </c>
    </row>
    <row r="8027" spans="1:6" x14ac:dyDescent="0.3">
      <c r="A8027" t="str">
        <f>HYPERLINK("https://us2.cloudbeds.com/connect/10074733072513#/reservations/31677308907651?display=MH94YV3NW&amp;reservation_id=31677308907651", "MH94YV3NW")</f>
        <v>MH94YV3NW</v>
      </c>
      <c r="B8027" t="s">
        <v>1266</v>
      </c>
      <c r="C8027">
        <v>322.2</v>
      </c>
      <c r="D8027">
        <v>350.24</v>
      </c>
      <c r="E8027">
        <v>350.23</v>
      </c>
      <c r="F8027">
        <v>0.01</v>
      </c>
    </row>
    <row r="8028" spans="1:6" x14ac:dyDescent="0.3">
      <c r="A8028" t="str">
        <f>HYPERLINK("https://us2.cloudbeds.com/connect/10074733072513#/reservations/31685325734097?display=MHFBGV45N&amp;reservation_id=31685325734097", "MHFBGV45N")</f>
        <v>MHFBGV45N</v>
      </c>
      <c r="B8028" t="s">
        <v>1242</v>
      </c>
      <c r="C8028">
        <v>437</v>
      </c>
      <c r="D8028">
        <v>475.03</v>
      </c>
      <c r="E8028">
        <v>475.02</v>
      </c>
      <c r="F8028">
        <v>0.01</v>
      </c>
    </row>
    <row r="8029" spans="1:6" x14ac:dyDescent="0.3">
      <c r="A8029" t="str">
        <f>HYPERLINK("https://us2.cloudbeds.com/connect/10074733072513#/reservations/31677797937306?display=MH9H5A2PE&amp;reservation_id=31677797937306", "MH9H5A2PE")</f>
        <v>MH9H5A2PE</v>
      </c>
      <c r="B8029" t="s">
        <v>1104</v>
      </c>
      <c r="C8029">
        <v>141.55000000000001</v>
      </c>
      <c r="D8029">
        <v>153.87</v>
      </c>
      <c r="E8029">
        <v>153.86000000000001</v>
      </c>
      <c r="F8029">
        <v>0.01</v>
      </c>
    </row>
    <row r="8030" spans="1:6" x14ac:dyDescent="0.3">
      <c r="A8030" t="str">
        <f>HYPERLINK("https://us2.cloudbeds.com/connect/10074733072513#/reservations/31679780536544?display=MHB1R2RD7&amp;reservation_id=31679780536544", "MHB1R2RD7")</f>
        <v>MHB1R2RD7</v>
      </c>
      <c r="B8030" t="s">
        <v>1257</v>
      </c>
      <c r="C8030">
        <v>139</v>
      </c>
      <c r="D8030">
        <v>151.1</v>
      </c>
      <c r="E8030">
        <v>151.09</v>
      </c>
      <c r="F8030">
        <v>0.01</v>
      </c>
    </row>
    <row r="8031" spans="1:6" x14ac:dyDescent="0.3">
      <c r="A8031" t="str">
        <f>HYPERLINK("https://us2.cloudbeds.com/connect/10074733072513#/reservations/31677467533513?display=MH98NN3M9&amp;reservation_id=31677467533513", "MH98NN3M9")</f>
        <v>MH98NN3M9</v>
      </c>
      <c r="B8031" t="s">
        <v>1257</v>
      </c>
      <c r="C8031">
        <v>139</v>
      </c>
      <c r="D8031">
        <v>151.1</v>
      </c>
      <c r="E8031">
        <v>151.09</v>
      </c>
      <c r="F8031">
        <v>0.01</v>
      </c>
    </row>
    <row r="8032" spans="1:6" x14ac:dyDescent="0.3">
      <c r="A8032" t="str">
        <f>HYPERLINK("https://us2.cloudbeds.com/connect/10074733072513#/reservations/31677518340231?display=MH9A0HT4Q&amp;reservation_id=31677518340231", "MH9A0HT4Q")</f>
        <v>MH9A0HT4Q</v>
      </c>
      <c r="B8032" t="s">
        <v>1009</v>
      </c>
      <c r="C8032">
        <v>125.76</v>
      </c>
      <c r="D8032">
        <v>136.71</v>
      </c>
      <c r="E8032">
        <v>136.69999999999999</v>
      </c>
      <c r="F8032">
        <v>0.01</v>
      </c>
    </row>
    <row r="8033" spans="1:6" x14ac:dyDescent="0.3">
      <c r="A8033" t="str">
        <f>HYPERLINK("https://us2.cloudbeds.com/connect/10074733072513#/reservations/31677467537610?display=MH98NN7EE&amp;reservation_id=31677467537610", "MH98NN7EE")</f>
        <v>MH98NN7EE</v>
      </c>
      <c r="B8033" t="s">
        <v>1257</v>
      </c>
      <c r="C8033">
        <v>73</v>
      </c>
      <c r="D8033">
        <v>79.36</v>
      </c>
      <c r="E8033">
        <v>79.349999999999994</v>
      </c>
      <c r="F8033">
        <v>0.01</v>
      </c>
    </row>
    <row r="8034" spans="1:6" x14ac:dyDescent="0.3">
      <c r="A8034" t="str">
        <f>HYPERLINK("https://us2.cloudbeds.com/connect/10074733072513#/reservations/31677829079191?display=MH9HVXYHU&amp;reservation_id=31677829079191", "MH9HVXYHU")</f>
        <v>MH9HVXYHU</v>
      </c>
      <c r="B8034" t="s">
        <v>1104</v>
      </c>
      <c r="C8034">
        <v>73</v>
      </c>
      <c r="D8034">
        <v>79.36</v>
      </c>
      <c r="E8034">
        <v>79.349999999999994</v>
      </c>
      <c r="F8034">
        <v>0.01</v>
      </c>
    </row>
    <row r="8035" spans="1:6" x14ac:dyDescent="0.3">
      <c r="A8035" t="str">
        <f>HYPERLINK("https://us2.cloudbeds.com/connect/10074733072513#/reservations/31677814222997?display=MH9HJ18G7&amp;reservation_id=31677814222997", "MH9HJ18G7")</f>
        <v>MH9HJ18G7</v>
      </c>
      <c r="B8035" t="s">
        <v>1104</v>
      </c>
      <c r="C8035">
        <v>87.84</v>
      </c>
      <c r="D8035">
        <v>95.49</v>
      </c>
      <c r="E8035">
        <v>95.48</v>
      </c>
      <c r="F8035">
        <v>0.01</v>
      </c>
    </row>
    <row r="8036" spans="1:6" x14ac:dyDescent="0.3">
      <c r="A8036" t="str">
        <f>HYPERLINK("https://us2.cloudbeds.com/connect/10074733072513#/reservations/31682151182512?display=MHCTD2X3R&amp;reservation_id=31682151182512", "MHCTD2X3R")</f>
        <v>MHCTD2X3R</v>
      </c>
      <c r="B8036" t="s">
        <v>1127</v>
      </c>
      <c r="C8036">
        <v>189</v>
      </c>
      <c r="D8036">
        <v>205.45</v>
      </c>
      <c r="E8036">
        <v>205.44</v>
      </c>
      <c r="F8036">
        <v>0.01</v>
      </c>
    </row>
    <row r="8037" spans="1:6" x14ac:dyDescent="0.3">
      <c r="A8037" t="str">
        <f>HYPERLINK("https://us2.cloudbeds.com/connect/10074733072513#/reservations/31679719493844?display=MHB08K7GE&amp;reservation_id=31679719493844", "MHB08K7GE")</f>
        <v>MHB08K7GE</v>
      </c>
      <c r="B8037" t="s">
        <v>1257</v>
      </c>
      <c r="C8037">
        <v>119</v>
      </c>
      <c r="D8037">
        <v>129.36000000000001</v>
      </c>
      <c r="E8037">
        <v>129.35</v>
      </c>
      <c r="F8037">
        <v>0.01</v>
      </c>
    </row>
    <row r="8038" spans="1:6" x14ac:dyDescent="0.3">
      <c r="A8038" t="str">
        <f>HYPERLINK("https://us2.cloudbeds.com/connect/10074733072513#/reservations/31680643150017?display=MHBNSFAKE&amp;reservation_id=31680643150017", "MHBNSFAKE")</f>
        <v>MHBNSFAKE</v>
      </c>
      <c r="B8038" t="s">
        <v>1072</v>
      </c>
      <c r="C8038">
        <v>199</v>
      </c>
      <c r="D8038">
        <v>216.32</v>
      </c>
      <c r="E8038">
        <v>216.31</v>
      </c>
      <c r="F8038">
        <v>0.01</v>
      </c>
    </row>
    <row r="8039" spans="1:6" x14ac:dyDescent="0.3">
      <c r="A8039" t="str">
        <f>HYPERLINK("https://us2.cloudbeds.com/connect/10074733072513#/reservations/31677805269232?display=MH9HBG3G0&amp;reservation_id=31677805269232", "MH9HBG3G0")</f>
        <v>MH9HBG3G0</v>
      </c>
      <c r="B8039" t="s">
        <v>1104</v>
      </c>
      <c r="C8039">
        <v>87.84</v>
      </c>
      <c r="D8039">
        <v>95.49</v>
      </c>
      <c r="E8039">
        <v>95.48</v>
      </c>
      <c r="F8039">
        <v>0.01</v>
      </c>
    </row>
    <row r="8040" spans="1:6" x14ac:dyDescent="0.3">
      <c r="A8040" t="str">
        <f>HYPERLINK("https://us2.cloudbeds.com/connect/10074733072513#/reservations/31677479186588?display=MH990HCCP&amp;reservation_id=31677479186588", "MH990HCCP")</f>
        <v>MH990HCCP</v>
      </c>
      <c r="B8040" t="s">
        <v>1257</v>
      </c>
      <c r="C8040">
        <v>87.84</v>
      </c>
      <c r="D8040">
        <v>95.49</v>
      </c>
      <c r="E8040">
        <v>95.48</v>
      </c>
      <c r="F8040">
        <v>0.01</v>
      </c>
    </row>
    <row r="8041" spans="1:6" x14ac:dyDescent="0.3">
      <c r="A8041" t="str">
        <f>HYPERLINK("https://us2.cloudbeds.com/connect/10074733072513#/reservations/31677808136321?display=MH9HDTPX9&amp;reservation_id=31677808136321", "MH9HDTPX9")</f>
        <v>MH9HDTPX9</v>
      </c>
      <c r="B8041" t="s">
        <v>1104</v>
      </c>
      <c r="C8041">
        <v>141.55000000000001</v>
      </c>
      <c r="D8041">
        <v>153.87</v>
      </c>
      <c r="E8041">
        <v>153.86000000000001</v>
      </c>
      <c r="F8041">
        <v>0.01</v>
      </c>
    </row>
    <row r="8042" spans="1:6" x14ac:dyDescent="0.3">
      <c r="A8042" t="str">
        <f>HYPERLINK("https://us2.cloudbeds.com/connect/10074733072513#/reservations/31683433791620?display=MHDT5K18G&amp;reservation_id=31683433791620", "MHDT5K18G")</f>
        <v>MHDT5K18G</v>
      </c>
      <c r="B8042" t="s">
        <v>1242</v>
      </c>
      <c r="C8042">
        <v>258</v>
      </c>
      <c r="D8042">
        <v>280.45999999999998</v>
      </c>
      <c r="E8042">
        <v>280.45</v>
      </c>
      <c r="F8042">
        <v>0.01</v>
      </c>
    </row>
    <row r="8043" spans="1:6" x14ac:dyDescent="0.3">
      <c r="A8043" t="str">
        <f>HYPERLINK("https://us2.cloudbeds.com/connect/10074733072513#/reservations/31677503770752?display=MH99Y8BM8&amp;reservation_id=31677503770752", "MH99Y8BM8")</f>
        <v>MH99Y8BM8</v>
      </c>
      <c r="B8043" t="s">
        <v>1104</v>
      </c>
      <c r="C8043">
        <v>139</v>
      </c>
      <c r="D8043">
        <v>151.1</v>
      </c>
      <c r="E8043">
        <v>151.09</v>
      </c>
      <c r="F8043">
        <v>0.01</v>
      </c>
    </row>
    <row r="8044" spans="1:6" x14ac:dyDescent="0.3">
      <c r="A8044" t="str">
        <f>HYPERLINK("https://us2.cloudbeds.com/connect/10074733072513#/reservations/31677321408692?display=MH94WFW3D&amp;reservation_id=31677321408692", "MH94WFW3D")</f>
        <v>MH94WFW3D</v>
      </c>
      <c r="B8044" t="s">
        <v>1266</v>
      </c>
      <c r="C8044">
        <v>73</v>
      </c>
      <c r="D8044">
        <v>79.36</v>
      </c>
      <c r="E8044">
        <v>79.349999999999994</v>
      </c>
      <c r="F8044">
        <v>0.01</v>
      </c>
    </row>
    <row r="8045" spans="1:6" x14ac:dyDescent="0.3">
      <c r="A8045" t="str">
        <f>HYPERLINK("https://us2.cloudbeds.com/connect/10074733072513#/reservations/31677338128580?display=MH95DJ7HM&amp;reservation_id=31677338128580", "MH95DJ7HM")</f>
        <v>MH95DJ7HM</v>
      </c>
      <c r="B8045" t="s">
        <v>1266</v>
      </c>
      <c r="C8045">
        <v>87.84</v>
      </c>
      <c r="D8045">
        <v>95.49</v>
      </c>
      <c r="E8045">
        <v>95.48</v>
      </c>
      <c r="F8045">
        <v>0.01</v>
      </c>
    </row>
    <row r="8046" spans="1:6" x14ac:dyDescent="0.3">
      <c r="A8046" t="str">
        <f>HYPERLINK("https://us2.cloudbeds.com/connect/10074733072513#/reservations/31677273485446?display=MH93P2EER&amp;reservation_id=31677273485446", "MH93P2EER")</f>
        <v>MH93P2EER</v>
      </c>
      <c r="B8046" t="s">
        <v>1104</v>
      </c>
      <c r="C8046">
        <v>87.84</v>
      </c>
      <c r="D8046">
        <v>95.49</v>
      </c>
      <c r="E8046">
        <v>95.48</v>
      </c>
      <c r="F8046">
        <v>0.01</v>
      </c>
    </row>
    <row r="8047" spans="1:6" x14ac:dyDescent="0.3">
      <c r="A8047" t="str">
        <f>HYPERLINK("https://us2.cloudbeds.com/connect/10074733072513#/reservations/31678117064839?display=MH9PAD95Z&amp;reservation_id=31678117064839", "MH9PAD95Z")</f>
        <v>MH9PAD95Z</v>
      </c>
      <c r="B8047" t="s">
        <v>1266</v>
      </c>
      <c r="C8047">
        <v>87.84</v>
      </c>
      <c r="D8047">
        <v>95.49</v>
      </c>
      <c r="E8047">
        <v>95.48</v>
      </c>
      <c r="F8047">
        <v>0.01</v>
      </c>
    </row>
    <row r="8048" spans="1:6" x14ac:dyDescent="0.3">
      <c r="A8048" t="str">
        <f>HYPERLINK("https://us2.cloudbeds.com/connect/10074733072513#/reservations/31677444706467?display=MH984EU6K&amp;reservation_id=31677444706467", "MH984EU6K")</f>
        <v>MH984EU6K</v>
      </c>
      <c r="B8048" t="s">
        <v>1266</v>
      </c>
      <c r="C8048">
        <v>139</v>
      </c>
      <c r="D8048">
        <v>151.1</v>
      </c>
      <c r="E8048">
        <v>151.09</v>
      </c>
      <c r="F8048">
        <v>0.01</v>
      </c>
    </row>
    <row r="8049" spans="1:6" x14ac:dyDescent="0.3">
      <c r="A8049" t="str">
        <f>HYPERLINK("https://us2.cloudbeds.com/connect/10074733072513#/reservations/31677293592723?display=MH9490VE8&amp;reservation_id=31677293592723", "MH9490VE8")</f>
        <v>MH9490VE8</v>
      </c>
      <c r="B8049" t="s">
        <v>1104</v>
      </c>
      <c r="C8049">
        <v>87.84</v>
      </c>
      <c r="D8049">
        <v>95.49</v>
      </c>
      <c r="E8049">
        <v>95.48</v>
      </c>
      <c r="F8049">
        <v>0.01</v>
      </c>
    </row>
    <row r="8050" spans="1:6" x14ac:dyDescent="0.3">
      <c r="A8050" t="str">
        <f>HYPERLINK("https://us2.cloudbeds.com/connect/10074733072513#/reservations/31677293596820?display=MH949126D&amp;reservation_id=31677293596820", "MH949126D")</f>
        <v>MH949126D</v>
      </c>
      <c r="B8050" t="s">
        <v>1104</v>
      </c>
      <c r="C8050">
        <v>149</v>
      </c>
      <c r="D8050">
        <v>161.97</v>
      </c>
      <c r="E8050">
        <v>161.96</v>
      </c>
      <c r="F8050">
        <v>0.01</v>
      </c>
    </row>
    <row r="8051" spans="1:6" x14ac:dyDescent="0.3">
      <c r="A8051" t="str">
        <f>HYPERLINK("https://us2.cloudbeds.com/connect/10074733072513#/reservations/31681037390008?display=MHC0UTKQR&amp;reservation_id=31681037390008", "MHC0UTKQR")</f>
        <v>MHC0UTKQR</v>
      </c>
      <c r="B8051" t="s">
        <v>1244</v>
      </c>
      <c r="C8051">
        <v>378</v>
      </c>
      <c r="D8051">
        <v>410.9</v>
      </c>
      <c r="E8051">
        <v>410.89</v>
      </c>
      <c r="F8051">
        <v>0.01</v>
      </c>
    </row>
    <row r="8052" spans="1:6" x14ac:dyDescent="0.3">
      <c r="A8052" t="str">
        <f>HYPERLINK("https://us2.cloudbeds.com/connect/10074733072513#/reservations/31676585939141?display=MH8J6AEQA&amp;reservation_id=31676585939141", "MH8J6AEQA")</f>
        <v>MH8J6AEQA</v>
      </c>
      <c r="B8052" t="s">
        <v>1065</v>
      </c>
      <c r="C8052">
        <v>398</v>
      </c>
      <c r="D8052">
        <v>432.64</v>
      </c>
      <c r="E8052">
        <v>432.63</v>
      </c>
      <c r="F8052">
        <v>0.01</v>
      </c>
    </row>
    <row r="8053" spans="1:6" x14ac:dyDescent="0.3">
      <c r="A8053" t="str">
        <f>HYPERLINK("https://us2.cloudbeds.com/connect/10074733072513#/reservations/31683411689722?display=MHDSJW0M0&amp;reservation_id=31683411689722", "MHDSJW0M0")</f>
        <v>MHDSJW0M0</v>
      </c>
      <c r="B8053" t="s">
        <v>1154</v>
      </c>
      <c r="C8053">
        <v>139</v>
      </c>
      <c r="D8053">
        <v>151.1</v>
      </c>
      <c r="E8053">
        <v>151.09</v>
      </c>
      <c r="F8053">
        <v>0.01</v>
      </c>
    </row>
    <row r="8054" spans="1:6" x14ac:dyDescent="0.3">
      <c r="A8054" t="str">
        <f>HYPERLINK("https://us2.cloudbeds.com/connect/10074733072513#/reservations/31676132368594?display=MH87JS5U9&amp;reservation_id=31676132368594", "MH87JS5U9")</f>
        <v>MH87JS5U9</v>
      </c>
      <c r="B8054" t="s">
        <v>1195</v>
      </c>
      <c r="C8054">
        <v>125.76</v>
      </c>
      <c r="D8054">
        <v>136.71</v>
      </c>
      <c r="E8054">
        <v>136.69999999999999</v>
      </c>
      <c r="F8054">
        <v>0.01</v>
      </c>
    </row>
    <row r="8055" spans="1:6" x14ac:dyDescent="0.3">
      <c r="A8055" t="str">
        <f>HYPERLINK("https://us2.cloudbeds.com/connect/10074733072513#/reservations/31676175548614?display=MH88N8NWZ&amp;reservation_id=31676175548614", "MH88N8NWZ")</f>
        <v>MH88N8NWZ</v>
      </c>
      <c r="B8055" t="s">
        <v>1009</v>
      </c>
      <c r="C8055">
        <v>169.93</v>
      </c>
      <c r="D8055">
        <v>184.72</v>
      </c>
      <c r="E8055">
        <v>184.71</v>
      </c>
      <c r="F8055">
        <v>0.01</v>
      </c>
    </row>
    <row r="8056" spans="1:6" x14ac:dyDescent="0.3">
      <c r="A8056" t="str">
        <f>HYPERLINK("https://us2.cloudbeds.com/connect/10074733072513#/reservations/31678099882185?display=MH9ZSU4Q8&amp;reservation_id=31678099882185", "MH9ZSU4Q8")</f>
        <v>MH9ZSU4Q8</v>
      </c>
      <c r="B8056" t="s">
        <v>1266</v>
      </c>
      <c r="C8056">
        <v>87.84</v>
      </c>
      <c r="D8056">
        <v>95.49</v>
      </c>
      <c r="E8056">
        <v>95.48</v>
      </c>
      <c r="F8056">
        <v>0.01</v>
      </c>
    </row>
    <row r="8057" spans="1:6" x14ac:dyDescent="0.3">
      <c r="A8057" t="str">
        <f>HYPERLINK("https://us2.cloudbeds.com/connect/10074733072513#/reservations/31680352301304?display=MHBGE70U2&amp;reservation_id=31680352301304", "MHBGE70U2")</f>
        <v>MHBGE70U2</v>
      </c>
      <c r="B8057" t="s">
        <v>1231</v>
      </c>
      <c r="C8057">
        <v>149</v>
      </c>
      <c r="D8057">
        <v>161.97</v>
      </c>
      <c r="E8057">
        <v>161.96</v>
      </c>
      <c r="F8057">
        <v>0.01</v>
      </c>
    </row>
    <row r="8058" spans="1:6" x14ac:dyDescent="0.3">
      <c r="A8058" t="str">
        <f>HYPERLINK("https://us2.cloudbeds.com/connect/10074733072513#/reservations/31681240551599?display=MHC646TZM&amp;reservation_id=31681240551599", "MHC646TZM")</f>
        <v>MHC646TZM</v>
      </c>
      <c r="B8058" t="s">
        <v>1136</v>
      </c>
      <c r="C8058">
        <v>179</v>
      </c>
      <c r="D8058">
        <v>194.58</v>
      </c>
      <c r="E8058">
        <v>194.57</v>
      </c>
      <c r="F8058">
        <v>0.01</v>
      </c>
    </row>
    <row r="8059" spans="1:6" x14ac:dyDescent="0.3">
      <c r="A8059" t="str">
        <f>HYPERLINK("https://us2.cloudbeds.com/connect/10074733072513#/reservations/31678883451010?display=MHABTY3D3&amp;reservation_id=31678883451010", "MHABTY3D3")</f>
        <v>MHABTY3D3</v>
      </c>
      <c r="B8059" t="s">
        <v>1260</v>
      </c>
      <c r="C8059">
        <v>139</v>
      </c>
      <c r="D8059">
        <v>151.1</v>
      </c>
      <c r="E8059">
        <v>151.09</v>
      </c>
      <c r="F8059">
        <v>0.01</v>
      </c>
    </row>
    <row r="8060" spans="1:6" x14ac:dyDescent="0.3">
      <c r="A8060" t="str">
        <f>HYPERLINK("https://us2.cloudbeds.com/connect/10074733072513#/reservations/31681264054453?display=MHC6Z0TQC&amp;reservation_id=31681264054453", "MHC6Z0TQC")</f>
        <v>MHC6Z0TQC</v>
      </c>
      <c r="B8060" t="s">
        <v>1244</v>
      </c>
      <c r="C8060">
        <v>358</v>
      </c>
      <c r="D8060">
        <v>389.16</v>
      </c>
      <c r="E8060">
        <v>389.15</v>
      </c>
      <c r="F8060">
        <v>0.01</v>
      </c>
    </row>
    <row r="8061" spans="1:6" x14ac:dyDescent="0.3">
      <c r="A8061" t="str">
        <f>HYPERLINK("https://us2.cloudbeds.com/connect/10074733072513#/reservations/31678802223326?display=MHA9R4R54&amp;reservation_id=31678802223326", "MHA9R4R54")</f>
        <v>MHA9R4R54</v>
      </c>
      <c r="B8061" t="s">
        <v>1260</v>
      </c>
      <c r="C8061">
        <v>149</v>
      </c>
      <c r="D8061">
        <v>161.97</v>
      </c>
      <c r="E8061">
        <v>161.96</v>
      </c>
      <c r="F8061">
        <v>0.01</v>
      </c>
    </row>
    <row r="8062" spans="1:6" x14ac:dyDescent="0.3">
      <c r="A8062" t="str">
        <f>HYPERLINK("https://us2.cloudbeds.com/connect/10074733072513#/reservations/31682540933334?display=MHD6BNV0Q&amp;reservation_id=31682540933334", "MHD6BNV0Q")</f>
        <v>MHD6BNV0Q</v>
      </c>
      <c r="B8062" t="s">
        <v>1072</v>
      </c>
      <c r="C8062">
        <v>199</v>
      </c>
      <c r="D8062">
        <v>216.32</v>
      </c>
      <c r="E8062">
        <v>216.31</v>
      </c>
      <c r="F8062">
        <v>0.01</v>
      </c>
    </row>
    <row r="8063" spans="1:6" x14ac:dyDescent="0.3">
      <c r="A8063" t="str">
        <f>HYPERLINK("https://us2.cloudbeds.com/connect/10074733072513#/reservations/31681255141595?display=MHC6GGTBP&amp;reservation_id=31681255141595", "MHC6GGTBP")</f>
        <v>MHC6GGTBP</v>
      </c>
      <c r="B8063" t="s">
        <v>1244</v>
      </c>
      <c r="C8063">
        <v>358</v>
      </c>
      <c r="D8063">
        <v>389.16</v>
      </c>
      <c r="E8063">
        <v>389.15</v>
      </c>
      <c r="F8063">
        <v>0.01</v>
      </c>
    </row>
    <row r="8064" spans="1:6" x14ac:dyDescent="0.3">
      <c r="A8064" t="str">
        <f>HYPERLINK("https://us2.cloudbeds.com/connect/10074733072513#/reservations/31678891950316?display=MHAC3QK2R&amp;reservation_id=31678891950316", "MHAC3QK2R")</f>
        <v>MHAC3QK2R</v>
      </c>
      <c r="B8064" t="s">
        <v>1260</v>
      </c>
      <c r="C8064">
        <v>278</v>
      </c>
      <c r="D8064">
        <v>302.2</v>
      </c>
      <c r="E8064">
        <v>302.19</v>
      </c>
      <c r="F8064">
        <v>0.01</v>
      </c>
    </row>
    <row r="8065" spans="1:6" x14ac:dyDescent="0.3">
      <c r="A8065" t="str">
        <f>HYPERLINK("https://us2.cloudbeds.com/connect/10074733072513#/reservations/31682589327584?display=MHD7JHJ67&amp;reservation_id=31682589327584", "MHD7JHJ67")</f>
        <v>MHD7JHJ67</v>
      </c>
      <c r="B8065" t="s">
        <v>1072</v>
      </c>
      <c r="C8065">
        <v>591.6</v>
      </c>
      <c r="D8065">
        <v>643.08000000000004</v>
      </c>
      <c r="E8065">
        <v>643.07000000000005</v>
      </c>
      <c r="F8065">
        <v>0.01</v>
      </c>
    </row>
    <row r="8066" spans="1:6" x14ac:dyDescent="0.3">
      <c r="A8066" t="str">
        <f>HYPERLINK("https://us2.cloudbeds.com/connect/10074733072513#/reservations/31679263609046?display=MHAYK6XGJ&amp;reservation_id=31679263609046", "MHAYK6XGJ")</f>
        <v>MHAYK6XGJ</v>
      </c>
      <c r="B8066" t="s">
        <v>1065</v>
      </c>
      <c r="C8066">
        <v>169</v>
      </c>
      <c r="D8066">
        <v>183.71</v>
      </c>
      <c r="E8066">
        <v>183.7</v>
      </c>
      <c r="F8066">
        <v>0.01</v>
      </c>
    </row>
    <row r="8067" spans="1:6" x14ac:dyDescent="0.3">
      <c r="A8067" t="str">
        <f>HYPERLINK("https://us2.cloudbeds.com/connect/10074733072513#/reservations/31680641503360?display=MHBNJ3EM0&amp;reservation_id=31680641503360", "MHBNJ3EM0")</f>
        <v>MHBNJ3EM0</v>
      </c>
      <c r="B8067" t="s">
        <v>1187</v>
      </c>
      <c r="C8067">
        <v>149</v>
      </c>
      <c r="D8067">
        <v>161.97</v>
      </c>
      <c r="E8067">
        <v>161.96</v>
      </c>
      <c r="F8067">
        <v>0.01</v>
      </c>
    </row>
    <row r="8068" spans="1:6" x14ac:dyDescent="0.3">
      <c r="A8068" t="str">
        <f>HYPERLINK("https://us2.cloudbeds.com/connect/10074733072513#/reservations/31680648163535?display=MHBNWMRD7&amp;reservation_id=31680648163535", "MHBNWMRD7")</f>
        <v>MHBNWMRD7</v>
      </c>
      <c r="B8068" t="s">
        <v>1187</v>
      </c>
      <c r="C8068">
        <v>149</v>
      </c>
      <c r="D8068">
        <v>161.97</v>
      </c>
      <c r="E8068">
        <v>161.96</v>
      </c>
      <c r="F8068">
        <v>0.01</v>
      </c>
    </row>
    <row r="8069" spans="1:6" x14ac:dyDescent="0.3">
      <c r="A8069" t="str">
        <f>HYPERLINK("https://us2.cloudbeds.com/connect/10074733072513#/reservations/31679642202255?display=MHAV9EFM2&amp;reservation_id=31679642202255", "MHAV9EFM2")</f>
        <v>MHAV9EFM2</v>
      </c>
      <c r="B8069" t="s">
        <v>1222</v>
      </c>
      <c r="C8069">
        <v>189</v>
      </c>
      <c r="D8069">
        <v>205.45</v>
      </c>
      <c r="E8069">
        <v>205.44</v>
      </c>
      <c r="F8069">
        <v>0.01</v>
      </c>
    </row>
    <row r="8070" spans="1:6" x14ac:dyDescent="0.3">
      <c r="A8070" t="str">
        <f>HYPERLINK("https://us2.cloudbeds.com/connect/10074733072513#/reservations/31679957831866?display=MHB6BJB0Z&amp;reservation_id=31679957831866", "MHB6BJB0Z")</f>
        <v>MHB6BJB0Z</v>
      </c>
      <c r="B8070" t="s">
        <v>1267</v>
      </c>
      <c r="C8070">
        <v>149</v>
      </c>
      <c r="D8070">
        <v>161.97</v>
      </c>
      <c r="E8070">
        <v>161.96</v>
      </c>
      <c r="F8070">
        <v>0.01</v>
      </c>
    </row>
    <row r="8071" spans="1:6" x14ac:dyDescent="0.3">
      <c r="A8071" t="str">
        <f>HYPERLINK("https://us2.cloudbeds.com/connect/10074733072513#/reservations/31680027717849?display=MHB84H0FQ&amp;reservation_id=31680027717849", "MHB84H0FQ")</f>
        <v>MHB84H0FQ</v>
      </c>
      <c r="B8071" t="s">
        <v>1267</v>
      </c>
      <c r="C8071">
        <v>79</v>
      </c>
      <c r="D8071">
        <v>85.88</v>
      </c>
      <c r="E8071">
        <v>85.87</v>
      </c>
      <c r="F8071">
        <v>0.01</v>
      </c>
    </row>
    <row r="8072" spans="1:6" x14ac:dyDescent="0.3">
      <c r="A8072" t="str">
        <f>HYPERLINK("https://us2.cloudbeds.com/connect/10074733072513#/reservations/31681045807315?display=MHC14WS6Z&amp;reservation_id=31681045807315", "MHC14WS6Z")</f>
        <v>MHC14WS6Z</v>
      </c>
      <c r="B8072" t="s">
        <v>1136</v>
      </c>
      <c r="C8072">
        <v>159</v>
      </c>
      <c r="D8072">
        <v>172.84</v>
      </c>
      <c r="E8072">
        <v>172.83</v>
      </c>
      <c r="F8072">
        <v>0.01</v>
      </c>
    </row>
    <row r="8073" spans="1:6" x14ac:dyDescent="0.3">
      <c r="A8073" t="str">
        <f>HYPERLINK("https://us2.cloudbeds.com/connect/10074733072513#/reservations/31679933632757?display=MHB5Z5VKD&amp;reservation_id=31679933632757", "MHB5Z5VKD")</f>
        <v>MHB5Z5VKD</v>
      </c>
      <c r="B8073" t="s">
        <v>1267</v>
      </c>
      <c r="C8073">
        <v>338</v>
      </c>
      <c r="D8073">
        <v>367.42</v>
      </c>
      <c r="E8073">
        <v>367.41</v>
      </c>
      <c r="F8073">
        <v>0.01</v>
      </c>
    </row>
    <row r="8074" spans="1:6" x14ac:dyDescent="0.3">
      <c r="A8074" t="str">
        <f>HYPERLINK("https://us2.cloudbeds.com/connect/10074733072513#/reservations/31677864710350?display=MH9XSK4N0&amp;reservation_id=31677864710350", "MH9XSK4N0")</f>
        <v>MH9XSK4N0</v>
      </c>
      <c r="B8074" t="s">
        <v>1231</v>
      </c>
      <c r="C8074">
        <v>139</v>
      </c>
      <c r="D8074">
        <v>151.1</v>
      </c>
      <c r="E8074">
        <v>151.09</v>
      </c>
      <c r="F8074">
        <v>0.01</v>
      </c>
    </row>
    <row r="8075" spans="1:6" x14ac:dyDescent="0.3">
      <c r="A8075" t="str">
        <f>HYPERLINK("https://us2.cloudbeds.com/connect/10074733072513#/reservations/31680355557588?display=MHBGGVY2B&amp;reservation_id=31680355557588", "MHBGGVY2B")</f>
        <v>MHBGGVY2B</v>
      </c>
      <c r="B8075" t="s">
        <v>1231</v>
      </c>
      <c r="C8075">
        <v>483.3</v>
      </c>
      <c r="D8075">
        <v>525.36</v>
      </c>
      <c r="E8075">
        <v>525.35</v>
      </c>
      <c r="F8075">
        <v>0.01</v>
      </c>
    </row>
    <row r="8076" spans="1:6" x14ac:dyDescent="0.3">
      <c r="A8076" t="str">
        <f>HYPERLINK("https://us2.cloudbeds.com/connect/10074733072513#/reservations/31680022876292?display=MHB80E9JV&amp;reservation_id=31680022876292", "MHB80E9JV")</f>
        <v>MHB80E9JV</v>
      </c>
      <c r="B8076" t="s">
        <v>1267</v>
      </c>
      <c r="C8076">
        <v>79</v>
      </c>
      <c r="D8076">
        <v>85.88</v>
      </c>
      <c r="E8076">
        <v>85.87</v>
      </c>
      <c r="F8076">
        <v>0.01</v>
      </c>
    </row>
    <row r="8077" spans="1:6" x14ac:dyDescent="0.3">
      <c r="A8077" t="str">
        <f>HYPERLINK("https://us2.cloudbeds.com/connect/10074733072513#/reservations/31681231843547?display=MHC5TSJCA&amp;reservation_id=31681231843547", "MHC5TSJCA")</f>
        <v>MHC5TSJCA</v>
      </c>
      <c r="B8077" t="s">
        <v>1136</v>
      </c>
      <c r="C8077">
        <v>159</v>
      </c>
      <c r="D8077">
        <v>172.84</v>
      </c>
      <c r="E8077">
        <v>172.83</v>
      </c>
      <c r="F8077">
        <v>0.01</v>
      </c>
    </row>
    <row r="8078" spans="1:6" x14ac:dyDescent="0.3">
      <c r="A8078" t="str">
        <f>HYPERLINK("https://us2.cloudbeds.com/connect/10074733072513#/reservations/31680019763422?display=MHB7UQM4H&amp;reservation_id=31680019763422", "MHB7UQM4H")</f>
        <v>MHB7UQM4H</v>
      </c>
      <c r="B8078" t="s">
        <v>1267</v>
      </c>
      <c r="C8078">
        <v>87.84</v>
      </c>
      <c r="D8078">
        <v>95.49</v>
      </c>
      <c r="E8078">
        <v>95.48</v>
      </c>
      <c r="F8078">
        <v>0.01</v>
      </c>
    </row>
    <row r="8079" spans="1:6" x14ac:dyDescent="0.3">
      <c r="A8079" t="str">
        <f>HYPERLINK("https://us2.cloudbeds.com/connect/10074733072513#/reservations/31678896750795?display=MHAC7S67T&amp;reservation_id=31678896750795", "MHAC7S67T")</f>
        <v>MHAC7S67T</v>
      </c>
      <c r="B8079" t="s">
        <v>1260</v>
      </c>
      <c r="C8079">
        <v>87.84</v>
      </c>
      <c r="D8079">
        <v>95.49</v>
      </c>
      <c r="E8079">
        <v>95.48</v>
      </c>
      <c r="F8079">
        <v>0.01</v>
      </c>
    </row>
    <row r="8080" spans="1:6" x14ac:dyDescent="0.3">
      <c r="A8080" t="str">
        <f>HYPERLINK("https://us2.cloudbeds.com/connect/10074733072513#/reservations/31678911234302?display=MHACK2721&amp;reservation_id=31678911234302", "MHACK2721")</f>
        <v>MHACK2721</v>
      </c>
      <c r="B8080" t="s">
        <v>1267</v>
      </c>
      <c r="C8080">
        <v>73</v>
      </c>
      <c r="D8080">
        <v>79.36</v>
      </c>
      <c r="E8080">
        <v>79.349999999999994</v>
      </c>
      <c r="F8080">
        <v>0.01</v>
      </c>
    </row>
    <row r="8081" spans="1:6" x14ac:dyDescent="0.3">
      <c r="A8081" t="str">
        <f>HYPERLINK("https://us2.cloudbeds.com/connect/10074733072513#/reservations/31678932820109?display=MHAD58SZC&amp;reservation_id=31678932820109", "MHAD58SZC")</f>
        <v>MHAD58SZC</v>
      </c>
      <c r="B8081" t="s">
        <v>1267</v>
      </c>
      <c r="C8081">
        <v>198</v>
      </c>
      <c r="D8081">
        <v>215.24</v>
      </c>
      <c r="E8081">
        <v>215.23</v>
      </c>
      <c r="F8081">
        <v>0.01</v>
      </c>
    </row>
    <row r="8082" spans="1:6" x14ac:dyDescent="0.3">
      <c r="A8082" t="str">
        <f>HYPERLINK("https://us2.cloudbeds.com/connect/10074733072513#/reservations/31678957138074?display=MHADPPX9E&amp;reservation_id=31678957138074", "MHADPPX9E")</f>
        <v>MHADPPX9E</v>
      </c>
      <c r="B8082" t="s">
        <v>1144</v>
      </c>
      <c r="C8082">
        <v>106.8</v>
      </c>
      <c r="D8082">
        <v>116.1</v>
      </c>
      <c r="E8082">
        <v>116.09</v>
      </c>
      <c r="F8082">
        <v>0.01</v>
      </c>
    </row>
    <row r="8083" spans="1:6" x14ac:dyDescent="0.3">
      <c r="A8083" t="str">
        <f>HYPERLINK("https://us2.cloudbeds.com/connect/10074733072513#/reservations/31678979276962?display=MHAEBEJRR&amp;reservation_id=31678979276962", "MHAEBEJRR")</f>
        <v>MHAEBEJRR</v>
      </c>
      <c r="B8083" t="s">
        <v>1065</v>
      </c>
      <c r="C8083">
        <v>331.2</v>
      </c>
      <c r="D8083">
        <v>360.02</v>
      </c>
      <c r="E8083">
        <v>360.01</v>
      </c>
      <c r="F8083">
        <v>0.01</v>
      </c>
    </row>
    <row r="8084" spans="1:6" x14ac:dyDescent="0.3">
      <c r="A8084" t="str">
        <f>HYPERLINK("https://us2.cloudbeds.com/connect/10074733072513#/reservations/31678041497767?display=MH9NCMGUF&amp;reservation_id=31678041497767", "MH9NCMGUF")</f>
        <v>MH9NCMGUF</v>
      </c>
      <c r="B8084" t="s">
        <v>1144</v>
      </c>
      <c r="C8084">
        <v>169</v>
      </c>
      <c r="D8084">
        <v>183.71</v>
      </c>
      <c r="E8084">
        <v>183.7</v>
      </c>
      <c r="F8084">
        <v>0.01</v>
      </c>
    </row>
    <row r="8085" spans="1:6" x14ac:dyDescent="0.3">
      <c r="A8085" t="str">
        <f>HYPERLINK("https://us2.cloudbeds.com/connect/10074733072513#/reservations/31677905408156?display=MH9JTUKDS&amp;reservation_id=31677905408156", "MH9JTUKDS")</f>
        <v>MH9JTUKDS</v>
      </c>
      <c r="B8085" t="s">
        <v>1231</v>
      </c>
      <c r="C8085">
        <v>139</v>
      </c>
      <c r="D8085">
        <v>151.1</v>
      </c>
      <c r="E8085">
        <v>151.09</v>
      </c>
      <c r="F8085">
        <v>0.01</v>
      </c>
    </row>
    <row r="8086" spans="1:6" x14ac:dyDescent="0.3">
      <c r="A8086" t="str">
        <f>HYPERLINK("https://us2.cloudbeds.com/connect/10074733072513#/reservations/31680293580953?display=MHBEUN1XG&amp;reservation_id=31680293580953", "MHBEUN1XG")</f>
        <v>MHBEUN1XG</v>
      </c>
      <c r="B8086" t="s">
        <v>1278</v>
      </c>
      <c r="C8086">
        <v>129</v>
      </c>
      <c r="D8086">
        <v>140.22999999999999</v>
      </c>
      <c r="E8086">
        <v>140.22</v>
      </c>
      <c r="F8086">
        <v>0.01</v>
      </c>
    </row>
    <row r="8087" spans="1:6" x14ac:dyDescent="0.3">
      <c r="A8087" t="str">
        <f>HYPERLINK("https://us2.cloudbeds.com/connect/10074733072513#/reservations/31677850923219?display=MH9XGWGB5&amp;reservation_id=31677850923219", "MH9XGWGB5")</f>
        <v>MH9XGWGB5</v>
      </c>
      <c r="B8087" t="s">
        <v>1231</v>
      </c>
      <c r="C8087">
        <v>139</v>
      </c>
      <c r="D8087">
        <v>151.1</v>
      </c>
      <c r="E8087">
        <v>151.09</v>
      </c>
      <c r="F8087">
        <v>0.01</v>
      </c>
    </row>
    <row r="8088" spans="1:6" x14ac:dyDescent="0.3">
      <c r="A8088" t="str">
        <f>HYPERLINK("https://us2.cloudbeds.com/connect/10074733072513#/reservations/31680267317489?display=MHBE8X7GV&amp;reservation_id=31680267317489", "MHBE8X7GV")</f>
        <v>MHBE8X7GV</v>
      </c>
      <c r="B8088" t="s">
        <v>1278</v>
      </c>
      <c r="C8088">
        <v>129</v>
      </c>
      <c r="D8088">
        <v>140.22999999999999</v>
      </c>
      <c r="E8088">
        <v>140.22</v>
      </c>
      <c r="F8088">
        <v>0.01</v>
      </c>
    </row>
    <row r="8089" spans="1:6" x14ac:dyDescent="0.3">
      <c r="A8089" t="str">
        <f>HYPERLINK("https://us2.cloudbeds.com/connect/10074733072513#/reservations/31680682102961?display=MHBZSA82M&amp;reservation_id=31680682102961", "MHBZSA82M")</f>
        <v>MHBZSA82M</v>
      </c>
      <c r="B8089" t="s">
        <v>1072</v>
      </c>
      <c r="C8089">
        <v>199</v>
      </c>
      <c r="D8089">
        <v>216.32</v>
      </c>
      <c r="E8089">
        <v>216.31</v>
      </c>
      <c r="F8089">
        <v>0.01</v>
      </c>
    </row>
    <row r="8090" spans="1:6" x14ac:dyDescent="0.3">
      <c r="A8090" t="str">
        <f>HYPERLINK("https://us2.cloudbeds.com/connect/10074733072513#/reservations/31677835976944?display=MH9X4CJXZ&amp;reservation_id=31677835976944", "MH9X4CJXZ")</f>
        <v>MH9X4CJXZ</v>
      </c>
      <c r="B8090" t="s">
        <v>1278</v>
      </c>
      <c r="C8090">
        <v>159</v>
      </c>
      <c r="D8090">
        <v>172.84</v>
      </c>
      <c r="E8090">
        <v>172.83</v>
      </c>
      <c r="F8090">
        <v>0.01</v>
      </c>
    </row>
    <row r="8091" spans="1:6" x14ac:dyDescent="0.3">
      <c r="A8091" t="str">
        <f>HYPERLINK("https://us2.cloudbeds.com/connect/10074733072513#/reservations/31689410166991?display=MHXGT1G8F&amp;reservation_id=31689410166991", "MHXGT1G8F")</f>
        <v>MHXGT1G8F</v>
      </c>
      <c r="B8091" t="s">
        <v>1118</v>
      </c>
      <c r="C8091">
        <v>278</v>
      </c>
      <c r="D8091">
        <v>302.2</v>
      </c>
      <c r="E8091">
        <v>302.19</v>
      </c>
      <c r="F8091">
        <v>0.01</v>
      </c>
    </row>
    <row r="8092" spans="1:6" x14ac:dyDescent="0.3">
      <c r="A8092" t="str">
        <f>HYPERLINK("https://us2.cloudbeds.com/connect/10074733072513#/reservations/31680671486102?display=MHBZJBQTM&amp;reservation_id=31680671486102", "MHBZJBQTM")</f>
        <v>MHBZJBQTM</v>
      </c>
      <c r="B8092" t="s">
        <v>1072</v>
      </c>
      <c r="C8092">
        <v>199</v>
      </c>
      <c r="D8092">
        <v>216.32</v>
      </c>
      <c r="E8092">
        <v>216.31</v>
      </c>
      <c r="F8092">
        <v>0.01</v>
      </c>
    </row>
    <row r="8093" spans="1:6" x14ac:dyDescent="0.3">
      <c r="A8093" t="str">
        <f>HYPERLINK("https://us2.cloudbeds.com/connect/10074733072513#/reservations/31680305725618?display=MHBF7UWMY&amp;reservation_id=31680305725618", "MHBF7UWMY")</f>
        <v>MHBF7UWMY</v>
      </c>
      <c r="B8093" t="s">
        <v>1278</v>
      </c>
      <c r="C8093">
        <v>139</v>
      </c>
      <c r="D8093">
        <v>151.1</v>
      </c>
      <c r="E8093">
        <v>151.09</v>
      </c>
      <c r="F8093">
        <v>0.01</v>
      </c>
    </row>
    <row r="8094" spans="1:6" x14ac:dyDescent="0.3">
      <c r="A8094" t="str">
        <f>HYPERLINK("https://us2.cloudbeds.com/connect/10074733072513#/reservations/31682615029936?display=MHD886PWC&amp;reservation_id=31682615029936", "MHD886PWC")</f>
        <v>MHD886PWC</v>
      </c>
      <c r="B8094" t="s">
        <v>1072</v>
      </c>
      <c r="C8094">
        <v>298</v>
      </c>
      <c r="D8094">
        <v>323.94</v>
      </c>
      <c r="E8094">
        <v>323.93</v>
      </c>
      <c r="F8094">
        <v>0.01</v>
      </c>
    </row>
    <row r="8095" spans="1:6" x14ac:dyDescent="0.3">
      <c r="A8095" t="str">
        <f>HYPERLINK("https://us2.cloudbeds.com/connect/10074733072513#/reservations/31678055968915?display=MH9NZT6D3&amp;reservation_id=31678055968915", "MH9NZT6D3")</f>
        <v>MH9NZT6D3</v>
      </c>
      <c r="B8095" t="s">
        <v>1144</v>
      </c>
      <c r="C8095">
        <v>199</v>
      </c>
      <c r="D8095">
        <v>216.32</v>
      </c>
      <c r="E8095">
        <v>216.31</v>
      </c>
      <c r="F8095">
        <v>0.01</v>
      </c>
    </row>
    <row r="8096" spans="1:6" x14ac:dyDescent="0.3">
      <c r="A8096" t="str">
        <f>HYPERLINK("https://us2.cloudbeds.com/connect/10074733072513#/reservations/31678048514301?display=MH9NXJP0N&amp;reservation_id=31678048514301", "MH9NXJP0N")</f>
        <v>MH9NXJP0N</v>
      </c>
      <c r="B8096" t="s">
        <v>1144</v>
      </c>
      <c r="C8096">
        <v>169</v>
      </c>
      <c r="D8096">
        <v>183.71</v>
      </c>
      <c r="E8096">
        <v>183.7</v>
      </c>
      <c r="F8096">
        <v>0.01</v>
      </c>
    </row>
    <row r="8097" spans="1:6" x14ac:dyDescent="0.3">
      <c r="A8097" t="str">
        <f>HYPERLINK("https://us2.cloudbeds.com/connect/10074733072513#/reservations/31680485064845?display=MHBJR5C5M&amp;reservation_id=31680485064845", "MHBJR5C5M")</f>
        <v>MHBJR5C5M</v>
      </c>
      <c r="B8097" t="s">
        <v>1279</v>
      </c>
      <c r="C8097">
        <v>149</v>
      </c>
      <c r="D8097">
        <v>161.97</v>
      </c>
      <c r="E8097">
        <v>161.96</v>
      </c>
      <c r="F8097">
        <v>0.01</v>
      </c>
    </row>
    <row r="8098" spans="1:6" x14ac:dyDescent="0.3">
      <c r="A8098" t="str">
        <f>HYPERLINK("https://us2.cloudbeds.com/connect/10074733072513#/reservations/31678028169419?display=MH9N1EKS4&amp;reservation_id=31678028169419", "MH9N1EKS4")</f>
        <v>MH9N1EKS4</v>
      </c>
      <c r="B8098" t="s">
        <v>1144</v>
      </c>
      <c r="C8098">
        <v>179</v>
      </c>
      <c r="D8098">
        <v>194.58</v>
      </c>
      <c r="E8098">
        <v>194.57</v>
      </c>
      <c r="F8098">
        <v>0.01</v>
      </c>
    </row>
    <row r="8099" spans="1:6" x14ac:dyDescent="0.3">
      <c r="A8099" t="str">
        <f>HYPERLINK("https://us2.cloudbeds.com/connect/10074733072513#/reservations/31682607730893?display=MHD821MF8&amp;reservation_id=31682607730893", "MHD821MF8")</f>
        <v>MHD821MF8</v>
      </c>
      <c r="B8099" t="s">
        <v>1072</v>
      </c>
      <c r="C8099">
        <v>298</v>
      </c>
      <c r="D8099">
        <v>323.94</v>
      </c>
      <c r="E8099">
        <v>323.93</v>
      </c>
      <c r="F8099">
        <v>0.01</v>
      </c>
    </row>
    <row r="8100" spans="1:6" x14ac:dyDescent="0.3">
      <c r="A8100" t="str">
        <f>HYPERLINK("https://us2.cloudbeds.com/connect/10074733072513#/reservations/31688185340103?display=MHHXJ7T05&amp;reservation_id=31688185340103", "MHHXJ7T05")</f>
        <v>MHHXJ7T05</v>
      </c>
      <c r="B8100" t="s">
        <v>1118</v>
      </c>
      <c r="C8100">
        <v>278</v>
      </c>
      <c r="D8100">
        <v>302.2</v>
      </c>
      <c r="E8100">
        <v>302.19</v>
      </c>
      <c r="F8100">
        <v>0.01</v>
      </c>
    </row>
    <row r="8101" spans="1:6" x14ac:dyDescent="0.3">
      <c r="A8101" t="str">
        <f>HYPERLINK("https://us2.cloudbeds.com/connect/10074733072513#/reservations/31682594025682?display=MHD7NGAAR&amp;reservation_id=31682594025682", "MHD7NGAAR")</f>
        <v>MHD7NGAAR</v>
      </c>
      <c r="B8101" t="s">
        <v>1072</v>
      </c>
      <c r="C8101">
        <v>298</v>
      </c>
      <c r="D8101">
        <v>323.94</v>
      </c>
      <c r="E8101">
        <v>323.93</v>
      </c>
      <c r="F8101">
        <v>0.01</v>
      </c>
    </row>
    <row r="8102" spans="1:6" x14ac:dyDescent="0.3">
      <c r="A8102" t="str">
        <f>HYPERLINK("https://us2.cloudbeds.com/connect/10074733072513#/reservations/31680392851627?display=MHBHFDD6Z&amp;reservation_id=31680392851627", "MHBHFDD6Z")</f>
        <v>MHBHFDD6Z</v>
      </c>
      <c r="B8102" t="s">
        <v>1231</v>
      </c>
      <c r="C8102">
        <v>139</v>
      </c>
      <c r="D8102">
        <v>151.1</v>
      </c>
      <c r="E8102">
        <v>151.09</v>
      </c>
      <c r="F8102">
        <v>0.01</v>
      </c>
    </row>
    <row r="8103" spans="1:6" x14ac:dyDescent="0.3">
      <c r="A8103" t="str">
        <f>HYPERLINK("https://us2.cloudbeds.com/connect/10074733072513#/reservations/31680499826885?display=MHBK6K4P7&amp;reservation_id=31680499826885", "MHBK6K4P7")</f>
        <v>MHBK6K4P7</v>
      </c>
      <c r="B8103" t="s">
        <v>1279</v>
      </c>
      <c r="C8103">
        <v>149</v>
      </c>
      <c r="D8103">
        <v>161.97</v>
      </c>
      <c r="E8103">
        <v>161.96</v>
      </c>
      <c r="F8103">
        <v>0.01</v>
      </c>
    </row>
    <row r="8104" spans="1:6" x14ac:dyDescent="0.3">
      <c r="A8104" t="str">
        <f>HYPERLINK("https://us2.cloudbeds.com/connect/10074733072513#/reservations/31677968900233?display=MH9YHFCH6&amp;reservation_id=31677968900233", "MH9YHFCH6")</f>
        <v>MH9YHFCH6</v>
      </c>
      <c r="B8104" t="s">
        <v>1231</v>
      </c>
      <c r="C8104">
        <v>87.84</v>
      </c>
      <c r="D8104">
        <v>95.49</v>
      </c>
      <c r="E8104">
        <v>95.48</v>
      </c>
      <c r="F8104">
        <v>0.01</v>
      </c>
    </row>
    <row r="8105" spans="1:6" x14ac:dyDescent="0.3">
      <c r="A8105" t="str">
        <f>HYPERLINK("https://us2.cloudbeds.com/connect/10074733072513#/reservations/31678965919983?display=MHAE05UFT&amp;reservation_id=31678965919983", "MHAE05UFT")</f>
        <v>MHAE05UFT</v>
      </c>
      <c r="B8105" t="s">
        <v>1144</v>
      </c>
      <c r="C8105">
        <v>169</v>
      </c>
      <c r="D8105">
        <v>183.71</v>
      </c>
      <c r="E8105">
        <v>183.7</v>
      </c>
      <c r="F8105">
        <v>0.01</v>
      </c>
    </row>
    <row r="8106" spans="1:6" x14ac:dyDescent="0.3">
      <c r="A8106" t="str">
        <f>HYPERLINK("https://us2.cloudbeds.com/connect/10074733072513#/reservations/31680457973915?display=MHBJ4AH9D&amp;reservation_id=31680457973915", "MHBJ4AH9D")</f>
        <v>MHBJ4AH9D</v>
      </c>
      <c r="B8106" t="s">
        <v>1279</v>
      </c>
      <c r="C8106">
        <v>149</v>
      </c>
      <c r="D8106">
        <v>161.97</v>
      </c>
      <c r="E8106">
        <v>161.96</v>
      </c>
      <c r="F8106">
        <v>0.01</v>
      </c>
    </row>
    <row r="8107" spans="1:6" x14ac:dyDescent="0.3">
      <c r="A8107" t="str">
        <f>HYPERLINK("https://us2.cloudbeds.com/connect/10074733072513#/reservations/31677933527290?display=MH9KKY2FR&amp;reservation_id=31677933527290", "MH9KKY2FR")</f>
        <v>MH9KKY2FR</v>
      </c>
      <c r="B8107" t="s">
        <v>1231</v>
      </c>
      <c r="C8107">
        <v>79</v>
      </c>
      <c r="D8107">
        <v>85.88</v>
      </c>
      <c r="E8107">
        <v>85.87</v>
      </c>
      <c r="F8107">
        <v>0.01</v>
      </c>
    </row>
    <row r="8108" spans="1:6" x14ac:dyDescent="0.3">
      <c r="A8108" t="str">
        <f>HYPERLINK("https://us2.cloudbeds.com/connect/10074733072513#/reservations/31677924946080?display=MH9KDD9J5&amp;reservation_id=31677924946080", "MH9KDD9J5")</f>
        <v>MH9KDD9J5</v>
      </c>
      <c r="B8108" t="s">
        <v>1231</v>
      </c>
      <c r="C8108">
        <v>87.84</v>
      </c>
      <c r="D8108">
        <v>95.49</v>
      </c>
      <c r="E8108">
        <v>95.48</v>
      </c>
      <c r="F8108">
        <v>0.01</v>
      </c>
    </row>
    <row r="8109" spans="1:6" x14ac:dyDescent="0.3">
      <c r="A8109" t="str">
        <f>HYPERLINK("https://us2.cloudbeds.com/connect/10074733072513#/reservations/31677940985998?display=MH9KQUKK9&amp;reservation_id=31677940985998", "MH9KQUKK9")</f>
        <v>MH9KQUKK9</v>
      </c>
      <c r="B8109" t="s">
        <v>1231</v>
      </c>
      <c r="C8109">
        <v>79</v>
      </c>
      <c r="D8109">
        <v>85.88</v>
      </c>
      <c r="E8109">
        <v>85.87</v>
      </c>
      <c r="F8109">
        <v>0.01</v>
      </c>
    </row>
    <row r="8110" spans="1:6" x14ac:dyDescent="0.3">
      <c r="A8110" t="str">
        <f>HYPERLINK("https://us2.cloudbeds.com/connect/10074733072513#/reservations/31680474165496?display=MHBJHW2JC&amp;reservation_id=31680474165496", "MHBJHW2JC")</f>
        <v>MHBJHW2JC</v>
      </c>
      <c r="B8110" t="s">
        <v>1279</v>
      </c>
      <c r="C8110">
        <v>149</v>
      </c>
      <c r="D8110">
        <v>161.97</v>
      </c>
      <c r="E8110">
        <v>161.96</v>
      </c>
      <c r="F8110">
        <v>0.01</v>
      </c>
    </row>
    <row r="8111" spans="1:6" x14ac:dyDescent="0.3">
      <c r="A8111" t="str">
        <f>HYPERLINK("https://us2.cloudbeds.com/connect/10074733072513#/reservations/31677843251340?display=MH9XAH0EW&amp;reservation_id=31677843251340", "MH9XAH0EW")</f>
        <v>MH9XAH0EW</v>
      </c>
      <c r="B8111" t="s">
        <v>1278</v>
      </c>
      <c r="C8111">
        <v>139</v>
      </c>
      <c r="D8111">
        <v>151.1</v>
      </c>
      <c r="E8111">
        <v>151.09</v>
      </c>
      <c r="F8111">
        <v>0.01</v>
      </c>
    </row>
    <row r="8112" spans="1:6" x14ac:dyDescent="0.3">
      <c r="A8112" t="str">
        <f>HYPERLINK("https://us2.cloudbeds.com/connect/10074733072513#/reservations/31682622787786?display=MHD8EZYQZ&amp;reservation_id=31682622787786", "MHD8EZYQZ")</f>
        <v>MHD8EZYQZ</v>
      </c>
      <c r="B8112" t="s">
        <v>1072</v>
      </c>
      <c r="C8112">
        <v>298</v>
      </c>
      <c r="D8112">
        <v>323.94</v>
      </c>
      <c r="E8112">
        <v>323.93</v>
      </c>
      <c r="F8112">
        <v>0.01</v>
      </c>
    </row>
    <row r="8113" spans="1:6" x14ac:dyDescent="0.3">
      <c r="A8113" t="str">
        <f>HYPERLINK("https://us2.cloudbeds.com/connect/10074733072513#/reservations/31677633560751?display=MH9CVN23N&amp;reservation_id=31677633560751", "MH9CVN23N")</f>
        <v>MH9CVN23N</v>
      </c>
      <c r="B8113" t="s">
        <v>1179</v>
      </c>
      <c r="C8113">
        <v>73</v>
      </c>
      <c r="D8113">
        <v>79.36</v>
      </c>
      <c r="E8113">
        <v>79.349999999999994</v>
      </c>
      <c r="F8113">
        <v>0.01</v>
      </c>
    </row>
    <row r="8114" spans="1:6" x14ac:dyDescent="0.3">
      <c r="A8114" t="str">
        <f>HYPERLINK("https://us2.cloudbeds.com/connect/10074733072513#/reservations/31677604335829?display=MH9C71RY0&amp;reservation_id=31677604335829", "MH9C71RY0")</f>
        <v>MH9C71RY0</v>
      </c>
      <c r="B8114" t="s">
        <v>1179</v>
      </c>
      <c r="C8114">
        <v>73</v>
      </c>
      <c r="D8114">
        <v>79.36</v>
      </c>
      <c r="E8114">
        <v>79.349999999999994</v>
      </c>
      <c r="F8114">
        <v>0.01</v>
      </c>
    </row>
    <row r="8115" spans="1:6" x14ac:dyDescent="0.3">
      <c r="A8115" t="str">
        <f>HYPERLINK("https://us2.cloudbeds.com/connect/10074733072513#/reservations/31679325307112?display=MHAN67D6V&amp;reservation_id=31679325307112", "MHAN67D6V")</f>
        <v>MHAN67D6V</v>
      </c>
      <c r="B8115" t="s">
        <v>1086</v>
      </c>
      <c r="C8115">
        <v>139</v>
      </c>
      <c r="D8115">
        <v>151.1</v>
      </c>
      <c r="E8115">
        <v>151.09</v>
      </c>
      <c r="F8115">
        <v>0.01</v>
      </c>
    </row>
    <row r="8116" spans="1:6" x14ac:dyDescent="0.3">
      <c r="A8116" t="str">
        <f>HYPERLINK("https://us2.cloudbeds.com/connect/10074733072513#/reservations/31679334641854?display=MHANE351U&amp;reservation_id=31679334641854", "MHANE351U")</f>
        <v>MHANE351U</v>
      </c>
      <c r="B8116" t="s">
        <v>1086</v>
      </c>
      <c r="C8116">
        <v>87.84</v>
      </c>
      <c r="D8116">
        <v>95.49</v>
      </c>
      <c r="E8116">
        <v>95.48</v>
      </c>
      <c r="F8116">
        <v>0.01</v>
      </c>
    </row>
    <row r="8117" spans="1:6" x14ac:dyDescent="0.3">
      <c r="A8117" t="str">
        <f>HYPERLINK("https://us2.cloudbeds.com/connect/10074733072513#/reservations/31677524660423?display=MH9A5SZQP&amp;reservation_id=31677524660423", "MH9A5SZQP")</f>
        <v>MH9A5SZQP</v>
      </c>
      <c r="B8117" t="s">
        <v>1179</v>
      </c>
      <c r="C8117">
        <v>87.84</v>
      </c>
      <c r="D8117">
        <v>95.49</v>
      </c>
      <c r="E8117">
        <v>95.48</v>
      </c>
      <c r="F8117">
        <v>0.01</v>
      </c>
    </row>
    <row r="8118" spans="1:6" x14ac:dyDescent="0.3">
      <c r="A8118" t="str">
        <f>HYPERLINK("https://us2.cloudbeds.com/connect/10074733072513#/reservations/31677509976216?display=MH99QG4MQ&amp;reservation_id=31677509976216", "MH99QG4MQ")</f>
        <v>MH99QG4MQ</v>
      </c>
      <c r="B8118" t="s">
        <v>1179</v>
      </c>
      <c r="C8118">
        <v>199</v>
      </c>
      <c r="D8118">
        <v>216.32</v>
      </c>
      <c r="E8118">
        <v>216.31</v>
      </c>
      <c r="F8118">
        <v>0.01</v>
      </c>
    </row>
    <row r="8119" spans="1:6" x14ac:dyDescent="0.3">
      <c r="A8119" t="str">
        <f>HYPERLINK("https://us2.cloudbeds.com/connect/10074733072513#/reservations/31677882019988?display=MH9JA6QMG&amp;reservation_id=31677882019988", "MH9JA6QMG")</f>
        <v>MH9JA6QMG</v>
      </c>
      <c r="B8119" t="s">
        <v>1231</v>
      </c>
      <c r="C8119">
        <v>278</v>
      </c>
      <c r="D8119">
        <v>302.2</v>
      </c>
      <c r="E8119">
        <v>302.19</v>
      </c>
      <c r="F8119">
        <v>0.01</v>
      </c>
    </row>
    <row r="8120" spans="1:6" x14ac:dyDescent="0.3">
      <c r="A8120" t="str">
        <f>HYPERLINK("https://us2.cloudbeds.com/connect/10074733072513#/reservations/31687115423904?display=MHGZ81T55&amp;reservation_id=31687115423904", "MHGZ81T55")</f>
        <v>MHGZ81T55</v>
      </c>
      <c r="B8120" t="s">
        <v>1280</v>
      </c>
      <c r="C8120">
        <v>258</v>
      </c>
      <c r="D8120">
        <v>280.45999999999998</v>
      </c>
      <c r="E8120">
        <v>280.45</v>
      </c>
      <c r="F8120">
        <v>0.01</v>
      </c>
    </row>
    <row r="8121" spans="1:6" x14ac:dyDescent="0.3">
      <c r="A8121" t="str">
        <f>HYPERLINK("https://us2.cloudbeds.com/connect/10074733072513#/reservations/31677897715847?display=MH9JNEXPJ&amp;reservation_id=31677897715847", "MH9JNEXPJ")</f>
        <v>MH9JNEXPJ</v>
      </c>
      <c r="B8121" t="s">
        <v>1231</v>
      </c>
      <c r="C8121">
        <v>139</v>
      </c>
      <c r="D8121">
        <v>151.1</v>
      </c>
      <c r="E8121">
        <v>151.09</v>
      </c>
      <c r="F8121">
        <v>0.01</v>
      </c>
    </row>
    <row r="8122" spans="1:6" x14ac:dyDescent="0.3">
      <c r="A8122" t="str">
        <f>HYPERLINK("https://us2.cloudbeds.com/connect/10074733072513#/reservations/31682040381666?display=MHCQXYBKE&amp;reservation_id=31682040381666", "MHCQXYBKE")</f>
        <v>MHCQXYBKE</v>
      </c>
      <c r="B8122" t="s">
        <v>1127</v>
      </c>
      <c r="C8122">
        <v>169</v>
      </c>
      <c r="D8122">
        <v>183.71</v>
      </c>
      <c r="E8122">
        <v>183.7</v>
      </c>
      <c r="F8122">
        <v>0.01</v>
      </c>
    </row>
    <row r="8123" spans="1:6" x14ac:dyDescent="0.3">
      <c r="A8123" t="str">
        <f>HYPERLINK("https://us2.cloudbeds.com/connect/10074733072513#/reservations/31679838486696?display=MHB39VCGE&amp;reservation_id=31679838486696", "MHB39VCGE")</f>
        <v>MHB39VCGE</v>
      </c>
      <c r="B8123" t="s">
        <v>1137</v>
      </c>
      <c r="C8123">
        <v>370</v>
      </c>
      <c r="D8123">
        <v>402.2</v>
      </c>
      <c r="E8123">
        <v>402.19</v>
      </c>
      <c r="F8123">
        <v>0.01</v>
      </c>
    </row>
    <row r="8124" spans="1:6" x14ac:dyDescent="0.3">
      <c r="A8124" t="str">
        <f>HYPERLINK("https://us2.cloudbeds.com/connect/10074733072513#/reservations/31680424378503?display=MHBX8WMGK&amp;reservation_id=31680424378503", "MHBX8WMGK")</f>
        <v>MHBX8WMGK</v>
      </c>
      <c r="B8124" t="s">
        <v>1179</v>
      </c>
      <c r="C8124">
        <v>139</v>
      </c>
      <c r="D8124">
        <v>151.1</v>
      </c>
      <c r="E8124">
        <v>151.09</v>
      </c>
      <c r="F8124">
        <v>0.01</v>
      </c>
    </row>
    <row r="8125" spans="1:6" x14ac:dyDescent="0.3">
      <c r="A8125" t="str">
        <f>HYPERLINK("https://us2.cloudbeds.com/connect/10074733072513#/reservations/31677965279477?display=MH9YEDKMA&amp;reservation_id=31677965279477", "MH9YEDKMA")</f>
        <v>MH9YEDKMA</v>
      </c>
      <c r="B8125" t="s">
        <v>1231</v>
      </c>
      <c r="C8125">
        <v>159</v>
      </c>
      <c r="D8125">
        <v>172.84</v>
      </c>
      <c r="E8125">
        <v>172.83</v>
      </c>
      <c r="F8125">
        <v>0.01</v>
      </c>
    </row>
    <row r="8126" spans="1:6" x14ac:dyDescent="0.3">
      <c r="A8126" t="str">
        <f>HYPERLINK("https://us2.cloudbeds.com/connect/10074733072513#/reservations/31677327995107?display=MH955187Z&amp;reservation_id=31677327995107", "MH955187Z")</f>
        <v>MH955187Z</v>
      </c>
      <c r="B8126" t="s">
        <v>1281</v>
      </c>
      <c r="C8126">
        <v>89</v>
      </c>
      <c r="D8126">
        <v>96.75</v>
      </c>
      <c r="E8126">
        <v>96.74</v>
      </c>
      <c r="F8126">
        <v>0.01</v>
      </c>
    </row>
    <row r="8127" spans="1:6" x14ac:dyDescent="0.3">
      <c r="A8127" t="str">
        <f>HYPERLINK("https://us2.cloudbeds.com/connect/10074733072513#/reservations/31677618983131?display=MH9CJDDSY&amp;reservation_id=31677618983131", "MH9CJDDSY")</f>
        <v>MH9CJDDSY</v>
      </c>
      <c r="B8127" t="s">
        <v>1179</v>
      </c>
      <c r="C8127">
        <v>73</v>
      </c>
      <c r="D8127">
        <v>79.36</v>
      </c>
      <c r="E8127">
        <v>79.349999999999994</v>
      </c>
      <c r="F8127">
        <v>0.01</v>
      </c>
    </row>
    <row r="8128" spans="1:6" x14ac:dyDescent="0.3">
      <c r="A8128" t="str">
        <f>HYPERLINK("https://us2.cloudbeds.com/connect/10074733072513#/reservations/31682805526760?display=MHDD3RY6D&amp;reservation_id=31682805526760", "MHDD3RY6D")</f>
        <v>MHDD3RY6D</v>
      </c>
      <c r="B8128" t="s">
        <v>1242</v>
      </c>
      <c r="C8128">
        <v>258</v>
      </c>
      <c r="D8128">
        <v>280.45999999999998</v>
      </c>
      <c r="E8128">
        <v>280.45</v>
      </c>
      <c r="F8128">
        <v>0.01</v>
      </c>
    </row>
    <row r="8129" spans="1:6" x14ac:dyDescent="0.3">
      <c r="A8129" t="str">
        <f>HYPERLINK("https://us2.cloudbeds.com/connect/10074733072513#/reservations/31687131427037?display=MHGZYX6DJ&amp;reservation_id=31687131427037", "MHGZYX6DJ")</f>
        <v>MHGZYX6DJ</v>
      </c>
      <c r="B8129" t="s">
        <v>1280</v>
      </c>
      <c r="C8129">
        <v>258</v>
      </c>
      <c r="D8129">
        <v>280.45999999999998</v>
      </c>
      <c r="E8129">
        <v>280.45</v>
      </c>
      <c r="F8129">
        <v>0.01</v>
      </c>
    </row>
    <row r="8130" spans="1:6" x14ac:dyDescent="0.3">
      <c r="A8130" t="str">
        <f>HYPERLINK("https://us2.cloudbeds.com/connect/10074733072513#/reservations/31678073290947?display=MH9Z6G6P5&amp;reservation_id=31678073290947", "MH9Z6G6P5")</f>
        <v>MH9Z6G6P5</v>
      </c>
      <c r="B8130" t="s">
        <v>1144</v>
      </c>
      <c r="C8130">
        <v>169</v>
      </c>
      <c r="D8130">
        <v>183.71</v>
      </c>
      <c r="E8130">
        <v>183.7</v>
      </c>
      <c r="F8130">
        <v>0.01</v>
      </c>
    </row>
    <row r="8131" spans="1:6" x14ac:dyDescent="0.3">
      <c r="A8131" t="str">
        <f>HYPERLINK("https://us2.cloudbeds.com/connect/10074733072513#/reservations/31680400298115?display=MHBHYMK3T&amp;reservation_id=31680400298115", "MHBHYMK3T")</f>
        <v>MHBHYMK3T</v>
      </c>
      <c r="B8131" t="s">
        <v>1179</v>
      </c>
      <c r="C8131">
        <v>119</v>
      </c>
      <c r="D8131">
        <v>129.36000000000001</v>
      </c>
      <c r="E8131">
        <v>129.35</v>
      </c>
      <c r="F8131">
        <v>0.01</v>
      </c>
    </row>
    <row r="8132" spans="1:6" x14ac:dyDescent="0.3">
      <c r="A8132" t="str">
        <f>HYPERLINK("https://us2.cloudbeds.com/connect/10074733072513#/reservations/31680631128274?display=MHBNXAQC6&amp;reservation_id=31680631128274", "MHBNXAQC6")</f>
        <v>MHBNXAQC6</v>
      </c>
      <c r="B8132" t="s">
        <v>1072</v>
      </c>
      <c r="C8132">
        <v>178</v>
      </c>
      <c r="D8132">
        <v>193.5</v>
      </c>
      <c r="E8132">
        <v>193.49</v>
      </c>
      <c r="F8132">
        <v>0.01</v>
      </c>
    </row>
    <row r="8133" spans="1:6" x14ac:dyDescent="0.3">
      <c r="A8133" t="str">
        <f>HYPERLINK("https://us2.cloudbeds.com/connect/10074733072513#/reservations/31689417330856?display=MHXH22RY9&amp;reservation_id=31689417330856", "MHXH22RY9")</f>
        <v>MHXH22RY9</v>
      </c>
      <c r="B8133" t="s">
        <v>1118</v>
      </c>
      <c r="C8133">
        <v>278</v>
      </c>
      <c r="D8133">
        <v>302.2</v>
      </c>
      <c r="E8133">
        <v>302.19</v>
      </c>
      <c r="F8133">
        <v>0.01</v>
      </c>
    </row>
    <row r="8134" spans="1:6" x14ac:dyDescent="0.3">
      <c r="A8134" t="str">
        <f>HYPERLINK("https://us2.cloudbeds.com/connect/10074733072513#/reservations/31677309747448?display=MH94MYFTC&amp;reservation_id=31677309747448", "MH94MYFTC")</f>
        <v>MH94MYFTC</v>
      </c>
      <c r="B8134" t="s">
        <v>1281</v>
      </c>
      <c r="C8134">
        <v>190</v>
      </c>
      <c r="D8134">
        <v>206.54</v>
      </c>
      <c r="E8134">
        <v>206.53</v>
      </c>
      <c r="F8134">
        <v>0.01</v>
      </c>
    </row>
    <row r="8135" spans="1:6" x14ac:dyDescent="0.3">
      <c r="A8135" t="str">
        <f>HYPERLINK("https://us2.cloudbeds.com/connect/10074733072513#/reservations/31676566483151?display=MH8XMU1SS&amp;reservation_id=31676566483151", "MH8XMU1SS")</f>
        <v>MH8XMU1SS</v>
      </c>
      <c r="B8135" t="s">
        <v>1065</v>
      </c>
      <c r="C8135">
        <v>331.2</v>
      </c>
      <c r="D8135">
        <v>360.02</v>
      </c>
      <c r="E8135">
        <v>360.01</v>
      </c>
      <c r="F8135">
        <v>0.01</v>
      </c>
    </row>
    <row r="8136" spans="1:6" x14ac:dyDescent="0.3">
      <c r="A8136" t="str">
        <f>HYPERLINK("https://us2.cloudbeds.com/connect/10074733072513#/reservations/31680508911826?display=MHBKE8V7F&amp;reservation_id=31680508911826", "MHBKE8V7F")</f>
        <v>MHBKE8V7F</v>
      </c>
      <c r="B8136" t="s">
        <v>1173</v>
      </c>
      <c r="C8136">
        <v>318</v>
      </c>
      <c r="D8136">
        <v>345.68</v>
      </c>
      <c r="E8136">
        <v>345.67</v>
      </c>
      <c r="F8136">
        <v>0.01</v>
      </c>
    </row>
    <row r="8137" spans="1:6" x14ac:dyDescent="0.3">
      <c r="A8137" t="str">
        <f>HYPERLINK("https://us2.cloudbeds.com/connect/10074733072513#/reservations/31687126950016?display=MHGZ81WUD&amp;reservation_id=31687126950016", "MHGZ81WUD")</f>
        <v>MHGZ81WUD</v>
      </c>
      <c r="B8137" t="s">
        <v>1280</v>
      </c>
      <c r="C8137">
        <v>258</v>
      </c>
      <c r="D8137">
        <v>280.45999999999998</v>
      </c>
      <c r="E8137">
        <v>280.45</v>
      </c>
      <c r="F8137">
        <v>0.01</v>
      </c>
    </row>
    <row r="8138" spans="1:6" x14ac:dyDescent="0.3">
      <c r="A8138" t="str">
        <f>HYPERLINK("https://us2.cloudbeds.com/connect/10074733072513#/reservations/31678826623213?display=MHAAENPUY&amp;reservation_id=31678826623213", "MHAAENPUY")</f>
        <v>MHAAENPUY</v>
      </c>
      <c r="B8138" t="s">
        <v>1079</v>
      </c>
      <c r="C8138">
        <v>378</v>
      </c>
      <c r="D8138">
        <v>410.9</v>
      </c>
      <c r="E8138">
        <v>410.89</v>
      </c>
      <c r="F8138">
        <v>0.01</v>
      </c>
    </row>
    <row r="8139" spans="1:6" x14ac:dyDescent="0.3">
      <c r="A8139" t="str">
        <f>HYPERLINK("https://us2.cloudbeds.com/connect/10074733072513#/reservations/31680578998513?display=MHBM7C6WF&amp;reservation_id=31680578998513", "MHBM7C6WF")</f>
        <v>MHBM7C6WF</v>
      </c>
      <c r="B8139" t="s">
        <v>1187</v>
      </c>
      <c r="C8139">
        <v>298</v>
      </c>
      <c r="D8139">
        <v>323.94</v>
      </c>
      <c r="E8139">
        <v>323.93</v>
      </c>
      <c r="F8139">
        <v>0.01</v>
      </c>
    </row>
    <row r="8140" spans="1:6" x14ac:dyDescent="0.3">
      <c r="A8140" t="str">
        <f>HYPERLINK("https://us2.cloudbeds.com/connect/10074733072513#/reservations/31684899012860?display=MHF0K3WA4&amp;reservation_id=31684899012860", "MHF0K3WA4")</f>
        <v>MHF0K3WA4</v>
      </c>
      <c r="B8140" t="s">
        <v>1280</v>
      </c>
      <c r="C8140">
        <v>258</v>
      </c>
      <c r="D8140">
        <v>280.45999999999998</v>
      </c>
      <c r="E8140">
        <v>280.45</v>
      </c>
      <c r="F8140">
        <v>0.01</v>
      </c>
    </row>
    <row r="8141" spans="1:6" x14ac:dyDescent="0.3">
      <c r="A8141" t="str">
        <f>HYPERLINK("https://us2.cloudbeds.com/connect/10074733072513#/reservations/31677293752507?display=MH9495D56&amp;reservation_id=31677293752507", "MH9495D56")</f>
        <v>MH9495D56</v>
      </c>
      <c r="B8141" t="s">
        <v>1281</v>
      </c>
      <c r="C8141">
        <v>211.88</v>
      </c>
      <c r="D8141">
        <v>230.32</v>
      </c>
      <c r="E8141">
        <v>230.31</v>
      </c>
      <c r="F8141">
        <v>0.01</v>
      </c>
    </row>
    <row r="8142" spans="1:6" x14ac:dyDescent="0.3">
      <c r="A8142" t="str">
        <f>HYPERLINK("https://us2.cloudbeds.com/connect/10074733072513#/reservations/31682937241801?display=MHDGFTQY9&amp;reservation_id=31682937241801", "MHDGFTQY9")</f>
        <v>MHDGFTQY9</v>
      </c>
      <c r="B8142" t="s">
        <v>1154</v>
      </c>
      <c r="C8142">
        <v>199</v>
      </c>
      <c r="D8142">
        <v>216.32</v>
      </c>
      <c r="E8142">
        <v>216.31</v>
      </c>
      <c r="F8142">
        <v>0.01</v>
      </c>
    </row>
    <row r="8143" spans="1:6" x14ac:dyDescent="0.3">
      <c r="A8143" t="str">
        <f>HYPERLINK("https://us2.cloudbeds.com/connect/10074733072513#/reservations/31678835355790?display=MHAAM2PR6&amp;reservation_id=31678835355790", "MHAAM2PR6")</f>
        <v>MHAAM2PR6</v>
      </c>
      <c r="B8143" t="s">
        <v>1279</v>
      </c>
      <c r="C8143">
        <v>313.2</v>
      </c>
      <c r="D8143">
        <v>340.46</v>
      </c>
      <c r="E8143">
        <v>340.45</v>
      </c>
      <c r="F8143">
        <v>0.01</v>
      </c>
    </row>
    <row r="8144" spans="1:6" x14ac:dyDescent="0.3">
      <c r="A8144" t="str">
        <f>HYPERLINK("https://us2.cloudbeds.com/connect/10074733072513#/reservations/31679416631506?display=MHAPH7KWR&amp;reservation_id=31679416631506", "MHAPH7KWR")</f>
        <v>MHAPH7KWR</v>
      </c>
      <c r="B8144" t="s">
        <v>1187</v>
      </c>
      <c r="C8144">
        <v>149</v>
      </c>
      <c r="D8144">
        <v>161.97</v>
      </c>
      <c r="E8144">
        <v>161.96</v>
      </c>
      <c r="F8144">
        <v>0.01</v>
      </c>
    </row>
    <row r="8145" spans="1:6" x14ac:dyDescent="0.3">
      <c r="A8145" t="str">
        <f>HYPERLINK("https://us2.cloudbeds.com/connect/10074733072513#/reservations/31679559065742?display=MHAT5B2JQ&amp;reservation_id=31679559065742", "MHAT5B2JQ")</f>
        <v>MHAT5B2JQ</v>
      </c>
      <c r="B8145" t="s">
        <v>1222</v>
      </c>
      <c r="C8145">
        <v>109</v>
      </c>
      <c r="D8145">
        <v>118.49</v>
      </c>
      <c r="E8145">
        <v>118.48</v>
      </c>
      <c r="F8145">
        <v>0.01</v>
      </c>
    </row>
    <row r="8146" spans="1:6" x14ac:dyDescent="0.3">
      <c r="A8146" t="str">
        <f>HYPERLINK("https://us2.cloudbeds.com/connect/10074733072513#/reservations/31679557058803?display=MHAT3Y7MF&amp;reservation_id=31679557058803", "MHAT3Y7MF")</f>
        <v>MHAT3Y7MF</v>
      </c>
      <c r="B8146" t="s">
        <v>1222</v>
      </c>
      <c r="C8146">
        <v>109</v>
      </c>
      <c r="D8146">
        <v>118.49</v>
      </c>
      <c r="E8146">
        <v>118.48</v>
      </c>
      <c r="F8146">
        <v>0.01</v>
      </c>
    </row>
    <row r="8147" spans="1:6" x14ac:dyDescent="0.3">
      <c r="A8147" t="str">
        <f>HYPERLINK("https://us2.cloudbeds.com/connect/10074733072513#/reservations/31679553212668?display=MHAT0D6SU&amp;reservation_id=31679553212668", "MHAT0D6SU")</f>
        <v>MHAT0D6SU</v>
      </c>
      <c r="B8147" t="s">
        <v>1222</v>
      </c>
      <c r="C8147">
        <v>109</v>
      </c>
      <c r="D8147">
        <v>118.49</v>
      </c>
      <c r="E8147">
        <v>118.48</v>
      </c>
      <c r="F8147">
        <v>0.01</v>
      </c>
    </row>
    <row r="8148" spans="1:6" x14ac:dyDescent="0.3">
      <c r="A8148" t="str">
        <f>HYPERLINK("https://us2.cloudbeds.com/connect/10074733072513#/reservations/31677850919140?display=MH9XGWCJX&amp;reservation_id=31677850919140", "MH9XGWCJX")</f>
        <v>MH9XGWCJX</v>
      </c>
      <c r="B8148" t="s">
        <v>1281</v>
      </c>
      <c r="C8148">
        <v>89</v>
      </c>
      <c r="D8148">
        <v>96.75</v>
      </c>
      <c r="E8148">
        <v>96.74</v>
      </c>
      <c r="F8148">
        <v>0.01</v>
      </c>
    </row>
    <row r="8149" spans="1:6" x14ac:dyDescent="0.3">
      <c r="A8149" t="str">
        <f>HYPERLINK("https://us2.cloudbeds.com/connect/10074733072513#/reservations/31679551209638?display=MHASVNFX0&amp;reservation_id=31679551209638", "MHASVNFX0")</f>
        <v>MHASVNFX0</v>
      </c>
      <c r="B8149" t="s">
        <v>1222</v>
      </c>
      <c r="C8149">
        <v>109</v>
      </c>
      <c r="D8149">
        <v>118.49</v>
      </c>
      <c r="E8149">
        <v>118.48</v>
      </c>
      <c r="F8149">
        <v>0.01</v>
      </c>
    </row>
    <row r="8150" spans="1:6" x14ac:dyDescent="0.3">
      <c r="A8150" t="str">
        <f>HYPERLINK("https://us2.cloudbeds.com/connect/10074733072513#/reservations/31679580975298?display=MHATNQZXZ&amp;reservation_id=31679580975298", "MHATNQZXZ")</f>
        <v>MHATNQZXZ</v>
      </c>
      <c r="B8150" t="s">
        <v>1222</v>
      </c>
      <c r="C8150">
        <v>218</v>
      </c>
      <c r="D8150">
        <v>236.98</v>
      </c>
      <c r="E8150">
        <v>236.97</v>
      </c>
      <c r="F8150">
        <v>0.01</v>
      </c>
    </row>
    <row r="8151" spans="1:6" x14ac:dyDescent="0.3">
      <c r="A8151" t="str">
        <f>HYPERLINK("https://us2.cloudbeds.com/connect/10074733072513#/reservations/31685311668449?display=MHFB52Z1V&amp;reservation_id=31685311668449", "MHFB52Z1V")</f>
        <v>MHFB52Z1V</v>
      </c>
      <c r="B8151" t="s">
        <v>1242</v>
      </c>
      <c r="C8151">
        <v>258</v>
      </c>
      <c r="D8151">
        <v>280.45999999999998</v>
      </c>
      <c r="E8151">
        <v>280.45</v>
      </c>
      <c r="F8151">
        <v>0.01</v>
      </c>
    </row>
    <row r="8152" spans="1:6" x14ac:dyDescent="0.3">
      <c r="A8152" t="str">
        <f>HYPERLINK("https://us2.cloudbeds.com/connect/10074733072513#/reservations/31679559430344?display=MHAT5Y7DA&amp;reservation_id=31679559430344", "MHAT5Y7DA")</f>
        <v>MHAT5Y7DA</v>
      </c>
      <c r="B8152" t="s">
        <v>1222</v>
      </c>
      <c r="C8152">
        <v>109</v>
      </c>
      <c r="D8152">
        <v>118.49</v>
      </c>
      <c r="E8152">
        <v>118.48</v>
      </c>
      <c r="F8152">
        <v>0.01</v>
      </c>
    </row>
    <row r="8153" spans="1:6" x14ac:dyDescent="0.3">
      <c r="A8153" t="str">
        <f>HYPERLINK("https://us2.cloudbeds.com/connect/10074733072513#/reservations/31679785341087?display=MHB1V4H9E&amp;reservation_id=31679785341087", "MHB1V4H9E")</f>
        <v>MHB1V4H9E</v>
      </c>
      <c r="B8153" t="s">
        <v>1244</v>
      </c>
      <c r="C8153">
        <v>378</v>
      </c>
      <c r="D8153">
        <v>410.9</v>
      </c>
      <c r="E8153">
        <v>410.89</v>
      </c>
      <c r="F8153">
        <v>0.01</v>
      </c>
    </row>
    <row r="8154" spans="1:6" x14ac:dyDescent="0.3">
      <c r="A8154" t="str">
        <f>HYPERLINK("https://us2.cloudbeds.com/connect/10074733072513#/reservations/31677081694365?display=MH8VSBXZS&amp;reservation_id=31677081694365", "MH8VSBXZS")</f>
        <v>MH8VSBXZS</v>
      </c>
      <c r="B8154" t="s">
        <v>1086</v>
      </c>
      <c r="C8154">
        <v>159</v>
      </c>
      <c r="D8154">
        <v>172.84</v>
      </c>
      <c r="E8154">
        <v>172.83</v>
      </c>
      <c r="F8154">
        <v>0.01</v>
      </c>
    </row>
    <row r="8155" spans="1:6" x14ac:dyDescent="0.3">
      <c r="A8155" t="str">
        <f>HYPERLINK("https://us2.cloudbeds.com/connect/10074733072513#/reservations/31679803658456?display=MHB2DJ7Y7&amp;reservation_id=31679803658456", "MHB2DJ7Y7")</f>
        <v>MHB2DJ7Y7</v>
      </c>
      <c r="B8155" t="s">
        <v>1244</v>
      </c>
      <c r="C8155">
        <v>378</v>
      </c>
      <c r="D8155">
        <v>410.9</v>
      </c>
      <c r="E8155">
        <v>410.89</v>
      </c>
      <c r="F8155">
        <v>0.01</v>
      </c>
    </row>
    <row r="8156" spans="1:6" x14ac:dyDescent="0.3">
      <c r="A8156" t="str">
        <f>HYPERLINK("https://us2.cloudbeds.com/connect/10074733072513#/reservations/31682580308101?display=MHD7BUJRX&amp;reservation_id=31682580308101", "MHD7BUJRX")</f>
        <v>MHD7BUJRX</v>
      </c>
      <c r="B8156" t="s">
        <v>1072</v>
      </c>
      <c r="C8156">
        <v>229</v>
      </c>
      <c r="D8156">
        <v>248.93</v>
      </c>
      <c r="E8156">
        <v>248.92</v>
      </c>
      <c r="F8156">
        <v>0.01</v>
      </c>
    </row>
    <row r="8157" spans="1:6" x14ac:dyDescent="0.3">
      <c r="A8157" t="str">
        <f>HYPERLINK("https://us2.cloudbeds.com/connect/10074733072513#/reservations/31683433795737?display=MHDT5K518&amp;reservation_id=31683433795737", "MHDT5K518")</f>
        <v>MHDT5K518</v>
      </c>
      <c r="B8157" t="s">
        <v>1242</v>
      </c>
      <c r="C8157">
        <v>258</v>
      </c>
      <c r="D8157">
        <v>280.45999999999998</v>
      </c>
      <c r="E8157">
        <v>280.45</v>
      </c>
      <c r="F8157">
        <v>0.01</v>
      </c>
    </row>
    <row r="8158" spans="1:6" x14ac:dyDescent="0.3">
      <c r="A8158" t="str">
        <f>HYPERLINK("https://us2.cloudbeds.com/connect/10074733072513#/reservations/31677630091481?display=MH9CSPHCA&amp;reservation_id=31677630091481", "MH9CSPHCA")</f>
        <v>MH9CSPHCA</v>
      </c>
      <c r="B8158" t="s">
        <v>1281</v>
      </c>
      <c r="C8158">
        <v>119</v>
      </c>
      <c r="D8158">
        <v>129.36000000000001</v>
      </c>
      <c r="E8158">
        <v>129.35</v>
      </c>
      <c r="F8158">
        <v>0.01</v>
      </c>
    </row>
    <row r="8159" spans="1:6" x14ac:dyDescent="0.3">
      <c r="A8159" t="str">
        <f>HYPERLINK("https://us2.cloudbeds.com/connect/10074733072513#/reservations/31677299302619?display=MH94DRRMD&amp;reservation_id=31677299302619", "MH94DRRMD")</f>
        <v>MH94DRRMD</v>
      </c>
      <c r="B8159" t="s">
        <v>1281</v>
      </c>
      <c r="C8159">
        <v>169</v>
      </c>
      <c r="D8159">
        <v>183.71</v>
      </c>
      <c r="E8159">
        <v>183.7</v>
      </c>
      <c r="F8159">
        <v>0.01</v>
      </c>
    </row>
    <row r="8160" spans="1:6" x14ac:dyDescent="0.3">
      <c r="A8160" t="str">
        <f>HYPERLINK("https://us2.cloudbeds.com/connect/10074733072513#/reservations/31677882020031?display=MH9JA6QMJ&amp;reservation_id=31677882020031", "MH9JA6QMJ")</f>
        <v>MH9JA6QMJ</v>
      </c>
      <c r="B8160" t="s">
        <v>1281</v>
      </c>
      <c r="C8160">
        <v>73</v>
      </c>
      <c r="D8160">
        <v>79.36</v>
      </c>
      <c r="E8160">
        <v>79.349999999999994</v>
      </c>
      <c r="F8160">
        <v>0.01</v>
      </c>
    </row>
    <row r="8161" spans="1:6" x14ac:dyDescent="0.3">
      <c r="A8161" t="str">
        <f>HYPERLINK("https://us2.cloudbeds.com/connect/10074733072513#/reservations/31680807837907?display=MHBS2B05X&amp;reservation_id=31680807837907", "MHBS2B05X")</f>
        <v>MHBS2B05X</v>
      </c>
      <c r="B8161" t="s">
        <v>1222</v>
      </c>
      <c r="C8161">
        <v>73</v>
      </c>
      <c r="D8161">
        <v>79.36</v>
      </c>
      <c r="E8161">
        <v>79.349999999999994</v>
      </c>
      <c r="F8161">
        <v>0.01</v>
      </c>
    </row>
    <row r="8162" spans="1:6" x14ac:dyDescent="0.3">
      <c r="A8162" t="str">
        <f>HYPERLINK("https://us2.cloudbeds.com/connect/10074733072513#/reservations/31678226022528?display=MH9S392EN&amp;reservation_id=31678226022528", "MH9S392EN")</f>
        <v>MH9S392EN</v>
      </c>
      <c r="B8162" t="s">
        <v>1255</v>
      </c>
      <c r="C8162">
        <v>139</v>
      </c>
      <c r="D8162">
        <v>151.1</v>
      </c>
      <c r="E8162">
        <v>151.09</v>
      </c>
      <c r="F8162">
        <v>0.01</v>
      </c>
    </row>
    <row r="8163" spans="1:6" x14ac:dyDescent="0.3">
      <c r="A8163" t="str">
        <f>HYPERLINK("https://us2.cloudbeds.com/connect/10074733072513#/reservations/31677318381710?display=MH94TUZGM&amp;reservation_id=31677318381710", "MH94TUZGM")</f>
        <v>MH94TUZGM</v>
      </c>
      <c r="B8163" t="s">
        <v>1281</v>
      </c>
      <c r="C8163">
        <v>73</v>
      </c>
      <c r="D8163">
        <v>79.36</v>
      </c>
      <c r="E8163">
        <v>79.349999999999994</v>
      </c>
      <c r="F8163">
        <v>0.01</v>
      </c>
    </row>
    <row r="8164" spans="1:6" x14ac:dyDescent="0.3">
      <c r="A8164" t="str">
        <f>HYPERLINK("https://us2.cloudbeds.com/connect/10074733072513#/reservations/31678493868242?display=MHA1V4CQJ&amp;reservation_id=31678493868242", "MHA1V4CQJ")</f>
        <v>MHA1V4CQJ</v>
      </c>
      <c r="B8164" t="s">
        <v>1072</v>
      </c>
      <c r="C8164">
        <v>219</v>
      </c>
      <c r="D8164">
        <v>238.06</v>
      </c>
      <c r="E8164">
        <v>238.05</v>
      </c>
      <c r="F8164">
        <v>0.01</v>
      </c>
    </row>
    <row r="8165" spans="1:6" x14ac:dyDescent="0.3">
      <c r="A8165" t="str">
        <f>HYPERLINK("https://us2.cloudbeds.com/connect/10074733072513#/reservations/31679235502254?display=MHAKTGEPK&amp;reservation_id=31679235502254", "MHAKTGEPK")</f>
        <v>MHAKTGEPK</v>
      </c>
      <c r="B8165" t="s">
        <v>1282</v>
      </c>
      <c r="C8165">
        <v>204.77</v>
      </c>
      <c r="D8165">
        <v>222.59</v>
      </c>
      <c r="E8165">
        <v>222.58</v>
      </c>
      <c r="F8165">
        <v>0.01</v>
      </c>
    </row>
    <row r="8166" spans="1:6" x14ac:dyDescent="0.3">
      <c r="A8166" t="str">
        <f>HYPERLINK("https://us2.cloudbeds.com/connect/10074733072513#/reservations/31682454122696?display=MHD44HA3D&amp;reservation_id=31682454122696", "MHD44HA3D")</f>
        <v>MHD44HA3D</v>
      </c>
      <c r="B8166" t="s">
        <v>1174</v>
      </c>
      <c r="C8166">
        <v>218</v>
      </c>
      <c r="D8166">
        <v>236.98</v>
      </c>
      <c r="E8166">
        <v>236.97</v>
      </c>
      <c r="F8166">
        <v>0.01</v>
      </c>
    </row>
    <row r="8167" spans="1:6" x14ac:dyDescent="0.3">
      <c r="A8167" t="str">
        <f>HYPERLINK("https://us2.cloudbeds.com/connect/10074733072513#/reservations/31677085671604?display=MH8VVN7V8&amp;reservation_id=31677085671604", "MH8VVN7V8")</f>
        <v>MH8VVN7V8</v>
      </c>
      <c r="B8167" t="s">
        <v>1086</v>
      </c>
      <c r="C8167">
        <v>139</v>
      </c>
      <c r="D8167">
        <v>151.1</v>
      </c>
      <c r="E8167">
        <v>151.09</v>
      </c>
      <c r="F8167">
        <v>0.01</v>
      </c>
    </row>
    <row r="8168" spans="1:6" x14ac:dyDescent="0.3">
      <c r="A8168" t="str">
        <f>HYPERLINK("https://us2.cloudbeds.com/connect/10074733072513#/reservations/31677275365627?display=MH93QYZVW&amp;reservation_id=31677275365627", "MH93QYZVW")</f>
        <v>MH93QYZVW</v>
      </c>
      <c r="B8168" t="s">
        <v>1281</v>
      </c>
      <c r="C8168">
        <v>89</v>
      </c>
      <c r="D8168">
        <v>96.75</v>
      </c>
      <c r="E8168">
        <v>96.74</v>
      </c>
      <c r="F8168">
        <v>0.01</v>
      </c>
    </row>
    <row r="8169" spans="1:6" x14ac:dyDescent="0.3">
      <c r="A8169" t="str">
        <f>HYPERLINK("https://us2.cloudbeds.com/connect/10074733072513#/reservations/31677864706248?display=MH9XSK0UN&amp;reservation_id=31677864706248", "MH9XSK0UN")</f>
        <v>MH9XSK0UN</v>
      </c>
      <c r="B8169" t="s">
        <v>1281</v>
      </c>
      <c r="C8169">
        <v>87.84</v>
      </c>
      <c r="D8169">
        <v>95.49</v>
      </c>
      <c r="E8169">
        <v>95.48</v>
      </c>
      <c r="F8169">
        <v>0.01</v>
      </c>
    </row>
    <row r="8170" spans="1:6" x14ac:dyDescent="0.3">
      <c r="A8170" t="str">
        <f>HYPERLINK("https://us2.cloudbeds.com/connect/10074733072513#/reservations/31679290867946?display=MHAMA62KS&amp;reservation_id=31679290867946", "MHAMA62KS")</f>
        <v>MHAMA62KS</v>
      </c>
      <c r="B8170" t="s">
        <v>1282</v>
      </c>
      <c r="C8170">
        <v>87.84</v>
      </c>
      <c r="D8170">
        <v>95.49</v>
      </c>
      <c r="E8170">
        <v>95.48</v>
      </c>
      <c r="F8170">
        <v>0.01</v>
      </c>
    </row>
    <row r="8171" spans="1:6" x14ac:dyDescent="0.3">
      <c r="A8171" t="str">
        <f>HYPERLINK("https://us2.cloudbeds.com/connect/10074733072513#/reservations/31678787969165?display=MHA9F45US&amp;reservation_id=31678787969165", "MHA9F45US")</f>
        <v>MHA9F45US</v>
      </c>
      <c r="B8171" t="s">
        <v>1076</v>
      </c>
      <c r="C8171">
        <v>209</v>
      </c>
      <c r="D8171">
        <v>227.19</v>
      </c>
      <c r="E8171">
        <v>227.18</v>
      </c>
      <c r="F8171">
        <v>0.01</v>
      </c>
    </row>
    <row r="8172" spans="1:6" x14ac:dyDescent="0.3">
      <c r="A8172" t="str">
        <f>HYPERLINK("https://us2.cloudbeds.com/connect/10074733072513#/reservations/31679280611476?display=MHAM1HMCZ&amp;reservation_id=31679280611476", "MHAM1HMCZ")</f>
        <v>MHAM1HMCZ</v>
      </c>
      <c r="B8172" t="s">
        <v>1282</v>
      </c>
      <c r="C8172">
        <v>97.74</v>
      </c>
      <c r="D8172">
        <v>106.25</v>
      </c>
      <c r="E8172">
        <v>106.24</v>
      </c>
      <c r="F8172">
        <v>0.01</v>
      </c>
    </row>
    <row r="8173" spans="1:6" x14ac:dyDescent="0.3">
      <c r="A8173" t="str">
        <f>HYPERLINK("https://us2.cloudbeds.com/connect/10074733072513#/reservations/31679260876963?display=MHAYHTHN6&amp;reservation_id=31679260876963", "MHAYHTHN6")</f>
        <v>MHAYHTHN6</v>
      </c>
      <c r="B8173" t="s">
        <v>1282</v>
      </c>
      <c r="C8173">
        <v>87.84</v>
      </c>
      <c r="D8173">
        <v>95.49</v>
      </c>
      <c r="E8173">
        <v>95.48</v>
      </c>
      <c r="F8173">
        <v>0.01</v>
      </c>
    </row>
    <row r="8174" spans="1:6" x14ac:dyDescent="0.3">
      <c r="A8174" t="str">
        <f>HYPERLINK("https://us2.cloudbeds.com/connect/10074733072513#/reservations/31678984265955?display=MHAEFYE3E&amp;reservation_id=31678984265955", "MHAEFYE3E")</f>
        <v>MHAEFYE3E</v>
      </c>
      <c r="B8174" t="s">
        <v>1282</v>
      </c>
      <c r="C8174">
        <v>139</v>
      </c>
      <c r="D8174">
        <v>151.1</v>
      </c>
      <c r="E8174">
        <v>151.09</v>
      </c>
      <c r="F8174">
        <v>0.01</v>
      </c>
    </row>
    <row r="8175" spans="1:6" x14ac:dyDescent="0.3">
      <c r="A8175" t="str">
        <f>HYPERLINK("https://us2.cloudbeds.com/connect/10074733072513#/reservations/31681293095122?display=MHC7FH02Y&amp;reservation_id=31681293095122", "MHC7FH02Y")</f>
        <v>MHC7FH02Y</v>
      </c>
      <c r="B8175" t="s">
        <v>1244</v>
      </c>
      <c r="C8175">
        <v>398</v>
      </c>
      <c r="D8175">
        <v>432.64</v>
      </c>
      <c r="E8175">
        <v>432.63</v>
      </c>
      <c r="F8175">
        <v>0.01</v>
      </c>
    </row>
    <row r="8176" spans="1:6" x14ac:dyDescent="0.3">
      <c r="A8176" t="str">
        <f>HYPERLINK("https://us2.cloudbeds.com/connect/10074733072513#/reservations/31680600195290?display=MHBMP81E1&amp;reservation_id=31680600195290", "MHBMP81E1")</f>
        <v>MHBMP81E1</v>
      </c>
      <c r="B8176" t="s">
        <v>1187</v>
      </c>
      <c r="C8176">
        <v>298</v>
      </c>
      <c r="D8176">
        <v>323.94</v>
      </c>
      <c r="E8176">
        <v>323.93</v>
      </c>
      <c r="F8176">
        <v>0.01</v>
      </c>
    </row>
    <row r="8177" spans="1:6" x14ac:dyDescent="0.3">
      <c r="A8177" t="str">
        <f>HYPERLINK("https://us2.cloudbeds.com/connect/10074733072513#/reservations/31680643145927?display=MHBNSF6SG&amp;reservation_id=31680643145927", "MHBNSF6SG")</f>
        <v>MHBNSF6SG</v>
      </c>
      <c r="B8177" t="s">
        <v>1282</v>
      </c>
      <c r="C8177">
        <v>149</v>
      </c>
      <c r="D8177">
        <v>161.97</v>
      </c>
      <c r="E8177">
        <v>161.96</v>
      </c>
      <c r="F8177">
        <v>0.01</v>
      </c>
    </row>
    <row r="8178" spans="1:6" x14ac:dyDescent="0.3">
      <c r="A8178" t="str">
        <f>HYPERLINK("https://us2.cloudbeds.com/connect/10074733072513#/reservations/31677915680975?display=MH9K5JFMD&amp;reservation_id=31677915680975", "MH9K5JFMD")</f>
        <v>MH9K5JFMD</v>
      </c>
      <c r="B8178" t="s">
        <v>1281</v>
      </c>
      <c r="C8178">
        <v>149</v>
      </c>
      <c r="D8178">
        <v>161.97</v>
      </c>
      <c r="E8178">
        <v>161.96</v>
      </c>
      <c r="F8178">
        <v>0.01</v>
      </c>
    </row>
    <row r="8179" spans="1:6" x14ac:dyDescent="0.3">
      <c r="A8179" t="str">
        <f>HYPERLINK("https://us2.cloudbeds.com/connect/10074733072513#/reservations/31678872862967?display=MHABKNFMA&amp;reservation_id=31678872862967", "MHABKNFMA")</f>
        <v>MHABKNFMA</v>
      </c>
      <c r="B8179" t="s">
        <v>1279</v>
      </c>
      <c r="C8179">
        <v>313.2</v>
      </c>
      <c r="D8179">
        <v>340.46</v>
      </c>
      <c r="E8179">
        <v>340.45</v>
      </c>
      <c r="F8179">
        <v>0.01</v>
      </c>
    </row>
    <row r="8180" spans="1:6" x14ac:dyDescent="0.3">
      <c r="A8180" t="str">
        <f>HYPERLINK("https://us2.cloudbeds.com/connect/10074733072513#/reservations/31678431367387?display=MHA0BE6UB&amp;reservation_id=31678431367387", "MHA0BE6UB")</f>
        <v>MHA0BE6UB</v>
      </c>
      <c r="B8180" t="s">
        <v>1255</v>
      </c>
      <c r="C8180">
        <v>278</v>
      </c>
      <c r="D8180">
        <v>302.2</v>
      </c>
      <c r="E8180">
        <v>302.19</v>
      </c>
      <c r="F8180">
        <v>0.01</v>
      </c>
    </row>
    <row r="8181" spans="1:6" x14ac:dyDescent="0.3">
      <c r="A8181" t="str">
        <f>HYPERLINK("https://us2.cloudbeds.com/connect/10074733072513#/reservations/31677342834841?display=MH95HX65Y&amp;reservation_id=31677342834841", "MH95HX65Y")</f>
        <v>MH95HX65Y</v>
      </c>
      <c r="B8181" t="s">
        <v>1271</v>
      </c>
      <c r="C8181">
        <v>87.84</v>
      </c>
      <c r="D8181">
        <v>95.49</v>
      </c>
      <c r="E8181">
        <v>95.48</v>
      </c>
      <c r="F8181">
        <v>0.01</v>
      </c>
    </row>
    <row r="8182" spans="1:6" x14ac:dyDescent="0.3">
      <c r="A8182" t="str">
        <f>HYPERLINK("https://us2.cloudbeds.com/connect/10074733072513#/reservations/31679526883562?display=MHASB6XX7&amp;reservation_id=31679526883562", "MHASB6XX7")</f>
        <v>MHASB6XX7</v>
      </c>
      <c r="B8182" t="s">
        <v>878</v>
      </c>
      <c r="C8182">
        <v>209</v>
      </c>
      <c r="D8182">
        <v>227.19</v>
      </c>
      <c r="E8182">
        <v>227.18</v>
      </c>
      <c r="F8182">
        <v>0.01</v>
      </c>
    </row>
    <row r="8183" spans="1:6" x14ac:dyDescent="0.3">
      <c r="A8183" t="str">
        <f>HYPERLINK("https://us2.cloudbeds.com/connect/10074733072513#/reservations/31679608053963?display=MHAUDY86B&amp;reservation_id=31679608053963", "MHAUDY86B")</f>
        <v>MHAUDY86B</v>
      </c>
      <c r="B8183" t="s">
        <v>1222</v>
      </c>
      <c r="C8183">
        <v>89</v>
      </c>
      <c r="D8183">
        <v>96.75</v>
      </c>
      <c r="E8183">
        <v>96.74</v>
      </c>
      <c r="F8183">
        <v>0.01</v>
      </c>
    </row>
    <row r="8184" spans="1:6" x14ac:dyDescent="0.3">
      <c r="A8184" t="str">
        <f>HYPERLINK("https://us2.cloudbeds.com/connect/10074733072513#/reservations/31679000424668?display=MHAET927D&amp;reservation_id=31679000424668", "MHAET927D")</f>
        <v>MHAET927D</v>
      </c>
      <c r="B8184" t="s">
        <v>1282</v>
      </c>
      <c r="C8184">
        <v>73</v>
      </c>
      <c r="D8184">
        <v>79.36</v>
      </c>
      <c r="E8184">
        <v>79.349999999999994</v>
      </c>
      <c r="F8184">
        <v>0.01</v>
      </c>
    </row>
    <row r="8185" spans="1:6" x14ac:dyDescent="0.3">
      <c r="A8185" t="str">
        <f>HYPERLINK("https://us2.cloudbeds.com/connect/10074733072513#/reservations/31678976536715?display=MHAE94BX1&amp;reservation_id=31678976536715", "MHAE94BX1")</f>
        <v>MHAE94BX1</v>
      </c>
      <c r="B8185" t="s">
        <v>1282</v>
      </c>
      <c r="C8185">
        <v>73</v>
      </c>
      <c r="D8185">
        <v>79.36</v>
      </c>
      <c r="E8185">
        <v>79.349999999999994</v>
      </c>
      <c r="F8185">
        <v>0.01</v>
      </c>
    </row>
    <row r="8186" spans="1:6" x14ac:dyDescent="0.3">
      <c r="A8186" t="str">
        <f>HYPERLINK("https://us2.cloudbeds.com/connect/10074733072513#/reservations/31679007641783?display=MHAF2BTGS&amp;reservation_id=31679007641783", "MHAF2BTGS")</f>
        <v>MHAF2BTGS</v>
      </c>
      <c r="B8186" t="s">
        <v>1282</v>
      </c>
      <c r="C8186">
        <v>149</v>
      </c>
      <c r="D8186">
        <v>161.97</v>
      </c>
      <c r="E8186">
        <v>161.96</v>
      </c>
      <c r="F8186">
        <v>0.01</v>
      </c>
    </row>
    <row r="8187" spans="1:6" x14ac:dyDescent="0.3">
      <c r="A8187" t="str">
        <f>HYPERLINK("https://us2.cloudbeds.com/connect/10074733072513#/reservations/31677559529691?display=MH9B291B8&amp;reservation_id=31677559529691", "MH9B291B8")</f>
        <v>MH9B291B8</v>
      </c>
      <c r="B8187" t="s">
        <v>1276</v>
      </c>
      <c r="C8187">
        <v>73</v>
      </c>
      <c r="D8187">
        <v>79.36</v>
      </c>
      <c r="E8187">
        <v>79.349999999999994</v>
      </c>
      <c r="F8187">
        <v>0.01</v>
      </c>
    </row>
    <row r="8188" spans="1:6" x14ac:dyDescent="0.3">
      <c r="A8188" t="str">
        <f>HYPERLINK("https://us2.cloudbeds.com/connect/10074733072513#/reservations/31678932824209?display=MHAD58WGY&amp;reservation_id=31678932824209", "MHAD58WGY")</f>
        <v>MHAD58WGY</v>
      </c>
      <c r="B8188" t="s">
        <v>1079</v>
      </c>
      <c r="C8188">
        <v>418</v>
      </c>
      <c r="D8188">
        <v>454.38</v>
      </c>
      <c r="E8188">
        <v>454.37</v>
      </c>
      <c r="F8188">
        <v>0.01</v>
      </c>
    </row>
    <row r="8189" spans="1:6" x14ac:dyDescent="0.3">
      <c r="A8189" t="str">
        <f>HYPERLINK("https://us2.cloudbeds.com/connect/10074733072513#/reservations/31680649261212?display=MHBZ0KCC5&amp;reservation_id=31680649261212", "MHBZ0KCC5")</f>
        <v>MHBZ0KCC5</v>
      </c>
      <c r="B8189" t="s">
        <v>1222</v>
      </c>
      <c r="C8189">
        <v>189</v>
      </c>
      <c r="D8189">
        <v>205.45</v>
      </c>
      <c r="E8189">
        <v>205.44</v>
      </c>
      <c r="F8189">
        <v>0.01</v>
      </c>
    </row>
    <row r="8190" spans="1:6" x14ac:dyDescent="0.3">
      <c r="A8190" t="str">
        <f>HYPERLINK("https://us2.cloudbeds.com/connect/10074733072513#/reservations/31680700461219?display=MHBPAQ2WH&amp;reservation_id=31680700461219", "MHBPAQ2WH")</f>
        <v>MHBPAQ2WH</v>
      </c>
      <c r="B8190" t="s">
        <v>1072</v>
      </c>
      <c r="C8190">
        <v>358</v>
      </c>
      <c r="D8190">
        <v>389.16</v>
      </c>
      <c r="E8190">
        <v>389.15</v>
      </c>
      <c r="F8190">
        <v>0.01</v>
      </c>
    </row>
    <row r="8191" spans="1:6" x14ac:dyDescent="0.3">
      <c r="A8191" t="str">
        <f>HYPERLINK("https://us2.cloudbeds.com/connect/10074733072513#/reservations/31680733708435?display=MHBQ5R80U&amp;reservation_id=31680733708435", "MHBQ5R80U")</f>
        <v>MHBQ5R80U</v>
      </c>
      <c r="B8191" t="s">
        <v>1222</v>
      </c>
      <c r="C8191">
        <v>179</v>
      </c>
      <c r="D8191">
        <v>194.58</v>
      </c>
      <c r="E8191">
        <v>194.57</v>
      </c>
      <c r="F8191">
        <v>0.01</v>
      </c>
    </row>
    <row r="8192" spans="1:6" x14ac:dyDescent="0.3">
      <c r="A8192" t="str">
        <f>HYPERLINK("https://us2.cloudbeds.com/connect/10074733072513#/reservations/31680743018727?display=MHBQDMADW&amp;reservation_id=31680743018727", "MHBQDMADW")</f>
        <v>MHBQDMADW</v>
      </c>
      <c r="B8192" t="s">
        <v>1222</v>
      </c>
      <c r="C8192">
        <v>106.8</v>
      </c>
      <c r="D8192">
        <v>116.1</v>
      </c>
      <c r="E8192">
        <v>116.09</v>
      </c>
      <c r="F8192">
        <v>0.01</v>
      </c>
    </row>
    <row r="8193" spans="1:6" x14ac:dyDescent="0.3">
      <c r="A8193" t="str">
        <f>HYPERLINK("https://us2.cloudbeds.com/connect/10074733072513#/reservations/31680752443581?display=MHBQYKJ0K&amp;reservation_id=31680752443581", "MHBQYKJ0K")</f>
        <v>MHBQYKJ0K</v>
      </c>
      <c r="B8193" t="s">
        <v>1222</v>
      </c>
      <c r="C8193">
        <v>169</v>
      </c>
      <c r="D8193">
        <v>183.71</v>
      </c>
      <c r="E8193">
        <v>183.7</v>
      </c>
      <c r="F8193">
        <v>0.01</v>
      </c>
    </row>
    <row r="8194" spans="1:6" x14ac:dyDescent="0.3">
      <c r="A8194" t="str">
        <f>HYPERLINK("https://us2.cloudbeds.com/connect/10074733072513#/reservations/31681152659682?display=MHC3T35U8&amp;reservation_id=31681152659682", "MHC3T35U8")</f>
        <v>MHC3T35U8</v>
      </c>
      <c r="B8194" t="s">
        <v>1136</v>
      </c>
      <c r="C8194">
        <v>159</v>
      </c>
      <c r="D8194">
        <v>172.84</v>
      </c>
      <c r="E8194">
        <v>172.83</v>
      </c>
      <c r="F8194">
        <v>0.01</v>
      </c>
    </row>
    <row r="8195" spans="1:6" x14ac:dyDescent="0.3">
      <c r="A8195" t="str">
        <f>HYPERLINK("https://us2.cloudbeds.com/connect/10074733072513#/reservations/31679580979400?display=MHATNQSB1&amp;reservation_id=31679580979400", "MHATNQSB1")</f>
        <v>MHATNQSB1</v>
      </c>
      <c r="B8195" t="s">
        <v>1087</v>
      </c>
      <c r="C8195">
        <v>295.8</v>
      </c>
      <c r="D8195">
        <v>321.54000000000002</v>
      </c>
      <c r="E8195">
        <v>321.52999999999997</v>
      </c>
      <c r="F8195">
        <v>0.01</v>
      </c>
    </row>
    <row r="8196" spans="1:6" x14ac:dyDescent="0.3">
      <c r="A8196" t="str">
        <f>HYPERLINK("https://us2.cloudbeds.com/connect/10074733072513#/reservations/31684456943748?display=MHEMABZTE&amp;reservation_id=31684456943748", "MHEMABZTE")</f>
        <v>MHEMABZTE</v>
      </c>
      <c r="B8196" t="s">
        <v>1214</v>
      </c>
      <c r="C8196">
        <v>238</v>
      </c>
      <c r="D8196">
        <v>258.72000000000003</v>
      </c>
      <c r="E8196">
        <v>258.70999999999998</v>
      </c>
      <c r="F8196">
        <v>0.01</v>
      </c>
    </row>
    <row r="8197" spans="1:6" x14ac:dyDescent="0.3">
      <c r="A8197" t="str">
        <f>HYPERLINK("https://us2.cloudbeds.com/connect/10074733072513#/reservations/31682836385928?display=MHDDTSBBN&amp;reservation_id=31682836385928", "MHDDTSBBN")</f>
        <v>MHDDTSBBN</v>
      </c>
      <c r="B8197" t="s">
        <v>1079</v>
      </c>
      <c r="C8197">
        <v>298</v>
      </c>
      <c r="D8197">
        <v>323.94</v>
      </c>
      <c r="E8197">
        <v>323.93</v>
      </c>
      <c r="F8197">
        <v>0.01</v>
      </c>
    </row>
    <row r="8198" spans="1:6" x14ac:dyDescent="0.3">
      <c r="A8198" t="str">
        <f>HYPERLINK("https://us2.cloudbeds.com/connect/10074733072513#/reservations/31679512117378?display=MHARVZM52&amp;reservation_id=31679512117378", "MHARVZM52")</f>
        <v>MHARVZM52</v>
      </c>
      <c r="B8198" t="s">
        <v>878</v>
      </c>
      <c r="C8198">
        <v>209</v>
      </c>
      <c r="D8198">
        <v>227.19</v>
      </c>
      <c r="E8198">
        <v>227.18</v>
      </c>
      <c r="F8198">
        <v>0.01</v>
      </c>
    </row>
    <row r="8199" spans="1:6" x14ac:dyDescent="0.3">
      <c r="A8199" t="str">
        <f>HYPERLINK("https://us2.cloudbeds.com/connect/10074733072513#/reservations/31679861481663?display=MHB3TB85K&amp;reservation_id=31679861481663", "MHB3TB85K")</f>
        <v>MHB3TB85K</v>
      </c>
      <c r="B8199" t="s">
        <v>1137</v>
      </c>
      <c r="C8199">
        <v>209</v>
      </c>
      <c r="D8199">
        <v>227.19</v>
      </c>
      <c r="E8199">
        <v>227.18</v>
      </c>
      <c r="F8199">
        <v>0.01</v>
      </c>
    </row>
    <row r="8200" spans="1:6" x14ac:dyDescent="0.3">
      <c r="A8200" t="str">
        <f>HYPERLINK("https://us2.cloudbeds.com/connect/10074733072513#/reservations/31679490085007?display=MHARD5JDG&amp;reservation_id=31679490085007", "MHARD5JDG")</f>
        <v>MHARD5JDG</v>
      </c>
      <c r="B8200" t="s">
        <v>878</v>
      </c>
      <c r="C8200">
        <v>209</v>
      </c>
      <c r="D8200">
        <v>227.19</v>
      </c>
      <c r="E8200">
        <v>227.18</v>
      </c>
      <c r="F8200">
        <v>0.01</v>
      </c>
    </row>
    <row r="8201" spans="1:6" x14ac:dyDescent="0.3">
      <c r="A8201" t="str">
        <f>HYPERLINK("https://us2.cloudbeds.com/connect/10074733072513#/reservations/31679637090441?display=MHAV547KK&amp;reservation_id=31679637090441", "MHAV547KK")</f>
        <v>MHAV547KK</v>
      </c>
      <c r="B8201" t="s">
        <v>1276</v>
      </c>
      <c r="C8201">
        <v>139</v>
      </c>
      <c r="D8201">
        <v>151.1</v>
      </c>
      <c r="E8201">
        <v>151.09</v>
      </c>
      <c r="F8201">
        <v>0.01</v>
      </c>
    </row>
    <row r="8202" spans="1:6" x14ac:dyDescent="0.3">
      <c r="A8202" t="str">
        <f>HYPERLINK("https://us2.cloudbeds.com/connect/10074733072513#/reservations/31681038778593?display=MHC0W28U5&amp;reservation_id=31681038778593", "MHC0W28U5")</f>
        <v>MHC0W28U5</v>
      </c>
      <c r="B8202" t="s">
        <v>1087</v>
      </c>
      <c r="C8202">
        <v>87.84</v>
      </c>
      <c r="D8202">
        <v>95.49</v>
      </c>
      <c r="E8202">
        <v>95.48</v>
      </c>
      <c r="F8202">
        <v>0.01</v>
      </c>
    </row>
    <row r="8203" spans="1:6" x14ac:dyDescent="0.3">
      <c r="A8203" t="str">
        <f>HYPERLINK("https://us2.cloudbeds.com/connect/10074733072513#/reservations/31677712810150?display=MH9EWH9ZY&amp;reservation_id=31677712810150", "MH9EWH9ZY")</f>
        <v>MH9EWH9ZY</v>
      </c>
      <c r="B8203" t="s">
        <v>1263</v>
      </c>
      <c r="C8203">
        <v>209</v>
      </c>
      <c r="D8203">
        <v>227.19</v>
      </c>
      <c r="E8203">
        <v>227.18</v>
      </c>
      <c r="F8203">
        <v>0.01</v>
      </c>
    </row>
    <row r="8204" spans="1:6" x14ac:dyDescent="0.3">
      <c r="A8204" t="str">
        <f>HYPERLINK("https://us2.cloudbeds.com/connect/10074733072513#/reservations/31680524554441?display=MHBKRF7E3&amp;reservation_id=31680524554441", "MHBKRF7E3")</f>
        <v>MHBKRF7E3</v>
      </c>
      <c r="B8204" t="s">
        <v>1173</v>
      </c>
      <c r="C8204">
        <v>696</v>
      </c>
      <c r="D8204">
        <v>756.56</v>
      </c>
      <c r="E8204">
        <v>756.55</v>
      </c>
      <c r="F8204">
        <v>0.01</v>
      </c>
    </row>
    <row r="8205" spans="1:6" x14ac:dyDescent="0.3">
      <c r="A8205" t="str">
        <f>HYPERLINK("https://us2.cloudbeds.com/connect/10074733072513#/reservations/31679397351580?display=MHAP0W4ZY&amp;reservation_id=31679397351580", "MHAP0W4ZY")</f>
        <v>MHAP0W4ZY</v>
      </c>
      <c r="B8205" t="s">
        <v>1187</v>
      </c>
      <c r="C8205">
        <v>149</v>
      </c>
      <c r="D8205">
        <v>161.97</v>
      </c>
      <c r="E8205">
        <v>161.96</v>
      </c>
      <c r="F8205">
        <v>0.01</v>
      </c>
    </row>
    <row r="8206" spans="1:6" x14ac:dyDescent="0.3">
      <c r="A8206" t="str">
        <f>HYPERLINK("https://us2.cloudbeds.com/connect/10074733072513#/reservations/31688843014336?display=MHX1VTYBD&amp;reservation_id=31688843014336", "MHX1VTYBD")</f>
        <v>MHX1VTYBD</v>
      </c>
      <c r="B8206" t="s">
        <v>974</v>
      </c>
      <c r="C8206">
        <v>338</v>
      </c>
      <c r="D8206">
        <v>367.42</v>
      </c>
      <c r="E8206">
        <v>367.41</v>
      </c>
      <c r="F8206">
        <v>0.01</v>
      </c>
    </row>
    <row r="8207" spans="1:6" x14ac:dyDescent="0.3">
      <c r="A8207" t="str">
        <f>HYPERLINK("https://us2.cloudbeds.com/connect/10074733072513#/reservations/31677982515385?display=MH9YSV7VX&amp;reservation_id=31677982515385", "MH9YSV7VX")</f>
        <v>MH9YSV7VX</v>
      </c>
      <c r="B8207" t="s">
        <v>1283</v>
      </c>
      <c r="C8207">
        <v>87.84</v>
      </c>
      <c r="D8207">
        <v>95.49</v>
      </c>
      <c r="E8207">
        <v>95.48</v>
      </c>
      <c r="F8207">
        <v>0.01</v>
      </c>
    </row>
    <row r="8208" spans="1:6" x14ac:dyDescent="0.3">
      <c r="A8208" t="str">
        <f>HYPERLINK("https://us2.cloudbeds.com/connect/10074733072513#/reservations/31679533773008?display=MHASH08VA&amp;reservation_id=31679533773008", "MHASH08VA")</f>
        <v>MHASH08VA</v>
      </c>
      <c r="B8208" t="s">
        <v>878</v>
      </c>
      <c r="C8208">
        <v>239</v>
      </c>
      <c r="D8208">
        <v>259.8</v>
      </c>
      <c r="E8208">
        <v>259.79000000000002</v>
      </c>
      <c r="F8208">
        <v>0.01</v>
      </c>
    </row>
    <row r="8209" spans="1:6" x14ac:dyDescent="0.3">
      <c r="A8209" t="str">
        <f>HYPERLINK("https://us2.cloudbeds.com/connect/10074733072513#/reservations/31682807091338?display=MHDD555TS&amp;reservation_id=31682807091338", "MHDD555TS")</f>
        <v>MHDD555TS</v>
      </c>
      <c r="B8209" t="s">
        <v>1079</v>
      </c>
      <c r="C8209">
        <v>199</v>
      </c>
      <c r="D8209">
        <v>216.32</v>
      </c>
      <c r="E8209">
        <v>216.31</v>
      </c>
      <c r="F8209">
        <v>0.01</v>
      </c>
    </row>
    <row r="8210" spans="1:6" x14ac:dyDescent="0.3">
      <c r="A8210" t="str">
        <f>HYPERLINK("https://us2.cloudbeds.com/connect/10074733072513#/reservations/31681059045552?display=MHC1G57HE&amp;reservation_id=31681059045552", "MHC1G57HE")</f>
        <v>MHC1G57HE</v>
      </c>
      <c r="B8210" t="s">
        <v>1087</v>
      </c>
      <c r="C8210">
        <v>139</v>
      </c>
      <c r="D8210">
        <v>151.1</v>
      </c>
      <c r="E8210">
        <v>151.09</v>
      </c>
      <c r="F8210">
        <v>0.01</v>
      </c>
    </row>
    <row r="8211" spans="1:6" x14ac:dyDescent="0.3">
      <c r="A8211" t="str">
        <f>HYPERLINK("https://us2.cloudbeds.com/connect/10074733072513#/reservations/31678861590707?display=MHABB6QYM&amp;reservation_id=31678861590707", "MHABB6QYM")</f>
        <v>MHABB6QYM</v>
      </c>
      <c r="B8211" t="s">
        <v>1279</v>
      </c>
      <c r="C8211">
        <v>313.2</v>
      </c>
      <c r="D8211">
        <v>340.46</v>
      </c>
      <c r="E8211">
        <v>340.45</v>
      </c>
      <c r="F8211">
        <v>0.01</v>
      </c>
    </row>
    <row r="8212" spans="1:6" x14ac:dyDescent="0.3">
      <c r="A8212" t="str">
        <f>HYPERLINK("https://us2.cloudbeds.com/connect/10074733072513#/reservations/31681491607758?display=MHCCHTU02&amp;reservation_id=31681491607758", "MHCCHTU02")</f>
        <v>MHCCHTU02</v>
      </c>
      <c r="B8212" t="s">
        <v>1087</v>
      </c>
      <c r="C8212">
        <v>87.84</v>
      </c>
      <c r="D8212">
        <v>95.49</v>
      </c>
      <c r="E8212">
        <v>95.48</v>
      </c>
      <c r="F8212">
        <v>0.01</v>
      </c>
    </row>
    <row r="8213" spans="1:6" x14ac:dyDescent="0.3">
      <c r="A8213" t="str">
        <f>HYPERLINK("https://us2.cloudbeds.com/connect/10074733072513#/reservations/31681517207680?display=MHCCUTJ2K&amp;reservation_id=31681517207680", "MHCCUTJ2K")</f>
        <v>MHCCUTJ2K</v>
      </c>
      <c r="B8213" t="s">
        <v>1087</v>
      </c>
      <c r="C8213">
        <v>87.84</v>
      </c>
      <c r="D8213">
        <v>95.49</v>
      </c>
      <c r="E8213">
        <v>95.48</v>
      </c>
      <c r="F8213">
        <v>0.01</v>
      </c>
    </row>
    <row r="8214" spans="1:6" x14ac:dyDescent="0.3">
      <c r="A8214" t="str">
        <f>HYPERLINK("https://us2.cloudbeds.com/connect/10074733072513#/reservations/31678003261631?display=MH9MDEHMM&amp;reservation_id=31678003261631", "MH9MDEHMM")</f>
        <v>MH9MDEHMM</v>
      </c>
      <c r="B8214" t="s">
        <v>1283</v>
      </c>
      <c r="C8214">
        <v>87.84</v>
      </c>
      <c r="D8214">
        <v>95.49</v>
      </c>
      <c r="E8214">
        <v>95.48</v>
      </c>
      <c r="F8214">
        <v>0.01</v>
      </c>
    </row>
    <row r="8215" spans="1:6" x14ac:dyDescent="0.3">
      <c r="A8215" t="str">
        <f>HYPERLINK("https://us2.cloudbeds.com/connect/10074733072513#/reservations/31681864012000?display=MHCM1UK03&amp;reservation_id=31681864012000", "MHCM1UK03")</f>
        <v>MHCM1UK03</v>
      </c>
      <c r="B8215" t="s">
        <v>1284</v>
      </c>
      <c r="C8215">
        <v>481.95</v>
      </c>
      <c r="D8215">
        <v>523.89</v>
      </c>
      <c r="E8215">
        <v>523.88</v>
      </c>
      <c r="F8215">
        <v>0.01</v>
      </c>
    </row>
    <row r="8216" spans="1:6" x14ac:dyDescent="0.3">
      <c r="A8216" t="str">
        <f>HYPERLINK("https://us2.cloudbeds.com/connect/10074733072513#/reservations/31678178320606?display=MH9QT1QZ3&amp;reservation_id=31678178320606", "MH9QT1QZ3")</f>
        <v>MH9QT1QZ3</v>
      </c>
      <c r="B8216" t="s">
        <v>1283</v>
      </c>
      <c r="C8216">
        <v>87.84</v>
      </c>
      <c r="D8216">
        <v>95.49</v>
      </c>
      <c r="E8216">
        <v>95.48</v>
      </c>
      <c r="F8216">
        <v>0.01</v>
      </c>
    </row>
    <row r="8217" spans="1:6" x14ac:dyDescent="0.3">
      <c r="A8217" t="str">
        <f>HYPERLINK("https://us2.cloudbeds.com/connect/10074733072513#/reservations/31681577414847?display=MHCEZ8KCT&amp;reservation_id=31681577414847", "MHCEZ8KCT")</f>
        <v>MHCEZ8KCT</v>
      </c>
      <c r="B8217" t="s">
        <v>1283</v>
      </c>
      <c r="C8217">
        <v>73</v>
      </c>
      <c r="D8217">
        <v>79.36</v>
      </c>
      <c r="E8217">
        <v>79.349999999999994</v>
      </c>
      <c r="F8217">
        <v>0.01</v>
      </c>
    </row>
    <row r="8218" spans="1:6" x14ac:dyDescent="0.3">
      <c r="A8218" t="str">
        <f>HYPERLINK("https://us2.cloudbeds.com/connect/10074733072513#/reservations/31679542571174?display=MHASZE32D&amp;reservation_id=31679542571174", "MHASZE32D")</f>
        <v>MHASZE32D</v>
      </c>
      <c r="B8218" t="s">
        <v>1087</v>
      </c>
      <c r="C8218">
        <v>139</v>
      </c>
      <c r="D8218">
        <v>151.1</v>
      </c>
      <c r="E8218">
        <v>151.09</v>
      </c>
      <c r="F8218">
        <v>0.01</v>
      </c>
    </row>
    <row r="8219" spans="1:6" x14ac:dyDescent="0.3">
      <c r="A8219" t="str">
        <f>HYPERLINK("https://us2.cloudbeds.com/connect/10074733072513#/reservations/31678201536684?display=MH9RFKREK&amp;reservation_id=31678201536684", "MH9RFKREK")</f>
        <v>MH9RFKREK</v>
      </c>
      <c r="B8219" t="s">
        <v>1283</v>
      </c>
      <c r="C8219">
        <v>73</v>
      </c>
      <c r="D8219">
        <v>79.36</v>
      </c>
      <c r="E8219">
        <v>79.349999999999994</v>
      </c>
      <c r="F8219">
        <v>0.01</v>
      </c>
    </row>
    <row r="8220" spans="1:6" x14ac:dyDescent="0.3">
      <c r="A8220" t="str">
        <f>HYPERLINK("https://us2.cloudbeds.com/connect/10074733072513#/reservations/31678601191576?display=MHA4MKQWU&amp;reservation_id=31678601191576", "MHA4MKQWU")</f>
        <v>MHA4MKQWU</v>
      </c>
      <c r="B8220" t="s">
        <v>1273</v>
      </c>
      <c r="C8220">
        <v>298</v>
      </c>
      <c r="D8220">
        <v>323.94</v>
      </c>
      <c r="E8220">
        <v>323.93</v>
      </c>
      <c r="F8220">
        <v>0.01</v>
      </c>
    </row>
    <row r="8221" spans="1:6" x14ac:dyDescent="0.3">
      <c r="A8221" t="str">
        <f>HYPERLINK("https://us2.cloudbeds.com/connect/10074733072513#/reservations/31678194569428?display=MH9R9ZVJY&amp;reservation_id=31678194569428", "MH9R9ZVJY")</f>
        <v>MH9R9ZVJY</v>
      </c>
      <c r="B8221" t="s">
        <v>1283</v>
      </c>
      <c r="C8221">
        <v>169</v>
      </c>
      <c r="D8221">
        <v>183.71</v>
      </c>
      <c r="E8221">
        <v>183.7</v>
      </c>
      <c r="F8221">
        <v>0.01</v>
      </c>
    </row>
    <row r="8222" spans="1:6" x14ac:dyDescent="0.3">
      <c r="A8222" t="str">
        <f>HYPERLINK("https://us2.cloudbeds.com/connect/10074733072513#/reservations/31689442902144?display=MHXHNY9CK&amp;reservation_id=31689442902144", "MHXHNY9CK")</f>
        <v>MHXHNY9CK</v>
      </c>
      <c r="B8222" t="s">
        <v>1118</v>
      </c>
      <c r="C8222">
        <v>139</v>
      </c>
      <c r="D8222">
        <v>151.1</v>
      </c>
      <c r="E8222">
        <v>151.09</v>
      </c>
      <c r="F8222">
        <v>0.01</v>
      </c>
    </row>
    <row r="8223" spans="1:6" x14ac:dyDescent="0.3">
      <c r="A8223" t="str">
        <f>HYPERLINK("https://us2.cloudbeds.com/connect/10074733072513#/reservations/31678226018438?display=MH9S392CV&amp;reservation_id=31678226018438", "MH9S392CV")</f>
        <v>MH9S392CV</v>
      </c>
      <c r="B8223" t="s">
        <v>1283</v>
      </c>
      <c r="C8223">
        <v>87.84</v>
      </c>
      <c r="D8223">
        <v>95.49</v>
      </c>
      <c r="E8223">
        <v>95.48</v>
      </c>
      <c r="F8223">
        <v>0.01</v>
      </c>
    </row>
    <row r="8224" spans="1:6" x14ac:dyDescent="0.3">
      <c r="A8224" t="str">
        <f>HYPERLINK("https://us2.cloudbeds.com/connect/10074733072513#/reservations/31678265806982?display=MH9T3R85D&amp;reservation_id=31678265806982", "MH9T3R85D")</f>
        <v>MH9T3R85D</v>
      </c>
      <c r="B8224" t="s">
        <v>1255</v>
      </c>
      <c r="C8224">
        <v>149</v>
      </c>
      <c r="D8224">
        <v>161.97</v>
      </c>
      <c r="E8224">
        <v>161.96</v>
      </c>
      <c r="F8224">
        <v>0.01</v>
      </c>
    </row>
    <row r="8225" spans="1:6" x14ac:dyDescent="0.3">
      <c r="A8225" t="str">
        <f>HYPERLINK("https://us2.cloudbeds.com/connect/10074733072513#/reservations/31681585516691?display=MHCEV323A&amp;reservation_id=31681585516691", "MHCEV323A")</f>
        <v>MHCEV323A</v>
      </c>
      <c r="B8225" t="s">
        <v>1283</v>
      </c>
      <c r="C8225">
        <v>139</v>
      </c>
      <c r="D8225">
        <v>151.1</v>
      </c>
      <c r="E8225">
        <v>151.09</v>
      </c>
      <c r="F8225">
        <v>0.01</v>
      </c>
    </row>
    <row r="8226" spans="1:6" x14ac:dyDescent="0.3">
      <c r="A8226" t="str">
        <f>HYPERLINK("https://us2.cloudbeds.com/connect/10074733072513#/reservations/31678410477793?display=MH9WQQUXC&amp;reservation_id=31678410477793", "MH9WQQUXC")</f>
        <v>MH9WQQUXC</v>
      </c>
      <c r="B8226" t="s">
        <v>1255</v>
      </c>
      <c r="C8226">
        <v>149</v>
      </c>
      <c r="D8226">
        <v>161.97</v>
      </c>
      <c r="E8226">
        <v>161.96</v>
      </c>
      <c r="F8226">
        <v>0.01</v>
      </c>
    </row>
    <row r="8227" spans="1:6" x14ac:dyDescent="0.3">
      <c r="A8227" t="str">
        <f>HYPERLINK("https://us2.cloudbeds.com/connect/10074733072513#/reservations/31680992346309?display=MHBWPU7C8&amp;reservation_id=31680992346309", "MHBWPU7C8")</f>
        <v>MHBWPU7C8</v>
      </c>
      <c r="B8227" t="s">
        <v>1173</v>
      </c>
      <c r="C8227">
        <v>149</v>
      </c>
      <c r="D8227">
        <v>161.97</v>
      </c>
      <c r="E8227">
        <v>161.96</v>
      </c>
      <c r="F8227">
        <v>0.01</v>
      </c>
    </row>
    <row r="8228" spans="1:6" x14ac:dyDescent="0.3">
      <c r="A8228" t="str">
        <f>HYPERLINK("https://us2.cloudbeds.com/connect/10074733072513#/reservations/31681224618176?display=MHC5NPDQG&amp;reservation_id=31681224618176", "MHC5NPDQG")</f>
        <v>MHC5NPDQG</v>
      </c>
      <c r="B8228" t="s">
        <v>1244</v>
      </c>
      <c r="C8228">
        <v>169</v>
      </c>
      <c r="D8228">
        <v>183.71</v>
      </c>
      <c r="E8228">
        <v>183.7</v>
      </c>
      <c r="F8228">
        <v>0.01</v>
      </c>
    </row>
    <row r="8229" spans="1:6" x14ac:dyDescent="0.3">
      <c r="A8229" t="str">
        <f>HYPERLINK("https://us2.cloudbeds.com/connect/10074733072513#/reservations/31681532321974?display=MHCDJ7RQ6&amp;reservation_id=31681532321974", "MHCDJ7RQ6")</f>
        <v>MHCDJ7RQ6</v>
      </c>
      <c r="B8229" t="s">
        <v>1283</v>
      </c>
      <c r="C8229">
        <v>179</v>
      </c>
      <c r="D8229">
        <v>194.58</v>
      </c>
      <c r="E8229">
        <v>194.57</v>
      </c>
      <c r="F8229">
        <v>0.01</v>
      </c>
    </row>
    <row r="8230" spans="1:6" x14ac:dyDescent="0.3">
      <c r="A8230" t="str">
        <f>HYPERLINK("https://us2.cloudbeds.com/connect/10074733072513#/reservations/31678238490801?display=MH9SDQ4EB&amp;reservation_id=31678238490801", "MH9SDQ4EB")</f>
        <v>MH9SDQ4EB</v>
      </c>
      <c r="B8230" t="s">
        <v>1283</v>
      </c>
      <c r="C8230">
        <v>87.84</v>
      </c>
      <c r="D8230">
        <v>95.49</v>
      </c>
      <c r="E8230">
        <v>95.48</v>
      </c>
      <c r="F8230">
        <v>0.01</v>
      </c>
    </row>
    <row r="8231" spans="1:6" x14ac:dyDescent="0.3">
      <c r="A8231" t="str">
        <f>HYPERLINK("https://us2.cloudbeds.com/connect/10074733072513#/reservations/31678461698192?display=MHA1406TM&amp;reservation_id=31678461698192", "MHA1406TM")</f>
        <v>MHA1406TM</v>
      </c>
      <c r="B8231" t="s">
        <v>1255</v>
      </c>
      <c r="C8231">
        <v>87.84</v>
      </c>
      <c r="D8231">
        <v>95.49</v>
      </c>
      <c r="E8231">
        <v>95.48</v>
      </c>
      <c r="F8231">
        <v>0.01</v>
      </c>
    </row>
    <row r="8232" spans="1:6" x14ac:dyDescent="0.3">
      <c r="A8232" t="str">
        <f>HYPERLINK("https://us2.cloudbeds.com/connect/10074733072513#/reservations/31678473662692?display=MHA1E34J9&amp;reservation_id=31678473662692", "MHA1E34J9")</f>
        <v>MHA1E34J9</v>
      </c>
      <c r="B8232" t="s">
        <v>1255</v>
      </c>
      <c r="C8232">
        <v>149</v>
      </c>
      <c r="D8232">
        <v>161.97</v>
      </c>
      <c r="E8232">
        <v>161.96</v>
      </c>
      <c r="F8232">
        <v>0.01</v>
      </c>
    </row>
    <row r="8233" spans="1:6" x14ac:dyDescent="0.3">
      <c r="A8233" t="str">
        <f>HYPERLINK("https://us2.cloudbeds.com/connect/10074733072513#/reservations/31682630262948?display=MHD8Y1M1Q&amp;reservation_id=31682630262948", "MHD8Y1M1Q")</f>
        <v>MHD8Y1M1Q</v>
      </c>
      <c r="B8233" t="s">
        <v>1135</v>
      </c>
      <c r="C8233">
        <v>418</v>
      </c>
      <c r="D8233">
        <v>454.38</v>
      </c>
      <c r="E8233">
        <v>454.37</v>
      </c>
      <c r="F8233">
        <v>0.01</v>
      </c>
    </row>
    <row r="8234" spans="1:6" x14ac:dyDescent="0.3">
      <c r="A8234" t="str">
        <f>HYPERLINK("https://us2.cloudbeds.com/connect/10074733072513#/reservations/31683603140838?display=MHE0GDE5W&amp;reservation_id=31683603140838", "MHE0GDE5W")</f>
        <v>MHE0GDE5W</v>
      </c>
      <c r="B8234" t="s">
        <v>1285</v>
      </c>
      <c r="C8234">
        <v>149</v>
      </c>
      <c r="D8234">
        <v>161.97</v>
      </c>
      <c r="E8234">
        <v>161.96</v>
      </c>
      <c r="F8234">
        <v>0.01</v>
      </c>
    </row>
    <row r="8235" spans="1:6" x14ac:dyDescent="0.3">
      <c r="A8235" t="str">
        <f>HYPERLINK("https://us2.cloudbeds.com/connect/10074733072513#/reservations/31679078596756?display=MHAGT6AJX&amp;reservation_id=31679078596756", "MHAGT6AJX")</f>
        <v>MHAGT6AJX</v>
      </c>
      <c r="B8235" t="s">
        <v>1286</v>
      </c>
      <c r="C8235">
        <v>298</v>
      </c>
      <c r="D8235">
        <v>323.94</v>
      </c>
      <c r="E8235">
        <v>323.93</v>
      </c>
      <c r="F8235">
        <v>0.01</v>
      </c>
    </row>
    <row r="8236" spans="1:6" x14ac:dyDescent="0.3">
      <c r="A8236" t="str">
        <f>HYPERLINK("https://us2.cloudbeds.com/connect/10074733072513#/reservations/31680148132011?display=MHBB71NKQ&amp;reservation_id=31680148132011", "MHBB71NKQ")</f>
        <v>MHBB71NKQ</v>
      </c>
      <c r="B8236" t="s">
        <v>1274</v>
      </c>
      <c r="C8236">
        <v>106.8</v>
      </c>
      <c r="D8236">
        <v>116.1</v>
      </c>
      <c r="E8236">
        <v>116.09</v>
      </c>
      <c r="F8236">
        <v>0.01</v>
      </c>
    </row>
    <row r="8237" spans="1:6" x14ac:dyDescent="0.3">
      <c r="A8237" t="str">
        <f>HYPERLINK("https://us2.cloudbeds.com/connect/10074733072513#/reservations/31677741670535?display=MH9FNSCFP&amp;reservation_id=31677741670535", "MH9FNSCFP")</f>
        <v>MH9FNSCFP</v>
      </c>
      <c r="B8237" t="s">
        <v>1263</v>
      </c>
      <c r="C8237">
        <v>289.10000000000002</v>
      </c>
      <c r="D8237">
        <v>314.26</v>
      </c>
      <c r="E8237">
        <v>314.25</v>
      </c>
      <c r="F8237">
        <v>0.01</v>
      </c>
    </row>
    <row r="8238" spans="1:6" x14ac:dyDescent="0.3">
      <c r="A8238" t="str">
        <f>HYPERLINK("https://us2.cloudbeds.com/connect/10074733072513#/reservations/31677721878715?display=MH9F75Y5Y&amp;reservation_id=31677721878715", "MH9F75Y5Y")</f>
        <v>MH9F75Y5Y</v>
      </c>
      <c r="B8238" t="s">
        <v>1263</v>
      </c>
      <c r="C8238">
        <v>169</v>
      </c>
      <c r="D8238">
        <v>183.71</v>
      </c>
      <c r="E8238">
        <v>183.7</v>
      </c>
      <c r="F8238">
        <v>0.01</v>
      </c>
    </row>
    <row r="8239" spans="1:6" x14ac:dyDescent="0.3">
      <c r="A8239" t="str">
        <f>HYPERLINK("https://us2.cloudbeds.com/connect/10074733072513#/reservations/31682509815937?display=MHD5XG1ZC&amp;reservation_id=31682509815937", "MHD5XG1ZC")</f>
        <v>MHD5XG1ZC</v>
      </c>
      <c r="B8239" t="s">
        <v>1174</v>
      </c>
      <c r="C8239">
        <v>109</v>
      </c>
      <c r="D8239">
        <v>118.49</v>
      </c>
      <c r="E8239">
        <v>118.48</v>
      </c>
      <c r="F8239">
        <v>0.01</v>
      </c>
    </row>
    <row r="8240" spans="1:6" x14ac:dyDescent="0.3">
      <c r="A8240" t="str">
        <f>HYPERLINK("https://us2.cloudbeds.com/connect/10074733072513#/reservations/31688852050142?display=MHX2KE28M&amp;reservation_id=31688852050142", "MHX2KE28M")</f>
        <v>MHX2KE28M</v>
      </c>
      <c r="B8240" t="s">
        <v>974</v>
      </c>
      <c r="C8240">
        <v>149</v>
      </c>
      <c r="D8240">
        <v>161.97</v>
      </c>
      <c r="E8240">
        <v>161.96</v>
      </c>
      <c r="F8240">
        <v>0.01</v>
      </c>
    </row>
    <row r="8241" spans="1:6" x14ac:dyDescent="0.3">
      <c r="A8241" t="str">
        <f>HYPERLINK("https://us2.cloudbeds.com/connect/10074733072513#/reservations/31680080851086?display=MHB9GAHAT&amp;reservation_id=31680080851086", "MHB9GAHAT")</f>
        <v>MHB9GAHAT</v>
      </c>
      <c r="B8241" t="s">
        <v>1274</v>
      </c>
      <c r="C8241">
        <v>169</v>
      </c>
      <c r="D8241">
        <v>183.71</v>
      </c>
      <c r="E8241">
        <v>183.7</v>
      </c>
      <c r="F8241">
        <v>0.01</v>
      </c>
    </row>
    <row r="8242" spans="1:6" x14ac:dyDescent="0.3">
      <c r="A8242" t="str">
        <f>HYPERLINK("https://us2.cloudbeds.com/connect/10074733072513#/reservations/31677699830010?display=MH9EYJ3E2&amp;reservation_id=31677699830010", "MH9EYJ3E2")</f>
        <v>MH9EYJ3E2</v>
      </c>
      <c r="B8242" t="s">
        <v>1271</v>
      </c>
      <c r="C8242">
        <v>106.8</v>
      </c>
      <c r="D8242">
        <v>116.1</v>
      </c>
      <c r="E8242">
        <v>116.09</v>
      </c>
      <c r="F8242">
        <v>0.01</v>
      </c>
    </row>
    <row r="8243" spans="1:6" x14ac:dyDescent="0.3">
      <c r="A8243" t="str">
        <f>HYPERLINK("https://us2.cloudbeds.com/connect/10074733072513#/reservations/31677406802058?display=MH975G5J5&amp;reservation_id=31677406802058", "MH975G5J5")</f>
        <v>MH975G5J5</v>
      </c>
      <c r="B8243" t="s">
        <v>1271</v>
      </c>
      <c r="C8243">
        <v>106.8</v>
      </c>
      <c r="D8243">
        <v>116.1</v>
      </c>
      <c r="E8243">
        <v>116.09</v>
      </c>
      <c r="F8243">
        <v>0.01</v>
      </c>
    </row>
    <row r="8244" spans="1:6" x14ac:dyDescent="0.3">
      <c r="A8244" t="str">
        <f>HYPERLINK("https://us2.cloudbeds.com/connect/10074733072513#/reservations/31680415391955?display=MHBX1DKCW&amp;reservation_id=31680415391955", "MHBX1DKCW")</f>
        <v>MHBX1DKCW</v>
      </c>
      <c r="B8244" t="s">
        <v>1264</v>
      </c>
      <c r="C8244">
        <v>336</v>
      </c>
      <c r="D8244">
        <v>365.24</v>
      </c>
      <c r="E8244">
        <v>365.23</v>
      </c>
      <c r="F8244">
        <v>0.01</v>
      </c>
    </row>
    <row r="8245" spans="1:6" x14ac:dyDescent="0.3">
      <c r="A8245" t="str">
        <f>HYPERLINK("https://us2.cloudbeds.com/connect/10074733072513#/reservations/31677418586245?display=MH97FE2MZ&amp;reservation_id=31677418586245", "MH97FE2MZ")</f>
        <v>MH97FE2MZ</v>
      </c>
      <c r="B8245" t="s">
        <v>1271</v>
      </c>
      <c r="C8245">
        <v>106.8</v>
      </c>
      <c r="D8245">
        <v>116.1</v>
      </c>
      <c r="E8245">
        <v>116.09</v>
      </c>
      <c r="F8245">
        <v>0.01</v>
      </c>
    </row>
    <row r="8246" spans="1:6" x14ac:dyDescent="0.3">
      <c r="A8246" t="str">
        <f>HYPERLINK("https://us2.cloudbeds.com/connect/10074733072513#/reservations/31680311484610?display=MHBFCQ80X&amp;reservation_id=31680311484610", "MHBFCQ80X")</f>
        <v>MHBFCQ80X</v>
      </c>
      <c r="B8246" t="s">
        <v>1271</v>
      </c>
      <c r="C8246">
        <v>106.8</v>
      </c>
      <c r="D8246">
        <v>116.1</v>
      </c>
      <c r="E8246">
        <v>116.09</v>
      </c>
      <c r="F8246">
        <v>0.01</v>
      </c>
    </row>
    <row r="8247" spans="1:6" x14ac:dyDescent="0.3">
      <c r="A8247" t="str">
        <f>HYPERLINK("https://us2.cloudbeds.com/connect/10074733072513#/reservations/31680188911747?display=MHBC8EFJB&amp;reservation_id=31680188911747", "MHBC8EFJB")</f>
        <v>MHBC8EFJB</v>
      </c>
      <c r="B8247" t="s">
        <v>1274</v>
      </c>
      <c r="C8247">
        <v>106.8</v>
      </c>
      <c r="D8247">
        <v>116.1</v>
      </c>
      <c r="E8247">
        <v>116.09</v>
      </c>
      <c r="F8247">
        <v>0.01</v>
      </c>
    </row>
    <row r="8248" spans="1:6" x14ac:dyDescent="0.3">
      <c r="A8248" t="str">
        <f>HYPERLINK("https://us2.cloudbeds.com/connect/10074733072513#/reservations/31677703864528?display=MH9EZWC76&amp;reservation_id=31677703864528", "MH9EZWC76")</f>
        <v>MH9EZWC76</v>
      </c>
      <c r="B8248" t="s">
        <v>1271</v>
      </c>
      <c r="C8248">
        <v>106.8</v>
      </c>
      <c r="D8248">
        <v>116.1</v>
      </c>
      <c r="E8248">
        <v>116.09</v>
      </c>
      <c r="F8248">
        <v>0.01</v>
      </c>
    </row>
    <row r="8249" spans="1:6" x14ac:dyDescent="0.3">
      <c r="A8249" t="str">
        <f>HYPERLINK("https://us2.cloudbeds.com/connect/10074733072513#/reservations/31678961188998?display=MHADT694N&amp;reservation_id=31678961188998", "MHADT694N")</f>
        <v>MHADT694N</v>
      </c>
      <c r="B8249" t="s">
        <v>1079</v>
      </c>
      <c r="C8249">
        <v>199</v>
      </c>
      <c r="D8249">
        <v>216.32</v>
      </c>
      <c r="E8249">
        <v>216.31</v>
      </c>
      <c r="F8249">
        <v>0.01</v>
      </c>
    </row>
    <row r="8250" spans="1:6" x14ac:dyDescent="0.3">
      <c r="A8250" t="str">
        <f>HYPERLINK("https://us2.cloudbeds.com/connect/10074733072513#/reservations/31680987291791?display=MHBWYYXV1&amp;reservation_id=31680987291791", "MHBWYYXV1")</f>
        <v>MHBWYYXV1</v>
      </c>
      <c r="B8250" t="s">
        <v>1244</v>
      </c>
      <c r="C8250">
        <v>179</v>
      </c>
      <c r="D8250">
        <v>194.58</v>
      </c>
      <c r="E8250">
        <v>194.57</v>
      </c>
      <c r="F8250">
        <v>0.01</v>
      </c>
    </row>
    <row r="8251" spans="1:6" x14ac:dyDescent="0.3">
      <c r="A8251" t="str">
        <f>HYPERLINK("https://us2.cloudbeds.com/connect/10074733072513#/reservations/31678268186824?display=MH9T5RFGR&amp;reservation_id=31678268186824", "MH9T5RFGR")</f>
        <v>MH9T5RFGR</v>
      </c>
      <c r="B8251" t="s">
        <v>1273</v>
      </c>
      <c r="C8251">
        <v>149</v>
      </c>
      <c r="D8251">
        <v>161.97</v>
      </c>
      <c r="E8251">
        <v>161.96</v>
      </c>
      <c r="F8251">
        <v>0.01</v>
      </c>
    </row>
    <row r="8252" spans="1:6" x14ac:dyDescent="0.3">
      <c r="A8252" t="str">
        <f>HYPERLINK("https://us2.cloudbeds.com/connect/10074733072513#/reservations/31682124087426?display=MHCSN7JDK&amp;reservation_id=31682124087426", "MHCSN7JDK")</f>
        <v>MHCSN7JDK</v>
      </c>
      <c r="B8252" t="s">
        <v>1268</v>
      </c>
      <c r="C8252">
        <v>169</v>
      </c>
      <c r="D8252">
        <v>183.71</v>
      </c>
      <c r="E8252">
        <v>183.7</v>
      </c>
      <c r="F8252">
        <v>0.01</v>
      </c>
    </row>
    <row r="8253" spans="1:6" x14ac:dyDescent="0.3">
      <c r="A8253" t="str">
        <f>HYPERLINK("https://us2.cloudbeds.com/connect/10074733072513#/reservations/31680551350475?display=MHBYH1SH4&amp;reservation_id=31680551350475", "MHBYH1SH4")</f>
        <v>MHBYH1SH4</v>
      </c>
      <c r="B8253" t="s">
        <v>1279</v>
      </c>
      <c r="C8253">
        <v>219</v>
      </c>
      <c r="D8253">
        <v>238.06</v>
      </c>
      <c r="E8253">
        <v>238.05</v>
      </c>
      <c r="F8253">
        <v>0.01</v>
      </c>
    </row>
    <row r="8254" spans="1:6" x14ac:dyDescent="0.3">
      <c r="A8254" t="str">
        <f>HYPERLINK("https://us2.cloudbeds.com/connect/10074733072513#/reservations/31680600199387?display=MHBMP8566&amp;reservation_id=31680600199387", "MHBMP8566")</f>
        <v>MHBMP8566</v>
      </c>
      <c r="B8254" t="s">
        <v>1187</v>
      </c>
      <c r="C8254">
        <v>298</v>
      </c>
      <c r="D8254">
        <v>323.94</v>
      </c>
      <c r="E8254">
        <v>323.93</v>
      </c>
      <c r="F8254">
        <v>0.01</v>
      </c>
    </row>
    <row r="8255" spans="1:6" x14ac:dyDescent="0.3">
      <c r="A8255" t="str">
        <f>HYPERLINK("https://us2.cloudbeds.com/connect/10074733072513#/reservations/31678174187724?display=MH9QPXQK8&amp;reservation_id=31678174187724", "MH9QPXQK8")</f>
        <v>MH9QPXQK8</v>
      </c>
      <c r="B8255" t="s">
        <v>1264</v>
      </c>
      <c r="C8255">
        <v>149</v>
      </c>
      <c r="D8255">
        <v>161.97</v>
      </c>
      <c r="E8255">
        <v>161.96</v>
      </c>
      <c r="F8255">
        <v>0.01</v>
      </c>
    </row>
    <row r="8256" spans="1:6" x14ac:dyDescent="0.3">
      <c r="A8256" t="str">
        <f>HYPERLINK("https://us2.cloudbeds.com/connect/10074733072513#/reservations/31681682002148?display=MHCHDEU51&amp;reservation_id=31681682002148", "MHCHDEU51")</f>
        <v>MHCHDEU51</v>
      </c>
      <c r="B8256" t="s">
        <v>1235</v>
      </c>
      <c r="C8256">
        <v>149</v>
      </c>
      <c r="D8256">
        <v>161.97</v>
      </c>
      <c r="E8256">
        <v>161.96</v>
      </c>
      <c r="F8256">
        <v>0.01</v>
      </c>
    </row>
    <row r="8257" spans="1:6" x14ac:dyDescent="0.3">
      <c r="A8257" t="str">
        <f>HYPERLINK("https://us2.cloudbeds.com/connect/10074733072513#/reservations/31678342197499?display=MH9V27UXX&amp;reservation_id=31678342197499", "MH9V27UXX")</f>
        <v>MH9V27UXX</v>
      </c>
      <c r="B8257" t="s">
        <v>1217</v>
      </c>
      <c r="C8257">
        <v>109</v>
      </c>
      <c r="D8257">
        <v>118.49</v>
      </c>
      <c r="E8257">
        <v>118.48</v>
      </c>
      <c r="F8257">
        <v>0.01</v>
      </c>
    </row>
    <row r="8258" spans="1:6" x14ac:dyDescent="0.3">
      <c r="A8258" t="str">
        <f>HYPERLINK("https://us2.cloudbeds.com/connect/10074733072513#/reservations/31683304464600?display=MHDPSXAYT&amp;reservation_id=31683304464600", "MHDPSXAYT")</f>
        <v>MHDPSXAYT</v>
      </c>
      <c r="B8258" t="s">
        <v>1154</v>
      </c>
      <c r="C8258">
        <v>189</v>
      </c>
      <c r="D8258">
        <v>205.45</v>
      </c>
      <c r="E8258">
        <v>205.44</v>
      </c>
      <c r="F8258">
        <v>0.01</v>
      </c>
    </row>
    <row r="8259" spans="1:6" x14ac:dyDescent="0.3">
      <c r="A8259" t="str">
        <f>HYPERLINK("https://us2.cloudbeds.com/connect/10074733072513#/reservations/31677801443549?display=MH9H88YF7&amp;reservation_id=31677801443549", "MH9H88YF7")</f>
        <v>MH9H88YF7</v>
      </c>
      <c r="B8259" t="s">
        <v>1217</v>
      </c>
      <c r="C8259">
        <v>358</v>
      </c>
      <c r="D8259">
        <v>389.16</v>
      </c>
      <c r="E8259">
        <v>389.15</v>
      </c>
      <c r="F8259">
        <v>0.01</v>
      </c>
    </row>
    <row r="8260" spans="1:6" x14ac:dyDescent="0.3">
      <c r="A8260" t="str">
        <f>HYPERLINK("https://us2.cloudbeds.com/connect/10074733072513#/reservations/31678623633604?display=MHA58X9UC&amp;reservation_id=31678623633604", "MHA58X9UC")</f>
        <v>MHA58X9UC</v>
      </c>
      <c r="B8260" t="s">
        <v>1273</v>
      </c>
      <c r="C8260">
        <v>338</v>
      </c>
      <c r="D8260">
        <v>367.42</v>
      </c>
      <c r="E8260">
        <v>367.41</v>
      </c>
      <c r="F8260">
        <v>0.01</v>
      </c>
    </row>
    <row r="8261" spans="1:6" x14ac:dyDescent="0.3">
      <c r="A8261" t="str">
        <f>HYPERLINK("https://us2.cloudbeds.com/connect/10074733072513#/reservations/31679790321802?display=MHB22B3V6&amp;reservation_id=31679790321802", "MHB22B3V6")</f>
        <v>MHB22B3V6</v>
      </c>
      <c r="B8261" t="s">
        <v>1244</v>
      </c>
      <c r="C8261">
        <v>219</v>
      </c>
      <c r="D8261">
        <v>238.06</v>
      </c>
      <c r="E8261">
        <v>238.05</v>
      </c>
      <c r="F8261">
        <v>0.01</v>
      </c>
    </row>
    <row r="8262" spans="1:6" x14ac:dyDescent="0.3">
      <c r="A8262" t="str">
        <f>HYPERLINK("https://us2.cloudbeds.com/connect/10074733072513#/reservations/31682199875736?display=MHCUY4GR2&amp;reservation_id=31682199875736", "MHCUY4GR2")</f>
        <v>MHCUY4GR2</v>
      </c>
      <c r="B8262" t="s">
        <v>1288</v>
      </c>
      <c r="C8262">
        <v>149</v>
      </c>
      <c r="D8262">
        <v>161.97</v>
      </c>
      <c r="E8262">
        <v>161.96</v>
      </c>
      <c r="F8262">
        <v>0.01</v>
      </c>
    </row>
    <row r="8263" spans="1:6" x14ac:dyDescent="0.3">
      <c r="A8263" t="str">
        <f>HYPERLINK("https://us2.cloudbeds.com/connect/10074733072513#/reservations/31678599413993?display=MHA4Y4BMP&amp;reservation_id=31678599413993", "MHA4Y4BMP")</f>
        <v>MHA4Y4BMP</v>
      </c>
      <c r="B8263" t="s">
        <v>1251</v>
      </c>
      <c r="C8263">
        <v>73</v>
      </c>
      <c r="D8263">
        <v>79.36</v>
      </c>
      <c r="E8263">
        <v>79.349999999999994</v>
      </c>
      <c r="F8263">
        <v>0.01</v>
      </c>
    </row>
    <row r="8264" spans="1:6" x14ac:dyDescent="0.3">
      <c r="A8264" t="str">
        <f>HYPERLINK("https://us2.cloudbeds.com/connect/10074733072513#/reservations/31678633595071?display=MHA5GVG90&amp;reservation_id=31678633595071", "MHA5GVG90")</f>
        <v>MHA5GVG90</v>
      </c>
      <c r="B8264" t="s">
        <v>1273</v>
      </c>
      <c r="C8264">
        <v>149</v>
      </c>
      <c r="D8264">
        <v>161.97</v>
      </c>
      <c r="E8264">
        <v>161.96</v>
      </c>
      <c r="F8264">
        <v>0.01</v>
      </c>
    </row>
    <row r="8265" spans="1:6" x14ac:dyDescent="0.3">
      <c r="A8265" t="str">
        <f>HYPERLINK("https://us2.cloudbeds.com/connect/10074733072513#/reservations/31678199468162?display=MH9RDT8W4&amp;reservation_id=31678199468162", "MH9RDT8W4")</f>
        <v>MH9RDT8W4</v>
      </c>
      <c r="B8265" t="s">
        <v>1264</v>
      </c>
      <c r="C8265">
        <v>298</v>
      </c>
      <c r="D8265">
        <v>323.94</v>
      </c>
      <c r="E8265">
        <v>323.93</v>
      </c>
      <c r="F8265">
        <v>0.01</v>
      </c>
    </row>
    <row r="8266" spans="1:6" x14ac:dyDescent="0.3">
      <c r="A8266" t="str">
        <f>HYPERLINK("https://us2.cloudbeds.com/connect/10074733072513#/reservations/31678610546900?display=MHA4UH4ZJ&amp;reservation_id=31678610546900", "MHA4UH4ZJ")</f>
        <v>MHA4UH4ZJ</v>
      </c>
      <c r="B8266" t="s">
        <v>1251</v>
      </c>
      <c r="C8266">
        <v>169</v>
      </c>
      <c r="D8266">
        <v>183.71</v>
      </c>
      <c r="E8266">
        <v>183.7</v>
      </c>
      <c r="F8266">
        <v>0.01</v>
      </c>
    </row>
    <row r="8267" spans="1:6" x14ac:dyDescent="0.3">
      <c r="A8267" t="str">
        <f>HYPERLINK("https://us2.cloudbeds.com/connect/10074733072513#/reservations/31678574330053?display=MHA3WWBPC&amp;reservation_id=31678574330053", "MHA3WWBPC")</f>
        <v>MHA3WWBPC</v>
      </c>
      <c r="B8267" t="s">
        <v>1273</v>
      </c>
      <c r="C8267">
        <v>298</v>
      </c>
      <c r="D8267">
        <v>323.94</v>
      </c>
      <c r="E8267">
        <v>323.93</v>
      </c>
      <c r="F8267">
        <v>0.01</v>
      </c>
    </row>
    <row r="8268" spans="1:6" x14ac:dyDescent="0.3">
      <c r="A8268" t="str">
        <f>HYPERLINK("https://us2.cloudbeds.com/connect/10074733072513#/reservations/31678280872134?display=MH9TGHF35&amp;reservation_id=31678280872134", "MH9TGHF35")</f>
        <v>MH9TGHF35</v>
      </c>
      <c r="B8268" t="s">
        <v>1273</v>
      </c>
      <c r="C8268">
        <v>79</v>
      </c>
      <c r="D8268">
        <v>85.88</v>
      </c>
      <c r="E8268">
        <v>85.87</v>
      </c>
      <c r="F8268">
        <v>0.01</v>
      </c>
    </row>
    <row r="8269" spans="1:6" x14ac:dyDescent="0.3">
      <c r="A8269" t="str">
        <f>HYPERLINK("https://us2.cloudbeds.com/connect/10074733072513#/reservations/31678287167624?display=MH9TYRY2J&amp;reservation_id=31678287167624", "MH9TYRY2J")</f>
        <v>MH9TYRY2J</v>
      </c>
      <c r="B8269" t="s">
        <v>1273</v>
      </c>
      <c r="C8269">
        <v>159</v>
      </c>
      <c r="D8269">
        <v>172.84</v>
      </c>
      <c r="E8269">
        <v>172.83</v>
      </c>
      <c r="F8269">
        <v>0.01</v>
      </c>
    </row>
    <row r="8270" spans="1:6" x14ac:dyDescent="0.3">
      <c r="A8270" t="str">
        <f>HYPERLINK("https://us2.cloudbeds.com/connect/10074733072513#/reservations/31678296117449?display=MH9TTCMFD&amp;reservation_id=31678296117449", "MH9TTCMFD")</f>
        <v>MH9TTCMFD</v>
      </c>
      <c r="B8270" t="s">
        <v>1217</v>
      </c>
      <c r="C8270">
        <v>178</v>
      </c>
      <c r="D8270">
        <v>193.5</v>
      </c>
      <c r="E8270">
        <v>193.49</v>
      </c>
      <c r="F8270">
        <v>0.01</v>
      </c>
    </row>
    <row r="8271" spans="1:6" x14ac:dyDescent="0.3">
      <c r="A8271" t="str">
        <f>HYPERLINK("https://us2.cloudbeds.com/connect/10074733072513#/reservations/31681998807183?display=MHCPGJFSK&amp;reservation_id=31681998807183", "MHCPGJFSK")</f>
        <v>MHCPGJFSK</v>
      </c>
      <c r="B8271" t="s">
        <v>1251</v>
      </c>
      <c r="C8271">
        <v>189</v>
      </c>
      <c r="D8271">
        <v>205.45</v>
      </c>
      <c r="E8271">
        <v>205.44</v>
      </c>
      <c r="F8271">
        <v>0.01</v>
      </c>
    </row>
    <row r="8272" spans="1:6" x14ac:dyDescent="0.3">
      <c r="A8272" t="str">
        <f>HYPERLINK("https://us2.cloudbeds.com/connect/10074733072513#/reservations/31678766194882?display=MHA8TP963&amp;reservation_id=31678766194882", "MHA8TP963")</f>
        <v>MHA8TP963</v>
      </c>
      <c r="B8272" t="s">
        <v>1127</v>
      </c>
      <c r="C8272">
        <v>398</v>
      </c>
      <c r="D8272">
        <v>432.64</v>
      </c>
      <c r="E8272">
        <v>432.63</v>
      </c>
      <c r="F8272">
        <v>0.01</v>
      </c>
    </row>
    <row r="8273" spans="1:6" x14ac:dyDescent="0.3">
      <c r="A8273" t="str">
        <f>HYPERLINK("https://us2.cloudbeds.com/connect/10074733072513#/reservations/31678418366629?display=MHA00FEM0&amp;reservation_id=31678418366629", "MHA00FEM0")</f>
        <v>MHA00FEM0</v>
      </c>
      <c r="B8273" t="s">
        <v>1217</v>
      </c>
      <c r="C8273">
        <v>308</v>
      </c>
      <c r="D8273">
        <v>334.81</v>
      </c>
      <c r="E8273">
        <v>334.8</v>
      </c>
      <c r="F8273">
        <v>0.01</v>
      </c>
    </row>
    <row r="8274" spans="1:6" x14ac:dyDescent="0.3">
      <c r="A8274" t="str">
        <f>HYPERLINK("https://us2.cloudbeds.com/connect/10074733072513#/reservations/31678152696060?display=MH9Q7EPCN&amp;reservation_id=31678152696060", "MH9Q7EPCN")</f>
        <v>MH9Q7EPCN</v>
      </c>
      <c r="B8274" t="s">
        <v>1264</v>
      </c>
      <c r="C8274">
        <v>73</v>
      </c>
      <c r="D8274">
        <v>79.36</v>
      </c>
      <c r="E8274">
        <v>79.349999999999994</v>
      </c>
      <c r="F8274">
        <v>0.01</v>
      </c>
    </row>
    <row r="8275" spans="1:6" x14ac:dyDescent="0.3">
      <c r="A8275" t="str">
        <f>HYPERLINK("https://us2.cloudbeds.com/connect/10074733072513#/reservations/31678812917962?display=MHAA35DP0&amp;reservation_id=31678812917962", "MHAA35DP0")</f>
        <v>MHAA35DP0</v>
      </c>
      <c r="B8275" t="s">
        <v>1279</v>
      </c>
      <c r="C8275">
        <v>219</v>
      </c>
      <c r="D8275">
        <v>238.06</v>
      </c>
      <c r="E8275">
        <v>238.05</v>
      </c>
      <c r="F8275">
        <v>0.01</v>
      </c>
    </row>
    <row r="8276" spans="1:6" x14ac:dyDescent="0.3">
      <c r="A8276" t="str">
        <f>HYPERLINK("https://us2.cloudbeds.com/connect/10074733072513#/reservations/31677850239227?display=MH9XGDF84&amp;reservation_id=31677850239227", "MH9XGDF84")</f>
        <v>MH9XGDF84</v>
      </c>
      <c r="B8276" t="s">
        <v>1264</v>
      </c>
      <c r="C8276">
        <v>159</v>
      </c>
      <c r="D8276">
        <v>172.84</v>
      </c>
      <c r="E8276">
        <v>172.83</v>
      </c>
      <c r="F8276">
        <v>0.01</v>
      </c>
    </row>
    <row r="8277" spans="1:6" x14ac:dyDescent="0.3">
      <c r="A8277" t="str">
        <f>HYPERLINK("https://us2.cloudbeds.com/connect/10074733072513#/reservations/31677863583966?display=MH9XRYQC4&amp;reservation_id=31677863583966", "MH9XRYQC4")</f>
        <v>MH9XRYQC4</v>
      </c>
      <c r="B8277" t="s">
        <v>1264</v>
      </c>
      <c r="C8277">
        <v>73</v>
      </c>
      <c r="D8277">
        <v>79.36</v>
      </c>
      <c r="E8277">
        <v>79.349999999999994</v>
      </c>
      <c r="F8277">
        <v>0.01</v>
      </c>
    </row>
    <row r="8278" spans="1:6" x14ac:dyDescent="0.3">
      <c r="A8278" t="str">
        <f>HYPERLINK("https://us2.cloudbeds.com/connect/10074733072513#/reservations/31679659221247?display=MHAVNQ1P3&amp;reservation_id=31679659221247", "MHAVNQ1P3")</f>
        <v>MHAVNQ1P3</v>
      </c>
      <c r="B8278" t="s">
        <v>1291</v>
      </c>
      <c r="C8278">
        <v>225</v>
      </c>
      <c r="D8278">
        <v>244.59</v>
      </c>
      <c r="E8278">
        <v>244.58</v>
      </c>
      <c r="F8278">
        <v>0.01</v>
      </c>
    </row>
    <row r="8279" spans="1:6" x14ac:dyDescent="0.3">
      <c r="A8279" t="str">
        <f>HYPERLINK("https://us2.cloudbeds.com/connect/10074733072513#/reservations/31678129766602?display=MH9PY3NSK&amp;reservation_id=31678129766602", "MH9PY3NSK")</f>
        <v>MH9PY3NSK</v>
      </c>
      <c r="B8279" t="s">
        <v>1264</v>
      </c>
      <c r="C8279">
        <v>73</v>
      </c>
      <c r="D8279">
        <v>79.36</v>
      </c>
      <c r="E8279">
        <v>79.349999999999994</v>
      </c>
      <c r="F8279">
        <v>0.01</v>
      </c>
    </row>
    <row r="8280" spans="1:6" x14ac:dyDescent="0.3">
      <c r="A8280" t="str">
        <f>HYPERLINK("https://us2.cloudbeds.com/connect/10074733072513#/reservations/31678847525057?display=MHAAWBDHS&amp;reservation_id=31678847525057", "MHAAWBDHS")</f>
        <v>MHAAWBDHS</v>
      </c>
      <c r="B8280" t="s">
        <v>1279</v>
      </c>
      <c r="C8280">
        <v>504</v>
      </c>
      <c r="D8280">
        <v>547.86</v>
      </c>
      <c r="E8280">
        <v>547.85</v>
      </c>
      <c r="F8280">
        <v>0.01</v>
      </c>
    </row>
    <row r="8281" spans="1:6" x14ac:dyDescent="0.3">
      <c r="A8281" t="str">
        <f>HYPERLINK("https://us2.cloudbeds.com/connect/10074733072513#/reservations/31678186655905?display=MH9R32ZQU&amp;reservation_id=31678186655905", "MH9R32ZQU")</f>
        <v>MH9R32ZQU</v>
      </c>
      <c r="B8281" t="s">
        <v>1264</v>
      </c>
      <c r="C8281">
        <v>159</v>
      </c>
      <c r="D8281">
        <v>172.84</v>
      </c>
      <c r="E8281">
        <v>172.83</v>
      </c>
      <c r="F8281">
        <v>0.01</v>
      </c>
    </row>
    <row r="8282" spans="1:6" x14ac:dyDescent="0.3">
      <c r="A8282" t="str">
        <f>HYPERLINK("https://us2.cloudbeds.com/connect/10074733072513#/reservations/31681218744562?display=MHC5XR2UC&amp;reservation_id=31681218744562", "MHC5XR2UC")</f>
        <v>MHC5XR2UC</v>
      </c>
      <c r="B8282" t="s">
        <v>1261</v>
      </c>
      <c r="C8282">
        <v>252</v>
      </c>
      <c r="D8282">
        <v>273.93</v>
      </c>
      <c r="E8282">
        <v>273.92</v>
      </c>
      <c r="F8282">
        <v>0.01</v>
      </c>
    </row>
    <row r="8283" spans="1:6" x14ac:dyDescent="0.3">
      <c r="A8283" t="str">
        <f>HYPERLINK("https://us2.cloudbeds.com/connect/10074733072513#/reservations/31681199280266?display=MHC52DFC7&amp;reservation_id=31681199280266", "MHC52DFC7")</f>
        <v>MHC52DFC7</v>
      </c>
      <c r="B8283" t="s">
        <v>1244</v>
      </c>
      <c r="C8283">
        <v>458</v>
      </c>
      <c r="D8283">
        <v>497.86</v>
      </c>
      <c r="E8283">
        <v>497.85</v>
      </c>
      <c r="F8283">
        <v>0.01</v>
      </c>
    </row>
    <row r="8284" spans="1:6" x14ac:dyDescent="0.3">
      <c r="A8284" t="str">
        <f>HYPERLINK("https://us2.cloudbeds.com/connect/10074733072513#/reservations/31684159189199?display=MHEEN99ZA&amp;reservation_id=31684159189199", "MHEEN99ZA")</f>
        <v>MHEEN99ZA</v>
      </c>
      <c r="B8284" t="s">
        <v>1139</v>
      </c>
      <c r="C8284">
        <v>258</v>
      </c>
      <c r="D8284">
        <v>280.45999999999998</v>
      </c>
      <c r="E8284">
        <v>280.45</v>
      </c>
      <c r="F8284">
        <v>0.01</v>
      </c>
    </row>
    <row r="8285" spans="1:6" x14ac:dyDescent="0.3">
      <c r="A8285" t="str">
        <f>HYPERLINK("https://us2.cloudbeds.com/connect/10074733072513#/reservations/31680400302210?display=MHBHYMNSW&amp;reservation_id=31680400302210", "MHBHYMNSW")</f>
        <v>MHBHYMNSW</v>
      </c>
      <c r="B8285" t="s">
        <v>1264</v>
      </c>
      <c r="C8285">
        <v>159</v>
      </c>
      <c r="D8285">
        <v>172.84</v>
      </c>
      <c r="E8285">
        <v>172.83</v>
      </c>
      <c r="F8285">
        <v>0.01</v>
      </c>
    </row>
    <row r="8286" spans="1:6" x14ac:dyDescent="0.3">
      <c r="A8286" t="str">
        <f>HYPERLINK("https://us2.cloudbeds.com/connect/10074733072513#/reservations/31682070167805?display=MHCRAP6EN&amp;reservation_id=31682070167805", "MHCRAP6EN")</f>
        <v>MHCRAP6EN</v>
      </c>
      <c r="B8286" t="s">
        <v>1127</v>
      </c>
      <c r="C8286">
        <v>125.76</v>
      </c>
      <c r="D8286">
        <v>136.71</v>
      </c>
      <c r="E8286">
        <v>136.69999999999999</v>
      </c>
      <c r="F8286">
        <v>0.01</v>
      </c>
    </row>
    <row r="8287" spans="1:6" x14ac:dyDescent="0.3">
      <c r="A8287" t="str">
        <f>HYPERLINK("https://us2.cloudbeds.com/connect/10074733072513#/reservations/31678847520964?display=MHAAWB9PR&amp;reservation_id=31678847520964", "MHAAWB9PR")</f>
        <v>MHAAWB9PR</v>
      </c>
      <c r="B8287" t="s">
        <v>1279</v>
      </c>
      <c r="C8287">
        <v>239</v>
      </c>
      <c r="D8287">
        <v>259.8</v>
      </c>
      <c r="E8287">
        <v>259.79000000000002</v>
      </c>
      <c r="F8287">
        <v>0.01</v>
      </c>
    </row>
    <row r="8288" spans="1:6" x14ac:dyDescent="0.3">
      <c r="A8288" t="str">
        <f>HYPERLINK("https://us2.cloudbeds.com/connect/10074733072513#/reservations/31679662264557?display=MHAVQBZBK&amp;reservation_id=31679662264557", "MHAVQBZBK")</f>
        <v>MHAVQBZBK</v>
      </c>
      <c r="B8288" t="s">
        <v>1203</v>
      </c>
      <c r="C8288">
        <v>149</v>
      </c>
      <c r="D8288">
        <v>161.97</v>
      </c>
      <c r="E8288">
        <v>161.96</v>
      </c>
      <c r="F8288">
        <v>0.01</v>
      </c>
    </row>
    <row r="8289" spans="1:6" x14ac:dyDescent="0.3">
      <c r="A8289" t="str">
        <f>HYPERLINK("https://us2.cloudbeds.com/connect/10074733072513#/reservations/31678757249196?display=MHA8M7BJN&amp;reservation_id=31678757249196", "MHA8M7BJN")</f>
        <v>MHA8M7BJN</v>
      </c>
      <c r="B8289" t="s">
        <v>1277</v>
      </c>
      <c r="C8289">
        <v>106.8</v>
      </c>
      <c r="D8289">
        <v>116.1</v>
      </c>
      <c r="E8289">
        <v>116.09</v>
      </c>
      <c r="F8289">
        <v>0.01</v>
      </c>
    </row>
    <row r="8290" spans="1:6" x14ac:dyDescent="0.3">
      <c r="A8290" t="str">
        <f>HYPERLINK("https://us2.cloudbeds.com/connect/10074733072513#/reservations/31680663552142?display=MHBZCM1BY&amp;reservation_id=31680663552142", "MHBZCM1BY")</f>
        <v>MHBZCM1BY</v>
      </c>
      <c r="B8290" t="s">
        <v>1187</v>
      </c>
      <c r="C8290">
        <v>209</v>
      </c>
      <c r="D8290">
        <v>227.19</v>
      </c>
      <c r="E8290">
        <v>227.18</v>
      </c>
      <c r="F8290">
        <v>0.01</v>
      </c>
    </row>
    <row r="8291" spans="1:6" x14ac:dyDescent="0.3">
      <c r="A8291" t="str">
        <f>HYPERLINK("https://us2.cloudbeds.com/connect/10074733072513#/reservations/31678497480860?display=MHA215U5V&amp;reservation_id=31678497480860", "MHA215U5V")</f>
        <v>MHA215U5V</v>
      </c>
      <c r="B8291" t="s">
        <v>1239</v>
      </c>
      <c r="C8291">
        <v>73</v>
      </c>
      <c r="D8291">
        <v>79.36</v>
      </c>
      <c r="E8291">
        <v>79.349999999999994</v>
      </c>
      <c r="F8291">
        <v>0.01</v>
      </c>
    </row>
    <row r="8292" spans="1:6" x14ac:dyDescent="0.3">
      <c r="A8292" t="str">
        <f>HYPERLINK("https://us2.cloudbeds.com/connect/10074733072513#/reservations/31681664987352?display=MHCGW3EU5&amp;reservation_id=31681664987352", "MHCGW3EU5")</f>
        <v>MHCGW3EU5</v>
      </c>
      <c r="B8292" t="s">
        <v>1293</v>
      </c>
      <c r="C8292">
        <v>478</v>
      </c>
      <c r="D8292">
        <v>519.6</v>
      </c>
      <c r="E8292">
        <v>519.59</v>
      </c>
      <c r="F8292">
        <v>0.01</v>
      </c>
    </row>
    <row r="8293" spans="1:6" x14ac:dyDescent="0.3">
      <c r="A8293" t="str">
        <f>HYPERLINK("https://us2.cloudbeds.com/connect/10074733072513#/reservations/31678278332544?display=MH9TECMBN&amp;reservation_id=31678278332544", "MH9TECMBN")</f>
        <v>MH9TECMBN</v>
      </c>
      <c r="B8293" t="s">
        <v>1206</v>
      </c>
      <c r="C8293">
        <v>336</v>
      </c>
      <c r="D8293">
        <v>365.24</v>
      </c>
      <c r="E8293">
        <v>365.23</v>
      </c>
      <c r="F8293">
        <v>0.01</v>
      </c>
    </row>
    <row r="8294" spans="1:6" x14ac:dyDescent="0.3">
      <c r="A8294" t="str">
        <f>HYPERLINK("https://us2.cloudbeds.com/connect/10074733072513#/reservations/31682235298013?display=MHCVX065D&amp;reservation_id=31682235298013", "MHCVX065D")</f>
        <v>MHCVX065D</v>
      </c>
      <c r="B8294" t="s">
        <v>1100</v>
      </c>
      <c r="C8294">
        <v>139</v>
      </c>
      <c r="D8294">
        <v>151.1</v>
      </c>
      <c r="E8294">
        <v>151.09</v>
      </c>
      <c r="F8294">
        <v>0.01</v>
      </c>
    </row>
    <row r="8295" spans="1:6" x14ac:dyDescent="0.3">
      <c r="A8295" t="str">
        <f>HYPERLINK("https://us2.cloudbeds.com/connect/10074733072513#/reservations/31678513864844?display=MHA2EWR5A&amp;reservation_id=31678513864844", "MHA2EWR5A")</f>
        <v>MHA2EWR5A</v>
      </c>
      <c r="B8295" t="s">
        <v>1239</v>
      </c>
      <c r="C8295">
        <v>87.84</v>
      </c>
      <c r="D8295">
        <v>95.49</v>
      </c>
      <c r="E8295">
        <v>95.48</v>
      </c>
      <c r="F8295">
        <v>0.01</v>
      </c>
    </row>
    <row r="8296" spans="1:6" x14ac:dyDescent="0.3">
      <c r="A8296" t="str">
        <f>HYPERLINK("https://us2.cloudbeds.com/connect/10074733072513#/reservations/31678564823208?display=MHA3ZVQT5&amp;reservation_id=31678564823208", "MHA3ZVQT5")</f>
        <v>MHA3ZVQT5</v>
      </c>
      <c r="B8296" t="s">
        <v>1239</v>
      </c>
      <c r="C8296">
        <v>73</v>
      </c>
      <c r="D8296">
        <v>79.36</v>
      </c>
      <c r="E8296">
        <v>79.349999999999994</v>
      </c>
      <c r="F8296">
        <v>0.01</v>
      </c>
    </row>
    <row r="8297" spans="1:6" x14ac:dyDescent="0.3">
      <c r="A8297" t="str">
        <f>HYPERLINK("https://us2.cloudbeds.com/connect/10074733072513#/reservations/31678490222837?display=MHA1S1VAS&amp;reservation_id=31678490222837", "MHA1S1VAS")</f>
        <v>MHA1S1VAS</v>
      </c>
      <c r="B8297" t="s">
        <v>1239</v>
      </c>
      <c r="C8297">
        <v>87.84</v>
      </c>
      <c r="D8297">
        <v>95.49</v>
      </c>
      <c r="E8297">
        <v>95.48</v>
      </c>
      <c r="F8297">
        <v>0.01</v>
      </c>
    </row>
    <row r="8298" spans="1:6" x14ac:dyDescent="0.3">
      <c r="A8298" t="str">
        <f>HYPERLINK("https://us2.cloudbeds.com/connect/10074733072513#/reservations/31678483439768?display=MHA1MB6KA&amp;reservation_id=31678483439768", "MHA1MB6KA")</f>
        <v>MHA1MB6KA</v>
      </c>
      <c r="B8298" t="s">
        <v>1239</v>
      </c>
      <c r="C8298">
        <v>87.84</v>
      </c>
      <c r="D8298">
        <v>95.49</v>
      </c>
      <c r="E8298">
        <v>95.48</v>
      </c>
      <c r="F8298">
        <v>0.01</v>
      </c>
    </row>
    <row r="8299" spans="1:6" x14ac:dyDescent="0.3">
      <c r="A8299" t="str">
        <f>HYPERLINK("https://us2.cloudbeds.com/connect/10074733072513#/reservations/31678480470261?display=MHA1JRXQ8&amp;reservation_id=31678480470261", "MHA1JRXQ8")</f>
        <v>MHA1JRXQ8</v>
      </c>
      <c r="B8299" t="s">
        <v>1239</v>
      </c>
      <c r="C8299">
        <v>87.84</v>
      </c>
      <c r="D8299">
        <v>95.49</v>
      </c>
      <c r="E8299">
        <v>95.48</v>
      </c>
      <c r="F8299">
        <v>0.01</v>
      </c>
    </row>
    <row r="8300" spans="1:6" x14ac:dyDescent="0.3">
      <c r="A8300" t="str">
        <f>HYPERLINK("https://us2.cloudbeds.com/connect/10074733072513#/reservations/31678346150125?display=MH9V5XU53&amp;reservation_id=31678346150125", "MH9V5XU53")</f>
        <v>MH9V5XU53</v>
      </c>
      <c r="B8300" t="s">
        <v>1206</v>
      </c>
      <c r="C8300">
        <v>119</v>
      </c>
      <c r="D8300">
        <v>129.36000000000001</v>
      </c>
      <c r="E8300">
        <v>129.35</v>
      </c>
      <c r="F8300">
        <v>0.01</v>
      </c>
    </row>
    <row r="8301" spans="1:6" x14ac:dyDescent="0.3">
      <c r="A8301" t="str">
        <f>HYPERLINK("https://us2.cloudbeds.com/connect/10074733072513#/reservations/31678507475135?display=MHA29K0YP&amp;reservation_id=31678507475135", "MHA29K0YP")</f>
        <v>MHA29K0YP</v>
      </c>
      <c r="B8301" t="s">
        <v>1072</v>
      </c>
      <c r="C8301">
        <v>209</v>
      </c>
      <c r="D8301">
        <v>227.19</v>
      </c>
      <c r="E8301">
        <v>227.18</v>
      </c>
      <c r="F8301">
        <v>0.01</v>
      </c>
    </row>
    <row r="8302" spans="1:6" x14ac:dyDescent="0.3">
      <c r="A8302" t="str">
        <f>HYPERLINK("https://us2.cloudbeds.com/connect/10074733072513#/reservations/31678353920141?display=MH9VC4454&amp;reservation_id=31678353920141", "MH9VC4454")</f>
        <v>MH9VC4454</v>
      </c>
      <c r="B8302" t="s">
        <v>1206</v>
      </c>
      <c r="C8302">
        <v>119</v>
      </c>
      <c r="D8302">
        <v>129.36000000000001</v>
      </c>
      <c r="E8302">
        <v>129.35</v>
      </c>
      <c r="F8302">
        <v>0.01</v>
      </c>
    </row>
    <row r="8303" spans="1:6" x14ac:dyDescent="0.3">
      <c r="A8303" t="str">
        <f>HYPERLINK("https://us2.cloudbeds.com/connect/10074733072513#/reservations/31681253195971?display=MHC6ESZZF&amp;reservation_id=31681253195971", "MHC6ESZZF")</f>
        <v>MHC6ESZZF</v>
      </c>
      <c r="B8303" t="s">
        <v>1261</v>
      </c>
      <c r="C8303">
        <v>225</v>
      </c>
      <c r="D8303">
        <v>244.59</v>
      </c>
      <c r="E8303">
        <v>244.58</v>
      </c>
      <c r="F8303">
        <v>0.01</v>
      </c>
    </row>
    <row r="8304" spans="1:6" x14ac:dyDescent="0.3">
      <c r="A8304" t="str">
        <f>HYPERLINK("https://us2.cloudbeds.com/connect/10074733072513#/reservations/31678572609736?display=MHA3VHG1X&amp;reservation_id=31678572609736", "MHA3VHG1X")</f>
        <v>MHA3VHG1X</v>
      </c>
      <c r="B8304" t="s">
        <v>1268</v>
      </c>
      <c r="C8304">
        <v>149</v>
      </c>
      <c r="D8304">
        <v>161.97</v>
      </c>
      <c r="E8304">
        <v>161.96</v>
      </c>
      <c r="F8304">
        <v>0.01</v>
      </c>
    </row>
    <row r="8305" spans="1:6" x14ac:dyDescent="0.3">
      <c r="A8305" t="str">
        <f>HYPERLINK("https://us2.cloudbeds.com/connect/10074733072513#/reservations/31679374881013?display=MHAZF0SKC&amp;reservation_id=31679374881013", "MHAZF0SKC")</f>
        <v>MHAZF0SKC</v>
      </c>
      <c r="B8305" t="s">
        <v>1187</v>
      </c>
      <c r="C8305">
        <v>374.7</v>
      </c>
      <c r="D8305">
        <v>407.31</v>
      </c>
      <c r="E8305">
        <v>407.3</v>
      </c>
      <c r="F8305">
        <v>0.01</v>
      </c>
    </row>
    <row r="8306" spans="1:6" x14ac:dyDescent="0.3">
      <c r="A8306" t="str">
        <f>HYPERLINK("https://us2.cloudbeds.com/connect/10074733072513#/reservations/31681303957688?display=MHC7ZM8TA&amp;reservation_id=31681303957688", "MHC7ZM8TA")</f>
        <v>MHC7ZM8TA</v>
      </c>
      <c r="B8306" t="s">
        <v>1261</v>
      </c>
      <c r="C8306">
        <v>149</v>
      </c>
      <c r="D8306">
        <v>161.97</v>
      </c>
      <c r="E8306">
        <v>161.96</v>
      </c>
      <c r="F8306">
        <v>0.01</v>
      </c>
    </row>
    <row r="8307" spans="1:6" x14ac:dyDescent="0.3">
      <c r="A8307" t="str">
        <f>HYPERLINK("https://us2.cloudbeds.com/connect/10074733072513#/reservations/31682507403396?display=MHD5GEUC2&amp;reservation_id=31682507403396", "MHD5GEUC2")</f>
        <v>MHD5GEUC2</v>
      </c>
      <c r="B8307" t="s">
        <v>1139</v>
      </c>
      <c r="C8307">
        <v>278</v>
      </c>
      <c r="D8307">
        <v>302.2</v>
      </c>
      <c r="E8307">
        <v>302.19</v>
      </c>
      <c r="F8307">
        <v>0.01</v>
      </c>
    </row>
    <row r="8308" spans="1:6" x14ac:dyDescent="0.3">
      <c r="A8308" t="str">
        <f>HYPERLINK("https://us2.cloudbeds.com/connect/10074733072513#/reservations/31678359580886?display=MH9VGTY8S&amp;reservation_id=31678359580886", "MH9VGTY8S")</f>
        <v>MH9VGTY8S</v>
      </c>
      <c r="B8308" t="s">
        <v>1206</v>
      </c>
      <c r="C8308">
        <v>159</v>
      </c>
      <c r="D8308">
        <v>172.84</v>
      </c>
      <c r="E8308">
        <v>172.83</v>
      </c>
      <c r="F8308">
        <v>0.01</v>
      </c>
    </row>
    <row r="8309" spans="1:6" x14ac:dyDescent="0.3">
      <c r="A8309" t="str">
        <f>HYPERLINK("https://us2.cloudbeds.com/connect/10074733072513#/reservations/31682658603263?display=MHD9BV977&amp;reservation_id=31682658603263", "MHD9BV977")</f>
        <v>MHD9BV977</v>
      </c>
      <c r="B8309" t="s">
        <v>1118</v>
      </c>
      <c r="C8309">
        <v>139</v>
      </c>
      <c r="D8309">
        <v>151.1</v>
      </c>
      <c r="E8309">
        <v>151.09</v>
      </c>
      <c r="F8309">
        <v>0.01</v>
      </c>
    </row>
    <row r="8310" spans="1:6" x14ac:dyDescent="0.3">
      <c r="A8310" t="str">
        <f>HYPERLINK("https://us2.cloudbeds.com/connect/10074733072513#/reservations/31686364315800?display=MHG51N6CH&amp;reservation_id=31686364315800", "MHG51N6CH")</f>
        <v>MHG51N6CH</v>
      </c>
      <c r="B8310" t="s">
        <v>1250</v>
      </c>
      <c r="C8310">
        <v>298</v>
      </c>
      <c r="D8310">
        <v>323.94</v>
      </c>
      <c r="E8310">
        <v>323.93</v>
      </c>
      <c r="F8310">
        <v>0.01</v>
      </c>
    </row>
    <row r="8311" spans="1:6" x14ac:dyDescent="0.3">
      <c r="A8311" t="str">
        <f>HYPERLINK("https://us2.cloudbeds.com/connect/10074733072513#/reservations/31679399338146?display=MHAP2YDVK&amp;reservation_id=31679399338146", "MHAP2YDVK")</f>
        <v>MHAP2YDVK</v>
      </c>
      <c r="B8311" t="s">
        <v>1202</v>
      </c>
      <c r="C8311">
        <v>149</v>
      </c>
      <c r="D8311">
        <v>161.97</v>
      </c>
      <c r="E8311">
        <v>161.96</v>
      </c>
      <c r="F8311">
        <v>0.01</v>
      </c>
    </row>
    <row r="8312" spans="1:6" x14ac:dyDescent="0.3">
      <c r="A8312" t="str">
        <f>HYPERLINK("https://us2.cloudbeds.com/connect/10074733072513#/reservations/31678374904022?display=MH9VTR13A&amp;reservation_id=31678374904022", "MH9VTR13A")</f>
        <v>MH9VTR13A</v>
      </c>
      <c r="B8312" t="s">
        <v>1206</v>
      </c>
      <c r="C8312">
        <v>159</v>
      </c>
      <c r="D8312">
        <v>172.84</v>
      </c>
      <c r="E8312">
        <v>172.83</v>
      </c>
      <c r="F8312">
        <v>0.01</v>
      </c>
    </row>
    <row r="8313" spans="1:6" x14ac:dyDescent="0.3">
      <c r="A8313" t="str">
        <f>HYPERLINK("https://us2.cloudbeds.com/connect/10074733072513#/reservations/31686396199043?display=MHG5SJCUD&amp;reservation_id=31686396199043", "MHG5SJCUD")</f>
        <v>MHG5SJCUD</v>
      </c>
      <c r="B8313" t="s">
        <v>1250</v>
      </c>
      <c r="C8313">
        <v>149</v>
      </c>
      <c r="D8313">
        <v>161.97</v>
      </c>
      <c r="E8313">
        <v>161.96</v>
      </c>
      <c r="F8313">
        <v>0.01</v>
      </c>
    </row>
    <row r="8314" spans="1:6" x14ac:dyDescent="0.3">
      <c r="A8314" t="str">
        <f>HYPERLINK("https://us2.cloudbeds.com/connect/10074733072513#/reservations/31678821515492?display=MHAAADYY7&amp;reservation_id=31678821515492", "MHAAADYY7")</f>
        <v>MHAAADYY7</v>
      </c>
      <c r="B8314" t="s">
        <v>1261</v>
      </c>
      <c r="C8314">
        <v>73</v>
      </c>
      <c r="D8314">
        <v>79.36</v>
      </c>
      <c r="E8314">
        <v>79.349999999999994</v>
      </c>
      <c r="F8314">
        <v>0.01</v>
      </c>
    </row>
    <row r="8315" spans="1:6" x14ac:dyDescent="0.3">
      <c r="A8315" t="str">
        <f>HYPERLINK("https://us2.cloudbeds.com/connect/10074733072513#/reservations/31678829711545?display=MHAAHANSF&amp;reservation_id=31678829711545", "MHAAHANSF")</f>
        <v>MHAAHANSF</v>
      </c>
      <c r="B8315" t="s">
        <v>1261</v>
      </c>
      <c r="C8315">
        <v>119</v>
      </c>
      <c r="D8315">
        <v>129.36000000000001</v>
      </c>
      <c r="E8315">
        <v>129.35</v>
      </c>
      <c r="F8315">
        <v>0.01</v>
      </c>
    </row>
    <row r="8316" spans="1:6" x14ac:dyDescent="0.3">
      <c r="A8316" t="str">
        <f>HYPERLINK("https://us2.cloudbeds.com/connect/10074733072513#/reservations/31678809235637?display=MHAA01VCD&amp;reservation_id=31678809235637", "MHAA01VCD")</f>
        <v>MHAA01VCD</v>
      </c>
      <c r="B8316" t="s">
        <v>1261</v>
      </c>
      <c r="C8316">
        <v>179</v>
      </c>
      <c r="D8316">
        <v>194.58</v>
      </c>
      <c r="E8316">
        <v>194.57</v>
      </c>
      <c r="F8316">
        <v>0.01</v>
      </c>
    </row>
    <row r="8317" spans="1:6" x14ac:dyDescent="0.3">
      <c r="A8317" t="str">
        <f>HYPERLINK("https://us2.cloudbeds.com/connect/10074733072513#/reservations/31678425972933?display=MHA06T3B2&amp;reservation_id=31678425972933", "MHA06T3B2")</f>
        <v>MHA06T3B2</v>
      </c>
      <c r="B8317" t="s">
        <v>1261</v>
      </c>
      <c r="C8317">
        <v>179</v>
      </c>
      <c r="D8317">
        <v>194.58</v>
      </c>
      <c r="E8317">
        <v>194.57</v>
      </c>
      <c r="F8317">
        <v>0.01</v>
      </c>
    </row>
    <row r="8318" spans="1:6" x14ac:dyDescent="0.3">
      <c r="A8318" t="str">
        <f>HYPERLINK("https://us2.cloudbeds.com/connect/10074733072513#/reservations/31686396203136?display=MHG5SJCW8&amp;reservation_id=31686396203136", "MHG5SJCW8")</f>
        <v>MHG5SJCW8</v>
      </c>
      <c r="B8318" t="s">
        <v>1250</v>
      </c>
      <c r="C8318">
        <v>149</v>
      </c>
      <c r="D8318">
        <v>161.97</v>
      </c>
      <c r="E8318">
        <v>161.96</v>
      </c>
      <c r="F8318">
        <v>0.01</v>
      </c>
    </row>
    <row r="8319" spans="1:6" x14ac:dyDescent="0.3">
      <c r="A8319" t="str">
        <f>HYPERLINK("https://us2.cloudbeds.com/connect/10074733072513#/reservations/31678877712535?display=MHABZQDTU&amp;reservation_id=31678877712535", "MHABZQDTU")</f>
        <v>MHABZQDTU</v>
      </c>
      <c r="B8319" t="s">
        <v>946</v>
      </c>
      <c r="C8319">
        <v>159</v>
      </c>
      <c r="D8319">
        <v>172.84</v>
      </c>
      <c r="E8319">
        <v>172.83</v>
      </c>
      <c r="F8319">
        <v>0.01</v>
      </c>
    </row>
    <row r="8320" spans="1:6" x14ac:dyDescent="0.3">
      <c r="A8320" t="str">
        <f>HYPERLINK("https://us2.cloudbeds.com/connect/10074733072513#/reservations/31683417563295?display=MHDSZUF72&amp;reservation_id=31683417563295", "MHDSZUF72")</f>
        <v>MHDSZUF72</v>
      </c>
      <c r="B8320" t="s">
        <v>1154</v>
      </c>
      <c r="C8320">
        <v>139</v>
      </c>
      <c r="D8320">
        <v>151.1</v>
      </c>
      <c r="E8320">
        <v>151.09</v>
      </c>
      <c r="F8320">
        <v>0.01</v>
      </c>
    </row>
    <row r="8321" spans="1:6" x14ac:dyDescent="0.3">
      <c r="A8321" t="str">
        <f>HYPERLINK("https://us2.cloudbeds.com/connect/10074733072513#/reservations/31683443638419?display=MHDTDU1AB&amp;reservation_id=31683443638419", "MHDTDU1AB")</f>
        <v>MHDTDU1AB</v>
      </c>
      <c r="B8321" t="s">
        <v>1154</v>
      </c>
      <c r="C8321">
        <v>278</v>
      </c>
      <c r="D8321">
        <v>302.2</v>
      </c>
      <c r="E8321">
        <v>302.19</v>
      </c>
      <c r="F8321">
        <v>0.01</v>
      </c>
    </row>
    <row r="8322" spans="1:6" x14ac:dyDescent="0.3">
      <c r="A8322" t="str">
        <f>HYPERLINK("https://us2.cloudbeds.com/connect/10074733072513#/reservations/31678538784981?display=MHA3308YW&amp;reservation_id=31678538784981", "MHA3308YW")</f>
        <v>MHA3308YW</v>
      </c>
      <c r="B8322" t="s">
        <v>1072</v>
      </c>
      <c r="C8322">
        <v>269</v>
      </c>
      <c r="D8322">
        <v>292.41000000000003</v>
      </c>
      <c r="E8322">
        <v>292.39999999999998</v>
      </c>
      <c r="F8322">
        <v>0.01</v>
      </c>
    </row>
    <row r="8323" spans="1:6" x14ac:dyDescent="0.3">
      <c r="A8323" t="str">
        <f>HYPERLINK("https://us2.cloudbeds.com/connect/10074733072513#/reservations/31678531018880?display=MHA2M7CFZ&amp;reservation_id=31678531018880", "MHA2M7CFZ")</f>
        <v>MHA2M7CFZ</v>
      </c>
      <c r="B8323" t="s">
        <v>1072</v>
      </c>
      <c r="C8323">
        <v>177.04</v>
      </c>
      <c r="D8323">
        <v>192.45</v>
      </c>
      <c r="E8323">
        <v>192.44</v>
      </c>
      <c r="F8323">
        <v>0.01</v>
      </c>
    </row>
    <row r="8324" spans="1:6" x14ac:dyDescent="0.3">
      <c r="A8324" t="str">
        <f>HYPERLINK("https://us2.cloudbeds.com/connect/10074733072513#/reservations/31684470947975?display=MHEMM5EJV&amp;reservation_id=31684470947975", "MHEMM5EJV")</f>
        <v>MHEMM5EJV</v>
      </c>
      <c r="B8324" t="s">
        <v>1214</v>
      </c>
      <c r="C8324">
        <v>321.3</v>
      </c>
      <c r="D8324">
        <v>349.26</v>
      </c>
      <c r="E8324">
        <v>349.25</v>
      </c>
      <c r="F8324">
        <v>0.01</v>
      </c>
    </row>
    <row r="8325" spans="1:6" x14ac:dyDescent="0.3">
      <c r="A8325" t="str">
        <f>HYPERLINK("https://us2.cloudbeds.com/connect/10074733072513#/reservations/31678707925240?display=MHA7DKRNC&amp;reservation_id=31678707925240", "MHA7DKRNC")</f>
        <v>MHA7DKRNC</v>
      </c>
      <c r="B8325" t="s">
        <v>1277</v>
      </c>
      <c r="C8325">
        <v>149</v>
      </c>
      <c r="D8325">
        <v>161.97</v>
      </c>
      <c r="E8325">
        <v>161.96</v>
      </c>
      <c r="F8325">
        <v>0.01</v>
      </c>
    </row>
    <row r="8326" spans="1:6" x14ac:dyDescent="0.3">
      <c r="A8326" t="str">
        <f>HYPERLINK("https://us2.cloudbeds.com/connect/10074733072513#/reservations/31680775381188?display=MHBR7VS0K&amp;reservation_id=31680775381188", "MHBR7VS0K")</f>
        <v>MHBR7VS0K</v>
      </c>
      <c r="B8326" t="s">
        <v>1299</v>
      </c>
      <c r="C8326">
        <v>358</v>
      </c>
      <c r="D8326">
        <v>389.16</v>
      </c>
      <c r="E8326">
        <v>389.15</v>
      </c>
      <c r="F8326">
        <v>0.01</v>
      </c>
    </row>
    <row r="8327" spans="1:6" x14ac:dyDescent="0.3">
      <c r="A8327" t="str">
        <f>HYPERLINK("https://us2.cloudbeds.com/connect/10074733072513#/reservations/31682267082900?display=MHCWBQYCQ&amp;reservation_id=31682267082900", "MHCWBQYCQ")</f>
        <v>MHCWBQYCQ</v>
      </c>
      <c r="B8327" t="s">
        <v>946</v>
      </c>
      <c r="C8327">
        <v>179</v>
      </c>
      <c r="D8327">
        <v>194.58</v>
      </c>
      <c r="E8327">
        <v>194.57</v>
      </c>
      <c r="F8327">
        <v>0.01</v>
      </c>
    </row>
    <row r="8328" spans="1:6" x14ac:dyDescent="0.3">
      <c r="A8328" t="str">
        <f>HYPERLINK("https://us2.cloudbeds.com/connect/10074733072513#/reservations/31683336425629?display=MHDQMGMKU&amp;reservation_id=31683336425629", "MHDQMGMKU")</f>
        <v>MHDQMGMKU</v>
      </c>
      <c r="B8328" t="s">
        <v>1154</v>
      </c>
      <c r="C8328">
        <v>239</v>
      </c>
      <c r="D8328">
        <v>259.8</v>
      </c>
      <c r="E8328">
        <v>259.79000000000002</v>
      </c>
      <c r="F8328">
        <v>0.01</v>
      </c>
    </row>
    <row r="8329" spans="1:6" x14ac:dyDescent="0.3">
      <c r="A8329" t="str">
        <f>HYPERLINK("https://us2.cloudbeds.com/connect/10074733072513#/reservations/31678762152128?display=MHA8KGBVS&amp;reservation_id=31678762152128", "MHA8KGBVS")</f>
        <v>MHA8KGBVS</v>
      </c>
      <c r="B8329" t="s">
        <v>1234</v>
      </c>
      <c r="C8329">
        <v>79</v>
      </c>
      <c r="D8329">
        <v>85.88</v>
      </c>
      <c r="E8329">
        <v>85.87</v>
      </c>
      <c r="F8329">
        <v>0.01</v>
      </c>
    </row>
    <row r="8330" spans="1:6" x14ac:dyDescent="0.3">
      <c r="A8330" t="str">
        <f>HYPERLINK("https://us2.cloudbeds.com/connect/10074733072513#/reservations/31682288038101?display=MHCWTFZWT&amp;reservation_id=31682288038101", "MHCWTFZWT")</f>
        <v>MHCWTFZWT</v>
      </c>
      <c r="B8330" t="s">
        <v>1139</v>
      </c>
      <c r="C8330">
        <v>258</v>
      </c>
      <c r="D8330">
        <v>280.45999999999998</v>
      </c>
      <c r="E8330">
        <v>280.45</v>
      </c>
      <c r="F8330">
        <v>0.01</v>
      </c>
    </row>
    <row r="8331" spans="1:6" x14ac:dyDescent="0.3">
      <c r="A8331" t="str">
        <f>HYPERLINK("https://us2.cloudbeds.com/connect/10074733072513#/reservations/31682543165592?display=MHD6DK1RW&amp;reservation_id=31682543165592", "MHD6DK1RW")</f>
        <v>MHD6DK1RW</v>
      </c>
      <c r="B8331" t="s">
        <v>1139</v>
      </c>
      <c r="C8331">
        <v>258</v>
      </c>
      <c r="D8331">
        <v>280.45999999999998</v>
      </c>
      <c r="E8331">
        <v>280.45</v>
      </c>
      <c r="F8331">
        <v>0.01</v>
      </c>
    </row>
    <row r="8332" spans="1:6" x14ac:dyDescent="0.3">
      <c r="A8332" t="str">
        <f>HYPERLINK("https://us2.cloudbeds.com/connect/10074733072513#/reservations/31681417474245?display=MHCAYD14T&amp;reservation_id=31681417474245", "MHCAYD14T")</f>
        <v>MHCAYD14T</v>
      </c>
      <c r="B8332" t="s">
        <v>1301</v>
      </c>
      <c r="C8332">
        <v>87.84</v>
      </c>
      <c r="D8332">
        <v>95.49</v>
      </c>
      <c r="E8332">
        <v>95.48</v>
      </c>
      <c r="F8332">
        <v>0.01</v>
      </c>
    </row>
    <row r="8333" spans="1:6" x14ac:dyDescent="0.3">
      <c r="A8333" t="str">
        <f>HYPERLINK("https://us2.cloudbeds.com/connect/10074733072513#/reservations/31681402110113?display=MHCA8EGM7&amp;reservation_id=31681402110113", "MHCA8EGM7")</f>
        <v>MHCA8EGM7</v>
      </c>
      <c r="B8333" t="s">
        <v>1301</v>
      </c>
      <c r="C8333">
        <v>169</v>
      </c>
      <c r="D8333">
        <v>183.71</v>
      </c>
      <c r="E8333">
        <v>183.7</v>
      </c>
      <c r="F8333">
        <v>0.01</v>
      </c>
    </row>
    <row r="8334" spans="1:6" x14ac:dyDescent="0.3">
      <c r="A8334" t="str">
        <f>HYPERLINK("https://us2.cloudbeds.com/connect/10074733072513#/reservations/31681388286182?display=MHC9TPRH7&amp;reservation_id=31681388286182", "MHC9TPRH7")</f>
        <v>MHC9TPRH7</v>
      </c>
      <c r="B8334" t="s">
        <v>1301</v>
      </c>
      <c r="C8334">
        <v>73</v>
      </c>
      <c r="D8334">
        <v>79.36</v>
      </c>
      <c r="E8334">
        <v>79.349999999999994</v>
      </c>
      <c r="F8334">
        <v>0.01</v>
      </c>
    </row>
    <row r="8335" spans="1:6" x14ac:dyDescent="0.3">
      <c r="A8335" t="str">
        <f>HYPERLINK("https://us2.cloudbeds.com/connect/10074733072513#/reservations/31680978313404?display=MHBWE2ZAN&amp;reservation_id=31680978313404", "MHBWE2ZAN")</f>
        <v>MHBWE2ZAN</v>
      </c>
      <c r="B8335" t="s">
        <v>1244</v>
      </c>
      <c r="C8335">
        <v>125.76</v>
      </c>
      <c r="D8335">
        <v>136.71</v>
      </c>
      <c r="E8335">
        <v>136.69999999999999</v>
      </c>
      <c r="F8335">
        <v>0.01</v>
      </c>
    </row>
    <row r="8336" spans="1:6" x14ac:dyDescent="0.3">
      <c r="A8336" t="str">
        <f>HYPERLINK("https://us2.cloudbeds.com/connect/10074733072513#/reservations/31681319039205?display=MHC84CURW&amp;reservation_id=31681319039205", "MHC84CURW")</f>
        <v>MHC84CURW</v>
      </c>
      <c r="B8336" t="s">
        <v>1301</v>
      </c>
      <c r="C8336">
        <v>73</v>
      </c>
      <c r="D8336">
        <v>79.36</v>
      </c>
      <c r="E8336">
        <v>79.349999999999994</v>
      </c>
      <c r="F8336">
        <v>0.01</v>
      </c>
    </row>
    <row r="8337" spans="1:6" x14ac:dyDescent="0.3">
      <c r="A8337" t="str">
        <f>HYPERLINK("https://us2.cloudbeds.com/connect/10074733072513#/reservations/31681893122271?display=MHCMQFY6H&amp;reservation_id=31681893122271", "MHCMQFY6H")</f>
        <v>MHCMQFY6H</v>
      </c>
      <c r="B8337" t="s">
        <v>1301</v>
      </c>
      <c r="C8337">
        <v>139</v>
      </c>
      <c r="D8337">
        <v>151.1</v>
      </c>
      <c r="E8337">
        <v>151.09</v>
      </c>
      <c r="F8337">
        <v>0.01</v>
      </c>
    </row>
    <row r="8338" spans="1:6" x14ac:dyDescent="0.3">
      <c r="A8338" t="str">
        <f>HYPERLINK("https://us2.cloudbeds.com/connect/10074733072513#/reservations/31689425186946?display=MHXH8NEMK&amp;reservation_id=31689425186946", "MHXH8NEMK")</f>
        <v>MHXH8NEMK</v>
      </c>
      <c r="B8338" t="s">
        <v>1118</v>
      </c>
      <c r="C8338">
        <v>258</v>
      </c>
      <c r="D8338">
        <v>280.45999999999998</v>
      </c>
      <c r="E8338">
        <v>280.45</v>
      </c>
      <c r="F8338">
        <v>0.01</v>
      </c>
    </row>
    <row r="8339" spans="1:6" x14ac:dyDescent="0.3">
      <c r="A8339" t="str">
        <f>HYPERLINK("https://us2.cloudbeds.com/connect/10074733072513#/reservations/31679406854391?display=MHAP8WXUK&amp;reservation_id=31679406854391", "MHAP8WXUK")</f>
        <v>MHAP8WXUK</v>
      </c>
      <c r="B8339" t="s">
        <v>1286</v>
      </c>
      <c r="C8339">
        <v>149</v>
      </c>
      <c r="D8339">
        <v>161.97</v>
      </c>
      <c r="E8339">
        <v>161.96</v>
      </c>
      <c r="F8339">
        <v>0.01</v>
      </c>
    </row>
    <row r="8340" spans="1:6" x14ac:dyDescent="0.3">
      <c r="A8340" t="str">
        <f>HYPERLINK("https://us2.cloudbeds.com/connect/10074733072513#/reservations/31678748758216?display=MHA8F22X9&amp;reservation_id=31678748758216", "MHA8F22X9")</f>
        <v>MHA8F22X9</v>
      </c>
      <c r="B8340" t="s">
        <v>1234</v>
      </c>
      <c r="C8340">
        <v>89</v>
      </c>
      <c r="D8340">
        <v>96.75</v>
      </c>
      <c r="E8340">
        <v>96.74</v>
      </c>
      <c r="F8340">
        <v>0.01</v>
      </c>
    </row>
    <row r="8341" spans="1:6" x14ac:dyDescent="0.3">
      <c r="A8341" t="str">
        <f>HYPERLINK("https://us2.cloudbeds.com/connect/10074733072513#/reservations/31686634107093?display=MHGBV6HK8&amp;reservation_id=31686634107093", "MHGBV6HK8")</f>
        <v>MHGBV6HK8</v>
      </c>
      <c r="B8341" t="s">
        <v>1303</v>
      </c>
      <c r="C8341">
        <v>198</v>
      </c>
      <c r="D8341">
        <v>215.24</v>
      </c>
      <c r="E8341">
        <v>215.23</v>
      </c>
      <c r="F8341">
        <v>0.01</v>
      </c>
    </row>
    <row r="8342" spans="1:6" x14ac:dyDescent="0.3">
      <c r="A8342" t="str">
        <f>HYPERLINK("https://us2.cloudbeds.com/connect/10074733072513#/reservations/31690422767783?display=MHJ9ZTJSV&amp;reservation_id=31690422767783", "MHJ9ZTJSV")</f>
        <v>MHJ9ZTJSV</v>
      </c>
      <c r="B8342" t="s">
        <v>1168</v>
      </c>
      <c r="C8342">
        <v>119</v>
      </c>
      <c r="D8342">
        <v>129.36000000000001</v>
      </c>
      <c r="E8342">
        <v>129.35</v>
      </c>
      <c r="F8342">
        <v>0.01</v>
      </c>
    </row>
    <row r="8343" spans="1:6" x14ac:dyDescent="0.3">
      <c r="A8343" t="str">
        <f>HYPERLINK("https://us2.cloudbeds.com/connect/10074733072513#/reservations/31678814294265?display=MHAA4ANJ5&amp;reservation_id=31678814294265", "MHAA4ANJ5")</f>
        <v>MHAA4ANJ5</v>
      </c>
      <c r="B8343" t="s">
        <v>1234</v>
      </c>
      <c r="C8343">
        <v>150</v>
      </c>
      <c r="D8343">
        <v>163.06</v>
      </c>
      <c r="E8343">
        <v>163.05000000000001</v>
      </c>
      <c r="F8343">
        <v>0.01</v>
      </c>
    </row>
    <row r="8344" spans="1:6" x14ac:dyDescent="0.3">
      <c r="A8344" t="str">
        <f>HYPERLINK("https://us2.cloudbeds.com/connect/10074733072513#/reservations/31679729811658?display=MHB0HAB2F&amp;reservation_id=31679729811658", "MHB0HAB2F")</f>
        <v>MHB0HAB2F</v>
      </c>
      <c r="B8344" t="s">
        <v>1203</v>
      </c>
      <c r="C8344">
        <v>149</v>
      </c>
      <c r="D8344">
        <v>161.97</v>
      </c>
      <c r="E8344">
        <v>161.96</v>
      </c>
      <c r="F8344">
        <v>0.01</v>
      </c>
    </row>
    <row r="8345" spans="1:6" x14ac:dyDescent="0.3">
      <c r="A8345" t="str">
        <f>HYPERLINK("https://us2.cloudbeds.com/connect/10074733072513#/reservations/31681327018172?display=MHC8B3VNS&amp;reservation_id=31681327018172", "MHC8B3VNS")</f>
        <v>MHC8B3VNS</v>
      </c>
      <c r="B8345" t="s">
        <v>1301</v>
      </c>
      <c r="C8345">
        <v>139</v>
      </c>
      <c r="D8345">
        <v>151.1</v>
      </c>
      <c r="E8345">
        <v>151.09</v>
      </c>
      <c r="F8345">
        <v>0.01</v>
      </c>
    </row>
    <row r="8346" spans="1:6" x14ac:dyDescent="0.3">
      <c r="A8346" t="str">
        <f>HYPERLINK("https://us2.cloudbeds.com/connect/10074733072513#/reservations/31681935683716?display=MHCNTBW89&amp;reservation_id=31681935683716", "MHCNTBW89")</f>
        <v>MHCNTBW89</v>
      </c>
      <c r="B8346" t="s">
        <v>1234</v>
      </c>
      <c r="C8346">
        <v>73</v>
      </c>
      <c r="D8346">
        <v>79.36</v>
      </c>
      <c r="E8346">
        <v>79.349999999999994</v>
      </c>
      <c r="F8346">
        <v>0.01</v>
      </c>
    </row>
    <row r="8347" spans="1:6" x14ac:dyDescent="0.3">
      <c r="A8347" t="str">
        <f>HYPERLINK("https://us2.cloudbeds.com/connect/10074733072513#/reservations/31681928331476?display=MHCNN5CT4&amp;reservation_id=31681928331476", "MHCNN5CT4")</f>
        <v>MHCNN5CT4</v>
      </c>
      <c r="B8347" t="s">
        <v>1234</v>
      </c>
      <c r="C8347">
        <v>106.8</v>
      </c>
      <c r="D8347">
        <v>116.1</v>
      </c>
      <c r="E8347">
        <v>116.09</v>
      </c>
      <c r="F8347">
        <v>0.01</v>
      </c>
    </row>
    <row r="8348" spans="1:6" x14ac:dyDescent="0.3">
      <c r="A8348" t="str">
        <f>HYPERLINK("https://us2.cloudbeds.com/connect/10074733072513#/reservations/31681901416636?display=MHCN0FEMU&amp;reservation_id=31681901416636", "MHCN0FEMU")</f>
        <v>MHCN0FEMU</v>
      </c>
      <c r="B8348" t="s">
        <v>1301</v>
      </c>
      <c r="C8348">
        <v>87.84</v>
      </c>
      <c r="D8348">
        <v>95.49</v>
      </c>
      <c r="E8348">
        <v>95.48</v>
      </c>
      <c r="F8348">
        <v>0.01</v>
      </c>
    </row>
    <row r="8349" spans="1:6" x14ac:dyDescent="0.3">
      <c r="A8349" t="str">
        <f>HYPERLINK("https://us2.cloudbeds.com/connect/10074733072513#/reservations/31682242281656?display=MHCVNTH1V&amp;reservation_id=31682242281656", "MHCVNTH1V")</f>
        <v>MHCVNTH1V</v>
      </c>
      <c r="B8349" t="s">
        <v>946</v>
      </c>
      <c r="C8349">
        <v>149</v>
      </c>
      <c r="D8349">
        <v>161.97</v>
      </c>
      <c r="E8349">
        <v>161.96</v>
      </c>
      <c r="F8349">
        <v>0.01</v>
      </c>
    </row>
    <row r="8350" spans="1:6" x14ac:dyDescent="0.3">
      <c r="A8350" t="str">
        <f>HYPERLINK("https://us2.cloudbeds.com/connect/10074733072513#/reservations/31687702507726?display=MHH683BP0&amp;reservation_id=31687702507726", "MHH683BP0")</f>
        <v>MHH683BP0</v>
      </c>
      <c r="B8350" t="s">
        <v>1250</v>
      </c>
      <c r="C8350">
        <v>149</v>
      </c>
      <c r="D8350">
        <v>161.97</v>
      </c>
      <c r="E8350">
        <v>161.96</v>
      </c>
      <c r="F8350">
        <v>0.01</v>
      </c>
    </row>
    <row r="8351" spans="1:6" x14ac:dyDescent="0.3">
      <c r="A8351" t="str">
        <f>HYPERLINK("https://us2.cloudbeds.com/connect/10074733072513#/reservations/31690414325967?display=MHJ9HPMWB&amp;reservation_id=31690414325967", "MHJ9HPMWB")</f>
        <v>MHJ9HPMWB</v>
      </c>
      <c r="B8351" t="s">
        <v>1168</v>
      </c>
      <c r="C8351">
        <v>119</v>
      </c>
      <c r="D8351">
        <v>129.36000000000001</v>
      </c>
      <c r="E8351">
        <v>129.35</v>
      </c>
      <c r="F8351">
        <v>0.01</v>
      </c>
    </row>
    <row r="8352" spans="1:6" x14ac:dyDescent="0.3">
      <c r="A8352" t="str">
        <f>HYPERLINK("https://us2.cloudbeds.com/connect/10074733072513#/reservations/31678768603274?display=MHA8VQ9ZM&amp;reservation_id=31678768603274", "MHA8VQ9ZM")</f>
        <v>MHA8VQ9ZM</v>
      </c>
      <c r="B8352" t="s">
        <v>1234</v>
      </c>
      <c r="C8352">
        <v>149</v>
      </c>
      <c r="D8352">
        <v>161.97</v>
      </c>
      <c r="E8352">
        <v>161.96</v>
      </c>
      <c r="F8352">
        <v>0.01</v>
      </c>
    </row>
    <row r="8353" spans="1:6" x14ac:dyDescent="0.3">
      <c r="A8353" t="str">
        <f>HYPERLINK("https://us2.cloudbeds.com/connect/10074733072513#/reservations/31682274328808?display=MHCWHU93P&amp;reservation_id=31682274328808", "MHCWHU93P")</f>
        <v>MHCWHU93P</v>
      </c>
      <c r="B8353" t="s">
        <v>946</v>
      </c>
      <c r="C8353">
        <v>169</v>
      </c>
      <c r="D8353">
        <v>183.71</v>
      </c>
      <c r="E8353">
        <v>183.7</v>
      </c>
      <c r="F8353">
        <v>0.01</v>
      </c>
    </row>
    <row r="8354" spans="1:6" x14ac:dyDescent="0.3">
      <c r="A8354" t="str">
        <f>HYPERLINK("https://us2.cloudbeds.com/connect/10074733072513#/reservations/31682369917062?display=MHD1WH59H&amp;reservation_id=31682369917062", "MHD1WH59H")</f>
        <v>MHD1WH59H</v>
      </c>
      <c r="B8354" t="s">
        <v>1100</v>
      </c>
      <c r="C8354">
        <v>211.88</v>
      </c>
      <c r="D8354">
        <v>230.32</v>
      </c>
      <c r="E8354">
        <v>230.31</v>
      </c>
      <c r="F8354">
        <v>0.01</v>
      </c>
    </row>
    <row r="8355" spans="1:6" x14ac:dyDescent="0.3">
      <c r="A8355" t="str">
        <f>HYPERLINK("https://us2.cloudbeds.com/connect/10074733072513#/reservations/31682257260706?display=MHCW3HAUX&amp;reservation_id=31682257260706", "MHCW3HAUX")</f>
        <v>MHCW3HAUX</v>
      </c>
      <c r="B8355" t="s">
        <v>946</v>
      </c>
      <c r="C8355">
        <v>149</v>
      </c>
      <c r="D8355">
        <v>161.97</v>
      </c>
      <c r="E8355">
        <v>161.96</v>
      </c>
      <c r="F8355">
        <v>0.01</v>
      </c>
    </row>
    <row r="8356" spans="1:6" x14ac:dyDescent="0.3">
      <c r="A8356" t="str">
        <f>HYPERLINK("https://us2.cloudbeds.com/connect/10074733072513#/reservations/31682392727747?display=MHD2XZTZD&amp;reservation_id=31682392727747", "MHD2XZTZD")</f>
        <v>MHD2XZTZD</v>
      </c>
      <c r="B8356" t="s">
        <v>946</v>
      </c>
      <c r="C8356">
        <v>73</v>
      </c>
      <c r="D8356">
        <v>79.36</v>
      </c>
      <c r="E8356">
        <v>79.349999999999994</v>
      </c>
      <c r="F8356">
        <v>0.01</v>
      </c>
    </row>
    <row r="8357" spans="1:6" x14ac:dyDescent="0.3">
      <c r="A8357" t="str">
        <f>HYPERLINK("https://us2.cloudbeds.com/connect/10074733072513#/reservations/31680914456717?display=MHBUQ7RDJ&amp;reservation_id=31680914456717", "MHBUQ7RDJ")</f>
        <v>MHBUQ7RDJ</v>
      </c>
      <c r="B8357" t="s">
        <v>1304</v>
      </c>
      <c r="C8357">
        <v>150</v>
      </c>
      <c r="D8357">
        <v>163.06</v>
      </c>
      <c r="E8357">
        <v>163.05000000000001</v>
      </c>
      <c r="F8357">
        <v>0.01</v>
      </c>
    </row>
    <row r="8358" spans="1:6" x14ac:dyDescent="0.3">
      <c r="A8358" t="str">
        <f>HYPERLINK("https://us2.cloudbeds.com/connect/10074733072513#/reservations/31680663556235?display=MHBZCM53M&amp;reservation_id=31680663556235", "MHBZCM53M")</f>
        <v>MHBZCM53M</v>
      </c>
      <c r="B8358" t="s">
        <v>1294</v>
      </c>
      <c r="C8358">
        <v>79</v>
      </c>
      <c r="D8358">
        <v>85.88</v>
      </c>
      <c r="E8358">
        <v>85.87</v>
      </c>
      <c r="F8358">
        <v>0.01</v>
      </c>
    </row>
    <row r="8359" spans="1:6" x14ac:dyDescent="0.3">
      <c r="A8359" t="str">
        <f>HYPERLINK("https://us2.cloudbeds.com/connect/10074733072513#/reservations/31683386163377?display=MHDRVENGD&amp;reservation_id=31683386163377", "MHDRVENGD")</f>
        <v>MHDRVENGD</v>
      </c>
      <c r="B8359" t="s">
        <v>1154</v>
      </c>
      <c r="C8359">
        <v>249</v>
      </c>
      <c r="D8359">
        <v>270.67</v>
      </c>
      <c r="E8359">
        <v>270.66000000000003</v>
      </c>
      <c r="F8359">
        <v>0.01</v>
      </c>
    </row>
    <row r="8360" spans="1:6" x14ac:dyDescent="0.3">
      <c r="A8360" t="str">
        <f>HYPERLINK("https://us2.cloudbeds.com/connect/10074733072513#/reservations/31695772233928?display=MHNEENCYY&amp;reservation_id=31695772233928", "MHNEENCYY")</f>
        <v>MHNEENCYY</v>
      </c>
      <c r="B8360" t="s">
        <v>1305</v>
      </c>
      <c r="C8360">
        <v>298</v>
      </c>
      <c r="D8360">
        <v>323.94</v>
      </c>
      <c r="E8360">
        <v>323.93</v>
      </c>
      <c r="F8360">
        <v>0.01</v>
      </c>
    </row>
    <row r="8361" spans="1:6" x14ac:dyDescent="0.3">
      <c r="A8361" t="str">
        <f>HYPERLINK("https://us2.cloudbeds.com/connect/10074733072513#/reservations/31680055451812?display=MHB8RTZRU&amp;reservation_id=31680055451812", "MHB8RTZRU")</f>
        <v>MHB8RTZRU</v>
      </c>
      <c r="B8361" t="s">
        <v>1306</v>
      </c>
      <c r="C8361">
        <v>189</v>
      </c>
      <c r="D8361">
        <v>205.45</v>
      </c>
      <c r="E8361">
        <v>205.44</v>
      </c>
      <c r="F8361">
        <v>0.01</v>
      </c>
    </row>
    <row r="8362" spans="1:6" x14ac:dyDescent="0.3">
      <c r="A8362" t="str">
        <f>HYPERLINK("https://us2.cloudbeds.com/connect/10074733072513#/reservations/31682735042755?display=MHDBADAJF&amp;reservation_id=31682735042755", "MHDBADAJF")</f>
        <v>MHDBADAJF</v>
      </c>
      <c r="B8362" t="s">
        <v>1079</v>
      </c>
      <c r="C8362">
        <v>249</v>
      </c>
      <c r="D8362">
        <v>270.67</v>
      </c>
      <c r="E8362">
        <v>270.66000000000003</v>
      </c>
      <c r="F8362">
        <v>0.01</v>
      </c>
    </row>
    <row r="8363" spans="1:6" x14ac:dyDescent="0.3">
      <c r="A8363" t="str">
        <f>HYPERLINK("https://us2.cloudbeds.com/connect/10074733072513#/reservations/31679651532951?display=MHAVHA3QE&amp;reservation_id=31679651532951", "MHAVHA3QE")</f>
        <v>MHAVHA3QE</v>
      </c>
      <c r="B8363" t="s">
        <v>1203</v>
      </c>
      <c r="C8363">
        <v>106.8</v>
      </c>
      <c r="D8363">
        <v>116.1</v>
      </c>
      <c r="E8363">
        <v>116.09</v>
      </c>
      <c r="F8363">
        <v>0.01</v>
      </c>
    </row>
    <row r="8364" spans="1:6" x14ac:dyDescent="0.3">
      <c r="A8364" t="str">
        <f>HYPERLINK("https://us2.cloudbeds.com/connect/10074733072513#/reservations/31679620333775?display=MHAUNWVDS&amp;reservation_id=31679620333775", "MHAUNWVDS")</f>
        <v>MHAUNWVDS</v>
      </c>
      <c r="B8364" t="s">
        <v>1292</v>
      </c>
      <c r="C8364">
        <v>150</v>
      </c>
      <c r="D8364">
        <v>163.06</v>
      </c>
      <c r="E8364">
        <v>163.05000000000001</v>
      </c>
      <c r="F8364">
        <v>0.01</v>
      </c>
    </row>
    <row r="8365" spans="1:6" x14ac:dyDescent="0.3">
      <c r="A8365" t="str">
        <f>HYPERLINK("https://us2.cloudbeds.com/connect/10074733072513#/reservations/31682303344834?display=MHD09CMP9&amp;reservation_id=31682303344834", "MHD09CMP9")</f>
        <v>MHD09CMP9</v>
      </c>
      <c r="B8365" t="s">
        <v>946</v>
      </c>
      <c r="C8365">
        <v>149</v>
      </c>
      <c r="D8365">
        <v>161.97</v>
      </c>
      <c r="E8365">
        <v>161.96</v>
      </c>
      <c r="F8365">
        <v>0.01</v>
      </c>
    </row>
    <row r="8366" spans="1:6" x14ac:dyDescent="0.3">
      <c r="A8366" t="str">
        <f>HYPERLINK("https://us2.cloudbeds.com/connect/10074733072513#/reservations/31686305714391?display=MHG3X9H88&amp;reservation_id=31686305714391", "MHG3X9H88")</f>
        <v>MHG3X9H88</v>
      </c>
      <c r="B8366" t="s">
        <v>1250</v>
      </c>
      <c r="C8366">
        <v>159</v>
      </c>
      <c r="D8366">
        <v>172.84</v>
      </c>
      <c r="E8366">
        <v>172.83</v>
      </c>
      <c r="F8366">
        <v>0.01</v>
      </c>
    </row>
    <row r="8367" spans="1:6" x14ac:dyDescent="0.3">
      <c r="A8367" t="str">
        <f>HYPERLINK("https://us2.cloudbeds.com/connect/10074733072513#/reservations/31689449967843?display=MHXHTK0AT&amp;reservation_id=31689449967843", "MHXHTK0AT")</f>
        <v>MHXHTK0AT</v>
      </c>
      <c r="B8367" t="s">
        <v>1118</v>
      </c>
      <c r="C8367">
        <v>129</v>
      </c>
      <c r="D8367">
        <v>140.22999999999999</v>
      </c>
      <c r="E8367">
        <v>140.22</v>
      </c>
      <c r="F8367">
        <v>0.01</v>
      </c>
    </row>
    <row r="8368" spans="1:6" x14ac:dyDescent="0.3">
      <c r="A8368" t="str">
        <f>HYPERLINK("https://us2.cloudbeds.com/connect/10074733072513#/reservations/31683521474775?display=MHDVDHVCQ&amp;reservation_id=31683521474775", "MHDVDHVCQ")</f>
        <v>MHDVDHVCQ</v>
      </c>
      <c r="B8368" t="s">
        <v>1285</v>
      </c>
      <c r="C8368">
        <v>338</v>
      </c>
      <c r="D8368">
        <v>367.42</v>
      </c>
      <c r="E8368">
        <v>367.41</v>
      </c>
      <c r="F8368">
        <v>0.01</v>
      </c>
    </row>
    <row r="8369" spans="1:6" x14ac:dyDescent="0.3">
      <c r="A8369" t="str">
        <f>HYPERLINK("https://us2.cloudbeds.com/connect/10074733072513#/reservations/31681476300939?display=MHCC4WW52&amp;reservation_id=31681476300939", "MHCC4WW52")</f>
        <v>MHCC4WW52</v>
      </c>
      <c r="B8369" t="s">
        <v>1201</v>
      </c>
      <c r="C8369">
        <v>129</v>
      </c>
      <c r="D8369">
        <v>140.22999999999999</v>
      </c>
      <c r="E8369">
        <v>140.22</v>
      </c>
      <c r="F8369">
        <v>0.01</v>
      </c>
    </row>
    <row r="8370" spans="1:6" x14ac:dyDescent="0.3">
      <c r="A8370" t="str">
        <f>HYPERLINK("https://us2.cloudbeds.com/connect/10074733072513#/reservations/31684496589025?display=MHENAPV3F&amp;reservation_id=31684496589025", "MHENAPV3F")</f>
        <v>MHENAPV3F</v>
      </c>
      <c r="B8370" t="s">
        <v>1307</v>
      </c>
      <c r="C8370">
        <v>524</v>
      </c>
      <c r="D8370">
        <v>569.6</v>
      </c>
      <c r="E8370">
        <v>569.59</v>
      </c>
      <c r="F8370">
        <v>0.01</v>
      </c>
    </row>
    <row r="8371" spans="1:6" x14ac:dyDescent="0.3">
      <c r="A8371" t="str">
        <f>HYPERLINK("https://us2.cloudbeds.com/connect/10074733072513#/reservations/31682459762838?display=MHD49989Q&amp;reservation_id=31682459762838", "MHD49989Q")</f>
        <v>MHD49989Q</v>
      </c>
      <c r="B8371" t="s">
        <v>1287</v>
      </c>
      <c r="C8371">
        <v>169</v>
      </c>
      <c r="D8371">
        <v>183.71</v>
      </c>
      <c r="E8371">
        <v>183.7</v>
      </c>
      <c r="F8371">
        <v>0.01</v>
      </c>
    </row>
    <row r="8372" spans="1:6" x14ac:dyDescent="0.3">
      <c r="A8372" t="str">
        <f>HYPERLINK("https://us2.cloudbeds.com/connect/10074733072513#/reservations/31683532951794?display=MHDVN7AE8&amp;reservation_id=31683532951794", "MHDVN7AE8")</f>
        <v>MHDVN7AE8</v>
      </c>
      <c r="B8372" t="s">
        <v>1285</v>
      </c>
      <c r="C8372">
        <v>218</v>
      </c>
      <c r="D8372">
        <v>236.98</v>
      </c>
      <c r="E8372">
        <v>236.97</v>
      </c>
      <c r="F8372">
        <v>0.01</v>
      </c>
    </row>
    <row r="8373" spans="1:6" x14ac:dyDescent="0.3">
      <c r="A8373" t="str">
        <f>HYPERLINK("https://us2.cloudbeds.com/connect/10074733072513#/reservations/31679130427591?display=MHAX6TJFU&amp;reservation_id=31679130427591", "MHAX6TJFU")</f>
        <v>MHAX6TJFU</v>
      </c>
      <c r="B8373" t="s">
        <v>1304</v>
      </c>
      <c r="C8373">
        <v>298</v>
      </c>
      <c r="D8373">
        <v>323.94</v>
      </c>
      <c r="E8373">
        <v>323.93</v>
      </c>
      <c r="F8373">
        <v>0.01</v>
      </c>
    </row>
    <row r="8374" spans="1:6" x14ac:dyDescent="0.3">
      <c r="A8374" t="str">
        <f>HYPERLINK("https://us2.cloudbeds.com/connect/10074733072513#/reservations/31681712570584?display=MHCX67HB9&amp;reservation_id=31681712570584", "MHCX67HB9")</f>
        <v>MHCX67HB9</v>
      </c>
      <c r="B8374" t="s">
        <v>1201</v>
      </c>
      <c r="C8374">
        <v>129</v>
      </c>
      <c r="D8374">
        <v>140.22999999999999</v>
      </c>
      <c r="E8374">
        <v>140.22</v>
      </c>
      <c r="F8374">
        <v>0.01</v>
      </c>
    </row>
    <row r="8375" spans="1:6" x14ac:dyDescent="0.3">
      <c r="A8375" t="str">
        <f>HYPERLINK("https://us2.cloudbeds.com/connect/10074733072513#/reservations/31679021187242?display=MHAFDPQVA&amp;reservation_id=31679021187242", "MHAFDPQVA")</f>
        <v>MHAFDPQVA</v>
      </c>
      <c r="B8375" t="s">
        <v>1299</v>
      </c>
      <c r="C8375">
        <v>179</v>
      </c>
      <c r="D8375">
        <v>194.58</v>
      </c>
      <c r="E8375">
        <v>194.57</v>
      </c>
      <c r="F8375">
        <v>0.01</v>
      </c>
    </row>
    <row r="8376" spans="1:6" x14ac:dyDescent="0.3">
      <c r="A8376" t="str">
        <f>HYPERLINK("https://us2.cloudbeds.com/connect/10074733072513#/reservations/31679773069451?display=MHB1KQ1XM&amp;reservation_id=31679773069451", "MHB1KQ1XM")</f>
        <v>MHB1KQ1XM</v>
      </c>
      <c r="B8376" t="s">
        <v>1244</v>
      </c>
      <c r="C8376">
        <v>209</v>
      </c>
      <c r="D8376">
        <v>227.19</v>
      </c>
      <c r="E8376">
        <v>227.18</v>
      </c>
      <c r="F8376">
        <v>0.01</v>
      </c>
    </row>
    <row r="8377" spans="1:6" x14ac:dyDescent="0.3">
      <c r="A8377" t="str">
        <f>HYPERLINK("https://us2.cloudbeds.com/connect/10074733072513#/reservations/31680721637626?display=MHBPSYBNR&amp;reservation_id=31680721637626", "MHBPSYBNR")</f>
        <v>MHBPSYBNR</v>
      </c>
      <c r="B8377" t="s">
        <v>1299</v>
      </c>
      <c r="C8377">
        <v>149</v>
      </c>
      <c r="D8377">
        <v>161.97</v>
      </c>
      <c r="E8377">
        <v>161.96</v>
      </c>
      <c r="F8377">
        <v>0.01</v>
      </c>
    </row>
    <row r="8378" spans="1:6" x14ac:dyDescent="0.3">
      <c r="A8378" t="str">
        <f>HYPERLINK("https://us2.cloudbeds.com/connect/10074733072513#/reservations/31679920939234?display=MHB5DFZG6&amp;reservation_id=31679920939234", "MHB5DFZG6")</f>
        <v>MHB5DFZG6</v>
      </c>
      <c r="B8378" t="s">
        <v>1211</v>
      </c>
      <c r="C8378">
        <v>149</v>
      </c>
      <c r="D8378">
        <v>161.97</v>
      </c>
      <c r="E8378">
        <v>161.96</v>
      </c>
      <c r="F8378">
        <v>0.01</v>
      </c>
    </row>
    <row r="8379" spans="1:6" x14ac:dyDescent="0.3">
      <c r="A8379" t="str">
        <f>HYPERLINK("https://us2.cloudbeds.com/connect/10074733072513#/reservations/31679042756790?display=MHAFVW0MW&amp;reservation_id=31679042756790", "MHAFVW0MW")</f>
        <v>MHAFVW0MW</v>
      </c>
      <c r="B8379" t="s">
        <v>1299</v>
      </c>
      <c r="C8379">
        <v>169</v>
      </c>
      <c r="D8379">
        <v>183.71</v>
      </c>
      <c r="E8379">
        <v>183.7</v>
      </c>
      <c r="F8379">
        <v>0.01</v>
      </c>
    </row>
    <row r="8380" spans="1:6" x14ac:dyDescent="0.3">
      <c r="A8380" t="str">
        <f>HYPERLINK("https://us2.cloudbeds.com/connect/10074733072513#/reservations/31680172523676?display=MHBBRKES5&amp;reservation_id=31680172523676", "MHBBRKES5")</f>
        <v>MHBBRKES5</v>
      </c>
      <c r="B8380" t="s">
        <v>1211</v>
      </c>
      <c r="C8380">
        <v>298</v>
      </c>
      <c r="D8380">
        <v>323.94</v>
      </c>
      <c r="E8380">
        <v>323.93</v>
      </c>
      <c r="F8380">
        <v>0.01</v>
      </c>
    </row>
    <row r="8381" spans="1:6" x14ac:dyDescent="0.3">
      <c r="A8381" t="str">
        <f>HYPERLINK("https://us2.cloudbeds.com/connect/10074733072513#/reservations/31680179962107?display=MHBC0TEC5&amp;reservation_id=31680179962107", "MHBC0TEC5")</f>
        <v>MHBC0TEC5</v>
      </c>
      <c r="B8381" t="s">
        <v>1211</v>
      </c>
      <c r="C8381">
        <v>298</v>
      </c>
      <c r="D8381">
        <v>323.94</v>
      </c>
      <c r="E8381">
        <v>323.93</v>
      </c>
      <c r="F8381">
        <v>0.01</v>
      </c>
    </row>
    <row r="8382" spans="1:6" x14ac:dyDescent="0.3">
      <c r="A8382" t="str">
        <f>HYPERLINK("https://us2.cloudbeds.com/connect/10074733072513#/reservations/31683847241932?display=MHE6Z7TPR&amp;reservation_id=31683847241932", "MHE6Z7TPR")</f>
        <v>MHE6Z7TPR</v>
      </c>
      <c r="B8382" t="s">
        <v>1309</v>
      </c>
      <c r="C8382">
        <v>229</v>
      </c>
      <c r="D8382">
        <v>248.93</v>
      </c>
      <c r="E8382">
        <v>248.92</v>
      </c>
      <c r="F8382">
        <v>0.01</v>
      </c>
    </row>
    <row r="8383" spans="1:6" x14ac:dyDescent="0.3">
      <c r="A8383" t="str">
        <f>HYPERLINK("https://us2.cloudbeds.com/connect/10074733072513#/reservations/31680702910710?display=MHBPCS89H&amp;reservation_id=31680702910710", "MHBPCS89H")</f>
        <v>MHBPCS89H</v>
      </c>
      <c r="B8383" t="s">
        <v>1294</v>
      </c>
      <c r="C8383">
        <v>149</v>
      </c>
      <c r="D8383">
        <v>161.97</v>
      </c>
      <c r="E8383">
        <v>161.96</v>
      </c>
      <c r="F8383">
        <v>0.01</v>
      </c>
    </row>
    <row r="8384" spans="1:6" x14ac:dyDescent="0.3">
      <c r="A8384" t="str">
        <f>HYPERLINK("https://us2.cloudbeds.com/connect/10074733072513#/reservations/31680733712524?display=MHBQ5RBPR&amp;reservation_id=31680733712524", "MHBQ5RBPR")</f>
        <v>MHBQ5RBPR</v>
      </c>
      <c r="B8384" t="s">
        <v>1299</v>
      </c>
      <c r="C8384">
        <v>149</v>
      </c>
      <c r="D8384">
        <v>161.97</v>
      </c>
      <c r="E8384">
        <v>161.96</v>
      </c>
      <c r="F8384">
        <v>0.01</v>
      </c>
    </row>
    <row r="8385" spans="1:6" x14ac:dyDescent="0.3">
      <c r="A8385" t="str">
        <f>HYPERLINK("https://us2.cloudbeds.com/connect/10074733072513#/reservations/31683451633841?display=MHDTKYH9S&amp;reservation_id=31683451633841", "MHDTKYH9S")</f>
        <v>MHDTKYH9S</v>
      </c>
      <c r="B8385" t="s">
        <v>1154</v>
      </c>
      <c r="C8385">
        <v>158</v>
      </c>
      <c r="D8385">
        <v>171.76</v>
      </c>
      <c r="E8385">
        <v>171.75</v>
      </c>
      <c r="F8385">
        <v>0.01</v>
      </c>
    </row>
    <row r="8386" spans="1:6" x14ac:dyDescent="0.3">
      <c r="A8386" t="str">
        <f>HYPERLINK("https://us2.cloudbeds.com/connect/10074733072513#/reservations/31679720411297?display=MHB09CZW1&amp;reservation_id=31679720411297", "MHB09CZW1")</f>
        <v>MHB09CZW1</v>
      </c>
      <c r="B8386" t="s">
        <v>1203</v>
      </c>
      <c r="C8386">
        <v>282</v>
      </c>
      <c r="D8386">
        <v>306.54000000000002</v>
      </c>
      <c r="E8386">
        <v>306.52999999999997</v>
      </c>
      <c r="F8386">
        <v>0.01</v>
      </c>
    </row>
    <row r="8387" spans="1:6" x14ac:dyDescent="0.3">
      <c r="A8387" t="str">
        <f>HYPERLINK("https://us2.cloudbeds.com/connect/10074733072513#/reservations/31680758984851?display=MHBQR4JMU&amp;reservation_id=31680758984851", "MHBQR4JMU")</f>
        <v>MHBQR4JMU</v>
      </c>
      <c r="B8387" t="s">
        <v>1299</v>
      </c>
      <c r="C8387">
        <v>149</v>
      </c>
      <c r="D8387">
        <v>161.97</v>
      </c>
      <c r="E8387">
        <v>161.96</v>
      </c>
      <c r="F8387">
        <v>0.01</v>
      </c>
    </row>
    <row r="8388" spans="1:6" x14ac:dyDescent="0.3">
      <c r="A8388" t="str">
        <f>HYPERLINK("https://us2.cloudbeds.com/connect/10074733072513#/reservations/31680768491752?display=MHBR254KR&amp;reservation_id=31680768491752", "MHBR254KR")</f>
        <v>MHBR254KR</v>
      </c>
      <c r="B8388" t="s">
        <v>1299</v>
      </c>
      <c r="C8388">
        <v>149</v>
      </c>
      <c r="D8388">
        <v>161.97</v>
      </c>
      <c r="E8388">
        <v>161.96</v>
      </c>
      <c r="F8388">
        <v>0.01</v>
      </c>
    </row>
    <row r="8389" spans="1:6" x14ac:dyDescent="0.3">
      <c r="A8389" t="str">
        <f>HYPERLINK("https://us2.cloudbeds.com/connect/10074733072513#/reservations/31679062249671?display=MHAGFDEGB&amp;reservation_id=31679062249671", "MHAGFDEGB")</f>
        <v>MHAGFDEGB</v>
      </c>
      <c r="B8389" t="s">
        <v>1299</v>
      </c>
      <c r="C8389">
        <v>106.8</v>
      </c>
      <c r="D8389">
        <v>116.1</v>
      </c>
      <c r="E8389">
        <v>116.09</v>
      </c>
      <c r="F8389">
        <v>0.01</v>
      </c>
    </row>
    <row r="8390" spans="1:6" x14ac:dyDescent="0.3">
      <c r="A8390" t="str">
        <f>HYPERLINK("https://us2.cloudbeds.com/connect/10074733072513#/reservations/31679062253765?display=MHAGFDX8D&amp;reservation_id=31679062253765", "MHAGFDX8D")</f>
        <v>MHAGFDX8D</v>
      </c>
      <c r="B8390" t="s">
        <v>1299</v>
      </c>
      <c r="C8390">
        <v>169</v>
      </c>
      <c r="D8390">
        <v>183.71</v>
      </c>
      <c r="E8390">
        <v>183.7</v>
      </c>
      <c r="F8390">
        <v>0.01</v>
      </c>
    </row>
    <row r="8391" spans="1:6" x14ac:dyDescent="0.3">
      <c r="A8391" t="str">
        <f>HYPERLINK("https://us2.cloudbeds.com/connect/10074733072513#/reservations/31679073697943?display=MHAGP204M&amp;reservation_id=31679073697943", "MHAGP204M")</f>
        <v>MHAGP204M</v>
      </c>
      <c r="B8391" t="s">
        <v>1299</v>
      </c>
      <c r="C8391">
        <v>149</v>
      </c>
      <c r="D8391">
        <v>161.97</v>
      </c>
      <c r="E8391">
        <v>161.96</v>
      </c>
      <c r="F8391">
        <v>0.01</v>
      </c>
    </row>
    <row r="8392" spans="1:6" x14ac:dyDescent="0.3">
      <c r="A8392" t="str">
        <f>HYPERLINK("https://us2.cloudbeds.com/connect/10074733072513#/reservations/31680818766071?display=MHBSBX371&amp;reservation_id=31680818766071", "MHBSBX371")</f>
        <v>MHBSBX371</v>
      </c>
      <c r="B8392" t="s">
        <v>1304</v>
      </c>
      <c r="C8392">
        <v>149</v>
      </c>
      <c r="D8392">
        <v>161.97</v>
      </c>
      <c r="E8392">
        <v>161.96</v>
      </c>
      <c r="F8392">
        <v>0.01</v>
      </c>
    </row>
    <row r="8393" spans="1:6" x14ac:dyDescent="0.3">
      <c r="A8393" t="str">
        <f>HYPERLINK("https://us2.cloudbeds.com/connect/10074733072513#/reservations/31679111028952?display=MHAHNHQ7C&amp;reservation_id=31679111028952", "MHAHNHQ7C")</f>
        <v>MHAHNHQ7C</v>
      </c>
      <c r="B8393" t="s">
        <v>1299</v>
      </c>
      <c r="C8393">
        <v>106.8</v>
      </c>
      <c r="D8393">
        <v>116.1</v>
      </c>
      <c r="E8393">
        <v>116.09</v>
      </c>
      <c r="F8393">
        <v>0.01</v>
      </c>
    </row>
    <row r="8394" spans="1:6" x14ac:dyDescent="0.3">
      <c r="A8394" t="str">
        <f>HYPERLINK("https://us2.cloudbeds.com/connect/10074733072513#/reservations/31682475901077?display=MHD4MTAKB&amp;reservation_id=31682475901077", "MHD4MTAKB")</f>
        <v>MHD4MTAKB</v>
      </c>
      <c r="B8394" t="s">
        <v>1287</v>
      </c>
      <c r="C8394">
        <v>149</v>
      </c>
      <c r="D8394">
        <v>161.97</v>
      </c>
      <c r="E8394">
        <v>161.96</v>
      </c>
      <c r="F8394">
        <v>0.01</v>
      </c>
    </row>
    <row r="8395" spans="1:6" x14ac:dyDescent="0.3">
      <c r="A8395" t="str">
        <f>HYPERLINK("https://us2.cloudbeds.com/connect/10074733072513#/reservations/31682467004655?display=MHD4FCP8Q&amp;reservation_id=31682467004655", "MHD4FCP8Q")</f>
        <v>MHD4FCP8Q</v>
      </c>
      <c r="B8395" t="s">
        <v>1287</v>
      </c>
      <c r="C8395">
        <v>149</v>
      </c>
      <c r="D8395">
        <v>161.97</v>
      </c>
      <c r="E8395">
        <v>161.96</v>
      </c>
      <c r="F8395">
        <v>0.01</v>
      </c>
    </row>
    <row r="8396" spans="1:6" x14ac:dyDescent="0.3">
      <c r="A8396" t="str">
        <f>HYPERLINK("https://us2.cloudbeds.com/connect/10074733072513#/reservations/31685808881817?display=MHFNSBDWN&amp;reservation_id=31685808881817", "MHFNSBDWN")</f>
        <v>MHFNSBDWN</v>
      </c>
      <c r="B8396" t="s">
        <v>1135</v>
      </c>
      <c r="C8396">
        <v>169</v>
      </c>
      <c r="D8396">
        <v>183.71</v>
      </c>
      <c r="E8396">
        <v>183.7</v>
      </c>
      <c r="F8396">
        <v>0.01</v>
      </c>
    </row>
    <row r="8397" spans="1:6" x14ac:dyDescent="0.3">
      <c r="A8397" t="str">
        <f>HYPERLINK("https://us2.cloudbeds.com/connect/10074733072513#/reservations/31682674159784?display=MHD9P25BV&amp;reservation_id=31682674159784", "MHD9P25BV")</f>
        <v>MHD9P25BV</v>
      </c>
      <c r="B8397" t="s">
        <v>1118</v>
      </c>
      <c r="C8397">
        <v>139</v>
      </c>
      <c r="D8397">
        <v>151.1</v>
      </c>
      <c r="E8397">
        <v>151.09</v>
      </c>
      <c r="F8397">
        <v>0.01</v>
      </c>
    </row>
    <row r="8398" spans="1:6" x14ac:dyDescent="0.3">
      <c r="A8398" t="str">
        <f>HYPERLINK("https://us2.cloudbeds.com/connect/10074733072513#/reservations/31689010110608?display=MHX6YNB0P&amp;reservation_id=31689010110608", "MHX6YNB0P")</f>
        <v>MHX6YNB0P</v>
      </c>
      <c r="B8398" t="s">
        <v>974</v>
      </c>
      <c r="C8398">
        <v>219</v>
      </c>
      <c r="D8398">
        <v>238.06</v>
      </c>
      <c r="E8398">
        <v>238.05</v>
      </c>
      <c r="F8398">
        <v>0.01</v>
      </c>
    </row>
    <row r="8399" spans="1:6" x14ac:dyDescent="0.3">
      <c r="A8399" t="str">
        <f>HYPERLINK("https://us2.cloudbeds.com/connect/10074733072513#/reservations/31680827039947?display=MHBSXHATX&amp;reservation_id=31680827039947", "MHBSXHATX")</f>
        <v>MHBSXHATX</v>
      </c>
      <c r="B8399" t="s">
        <v>1304</v>
      </c>
      <c r="C8399">
        <v>149</v>
      </c>
      <c r="D8399">
        <v>161.97</v>
      </c>
      <c r="E8399">
        <v>161.96</v>
      </c>
      <c r="F8399">
        <v>0.01</v>
      </c>
    </row>
    <row r="8400" spans="1:6" x14ac:dyDescent="0.3">
      <c r="A8400" t="str">
        <f>HYPERLINK("https://us2.cloudbeds.com/connect/10074733072513#/reservations/31680834162849?display=MHBSZHHM2&amp;reservation_id=31680834162849", "MHBSZHHM2")</f>
        <v>MHBSZHHM2</v>
      </c>
      <c r="B8400" t="s">
        <v>1254</v>
      </c>
      <c r="C8400">
        <v>398</v>
      </c>
      <c r="D8400">
        <v>432.64</v>
      </c>
      <c r="E8400">
        <v>432.63</v>
      </c>
      <c r="F8400">
        <v>0.01</v>
      </c>
    </row>
    <row r="8401" spans="1:6" x14ac:dyDescent="0.3">
      <c r="A8401" t="str">
        <f>HYPERLINK("https://us2.cloudbeds.com/connect/10074733072513#/reservations/31679232548995?display=MHAKR08SU&amp;reservation_id=31679232548995", "MHAKR08SU")</f>
        <v>MHAKR08SU</v>
      </c>
      <c r="B8401" t="s">
        <v>1292</v>
      </c>
      <c r="C8401">
        <v>298</v>
      </c>
      <c r="D8401">
        <v>323.94</v>
      </c>
      <c r="E8401">
        <v>323.93</v>
      </c>
      <c r="F8401">
        <v>0.01</v>
      </c>
    </row>
    <row r="8402" spans="1:6" x14ac:dyDescent="0.3">
      <c r="A8402" t="str">
        <f>HYPERLINK("https://us2.cloudbeds.com/connect/10074733072513#/reservations/31681168683140?display=MHC49K1RJ&amp;reservation_id=31681168683140", "MHC49K1RJ")</f>
        <v>MHC49K1RJ</v>
      </c>
      <c r="B8402" t="s">
        <v>1135</v>
      </c>
      <c r="C8402">
        <v>438</v>
      </c>
      <c r="D8402">
        <v>476.12</v>
      </c>
      <c r="E8402">
        <v>476.11</v>
      </c>
      <c r="F8402">
        <v>0.01</v>
      </c>
    </row>
    <row r="8403" spans="1:6" x14ac:dyDescent="0.3">
      <c r="A8403" t="str">
        <f>HYPERLINK("https://us2.cloudbeds.com/connect/10074733072513#/reservations/31680854327536?display=MHBT8HYC6&amp;reservation_id=31680854327536", "MHBT8HYC6")</f>
        <v>MHBT8HYC6</v>
      </c>
      <c r="B8403" t="s">
        <v>1304</v>
      </c>
      <c r="C8403">
        <v>159</v>
      </c>
      <c r="D8403">
        <v>172.84</v>
      </c>
      <c r="E8403">
        <v>172.83</v>
      </c>
      <c r="F8403">
        <v>0.01</v>
      </c>
    </row>
    <row r="8404" spans="1:6" x14ac:dyDescent="0.3">
      <c r="A8404" t="str">
        <f>HYPERLINK("https://us2.cloudbeds.com/connect/10074733072513#/reservations/31680859263173?display=MHBTCMWKV&amp;reservation_id=31680859263173", "MHBTCMWKV")</f>
        <v>MHBTCMWKV</v>
      </c>
      <c r="B8404" t="s">
        <v>1304</v>
      </c>
      <c r="C8404">
        <v>159</v>
      </c>
      <c r="D8404">
        <v>172.84</v>
      </c>
      <c r="E8404">
        <v>172.83</v>
      </c>
      <c r="F8404">
        <v>0.01</v>
      </c>
    </row>
    <row r="8405" spans="1:6" x14ac:dyDescent="0.3">
      <c r="A8405" t="str">
        <f>HYPERLINK("https://us2.cloudbeds.com/connect/10074733072513#/reservations/31680897929372?display=MHBUC9UPV&amp;reservation_id=31680897929372", "MHBUC9UPV")</f>
        <v>MHBUC9UPV</v>
      </c>
      <c r="B8405" t="s">
        <v>1254</v>
      </c>
      <c r="C8405">
        <v>229</v>
      </c>
      <c r="D8405">
        <v>248.93</v>
      </c>
      <c r="E8405">
        <v>248.92</v>
      </c>
      <c r="F8405">
        <v>0.01</v>
      </c>
    </row>
    <row r="8406" spans="1:6" x14ac:dyDescent="0.3">
      <c r="A8406" t="str">
        <f>HYPERLINK("https://us2.cloudbeds.com/connect/10074733072513#/reservations/31680929448124?display=MHBV5SWKY&amp;reservation_id=31680929448124", "MHBV5SWKY")</f>
        <v>MHBV5SWKY</v>
      </c>
      <c r="B8406" t="s">
        <v>1304</v>
      </c>
      <c r="C8406">
        <v>159</v>
      </c>
      <c r="D8406">
        <v>172.84</v>
      </c>
      <c r="E8406">
        <v>172.83</v>
      </c>
      <c r="F8406">
        <v>0.01</v>
      </c>
    </row>
    <row r="8407" spans="1:6" x14ac:dyDescent="0.3">
      <c r="A8407" t="str">
        <f>HYPERLINK("https://us2.cloudbeds.com/connect/10074733072513#/reservations/31680805462177?display=MHBS0ATJZ&amp;reservation_id=31680805462177", "MHBS0ATJZ")</f>
        <v>MHBS0ATJZ</v>
      </c>
      <c r="B8407" t="s">
        <v>1304</v>
      </c>
      <c r="C8407">
        <v>106.8</v>
      </c>
      <c r="D8407">
        <v>116.1</v>
      </c>
      <c r="E8407">
        <v>116.09</v>
      </c>
      <c r="F8407">
        <v>0.01</v>
      </c>
    </row>
    <row r="8408" spans="1:6" x14ac:dyDescent="0.3">
      <c r="A8408" t="str">
        <f>HYPERLINK("https://us2.cloudbeds.com/connect/10074733072513#/reservations/31681174880423?display=MHC4ERGY1&amp;reservation_id=31681174880423", "MHC4ERGY1")</f>
        <v>MHC4ERGY1</v>
      </c>
      <c r="B8408" t="s">
        <v>1135</v>
      </c>
      <c r="C8408">
        <v>199</v>
      </c>
      <c r="D8408">
        <v>216.32</v>
      </c>
      <c r="E8408">
        <v>216.31</v>
      </c>
      <c r="F8408">
        <v>0.01</v>
      </c>
    </row>
    <row r="8409" spans="1:6" x14ac:dyDescent="0.3">
      <c r="A8409" t="str">
        <f>HYPERLINK("https://us2.cloudbeds.com/connect/10074733072513#/reservations/31679698632849?display=MHAWZ0ZD2&amp;reservation_id=31679698632849", "MHAWZ0ZD2")</f>
        <v>MHAWZ0ZD2</v>
      </c>
      <c r="B8409" t="s">
        <v>1203</v>
      </c>
      <c r="C8409">
        <v>358</v>
      </c>
      <c r="D8409">
        <v>389.16</v>
      </c>
      <c r="E8409">
        <v>389.15</v>
      </c>
      <c r="F8409">
        <v>0.01</v>
      </c>
    </row>
    <row r="8410" spans="1:6" x14ac:dyDescent="0.3">
      <c r="A8410" t="str">
        <f>HYPERLINK("https://us2.cloudbeds.com/connect/10074733072513#/reservations/31679150141569?display=MHAXNH5A6&amp;reservation_id=31679150141569", "MHAXNH5A6")</f>
        <v>MHAXNH5A6</v>
      </c>
      <c r="B8410" t="s">
        <v>1304</v>
      </c>
      <c r="C8410">
        <v>159</v>
      </c>
      <c r="D8410">
        <v>172.84</v>
      </c>
      <c r="E8410">
        <v>172.83</v>
      </c>
      <c r="F8410">
        <v>0.01</v>
      </c>
    </row>
    <row r="8411" spans="1:6" x14ac:dyDescent="0.3">
      <c r="A8411" t="str">
        <f>HYPERLINK("https://us2.cloudbeds.com/connect/10074733072513#/reservations/31680934158539?display=MHBV9S22G&amp;reservation_id=31680934158539", "MHBV9S22G")</f>
        <v>MHBV9S22G</v>
      </c>
      <c r="B8411" t="s">
        <v>1304</v>
      </c>
      <c r="C8411">
        <v>106.8</v>
      </c>
      <c r="D8411">
        <v>116.1</v>
      </c>
      <c r="E8411">
        <v>116.09</v>
      </c>
      <c r="F8411">
        <v>0.01</v>
      </c>
    </row>
    <row r="8412" spans="1:6" x14ac:dyDescent="0.3">
      <c r="A8412" t="str">
        <f>HYPERLINK("https://us2.cloudbeds.com/connect/10074733072513#/reservations/31681142939852?display=MHC3KTNEV&amp;reservation_id=31681142939852", "MHC3KTNEV")</f>
        <v>MHC3KTNEV</v>
      </c>
      <c r="B8412" t="s">
        <v>1174</v>
      </c>
      <c r="C8412">
        <v>199</v>
      </c>
      <c r="D8412">
        <v>216.32</v>
      </c>
      <c r="E8412">
        <v>216.31</v>
      </c>
      <c r="F8412">
        <v>0.01</v>
      </c>
    </row>
    <row r="8413" spans="1:6" x14ac:dyDescent="0.3">
      <c r="A8413" t="str">
        <f>HYPERLINK("https://us2.cloudbeds.com/connect/10074733072513#/reservations/31681942700256?display=MHCZ297BN&amp;reservation_id=31681942700256", "MHCZ297BN")</f>
        <v>MHCZ297BN</v>
      </c>
      <c r="B8413" t="s">
        <v>1202</v>
      </c>
      <c r="C8413">
        <v>149</v>
      </c>
      <c r="D8413">
        <v>161.97</v>
      </c>
      <c r="E8413">
        <v>161.96</v>
      </c>
      <c r="F8413">
        <v>0.01</v>
      </c>
    </row>
    <row r="8414" spans="1:6" x14ac:dyDescent="0.3">
      <c r="A8414" t="str">
        <f>HYPERLINK("https://us2.cloudbeds.com/connect/10074733072513#/reservations/31680743022817?display=MHBQDME5U&amp;reservation_id=31680743022817", "MHBQDME5U")</f>
        <v>MHBQDME5U</v>
      </c>
      <c r="B8414" t="s">
        <v>1299</v>
      </c>
      <c r="C8414">
        <v>149</v>
      </c>
      <c r="D8414">
        <v>161.97</v>
      </c>
      <c r="E8414">
        <v>161.96</v>
      </c>
      <c r="F8414">
        <v>0.01</v>
      </c>
    </row>
    <row r="8415" spans="1:6" x14ac:dyDescent="0.3">
      <c r="A8415" t="str">
        <f>HYPERLINK("https://us2.cloudbeds.com/connect/10074733072513#/reservations/31682687516859?display=MHDA3ARQQ&amp;reservation_id=31682687516859", "MHDA3ARQQ")</f>
        <v>MHDA3ARQQ</v>
      </c>
      <c r="B8415" t="s">
        <v>1118</v>
      </c>
      <c r="C8415">
        <v>179</v>
      </c>
      <c r="D8415">
        <v>194.58</v>
      </c>
      <c r="E8415">
        <v>194.57</v>
      </c>
      <c r="F8415">
        <v>0.01</v>
      </c>
    </row>
    <row r="8416" spans="1:6" x14ac:dyDescent="0.3">
      <c r="A8416" t="str">
        <f>HYPERLINK("https://us2.cloudbeds.com/connect/10074733072513#/reservations/31680004325629?display=MHB7HQ30Y&amp;reservation_id=31680004325629", "MHB7HQ30Y")</f>
        <v>MHB7HQ30Y</v>
      </c>
      <c r="B8416" t="s">
        <v>1306</v>
      </c>
      <c r="C8416">
        <v>149</v>
      </c>
      <c r="D8416">
        <v>161.97</v>
      </c>
      <c r="E8416">
        <v>161.96</v>
      </c>
      <c r="F8416">
        <v>0.01</v>
      </c>
    </row>
    <row r="8417" spans="1:6" x14ac:dyDescent="0.3">
      <c r="A8417" t="str">
        <f>HYPERLINK("https://us2.cloudbeds.com/connect/10074733072513#/reservations/31683193086127?display=MHDN0Y1ZY&amp;reservation_id=31683193086127", "MHDN0Y1ZY")</f>
        <v>MHDN0Y1ZY</v>
      </c>
      <c r="B8417" t="s">
        <v>1287</v>
      </c>
      <c r="C8417">
        <v>199</v>
      </c>
      <c r="D8417">
        <v>216.32</v>
      </c>
      <c r="E8417">
        <v>216.31</v>
      </c>
      <c r="F8417">
        <v>0.01</v>
      </c>
    </row>
    <row r="8418" spans="1:6" x14ac:dyDescent="0.3">
      <c r="A8418" t="str">
        <f>HYPERLINK("https://us2.cloudbeds.com/connect/10074733072513#/reservations/31682540937424?display=MHD6BZ1PZ&amp;reservation_id=31682540937424", "MHD6BZ1PZ")</f>
        <v>MHD6BZ1PZ</v>
      </c>
      <c r="B8418" t="s">
        <v>1174</v>
      </c>
      <c r="C8418">
        <v>428</v>
      </c>
      <c r="D8418">
        <v>465.25</v>
      </c>
      <c r="E8418">
        <v>465.24</v>
      </c>
      <c r="F8418">
        <v>0.01</v>
      </c>
    </row>
    <row r="8419" spans="1:6" x14ac:dyDescent="0.3">
      <c r="A8419" t="str">
        <f>HYPERLINK("https://us2.cloudbeds.com/connect/10074733072513#/reservations/31682522030296?display=MHD5SPUSF&amp;reservation_id=31682522030296", "MHD5SPUSF")</f>
        <v>MHD5SPUSF</v>
      </c>
      <c r="B8419" t="s">
        <v>1174</v>
      </c>
      <c r="C8419">
        <v>428</v>
      </c>
      <c r="D8419">
        <v>465.25</v>
      </c>
      <c r="E8419">
        <v>465.24</v>
      </c>
      <c r="F8419">
        <v>0.01</v>
      </c>
    </row>
    <row r="8420" spans="1:6" x14ac:dyDescent="0.3">
      <c r="A8420" t="str">
        <f>HYPERLINK("https://us2.cloudbeds.com/connect/10074733072513#/reservations/31681338429610?display=MHC8KZGX0&amp;reservation_id=31681338429610", "MHC8KZGX0")</f>
        <v>MHC8KZGX0</v>
      </c>
      <c r="B8420" t="s">
        <v>1311</v>
      </c>
      <c r="C8420">
        <v>149</v>
      </c>
      <c r="D8420">
        <v>161.97</v>
      </c>
      <c r="E8420">
        <v>161.96</v>
      </c>
      <c r="F8420">
        <v>0.01</v>
      </c>
    </row>
    <row r="8421" spans="1:6" x14ac:dyDescent="0.3">
      <c r="A8421" t="str">
        <f>HYPERLINK("https://us2.cloudbeds.com/connect/10074733072513#/reservations/31680065978618?display=MHB93PMB1&amp;reservation_id=31680065978618", "MHB93PMB1")</f>
        <v>MHB93PMB1</v>
      </c>
      <c r="B8421" t="s">
        <v>1306</v>
      </c>
      <c r="C8421">
        <v>129</v>
      </c>
      <c r="D8421">
        <v>140.22999999999999</v>
      </c>
      <c r="E8421">
        <v>140.22</v>
      </c>
      <c r="F8421">
        <v>0.01</v>
      </c>
    </row>
    <row r="8422" spans="1:6" x14ac:dyDescent="0.3">
      <c r="A8422" t="str">
        <f>HYPERLINK("https://us2.cloudbeds.com/connect/10074733072513#/reservations/31683085783185?display=MHDK9569B&amp;reservation_id=31683085783185", "MHDK9569B")</f>
        <v>MHDK9569B</v>
      </c>
      <c r="B8422" t="s">
        <v>1256</v>
      </c>
      <c r="C8422">
        <v>199</v>
      </c>
      <c r="D8422">
        <v>216.32</v>
      </c>
      <c r="E8422">
        <v>216.31</v>
      </c>
      <c r="F8422">
        <v>0.01</v>
      </c>
    </row>
    <row r="8423" spans="1:6" x14ac:dyDescent="0.3">
      <c r="A8423" t="str">
        <f>HYPERLINK("https://us2.cloudbeds.com/connect/10074733072513#/reservations/31681453514881?display=MHCBXPUAF&amp;reservation_id=31681453514881", "MHCBXPUAF")</f>
        <v>MHCBXPUAF</v>
      </c>
      <c r="B8423" t="s">
        <v>1310</v>
      </c>
      <c r="C8423">
        <v>73</v>
      </c>
      <c r="D8423">
        <v>79.36</v>
      </c>
      <c r="E8423">
        <v>79.349999999999994</v>
      </c>
      <c r="F8423">
        <v>0.01</v>
      </c>
    </row>
    <row r="8424" spans="1:6" x14ac:dyDescent="0.3">
      <c r="A8424" t="str">
        <f>HYPERLINK("https://us2.cloudbeds.com/connect/10074733072513#/reservations/31681456173278?display=MHCBY0TEV&amp;reservation_id=31681456173278", "MHCBY0TEV")</f>
        <v>MHCBY0TEV</v>
      </c>
      <c r="B8424" t="s">
        <v>1310</v>
      </c>
      <c r="C8424">
        <v>149</v>
      </c>
      <c r="D8424">
        <v>161.97</v>
      </c>
      <c r="E8424">
        <v>161.96</v>
      </c>
      <c r="F8424">
        <v>0.01</v>
      </c>
    </row>
    <row r="8425" spans="1:6" x14ac:dyDescent="0.3">
      <c r="A8425" t="str">
        <f>HYPERLINK("https://us2.cloudbeds.com/connect/10074733072513#/reservations/31679442591946?display=MHAQ640PR&amp;reservation_id=31679442591946", "MHAQ640PR")</f>
        <v>MHAQ640PR</v>
      </c>
      <c r="B8425" t="s">
        <v>1202</v>
      </c>
      <c r="C8425">
        <v>483.3</v>
      </c>
      <c r="D8425">
        <v>525.36</v>
      </c>
      <c r="E8425">
        <v>525.35</v>
      </c>
      <c r="F8425">
        <v>0.01</v>
      </c>
    </row>
    <row r="8426" spans="1:6" x14ac:dyDescent="0.3">
      <c r="A8426" t="str">
        <f>HYPERLINK("https://us2.cloudbeds.com/connect/10074733072513#/reservations/31680196075755?display=MHBCEFR3H&amp;reservation_id=31680196075755", "MHBCEFR3H")</f>
        <v>MHBCEFR3H</v>
      </c>
      <c r="B8426" t="s">
        <v>1211</v>
      </c>
      <c r="C8426">
        <v>149</v>
      </c>
      <c r="D8426">
        <v>161.97</v>
      </c>
      <c r="E8426">
        <v>161.96</v>
      </c>
      <c r="F8426">
        <v>0.01</v>
      </c>
    </row>
    <row r="8427" spans="1:6" x14ac:dyDescent="0.3">
      <c r="A8427" t="str">
        <f>HYPERLINK("https://us2.cloudbeds.com/connect/10074733072513#/reservations/31684167262379?display=MHEEU2V43&amp;reservation_id=31684167262379", "MHEEU2V43")</f>
        <v>MHEEU2V43</v>
      </c>
      <c r="B8427" t="s">
        <v>1139</v>
      </c>
      <c r="C8427">
        <v>129</v>
      </c>
      <c r="D8427">
        <v>140.22999999999999</v>
      </c>
      <c r="E8427">
        <v>140.22</v>
      </c>
      <c r="F8427">
        <v>0.01</v>
      </c>
    </row>
    <row r="8428" spans="1:6" x14ac:dyDescent="0.3">
      <c r="A8428" t="str">
        <f>HYPERLINK("https://us2.cloudbeds.com/connect/10074733072513#/reservations/31683613839544?display=MHE0PE4H6&amp;reservation_id=31683613839544", "MHE0PE4H6")</f>
        <v>MHE0PE4H6</v>
      </c>
      <c r="B8428" t="s">
        <v>1285</v>
      </c>
      <c r="C8428">
        <v>189</v>
      </c>
      <c r="D8428">
        <v>205.45</v>
      </c>
      <c r="E8428">
        <v>205.44</v>
      </c>
      <c r="F8428">
        <v>0.01</v>
      </c>
    </row>
    <row r="8429" spans="1:6" x14ac:dyDescent="0.3">
      <c r="A8429" t="str">
        <f>HYPERLINK("https://us2.cloudbeds.com/connect/10074733072513#/reservations/31683556974804?display=MHDWAFQ48&amp;reservation_id=31683556974804", "MHDWAFQ48")</f>
        <v>MHDWAFQ48</v>
      </c>
      <c r="B8429" t="s">
        <v>1285</v>
      </c>
      <c r="C8429">
        <v>1004</v>
      </c>
      <c r="D8429">
        <v>1091.3599999999999</v>
      </c>
      <c r="E8429">
        <v>1091.3499999999999</v>
      </c>
      <c r="F8429">
        <v>0.01</v>
      </c>
    </row>
    <row r="8430" spans="1:6" x14ac:dyDescent="0.3">
      <c r="A8430" t="str">
        <f>HYPERLINK("https://us2.cloudbeds.com/connect/10074733072513#/reservations/31679086919822?display=MHAH36UEM&amp;reservation_id=31679086919822", "MHAH36UEM")</f>
        <v>MHAH36UEM</v>
      </c>
      <c r="B8430" t="s">
        <v>1291</v>
      </c>
      <c r="C8430">
        <v>178</v>
      </c>
      <c r="D8430">
        <v>193.5</v>
      </c>
      <c r="E8430">
        <v>193.49</v>
      </c>
      <c r="F8430">
        <v>0.01</v>
      </c>
    </row>
    <row r="8431" spans="1:6" x14ac:dyDescent="0.3">
      <c r="A8431" t="str">
        <f>HYPERLINK("https://us2.cloudbeds.com/connect/10074733072513#/reservations/31679080378611?display=MHAGUMTR5&amp;reservation_id=31679080378611", "MHAGUMTR5")</f>
        <v>MHAGUMTR5</v>
      </c>
      <c r="B8431" t="s">
        <v>1291</v>
      </c>
      <c r="C8431">
        <v>158</v>
      </c>
      <c r="D8431">
        <v>171.76</v>
      </c>
      <c r="E8431">
        <v>171.75</v>
      </c>
      <c r="F8431">
        <v>0.01</v>
      </c>
    </row>
    <row r="8432" spans="1:6" x14ac:dyDescent="0.3">
      <c r="A8432" t="str">
        <f>HYPERLINK("https://us2.cloudbeds.com/connect/10074733072513#/reservations/31679289082019?display=MHAM8MCYS&amp;reservation_id=31679289082019", "MHAM8MCYS")</f>
        <v>MHAM8MCYS</v>
      </c>
      <c r="B8432" t="s">
        <v>1312</v>
      </c>
      <c r="C8432">
        <v>149</v>
      </c>
      <c r="D8432">
        <v>161.97</v>
      </c>
      <c r="E8432">
        <v>161.96</v>
      </c>
      <c r="F8432">
        <v>0.01</v>
      </c>
    </row>
    <row r="8433" spans="1:6" x14ac:dyDescent="0.3">
      <c r="A8433" t="str">
        <f>HYPERLINK("https://us2.cloudbeds.com/connect/10074733072513#/reservations/31679105884291?display=MHAHJ6Y0X&amp;reservation_id=31679105884291", "MHAHJ6Y0X")</f>
        <v>MHAHJ6Y0X</v>
      </c>
      <c r="B8433" t="s">
        <v>1291</v>
      </c>
      <c r="C8433">
        <v>225</v>
      </c>
      <c r="D8433">
        <v>244.59</v>
      </c>
      <c r="E8433">
        <v>244.58</v>
      </c>
      <c r="F8433">
        <v>0.01</v>
      </c>
    </row>
    <row r="8434" spans="1:6" x14ac:dyDescent="0.3">
      <c r="A8434" t="str">
        <f>HYPERLINK("https://us2.cloudbeds.com/connect/10074733072513#/reservations/31679113679092?display=MHAHPPHPY&amp;reservation_id=31679113679092", "MHAHPPHPY")</f>
        <v>MHAHPPHPY</v>
      </c>
      <c r="B8434" t="s">
        <v>1291</v>
      </c>
      <c r="C8434">
        <v>73</v>
      </c>
      <c r="D8434">
        <v>79.36</v>
      </c>
      <c r="E8434">
        <v>79.349999999999994</v>
      </c>
      <c r="F8434">
        <v>0.01</v>
      </c>
    </row>
    <row r="8435" spans="1:6" x14ac:dyDescent="0.3">
      <c r="A8435" t="str">
        <f>HYPERLINK("https://us2.cloudbeds.com/connect/10074733072513#/reservations/31679207944352?display=MHAK68K2M&amp;reservation_id=31679207944352", "MHAK68K2M")</f>
        <v>MHAK68K2M</v>
      </c>
      <c r="B8435" t="s">
        <v>1292</v>
      </c>
      <c r="C8435">
        <v>149</v>
      </c>
      <c r="D8435">
        <v>161.97</v>
      </c>
      <c r="E8435">
        <v>161.96</v>
      </c>
      <c r="F8435">
        <v>0.01</v>
      </c>
    </row>
    <row r="8436" spans="1:6" x14ac:dyDescent="0.3">
      <c r="A8436" t="str">
        <f>HYPERLINK("https://us2.cloudbeds.com/connect/10074733072513#/reservations/31679256469751?display=MHAYE5TMA&amp;reservation_id=31679256469751", "MHAYE5TMA")</f>
        <v>MHAYE5TMA</v>
      </c>
      <c r="B8436" t="s">
        <v>1292</v>
      </c>
      <c r="C8436">
        <v>218</v>
      </c>
      <c r="D8436">
        <v>236.98</v>
      </c>
      <c r="E8436">
        <v>236.97</v>
      </c>
      <c r="F8436">
        <v>0.01</v>
      </c>
    </row>
    <row r="8437" spans="1:6" x14ac:dyDescent="0.3">
      <c r="A8437" t="str">
        <f>HYPERLINK("https://us2.cloudbeds.com/connect/10074733072513#/reservations/31679281348747?display=MHAM256D9&amp;reservation_id=31679281348747", "MHAM256D9")</f>
        <v>MHAM256D9</v>
      </c>
      <c r="B8437" t="s">
        <v>1312</v>
      </c>
      <c r="C8437">
        <v>127.27</v>
      </c>
      <c r="D8437">
        <v>138.35</v>
      </c>
      <c r="E8437">
        <v>138.34</v>
      </c>
      <c r="F8437">
        <v>0.01</v>
      </c>
    </row>
    <row r="8438" spans="1:6" x14ac:dyDescent="0.3">
      <c r="A8438" t="str">
        <f>HYPERLINK("https://us2.cloudbeds.com/connect/10074733072513#/reservations/31679869612184?display=MHB436G71&amp;reservation_id=31679869612184", "MHB436G71")</f>
        <v>MHB436G71</v>
      </c>
      <c r="B8438" t="s">
        <v>1211</v>
      </c>
      <c r="C8438">
        <v>312</v>
      </c>
      <c r="D8438">
        <v>339.15</v>
      </c>
      <c r="E8438">
        <v>339.14</v>
      </c>
      <c r="F8438">
        <v>0.01</v>
      </c>
    </row>
    <row r="8439" spans="1:6" x14ac:dyDescent="0.3">
      <c r="A8439" t="str">
        <f>HYPERLINK("https://us2.cloudbeds.com/connect/10074733072513#/reservations/31679953014920?display=MHB67H9ZM&amp;reservation_id=31679953014920", "MHB67H9ZM")</f>
        <v>MHB67H9ZM</v>
      </c>
      <c r="B8439" t="s">
        <v>1211</v>
      </c>
      <c r="C8439">
        <v>79</v>
      </c>
      <c r="D8439">
        <v>85.88</v>
      </c>
      <c r="E8439">
        <v>85.87</v>
      </c>
      <c r="F8439">
        <v>0.01</v>
      </c>
    </row>
    <row r="8440" spans="1:6" x14ac:dyDescent="0.3">
      <c r="A8440" t="str">
        <f>HYPERLINK("https://us2.cloudbeds.com/connect/10074733072513#/reservations/31679960522972?display=MHB6DS76D&amp;reservation_id=31679960522972", "MHB6DS76D")</f>
        <v>MHB6DS76D</v>
      </c>
      <c r="B8440" t="s">
        <v>1211</v>
      </c>
      <c r="C8440">
        <v>158</v>
      </c>
      <c r="D8440">
        <v>171.76</v>
      </c>
      <c r="E8440">
        <v>171.75</v>
      </c>
      <c r="F8440">
        <v>0.01</v>
      </c>
    </row>
    <row r="8441" spans="1:6" x14ac:dyDescent="0.3">
      <c r="A8441" t="str">
        <f>HYPERLINK("https://us2.cloudbeds.com/connect/10074733072513#/reservations/31680199143553?display=MHBCH2663&amp;reservation_id=31680199143553", "MHBCH2663")</f>
        <v>MHBCH2663</v>
      </c>
      <c r="B8441" t="s">
        <v>1211</v>
      </c>
      <c r="C8441">
        <v>149</v>
      </c>
      <c r="D8441">
        <v>161.97</v>
      </c>
      <c r="E8441">
        <v>161.96</v>
      </c>
      <c r="F8441">
        <v>0.01</v>
      </c>
    </row>
    <row r="8442" spans="1:6" x14ac:dyDescent="0.3">
      <c r="A8442" t="str">
        <f>HYPERLINK("https://us2.cloudbeds.com/connect/10074733072513#/reservations/31683100147840?display=MHDKF991P&amp;reservation_id=31683100147840", "MHDKF991P")</f>
        <v>MHDKF991P</v>
      </c>
      <c r="B8442" t="s">
        <v>1256</v>
      </c>
      <c r="C8442">
        <v>229</v>
      </c>
      <c r="D8442">
        <v>248.93</v>
      </c>
      <c r="E8442">
        <v>248.92</v>
      </c>
      <c r="F8442">
        <v>0.01</v>
      </c>
    </row>
    <row r="8443" spans="1:6" x14ac:dyDescent="0.3">
      <c r="A8443" t="str">
        <f>HYPERLINK("https://us2.cloudbeds.com/connect/10074733072513#/reservations/31679655039156?display=MHAVK8MF2&amp;reservation_id=31679655039156", "MHAVK8MF2")</f>
        <v>MHAVK8MF2</v>
      </c>
      <c r="B8443" t="s">
        <v>1292</v>
      </c>
      <c r="C8443">
        <v>149</v>
      </c>
      <c r="D8443">
        <v>161.97</v>
      </c>
      <c r="E8443">
        <v>161.96</v>
      </c>
      <c r="F8443">
        <v>0.01</v>
      </c>
    </row>
    <row r="8444" spans="1:6" x14ac:dyDescent="0.3">
      <c r="A8444" t="str">
        <f>HYPERLINK("https://us2.cloudbeds.com/connect/10074733072513#/reservations/31693745979537?display=MHYSM3SYE&amp;reservation_id=31693745979537", "MHYSM3SYE")</f>
        <v>MHYSM3SYE</v>
      </c>
      <c r="B8444" t="s">
        <v>1314</v>
      </c>
      <c r="C8444">
        <v>338</v>
      </c>
      <c r="D8444">
        <v>367.42</v>
      </c>
      <c r="E8444">
        <v>367.41</v>
      </c>
      <c r="F8444">
        <v>0.01</v>
      </c>
    </row>
    <row r="8445" spans="1:6" x14ac:dyDescent="0.3">
      <c r="A8445" t="str">
        <f>HYPERLINK("https://us2.cloudbeds.com/connect/10074733072513#/reservations/31679887270100?display=MHB4X2S0D&amp;reservation_id=31679887270100", "MHB4X2S0D")</f>
        <v>MHB4X2S0D</v>
      </c>
      <c r="B8445" t="s">
        <v>1211</v>
      </c>
      <c r="C8445">
        <v>244.76</v>
      </c>
      <c r="D8445">
        <v>266.06</v>
      </c>
      <c r="E8445">
        <v>266.05</v>
      </c>
      <c r="F8445">
        <v>0.01</v>
      </c>
    </row>
    <row r="8446" spans="1:6" x14ac:dyDescent="0.3">
      <c r="A8446" t="str">
        <f>HYPERLINK("https://us2.cloudbeds.com/connect/10074733072513#/reservations/31681450602690?display=MHCBGAT48&amp;reservation_id=31681450602690", "MHCBGAT48")</f>
        <v>MHCBGAT48</v>
      </c>
      <c r="B8446" t="s">
        <v>1201</v>
      </c>
      <c r="C8446">
        <v>129</v>
      </c>
      <c r="D8446">
        <v>140.22999999999999</v>
      </c>
      <c r="E8446">
        <v>140.22</v>
      </c>
      <c r="F8446">
        <v>0.01</v>
      </c>
    </row>
    <row r="8447" spans="1:6" x14ac:dyDescent="0.3">
      <c r="A8447" t="str">
        <f>HYPERLINK("https://us2.cloudbeds.com/connect/10074733072513#/reservations/31694225739950?display=MHM7UYTWX&amp;reservation_id=31694225739950", "MHM7UYTWX")</f>
        <v>MHM7UYTWX</v>
      </c>
      <c r="B8447" t="s">
        <v>1315</v>
      </c>
      <c r="C8447">
        <v>189</v>
      </c>
      <c r="D8447">
        <v>205.45</v>
      </c>
      <c r="E8447">
        <v>205.44</v>
      </c>
      <c r="F8447">
        <v>0.01</v>
      </c>
    </row>
    <row r="8448" spans="1:6" x14ac:dyDescent="0.3">
      <c r="A8448" t="str">
        <f>HYPERLINK("https://us2.cloudbeds.com/connect/10074733072513#/reservations/31679600357566?display=MHAU752Q6&amp;reservation_id=31679600357566", "MHAU752Q6")</f>
        <v>MHAU752Q6</v>
      </c>
      <c r="B8448" t="s">
        <v>1292</v>
      </c>
      <c r="C8448">
        <v>189</v>
      </c>
      <c r="D8448">
        <v>205.45</v>
      </c>
      <c r="E8448">
        <v>205.44</v>
      </c>
      <c r="F8448">
        <v>0.01</v>
      </c>
    </row>
    <row r="8449" spans="1:6" x14ac:dyDescent="0.3">
      <c r="A8449" t="str">
        <f>HYPERLINK("https://us2.cloudbeds.com/connect/10074733072513#/reservations/31680242192615?display=MHBDKC304&amp;reservation_id=31680242192615", "MHBDKC304")</f>
        <v>MHBDKC304</v>
      </c>
      <c r="B8449" t="s">
        <v>1211</v>
      </c>
      <c r="C8449">
        <v>150</v>
      </c>
      <c r="D8449">
        <v>163.06</v>
      </c>
      <c r="E8449">
        <v>163.05000000000001</v>
      </c>
      <c r="F8449">
        <v>0.01</v>
      </c>
    </row>
    <row r="8450" spans="1:6" x14ac:dyDescent="0.3">
      <c r="A8450" t="str">
        <f>HYPERLINK("https://us2.cloudbeds.com/connect/10074733072513#/reservations/31680957304989?display=MHBVTC4S2&amp;reservation_id=31680957304989", "MHBVTC4S2")</f>
        <v>MHBVTC4S2</v>
      </c>
      <c r="B8450" t="s">
        <v>1254</v>
      </c>
      <c r="C8450">
        <v>378</v>
      </c>
      <c r="D8450">
        <v>410.9</v>
      </c>
      <c r="E8450">
        <v>410.89</v>
      </c>
      <c r="F8450">
        <v>0.01</v>
      </c>
    </row>
    <row r="8451" spans="1:6" x14ac:dyDescent="0.3">
      <c r="A8451" t="str">
        <f>HYPERLINK("https://us2.cloudbeds.com/connect/10074733072513#/reservations/31679136018560?display=MHAX5PX3D&amp;reservation_id=31679136018560", "MHAX5PX3D")</f>
        <v>MHAX5PX3D</v>
      </c>
      <c r="B8451" t="s">
        <v>1292</v>
      </c>
      <c r="C8451">
        <v>149</v>
      </c>
      <c r="D8451">
        <v>161.97</v>
      </c>
      <c r="E8451">
        <v>161.96</v>
      </c>
      <c r="F8451">
        <v>0.01</v>
      </c>
    </row>
    <row r="8452" spans="1:6" x14ac:dyDescent="0.3">
      <c r="A8452" t="str">
        <f>HYPERLINK("https://us2.cloudbeds.com/connect/10074733072513#/reservations/31694058115261?display=MHM3YAGYZ&amp;reservation_id=31694058115261", "MHM3YAGYZ")</f>
        <v>MHM3YAGYZ</v>
      </c>
      <c r="B8452" t="s">
        <v>1314</v>
      </c>
      <c r="C8452">
        <v>338</v>
      </c>
      <c r="D8452">
        <v>367.42</v>
      </c>
      <c r="E8452">
        <v>367.41</v>
      </c>
      <c r="F8452">
        <v>0.01</v>
      </c>
    </row>
    <row r="8453" spans="1:6" x14ac:dyDescent="0.3">
      <c r="A8453" t="str">
        <f>HYPERLINK("https://us2.cloudbeds.com/connect/10074733072513#/reservations/31680474542303?display=MHBJX9XJP&amp;reservation_id=31680474542303", "MHBJX9XJP")</f>
        <v>MHBJX9XJP</v>
      </c>
      <c r="B8453" t="s">
        <v>1310</v>
      </c>
      <c r="C8453">
        <v>169</v>
      </c>
      <c r="D8453">
        <v>183.71</v>
      </c>
      <c r="E8453">
        <v>183.7</v>
      </c>
      <c r="F8453">
        <v>0.01</v>
      </c>
    </row>
    <row r="8454" spans="1:6" x14ac:dyDescent="0.3">
      <c r="A8454" t="str">
        <f>HYPERLINK("https://us2.cloudbeds.com/connect/10074733072513#/reservations/31682535428351?display=MHD672ZV4&amp;reservation_id=31682535428351", "MHD672ZV4")</f>
        <v>MHD672ZV4</v>
      </c>
      <c r="B8454" t="s">
        <v>1139</v>
      </c>
      <c r="C8454">
        <v>129</v>
      </c>
      <c r="D8454">
        <v>140.22999999999999</v>
      </c>
      <c r="E8454">
        <v>140.22</v>
      </c>
      <c r="F8454">
        <v>0.01</v>
      </c>
    </row>
    <row r="8455" spans="1:6" x14ac:dyDescent="0.3">
      <c r="A8455" t="str">
        <f>HYPERLINK("https://us2.cloudbeds.com/connect/10074733072513#/reservations/31685825736904?display=MHFZ9XEXS&amp;reservation_id=31685825736904", "MHFZ9XEXS")</f>
        <v>MHFZ9XEXS</v>
      </c>
      <c r="B8455" t="s">
        <v>1135</v>
      </c>
      <c r="C8455">
        <v>198.52</v>
      </c>
      <c r="D8455">
        <v>215.8</v>
      </c>
      <c r="E8455">
        <v>215.79</v>
      </c>
      <c r="F8455">
        <v>0.01</v>
      </c>
    </row>
    <row r="8456" spans="1:6" x14ac:dyDescent="0.3">
      <c r="A8456" t="str">
        <f>HYPERLINK("https://us2.cloudbeds.com/connect/10074733072513#/reservations/31679459913939?display=MHAQKZ13N&amp;reservation_id=31679459913939", "MHAQKZ13N")</f>
        <v>MHAQKZ13N</v>
      </c>
      <c r="B8456" t="s">
        <v>1202</v>
      </c>
      <c r="C8456">
        <v>238</v>
      </c>
      <c r="D8456">
        <v>258.72000000000003</v>
      </c>
      <c r="E8456">
        <v>258.70999999999998</v>
      </c>
      <c r="F8456">
        <v>0.01</v>
      </c>
    </row>
    <row r="8457" spans="1:6" x14ac:dyDescent="0.3">
      <c r="A8457" t="str">
        <f>HYPERLINK("https://us2.cloudbeds.com/connect/10074733072513#/reservations/31680444358789?display=MHBXPRYSR&amp;reservation_id=31680444358789", "MHBXPRYSR")</f>
        <v>MHBXPRYSR</v>
      </c>
      <c r="B8457" t="s">
        <v>1211</v>
      </c>
      <c r="C8457">
        <v>209</v>
      </c>
      <c r="D8457">
        <v>227.19</v>
      </c>
      <c r="E8457">
        <v>227.18</v>
      </c>
      <c r="F8457">
        <v>0.01</v>
      </c>
    </row>
    <row r="8458" spans="1:6" x14ac:dyDescent="0.3">
      <c r="A8458" t="str">
        <f>HYPERLINK("https://us2.cloudbeds.com/connect/10074733072513#/reservations/31685384986758?display=MHFD0TUAT&amp;reservation_id=31685384986758", "MHFD0TUAT")</f>
        <v>MHFD0TUAT</v>
      </c>
      <c r="B8458" t="s">
        <v>1250</v>
      </c>
      <c r="C8458">
        <v>119</v>
      </c>
      <c r="D8458">
        <v>129.36000000000001</v>
      </c>
      <c r="E8458">
        <v>129.35</v>
      </c>
      <c r="F8458">
        <v>0.01</v>
      </c>
    </row>
    <row r="8459" spans="1:6" x14ac:dyDescent="0.3">
      <c r="A8459" t="str">
        <f>HYPERLINK("https://us2.cloudbeds.com/connect/10074733072513#/reservations/31681977766048?display=MHCZVRWBF&amp;reservation_id=31681977766048", "MHCZVRWBF")</f>
        <v>MHCZVRWBF</v>
      </c>
      <c r="B8459" t="s">
        <v>1202</v>
      </c>
      <c r="C8459">
        <v>209</v>
      </c>
      <c r="D8459">
        <v>227.19</v>
      </c>
      <c r="E8459">
        <v>227.18</v>
      </c>
      <c r="F8459">
        <v>0.01</v>
      </c>
    </row>
    <row r="8460" spans="1:6" x14ac:dyDescent="0.3">
      <c r="A8460" t="str">
        <f>HYPERLINK("https://us2.cloudbeds.com/connect/10074733072513#/reservations/31681450606795?display=MHCBGAWTY&amp;reservation_id=31681450606795", "MHCBGAWTY")</f>
        <v>MHCBGAWTY</v>
      </c>
      <c r="B8460" t="s">
        <v>1310</v>
      </c>
      <c r="C8460">
        <v>73</v>
      </c>
      <c r="D8460">
        <v>79.36</v>
      </c>
      <c r="E8460">
        <v>79.349999999999994</v>
      </c>
      <c r="F8460">
        <v>0.01</v>
      </c>
    </row>
    <row r="8461" spans="1:6" x14ac:dyDescent="0.3">
      <c r="A8461" t="str">
        <f>HYPERLINK("https://us2.cloudbeds.com/connect/10074733072513#/reservations/31681476305033?display=MHCC502U4&amp;reservation_id=31681476305033", "MHCC502U4")</f>
        <v>MHCC502U4</v>
      </c>
      <c r="B8461" t="s">
        <v>1310</v>
      </c>
      <c r="C8461">
        <v>119</v>
      </c>
      <c r="D8461">
        <v>129.36000000000001</v>
      </c>
      <c r="E8461">
        <v>129.35</v>
      </c>
      <c r="F8461">
        <v>0.01</v>
      </c>
    </row>
    <row r="8462" spans="1:6" x14ac:dyDescent="0.3">
      <c r="A8462" t="str">
        <f>HYPERLINK("https://us2.cloudbeds.com/connect/10074733072513#/reservations/31684255273190?display=MHEH59W4D&amp;reservation_id=31684255273190", "MHEH59W4D")</f>
        <v>MHEH59W4D</v>
      </c>
      <c r="B8462" t="s">
        <v>1285</v>
      </c>
      <c r="C8462">
        <v>239</v>
      </c>
      <c r="D8462">
        <v>259.8</v>
      </c>
      <c r="E8462">
        <v>259.79000000000002</v>
      </c>
      <c r="F8462">
        <v>0.01</v>
      </c>
    </row>
    <row r="8463" spans="1:6" x14ac:dyDescent="0.3">
      <c r="A8463" t="str">
        <f>HYPERLINK("https://us2.cloudbeds.com/connect/10074733072513#/reservations/31679380336856?display=MHAZJKMXV&amp;reservation_id=31679380336856", "MHAZJKMXV")</f>
        <v>MHAZJKMXV</v>
      </c>
      <c r="B8463" t="s">
        <v>1187</v>
      </c>
      <c r="C8463">
        <v>298</v>
      </c>
      <c r="D8463">
        <v>323.94</v>
      </c>
      <c r="E8463">
        <v>323.93</v>
      </c>
      <c r="F8463">
        <v>0.01</v>
      </c>
    </row>
    <row r="8464" spans="1:6" x14ac:dyDescent="0.3">
      <c r="A8464" t="str">
        <f>HYPERLINK("https://us2.cloudbeds.com/connect/10074733072513#/reservations/31682628464802?display=MHD8JHKSH&amp;reservation_id=31682628464802", "MHD8JHKSH")</f>
        <v>MHD8JHKSH</v>
      </c>
      <c r="B8464" t="s">
        <v>1118</v>
      </c>
      <c r="C8464">
        <v>278</v>
      </c>
      <c r="D8464">
        <v>302.2</v>
      </c>
      <c r="E8464">
        <v>302.19</v>
      </c>
      <c r="F8464">
        <v>0.01</v>
      </c>
    </row>
    <row r="8465" spans="1:6" x14ac:dyDescent="0.3">
      <c r="A8465" t="str">
        <f>HYPERLINK("https://us2.cloudbeds.com/connect/10074733072513#/reservations/31680461791446?display=MHBJ7HZR5&amp;reservation_id=31680461791446", "MHBJ7HZR5")</f>
        <v>MHBJ7HZR5</v>
      </c>
      <c r="B8465" t="s">
        <v>1310</v>
      </c>
      <c r="C8465">
        <v>110.86</v>
      </c>
      <c r="D8465">
        <v>120.51</v>
      </c>
      <c r="E8465">
        <v>120.5</v>
      </c>
      <c r="F8465">
        <v>0.01</v>
      </c>
    </row>
    <row r="8466" spans="1:6" x14ac:dyDescent="0.3">
      <c r="A8466" t="str">
        <f>HYPERLINK("https://us2.cloudbeds.com/connect/10074733072513#/reservations/31681108480133?display=MHC2ZRR01&amp;reservation_id=31681108480133", "MHC2ZRR01")</f>
        <v>MHC2ZRR01</v>
      </c>
      <c r="B8466" t="s">
        <v>1174</v>
      </c>
      <c r="C8466">
        <v>278</v>
      </c>
      <c r="D8466">
        <v>302.2</v>
      </c>
      <c r="E8466">
        <v>302.19</v>
      </c>
      <c r="F8466">
        <v>0.01</v>
      </c>
    </row>
    <row r="8467" spans="1:6" x14ac:dyDescent="0.3">
      <c r="A8467" t="str">
        <f>HYPERLINK("https://us2.cloudbeds.com/connect/10074733072513#/reservations/31681722593409?display=MHCXEME18&amp;reservation_id=31681722593409", "MHCXEME18")</f>
        <v>MHCXEME18</v>
      </c>
      <c r="B8467" t="s">
        <v>1201</v>
      </c>
      <c r="C8467">
        <v>258</v>
      </c>
      <c r="D8467">
        <v>280.45999999999998</v>
      </c>
      <c r="E8467">
        <v>280.45</v>
      </c>
      <c r="F8467">
        <v>0.01</v>
      </c>
    </row>
    <row r="8468" spans="1:6" x14ac:dyDescent="0.3">
      <c r="A8468" t="str">
        <f>HYPERLINK("https://us2.cloudbeds.com/connect/10074733072513#/reservations/31681311113363?display=MHC7UNCZV&amp;reservation_id=31681311113363", "MHC7UNCZV")</f>
        <v>MHC7UNCZV</v>
      </c>
      <c r="B8468" t="s">
        <v>1313</v>
      </c>
      <c r="C8468">
        <v>150</v>
      </c>
      <c r="D8468">
        <v>163.06</v>
      </c>
      <c r="E8468">
        <v>163.05000000000001</v>
      </c>
      <c r="F8468">
        <v>0.01</v>
      </c>
    </row>
    <row r="8469" spans="1:6" x14ac:dyDescent="0.3">
      <c r="A8469" t="str">
        <f>HYPERLINK("https://us2.cloudbeds.com/connect/10074733072513#/reservations/31681986638070?display=MHCP6AS9K&amp;reservation_id=31681986638070", "MHCP6AS9K")</f>
        <v>MHCP6AS9K</v>
      </c>
      <c r="B8469" t="s">
        <v>1202</v>
      </c>
      <c r="C8469">
        <v>159</v>
      </c>
      <c r="D8469">
        <v>172.84</v>
      </c>
      <c r="E8469">
        <v>172.83</v>
      </c>
      <c r="F8469">
        <v>0.01</v>
      </c>
    </row>
    <row r="8470" spans="1:6" x14ac:dyDescent="0.3">
      <c r="A8470" t="str">
        <f>HYPERLINK("https://us2.cloudbeds.com/connect/10074733072513#/reservations/31681766703261?display=MHCJXSRVE&amp;reservation_id=31681766703261", "MHCJXSRVE")</f>
        <v>MHCJXSRVE</v>
      </c>
      <c r="B8470" t="s">
        <v>1293</v>
      </c>
      <c r="C8470">
        <v>258</v>
      </c>
      <c r="D8470">
        <v>280.45999999999998</v>
      </c>
      <c r="E8470">
        <v>280.45</v>
      </c>
      <c r="F8470">
        <v>0.01</v>
      </c>
    </row>
    <row r="8471" spans="1:6" x14ac:dyDescent="0.3">
      <c r="A8471" t="str">
        <f>HYPERLINK("https://us2.cloudbeds.com/connect/10074733072513#/reservations/31681077911760?display=MHC1W26SN&amp;reservation_id=31681077911760", "MHC1W26SN")</f>
        <v>MHC1W26SN</v>
      </c>
      <c r="B8471" t="s">
        <v>1174</v>
      </c>
      <c r="C8471">
        <v>239</v>
      </c>
      <c r="D8471">
        <v>259.8</v>
      </c>
      <c r="E8471">
        <v>259.79000000000002</v>
      </c>
      <c r="F8471">
        <v>0.01</v>
      </c>
    </row>
    <row r="8472" spans="1:6" x14ac:dyDescent="0.3">
      <c r="A8472" t="str">
        <f>HYPERLINK("https://us2.cloudbeds.com/connect/10074733072513#/reservations/31680848326849?display=MHBT3FM36&amp;reservation_id=31680848326849", "MHBT3FM36")</f>
        <v>MHBT3FM36</v>
      </c>
      <c r="B8472" t="s">
        <v>1289</v>
      </c>
      <c r="C8472">
        <v>89</v>
      </c>
      <c r="D8472">
        <v>96.75</v>
      </c>
      <c r="E8472">
        <v>96.74</v>
      </c>
      <c r="F8472">
        <v>0.01</v>
      </c>
    </row>
    <row r="8473" spans="1:6" x14ac:dyDescent="0.3">
      <c r="A8473" t="str">
        <f>HYPERLINK("https://us2.cloudbeds.com/connect/10074733072513#/reservations/31686689747165?display=MHGDC3QE1&amp;reservation_id=31686689747165", "MHGDC3QE1")</f>
        <v>MHGDC3QE1</v>
      </c>
      <c r="B8473" t="s">
        <v>1013</v>
      </c>
      <c r="C8473">
        <v>258</v>
      </c>
      <c r="D8473">
        <v>280.45999999999998</v>
      </c>
      <c r="E8473">
        <v>280.45</v>
      </c>
      <c r="F8473">
        <v>0.01</v>
      </c>
    </row>
    <row r="8474" spans="1:6" x14ac:dyDescent="0.3">
      <c r="A8474" t="str">
        <f>HYPERLINK("https://us2.cloudbeds.com/connect/10074733072513#/reservations/31684899922160?display=MHF0KT99M&amp;reservation_id=31684899922160", "MHF0KT99M")</f>
        <v>MHF0KT99M</v>
      </c>
      <c r="B8474" t="s">
        <v>1300</v>
      </c>
      <c r="C8474">
        <v>358</v>
      </c>
      <c r="D8474">
        <v>389.16</v>
      </c>
      <c r="E8474">
        <v>389.15</v>
      </c>
      <c r="F8474">
        <v>0.01</v>
      </c>
    </row>
    <row r="8475" spans="1:6" x14ac:dyDescent="0.3">
      <c r="A8475" t="str">
        <f>HYPERLINK("https://us2.cloudbeds.com/connect/10074733072513#/reservations/31683057086705?display=MHDJHVM21&amp;reservation_id=31683057086705", "MHDJHVM21")</f>
        <v>MHDJHVM21</v>
      </c>
      <c r="B8475" t="s">
        <v>1256</v>
      </c>
      <c r="C8475">
        <v>158</v>
      </c>
      <c r="D8475">
        <v>171.76</v>
      </c>
      <c r="E8475">
        <v>171.75</v>
      </c>
      <c r="F8475">
        <v>0.01</v>
      </c>
    </row>
    <row r="8476" spans="1:6" x14ac:dyDescent="0.3">
      <c r="A8476" t="str">
        <f>HYPERLINK("https://us2.cloudbeds.com/connect/10074733072513#/reservations/31680089051338?display=MHB9N7NDC&amp;reservation_id=31680089051338", "MHB9N7NDC")</f>
        <v>MHB9N7NDC</v>
      </c>
      <c r="B8476" t="s">
        <v>1306</v>
      </c>
      <c r="C8476">
        <v>158</v>
      </c>
      <c r="D8476">
        <v>171.76</v>
      </c>
      <c r="E8476">
        <v>171.75</v>
      </c>
      <c r="F8476">
        <v>0.01</v>
      </c>
    </row>
    <row r="8477" spans="1:6" x14ac:dyDescent="0.3">
      <c r="A8477" t="str">
        <f>HYPERLINK("https://us2.cloudbeds.com/connect/10074733072513#/reservations/31684536819912?display=MHEZBNE28&amp;reservation_id=31684536819912", "MHEZBNE28")</f>
        <v>MHEZBNE28</v>
      </c>
      <c r="B8477" t="s">
        <v>1306</v>
      </c>
      <c r="C8477">
        <v>159</v>
      </c>
      <c r="D8477">
        <v>172.84</v>
      </c>
      <c r="E8477">
        <v>172.83</v>
      </c>
      <c r="F8477">
        <v>0.01</v>
      </c>
    </row>
    <row r="8478" spans="1:6" x14ac:dyDescent="0.3">
      <c r="A8478" t="str">
        <f>HYPERLINK("https://us2.cloudbeds.com/connect/10074733072513#/reservations/31684552425717?display=MHEZZSMFE&amp;reservation_id=31684552425717", "MHEZZSMFE")</f>
        <v>MHEZZSMFE</v>
      </c>
      <c r="B8478" t="s">
        <v>1306</v>
      </c>
      <c r="C8478">
        <v>73</v>
      </c>
      <c r="D8478">
        <v>79.36</v>
      </c>
      <c r="E8478">
        <v>79.349999999999994</v>
      </c>
      <c r="F8478">
        <v>0.01</v>
      </c>
    </row>
    <row r="8479" spans="1:6" x14ac:dyDescent="0.3">
      <c r="A8479" t="str">
        <f>HYPERLINK("https://us2.cloudbeds.com/connect/10074733072513#/reservations/31682318442673?display=MHD0M3QNX&amp;reservation_id=31682318442673", "MHD0M3QNX")</f>
        <v>MHD0M3QNX</v>
      </c>
      <c r="B8479" t="s">
        <v>1290</v>
      </c>
      <c r="C8479">
        <v>169</v>
      </c>
      <c r="D8479">
        <v>183.71</v>
      </c>
      <c r="E8479">
        <v>183.7</v>
      </c>
      <c r="F8479">
        <v>0.01</v>
      </c>
    </row>
    <row r="8480" spans="1:6" x14ac:dyDescent="0.3">
      <c r="A8480" t="str">
        <f>HYPERLINK("https://us2.cloudbeds.com/connect/10074733072513#/reservations/31679991849100?display=MHB778U50&amp;reservation_id=31679991849100", "MHB778U50")</f>
        <v>MHB778U50</v>
      </c>
      <c r="B8480" t="s">
        <v>1289</v>
      </c>
      <c r="C8480">
        <v>149</v>
      </c>
      <c r="D8480">
        <v>161.97</v>
      </c>
      <c r="E8480">
        <v>161.96</v>
      </c>
      <c r="F8480">
        <v>0.01</v>
      </c>
    </row>
    <row r="8481" spans="1:6" x14ac:dyDescent="0.3">
      <c r="A8481" t="str">
        <f>HYPERLINK("https://us2.cloudbeds.com/connect/10074733072513#/reservations/31681516736763?display=MHCD635A1&amp;reservation_id=31681516736763", "MHCD635A1")</f>
        <v>MHCD635A1</v>
      </c>
      <c r="B8481" t="s">
        <v>1300</v>
      </c>
      <c r="C8481">
        <v>149</v>
      </c>
      <c r="D8481">
        <v>161.97</v>
      </c>
      <c r="E8481">
        <v>161.96</v>
      </c>
      <c r="F8481">
        <v>0.01</v>
      </c>
    </row>
    <row r="8482" spans="1:6" x14ac:dyDescent="0.3">
      <c r="A8482" t="str">
        <f>HYPERLINK("https://us2.cloudbeds.com/connect/10074733072513#/reservations/31680027721928?display=MHB84H47D&amp;reservation_id=31680027721928", "MHB84H47D")</f>
        <v>MHB84H47D</v>
      </c>
      <c r="B8482" t="s">
        <v>1306</v>
      </c>
      <c r="C8482">
        <v>149</v>
      </c>
      <c r="D8482">
        <v>161.97</v>
      </c>
      <c r="E8482">
        <v>161.96</v>
      </c>
      <c r="F8482">
        <v>0.01</v>
      </c>
    </row>
    <row r="8483" spans="1:6" x14ac:dyDescent="0.3">
      <c r="A8483" t="str">
        <f>HYPERLINK("https://us2.cloudbeds.com/connect/10074733072513#/reservations/31680025583750?display=MHB82NKQ4&amp;reservation_id=31680025583750", "MHB82NKQ4")</f>
        <v>MHB82NKQ4</v>
      </c>
      <c r="B8483" t="s">
        <v>1306</v>
      </c>
      <c r="C8483">
        <v>149</v>
      </c>
      <c r="D8483">
        <v>161.97</v>
      </c>
      <c r="E8483">
        <v>161.96</v>
      </c>
      <c r="F8483">
        <v>0.01</v>
      </c>
    </row>
    <row r="8484" spans="1:6" x14ac:dyDescent="0.3">
      <c r="A8484" t="str">
        <f>HYPERLINK("https://us2.cloudbeds.com/connect/10074733072513#/reservations/31682205925602?display=MHCUQ7S8B&amp;reservation_id=31682205925602", "MHCUQ7S8B")</f>
        <v>MHCUQ7S8B</v>
      </c>
      <c r="B8484" t="s">
        <v>1100</v>
      </c>
      <c r="C8484">
        <v>278</v>
      </c>
      <c r="D8484">
        <v>302.2</v>
      </c>
      <c r="E8484">
        <v>302.19</v>
      </c>
      <c r="F8484">
        <v>0.01</v>
      </c>
    </row>
    <row r="8485" spans="1:6" x14ac:dyDescent="0.3">
      <c r="A8485" t="str">
        <f>HYPERLINK("https://us2.cloudbeds.com/connect/10074733072513#/reservations/31685832630467?display=MHFZFC8ZP&amp;reservation_id=31685832630467", "MHFZFC8ZP")</f>
        <v>MHFZFC8ZP</v>
      </c>
      <c r="B8485" t="s">
        <v>1265</v>
      </c>
      <c r="C8485">
        <v>138</v>
      </c>
      <c r="D8485">
        <v>150.02000000000001</v>
      </c>
      <c r="E8485">
        <v>150.01</v>
      </c>
      <c r="F8485">
        <v>0.01</v>
      </c>
    </row>
    <row r="8486" spans="1:6" x14ac:dyDescent="0.3">
      <c r="A8486" t="str">
        <f>HYPERLINK("https://us2.cloudbeds.com/connect/10074733072513#/reservations/31683239977101?display=MHDZ75SG8&amp;reservation_id=31683239977101", "MHDZ75SG8")</f>
        <v>MHDZ75SG8</v>
      </c>
      <c r="B8486" t="s">
        <v>1100</v>
      </c>
      <c r="C8486">
        <v>199</v>
      </c>
      <c r="D8486">
        <v>216.32</v>
      </c>
      <c r="E8486">
        <v>216.31</v>
      </c>
      <c r="F8486">
        <v>0.01</v>
      </c>
    </row>
    <row r="8487" spans="1:6" x14ac:dyDescent="0.3">
      <c r="A8487" t="str">
        <f>HYPERLINK("https://us2.cloudbeds.com/connect/10074733072513#/reservations/31679921078418?display=MHB5DJK9T&amp;reservation_id=31679921078418", "MHB5DJK9T")</f>
        <v>MHB5DJK9T</v>
      </c>
      <c r="B8487" t="s">
        <v>1308</v>
      </c>
      <c r="C8487">
        <v>298</v>
      </c>
      <c r="D8487">
        <v>323.94</v>
      </c>
      <c r="E8487">
        <v>323.93</v>
      </c>
      <c r="F8487">
        <v>0.01</v>
      </c>
    </row>
    <row r="8488" spans="1:6" x14ac:dyDescent="0.3">
      <c r="A8488" t="str">
        <f>HYPERLINK("https://us2.cloudbeds.com/connect/10074733072513#/reservations/31680022876336?display=MHB80E9Y8&amp;reservation_id=31680022876336", "MHB80E9Y8")</f>
        <v>MHB80E9Y8</v>
      </c>
      <c r="B8488" t="s">
        <v>1306</v>
      </c>
      <c r="C8488">
        <v>149</v>
      </c>
      <c r="D8488">
        <v>161.97</v>
      </c>
      <c r="E8488">
        <v>161.96</v>
      </c>
      <c r="F8488">
        <v>0.01</v>
      </c>
    </row>
    <row r="8489" spans="1:6" x14ac:dyDescent="0.3">
      <c r="A8489" t="str">
        <f>HYPERLINK("https://us2.cloudbeds.com/connect/10074733072513#/reservations/31684637409414?display=MHEQUHFZW&amp;reservation_id=31684637409414", "MHEQUHFZW")</f>
        <v>MHEQUHFZW</v>
      </c>
      <c r="B8489" t="s">
        <v>1300</v>
      </c>
      <c r="C8489">
        <v>178</v>
      </c>
      <c r="D8489">
        <v>193.5</v>
      </c>
      <c r="E8489">
        <v>193.49</v>
      </c>
      <c r="F8489">
        <v>0.01</v>
      </c>
    </row>
    <row r="8490" spans="1:6" x14ac:dyDescent="0.3">
      <c r="A8490" t="str">
        <f>HYPERLINK("https://us2.cloudbeds.com/connect/10074733072513#/reservations/31684952031470?display=MHF1VR9TM&amp;reservation_id=31684952031470", "MHF1VR9TM")</f>
        <v>MHF1VR9TM</v>
      </c>
      <c r="B8490" t="s">
        <v>1249</v>
      </c>
      <c r="C8490">
        <v>298</v>
      </c>
      <c r="D8490">
        <v>323.94</v>
      </c>
      <c r="E8490">
        <v>323.93</v>
      </c>
      <c r="F8490">
        <v>0.01</v>
      </c>
    </row>
    <row r="8491" spans="1:6" x14ac:dyDescent="0.3">
      <c r="A8491" t="str">
        <f>HYPERLINK("https://us2.cloudbeds.com/connect/10074733072513#/reservations/31679457644712?display=MHAQXQTB7&amp;reservation_id=31679457644712", "MHAQXQTB7")</f>
        <v>MHAQXQTB7</v>
      </c>
      <c r="B8491" t="s">
        <v>1202</v>
      </c>
      <c r="C8491">
        <v>358</v>
      </c>
      <c r="D8491">
        <v>389.16</v>
      </c>
      <c r="E8491">
        <v>389.15</v>
      </c>
      <c r="F8491">
        <v>0.01</v>
      </c>
    </row>
    <row r="8492" spans="1:6" x14ac:dyDescent="0.3">
      <c r="A8492" t="str">
        <f>HYPERLINK("https://us2.cloudbeds.com/connect/10074733072513#/reservations/31681525936276?display=MHCDDS4W6&amp;reservation_id=31681525936276", "MHCDDS4W6")</f>
        <v>MHCDDS4W6</v>
      </c>
      <c r="B8492" t="s">
        <v>1300</v>
      </c>
      <c r="C8492">
        <v>97.74</v>
      </c>
      <c r="D8492">
        <v>106.25</v>
      </c>
      <c r="E8492">
        <v>106.24</v>
      </c>
      <c r="F8492">
        <v>0.01</v>
      </c>
    </row>
    <row r="8493" spans="1:6" x14ac:dyDescent="0.3">
      <c r="A8493" t="str">
        <f>HYPERLINK("https://us2.cloudbeds.com/connect/10074733072513#/reservations/31682563440780?display=MHD6UN80K&amp;reservation_id=31682563440780", "MHD6UN80K")</f>
        <v>MHD6UN80K</v>
      </c>
      <c r="B8493" t="s">
        <v>1174</v>
      </c>
      <c r="C8493">
        <v>150</v>
      </c>
      <c r="D8493">
        <v>163.06</v>
      </c>
      <c r="E8493">
        <v>163.05000000000001</v>
      </c>
      <c r="F8493">
        <v>0.01</v>
      </c>
    </row>
    <row r="8494" spans="1:6" x14ac:dyDescent="0.3">
      <c r="A8494" t="str">
        <f>HYPERLINK("https://us2.cloudbeds.com/connect/10074733072513#/reservations/31687986987147?display=MHHDGWDNH&amp;reservation_id=31687986987147", "MHHDGWDNH")</f>
        <v>MHHDGWDNH</v>
      </c>
      <c r="B8494" t="s">
        <v>1295</v>
      </c>
      <c r="C8494">
        <v>221.72</v>
      </c>
      <c r="D8494">
        <v>241.02</v>
      </c>
      <c r="E8494">
        <v>241.01</v>
      </c>
      <c r="F8494">
        <v>0.01</v>
      </c>
    </row>
    <row r="8495" spans="1:6" x14ac:dyDescent="0.3">
      <c r="A8495" t="str">
        <f>HYPERLINK("https://us2.cloudbeds.com/connect/10074733072513#/reservations/31682741231762?display=MHDBFKHQ4&amp;reservation_id=31682741231762", "MHDBFKHQ4")</f>
        <v>MHDBFKHQ4</v>
      </c>
      <c r="B8495" t="s">
        <v>1249</v>
      </c>
      <c r="C8495">
        <v>298</v>
      </c>
      <c r="D8495">
        <v>323.94</v>
      </c>
      <c r="E8495">
        <v>323.93</v>
      </c>
      <c r="F8495">
        <v>0.01</v>
      </c>
    </row>
    <row r="8496" spans="1:6" x14ac:dyDescent="0.3">
      <c r="A8496" t="str">
        <f>HYPERLINK("https://us2.cloudbeds.com/connect/10074733072513#/reservations/31681569697957?display=MHCEHZT5Z&amp;reservation_id=31681569697957", "MHCEHZT5Z")</f>
        <v>MHCEHZT5Z</v>
      </c>
      <c r="B8496" t="s">
        <v>1300</v>
      </c>
      <c r="C8496">
        <v>97.74</v>
      </c>
      <c r="D8496">
        <v>106.25</v>
      </c>
      <c r="E8496">
        <v>106.24</v>
      </c>
      <c r="F8496">
        <v>0.01</v>
      </c>
    </row>
    <row r="8497" spans="1:6" x14ac:dyDescent="0.3">
      <c r="A8497" t="str">
        <f>HYPERLINK("https://us2.cloudbeds.com/connect/10074733072513#/reservations/31687714967717?display=MHH6XK2EG&amp;reservation_id=31687714967717", "MHH6XK2EG")</f>
        <v>MHH6XK2EG</v>
      </c>
      <c r="B8497" t="s">
        <v>1250</v>
      </c>
      <c r="C8497">
        <v>119</v>
      </c>
      <c r="D8497">
        <v>129.36000000000001</v>
      </c>
      <c r="E8497">
        <v>129.35</v>
      </c>
      <c r="F8497">
        <v>0.01</v>
      </c>
    </row>
    <row r="8498" spans="1:6" x14ac:dyDescent="0.3">
      <c r="A8498" t="str">
        <f>HYPERLINK("https://us2.cloudbeds.com/connect/10074733072513#/reservations/31683731861731?display=MHE3PV963&amp;reservation_id=31683731861731", "MHE3PV963")</f>
        <v>MHE3PV963</v>
      </c>
      <c r="B8498" t="s">
        <v>1215</v>
      </c>
      <c r="C8498">
        <v>179</v>
      </c>
      <c r="D8498">
        <v>194.58</v>
      </c>
      <c r="E8498">
        <v>194.57</v>
      </c>
      <c r="F8498">
        <v>0.01</v>
      </c>
    </row>
    <row r="8499" spans="1:6" x14ac:dyDescent="0.3">
      <c r="A8499" t="str">
        <f>HYPERLINK("https://us2.cloudbeds.com/connect/10074733072513#/reservations/31682680987858?display=MHD9UR5D9&amp;reservation_id=31682680987858", "MHD9UR5D9")</f>
        <v>MHD9UR5D9</v>
      </c>
      <c r="B8499" t="s">
        <v>1118</v>
      </c>
      <c r="C8499">
        <v>199</v>
      </c>
      <c r="D8499">
        <v>216.32</v>
      </c>
      <c r="E8499">
        <v>216.31</v>
      </c>
      <c r="F8499">
        <v>0.01</v>
      </c>
    </row>
    <row r="8500" spans="1:6" x14ac:dyDescent="0.3">
      <c r="A8500" t="str">
        <f>HYPERLINK("https://us2.cloudbeds.com/connect/10074733072513#/reservations/31684890661019?display=MHF0D2J11&amp;reservation_id=31684890661019", "MHF0D2J11")</f>
        <v>MHF0D2J11</v>
      </c>
      <c r="B8500" t="s">
        <v>1300</v>
      </c>
      <c r="C8500">
        <v>149</v>
      </c>
      <c r="D8500">
        <v>161.97</v>
      </c>
      <c r="E8500">
        <v>161.96</v>
      </c>
      <c r="F8500">
        <v>0.01</v>
      </c>
    </row>
    <row r="8501" spans="1:6" x14ac:dyDescent="0.3">
      <c r="A8501" t="str">
        <f>HYPERLINK("https://us2.cloudbeds.com/connect/10074733072513#/reservations/31683048661135?display=MHDJAS72Z&amp;reservation_id=31683048661135", "MHDJAS72Z")</f>
        <v>MHDJAS72Z</v>
      </c>
      <c r="B8501" t="s">
        <v>1256</v>
      </c>
      <c r="C8501">
        <v>617</v>
      </c>
      <c r="D8501">
        <v>670.69</v>
      </c>
      <c r="E8501">
        <v>670.68</v>
      </c>
      <c r="F8501">
        <v>0.01</v>
      </c>
    </row>
    <row r="8502" spans="1:6" x14ac:dyDescent="0.3">
      <c r="A8502" t="str">
        <f>HYPERLINK("https://us2.cloudbeds.com/connect/10074733072513#/reservations/31685219168385?display=MHF8X898X&amp;reservation_id=31685219168385", "MHF8X898X")</f>
        <v>MHF8X898X</v>
      </c>
      <c r="B8502" t="s">
        <v>1100</v>
      </c>
      <c r="C8502">
        <v>398</v>
      </c>
      <c r="D8502">
        <v>432.64</v>
      </c>
      <c r="E8502">
        <v>432.63</v>
      </c>
      <c r="F8502">
        <v>0.01</v>
      </c>
    </row>
    <row r="8503" spans="1:6" x14ac:dyDescent="0.3">
      <c r="A8503" t="str">
        <f>HYPERLINK("https://us2.cloudbeds.com/connect/10074733072513#/reservations/31682503237853?display=MHD5CV08G&amp;reservation_id=31682503237853", "MHD5CV08G")</f>
        <v>MHD5CV08G</v>
      </c>
      <c r="B8503" t="s">
        <v>1135</v>
      </c>
      <c r="C8503">
        <v>239</v>
      </c>
      <c r="D8503">
        <v>259.8</v>
      </c>
      <c r="E8503">
        <v>259.79000000000002</v>
      </c>
      <c r="F8503">
        <v>0.01</v>
      </c>
    </row>
    <row r="8504" spans="1:6" x14ac:dyDescent="0.3">
      <c r="A8504" t="str">
        <f>HYPERLINK("https://us2.cloudbeds.com/connect/10074733072513#/reservations/31681459327136?display=MHCBNMYXD&amp;reservation_id=31681459327136", "MHCBNMYXD")</f>
        <v>MHCBNMYXD</v>
      </c>
      <c r="B8504" t="s">
        <v>1201</v>
      </c>
      <c r="C8504">
        <v>199</v>
      </c>
      <c r="D8504">
        <v>216.32</v>
      </c>
      <c r="E8504">
        <v>216.31</v>
      </c>
      <c r="F8504">
        <v>0.01</v>
      </c>
    </row>
    <row r="8505" spans="1:6" x14ac:dyDescent="0.3">
      <c r="A8505" t="str">
        <f>HYPERLINK("https://us2.cloudbeds.com/connect/10074733072513#/reservations/31679904706797?display=MHB4WQ1M5&amp;reservation_id=31679904706797", "MHB4WQ1M5")</f>
        <v>MHB4WQ1M5</v>
      </c>
      <c r="B8505" t="s">
        <v>1308</v>
      </c>
      <c r="C8505">
        <v>298</v>
      </c>
      <c r="D8505">
        <v>323.94</v>
      </c>
      <c r="E8505">
        <v>323.93</v>
      </c>
      <c r="F8505">
        <v>0.01</v>
      </c>
    </row>
    <row r="8506" spans="1:6" x14ac:dyDescent="0.3">
      <c r="A8506" t="str">
        <f>HYPERLINK("https://us2.cloudbeds.com/connect/10074733072513#/reservations/31682249695438?display=MHCVU4QV0&amp;reservation_id=31682249695438", "MHCVU4QV0")</f>
        <v>MHCVU4QV0</v>
      </c>
      <c r="B8506" t="s">
        <v>1100</v>
      </c>
      <c r="C8506">
        <v>139</v>
      </c>
      <c r="D8506">
        <v>151.1</v>
      </c>
      <c r="E8506">
        <v>151.09</v>
      </c>
      <c r="F8506">
        <v>0.01</v>
      </c>
    </row>
    <row r="8507" spans="1:6" x14ac:dyDescent="0.3">
      <c r="A8507" t="str">
        <f>HYPERLINK("https://us2.cloudbeds.com/connect/10074733072513#/reservations/31682580312197?display=MHD7BUNJM&amp;reservation_id=31682580312197", "MHD7BUNJM")</f>
        <v>MHD7BUNJM</v>
      </c>
      <c r="B8507" t="s">
        <v>1174</v>
      </c>
      <c r="C8507">
        <v>538</v>
      </c>
      <c r="D8507">
        <v>584.82000000000005</v>
      </c>
      <c r="E8507">
        <v>584.80999999999995</v>
      </c>
      <c r="F8507">
        <v>0.01</v>
      </c>
    </row>
    <row r="8508" spans="1:6" x14ac:dyDescent="0.3">
      <c r="A8508" t="str">
        <f>HYPERLINK("https://us2.cloudbeds.com/connect/10074733072513#/reservations/31682089357455?display=MHCRQV5Q8&amp;reservation_id=31682089357455", "MHCRQV5Q8")</f>
        <v>MHCRQV5Q8</v>
      </c>
      <c r="B8508" t="s">
        <v>1308</v>
      </c>
      <c r="C8508">
        <v>149</v>
      </c>
      <c r="D8508">
        <v>161.97</v>
      </c>
      <c r="E8508">
        <v>161.96</v>
      </c>
      <c r="F8508">
        <v>0.01</v>
      </c>
    </row>
    <row r="8509" spans="1:6" x14ac:dyDescent="0.3">
      <c r="A8509" t="str">
        <f>HYPERLINK("https://us2.cloudbeds.com/connect/10074733072513#/reservations/31679957831808?display=MHB65B16K&amp;reservation_id=31679957831808", "MHB65B16K")</f>
        <v>MHB65B16K</v>
      </c>
      <c r="B8509" t="s">
        <v>1308</v>
      </c>
      <c r="C8509">
        <v>97.74</v>
      </c>
      <c r="D8509">
        <v>106.25</v>
      </c>
      <c r="E8509">
        <v>106.24</v>
      </c>
      <c r="F8509">
        <v>0.01</v>
      </c>
    </row>
    <row r="8510" spans="1:6" x14ac:dyDescent="0.3">
      <c r="A8510" t="str">
        <f>HYPERLINK("https://us2.cloudbeds.com/connect/10074733072513#/reservations/31682212737211?display=MHCUVWD5Z&amp;reservation_id=31682212737211", "MHCUVWD5Z")</f>
        <v>MHCUVWD5Z</v>
      </c>
      <c r="B8510" t="s">
        <v>1100</v>
      </c>
      <c r="C8510">
        <v>278</v>
      </c>
      <c r="D8510">
        <v>302.2</v>
      </c>
      <c r="E8510">
        <v>302.19</v>
      </c>
      <c r="F8510">
        <v>0.01</v>
      </c>
    </row>
    <row r="8511" spans="1:6" x14ac:dyDescent="0.3">
      <c r="A8511" t="str">
        <f>HYPERLINK("https://us2.cloudbeds.com/connect/10074733072513#/reservations/31682103251072?display=MHCS5YM7P&amp;reservation_id=31682103251072", "MHCS5YM7P")</f>
        <v>MHCS5YM7P</v>
      </c>
      <c r="B8511" t="s">
        <v>1308</v>
      </c>
      <c r="C8511">
        <v>149</v>
      </c>
      <c r="D8511">
        <v>161.97</v>
      </c>
      <c r="E8511">
        <v>161.96</v>
      </c>
      <c r="F8511">
        <v>0.01</v>
      </c>
    </row>
    <row r="8512" spans="1:6" x14ac:dyDescent="0.3">
      <c r="A8512" t="str">
        <f>HYPERLINK("https://us2.cloudbeds.com/connect/10074733072513#/reservations/31685327302867?display=MHFBX8PZ6&amp;reservation_id=31685327302867", "MHFBX8PZ6")</f>
        <v>MHFBX8PZ6</v>
      </c>
      <c r="B8512" t="s">
        <v>1250</v>
      </c>
      <c r="C8512">
        <v>238</v>
      </c>
      <c r="D8512">
        <v>258.72000000000003</v>
      </c>
      <c r="E8512">
        <v>258.70999999999998</v>
      </c>
      <c r="F8512">
        <v>0.01</v>
      </c>
    </row>
    <row r="8513" spans="1:6" x14ac:dyDescent="0.3">
      <c r="A8513" t="str">
        <f>HYPERLINK("https://us2.cloudbeds.com/connect/10074733072513#/reservations/31687498997972?display=MHH11GD3P&amp;reservation_id=31687498997972", "MHH11GD3P")</f>
        <v>MHH11GD3P</v>
      </c>
      <c r="B8513" t="s">
        <v>1265</v>
      </c>
      <c r="C8513">
        <v>178</v>
      </c>
      <c r="D8513">
        <v>193.5</v>
      </c>
      <c r="E8513">
        <v>193.49</v>
      </c>
      <c r="F8513">
        <v>0.01</v>
      </c>
    </row>
    <row r="8514" spans="1:6" x14ac:dyDescent="0.3">
      <c r="A8514" t="str">
        <f>HYPERLINK("https://us2.cloudbeds.com/connect/10074733072513#/reservations/31680971317420?display=MHBW86236&amp;reservation_id=31680971317420", "MHBW86236")</f>
        <v>MHBW86236</v>
      </c>
      <c r="B8514" t="s">
        <v>1254</v>
      </c>
      <c r="C8514">
        <v>89</v>
      </c>
      <c r="D8514">
        <v>96.75</v>
      </c>
      <c r="E8514">
        <v>96.74</v>
      </c>
      <c r="F8514">
        <v>0.01</v>
      </c>
    </row>
    <row r="8515" spans="1:6" x14ac:dyDescent="0.3">
      <c r="A8515" t="str">
        <f>HYPERLINK("https://us2.cloudbeds.com/connect/10074733072513#/reservations/31685441802424?display=MHFEFQTYZ&amp;reservation_id=31685441802424", "MHFEFQTYZ")</f>
        <v>MHFEFQTYZ</v>
      </c>
      <c r="B8515" t="s">
        <v>1250</v>
      </c>
      <c r="C8515">
        <v>238</v>
      </c>
      <c r="D8515">
        <v>258.72000000000003</v>
      </c>
      <c r="E8515">
        <v>258.70999999999998</v>
      </c>
      <c r="F8515">
        <v>0.01</v>
      </c>
    </row>
    <row r="8516" spans="1:6" x14ac:dyDescent="0.3">
      <c r="A8516" t="str">
        <f>HYPERLINK("https://us2.cloudbeds.com/connect/10074733072513#/reservations/31682030411914?display=MHCQA7UYZ&amp;reservation_id=31682030411914", "MHCQA7UYZ")</f>
        <v>MHCQA7UYZ</v>
      </c>
      <c r="B8516" t="s">
        <v>1308</v>
      </c>
      <c r="C8516">
        <v>149</v>
      </c>
      <c r="D8516">
        <v>161.97</v>
      </c>
      <c r="E8516">
        <v>161.96</v>
      </c>
      <c r="F8516">
        <v>0.01</v>
      </c>
    </row>
    <row r="8517" spans="1:6" x14ac:dyDescent="0.3">
      <c r="A8517" t="str">
        <f>HYPERLINK("https://us2.cloudbeds.com/connect/10074733072513#/reservations/31679878013120?display=MHB42STE4&amp;reservation_id=31679878013120", "MHB42STE4")</f>
        <v>MHB42STE4</v>
      </c>
      <c r="B8517" t="s">
        <v>1308</v>
      </c>
      <c r="C8517">
        <v>110.86</v>
      </c>
      <c r="D8517">
        <v>120.51</v>
      </c>
      <c r="E8517">
        <v>120.5</v>
      </c>
      <c r="F8517">
        <v>0.01</v>
      </c>
    </row>
    <row r="8518" spans="1:6" x14ac:dyDescent="0.3">
      <c r="A8518" t="str">
        <f>HYPERLINK("https://us2.cloudbeds.com/connect/10074733072513#/reservations/31682082595058?display=MHCRY8024&amp;reservation_id=31682082595058", "MHCRY8024")</f>
        <v>MHCRY8024</v>
      </c>
      <c r="B8518" t="s">
        <v>1308</v>
      </c>
      <c r="C8518">
        <v>97.74</v>
      </c>
      <c r="D8518">
        <v>106.25</v>
      </c>
      <c r="E8518">
        <v>106.24</v>
      </c>
      <c r="F8518">
        <v>0.01</v>
      </c>
    </row>
    <row r="8519" spans="1:6" x14ac:dyDescent="0.3">
      <c r="A8519" t="str">
        <f>HYPERLINK("https://us2.cloudbeds.com/connect/10074733072513#/reservations/31682049913011?display=MHCQQMJ02&amp;reservation_id=31682049913011", "MHCQQMJ02")</f>
        <v>MHCQQMJ02</v>
      </c>
      <c r="B8519" t="s">
        <v>1308</v>
      </c>
      <c r="C8519">
        <v>97.74</v>
      </c>
      <c r="D8519">
        <v>106.25</v>
      </c>
      <c r="E8519">
        <v>106.24</v>
      </c>
      <c r="F8519">
        <v>0.01</v>
      </c>
    </row>
    <row r="8520" spans="1:6" x14ac:dyDescent="0.3">
      <c r="A8520" t="str">
        <f>HYPERLINK("https://us2.cloudbeds.com/connect/10074733072513#/reservations/31682040377571?display=MHCQXY7SB&amp;reservation_id=31682040377571", "MHCQXY7SB")</f>
        <v>MHCQXY7SB</v>
      </c>
      <c r="B8520" t="s">
        <v>1308</v>
      </c>
      <c r="C8520">
        <v>179</v>
      </c>
      <c r="D8520">
        <v>194.58</v>
      </c>
      <c r="E8520">
        <v>194.57</v>
      </c>
      <c r="F8520">
        <v>0.01</v>
      </c>
    </row>
    <row r="8521" spans="1:6" x14ac:dyDescent="0.3">
      <c r="A8521" t="str">
        <f>HYPERLINK("https://us2.cloudbeds.com/connect/10074733072513#/reservations/31682110652626?display=MHCSBTZJF&amp;reservation_id=31682110652626", "MHCSBTZJF")</f>
        <v>MHCSBTZJF</v>
      </c>
      <c r="B8521" t="s">
        <v>1308</v>
      </c>
      <c r="C8521">
        <v>97.74</v>
      </c>
      <c r="D8521">
        <v>106.25</v>
      </c>
      <c r="E8521">
        <v>106.24</v>
      </c>
      <c r="F8521">
        <v>0.01</v>
      </c>
    </row>
    <row r="8522" spans="1:6" x14ac:dyDescent="0.3">
      <c r="A8522" t="str">
        <f>HYPERLINK("https://us2.cloudbeds.com/connect/10074733072513#/reservations/31679934013573?display=MHB5ZGXA9&amp;reservation_id=31679934013573", "MHB5ZGXA9")</f>
        <v>MHB5ZGXA9</v>
      </c>
      <c r="B8522" t="s">
        <v>1256</v>
      </c>
      <c r="C8522">
        <v>209</v>
      </c>
      <c r="D8522">
        <v>227.19</v>
      </c>
      <c r="E8522">
        <v>227.18</v>
      </c>
      <c r="F8522">
        <v>0.01</v>
      </c>
    </row>
    <row r="8523" spans="1:6" x14ac:dyDescent="0.3">
      <c r="A8523" t="str">
        <f>HYPERLINK("https://us2.cloudbeds.com/connect/10074733072513#/reservations/31679960518880?display=MHB6DS3ED&amp;reservation_id=31679960518880", "MHB6DS3ED")</f>
        <v>MHB6DS3ED</v>
      </c>
      <c r="B8523" t="s">
        <v>1256</v>
      </c>
      <c r="C8523">
        <v>199</v>
      </c>
      <c r="D8523">
        <v>216.32</v>
      </c>
      <c r="E8523">
        <v>216.31</v>
      </c>
      <c r="F8523">
        <v>0.01</v>
      </c>
    </row>
    <row r="8524" spans="1:6" x14ac:dyDescent="0.3">
      <c r="A8524" t="str">
        <f>HYPERLINK("https://us2.cloudbeds.com/connect/10074733072513#/reservations/31683016315084?display=MHDXGJ4XC&amp;reservation_id=31683016315084", "MHDXGJ4XC")</f>
        <v>MHDXGJ4XC</v>
      </c>
      <c r="B8524" t="s">
        <v>1256</v>
      </c>
      <c r="C8524">
        <v>199</v>
      </c>
      <c r="D8524">
        <v>216.32</v>
      </c>
      <c r="E8524">
        <v>216.31</v>
      </c>
      <c r="F8524">
        <v>0.01</v>
      </c>
    </row>
    <row r="8525" spans="1:6" x14ac:dyDescent="0.3">
      <c r="A8525" t="str">
        <f>HYPERLINK("https://us2.cloudbeds.com/connect/10074733072513#/reservations/31683096612999?display=MHDKX9X0H&amp;reservation_id=31683096612999", "MHDKX9X0H")</f>
        <v>MHDKX9X0H</v>
      </c>
      <c r="B8525" t="s">
        <v>1256</v>
      </c>
      <c r="C8525">
        <v>199</v>
      </c>
      <c r="D8525">
        <v>216.32</v>
      </c>
      <c r="E8525">
        <v>216.31</v>
      </c>
      <c r="F8525">
        <v>0.01</v>
      </c>
    </row>
    <row r="8526" spans="1:6" x14ac:dyDescent="0.3">
      <c r="A8526" t="str">
        <f>HYPERLINK("https://us2.cloudbeds.com/connect/10074733072513#/reservations/31686029074640?display=MHFTG0K8G&amp;reservation_id=31686029074640", "MHFTG0K8G")</f>
        <v>MHFTG0K8G</v>
      </c>
      <c r="B8526" t="s">
        <v>1250</v>
      </c>
      <c r="C8526">
        <v>119</v>
      </c>
      <c r="D8526">
        <v>129.36000000000001</v>
      </c>
      <c r="E8526">
        <v>129.35</v>
      </c>
      <c r="F8526">
        <v>0.01</v>
      </c>
    </row>
    <row r="8527" spans="1:6" x14ac:dyDescent="0.3">
      <c r="A8527" t="str">
        <f>HYPERLINK("https://us2.cloudbeds.com/connect/10074733072513#/reservations/31683132154017?display=MHDYF8HD2&amp;reservation_id=31683132154017", "MHDYF8HD2")</f>
        <v>MHDYF8HD2</v>
      </c>
      <c r="B8527" t="s">
        <v>1256</v>
      </c>
      <c r="C8527">
        <v>199</v>
      </c>
      <c r="D8527">
        <v>216.32</v>
      </c>
      <c r="E8527">
        <v>216.31</v>
      </c>
      <c r="F8527">
        <v>0.01</v>
      </c>
    </row>
    <row r="8528" spans="1:6" x14ac:dyDescent="0.3">
      <c r="A8528" t="str">
        <f>HYPERLINK("https://us2.cloudbeds.com/connect/10074733072513#/reservations/31683150643419?display=MHDYUS0NW&amp;reservation_id=31683150643419", "MHDYUS0NW")</f>
        <v>MHDYUS0NW</v>
      </c>
      <c r="B8528" t="s">
        <v>1256</v>
      </c>
      <c r="C8528">
        <v>229</v>
      </c>
      <c r="D8528">
        <v>248.93</v>
      </c>
      <c r="E8528">
        <v>248.92</v>
      </c>
      <c r="F8528">
        <v>0.01</v>
      </c>
    </row>
    <row r="8529" spans="1:6" x14ac:dyDescent="0.3">
      <c r="A8529" t="str">
        <f>HYPERLINK("https://us2.cloudbeds.com/connect/10074733072513#/reservations/31686048338061?display=MHFTW8YBH&amp;reservation_id=31686048338061", "MHFTW8YBH")</f>
        <v>MHFTW8YBH</v>
      </c>
      <c r="B8529" t="s">
        <v>1316</v>
      </c>
      <c r="C8529">
        <v>662.4</v>
      </c>
      <c r="D8529">
        <v>720.04</v>
      </c>
      <c r="E8529">
        <v>720.03</v>
      </c>
      <c r="F8529">
        <v>0.01</v>
      </c>
    </row>
    <row r="8530" spans="1:6" x14ac:dyDescent="0.3">
      <c r="A8530" t="str">
        <f>HYPERLINK("https://us2.cloudbeds.com/connect/10074733072513#/reservations/31686064398474?display=MHFUCQX6N&amp;reservation_id=31686064398474", "MHFUCQX6N")</f>
        <v>MHFUCQX6N</v>
      </c>
      <c r="B8530" t="s">
        <v>1316</v>
      </c>
      <c r="C8530">
        <v>662.4</v>
      </c>
      <c r="D8530">
        <v>720.04</v>
      </c>
      <c r="E8530">
        <v>720.03</v>
      </c>
      <c r="F8530">
        <v>0.01</v>
      </c>
    </row>
    <row r="8531" spans="1:6" x14ac:dyDescent="0.3">
      <c r="A8531" t="str">
        <f>HYPERLINK("https://us2.cloudbeds.com/connect/10074733072513#/reservations/31681168679046?display=MHC49JV2H&amp;reservation_id=31681168679046", "MHC49JV2H")</f>
        <v>MHC49JV2H</v>
      </c>
      <c r="B8531" t="s">
        <v>1174</v>
      </c>
      <c r="C8531">
        <v>158</v>
      </c>
      <c r="D8531">
        <v>171.76</v>
      </c>
      <c r="E8531">
        <v>171.75</v>
      </c>
      <c r="F8531">
        <v>0.01</v>
      </c>
    </row>
    <row r="8532" spans="1:6" x14ac:dyDescent="0.3">
      <c r="A8532" t="str">
        <f>HYPERLINK("https://us2.cloudbeds.com/connect/10074733072513#/reservations/31686081122434?display=MHFUQTUCC&amp;reservation_id=31686081122434", "MHFUQTUCC")</f>
        <v>MHFUQTUCC</v>
      </c>
      <c r="B8532" t="s">
        <v>1316</v>
      </c>
      <c r="C8532">
        <v>89</v>
      </c>
      <c r="D8532">
        <v>96.75</v>
      </c>
      <c r="E8532">
        <v>96.74</v>
      </c>
      <c r="F8532">
        <v>0.01</v>
      </c>
    </row>
    <row r="8533" spans="1:6" x14ac:dyDescent="0.3">
      <c r="A8533" t="str">
        <f>HYPERLINK("https://us2.cloudbeds.com/connect/10074733072513#/reservations/31680865976539?display=MHBTXBQB9&amp;reservation_id=31680865976539", "MHBTXBQB9")</f>
        <v>MHBTXBQB9</v>
      </c>
      <c r="B8533" t="s">
        <v>1254</v>
      </c>
      <c r="C8533">
        <v>239</v>
      </c>
      <c r="D8533">
        <v>259.8</v>
      </c>
      <c r="E8533">
        <v>259.79000000000002</v>
      </c>
      <c r="F8533">
        <v>0.01</v>
      </c>
    </row>
    <row r="8534" spans="1:6" x14ac:dyDescent="0.3">
      <c r="A8534" t="str">
        <f>HYPERLINK("https://us2.cloudbeds.com/connect/10074733072513#/reservations/31682571460802?display=MHD74FDJJ&amp;reservation_id=31682571460802", "MHD74FDJJ")</f>
        <v>MHD74FDJJ</v>
      </c>
      <c r="B8534" t="s">
        <v>1139</v>
      </c>
      <c r="C8534">
        <v>149</v>
      </c>
      <c r="D8534">
        <v>161.97</v>
      </c>
      <c r="E8534">
        <v>161.96</v>
      </c>
      <c r="F8534">
        <v>0.01</v>
      </c>
    </row>
    <row r="8535" spans="1:6" x14ac:dyDescent="0.3">
      <c r="A8535" t="str">
        <f>HYPERLINK("https://us2.cloudbeds.com/connect/10074733072513#/reservations/31683164012750?display=MHDM941E7&amp;reservation_id=31683164012750", "MHDM941E7")</f>
        <v>MHDM941E7</v>
      </c>
      <c r="B8535" t="s">
        <v>1256</v>
      </c>
      <c r="C8535">
        <v>209</v>
      </c>
      <c r="D8535">
        <v>227.19</v>
      </c>
      <c r="E8535">
        <v>227.18</v>
      </c>
      <c r="F8535">
        <v>0.01</v>
      </c>
    </row>
    <row r="8536" spans="1:6" x14ac:dyDescent="0.3">
      <c r="A8536" t="str">
        <f>HYPERLINK("https://us2.cloudbeds.com/connect/10074733072513#/reservations/31683164016844?display=MHDM94569&amp;reservation_id=31683164016844", "MHDM94569")</f>
        <v>MHDM94569</v>
      </c>
      <c r="B8536" t="s">
        <v>1256</v>
      </c>
      <c r="C8536">
        <v>219</v>
      </c>
      <c r="D8536">
        <v>238.06</v>
      </c>
      <c r="E8536">
        <v>238.05</v>
      </c>
      <c r="F8536">
        <v>0.01</v>
      </c>
    </row>
    <row r="8537" spans="1:6" x14ac:dyDescent="0.3">
      <c r="A8537" t="str">
        <f>HYPERLINK("https://us2.cloudbeds.com/connect/10074733072513#/reservations/31684705742984?display=MHESM4VM7&amp;reservation_id=31684705742984", "MHESM4VM7")</f>
        <v>MHESM4VM7</v>
      </c>
      <c r="B8537" t="s">
        <v>1254</v>
      </c>
      <c r="C8537">
        <v>239</v>
      </c>
      <c r="D8537">
        <v>259.8</v>
      </c>
      <c r="E8537">
        <v>259.79000000000002</v>
      </c>
      <c r="F8537">
        <v>0.01</v>
      </c>
    </row>
    <row r="8538" spans="1:6" x14ac:dyDescent="0.3">
      <c r="A8538" t="str">
        <f>HYPERLINK("https://us2.cloudbeds.com/connect/10074733072513#/reservations/31680929448067?display=MHBV5SWXU&amp;reservation_id=31680929448067", "MHBV5SWXU")</f>
        <v>MHBV5SWXU</v>
      </c>
      <c r="B8538" t="s">
        <v>1254</v>
      </c>
      <c r="C8538">
        <v>239</v>
      </c>
      <c r="D8538">
        <v>259.8</v>
      </c>
      <c r="E8538">
        <v>259.79000000000002</v>
      </c>
      <c r="F8538">
        <v>0.01</v>
      </c>
    </row>
    <row r="8539" spans="1:6" x14ac:dyDescent="0.3">
      <c r="A8539" t="str">
        <f>HYPERLINK("https://us2.cloudbeds.com/connect/10074733072513#/reservations/31680914452623?display=MHBUQ7NYH&amp;reservation_id=31680914452623", "MHBUQ7NYH")</f>
        <v>MHBUQ7NYH</v>
      </c>
      <c r="B8539" t="s">
        <v>1254</v>
      </c>
      <c r="C8539">
        <v>239</v>
      </c>
      <c r="D8539">
        <v>259.8</v>
      </c>
      <c r="E8539">
        <v>259.79000000000002</v>
      </c>
      <c r="F8539">
        <v>0.01</v>
      </c>
    </row>
    <row r="8540" spans="1:6" x14ac:dyDescent="0.3">
      <c r="A8540" t="str">
        <f>HYPERLINK("https://us2.cloudbeds.com/connect/10074733072513#/reservations/31684755583126?display=MHETV5RXX&amp;reservation_id=31684755583126", "MHETV5RXX")</f>
        <v>MHETV5RXX</v>
      </c>
      <c r="B8540" t="s">
        <v>1296</v>
      </c>
      <c r="C8540">
        <v>139</v>
      </c>
      <c r="D8540">
        <v>151.1</v>
      </c>
      <c r="E8540">
        <v>151.09</v>
      </c>
      <c r="F8540">
        <v>0.01</v>
      </c>
    </row>
    <row r="8541" spans="1:6" x14ac:dyDescent="0.3">
      <c r="A8541" t="str">
        <f>HYPERLINK("https://us2.cloudbeds.com/connect/10074733072513#/reservations/31684817277120?display=MHEV5XQCX&amp;reservation_id=31684817277120", "MHEV5XQCX")</f>
        <v>MHEV5XQCX</v>
      </c>
      <c r="B8541" t="s">
        <v>1296</v>
      </c>
      <c r="C8541">
        <v>278</v>
      </c>
      <c r="D8541">
        <v>302.2</v>
      </c>
      <c r="E8541">
        <v>302.19</v>
      </c>
      <c r="F8541">
        <v>0.01</v>
      </c>
    </row>
    <row r="8542" spans="1:6" x14ac:dyDescent="0.3">
      <c r="A8542" t="str">
        <f>HYPERLINK("https://us2.cloudbeds.com/connect/10074733072513#/reservations/31680844939480?display=MHBT0KDXY&amp;reservation_id=31680844939480", "MHBT0KDXY")</f>
        <v>MHBT0KDXY</v>
      </c>
      <c r="B8542" t="s">
        <v>1254</v>
      </c>
      <c r="C8542">
        <v>239</v>
      </c>
      <c r="D8542">
        <v>259.8</v>
      </c>
      <c r="E8542">
        <v>259.79000000000002</v>
      </c>
      <c r="F8542">
        <v>0.01</v>
      </c>
    </row>
    <row r="8543" spans="1:6" x14ac:dyDescent="0.3">
      <c r="A8543" t="str">
        <f>HYPERLINK("https://us2.cloudbeds.com/connect/10074733072513#/reservations/31684724981985?display=MHET5CAB8&amp;reservation_id=31684724981985", "MHET5CAB8")</f>
        <v>MHET5CAB8</v>
      </c>
      <c r="B8543" t="s">
        <v>1254</v>
      </c>
      <c r="C8543">
        <v>259</v>
      </c>
      <c r="D8543">
        <v>281.54000000000002</v>
      </c>
      <c r="E8543">
        <v>281.52999999999997</v>
      </c>
      <c r="F8543">
        <v>0.01</v>
      </c>
    </row>
    <row r="8544" spans="1:6" x14ac:dyDescent="0.3">
      <c r="A8544" t="str">
        <f>HYPERLINK("https://us2.cloudbeds.com/connect/10074733072513#/reservations/31685293457642?display=MHFAMNWXA&amp;reservation_id=31685293457642", "MHFAMNWXA")</f>
        <v>MHFAMNWXA</v>
      </c>
      <c r="B8544" t="s">
        <v>1296</v>
      </c>
      <c r="C8544">
        <v>119</v>
      </c>
      <c r="D8544">
        <v>129.36000000000001</v>
      </c>
      <c r="E8544">
        <v>129.35</v>
      </c>
      <c r="F8544">
        <v>0.01</v>
      </c>
    </row>
    <row r="8545" spans="1:6" x14ac:dyDescent="0.3">
      <c r="A8545" t="str">
        <f>HYPERLINK("https://us2.cloudbeds.com/connect/10074733072513#/reservations/31680192569552?display=MHBCBH8EV&amp;reservation_id=31680192569552", "MHBCBH8EV")</f>
        <v>MHBCBH8EV</v>
      </c>
      <c r="B8545" t="s">
        <v>1302</v>
      </c>
      <c r="C8545">
        <v>139</v>
      </c>
      <c r="D8545">
        <v>151.1</v>
      </c>
      <c r="E8545">
        <v>151.09</v>
      </c>
      <c r="F8545">
        <v>0.01</v>
      </c>
    </row>
    <row r="8546" spans="1:6" x14ac:dyDescent="0.3">
      <c r="A8546" t="str">
        <f>HYPERLINK("https://us2.cloudbeds.com/connect/10074733072513#/reservations/31686037700755?display=MHFTN9YCU&amp;reservation_id=31686037700755", "MHFTN9YCU")</f>
        <v>MHFTN9YCU</v>
      </c>
      <c r="B8546" t="s">
        <v>1316</v>
      </c>
      <c r="C8546">
        <v>109</v>
      </c>
      <c r="D8546">
        <v>118.49</v>
      </c>
      <c r="E8546">
        <v>118.48</v>
      </c>
      <c r="F8546">
        <v>0.01</v>
      </c>
    </row>
    <row r="8547" spans="1:6" x14ac:dyDescent="0.3">
      <c r="A8547" t="str">
        <f>HYPERLINK("https://us2.cloudbeds.com/connect/10074733072513#/reservations/31688877203667?display=MHX38Y02N&amp;reservation_id=31688877203667", "MHX38Y02N")</f>
        <v>MHX38Y02N</v>
      </c>
      <c r="B8547" t="s">
        <v>974</v>
      </c>
      <c r="C8547">
        <v>149</v>
      </c>
      <c r="D8547">
        <v>161.97</v>
      </c>
      <c r="E8547">
        <v>161.96</v>
      </c>
      <c r="F8547">
        <v>0.01</v>
      </c>
    </row>
    <row r="8548" spans="1:6" x14ac:dyDescent="0.3">
      <c r="A8548" t="str">
        <f>HYPERLINK("https://us2.cloudbeds.com/connect/10074733072513#/reservations/31682363351217?display=MHD1QWF1H&amp;reservation_id=31682363351217", "MHD1QWF1H")</f>
        <v>MHD1QWF1H</v>
      </c>
      <c r="B8548" t="s">
        <v>1290</v>
      </c>
      <c r="C8548">
        <v>336</v>
      </c>
      <c r="D8548">
        <v>365.24</v>
      </c>
      <c r="E8548">
        <v>365.23</v>
      </c>
      <c r="F8548">
        <v>0.01</v>
      </c>
    </row>
    <row r="8549" spans="1:6" x14ac:dyDescent="0.3">
      <c r="A8549" t="str">
        <f>HYPERLINK("https://us2.cloudbeds.com/connect/10074733072513#/reservations/31683605770440?display=MHE0XKJST&amp;reservation_id=31683605770440", "MHE0XKJST")</f>
        <v>MHE0XKJST</v>
      </c>
      <c r="B8549" t="s">
        <v>1302</v>
      </c>
      <c r="C8549">
        <v>149</v>
      </c>
      <c r="D8549">
        <v>161.97</v>
      </c>
      <c r="E8549">
        <v>161.96</v>
      </c>
      <c r="F8549">
        <v>0.01</v>
      </c>
    </row>
    <row r="8550" spans="1:6" x14ac:dyDescent="0.3">
      <c r="A8550" t="str">
        <f>HYPERLINK("https://us2.cloudbeds.com/connect/10074733072513#/reservations/31688826515624?display=MHX1VTHJD&amp;reservation_id=31688826515624", "MHX1VTHJD")</f>
        <v>MHX1VTHJD</v>
      </c>
      <c r="B8550" t="s">
        <v>974</v>
      </c>
      <c r="C8550">
        <v>149</v>
      </c>
      <c r="D8550">
        <v>161.97</v>
      </c>
      <c r="E8550">
        <v>161.96</v>
      </c>
      <c r="F8550">
        <v>0.01</v>
      </c>
    </row>
    <row r="8551" spans="1:6" x14ac:dyDescent="0.3">
      <c r="A8551" t="str">
        <f>HYPERLINK("https://us2.cloudbeds.com/connect/10074733072513#/reservations/31683613266078?display=MHE0ZV5UE&amp;reservation_id=31683613266078", "MHE0ZV5UE")</f>
        <v>MHE0ZV5UE</v>
      </c>
      <c r="B8551" t="s">
        <v>1302</v>
      </c>
      <c r="C8551">
        <v>102.58</v>
      </c>
      <c r="D8551">
        <v>111.51</v>
      </c>
      <c r="E8551">
        <v>111.5</v>
      </c>
      <c r="F8551">
        <v>0.01</v>
      </c>
    </row>
    <row r="8552" spans="1:6" x14ac:dyDescent="0.3">
      <c r="A8552" t="str">
        <f>HYPERLINK("https://us2.cloudbeds.com/connect/10074733072513#/reservations/31685368291494?display=MHFCJRBGQ&amp;reservation_id=31685368291494", "MHFCJRBGQ")</f>
        <v>MHFCJRBGQ</v>
      </c>
      <c r="B8552" t="s">
        <v>1316</v>
      </c>
      <c r="C8552">
        <v>73</v>
      </c>
      <c r="D8552">
        <v>79.36</v>
      </c>
      <c r="E8552">
        <v>79.349999999999994</v>
      </c>
      <c r="F8552">
        <v>0.01</v>
      </c>
    </row>
    <row r="8553" spans="1:6" x14ac:dyDescent="0.3">
      <c r="A8553" t="str">
        <f>HYPERLINK("https://us2.cloudbeds.com/connect/10074733072513#/reservations/31680047161545?display=MHB8KU23N&amp;reservation_id=31680047161545", "MHB8KU23N")</f>
        <v>MHB8KU23N</v>
      </c>
      <c r="B8553" t="s">
        <v>1302</v>
      </c>
      <c r="C8553">
        <v>258</v>
      </c>
      <c r="D8553">
        <v>280.45999999999998</v>
      </c>
      <c r="E8553">
        <v>280.45</v>
      </c>
      <c r="F8553">
        <v>0.01</v>
      </c>
    </row>
    <row r="8554" spans="1:6" x14ac:dyDescent="0.3">
      <c r="A8554" t="str">
        <f>HYPERLINK("https://us2.cloudbeds.com/connect/10074733072513#/reservations/31685984911583?display=MHFSBPNG1&amp;reservation_id=31685984911583", "MHFSBPNG1")</f>
        <v>MHFSBPNG1</v>
      </c>
      <c r="B8554" t="s">
        <v>1316</v>
      </c>
      <c r="C8554">
        <v>139</v>
      </c>
      <c r="D8554">
        <v>151.1</v>
      </c>
      <c r="E8554">
        <v>151.09</v>
      </c>
      <c r="F8554">
        <v>0.01</v>
      </c>
    </row>
    <row r="8555" spans="1:6" x14ac:dyDescent="0.3">
      <c r="A8555" t="str">
        <f>HYPERLINK("https://us2.cloudbeds.com/connect/10074733072513#/reservations/31683725402311?display=MHE3KGHM3&amp;reservation_id=31683725402311", "MHE3KGHM3")</f>
        <v>MHE3KGHM3</v>
      </c>
      <c r="B8555" t="s">
        <v>1215</v>
      </c>
      <c r="C8555">
        <v>250</v>
      </c>
      <c r="D8555">
        <v>271.76</v>
      </c>
      <c r="E8555">
        <v>271.75</v>
      </c>
      <c r="F8555">
        <v>0.01</v>
      </c>
    </row>
    <row r="8556" spans="1:6" x14ac:dyDescent="0.3">
      <c r="A8556" t="str">
        <f>HYPERLINK("https://us2.cloudbeds.com/connect/10074733072513#/reservations/31682642133214?display=MHD8V1W6R&amp;reservation_id=31682642133214", "MHD8V1W6R")</f>
        <v>MHD8V1W6R</v>
      </c>
      <c r="B8556" t="s">
        <v>1118</v>
      </c>
      <c r="C8556">
        <v>331.2</v>
      </c>
      <c r="D8556">
        <v>360.02</v>
      </c>
      <c r="E8556">
        <v>360.01</v>
      </c>
      <c r="F8556">
        <v>0.01</v>
      </c>
    </row>
    <row r="8557" spans="1:6" x14ac:dyDescent="0.3">
      <c r="A8557" t="str">
        <f>HYPERLINK("https://us2.cloudbeds.com/connect/10074733072513#/reservations/31682372153494?display=MHD21DCV6&amp;reservation_id=31682372153494", "MHD21DCV6")</f>
        <v>MHD21DCV6</v>
      </c>
      <c r="B8557" t="s">
        <v>1290</v>
      </c>
      <c r="C8557">
        <v>336</v>
      </c>
      <c r="D8557">
        <v>365.24</v>
      </c>
      <c r="E8557">
        <v>365.23</v>
      </c>
      <c r="F8557">
        <v>0.01</v>
      </c>
    </row>
    <row r="8558" spans="1:6" x14ac:dyDescent="0.3">
      <c r="A8558" t="str">
        <f>HYPERLINK("https://us2.cloudbeds.com/connect/10074733072513#/reservations/31685333450913?display=MHFBNESAK&amp;reservation_id=31685333450913", "MHFBNESAK")</f>
        <v>MHFBNESAK</v>
      </c>
      <c r="B8558" t="s">
        <v>1316</v>
      </c>
      <c r="C8558">
        <v>139</v>
      </c>
      <c r="D8558">
        <v>151.1</v>
      </c>
      <c r="E8558">
        <v>151.09</v>
      </c>
      <c r="F8558">
        <v>0.01</v>
      </c>
    </row>
    <row r="8559" spans="1:6" x14ac:dyDescent="0.3">
      <c r="A8559" t="str">
        <f>HYPERLINK("https://us2.cloudbeds.com/connect/10074733072513#/reservations/31689167949993?display=MHXAMQEPE&amp;reservation_id=31689167949993", "MHXAMQEPE")</f>
        <v>MHXAMQEPE</v>
      </c>
      <c r="B8559" t="s">
        <v>974</v>
      </c>
      <c r="C8559">
        <v>149</v>
      </c>
      <c r="D8559">
        <v>161.97</v>
      </c>
      <c r="E8559">
        <v>161.96</v>
      </c>
      <c r="F8559">
        <v>0.01</v>
      </c>
    </row>
    <row r="8560" spans="1:6" x14ac:dyDescent="0.3">
      <c r="A8560" t="str">
        <f>HYPERLINK("https://us2.cloudbeds.com/connect/10074733072513#/reservations/31683635912847?display=MHE1B1BS5&amp;reservation_id=31683635912847", "MHE1B1BS5")</f>
        <v>MHE1B1BS5</v>
      </c>
      <c r="B8560" t="s">
        <v>1302</v>
      </c>
      <c r="C8560">
        <v>158</v>
      </c>
      <c r="D8560">
        <v>171.76</v>
      </c>
      <c r="E8560">
        <v>171.75</v>
      </c>
      <c r="F8560">
        <v>0.01</v>
      </c>
    </row>
    <row r="8561" spans="1:6" x14ac:dyDescent="0.3">
      <c r="A8561" t="str">
        <f>HYPERLINK("https://us2.cloudbeds.com/connect/10074733072513#/reservations/31681682006238?display=MHCHDF0TW&amp;reservation_id=31681682006238", "MHCHDF0TW")</f>
        <v>MHCHDF0TW</v>
      </c>
      <c r="B8561" t="s">
        <v>1201</v>
      </c>
      <c r="C8561">
        <v>129</v>
      </c>
      <c r="D8561">
        <v>140.22999999999999</v>
      </c>
      <c r="E8561">
        <v>140.22</v>
      </c>
      <c r="F8561">
        <v>0.01</v>
      </c>
    </row>
    <row r="8562" spans="1:6" x14ac:dyDescent="0.3">
      <c r="A8562" t="str">
        <f>HYPERLINK("https://us2.cloudbeds.com/connect/10074733072513#/reservations/31689046876301?display=MHX7JNCWY&amp;reservation_id=31689046876301", "MHX7JNCWY")</f>
        <v>MHX7JNCWY</v>
      </c>
      <c r="B8562" t="s">
        <v>974</v>
      </c>
      <c r="C8562">
        <v>149</v>
      </c>
      <c r="D8562">
        <v>161.97</v>
      </c>
      <c r="E8562">
        <v>161.96</v>
      </c>
      <c r="F8562">
        <v>0.01</v>
      </c>
    </row>
    <row r="8563" spans="1:6" x14ac:dyDescent="0.3">
      <c r="A8563" t="str">
        <f>HYPERLINK("https://us2.cloudbeds.com/connect/10074733072513#/reservations/31679998107783?display=MHB7CX2B2&amp;reservation_id=31679998107783", "MHB7CX2B2")</f>
        <v>MHB7CX2B2</v>
      </c>
      <c r="B8563" t="s">
        <v>1316</v>
      </c>
      <c r="C8563">
        <v>73</v>
      </c>
      <c r="D8563">
        <v>79.36</v>
      </c>
      <c r="E8563">
        <v>79.349999999999994</v>
      </c>
      <c r="F8563">
        <v>0.01</v>
      </c>
    </row>
    <row r="8564" spans="1:6" x14ac:dyDescent="0.3">
      <c r="A8564" t="str">
        <f>HYPERLINK("https://us2.cloudbeds.com/connect/10074733072513#/reservations/31679998111878?display=MHB7CX635&amp;reservation_id=31679998111878", "MHB7CX635")</f>
        <v>MHB7CX635</v>
      </c>
      <c r="B8564" t="s">
        <v>1316</v>
      </c>
      <c r="C8564">
        <v>119</v>
      </c>
      <c r="D8564">
        <v>129.36000000000001</v>
      </c>
      <c r="E8564">
        <v>129.35</v>
      </c>
      <c r="F8564">
        <v>0.01</v>
      </c>
    </row>
    <row r="8565" spans="1:6" x14ac:dyDescent="0.3">
      <c r="A8565" t="str">
        <f>HYPERLINK("https://us2.cloudbeds.com/connect/10074733072513#/reservations/31680779120870?display=MHBRB3U2A&amp;reservation_id=31680779120870", "MHBRB3U2A")</f>
        <v>MHBRB3U2A</v>
      </c>
      <c r="B8565" t="s">
        <v>1290</v>
      </c>
      <c r="C8565">
        <v>149</v>
      </c>
      <c r="D8565">
        <v>161.97</v>
      </c>
      <c r="E8565">
        <v>161.96</v>
      </c>
      <c r="F8565">
        <v>0.01</v>
      </c>
    </row>
    <row r="8566" spans="1:6" x14ac:dyDescent="0.3">
      <c r="A8566" t="str">
        <f>HYPERLINK("https://us2.cloudbeds.com/connect/10074733072513#/reservations/31688163053764?display=MHHX0EZ1X&amp;reservation_id=31688163053764", "MHHX0EZ1X")</f>
        <v>MHHX0EZ1X</v>
      </c>
      <c r="B8566" t="s">
        <v>1118</v>
      </c>
      <c r="C8566">
        <v>278</v>
      </c>
      <c r="D8566">
        <v>302.2</v>
      </c>
      <c r="E8566">
        <v>302.19</v>
      </c>
      <c r="F8566">
        <v>0.01</v>
      </c>
    </row>
    <row r="8567" spans="1:6" x14ac:dyDescent="0.3">
      <c r="A8567" t="str">
        <f>HYPERLINK("https://us2.cloudbeds.com/connect/10074733072513#/reservations/31684534329515?display=MHEZ9K46M&amp;reservation_id=31684534329515", "MHEZ9K46M")</f>
        <v>MHEZ9K46M</v>
      </c>
      <c r="B8567" t="s">
        <v>1321</v>
      </c>
      <c r="C8567">
        <v>209</v>
      </c>
      <c r="D8567">
        <v>227.19</v>
      </c>
      <c r="E8567">
        <v>227.18</v>
      </c>
      <c r="F8567">
        <v>0.01</v>
      </c>
    </row>
    <row r="8568" spans="1:6" x14ac:dyDescent="0.3">
      <c r="A8568" t="str">
        <f>HYPERLINK("https://us2.cloudbeds.com/connect/10074733072513#/reservations/31680121561310?display=MHBAHYBF1&amp;reservation_id=31680121561310", "MHBAHYBF1")</f>
        <v>MHBAHYBF1</v>
      </c>
      <c r="B8568" t="s">
        <v>1215</v>
      </c>
      <c r="C8568">
        <v>150</v>
      </c>
      <c r="D8568">
        <v>163.06</v>
      </c>
      <c r="E8568">
        <v>163.05000000000001</v>
      </c>
      <c r="F8568">
        <v>0.01</v>
      </c>
    </row>
    <row r="8569" spans="1:6" x14ac:dyDescent="0.3">
      <c r="A8569" t="str">
        <f>HYPERLINK("https://us2.cloudbeds.com/connect/10074733072513#/reservations/31682355560593?display=MHD1KDM40&amp;reservation_id=31682355560593", "MHD1KDM40")</f>
        <v>MHD1KDM40</v>
      </c>
      <c r="B8569" t="s">
        <v>1290</v>
      </c>
      <c r="C8569">
        <v>278</v>
      </c>
      <c r="D8569">
        <v>302.2</v>
      </c>
      <c r="E8569">
        <v>302.19</v>
      </c>
      <c r="F8569">
        <v>0.01</v>
      </c>
    </row>
    <row r="8570" spans="1:6" x14ac:dyDescent="0.3">
      <c r="A8570" t="str">
        <f>HYPERLINK("https://us2.cloudbeds.com/connect/10074733072513#/reservations/31683248234726?display=MHDZE4Y8A&amp;reservation_id=31683248234726", "MHDZE4Y8A")</f>
        <v>MHDZE4Y8A</v>
      </c>
      <c r="B8570" t="s">
        <v>1204</v>
      </c>
      <c r="C8570">
        <v>348</v>
      </c>
      <c r="D8570">
        <v>378.29</v>
      </c>
      <c r="E8570">
        <v>378.28</v>
      </c>
      <c r="F8570">
        <v>0.01</v>
      </c>
    </row>
    <row r="8571" spans="1:6" x14ac:dyDescent="0.3">
      <c r="A8571" t="str">
        <f>HYPERLINK("https://us2.cloudbeds.com/connect/10074733072513#/reservations/31690410066099?display=MHJ9E658E&amp;reservation_id=31690410066099", "MHJ9E658E")</f>
        <v>MHJ9E658E</v>
      </c>
      <c r="B8571" t="s">
        <v>1168</v>
      </c>
      <c r="C8571">
        <v>238</v>
      </c>
      <c r="D8571">
        <v>258.72000000000003</v>
      </c>
      <c r="E8571">
        <v>258.70999999999998</v>
      </c>
      <c r="F8571">
        <v>0.01</v>
      </c>
    </row>
    <row r="8572" spans="1:6" x14ac:dyDescent="0.3">
      <c r="A8572" t="str">
        <f>HYPERLINK("https://us2.cloudbeds.com/connect/10074733072513#/reservations/31680065978560?display=MHB8RTSK1&amp;reservation_id=31680065978560", "MHB8RTSK1")</f>
        <v>MHB8RTSK1</v>
      </c>
      <c r="B8572" t="s">
        <v>1302</v>
      </c>
      <c r="C8572">
        <v>97.74</v>
      </c>
      <c r="D8572">
        <v>106.25</v>
      </c>
      <c r="E8572">
        <v>106.24</v>
      </c>
      <c r="F8572">
        <v>0.01</v>
      </c>
    </row>
    <row r="8573" spans="1:6" x14ac:dyDescent="0.3">
      <c r="A8573" t="str">
        <f>HYPERLINK("https://us2.cloudbeds.com/connect/10074733072513#/reservations/31680041889971?display=MHB8GFCC1&amp;reservation_id=31680041889971", "MHB8GFCC1")</f>
        <v>MHB8GFCC1</v>
      </c>
      <c r="B8573" t="s">
        <v>1316</v>
      </c>
      <c r="C8573">
        <v>97.74</v>
      </c>
      <c r="D8573">
        <v>106.25</v>
      </c>
      <c r="E8573">
        <v>106.24</v>
      </c>
      <c r="F8573">
        <v>0.01</v>
      </c>
    </row>
    <row r="8574" spans="1:6" x14ac:dyDescent="0.3">
      <c r="A8574" t="str">
        <f>HYPERLINK("https://us2.cloudbeds.com/connect/10074733072513#/reservations/31680025579659?display=MHB82NH15&amp;reservation_id=31680025579659", "MHB82NH15")</f>
        <v>MHB82NH15</v>
      </c>
      <c r="B8574" t="s">
        <v>1316</v>
      </c>
      <c r="C8574">
        <v>109</v>
      </c>
      <c r="D8574">
        <v>118.49</v>
      </c>
      <c r="E8574">
        <v>118.48</v>
      </c>
      <c r="F8574">
        <v>0.01</v>
      </c>
    </row>
    <row r="8575" spans="1:6" x14ac:dyDescent="0.3">
      <c r="A8575" t="str">
        <f>HYPERLINK("https://us2.cloudbeds.com/connect/10074733072513#/reservations/31681289609355?display=MHC7CJ06B&amp;reservation_id=31681289609355", "MHC7CJ06B")</f>
        <v>MHC7CJ06B</v>
      </c>
      <c r="B8575" t="s">
        <v>1174</v>
      </c>
      <c r="C8575">
        <v>189</v>
      </c>
      <c r="D8575">
        <v>205.45</v>
      </c>
      <c r="E8575">
        <v>205.44</v>
      </c>
      <c r="F8575">
        <v>0.01</v>
      </c>
    </row>
    <row r="8576" spans="1:6" x14ac:dyDescent="0.3">
      <c r="A8576" t="str">
        <f>HYPERLINK("https://us2.cloudbeds.com/connect/10074733072513#/reservations/31689155551361?display=MHXACBEEA&amp;reservation_id=31689155551361", "MHXACBEEA")</f>
        <v>MHXACBEEA</v>
      </c>
      <c r="B8576" t="s">
        <v>974</v>
      </c>
      <c r="C8576">
        <v>159</v>
      </c>
      <c r="D8576">
        <v>172.84</v>
      </c>
      <c r="E8576">
        <v>172.83</v>
      </c>
      <c r="F8576">
        <v>0.01</v>
      </c>
    </row>
    <row r="8577" spans="1:6" x14ac:dyDescent="0.3">
      <c r="A8577" t="str">
        <f>HYPERLINK("https://us2.cloudbeds.com/connect/10074733072513#/reservations/31683687878837?display=MHE2YSCS4&amp;reservation_id=31683687878837", "MHE2YSCS4")</f>
        <v>MHE2YSCS4</v>
      </c>
      <c r="B8577" t="s">
        <v>1302</v>
      </c>
      <c r="C8577">
        <v>73</v>
      </c>
      <c r="D8577">
        <v>79.36</v>
      </c>
      <c r="E8577">
        <v>79.349999999999994</v>
      </c>
      <c r="F8577">
        <v>0.01</v>
      </c>
    </row>
    <row r="8578" spans="1:6" x14ac:dyDescent="0.3">
      <c r="A8578" t="str">
        <f>HYPERLINK("https://us2.cloudbeds.com/connect/10074733072513#/reservations/31683704172738?display=MHE32JQ3N&amp;reservation_id=31683704172738", "MHE32JQ3N")</f>
        <v>MHE32JQ3N</v>
      </c>
      <c r="B8578" t="s">
        <v>1302</v>
      </c>
      <c r="C8578">
        <v>73</v>
      </c>
      <c r="D8578">
        <v>79.36</v>
      </c>
      <c r="E8578">
        <v>79.349999999999994</v>
      </c>
      <c r="F8578">
        <v>0.01</v>
      </c>
    </row>
    <row r="8579" spans="1:6" x14ac:dyDescent="0.3">
      <c r="A8579" t="str">
        <f>HYPERLINK("https://us2.cloudbeds.com/connect/10074733072513#/reservations/31680595529947?display=MHBMYA7C0&amp;reservation_id=31680595529947", "MHBMYA7C0")</f>
        <v>MHBMYA7C0</v>
      </c>
      <c r="B8579" t="s">
        <v>1215</v>
      </c>
      <c r="C8579">
        <v>110.86</v>
      </c>
      <c r="D8579">
        <v>120.51</v>
      </c>
      <c r="E8579">
        <v>120.5</v>
      </c>
      <c r="F8579">
        <v>0.01</v>
      </c>
    </row>
    <row r="8580" spans="1:6" x14ac:dyDescent="0.3">
      <c r="A8580" t="str">
        <f>HYPERLINK("https://us2.cloudbeds.com/connect/10074733072513#/reservations/31680154775744?display=MHBB57YGY&amp;reservation_id=31680154775744", "MHBB57YGY")</f>
        <v>MHBB57YGY</v>
      </c>
      <c r="B8580" t="s">
        <v>1215</v>
      </c>
      <c r="C8580">
        <v>97.74</v>
      </c>
      <c r="D8580">
        <v>106.25</v>
      </c>
      <c r="E8580">
        <v>106.24</v>
      </c>
      <c r="F8580">
        <v>0.01</v>
      </c>
    </row>
    <row r="8581" spans="1:6" x14ac:dyDescent="0.3">
      <c r="A8581" t="str">
        <f>HYPERLINK("https://us2.cloudbeds.com/connect/10074733072513#/reservations/31728194212059?display=MXFHTPNNE&amp;reservation_id=31728194212059", "MXFHTPNNE")</f>
        <v>MXFHTPNNE</v>
      </c>
      <c r="B8581" t="s">
        <v>1322</v>
      </c>
      <c r="C8581">
        <v>318</v>
      </c>
      <c r="D8581">
        <v>345.68</v>
      </c>
      <c r="E8581">
        <v>345.67</v>
      </c>
      <c r="F8581">
        <v>0.01</v>
      </c>
    </row>
    <row r="8582" spans="1:6" x14ac:dyDescent="0.3">
      <c r="A8582" t="str">
        <f>HYPERLINK("https://us2.cloudbeds.com/connect/10074733072513#/reservations/31680107245773?display=MHBA5XWST&amp;reservation_id=31680107245773", "MHBA5XWST")</f>
        <v>MHBA5XWST</v>
      </c>
      <c r="B8582" t="s">
        <v>1215</v>
      </c>
      <c r="C8582">
        <v>89</v>
      </c>
      <c r="D8582">
        <v>96.75</v>
      </c>
      <c r="E8582">
        <v>96.74</v>
      </c>
      <c r="F8582">
        <v>0.01</v>
      </c>
    </row>
    <row r="8583" spans="1:6" x14ac:dyDescent="0.3">
      <c r="A8583" t="str">
        <f>HYPERLINK("https://us2.cloudbeds.com/connect/10074733072513#/reservations/31682466795683?display=MHD4F6VCA&amp;reservation_id=31682466795683", "MHD4F6VCA")</f>
        <v>MHD4F6VCA</v>
      </c>
      <c r="B8583" t="s">
        <v>1174</v>
      </c>
      <c r="C8583">
        <v>398</v>
      </c>
      <c r="D8583">
        <v>432.64</v>
      </c>
      <c r="E8583">
        <v>432.63</v>
      </c>
      <c r="F8583">
        <v>0.01</v>
      </c>
    </row>
    <row r="8584" spans="1:6" x14ac:dyDescent="0.3">
      <c r="A8584" t="str">
        <f>HYPERLINK("https://us2.cloudbeds.com/connect/10074733072513#/reservations/31683597762781?display=MHE0BSPYX&amp;reservation_id=31683597762781", "MHE0BSPYX")</f>
        <v>MHE0BSPYX</v>
      </c>
      <c r="B8584" t="s">
        <v>1302</v>
      </c>
      <c r="C8584">
        <v>169</v>
      </c>
      <c r="D8584">
        <v>183.71</v>
      </c>
      <c r="E8584">
        <v>183.7</v>
      </c>
      <c r="F8584">
        <v>0.01</v>
      </c>
    </row>
    <row r="8585" spans="1:6" x14ac:dyDescent="0.3">
      <c r="A8585" t="str">
        <f>HYPERLINK("https://us2.cloudbeds.com/connect/10074733072513#/reservations/31688805408979?display=MHX1E36U3&amp;reservation_id=31688805408979", "MHX1E36U3")</f>
        <v>MHX1E36U3</v>
      </c>
      <c r="B8585" t="s">
        <v>974</v>
      </c>
      <c r="C8585">
        <v>149</v>
      </c>
      <c r="D8585">
        <v>161.97</v>
      </c>
      <c r="E8585">
        <v>161.96</v>
      </c>
      <c r="F8585">
        <v>0.01</v>
      </c>
    </row>
    <row r="8586" spans="1:6" x14ac:dyDescent="0.3">
      <c r="A8586" t="str">
        <f>HYPERLINK("https://us2.cloudbeds.com/connect/10074733072513#/reservations/31680192565459?display=MHBCBH4MU&amp;reservation_id=31680192565459", "MHBCBH4MU")</f>
        <v>MHBCBH4MU</v>
      </c>
      <c r="B8586" t="s">
        <v>1302</v>
      </c>
      <c r="C8586">
        <v>169</v>
      </c>
      <c r="D8586">
        <v>183.71</v>
      </c>
      <c r="E8586">
        <v>183.7</v>
      </c>
      <c r="F8586">
        <v>0.01</v>
      </c>
    </row>
    <row r="8587" spans="1:6" x14ac:dyDescent="0.3">
      <c r="A8587" t="str">
        <f>HYPERLINK("https://us2.cloudbeds.com/connect/10074733072513#/reservations/31680608207053?display=MHBMVWWDZ&amp;reservation_id=31680608207053", "MHBMVWWDZ")</f>
        <v>MHBMVWWDZ</v>
      </c>
      <c r="B8587" t="s">
        <v>1215</v>
      </c>
      <c r="C8587">
        <v>139</v>
      </c>
      <c r="D8587">
        <v>151.1</v>
      </c>
      <c r="E8587">
        <v>151.09</v>
      </c>
      <c r="F8587">
        <v>0.01</v>
      </c>
    </row>
    <row r="8588" spans="1:6" x14ac:dyDescent="0.3">
      <c r="A8588" t="str">
        <f>HYPERLINK("https://us2.cloudbeds.com/connect/10074733072513#/reservations/31680548794535?display=MHBYETZFD&amp;reservation_id=31680548794535", "MHBYETZFD")</f>
        <v>MHBYETZFD</v>
      </c>
      <c r="B8588" t="s">
        <v>1215</v>
      </c>
      <c r="C8588">
        <v>139</v>
      </c>
      <c r="D8588">
        <v>151.1</v>
      </c>
      <c r="E8588">
        <v>151.09</v>
      </c>
      <c r="F8588">
        <v>0.01</v>
      </c>
    </row>
    <row r="8589" spans="1:6" x14ac:dyDescent="0.3">
      <c r="A8589" t="str">
        <f>HYPERLINK("https://us2.cloudbeds.com/connect/10074733072513#/reservations/31736079687835?display=MXYYD0N9R&amp;reservation_id=31736079687835", "MXYYD0N9R")</f>
        <v>MXYYD0N9R</v>
      </c>
      <c r="B8589" t="s">
        <v>1322</v>
      </c>
      <c r="C8589">
        <v>159</v>
      </c>
      <c r="D8589">
        <v>172.84</v>
      </c>
      <c r="E8589">
        <v>172.83</v>
      </c>
      <c r="F8589">
        <v>0.01</v>
      </c>
    </row>
    <row r="8590" spans="1:6" x14ac:dyDescent="0.3">
      <c r="A8590" t="str">
        <f>HYPERLINK("https://us2.cloudbeds.com/connect/10074733072513#/reservations/31680585965701?display=MHBMD82PC&amp;reservation_id=31680585965701", "MHBMD82PC")</f>
        <v>MHBMD82PC</v>
      </c>
      <c r="B8590" t="s">
        <v>1215</v>
      </c>
      <c r="C8590">
        <v>110.86</v>
      </c>
      <c r="D8590">
        <v>120.51</v>
      </c>
      <c r="E8590">
        <v>120.5</v>
      </c>
      <c r="F8590">
        <v>0.01</v>
      </c>
    </row>
    <row r="8591" spans="1:6" x14ac:dyDescent="0.3">
      <c r="A8591" t="str">
        <f>HYPERLINK("https://us2.cloudbeds.com/connect/10074733072513#/reservations/31680169226476?display=MHBBZRN40&amp;reservation_id=31680169226476", "MHBBZRN40")</f>
        <v>MHBBZRN40</v>
      </c>
      <c r="B8591" t="s">
        <v>1215</v>
      </c>
      <c r="C8591">
        <v>139</v>
      </c>
      <c r="D8591">
        <v>151.1</v>
      </c>
      <c r="E8591">
        <v>151.09</v>
      </c>
      <c r="F8591">
        <v>0.01</v>
      </c>
    </row>
    <row r="8592" spans="1:6" x14ac:dyDescent="0.3">
      <c r="A8592" t="str">
        <f>HYPERLINK("https://us2.cloudbeds.com/connect/10074733072513#/reservations/31682372149397?display=MHD21D961&amp;reservation_id=31682372149397", "MHD21D961")</f>
        <v>MHD21D961</v>
      </c>
      <c r="B8592" t="s">
        <v>1290</v>
      </c>
      <c r="C8592">
        <v>159</v>
      </c>
      <c r="D8592">
        <v>172.84</v>
      </c>
      <c r="E8592">
        <v>172.83</v>
      </c>
      <c r="F8592">
        <v>0.01</v>
      </c>
    </row>
    <row r="8593" spans="1:6" x14ac:dyDescent="0.3">
      <c r="A8593" t="str">
        <f>HYPERLINK("https://us2.cloudbeds.com/connect/10074733072513#/reservations/31680182702326?display=MHBC36MY3&amp;reservation_id=31680182702326", "MHBC36MY3")</f>
        <v>MHBC36MY3</v>
      </c>
      <c r="B8593" t="s">
        <v>1215</v>
      </c>
      <c r="C8593">
        <v>102.58</v>
      </c>
      <c r="D8593">
        <v>111.51</v>
      </c>
      <c r="E8593">
        <v>111.5</v>
      </c>
      <c r="F8593">
        <v>0.01</v>
      </c>
    </row>
    <row r="8594" spans="1:6" x14ac:dyDescent="0.3">
      <c r="A8594" t="str">
        <f>HYPERLINK("https://us2.cloudbeds.com/connect/10074733072513#/reservations/31688868290745?display=MHX313WJ5&amp;reservation_id=31688868290745", "MHX313WJ5")</f>
        <v>MHX313WJ5</v>
      </c>
      <c r="B8594" t="s">
        <v>974</v>
      </c>
      <c r="C8594">
        <v>119</v>
      </c>
      <c r="D8594">
        <v>129.36000000000001</v>
      </c>
      <c r="E8594">
        <v>129.35</v>
      </c>
      <c r="F8594">
        <v>0.01</v>
      </c>
    </row>
    <row r="8595" spans="1:6" x14ac:dyDescent="0.3">
      <c r="A8595" t="str">
        <f>HYPERLINK("https://us2.cloudbeds.com/connect/10074733072513#/reservations/31684541726947?display=MHEZFRW29&amp;reservation_id=31684541726947", "MHEZFRW29")</f>
        <v>MHEZFRW29</v>
      </c>
      <c r="B8595" t="s">
        <v>1221</v>
      </c>
      <c r="C8595">
        <v>225</v>
      </c>
      <c r="D8595">
        <v>244.59</v>
      </c>
      <c r="E8595">
        <v>244.58</v>
      </c>
      <c r="F8595">
        <v>0.01</v>
      </c>
    </row>
    <row r="8596" spans="1:6" x14ac:dyDescent="0.3">
      <c r="A8596" t="str">
        <f>HYPERLINK("https://us2.cloudbeds.com/connect/10074733072513#/reservations/31683742322901?display=MHE41PCD8&amp;reservation_id=31683742322901", "MHE41PCD8")</f>
        <v>MHE41PCD8</v>
      </c>
      <c r="B8596" t="s">
        <v>1215</v>
      </c>
      <c r="C8596">
        <v>102.58</v>
      </c>
      <c r="D8596">
        <v>111.51</v>
      </c>
      <c r="E8596">
        <v>111.5</v>
      </c>
      <c r="F8596">
        <v>0.01</v>
      </c>
    </row>
    <row r="8597" spans="1:6" x14ac:dyDescent="0.3">
      <c r="A8597" t="str">
        <f>HYPERLINK("https://us2.cloudbeds.com/connect/10074733072513#/reservations/31682303340738?display=MHD09CJ05&amp;reservation_id=31682303340738", "MHD09CJ05")</f>
        <v>MHD09CJ05</v>
      </c>
      <c r="B8597" t="s">
        <v>1215</v>
      </c>
      <c r="C8597">
        <v>110.86</v>
      </c>
      <c r="D8597">
        <v>120.51</v>
      </c>
      <c r="E8597">
        <v>120.5</v>
      </c>
      <c r="F8597">
        <v>0.01</v>
      </c>
    </row>
    <row r="8598" spans="1:6" x14ac:dyDescent="0.3">
      <c r="A8598" t="str">
        <f>HYPERLINK("https://us2.cloudbeds.com/connect/10074733072513#/reservations/31682309521560?display=MHD0EJXMQ&amp;reservation_id=31682309521560", "MHD0EJXMQ")</f>
        <v>MHD0EJXMQ</v>
      </c>
      <c r="B8598" t="s">
        <v>1290</v>
      </c>
      <c r="C8598">
        <v>97.74</v>
      </c>
      <c r="D8598">
        <v>106.25</v>
      </c>
      <c r="E8598">
        <v>106.24</v>
      </c>
      <c r="F8598">
        <v>0.01</v>
      </c>
    </row>
    <row r="8599" spans="1:6" x14ac:dyDescent="0.3">
      <c r="A8599" t="str">
        <f>HYPERLINK("https://us2.cloudbeds.com/connect/10074733072513#/reservations/31682355564688?display=MHD1KDPT3&amp;reservation_id=31682355564688", "MHD1KDPT3")</f>
        <v>MHD1KDPT3</v>
      </c>
      <c r="B8599" t="s">
        <v>1290</v>
      </c>
      <c r="C8599">
        <v>205.16</v>
      </c>
      <c r="D8599">
        <v>223.02</v>
      </c>
      <c r="E8599">
        <v>223.01</v>
      </c>
      <c r="F8599">
        <v>0.01</v>
      </c>
    </row>
    <row r="8600" spans="1:6" x14ac:dyDescent="0.3">
      <c r="A8600" t="str">
        <f>HYPERLINK("https://us2.cloudbeds.com/connect/10074733072513#/reservations/31684068475010?display=MHECCQ19G&amp;reservation_id=31684068475010", "MHECCQ19G")</f>
        <v>MHECCQ19G</v>
      </c>
      <c r="B8600" t="s">
        <v>1221</v>
      </c>
      <c r="C8600">
        <v>225</v>
      </c>
      <c r="D8600">
        <v>244.59</v>
      </c>
      <c r="E8600">
        <v>244.58</v>
      </c>
      <c r="F8600">
        <v>0.01</v>
      </c>
    </row>
    <row r="8601" spans="1:6" x14ac:dyDescent="0.3">
      <c r="A8601" t="str">
        <f>HYPERLINK("https://us2.cloudbeds.com/connect/10074733072513#/reservations/31684050636997?display=MHEBUZM3Y&amp;reservation_id=31684050636997", "MHEBUZM3Y")</f>
        <v>MHEBUZM3Y</v>
      </c>
      <c r="B8601" t="s">
        <v>1221</v>
      </c>
      <c r="C8601">
        <v>225</v>
      </c>
      <c r="D8601">
        <v>244.59</v>
      </c>
      <c r="E8601">
        <v>244.58</v>
      </c>
      <c r="F8601">
        <v>0.01</v>
      </c>
    </row>
    <row r="8602" spans="1:6" x14ac:dyDescent="0.3">
      <c r="A8602" t="str">
        <f>HYPERLINK("https://us2.cloudbeds.com/connect/10074733072513#/reservations/31687823986851?display=MHH9BHMRJ&amp;reservation_id=31687823986851", "MHH9BHMRJ")</f>
        <v>MHH9BHMRJ</v>
      </c>
      <c r="B8602" t="s">
        <v>1311</v>
      </c>
      <c r="C8602">
        <v>149</v>
      </c>
      <c r="D8602">
        <v>161.97</v>
      </c>
      <c r="E8602">
        <v>161.96</v>
      </c>
      <c r="F8602">
        <v>0.01</v>
      </c>
    </row>
    <row r="8603" spans="1:6" x14ac:dyDescent="0.3">
      <c r="A8603" t="str">
        <f>HYPERLINK("https://us2.cloudbeds.com/connect/10074733072513#/reservations/31682286923974?display=MHCWSHZUE&amp;reservation_id=31682286923974", "MHCWSHZUE")</f>
        <v>MHCWSHZUE</v>
      </c>
      <c r="B8603" t="s">
        <v>1215</v>
      </c>
      <c r="C8603">
        <v>159</v>
      </c>
      <c r="D8603">
        <v>172.84</v>
      </c>
      <c r="E8603">
        <v>172.83</v>
      </c>
      <c r="F8603">
        <v>0.01</v>
      </c>
    </row>
    <row r="8604" spans="1:6" x14ac:dyDescent="0.3">
      <c r="A8604" t="str">
        <f>HYPERLINK("https://us2.cloudbeds.com/connect/10074733072513#/reservations/31680738291937?display=MHBQ9MPUU&amp;reservation_id=31680738291937", "MHBQ9MPUU")</f>
        <v>MHBQ9MPUU</v>
      </c>
      <c r="B8604" t="s">
        <v>1323</v>
      </c>
      <c r="C8604">
        <v>150</v>
      </c>
      <c r="D8604">
        <v>163.06</v>
      </c>
      <c r="E8604">
        <v>163.05000000000001</v>
      </c>
      <c r="F8604">
        <v>0.01</v>
      </c>
    </row>
    <row r="8605" spans="1:6" x14ac:dyDescent="0.3">
      <c r="A8605" t="str">
        <f>HYPERLINK("https://us2.cloudbeds.com/connect/10074733072513#/reservations/31681257869475?display=MHC6XQQ9Q&amp;reservation_id=31681257869475", "MHC6XQQ9Q")</f>
        <v>MHC6XQQ9Q</v>
      </c>
      <c r="B8605" t="s">
        <v>1174</v>
      </c>
      <c r="C8605">
        <v>218</v>
      </c>
      <c r="D8605">
        <v>236.98</v>
      </c>
      <c r="E8605">
        <v>236.97</v>
      </c>
      <c r="F8605">
        <v>0.01</v>
      </c>
    </row>
    <row r="8606" spans="1:6" x14ac:dyDescent="0.3">
      <c r="A8606" t="str">
        <f>HYPERLINK("https://us2.cloudbeds.com/connect/10074733072513#/reservations/31682346119392?display=MHD1CEVH0&amp;reservation_id=31682346119392", "MHD1CEVH0")</f>
        <v>MHD1CEVH0</v>
      </c>
      <c r="B8606" t="s">
        <v>1290</v>
      </c>
      <c r="C8606">
        <v>179</v>
      </c>
      <c r="D8606">
        <v>194.58</v>
      </c>
      <c r="E8606">
        <v>194.57</v>
      </c>
      <c r="F8606">
        <v>0.01</v>
      </c>
    </row>
    <row r="8607" spans="1:6" x14ac:dyDescent="0.3">
      <c r="A8607" t="str">
        <f>HYPERLINK("https://us2.cloudbeds.com/connect/10074733072513#/reservations/31681296609504?display=MHC7XFQ82&amp;reservation_id=31681296609504", "MHC7XFQ82")</f>
        <v>MHC7XFQ82</v>
      </c>
      <c r="B8607" t="s">
        <v>1174</v>
      </c>
      <c r="C8607">
        <v>139</v>
      </c>
      <c r="D8607">
        <v>151.1</v>
      </c>
      <c r="E8607">
        <v>151.09</v>
      </c>
      <c r="F8607">
        <v>0.01</v>
      </c>
    </row>
    <row r="8608" spans="1:6" x14ac:dyDescent="0.3">
      <c r="A8608" t="str">
        <f>HYPERLINK("https://us2.cloudbeds.com/connect/10074733072513#/reservations/31689588621443?display=MHXYEH894&amp;reservation_id=31689588621443", "MHXYEH894")</f>
        <v>MHXYEH894</v>
      </c>
      <c r="B8608" t="s">
        <v>974</v>
      </c>
      <c r="C8608">
        <v>119</v>
      </c>
      <c r="D8608">
        <v>129.36000000000001</v>
      </c>
      <c r="E8608">
        <v>129.35</v>
      </c>
      <c r="F8608">
        <v>0.01</v>
      </c>
    </row>
    <row r="8609" spans="1:6" x14ac:dyDescent="0.3">
      <c r="A8609" t="str">
        <f>HYPERLINK("https://us2.cloudbeds.com/connect/10074733072513#/reservations/31682509811842?display=MHD5XFUW9&amp;reservation_id=31682509811842", "MHD5XFUW9")</f>
        <v>MHD5XFUW9</v>
      </c>
      <c r="B8609" t="s">
        <v>1174</v>
      </c>
      <c r="C8609">
        <v>109</v>
      </c>
      <c r="D8609">
        <v>118.49</v>
      </c>
      <c r="E8609">
        <v>118.48</v>
      </c>
      <c r="F8609">
        <v>0.01</v>
      </c>
    </row>
    <row r="8610" spans="1:6" x14ac:dyDescent="0.3">
      <c r="A8610" t="str">
        <f>HYPERLINK("https://us2.cloudbeds.com/connect/10074733072513#/reservations/31681025073303?display=MHC0KGTNB&amp;reservation_id=31681025073303", "MHC0KGTNB")</f>
        <v>MHC0KGTNB</v>
      </c>
      <c r="B8610" t="s">
        <v>1325</v>
      </c>
      <c r="C8610">
        <v>298</v>
      </c>
      <c r="D8610">
        <v>323.94</v>
      </c>
      <c r="E8610">
        <v>323.93</v>
      </c>
      <c r="F8610">
        <v>0.01</v>
      </c>
    </row>
    <row r="8611" spans="1:6" x14ac:dyDescent="0.3">
      <c r="A8611" t="str">
        <f>HYPERLINK("https://us2.cloudbeds.com/connect/10074733072513#/reservations/31688307052779?display=MHHYMSNX2&amp;reservation_id=31688307052779", "MHHYMSNX2")</f>
        <v>MHHYMSNX2</v>
      </c>
      <c r="B8611" t="s">
        <v>1221</v>
      </c>
      <c r="C8611">
        <v>225</v>
      </c>
      <c r="D8611">
        <v>244.59</v>
      </c>
      <c r="E8611">
        <v>244.58</v>
      </c>
      <c r="F8611">
        <v>0.01</v>
      </c>
    </row>
    <row r="8612" spans="1:6" x14ac:dyDescent="0.3">
      <c r="A8612" t="str">
        <f>HYPERLINK("https://us2.cloudbeds.com/connect/10074733072513#/reservations/31687835517081?display=MHH9Y8HZH&amp;reservation_id=31687835517081", "MHH9Y8HZH")</f>
        <v>MHH9Y8HZH</v>
      </c>
      <c r="B8612" t="s">
        <v>1311</v>
      </c>
      <c r="C8612">
        <v>97.74</v>
      </c>
      <c r="D8612">
        <v>106.25</v>
      </c>
      <c r="E8612">
        <v>106.24</v>
      </c>
      <c r="F8612">
        <v>0.01</v>
      </c>
    </row>
    <row r="8613" spans="1:6" x14ac:dyDescent="0.3">
      <c r="A8613" t="str">
        <f>HYPERLINK("https://us2.cloudbeds.com/connect/10074733072513#/reservations/31687466262746?display=MHH06TG77&amp;reservation_id=31687466262746", "MHH06TG77")</f>
        <v>MHH06TG77</v>
      </c>
      <c r="B8613" t="s">
        <v>1311</v>
      </c>
      <c r="C8613">
        <v>149</v>
      </c>
      <c r="D8613">
        <v>161.97</v>
      </c>
      <c r="E8613">
        <v>161.96</v>
      </c>
      <c r="F8613">
        <v>0.01</v>
      </c>
    </row>
    <row r="8614" spans="1:6" x14ac:dyDescent="0.3">
      <c r="A8614" t="str">
        <f>HYPERLINK("https://us2.cloudbeds.com/connect/10074733072513#/reservations/31687444234394?display=MHGWYAH5D&amp;reservation_id=31687444234394", "MHGWYAH5D")</f>
        <v>MHGWYAH5D</v>
      </c>
      <c r="B8614" t="s">
        <v>1311</v>
      </c>
      <c r="C8614">
        <v>97.74</v>
      </c>
      <c r="D8614">
        <v>106.25</v>
      </c>
      <c r="E8614">
        <v>106.24</v>
      </c>
      <c r="F8614">
        <v>0.01</v>
      </c>
    </row>
    <row r="8615" spans="1:6" x14ac:dyDescent="0.3">
      <c r="A8615" t="str">
        <f>HYPERLINK("https://us2.cloudbeds.com/connect/10074733072513#/reservations/31685841694873?display=MHFZN0GBZ&amp;reservation_id=31685841694873", "MHFZN0GBZ")</f>
        <v>MHFZN0GBZ</v>
      </c>
      <c r="B8615" t="s">
        <v>1326</v>
      </c>
      <c r="C8615">
        <v>149</v>
      </c>
      <c r="D8615">
        <v>161.97</v>
      </c>
      <c r="E8615">
        <v>161.96</v>
      </c>
      <c r="F8615">
        <v>0.01</v>
      </c>
    </row>
    <row r="8616" spans="1:6" x14ac:dyDescent="0.3">
      <c r="A8616" t="str">
        <f>HYPERLINK("https://us2.cloudbeds.com/connect/10074733072513#/reservations/31687847776511?display=MHH9VJM8D&amp;reservation_id=31687847776511", "MHH9VJM8D")</f>
        <v>MHH9VJM8D</v>
      </c>
      <c r="B8616" t="s">
        <v>1311</v>
      </c>
      <c r="C8616">
        <v>97.74</v>
      </c>
      <c r="D8616">
        <v>106.25</v>
      </c>
      <c r="E8616">
        <v>106.24</v>
      </c>
      <c r="F8616">
        <v>0.01</v>
      </c>
    </row>
    <row r="8617" spans="1:6" x14ac:dyDescent="0.3">
      <c r="A8617" t="str">
        <f>HYPERLINK("https://us2.cloudbeds.com/connect/10074733072513#/reservations/31682672255219?display=MHD9NF5ES&amp;reservation_id=31682672255219", "MHD9NF5ES")</f>
        <v>MHD9NF5ES</v>
      </c>
      <c r="B8617" t="s">
        <v>1118</v>
      </c>
      <c r="C8617">
        <v>351.2</v>
      </c>
      <c r="D8617">
        <v>381.76</v>
      </c>
      <c r="E8617">
        <v>381.75</v>
      </c>
      <c r="F8617">
        <v>0.01</v>
      </c>
    </row>
    <row r="8618" spans="1:6" x14ac:dyDescent="0.3">
      <c r="A8618" t="str">
        <f>HYPERLINK("https://us2.cloudbeds.com/connect/10074733072513#/reservations/31680848326908?display=MHBT3FM4W&amp;reservation_id=31680848326908", "MHBT3FM4W")</f>
        <v>MHBT3FM4W</v>
      </c>
      <c r="B8618" t="s">
        <v>1319</v>
      </c>
      <c r="C8618">
        <v>149</v>
      </c>
      <c r="D8618">
        <v>161.97</v>
      </c>
      <c r="E8618">
        <v>161.96</v>
      </c>
      <c r="F8618">
        <v>0.01</v>
      </c>
    </row>
    <row r="8619" spans="1:6" x14ac:dyDescent="0.3">
      <c r="A8619" t="str">
        <f>HYPERLINK("https://us2.cloudbeds.com/connect/10074733072513#/reservations/31680355496129?display=MHBGGTUKV&amp;reservation_id=31680355496129", "MHBGGTUKV")</f>
        <v>MHBGGTUKV</v>
      </c>
      <c r="B8619" t="s">
        <v>1311</v>
      </c>
      <c r="C8619">
        <v>149</v>
      </c>
      <c r="D8619">
        <v>161.97</v>
      </c>
      <c r="E8619">
        <v>161.96</v>
      </c>
      <c r="F8619">
        <v>0.01</v>
      </c>
    </row>
    <row r="8620" spans="1:6" x14ac:dyDescent="0.3">
      <c r="A8620" t="str">
        <f>HYPERLINK("https://us2.cloudbeds.com/connect/10074733072513#/reservations/31680358142158?display=MHBGJ4XDY&amp;reservation_id=31680358142158", "MHBGJ4XDY")</f>
        <v>MHBGJ4XDY</v>
      </c>
      <c r="B8620" t="s">
        <v>1319</v>
      </c>
      <c r="C8620">
        <v>97.74</v>
      </c>
      <c r="D8620">
        <v>106.25</v>
      </c>
      <c r="E8620">
        <v>106.24</v>
      </c>
      <c r="F8620">
        <v>0.01</v>
      </c>
    </row>
    <row r="8621" spans="1:6" x14ac:dyDescent="0.3">
      <c r="A8621" t="str">
        <f>HYPERLINK("https://us2.cloudbeds.com/connect/10074733072513#/reservations/31680391524554?display=MHBHE9FJD&amp;reservation_id=31680391524554", "MHBHE9FJD")</f>
        <v>MHBHE9FJD</v>
      </c>
      <c r="B8621" t="s">
        <v>1319</v>
      </c>
      <c r="C8621">
        <v>97.74</v>
      </c>
      <c r="D8621">
        <v>106.25</v>
      </c>
      <c r="E8621">
        <v>106.24</v>
      </c>
      <c r="F8621">
        <v>0.01</v>
      </c>
    </row>
    <row r="8622" spans="1:6" x14ac:dyDescent="0.3">
      <c r="A8622" t="str">
        <f>HYPERLINK("https://us2.cloudbeds.com/connect/10074733072513#/reservations/31688226443486?display=MHHJKTY57&amp;reservation_id=31688226443486", "MHHJKTY57")</f>
        <v>MHHJKTY57</v>
      </c>
      <c r="B8622" t="s">
        <v>1295</v>
      </c>
      <c r="C8622">
        <v>298</v>
      </c>
      <c r="D8622">
        <v>323.94</v>
      </c>
      <c r="E8622">
        <v>323.93</v>
      </c>
      <c r="F8622">
        <v>0.01</v>
      </c>
    </row>
    <row r="8623" spans="1:6" x14ac:dyDescent="0.3">
      <c r="A8623" t="str">
        <f>HYPERLINK("https://us2.cloudbeds.com/connect/10074733072513#/reservations/31681849782483?display=MHCYMUYDK&amp;reservation_id=31681849782483", "MHCYMUYDK")</f>
        <v>MHCYMUYDK</v>
      </c>
      <c r="B8623" t="s">
        <v>1298</v>
      </c>
      <c r="C8623">
        <v>169</v>
      </c>
      <c r="D8623">
        <v>183.71</v>
      </c>
      <c r="E8623">
        <v>183.7</v>
      </c>
      <c r="F8623">
        <v>0.01</v>
      </c>
    </row>
    <row r="8624" spans="1:6" x14ac:dyDescent="0.3">
      <c r="A8624" t="str">
        <f>HYPERLINK("https://us2.cloudbeds.com/connect/10074733072513#/reservations/31688207065284?display=MHHJ4XDYT&amp;reservation_id=31688207065284", "MHHJ4XDYT")</f>
        <v>MHHJ4XDYT</v>
      </c>
      <c r="B8624" t="s">
        <v>1118</v>
      </c>
      <c r="C8624">
        <v>527</v>
      </c>
      <c r="D8624">
        <v>572.86</v>
      </c>
      <c r="E8624">
        <v>572.85</v>
      </c>
      <c r="F8624">
        <v>0.01</v>
      </c>
    </row>
    <row r="8625" spans="1:6" x14ac:dyDescent="0.3">
      <c r="A8625" t="str">
        <f>HYPERLINK("https://us2.cloudbeds.com/connect/10074733072513#/reservations/31682594394305?display=MHD7NQF40&amp;reservation_id=31682594394305", "MHD7NQF40")</f>
        <v>MHD7NQF40</v>
      </c>
      <c r="B8625" t="s">
        <v>1118</v>
      </c>
      <c r="C8625">
        <v>278</v>
      </c>
      <c r="D8625">
        <v>302.2</v>
      </c>
      <c r="E8625">
        <v>302.19</v>
      </c>
      <c r="F8625">
        <v>0.01</v>
      </c>
    </row>
    <row r="8626" spans="1:6" x14ac:dyDescent="0.3">
      <c r="A8626" t="str">
        <f>HYPERLINK("https://us2.cloudbeds.com/connect/10074733072513#/reservations/31684351697113?display=MHEJKK3MF&amp;reservation_id=31684351697113", "MHEJKK3MF")</f>
        <v>MHEJKK3MF</v>
      </c>
      <c r="B8626" t="s">
        <v>1168</v>
      </c>
      <c r="C8626">
        <v>119</v>
      </c>
      <c r="D8626">
        <v>129.36000000000001</v>
      </c>
      <c r="E8626">
        <v>129.35</v>
      </c>
      <c r="F8626">
        <v>0.01</v>
      </c>
    </row>
    <row r="8627" spans="1:6" x14ac:dyDescent="0.3">
      <c r="A8627" t="str">
        <f>HYPERLINK("https://us2.cloudbeds.com/connect/10074733072513#/reservations/31687902699737?display=MHHBBTWQJ&amp;reservation_id=31687902699737", "MHHBBTWQJ")</f>
        <v>MHHBBTWQJ</v>
      </c>
      <c r="B8627" t="s">
        <v>1295</v>
      </c>
      <c r="C8627">
        <v>159</v>
      </c>
      <c r="D8627">
        <v>172.84</v>
      </c>
      <c r="E8627">
        <v>172.83</v>
      </c>
      <c r="F8627">
        <v>0.01</v>
      </c>
    </row>
    <row r="8628" spans="1:6" x14ac:dyDescent="0.3">
      <c r="A8628" t="str">
        <f>HYPERLINK("https://us2.cloudbeds.com/connect/10074733072513#/reservations/31684017275102?display=MHEB2KAP4&amp;reservation_id=31684017275102", "MHEB2KAP4")</f>
        <v>MHEB2KAP4</v>
      </c>
      <c r="B8628" t="s">
        <v>1221</v>
      </c>
      <c r="C8628">
        <v>97.74</v>
      </c>
      <c r="D8628">
        <v>106.25</v>
      </c>
      <c r="E8628">
        <v>106.24</v>
      </c>
      <c r="F8628">
        <v>0.01</v>
      </c>
    </row>
    <row r="8629" spans="1:6" x14ac:dyDescent="0.3">
      <c r="A8629" t="str">
        <f>HYPERLINK("https://us2.cloudbeds.com/connect/10074733072513#/reservations/31688290091234?display=MHHY8XZ6S&amp;reservation_id=31688290091234", "MHHY8XZ6S")</f>
        <v>MHHY8XZ6S</v>
      </c>
      <c r="B8629" t="s">
        <v>1221</v>
      </c>
      <c r="C8629">
        <v>338</v>
      </c>
      <c r="D8629">
        <v>367.42</v>
      </c>
      <c r="E8629">
        <v>367.41</v>
      </c>
      <c r="F8629">
        <v>0.01</v>
      </c>
    </row>
    <row r="8630" spans="1:6" x14ac:dyDescent="0.3">
      <c r="A8630" t="str">
        <f>HYPERLINK("https://us2.cloudbeds.com/connect/10074733072513#/reservations/31680906199264?display=MHBUJ91QZ&amp;reservation_id=31680906199264", "MHBUJ91QZ")</f>
        <v>MHBUJ91QZ</v>
      </c>
      <c r="B8630" t="s">
        <v>1319</v>
      </c>
      <c r="C8630">
        <v>97.74</v>
      </c>
      <c r="D8630">
        <v>106.25</v>
      </c>
      <c r="E8630">
        <v>106.24</v>
      </c>
      <c r="F8630">
        <v>0.01</v>
      </c>
    </row>
    <row r="8631" spans="1:6" x14ac:dyDescent="0.3">
      <c r="A8631" t="str">
        <f>HYPERLINK("https://us2.cloudbeds.com/connect/10074733072513#/reservations/31681056522399?display=MHC1E10J8&amp;reservation_id=31681056522399", "MHC1E10J8")</f>
        <v>MHC1E10J8</v>
      </c>
      <c r="B8631" t="s">
        <v>1136</v>
      </c>
      <c r="C8631">
        <v>239</v>
      </c>
      <c r="D8631">
        <v>259.8</v>
      </c>
      <c r="E8631">
        <v>259.79000000000002</v>
      </c>
      <c r="F8631">
        <v>0.01</v>
      </c>
    </row>
    <row r="8632" spans="1:6" x14ac:dyDescent="0.3">
      <c r="A8632" t="str">
        <f>HYPERLINK("https://us2.cloudbeds.com/connect/10074733072513#/reservations/31688261259484?display=MHHKH8EPF&amp;reservation_id=31688261259484", "MHHKH8EPF")</f>
        <v>MHHKH8EPF</v>
      </c>
      <c r="B8632" t="s">
        <v>1295</v>
      </c>
      <c r="C8632">
        <v>73</v>
      </c>
      <c r="D8632">
        <v>79.36</v>
      </c>
      <c r="E8632">
        <v>79.349999999999994</v>
      </c>
      <c r="F8632">
        <v>0.01</v>
      </c>
    </row>
    <row r="8633" spans="1:6" x14ac:dyDescent="0.3">
      <c r="A8633" t="str">
        <f>HYPERLINK("https://us2.cloudbeds.com/connect/10074733072513#/reservations/31683974987917?display=MHE9WVKX9&amp;reservation_id=31683974987917", "MHE9WVKX9")</f>
        <v>MHE9WVKX9</v>
      </c>
      <c r="B8633" t="s">
        <v>1221</v>
      </c>
      <c r="C8633">
        <v>97.74</v>
      </c>
      <c r="D8633">
        <v>106.25</v>
      </c>
      <c r="E8633">
        <v>106.24</v>
      </c>
      <c r="F8633">
        <v>0.01</v>
      </c>
    </row>
    <row r="8634" spans="1:6" x14ac:dyDescent="0.3">
      <c r="A8634" t="str">
        <f>HYPERLINK("https://us2.cloudbeds.com/connect/10074733072513#/reservations/31683982647526?display=MHEA6DP5Y&amp;reservation_id=31683982647526", "MHEA6DP5Y")</f>
        <v>MHEA6DP5Y</v>
      </c>
      <c r="B8634" t="s">
        <v>1221</v>
      </c>
      <c r="C8634">
        <v>158</v>
      </c>
      <c r="D8634">
        <v>171.76</v>
      </c>
      <c r="E8634">
        <v>171.75</v>
      </c>
      <c r="F8634">
        <v>0.01</v>
      </c>
    </row>
    <row r="8635" spans="1:6" x14ac:dyDescent="0.3">
      <c r="A8635" t="str">
        <f>HYPERLINK("https://us2.cloudbeds.com/connect/10074733072513#/reservations/31684587315424?display=MHEPY9HP9&amp;reservation_id=31684587315424", "MHEPY9HP9")</f>
        <v>MHEPY9HP9</v>
      </c>
      <c r="B8635" t="s">
        <v>1325</v>
      </c>
      <c r="C8635">
        <v>179</v>
      </c>
      <c r="D8635">
        <v>194.58</v>
      </c>
      <c r="E8635">
        <v>194.57</v>
      </c>
      <c r="F8635">
        <v>0.01</v>
      </c>
    </row>
    <row r="8636" spans="1:6" x14ac:dyDescent="0.3">
      <c r="A8636" t="str">
        <f>HYPERLINK("https://us2.cloudbeds.com/connect/10074733072513#/reservations/31696081825954?display=MHNMBP7S6&amp;reservation_id=31696081825954", "MHNMBP7S6")</f>
        <v>MHNMBP7S6</v>
      </c>
      <c r="B8636" t="s">
        <v>1315</v>
      </c>
      <c r="C8636">
        <v>139</v>
      </c>
      <c r="D8636">
        <v>151.1</v>
      </c>
      <c r="E8636">
        <v>151.09</v>
      </c>
      <c r="F8636">
        <v>0.01</v>
      </c>
    </row>
    <row r="8637" spans="1:6" x14ac:dyDescent="0.3">
      <c r="A8637" t="str">
        <f>HYPERLINK("https://us2.cloudbeds.com/connect/10074733072513#/reservations/31694221902002?display=MHM7RE3NA&amp;reservation_id=31694221902002", "MHM7RE3NA")</f>
        <v>MHM7RE3NA</v>
      </c>
      <c r="B8637" t="s">
        <v>1327</v>
      </c>
      <c r="C8637">
        <v>139</v>
      </c>
      <c r="D8637">
        <v>151.1</v>
      </c>
      <c r="E8637">
        <v>151.09</v>
      </c>
      <c r="F8637">
        <v>0.01</v>
      </c>
    </row>
    <row r="8638" spans="1:6" x14ac:dyDescent="0.3">
      <c r="A8638" t="str">
        <f>HYPERLINK("https://us2.cloudbeds.com/connect/10074733072513#/reservations/31683998413033?display=MHEAJNF79&amp;reservation_id=31683998413033", "MHEAJNF79")</f>
        <v>MHEAJNF79</v>
      </c>
      <c r="B8638" t="s">
        <v>1221</v>
      </c>
      <c r="C8638">
        <v>338</v>
      </c>
      <c r="D8638">
        <v>367.42</v>
      </c>
      <c r="E8638">
        <v>367.41</v>
      </c>
      <c r="F8638">
        <v>0.01</v>
      </c>
    </row>
    <row r="8639" spans="1:6" x14ac:dyDescent="0.3">
      <c r="A8639" t="str">
        <f>HYPERLINK("https://us2.cloudbeds.com/connect/10074733072513#/reservations/31681808847001?display=MHCKYDXEF&amp;reservation_id=31681808847001", "MHCKYDXEF")</f>
        <v>MHCKYDXEF</v>
      </c>
      <c r="B8639" t="s">
        <v>1293</v>
      </c>
      <c r="C8639">
        <v>331.2</v>
      </c>
      <c r="D8639">
        <v>360.02</v>
      </c>
      <c r="E8639">
        <v>360.01</v>
      </c>
      <c r="F8639">
        <v>0.01</v>
      </c>
    </row>
    <row r="8640" spans="1:6" x14ac:dyDescent="0.3">
      <c r="A8640" t="str">
        <f>HYPERLINK("https://us2.cloudbeds.com/connect/10074733072513#/reservations/31688292212893?display=MHHYABPFX&amp;reservation_id=31688292212893", "MHHYABPFX")</f>
        <v>MHHYABPFX</v>
      </c>
      <c r="B8640" t="s">
        <v>1221</v>
      </c>
      <c r="C8640">
        <v>79</v>
      </c>
      <c r="D8640">
        <v>85.88</v>
      </c>
      <c r="E8640">
        <v>85.87</v>
      </c>
      <c r="F8640">
        <v>0.01</v>
      </c>
    </row>
    <row r="8641" spans="1:6" x14ac:dyDescent="0.3">
      <c r="A8641" t="str">
        <f>HYPERLINK("https://us2.cloudbeds.com/connect/10074733072513#/reservations/31684621471965?display=MHEQH2WQW&amp;reservation_id=31684621471965", "MHEQH2WQW")</f>
        <v>MHEQH2WQW</v>
      </c>
      <c r="B8641" t="s">
        <v>1325</v>
      </c>
      <c r="C8641">
        <v>110.86</v>
      </c>
      <c r="D8641">
        <v>120.51</v>
      </c>
      <c r="E8641">
        <v>120.5</v>
      </c>
      <c r="F8641">
        <v>0.01</v>
      </c>
    </row>
    <row r="8642" spans="1:6" x14ac:dyDescent="0.3">
      <c r="A8642" t="str">
        <f>HYPERLINK("https://us2.cloudbeds.com/connect/10074733072513#/reservations/31684610310385?display=MHEQ7MDE9&amp;reservation_id=31684610310385", "MHEQ7MDE9")</f>
        <v>MHEQ7MDE9</v>
      </c>
      <c r="B8642" t="s">
        <v>1325</v>
      </c>
      <c r="C8642">
        <v>110.86</v>
      </c>
      <c r="D8642">
        <v>120.51</v>
      </c>
      <c r="E8642">
        <v>120.5</v>
      </c>
      <c r="F8642">
        <v>0.01</v>
      </c>
    </row>
    <row r="8643" spans="1:6" x14ac:dyDescent="0.3">
      <c r="A8643" t="str">
        <f>HYPERLINK("https://us2.cloudbeds.com/connect/10074733072513#/reservations/31684634263759?display=MHEQRSV63&amp;reservation_id=31684634263759", "MHEQRSV63")</f>
        <v>MHEQRSV63</v>
      </c>
      <c r="B8643" t="s">
        <v>1325</v>
      </c>
      <c r="C8643">
        <v>169</v>
      </c>
      <c r="D8643">
        <v>183.71</v>
      </c>
      <c r="E8643">
        <v>183.7</v>
      </c>
      <c r="F8643">
        <v>0.01</v>
      </c>
    </row>
    <row r="8644" spans="1:6" x14ac:dyDescent="0.3">
      <c r="A8644" t="str">
        <f>HYPERLINK("https://us2.cloudbeds.com/connect/10074733072513#/reservations/31685833482400?display=MHFZG2W1T&amp;reservation_id=31685833482400", "MHFZG2W1T")</f>
        <v>MHFZG2W1T</v>
      </c>
      <c r="B8644" t="s">
        <v>1135</v>
      </c>
      <c r="C8644">
        <v>169</v>
      </c>
      <c r="D8644">
        <v>183.71</v>
      </c>
      <c r="E8644">
        <v>183.7</v>
      </c>
      <c r="F8644">
        <v>0.01</v>
      </c>
    </row>
    <row r="8645" spans="1:6" x14ac:dyDescent="0.3">
      <c r="A8645" t="str">
        <f>HYPERLINK("https://us2.cloudbeds.com/connect/10074733072513#/reservations/31695231824076?display=MHN0Y0MHH&amp;reservation_id=31695231824076", "MHN0Y0MHH")</f>
        <v>MHN0Y0MHH</v>
      </c>
      <c r="B8645" t="s">
        <v>1315</v>
      </c>
      <c r="C8645">
        <v>139</v>
      </c>
      <c r="D8645">
        <v>151.1</v>
      </c>
      <c r="E8645">
        <v>151.09</v>
      </c>
      <c r="F8645">
        <v>0.01</v>
      </c>
    </row>
    <row r="8646" spans="1:6" x14ac:dyDescent="0.3">
      <c r="A8646" t="str">
        <f>HYPERLINK("https://us2.cloudbeds.com/connect/10074733072513#/reservations/31681328898286?display=MHC8CN960&amp;reservation_id=31681328898286", "MHC8CN960")</f>
        <v>MHC8CN960</v>
      </c>
      <c r="B8646" t="s">
        <v>1313</v>
      </c>
      <c r="C8646">
        <v>150</v>
      </c>
      <c r="D8646">
        <v>163.06</v>
      </c>
      <c r="E8646">
        <v>163.05000000000001</v>
      </c>
      <c r="F8646">
        <v>0.01</v>
      </c>
    </row>
    <row r="8647" spans="1:6" x14ac:dyDescent="0.3">
      <c r="A8647" t="str">
        <f>HYPERLINK("https://us2.cloudbeds.com/connect/10074733072513#/reservations/31681193685134?display=MHC4UMPGP&amp;reservation_id=31681193685134", "MHC4UMPGP")</f>
        <v>MHC4UMPGP</v>
      </c>
      <c r="B8647" t="s">
        <v>1135</v>
      </c>
      <c r="C8647">
        <v>249</v>
      </c>
      <c r="D8647">
        <v>270.67</v>
      </c>
      <c r="E8647">
        <v>270.66000000000003</v>
      </c>
      <c r="F8647">
        <v>0.01</v>
      </c>
    </row>
    <row r="8648" spans="1:6" x14ac:dyDescent="0.3">
      <c r="A8648" t="str">
        <f>HYPERLINK("https://us2.cloudbeds.com/connect/10074733072513#/reservations/31682575298719?display=MHD77N6S2&amp;reservation_id=31682575298719", "MHD77N6S2")</f>
        <v>MHD77N6S2</v>
      </c>
      <c r="B8648" t="s">
        <v>1139</v>
      </c>
      <c r="C8648">
        <v>139</v>
      </c>
      <c r="D8648">
        <v>151.1</v>
      </c>
      <c r="E8648">
        <v>151.09</v>
      </c>
      <c r="F8648">
        <v>0.01</v>
      </c>
    </row>
    <row r="8649" spans="1:6" x14ac:dyDescent="0.3">
      <c r="A8649" t="str">
        <f>HYPERLINK("https://us2.cloudbeds.com/connect/10074733072513#/reservations/31687831703762?display=MHH9X1E2D&amp;reservation_id=31687831703762", "MHH9X1E2D")</f>
        <v>MHH9X1E2D</v>
      </c>
      <c r="B8649" t="s">
        <v>1330</v>
      </c>
      <c r="C8649">
        <v>195.48</v>
      </c>
      <c r="D8649">
        <v>212.5</v>
      </c>
      <c r="E8649">
        <v>212.49</v>
      </c>
      <c r="F8649">
        <v>0.01</v>
      </c>
    </row>
    <row r="8650" spans="1:6" x14ac:dyDescent="0.3">
      <c r="A8650" t="str">
        <f>HYPERLINK("https://us2.cloudbeds.com/connect/10074733072513#/reservations/31692741628055?display=MHY307A51&amp;reservation_id=31692741628055", "MHY307A51")</f>
        <v>MHY307A51</v>
      </c>
      <c r="B8650" t="s">
        <v>1331</v>
      </c>
      <c r="C8650">
        <v>338</v>
      </c>
      <c r="D8650">
        <v>367.42</v>
      </c>
      <c r="E8650">
        <v>367.41</v>
      </c>
      <c r="F8650">
        <v>0.01</v>
      </c>
    </row>
    <row r="8651" spans="1:6" x14ac:dyDescent="0.3">
      <c r="A8651" t="str">
        <f>HYPERLINK("https://us2.cloudbeds.com/connect/10074733072513#/reservations/31687852982445?display=MHHA2WHNW&amp;reservation_id=31687852982445", "MHHA2WHNW")</f>
        <v>MHHA2WHNW</v>
      </c>
      <c r="B8651" t="s">
        <v>1330</v>
      </c>
      <c r="C8651">
        <v>97.74</v>
      </c>
      <c r="D8651">
        <v>106.25</v>
      </c>
      <c r="E8651">
        <v>106.24</v>
      </c>
      <c r="F8651">
        <v>0.01</v>
      </c>
    </row>
    <row r="8652" spans="1:6" x14ac:dyDescent="0.3">
      <c r="A8652" t="str">
        <f>HYPERLINK("https://us2.cloudbeds.com/connect/10074733072513#/reservations/31681191809242?display=MHC4T3XUX&amp;reservation_id=31681191809242", "MHC4T3XUX")</f>
        <v>MHC4T3XUX</v>
      </c>
      <c r="B8652" t="s">
        <v>1330</v>
      </c>
      <c r="C8652">
        <v>159</v>
      </c>
      <c r="D8652">
        <v>172.84</v>
      </c>
      <c r="E8652">
        <v>172.83</v>
      </c>
      <c r="F8652">
        <v>0.01</v>
      </c>
    </row>
    <row r="8653" spans="1:6" x14ac:dyDescent="0.3">
      <c r="A8653" t="str">
        <f>HYPERLINK("https://us2.cloudbeds.com/connect/10074733072513#/reservations/31681191813335?display=MHC4T3MMJ&amp;reservation_id=31681191813335", "MHC4T3MMJ")</f>
        <v>MHC4T3MMJ</v>
      </c>
      <c r="B8653" t="s">
        <v>1330</v>
      </c>
      <c r="C8653">
        <v>149</v>
      </c>
      <c r="D8653">
        <v>161.97</v>
      </c>
      <c r="E8653">
        <v>161.96</v>
      </c>
      <c r="F8653">
        <v>0.01</v>
      </c>
    </row>
    <row r="8654" spans="1:6" x14ac:dyDescent="0.3">
      <c r="A8654" t="str">
        <f>HYPERLINK("https://us2.cloudbeds.com/connect/10074733072513#/reservations/31682792333550?display=MHDCPNH75&amp;reservation_id=31682792333550", "MHDCPNH75")</f>
        <v>MHDCPNH75</v>
      </c>
      <c r="B8654" t="s">
        <v>1250</v>
      </c>
      <c r="C8654">
        <v>129</v>
      </c>
      <c r="D8654">
        <v>140.22999999999999</v>
      </c>
      <c r="E8654">
        <v>140.22</v>
      </c>
      <c r="F8654">
        <v>0.01</v>
      </c>
    </row>
    <row r="8655" spans="1:6" x14ac:dyDescent="0.3">
      <c r="A8655" t="str">
        <f>HYPERLINK("https://us2.cloudbeds.com/connect/10074733072513#/reservations/31684644495584?display=MHER3GYQD&amp;reservation_id=31684644495584", "MHER3GYQD")</f>
        <v>MHER3GYQD</v>
      </c>
      <c r="B8655" t="s">
        <v>1232</v>
      </c>
      <c r="C8655">
        <v>139</v>
      </c>
      <c r="D8655">
        <v>151.1</v>
      </c>
      <c r="E8655">
        <v>151.09</v>
      </c>
      <c r="F8655">
        <v>0.01</v>
      </c>
    </row>
    <row r="8656" spans="1:6" x14ac:dyDescent="0.3">
      <c r="A8656" t="str">
        <f>HYPERLINK("https://us2.cloudbeds.com/connect/10074733072513#/reservations/31681235050632?display=MHC5WXRBN&amp;reservation_id=31681235050632", "MHC5WXRBN")</f>
        <v>MHC5WXRBN</v>
      </c>
      <c r="B8656" t="s">
        <v>1313</v>
      </c>
      <c r="C8656">
        <v>258</v>
      </c>
      <c r="D8656">
        <v>280.45999999999998</v>
      </c>
      <c r="E8656">
        <v>280.45</v>
      </c>
      <c r="F8656">
        <v>0.01</v>
      </c>
    </row>
    <row r="8657" spans="1:6" x14ac:dyDescent="0.3">
      <c r="A8657" t="str">
        <f>HYPERLINK("https://us2.cloudbeds.com/connect/10074733072513#/reservations/31686379999428?display=MHG5EUGHX&amp;reservation_id=31686379999428", "MHG5EUGHX")</f>
        <v>MHG5EUGHX</v>
      </c>
      <c r="B8657" t="s">
        <v>1250</v>
      </c>
      <c r="C8657">
        <v>298</v>
      </c>
      <c r="D8657">
        <v>323.94</v>
      </c>
      <c r="E8657">
        <v>323.93</v>
      </c>
      <c r="F8657">
        <v>0.01</v>
      </c>
    </row>
    <row r="8658" spans="1:6" x14ac:dyDescent="0.3">
      <c r="A8658" t="str">
        <f>HYPERLINK("https://us2.cloudbeds.com/connect/10074733072513#/reservations/31683255971979?display=MHDZKYV5H&amp;reservation_id=31683255971979", "MHDZKYV5H")</f>
        <v>MHDZKYV5H</v>
      </c>
      <c r="B8658" t="s">
        <v>1204</v>
      </c>
      <c r="C8658">
        <v>99</v>
      </c>
      <c r="D8658">
        <v>107.62</v>
      </c>
      <c r="E8658">
        <v>107.61</v>
      </c>
      <c r="F8658">
        <v>0.01</v>
      </c>
    </row>
    <row r="8659" spans="1:6" x14ac:dyDescent="0.3">
      <c r="A8659" t="str">
        <f>HYPERLINK("https://us2.cloudbeds.com/connect/10074733072513#/reservations/31681578762433?display=MHCEPD3RR&amp;reservation_id=31681578762433", "MHCEPD3RR")</f>
        <v>MHCEPD3RR</v>
      </c>
      <c r="B8659" t="s">
        <v>1265</v>
      </c>
      <c r="C8659">
        <v>179</v>
      </c>
      <c r="D8659">
        <v>194.58</v>
      </c>
      <c r="E8659">
        <v>194.57</v>
      </c>
      <c r="F8659">
        <v>0.01</v>
      </c>
    </row>
    <row r="8660" spans="1:6" x14ac:dyDescent="0.3">
      <c r="A8660" t="str">
        <f>HYPERLINK("https://us2.cloudbeds.com/connect/10074733072513#/reservations/31683170590867?display=MHDMEM2V3&amp;reservation_id=31683170590867", "MHDMEM2V3")</f>
        <v>MHDMEM2V3</v>
      </c>
      <c r="B8660" t="s">
        <v>1329</v>
      </c>
      <c r="C8660">
        <v>97.74</v>
      </c>
      <c r="D8660">
        <v>106.25</v>
      </c>
      <c r="E8660">
        <v>106.24</v>
      </c>
      <c r="F8660">
        <v>0.01</v>
      </c>
    </row>
    <row r="8661" spans="1:6" x14ac:dyDescent="0.3">
      <c r="A8661" t="str">
        <f>HYPERLINK("https://us2.cloudbeds.com/connect/10074733072513#/reservations/31683070410965?display=MHDJT6ECG&amp;reservation_id=31683070410965", "MHDJT6ECG")</f>
        <v>MHDJT6ECG</v>
      </c>
      <c r="B8661" t="s">
        <v>1329</v>
      </c>
      <c r="C8661">
        <v>318</v>
      </c>
      <c r="D8661">
        <v>345.68</v>
      </c>
      <c r="E8661">
        <v>345.67</v>
      </c>
      <c r="F8661">
        <v>0.01</v>
      </c>
    </row>
    <row r="8662" spans="1:6" x14ac:dyDescent="0.3">
      <c r="A8662" t="str">
        <f>HYPERLINK("https://us2.cloudbeds.com/connect/10074733072513#/reservations/31682691182800?display=MHDA6DS4U&amp;reservation_id=31682691182800", "MHDA6DS4U")</f>
        <v>MHDA6DS4U</v>
      </c>
      <c r="B8662" t="s">
        <v>1118</v>
      </c>
      <c r="C8662">
        <v>139</v>
      </c>
      <c r="D8662">
        <v>151.1</v>
      </c>
      <c r="E8662">
        <v>151.09</v>
      </c>
      <c r="F8662">
        <v>0.01</v>
      </c>
    </row>
    <row r="8663" spans="1:6" x14ac:dyDescent="0.3">
      <c r="A8663" t="str">
        <f>HYPERLINK("https://us2.cloudbeds.com/connect/10074733072513#/reservations/31694264324235?display=MHM8U6XUH&amp;reservation_id=31694264324235", "MHM8U6XUH")</f>
        <v>MHM8U6XUH</v>
      </c>
      <c r="B8663" t="s">
        <v>1315</v>
      </c>
      <c r="C8663">
        <v>139</v>
      </c>
      <c r="D8663">
        <v>151.1</v>
      </c>
      <c r="E8663">
        <v>151.09</v>
      </c>
      <c r="F8663">
        <v>0.01</v>
      </c>
    </row>
    <row r="8664" spans="1:6" x14ac:dyDescent="0.3">
      <c r="A8664" t="str">
        <f>HYPERLINK("https://us2.cloudbeds.com/connect/10074733072513#/reservations/31687846645960?display=MHH9UY739&amp;reservation_id=31687846645960", "MHH9UY739")</f>
        <v>MHH9UY739</v>
      </c>
      <c r="B8664" t="s">
        <v>1330</v>
      </c>
      <c r="C8664">
        <v>97.74</v>
      </c>
      <c r="D8664">
        <v>106.25</v>
      </c>
      <c r="E8664">
        <v>106.24</v>
      </c>
      <c r="F8664">
        <v>0.01</v>
      </c>
    </row>
    <row r="8665" spans="1:6" x14ac:dyDescent="0.3">
      <c r="A8665" t="str">
        <f>HYPERLINK("https://us2.cloudbeds.com/connect/10074733072513#/reservations/31681581527190?display=MHCERZ1YB&amp;reservation_id=31681581527190", "MHCERZ1YB")</f>
        <v>MHCERZ1YB</v>
      </c>
      <c r="B8665" t="s">
        <v>1265</v>
      </c>
      <c r="C8665">
        <v>159</v>
      </c>
      <c r="D8665">
        <v>172.84</v>
      </c>
      <c r="E8665">
        <v>172.83</v>
      </c>
      <c r="F8665">
        <v>0.01</v>
      </c>
    </row>
    <row r="8666" spans="1:6" x14ac:dyDescent="0.3">
      <c r="A8666" t="str">
        <f>HYPERLINK("https://us2.cloudbeds.com/connect/10074733072513#/reservations/31683248238815?display=MHDZE4P07&amp;reservation_id=31683248238815", "MHDZE4P07")</f>
        <v>MHDZE4P07</v>
      </c>
      <c r="B8666" t="s">
        <v>1100</v>
      </c>
      <c r="C8666">
        <v>438</v>
      </c>
      <c r="D8666">
        <v>476.12</v>
      </c>
      <c r="E8666">
        <v>476.11</v>
      </c>
      <c r="F8666">
        <v>0.01</v>
      </c>
    </row>
    <row r="8667" spans="1:6" x14ac:dyDescent="0.3">
      <c r="A8667" t="str">
        <f>HYPERLINK("https://us2.cloudbeds.com/connect/10074733072513#/reservations/31683264475350?display=MHDZRRXJE&amp;reservation_id=31683264475350", "MHDZRRXJE")</f>
        <v>MHDZRRXJE</v>
      </c>
      <c r="B8667" t="s">
        <v>1100</v>
      </c>
      <c r="C8667">
        <v>438</v>
      </c>
      <c r="D8667">
        <v>476.12</v>
      </c>
      <c r="E8667">
        <v>476.11</v>
      </c>
      <c r="F8667">
        <v>0.01</v>
      </c>
    </row>
    <row r="8668" spans="1:6" x14ac:dyDescent="0.3">
      <c r="A8668" t="str">
        <f>HYPERLINK("https://us2.cloudbeds.com/connect/10074733072513#/reservations/31681534910704?display=MHCDYDSVX&amp;reservation_id=31681534910704", "MHCDYDSVX")</f>
        <v>MHCDYDSVX</v>
      </c>
      <c r="B8668" t="s">
        <v>1201</v>
      </c>
      <c r="C8668">
        <v>179</v>
      </c>
      <c r="D8668">
        <v>194.58</v>
      </c>
      <c r="E8668">
        <v>194.57</v>
      </c>
      <c r="F8668">
        <v>0.01</v>
      </c>
    </row>
    <row r="8669" spans="1:6" x14ac:dyDescent="0.3">
      <c r="A8669" t="str">
        <f>HYPERLINK("https://us2.cloudbeds.com/connect/10074733072513#/reservations/31681233739994?display=MHC5VFBRD&amp;reservation_id=31681233739994", "MHC5VFBRD")</f>
        <v>MHC5VFBRD</v>
      </c>
      <c r="B8669" t="s">
        <v>1313</v>
      </c>
      <c r="C8669">
        <v>73</v>
      </c>
      <c r="D8669">
        <v>79.36</v>
      </c>
      <c r="E8669">
        <v>79.349999999999994</v>
      </c>
      <c r="F8669">
        <v>0.01</v>
      </c>
    </row>
    <row r="8670" spans="1:6" x14ac:dyDescent="0.3">
      <c r="A8670" t="str">
        <f>HYPERLINK("https://us2.cloudbeds.com/connect/10074733072513#/reservations/31683170586774?display=MHDMEYW62&amp;reservation_id=31683170586774", "MHDMEYW62")</f>
        <v>MHDMEYW62</v>
      </c>
      <c r="B8670" t="s">
        <v>1332</v>
      </c>
      <c r="C8670">
        <v>179</v>
      </c>
      <c r="D8670">
        <v>194.58</v>
      </c>
      <c r="E8670">
        <v>194.57</v>
      </c>
      <c r="F8670">
        <v>0.01</v>
      </c>
    </row>
    <row r="8671" spans="1:6" x14ac:dyDescent="0.3">
      <c r="A8671" t="str">
        <f>HYPERLINK("https://us2.cloudbeds.com/connect/10074733072513#/reservations/31685891707063?display=MHFPW657Y&amp;reservation_id=31685891707063", "MHFPW657Y")</f>
        <v>MHFPW657Y</v>
      </c>
      <c r="B8671" t="s">
        <v>1265</v>
      </c>
      <c r="C8671">
        <v>322.2</v>
      </c>
      <c r="D8671">
        <v>350.24</v>
      </c>
      <c r="E8671">
        <v>350.23</v>
      </c>
      <c r="F8671">
        <v>0.01</v>
      </c>
    </row>
    <row r="8672" spans="1:6" x14ac:dyDescent="0.3">
      <c r="A8672" t="str">
        <f>HYPERLINK("https://us2.cloudbeds.com/connect/10074733072513#/reservations/31684658450641?display=MHERF8WBU&amp;reservation_id=31684658450641", "MHERF8WBU")</f>
        <v>MHERF8WBU</v>
      </c>
      <c r="B8672" t="s">
        <v>1232</v>
      </c>
      <c r="C8672">
        <v>139</v>
      </c>
      <c r="D8672">
        <v>151.1</v>
      </c>
      <c r="E8672">
        <v>151.09</v>
      </c>
      <c r="F8672">
        <v>0.01</v>
      </c>
    </row>
    <row r="8673" spans="1:6" x14ac:dyDescent="0.3">
      <c r="A8673" t="str">
        <f>HYPERLINK("https://us2.cloudbeds.com/connect/10074733072513#/reservations/31685246410953?display=MHF9G1RR2&amp;reservation_id=31685246410953", "MHF9G1RR2")</f>
        <v>MHF9G1RR2</v>
      </c>
      <c r="B8673" t="s">
        <v>1232</v>
      </c>
      <c r="C8673">
        <v>139</v>
      </c>
      <c r="D8673">
        <v>151.1</v>
      </c>
      <c r="E8673">
        <v>151.09</v>
      </c>
      <c r="F8673">
        <v>0.01</v>
      </c>
    </row>
    <row r="8674" spans="1:6" x14ac:dyDescent="0.3">
      <c r="A8674" t="str">
        <f>HYPERLINK("https://us2.cloudbeds.com/connect/10074733072513#/reservations/31685229121760?display=MHF91FZK4&amp;reservation_id=31685229121760", "MHF91FZK4")</f>
        <v>MHF91FZK4</v>
      </c>
      <c r="B8674" t="s">
        <v>1232</v>
      </c>
      <c r="C8674">
        <v>129</v>
      </c>
      <c r="D8674">
        <v>140.22999999999999</v>
      </c>
      <c r="E8674">
        <v>140.22</v>
      </c>
      <c r="F8674">
        <v>0.01</v>
      </c>
    </row>
    <row r="8675" spans="1:6" x14ac:dyDescent="0.3">
      <c r="A8675" t="str">
        <f>HYPERLINK("https://us2.cloudbeds.com/connect/10074733072513#/reservations/31684591644881?display=MHEPZV0CV&amp;reservation_id=31684591644881", "MHEPZV0CV")</f>
        <v>MHEPZV0CV</v>
      </c>
      <c r="B8675" t="s">
        <v>1313</v>
      </c>
      <c r="C8675">
        <v>129</v>
      </c>
      <c r="D8675">
        <v>140.22999999999999</v>
      </c>
      <c r="E8675">
        <v>140.22</v>
      </c>
      <c r="F8675">
        <v>0.01</v>
      </c>
    </row>
    <row r="8676" spans="1:6" x14ac:dyDescent="0.3">
      <c r="A8676" t="str">
        <f>HYPERLINK("https://us2.cloudbeds.com/connect/10074733072513#/reservations/31681422160095?display=MHCAPBE1E&amp;reservation_id=31681422160095", "MHCAPBE1E")</f>
        <v>MHCAPBE1E</v>
      </c>
      <c r="B8676" t="s">
        <v>1313</v>
      </c>
      <c r="C8676">
        <v>73</v>
      </c>
      <c r="D8676">
        <v>79.36</v>
      </c>
      <c r="E8676">
        <v>79.349999999999994</v>
      </c>
      <c r="F8676">
        <v>0.01</v>
      </c>
    </row>
    <row r="8677" spans="1:6" x14ac:dyDescent="0.3">
      <c r="A8677" t="str">
        <f>HYPERLINK("https://us2.cloudbeds.com/connect/10074733072513#/reservations/31681650315421?display=MHCGJZ626&amp;reservation_id=31681650315421", "MHCGJZ626")</f>
        <v>MHCGJZ626</v>
      </c>
      <c r="B8677" t="s">
        <v>1329</v>
      </c>
      <c r="C8677">
        <v>175.8</v>
      </c>
      <c r="D8677">
        <v>191.1</v>
      </c>
      <c r="E8677">
        <v>191.09</v>
      </c>
      <c r="F8677">
        <v>0.01</v>
      </c>
    </row>
    <row r="8678" spans="1:6" x14ac:dyDescent="0.3">
      <c r="A8678" t="str">
        <f>HYPERLINK("https://us2.cloudbeds.com/connect/10074733072513#/reservations/31685261029532?display=MHF9SCKMA&amp;reservation_id=31685261029532", "MHF9SCKMA")</f>
        <v>MHF9SCKMA</v>
      </c>
      <c r="B8678" t="s">
        <v>1232</v>
      </c>
      <c r="C8678">
        <v>129</v>
      </c>
      <c r="D8678">
        <v>140.22999999999999</v>
      </c>
      <c r="E8678">
        <v>140.22</v>
      </c>
      <c r="F8678">
        <v>0.01</v>
      </c>
    </row>
    <row r="8679" spans="1:6" x14ac:dyDescent="0.3">
      <c r="A8679" t="str">
        <f>HYPERLINK("https://us2.cloudbeds.com/connect/10074733072513#/reservations/31685287485576?display=MHFAHMQXK&amp;reservation_id=31685287485576", "MHFAHMQXK")</f>
        <v>MHFAHMQXK</v>
      </c>
      <c r="B8679" t="s">
        <v>1232</v>
      </c>
      <c r="C8679">
        <v>149</v>
      </c>
      <c r="D8679">
        <v>161.97</v>
      </c>
      <c r="E8679">
        <v>161.96</v>
      </c>
      <c r="F8679">
        <v>0.01</v>
      </c>
    </row>
    <row r="8680" spans="1:6" x14ac:dyDescent="0.3">
      <c r="A8680" t="str">
        <f>HYPERLINK("https://us2.cloudbeds.com/connect/10074733072513#/reservations/31694236340385?display=MHM86JT32&amp;reservation_id=31694236340385", "MHM86JT32")</f>
        <v>MHM86JT32</v>
      </c>
      <c r="B8680" t="s">
        <v>1315</v>
      </c>
      <c r="C8680">
        <v>278</v>
      </c>
      <c r="D8680">
        <v>302.2</v>
      </c>
      <c r="E8680">
        <v>302.19</v>
      </c>
      <c r="F8680">
        <v>0.01</v>
      </c>
    </row>
    <row r="8681" spans="1:6" x14ac:dyDescent="0.3">
      <c r="A8681" t="str">
        <f>HYPERLINK("https://us2.cloudbeds.com/connect/10074733072513#/reservations/31685269180652?display=MHFA28EKV&amp;reservation_id=31685269180652", "MHFA28EKV")</f>
        <v>MHFA28EKV</v>
      </c>
      <c r="B8681" t="s">
        <v>1242</v>
      </c>
      <c r="C8681">
        <v>129</v>
      </c>
      <c r="D8681">
        <v>140.22999999999999</v>
      </c>
      <c r="E8681">
        <v>140.22</v>
      </c>
      <c r="F8681">
        <v>0.01</v>
      </c>
    </row>
    <row r="8682" spans="1:6" x14ac:dyDescent="0.3">
      <c r="A8682" t="str">
        <f>HYPERLINK("https://us2.cloudbeds.com/connect/10074733072513#/reservations/31687035773149?display=MHGM6TFVU&amp;reservation_id=31687035773149", "MHGM6TFVU")</f>
        <v>MHGM6TFVU</v>
      </c>
      <c r="B8682" t="s">
        <v>1307</v>
      </c>
      <c r="C8682">
        <v>169</v>
      </c>
      <c r="D8682">
        <v>183.71</v>
      </c>
      <c r="E8682">
        <v>183.7</v>
      </c>
      <c r="F8682">
        <v>0.01</v>
      </c>
    </row>
    <row r="8683" spans="1:6" x14ac:dyDescent="0.3">
      <c r="A8683" t="str">
        <f>HYPERLINK("https://us2.cloudbeds.com/connect/10074733072513#/reservations/31684656009391?display=MHERD71KY&amp;reservation_id=31684656009391", "MHERD71KY")</f>
        <v>MHERD71KY</v>
      </c>
      <c r="B8683" t="s">
        <v>1232</v>
      </c>
      <c r="C8683">
        <v>129</v>
      </c>
      <c r="D8683">
        <v>140.22999999999999</v>
      </c>
      <c r="E8683">
        <v>140.22</v>
      </c>
      <c r="F8683">
        <v>0.01</v>
      </c>
    </row>
    <row r="8684" spans="1:6" x14ac:dyDescent="0.3">
      <c r="A8684" t="str">
        <f>HYPERLINK("https://us2.cloudbeds.com/connect/10074733072513#/reservations/31683093041382?display=MHDKF959N&amp;reservation_id=31683093041382", "MHDKF959N")</f>
        <v>MHDKF959N</v>
      </c>
      <c r="B8684" t="s">
        <v>1329</v>
      </c>
      <c r="C8684">
        <v>73</v>
      </c>
      <c r="D8684">
        <v>79.36</v>
      </c>
      <c r="E8684">
        <v>79.349999999999994</v>
      </c>
      <c r="F8684">
        <v>0.01</v>
      </c>
    </row>
    <row r="8685" spans="1:6" x14ac:dyDescent="0.3">
      <c r="A8685" t="str">
        <f>HYPERLINK("https://us2.cloudbeds.com/connect/10074733072513#/reservations/31681585512596?display=MHCEV2VB7&amp;reservation_id=31681585512596", "MHCEV2VB7")</f>
        <v>MHCEV2VB7</v>
      </c>
      <c r="B8685" t="s">
        <v>1329</v>
      </c>
      <c r="C8685">
        <v>129</v>
      </c>
      <c r="D8685">
        <v>140.22999999999999</v>
      </c>
      <c r="E8685">
        <v>140.22</v>
      </c>
      <c r="F8685">
        <v>0.01</v>
      </c>
    </row>
    <row r="8686" spans="1:6" x14ac:dyDescent="0.3">
      <c r="A8686" t="str">
        <f>HYPERLINK("https://us2.cloudbeds.com/connect/10074733072513#/reservations/31683062706318?display=MHDJMN1DB&amp;reservation_id=31683062706318", "MHDJMN1DB")</f>
        <v>MHDJMN1DB</v>
      </c>
      <c r="B8686" t="s">
        <v>1329</v>
      </c>
      <c r="C8686">
        <v>129</v>
      </c>
      <c r="D8686">
        <v>140.22999999999999</v>
      </c>
      <c r="E8686">
        <v>140.22</v>
      </c>
      <c r="F8686">
        <v>0.01</v>
      </c>
    </row>
    <row r="8687" spans="1:6" x14ac:dyDescent="0.3">
      <c r="A8687" t="str">
        <f>HYPERLINK("https://us2.cloudbeds.com/connect/10074733072513#/reservations/31683104039045?display=MHDKZX657&amp;reservation_id=31683104039045", "MHDKZX657")</f>
        <v>MHDKZX657</v>
      </c>
      <c r="B8687" t="s">
        <v>1329</v>
      </c>
      <c r="C8687">
        <v>89</v>
      </c>
      <c r="D8687">
        <v>96.75</v>
      </c>
      <c r="E8687">
        <v>96.74</v>
      </c>
      <c r="F8687">
        <v>0.01</v>
      </c>
    </row>
    <row r="8688" spans="1:6" x14ac:dyDescent="0.3">
      <c r="A8688" t="str">
        <f>HYPERLINK("https://us2.cloudbeds.com/connect/10074733072513#/reservations/31681743081698?display=MHCXVVHTG&amp;reservation_id=31681743081698", "MHCXVVHTG")</f>
        <v>MHCXVVHTG</v>
      </c>
      <c r="B8688" t="s">
        <v>1333</v>
      </c>
      <c r="C8688">
        <v>73</v>
      </c>
      <c r="D8688">
        <v>79.36</v>
      </c>
      <c r="E8688">
        <v>79.349999999999994</v>
      </c>
      <c r="F8688">
        <v>0.01</v>
      </c>
    </row>
    <row r="8689" spans="1:6" x14ac:dyDescent="0.3">
      <c r="A8689" t="str">
        <f>HYPERLINK("https://us2.cloudbeds.com/connect/10074733072513#/reservations/31687471440113?display=MHH0B8XF4&amp;reservation_id=31687471440113", "MHH0B8XF4")</f>
        <v>MHH0B8XF4</v>
      </c>
      <c r="B8689" t="s">
        <v>1265</v>
      </c>
      <c r="C8689">
        <v>322.2</v>
      </c>
      <c r="D8689">
        <v>350.24</v>
      </c>
      <c r="E8689">
        <v>350.23</v>
      </c>
      <c r="F8689">
        <v>0.01</v>
      </c>
    </row>
    <row r="8690" spans="1:6" x14ac:dyDescent="0.3">
      <c r="A8690" t="str">
        <f>HYPERLINK("https://us2.cloudbeds.com/connect/10074733072513#/reservations/31681620344964?display=MHCFRF6WH&amp;reservation_id=31681620344964", "MHCFRF6WH")</f>
        <v>MHCFRF6WH</v>
      </c>
      <c r="B8690" t="s">
        <v>1329</v>
      </c>
      <c r="C8690">
        <v>158</v>
      </c>
      <c r="D8690">
        <v>171.76</v>
      </c>
      <c r="E8690">
        <v>171.75</v>
      </c>
      <c r="F8690">
        <v>0.01</v>
      </c>
    </row>
    <row r="8691" spans="1:6" x14ac:dyDescent="0.3">
      <c r="A8691" t="str">
        <f>HYPERLINK("https://us2.cloudbeds.com/connect/10074733072513#/reservations/31683142131857?display=MHDYNM5PS&amp;reservation_id=31683142131857", "MHDYNM5PS")</f>
        <v>MHDYNM5PS</v>
      </c>
      <c r="B8691" t="s">
        <v>1329</v>
      </c>
      <c r="C8691">
        <v>102.58</v>
      </c>
      <c r="D8691">
        <v>111.51</v>
      </c>
      <c r="E8691">
        <v>111.5</v>
      </c>
      <c r="F8691">
        <v>0.01</v>
      </c>
    </row>
    <row r="8692" spans="1:6" x14ac:dyDescent="0.3">
      <c r="A8692" t="str">
        <f>HYPERLINK("https://us2.cloudbeds.com/connect/10074733072513#/reservations/31689426165933?display=MHXH9HMYT&amp;reservation_id=31689426165933", "MHXH9HMYT")</f>
        <v>MHXH9HMYT</v>
      </c>
      <c r="B8692" t="s">
        <v>1228</v>
      </c>
      <c r="C8692">
        <v>169</v>
      </c>
      <c r="D8692">
        <v>183.71</v>
      </c>
      <c r="E8692">
        <v>183.7</v>
      </c>
      <c r="F8692">
        <v>0.01</v>
      </c>
    </row>
    <row r="8693" spans="1:6" x14ac:dyDescent="0.3">
      <c r="A8693" t="str">
        <f>HYPERLINK("https://us2.cloudbeds.com/connect/10074733072513#/reservations/31685912789125?display=MHFQGVQB0&amp;reservation_id=31685912789125", "MHFQGVQB0")</f>
        <v>MHFQGVQB0</v>
      </c>
      <c r="B8693" t="s">
        <v>1265</v>
      </c>
      <c r="C8693">
        <v>358</v>
      </c>
      <c r="D8693">
        <v>389.16</v>
      </c>
      <c r="E8693">
        <v>389.15</v>
      </c>
      <c r="F8693">
        <v>0.01</v>
      </c>
    </row>
    <row r="8694" spans="1:6" x14ac:dyDescent="0.3">
      <c r="A8694" t="str">
        <f>HYPERLINK("https://us2.cloudbeds.com/connect/10074733072513#/reservations/31689073115337?display=MHX88RHJW&amp;reservation_id=31689073115337", "MHX88RHJW")</f>
        <v>MHX88RHJW</v>
      </c>
      <c r="B8694" t="s">
        <v>974</v>
      </c>
      <c r="C8694">
        <v>139</v>
      </c>
      <c r="D8694">
        <v>151.1</v>
      </c>
      <c r="E8694">
        <v>151.09</v>
      </c>
      <c r="F8694">
        <v>0.01</v>
      </c>
    </row>
    <row r="8695" spans="1:6" x14ac:dyDescent="0.3">
      <c r="A8695" t="str">
        <f>HYPERLINK("https://us2.cloudbeds.com/connect/10074733072513#/reservations/31688520413380?display=MHHR4PPVR&amp;reservation_id=31688520413380", "MHHR4PPVR")</f>
        <v>MHHR4PPVR</v>
      </c>
      <c r="B8695" t="s">
        <v>1265</v>
      </c>
      <c r="C8695">
        <v>378</v>
      </c>
      <c r="D8695">
        <v>410.9</v>
      </c>
      <c r="E8695">
        <v>410.89</v>
      </c>
      <c r="F8695">
        <v>0.01</v>
      </c>
    </row>
    <row r="8696" spans="1:6" x14ac:dyDescent="0.3">
      <c r="A8696" t="str">
        <f>HYPERLINK("https://us2.cloudbeds.com/connect/10074733072513#/reservations/31683113152733?display=MHDKW7Q0J&amp;reservation_id=31683113152733", "MHDKW7Q0J")</f>
        <v>MHDKW7Q0J</v>
      </c>
      <c r="B8696" t="s">
        <v>1329</v>
      </c>
      <c r="C8696">
        <v>129</v>
      </c>
      <c r="D8696">
        <v>140.22999999999999</v>
      </c>
      <c r="E8696">
        <v>140.22</v>
      </c>
      <c r="F8696">
        <v>0.01</v>
      </c>
    </row>
    <row r="8697" spans="1:6" x14ac:dyDescent="0.3">
      <c r="A8697" t="str">
        <f>HYPERLINK("https://us2.cloudbeds.com/connect/10074733072513#/reservations/31682705359041?display=MHDAXCAQW&amp;reservation_id=31682705359041", "MHDAXCAQW")</f>
        <v>MHDAXCAQW</v>
      </c>
      <c r="B8697" t="s">
        <v>1118</v>
      </c>
      <c r="C8697">
        <v>139</v>
      </c>
      <c r="D8697">
        <v>151.1</v>
      </c>
      <c r="E8697">
        <v>151.09</v>
      </c>
      <c r="F8697">
        <v>0.01</v>
      </c>
    </row>
    <row r="8698" spans="1:6" x14ac:dyDescent="0.3">
      <c r="A8698" t="str">
        <f>HYPERLINK("https://us2.cloudbeds.com/connect/10074733072513#/reservations/31683704168648?display=MHE32JMBP&amp;reservation_id=31683704168648", "MHE32JMBP")</f>
        <v>MHE32JMBP</v>
      </c>
      <c r="B8698" t="s">
        <v>1335</v>
      </c>
      <c r="C8698">
        <v>129</v>
      </c>
      <c r="D8698">
        <v>140.22999999999999</v>
      </c>
      <c r="E8698">
        <v>140.22</v>
      </c>
      <c r="F8698">
        <v>0.01</v>
      </c>
    </row>
    <row r="8699" spans="1:6" x14ac:dyDescent="0.3">
      <c r="A8699" t="str">
        <f>HYPERLINK("https://us2.cloudbeds.com/connect/10074733072513#/reservations/31688526602400?display=MHHRA005T&amp;reservation_id=31688526602400", "MHHRA005T")</f>
        <v>MHHRA005T</v>
      </c>
      <c r="B8699" t="s">
        <v>1265</v>
      </c>
      <c r="C8699">
        <v>189</v>
      </c>
      <c r="D8699">
        <v>205.45</v>
      </c>
      <c r="E8699">
        <v>205.44</v>
      </c>
      <c r="F8699">
        <v>0.01</v>
      </c>
    </row>
    <row r="8700" spans="1:6" x14ac:dyDescent="0.3">
      <c r="A8700" t="str">
        <f>HYPERLINK("https://us2.cloudbeds.com/connect/10074733072513#/reservations/31687014047946?display=MHGYYXV9E&amp;reservation_id=31687014047946", "MHGYYXV9E")</f>
        <v>MHGYYXV9E</v>
      </c>
      <c r="B8700" t="s">
        <v>1327</v>
      </c>
      <c r="C8700">
        <v>278</v>
      </c>
      <c r="D8700">
        <v>302.2</v>
      </c>
      <c r="E8700">
        <v>302.19</v>
      </c>
      <c r="F8700">
        <v>0.01</v>
      </c>
    </row>
    <row r="8701" spans="1:6" x14ac:dyDescent="0.3">
      <c r="A8701" t="str">
        <f>HYPERLINK("https://us2.cloudbeds.com/connect/10074733072513#/reservations/31688449573001?display=MHHPB1X3M&amp;reservation_id=31688449573001", "MHHPB1X3M")</f>
        <v>MHHPB1X3M</v>
      </c>
      <c r="B8701" t="s">
        <v>1265</v>
      </c>
      <c r="C8701">
        <v>322.2</v>
      </c>
      <c r="D8701">
        <v>350.24</v>
      </c>
      <c r="E8701">
        <v>350.23</v>
      </c>
      <c r="F8701">
        <v>0.01</v>
      </c>
    </row>
    <row r="8702" spans="1:6" x14ac:dyDescent="0.3">
      <c r="A8702" t="str">
        <f>HYPERLINK("https://us2.cloudbeds.com/connect/10074733072513#/reservations/31687550759046?display=MHH2C4NV5&amp;reservation_id=31687550759046", "MHH2C4NV5")</f>
        <v>MHH2C4NV5</v>
      </c>
      <c r="B8702" t="s">
        <v>1265</v>
      </c>
      <c r="C8702">
        <v>179</v>
      </c>
      <c r="D8702">
        <v>194.58</v>
      </c>
      <c r="E8702">
        <v>194.57</v>
      </c>
      <c r="F8702">
        <v>0.01</v>
      </c>
    </row>
    <row r="8703" spans="1:6" x14ac:dyDescent="0.3">
      <c r="A8703" t="str">
        <f>HYPERLINK("https://us2.cloudbeds.com/connect/10074733072513#/reservations/31688491880606?display=MHHQDNR2A&amp;reservation_id=31688491880606", "MHHQDNR2A")</f>
        <v>MHHQDNR2A</v>
      </c>
      <c r="B8703" t="s">
        <v>1265</v>
      </c>
      <c r="C8703">
        <v>79</v>
      </c>
      <c r="D8703">
        <v>85.88</v>
      </c>
      <c r="E8703">
        <v>85.87</v>
      </c>
      <c r="F8703">
        <v>0.01</v>
      </c>
    </row>
    <row r="8704" spans="1:6" x14ac:dyDescent="0.3">
      <c r="A8704" t="str">
        <f>HYPERLINK("https://us2.cloudbeds.com/connect/10074733072513#/reservations/31685491445923?display=MHFFZM9W6&amp;reservation_id=31685491445923", "MHFFZM9W6")</f>
        <v>MHFFZM9W6</v>
      </c>
      <c r="B8704" t="s">
        <v>1332</v>
      </c>
      <c r="C8704">
        <v>169</v>
      </c>
      <c r="D8704">
        <v>183.71</v>
      </c>
      <c r="E8704">
        <v>183.7</v>
      </c>
      <c r="F8704">
        <v>0.01</v>
      </c>
    </row>
    <row r="8705" spans="1:6" x14ac:dyDescent="0.3">
      <c r="A8705" t="str">
        <f>HYPERLINK("https://us2.cloudbeds.com/connect/10074733072513#/reservations/31685482877172?display=MHFFHESH2&amp;reservation_id=31685482877172", "MHFFHESH2")</f>
        <v>MHFFHESH2</v>
      </c>
      <c r="B8705" t="s">
        <v>1332</v>
      </c>
      <c r="C8705">
        <v>169</v>
      </c>
      <c r="D8705">
        <v>183.71</v>
      </c>
      <c r="E8705">
        <v>183.7</v>
      </c>
      <c r="F8705">
        <v>0.01</v>
      </c>
    </row>
    <row r="8706" spans="1:6" x14ac:dyDescent="0.3">
      <c r="A8706" t="str">
        <f>HYPERLINK("https://us2.cloudbeds.com/connect/10074733072513#/reservations/31688503140567?display=MHHQN74Q8&amp;reservation_id=31688503140567", "MHHQN74Q8")</f>
        <v>MHHQN74Q8</v>
      </c>
      <c r="B8706" t="s">
        <v>1265</v>
      </c>
      <c r="C8706">
        <v>79</v>
      </c>
      <c r="D8706">
        <v>85.88</v>
      </c>
      <c r="E8706">
        <v>85.87</v>
      </c>
      <c r="F8706">
        <v>0.01</v>
      </c>
    </row>
    <row r="8707" spans="1:6" x14ac:dyDescent="0.3">
      <c r="A8707" t="str">
        <f>HYPERLINK("https://us2.cloudbeds.com/connect/10074733072513#/reservations/31683224240266?display=MHDNQTVPF&amp;reservation_id=31683224240266", "MHDNQTVPF")</f>
        <v>MHDNQTVPF</v>
      </c>
      <c r="B8707" t="s">
        <v>1204</v>
      </c>
      <c r="C8707">
        <v>225</v>
      </c>
      <c r="D8707">
        <v>244.59</v>
      </c>
      <c r="E8707">
        <v>244.58</v>
      </c>
      <c r="F8707">
        <v>0.01</v>
      </c>
    </row>
    <row r="8708" spans="1:6" x14ac:dyDescent="0.3">
      <c r="A8708" t="str">
        <f>HYPERLINK("https://us2.cloudbeds.com/connect/10074733072513#/reservations/31683859366111?display=MHE71F936&amp;reservation_id=31683859366111", "MHE71F936")</f>
        <v>MHE71F936</v>
      </c>
      <c r="B8708" t="s">
        <v>1309</v>
      </c>
      <c r="C8708">
        <v>269</v>
      </c>
      <c r="D8708">
        <v>292.41000000000003</v>
      </c>
      <c r="E8708">
        <v>292.39999999999998</v>
      </c>
      <c r="F8708">
        <v>0.01</v>
      </c>
    </row>
    <row r="8709" spans="1:6" x14ac:dyDescent="0.3">
      <c r="A8709" t="str">
        <f>HYPERLINK("https://us2.cloudbeds.com/connect/10074733072513#/reservations/31684409974995?display=MHEY3ZPNT&amp;reservation_id=31684409974995", "MHEY3ZPNT")</f>
        <v>MHEY3ZPNT</v>
      </c>
      <c r="B8709" t="s">
        <v>1168</v>
      </c>
      <c r="C8709">
        <v>139</v>
      </c>
      <c r="D8709">
        <v>151.1</v>
      </c>
      <c r="E8709">
        <v>151.09</v>
      </c>
      <c r="F8709">
        <v>0.01</v>
      </c>
    </row>
    <row r="8710" spans="1:6" x14ac:dyDescent="0.3">
      <c r="A8710" t="str">
        <f>HYPERLINK("https://us2.cloudbeds.com/connect/10074733072513#/reservations/31684395917473?display=MHEKZTK2C&amp;reservation_id=31684395917473", "MHEKZTK2C")</f>
        <v>MHEKZTK2C</v>
      </c>
      <c r="B8710" t="s">
        <v>1168</v>
      </c>
      <c r="C8710">
        <v>139</v>
      </c>
      <c r="D8710">
        <v>151.1</v>
      </c>
      <c r="E8710">
        <v>151.09</v>
      </c>
      <c r="F8710">
        <v>0.01</v>
      </c>
    </row>
    <row r="8711" spans="1:6" x14ac:dyDescent="0.3">
      <c r="A8711" t="str">
        <f>HYPERLINK("https://us2.cloudbeds.com/connect/10074733072513#/reservations/31681808851102?display=MHCKYDM6Z&amp;reservation_id=31681808851102", "MHCKYDM6Z")</f>
        <v>MHCKYDM6Z</v>
      </c>
      <c r="B8711" t="s">
        <v>1338</v>
      </c>
      <c r="C8711">
        <v>73</v>
      </c>
      <c r="D8711">
        <v>79.36</v>
      </c>
      <c r="E8711">
        <v>79.349999999999994</v>
      </c>
      <c r="F8711">
        <v>0.01</v>
      </c>
    </row>
    <row r="8712" spans="1:6" x14ac:dyDescent="0.3">
      <c r="A8712" t="str">
        <f>HYPERLINK("https://us2.cloudbeds.com/connect/10074733072513#/reservations/31681775775995?display=MHCJQHA6P&amp;reservation_id=31681775775995", "MHCJQHA6P")</f>
        <v>MHCJQHA6P</v>
      </c>
      <c r="B8712" t="s">
        <v>1338</v>
      </c>
      <c r="C8712">
        <v>73</v>
      </c>
      <c r="D8712">
        <v>79.36</v>
      </c>
      <c r="E8712">
        <v>79.349999999999994</v>
      </c>
      <c r="F8712">
        <v>0.01</v>
      </c>
    </row>
    <row r="8713" spans="1:6" x14ac:dyDescent="0.3">
      <c r="A8713" t="str">
        <f>HYPERLINK("https://us2.cloudbeds.com/connect/10074733072513#/reservations/31683223109796?display=MHDNPVGMQ&amp;reservation_id=31683223109796", "MHDNPVGMQ")</f>
        <v>MHDNPVGMQ</v>
      </c>
      <c r="B8713" t="s">
        <v>1298</v>
      </c>
      <c r="C8713">
        <v>250</v>
      </c>
      <c r="D8713">
        <v>271.76</v>
      </c>
      <c r="E8713">
        <v>271.75</v>
      </c>
      <c r="F8713">
        <v>0.01</v>
      </c>
    </row>
    <row r="8714" spans="1:6" x14ac:dyDescent="0.3">
      <c r="A8714" t="str">
        <f>HYPERLINK("https://us2.cloudbeds.com/connect/10074733072513#/reservations/31688277729424?display=MHHKV4ZMX&amp;reservation_id=31688277729424", "MHHKV4ZMX")</f>
        <v>MHHKV4ZMX</v>
      </c>
      <c r="B8714" t="s">
        <v>1168</v>
      </c>
      <c r="C8714">
        <v>139</v>
      </c>
      <c r="D8714">
        <v>151.1</v>
      </c>
      <c r="E8714">
        <v>151.09</v>
      </c>
      <c r="F8714">
        <v>0.01</v>
      </c>
    </row>
    <row r="8715" spans="1:6" x14ac:dyDescent="0.3">
      <c r="A8715" t="str">
        <f>HYPERLINK("https://us2.cloudbeds.com/connect/10074733072513#/reservations/31681688490128?display=MHCHXUETG&amp;reservation_id=31681688490128", "MHCHXUETG")</f>
        <v>MHCHXUETG</v>
      </c>
      <c r="B8715" t="s">
        <v>1333</v>
      </c>
      <c r="C8715">
        <v>139</v>
      </c>
      <c r="D8715">
        <v>151.1</v>
      </c>
      <c r="E8715">
        <v>151.09</v>
      </c>
      <c r="F8715">
        <v>0.01</v>
      </c>
    </row>
    <row r="8716" spans="1:6" x14ac:dyDescent="0.3">
      <c r="A8716" t="str">
        <f>HYPERLINK("https://us2.cloudbeds.com/connect/10074733072513#/reservations/31681772536061?display=MHCJNQ51V&amp;reservation_id=31681772536061", "MHCJNQ51V")</f>
        <v>MHCJNQ51V</v>
      </c>
      <c r="B8716" t="s">
        <v>1338</v>
      </c>
      <c r="C8716">
        <v>73</v>
      </c>
      <c r="D8716">
        <v>79.36</v>
      </c>
      <c r="E8716">
        <v>79.349999999999994</v>
      </c>
      <c r="F8716">
        <v>0.01</v>
      </c>
    </row>
    <row r="8717" spans="1:6" x14ac:dyDescent="0.3">
      <c r="A8717" t="str">
        <f>HYPERLINK("https://us2.cloudbeds.com/connect/10074733072513#/reservations/31683231359195?display=MHDNWU1TJ&amp;reservation_id=31683231359195", "MHDNWU1TJ")</f>
        <v>MHDNWU1TJ</v>
      </c>
      <c r="B8717" t="s">
        <v>1204</v>
      </c>
      <c r="C8717">
        <v>225</v>
      </c>
      <c r="D8717">
        <v>244.59</v>
      </c>
      <c r="E8717">
        <v>244.58</v>
      </c>
      <c r="F8717">
        <v>0.01</v>
      </c>
    </row>
    <row r="8718" spans="1:6" x14ac:dyDescent="0.3">
      <c r="A8718" t="str">
        <f>HYPERLINK("https://us2.cloudbeds.com/connect/10074733072513#/reservations/31686144962754?display=MHFWEZC8H&amp;reservation_id=31686144962754", "MHFWEZC8H")</f>
        <v>MHFWEZC8H</v>
      </c>
      <c r="B8718" t="s">
        <v>1027</v>
      </c>
      <c r="C8718">
        <v>278</v>
      </c>
      <c r="D8718">
        <v>302.2</v>
      </c>
      <c r="E8718">
        <v>302.19</v>
      </c>
      <c r="F8718">
        <v>0.01</v>
      </c>
    </row>
    <row r="8719" spans="1:6" x14ac:dyDescent="0.3">
      <c r="A8719" t="str">
        <f>HYPERLINK("https://us2.cloudbeds.com/connect/10074733072513#/reservations/31688252465400?display=MHHK9RZD2&amp;reservation_id=31688252465400", "MHHK9RZD2")</f>
        <v>MHHK9RZD2</v>
      </c>
      <c r="B8719" t="s">
        <v>1168</v>
      </c>
      <c r="C8719">
        <v>119</v>
      </c>
      <c r="D8719">
        <v>129.36000000000001</v>
      </c>
      <c r="E8719">
        <v>129.35</v>
      </c>
      <c r="F8719">
        <v>0.01</v>
      </c>
    </row>
    <row r="8720" spans="1:6" x14ac:dyDescent="0.3">
      <c r="A8720" t="str">
        <f>HYPERLINK("https://us2.cloudbeds.com/connect/10074733072513#/reservations/31681731170510?display=MHCXYU35D&amp;reservation_id=31681731170510", "MHCXYU35D")</f>
        <v>MHCXYU35D</v>
      </c>
      <c r="B8720" t="s">
        <v>1338</v>
      </c>
      <c r="C8720">
        <v>139</v>
      </c>
      <c r="D8720">
        <v>151.1</v>
      </c>
      <c r="E8720">
        <v>151.09</v>
      </c>
      <c r="F8720">
        <v>0.01</v>
      </c>
    </row>
    <row r="8721" spans="1:6" x14ac:dyDescent="0.3">
      <c r="A8721" t="str">
        <f>HYPERLINK("https://us2.cloudbeds.com/connect/10074733072513#/reservations/31681763262632?display=MHCJFW3GV&amp;reservation_id=31681763262632", "MHCJFW3GV")</f>
        <v>MHCJFW3GV</v>
      </c>
      <c r="B8721" t="s">
        <v>1338</v>
      </c>
      <c r="C8721">
        <v>159</v>
      </c>
      <c r="D8721">
        <v>172.84</v>
      </c>
      <c r="E8721">
        <v>172.83</v>
      </c>
      <c r="F8721">
        <v>0.01</v>
      </c>
    </row>
    <row r="8722" spans="1:6" x14ac:dyDescent="0.3">
      <c r="A8722" t="str">
        <f>HYPERLINK("https://us2.cloudbeds.com/connect/10074733072513#/reservations/31685179875574?display=MHF7PVD4F&amp;reservation_id=31685179875574", "MHF7PVD4F")</f>
        <v>MHF7PVD4F</v>
      </c>
      <c r="B8722" t="s">
        <v>1100</v>
      </c>
      <c r="C8722">
        <v>501.3</v>
      </c>
      <c r="D8722">
        <v>544.91999999999996</v>
      </c>
      <c r="E8722">
        <v>544.91</v>
      </c>
      <c r="F8722">
        <v>0.01</v>
      </c>
    </row>
    <row r="8723" spans="1:6" x14ac:dyDescent="0.3">
      <c r="A8723" t="str">
        <f>HYPERLINK("https://us2.cloudbeds.com/connect/10074733072513#/reservations/31681760714953?display=MHCJDR71X&amp;reservation_id=31681760714953", "MHCJDR71X")</f>
        <v>MHCJDR71X</v>
      </c>
      <c r="B8723" t="s">
        <v>1338</v>
      </c>
      <c r="C8723">
        <v>139</v>
      </c>
      <c r="D8723">
        <v>151.1</v>
      </c>
      <c r="E8723">
        <v>151.09</v>
      </c>
      <c r="F8723">
        <v>0.01</v>
      </c>
    </row>
    <row r="8724" spans="1:6" x14ac:dyDescent="0.3">
      <c r="A8724" t="str">
        <f>HYPERLINK("https://us2.cloudbeds.com/connect/10074733072513#/reservations/31683207237828?display=MHDNCXRT2&amp;reservation_id=31683207237828", "MHDNCXRT2")</f>
        <v>MHDNCXRT2</v>
      </c>
      <c r="B8724" t="s">
        <v>1298</v>
      </c>
      <c r="C8724">
        <v>97.74</v>
      </c>
      <c r="D8724">
        <v>106.25</v>
      </c>
      <c r="E8724">
        <v>106.24</v>
      </c>
      <c r="F8724">
        <v>0.01</v>
      </c>
    </row>
    <row r="8725" spans="1:6" x14ac:dyDescent="0.3">
      <c r="A8725" t="str">
        <f>HYPERLINK("https://us2.cloudbeds.com/connect/10074733072513#/reservations/31683256860880?display=MHDZYDMDU&amp;reservation_id=31683256860880", "MHDZYDMDU")</f>
        <v>MHDZYDMDU</v>
      </c>
      <c r="B8725" t="s">
        <v>1298</v>
      </c>
      <c r="C8725">
        <v>139</v>
      </c>
      <c r="D8725">
        <v>151.1</v>
      </c>
      <c r="E8725">
        <v>151.09</v>
      </c>
      <c r="F8725">
        <v>0.01</v>
      </c>
    </row>
    <row r="8726" spans="1:6" x14ac:dyDescent="0.3">
      <c r="A8726" t="str">
        <f>HYPERLINK("https://us2.cloudbeds.com/connect/10074733072513#/reservations/31681880527084?display=MHCMFS5C6&amp;reservation_id=31681880527084", "MHCMFS5C6")</f>
        <v>MHCMFS5C6</v>
      </c>
      <c r="B8726" t="s">
        <v>1298</v>
      </c>
      <c r="C8726">
        <v>278</v>
      </c>
      <c r="D8726">
        <v>302.2</v>
      </c>
      <c r="E8726">
        <v>302.19</v>
      </c>
      <c r="F8726">
        <v>0.01</v>
      </c>
    </row>
    <row r="8727" spans="1:6" x14ac:dyDescent="0.3">
      <c r="A8727" t="str">
        <f>HYPERLINK("https://us2.cloudbeds.com/connect/10074733072513#/reservations/31683872768208?display=MHE7CP6TB&amp;reservation_id=31683872768208", "MHE7CP6TB")</f>
        <v>MHE7CP6TB</v>
      </c>
      <c r="B8727" t="s">
        <v>1309</v>
      </c>
      <c r="C8727">
        <v>179</v>
      </c>
      <c r="D8727">
        <v>194.58</v>
      </c>
      <c r="E8727">
        <v>194.57</v>
      </c>
      <c r="F8727">
        <v>0.01</v>
      </c>
    </row>
    <row r="8728" spans="1:6" x14ac:dyDescent="0.3">
      <c r="A8728" t="str">
        <f>HYPERLINK("https://us2.cloudbeds.com/connect/10074733072513#/reservations/31683213123733?display=MHDNHHKZR&amp;reservation_id=31683213123733", "MHDNHHKZR")</f>
        <v>MHDNHHKZR</v>
      </c>
      <c r="B8728" t="s">
        <v>1204</v>
      </c>
      <c r="C8728">
        <v>139</v>
      </c>
      <c r="D8728">
        <v>151.1</v>
      </c>
      <c r="E8728">
        <v>151.09</v>
      </c>
      <c r="F8728">
        <v>0.01</v>
      </c>
    </row>
    <row r="8729" spans="1:6" x14ac:dyDescent="0.3">
      <c r="A8729" t="str">
        <f>HYPERLINK("https://us2.cloudbeds.com/connect/10074733072513#/reservations/31686098829498?display=MHFV8RYA2&amp;reservation_id=31686098829498", "MHFV8RYA2")</f>
        <v>MHFV8RYA2</v>
      </c>
      <c r="B8729" t="s">
        <v>1204</v>
      </c>
      <c r="C8729">
        <v>73</v>
      </c>
      <c r="D8729">
        <v>79.36</v>
      </c>
      <c r="E8729">
        <v>79.349999999999994</v>
      </c>
      <c r="F8729">
        <v>0.01</v>
      </c>
    </row>
    <row r="8730" spans="1:6" x14ac:dyDescent="0.3">
      <c r="A8730" t="str">
        <f>HYPERLINK("https://us2.cloudbeds.com/connect/10074733072513#/reservations/31681636077773?display=MHCG7Z00A&amp;reservation_id=31681636077773", "MHCG7Z00A")</f>
        <v>MHCG7Z00A</v>
      </c>
      <c r="B8730" t="s">
        <v>1339</v>
      </c>
      <c r="C8730">
        <v>129</v>
      </c>
      <c r="D8730">
        <v>140.22999999999999</v>
      </c>
      <c r="E8730">
        <v>140.22</v>
      </c>
      <c r="F8730">
        <v>0.01</v>
      </c>
    </row>
    <row r="8731" spans="1:6" x14ac:dyDescent="0.3">
      <c r="A8731" t="str">
        <f>HYPERLINK("https://us2.cloudbeds.com/connect/10074733072513#/reservations/31683273502873?display=MHDP2EPAZ&amp;reservation_id=31683273502873", "MHDP2EPAZ")</f>
        <v>MHDP2EPAZ</v>
      </c>
      <c r="B8731" t="s">
        <v>1204</v>
      </c>
      <c r="C8731">
        <v>79</v>
      </c>
      <c r="D8731">
        <v>85.88</v>
      </c>
      <c r="E8731">
        <v>85.87</v>
      </c>
      <c r="F8731">
        <v>0.01</v>
      </c>
    </row>
    <row r="8732" spans="1:6" x14ac:dyDescent="0.3">
      <c r="A8732" t="str">
        <f>HYPERLINK("https://us2.cloudbeds.com/connect/10074733072513#/reservations/31686655373523?display=MHGCG4A0H&amp;reservation_id=31686655373523", "MHGCG4A0H")</f>
        <v>MHGCG4A0H</v>
      </c>
      <c r="B8732" t="s">
        <v>1027</v>
      </c>
      <c r="C8732">
        <v>175.8</v>
      </c>
      <c r="D8732">
        <v>191.1</v>
      </c>
      <c r="E8732">
        <v>191.09</v>
      </c>
      <c r="F8732">
        <v>0.01</v>
      </c>
    </row>
    <row r="8733" spans="1:6" x14ac:dyDescent="0.3">
      <c r="A8733" t="str">
        <f>HYPERLINK("https://us2.cloudbeds.com/connect/10074733072513#/reservations/31683554586774?display=MHDW8FB8N&amp;reservation_id=31683554586774", "MHDW8FB8N")</f>
        <v>MHDW8FB8N</v>
      </c>
      <c r="B8733" t="s">
        <v>1027</v>
      </c>
      <c r="C8733">
        <v>73</v>
      </c>
      <c r="D8733">
        <v>79.36</v>
      </c>
      <c r="E8733">
        <v>79.349999999999994</v>
      </c>
      <c r="F8733">
        <v>0.01</v>
      </c>
    </row>
    <row r="8734" spans="1:6" x14ac:dyDescent="0.3">
      <c r="A8734" t="str">
        <f>HYPERLINK("https://us2.cloudbeds.com/connect/10074733072513#/reservations/31681800634499?display=MHCKEG13P&amp;reservation_id=31681800634499", "MHCKEG13P")</f>
        <v>MHCKEG13P</v>
      </c>
      <c r="B8734" t="s">
        <v>1293</v>
      </c>
      <c r="C8734">
        <v>129</v>
      </c>
      <c r="D8734">
        <v>140.22999999999999</v>
      </c>
      <c r="E8734">
        <v>140.22</v>
      </c>
      <c r="F8734">
        <v>0.01</v>
      </c>
    </row>
    <row r="8735" spans="1:6" x14ac:dyDescent="0.3">
      <c r="A8735" t="str">
        <f>HYPERLINK("https://us2.cloudbeds.com/connect/10074733072513#/reservations/31683901731017?display=MHE8464M7&amp;reservation_id=31683901731017", "MHE8464M7")</f>
        <v>MHE8464M7</v>
      </c>
      <c r="B8735" t="s">
        <v>1309</v>
      </c>
      <c r="C8735">
        <v>99</v>
      </c>
      <c r="D8735">
        <v>107.62</v>
      </c>
      <c r="E8735">
        <v>107.61</v>
      </c>
      <c r="F8735">
        <v>0.01</v>
      </c>
    </row>
    <row r="8736" spans="1:6" x14ac:dyDescent="0.3">
      <c r="A8736" t="str">
        <f>HYPERLINK("https://us2.cloudbeds.com/connect/10074733072513#/reservations/31681541279941?display=MHCDQQ3YZ&amp;reservation_id=31681541279941", "MHCDQQ3YZ")</f>
        <v>MHCDQQ3YZ</v>
      </c>
      <c r="B8736" t="s">
        <v>1201</v>
      </c>
      <c r="C8736">
        <v>249</v>
      </c>
      <c r="D8736">
        <v>270.67</v>
      </c>
      <c r="E8736">
        <v>270.66000000000003</v>
      </c>
      <c r="F8736">
        <v>0.01</v>
      </c>
    </row>
    <row r="8737" spans="1:6" x14ac:dyDescent="0.3">
      <c r="A8737" t="str">
        <f>HYPERLINK("https://us2.cloudbeds.com/connect/10074733072513#/reservations/31685431177371?display=MHFE6S7VE&amp;reservation_id=31685431177371", "MHFE6S7VE")</f>
        <v>MHFE6S7VE</v>
      </c>
      <c r="B8737" t="s">
        <v>1262</v>
      </c>
      <c r="C8737">
        <v>258</v>
      </c>
      <c r="D8737">
        <v>280.45999999999998</v>
      </c>
      <c r="E8737">
        <v>280.45</v>
      </c>
      <c r="F8737">
        <v>0.01</v>
      </c>
    </row>
    <row r="8738" spans="1:6" x14ac:dyDescent="0.3">
      <c r="A8738" t="str">
        <f>HYPERLINK("https://us2.cloudbeds.com/connect/10074733072513#/reservations/31683571581148?display=MHDWMQ7ZZ&amp;reservation_id=31683571581148", "MHDWMQ7ZZ")</f>
        <v>MHDWMQ7ZZ</v>
      </c>
      <c r="B8738" t="s">
        <v>1309</v>
      </c>
      <c r="C8738">
        <v>179</v>
      </c>
      <c r="D8738">
        <v>194.58</v>
      </c>
      <c r="E8738">
        <v>194.57</v>
      </c>
      <c r="F8738">
        <v>0.01</v>
      </c>
    </row>
    <row r="8739" spans="1:6" x14ac:dyDescent="0.3">
      <c r="A8739" t="str">
        <f>HYPERLINK("https://us2.cloudbeds.com/connect/10074733072513#/reservations/31687068430558?display=MHGN1E7DC&amp;reservation_id=31687068430558", "MHGN1E7DC")</f>
        <v>MHGN1E7DC</v>
      </c>
      <c r="B8739" t="s">
        <v>1280</v>
      </c>
      <c r="C8739">
        <v>258</v>
      </c>
      <c r="D8739">
        <v>280.45999999999998</v>
      </c>
      <c r="E8739">
        <v>280.45</v>
      </c>
      <c r="F8739">
        <v>0.01</v>
      </c>
    </row>
    <row r="8740" spans="1:6" x14ac:dyDescent="0.3">
      <c r="A8740" t="str">
        <f>HYPERLINK("https://us2.cloudbeds.com/connect/10074733072513#/reservations/31684497248451?display=MHENBB9Y2&amp;reservation_id=31684497248451", "MHENBB9Y2")</f>
        <v>MHENBB9Y2</v>
      </c>
      <c r="B8740" t="s">
        <v>1334</v>
      </c>
      <c r="C8740">
        <v>129</v>
      </c>
      <c r="D8740">
        <v>140.22999999999999</v>
      </c>
      <c r="E8740">
        <v>140.22</v>
      </c>
      <c r="F8740">
        <v>0.01</v>
      </c>
    </row>
    <row r="8741" spans="1:6" x14ac:dyDescent="0.3">
      <c r="A8741" t="str">
        <f>HYPERLINK("https://us2.cloudbeds.com/connect/10074733072513#/reservations/31683926806757?display=MHE8PAU24&amp;reservation_id=31683926806757", "MHE8PAU24")</f>
        <v>MHE8PAU24</v>
      </c>
      <c r="B8741" t="s">
        <v>1309</v>
      </c>
      <c r="C8741">
        <v>179</v>
      </c>
      <c r="D8741">
        <v>194.58</v>
      </c>
      <c r="E8741">
        <v>194.57</v>
      </c>
      <c r="F8741">
        <v>0.01</v>
      </c>
    </row>
    <row r="8742" spans="1:6" x14ac:dyDescent="0.3">
      <c r="A8742" t="str">
        <f>HYPERLINK("https://us2.cloudbeds.com/connect/10074733072513#/reservations/31681491603664?display=MHCCHTQ80&amp;reservation_id=31681491603664", "MHCCHTQ80")</f>
        <v>MHCCHTQ80</v>
      </c>
      <c r="B8742" t="s">
        <v>1201</v>
      </c>
      <c r="C8742">
        <v>239</v>
      </c>
      <c r="D8742">
        <v>259.8</v>
      </c>
      <c r="E8742">
        <v>259.79000000000002</v>
      </c>
      <c r="F8742">
        <v>0.01</v>
      </c>
    </row>
    <row r="8743" spans="1:6" x14ac:dyDescent="0.3">
      <c r="A8743" t="str">
        <f>HYPERLINK("https://us2.cloudbeds.com/connect/10074733072513#/reservations/31681482952926?display=MHCCAK2GE&amp;reservation_id=31681482952926", "MHCCAK2GE")</f>
        <v>MHCCAK2GE</v>
      </c>
      <c r="B8743" t="s">
        <v>1201</v>
      </c>
      <c r="C8743">
        <v>322.2</v>
      </c>
      <c r="D8743">
        <v>350.24</v>
      </c>
      <c r="E8743">
        <v>350.23</v>
      </c>
      <c r="F8743">
        <v>0.01</v>
      </c>
    </row>
    <row r="8744" spans="1:6" x14ac:dyDescent="0.3">
      <c r="A8744" t="str">
        <f>HYPERLINK("https://us2.cloudbeds.com/connect/10074733072513#/reservations/31683889340565?display=MHE7QZBRW&amp;reservation_id=31683889340565", "MHE7QZBRW")</f>
        <v>MHE7QZBRW</v>
      </c>
      <c r="B8744" t="s">
        <v>1309</v>
      </c>
      <c r="C8744">
        <v>179</v>
      </c>
      <c r="D8744">
        <v>194.58</v>
      </c>
      <c r="E8744">
        <v>194.57</v>
      </c>
      <c r="F8744">
        <v>0.01</v>
      </c>
    </row>
    <row r="8745" spans="1:6" x14ac:dyDescent="0.3">
      <c r="A8745" t="str">
        <f>HYPERLINK("https://us2.cloudbeds.com/connect/10074733072513#/reservations/31683955667072?display=MHE8PB0R7&amp;reservation_id=31683955667072", "MHE8PB0R7")</f>
        <v>MHE8PB0R7</v>
      </c>
      <c r="B8745" t="s">
        <v>1309</v>
      </c>
      <c r="C8745">
        <v>179</v>
      </c>
      <c r="D8745">
        <v>194.58</v>
      </c>
      <c r="E8745">
        <v>194.57</v>
      </c>
      <c r="F8745">
        <v>0.01</v>
      </c>
    </row>
    <row r="8746" spans="1:6" x14ac:dyDescent="0.3">
      <c r="A8746" t="str">
        <f>HYPERLINK("https://us2.cloudbeds.com/connect/10074733072513#/reservations/31683803652317?display=MHE5KFVJD&amp;reservation_id=31683803652317", "MHE5KFVJD")</f>
        <v>MHE5KFVJD</v>
      </c>
      <c r="B8746" t="s">
        <v>1297</v>
      </c>
      <c r="C8746">
        <v>169</v>
      </c>
      <c r="D8746">
        <v>183.71</v>
      </c>
      <c r="E8746">
        <v>183.7</v>
      </c>
      <c r="F8746">
        <v>0.01</v>
      </c>
    </row>
    <row r="8747" spans="1:6" x14ac:dyDescent="0.3">
      <c r="A8747" t="str">
        <f>HYPERLINK("https://us2.cloudbeds.com/connect/10074733072513#/reservations/31683775361191?display=MHE4TKNJX&amp;reservation_id=31683775361191", "MHE4TKNJX")</f>
        <v>MHE4TKNJX</v>
      </c>
      <c r="B8747" t="s">
        <v>1341</v>
      </c>
      <c r="C8747">
        <v>318</v>
      </c>
      <c r="D8747">
        <v>345.68</v>
      </c>
      <c r="E8747">
        <v>345.67</v>
      </c>
      <c r="F8747">
        <v>0.01</v>
      </c>
    </row>
    <row r="8748" spans="1:6" x14ac:dyDescent="0.3">
      <c r="A8748" t="str">
        <f>HYPERLINK("https://us2.cloudbeds.com/connect/10074733072513#/reservations/31685972508834?display=MHFS1AJC5&amp;reservation_id=31685972508834", "MHFS1AJC5")</f>
        <v>MHFS1AJC5</v>
      </c>
      <c r="B8748" t="s">
        <v>1250</v>
      </c>
      <c r="C8748">
        <v>199</v>
      </c>
      <c r="D8748">
        <v>216.32</v>
      </c>
      <c r="E8748">
        <v>216.31</v>
      </c>
      <c r="F8748">
        <v>0.01</v>
      </c>
    </row>
    <row r="8749" spans="1:6" x14ac:dyDescent="0.3">
      <c r="A8749" t="str">
        <f>HYPERLINK("https://us2.cloudbeds.com/connect/10074733072513#/reservations/31683797422217?display=MHE5F7JYG&amp;reservation_id=31683797422217", "MHE5F7JYG")</f>
        <v>MHE5F7JYG</v>
      </c>
      <c r="B8749" t="s">
        <v>1297</v>
      </c>
      <c r="C8749">
        <v>119</v>
      </c>
      <c r="D8749">
        <v>129.36000000000001</v>
      </c>
      <c r="E8749">
        <v>129.35</v>
      </c>
      <c r="F8749">
        <v>0.01</v>
      </c>
    </row>
    <row r="8750" spans="1:6" x14ac:dyDescent="0.3">
      <c r="A8750" t="str">
        <f>HYPERLINK("https://us2.cloudbeds.com/connect/10074733072513#/reservations/31682017702036?display=MHCPWH8GU&amp;reservation_id=31682017702036", "MHCPWH8GU")</f>
        <v>MHCPWH8GU</v>
      </c>
      <c r="B8750" t="s">
        <v>1336</v>
      </c>
      <c r="C8750">
        <v>129</v>
      </c>
      <c r="D8750">
        <v>140.22999999999999</v>
      </c>
      <c r="E8750">
        <v>140.22</v>
      </c>
      <c r="F8750">
        <v>0.01</v>
      </c>
    </row>
    <row r="8751" spans="1:6" x14ac:dyDescent="0.3">
      <c r="A8751" t="str">
        <f>HYPERLINK("https://us2.cloudbeds.com/connect/10074733072513#/reservations/31686732206236?display=MHGEEU9FX&amp;reservation_id=31686732206236", "MHGEEU9FX")</f>
        <v>MHGEEU9FX</v>
      </c>
      <c r="B8751" t="s">
        <v>1334</v>
      </c>
      <c r="C8751">
        <v>225</v>
      </c>
      <c r="D8751">
        <v>244.59</v>
      </c>
      <c r="E8751">
        <v>244.58</v>
      </c>
      <c r="F8751">
        <v>0.01</v>
      </c>
    </row>
    <row r="8752" spans="1:6" x14ac:dyDescent="0.3">
      <c r="A8752" t="str">
        <f>HYPERLINK("https://us2.cloudbeds.com/connect/10074733072513#/reservations/31681688494223?display=MHCHXUXYJ&amp;reservation_id=31681688494223", "MHCHXUXYJ")</f>
        <v>MHCHXUXYJ</v>
      </c>
      <c r="B8752" t="s">
        <v>1293</v>
      </c>
      <c r="C8752">
        <v>129</v>
      </c>
      <c r="D8752">
        <v>140.22999999999999</v>
      </c>
      <c r="E8752">
        <v>140.22</v>
      </c>
      <c r="F8752">
        <v>0.01</v>
      </c>
    </row>
    <row r="8753" spans="1:6" x14ac:dyDescent="0.3">
      <c r="A8753" t="str">
        <f>HYPERLINK("https://us2.cloudbeds.com/connect/10074733072513#/reservations/31687356129528?display=MHGUD0SPW&amp;reservation_id=31687356129528", "MHGUD0SPW")</f>
        <v>MHGUD0SPW</v>
      </c>
      <c r="B8753" t="s">
        <v>1288</v>
      </c>
      <c r="C8753">
        <v>129</v>
      </c>
      <c r="D8753">
        <v>140.22999999999999</v>
      </c>
      <c r="E8753">
        <v>140.22</v>
      </c>
      <c r="F8753">
        <v>0.01</v>
      </c>
    </row>
    <row r="8754" spans="1:6" x14ac:dyDescent="0.3">
      <c r="A8754" t="str">
        <f>HYPERLINK("https://us2.cloudbeds.com/connect/10074733072513#/reservations/31682197491913?display=MHCUJ45R0&amp;reservation_id=31682197491913", "MHCUJ45R0")</f>
        <v>MHCUJ45R0</v>
      </c>
      <c r="B8754" t="s">
        <v>1339</v>
      </c>
      <c r="C8754">
        <v>139</v>
      </c>
      <c r="D8754">
        <v>151.1</v>
      </c>
      <c r="E8754">
        <v>151.09</v>
      </c>
      <c r="F8754">
        <v>0.01</v>
      </c>
    </row>
    <row r="8755" spans="1:6" x14ac:dyDescent="0.3">
      <c r="A8755" t="str">
        <f>HYPERLINK("https://us2.cloudbeds.com/connect/10074733072513#/reservations/31681675206798?display=MHCH7NR5B&amp;reservation_id=31681675206798", "MHCH7NR5B")</f>
        <v>MHCH7NR5B</v>
      </c>
      <c r="B8755" t="s">
        <v>1339</v>
      </c>
      <c r="C8755">
        <v>129</v>
      </c>
      <c r="D8755">
        <v>140.22999999999999</v>
      </c>
      <c r="E8755">
        <v>140.22</v>
      </c>
      <c r="F8755">
        <v>0.01</v>
      </c>
    </row>
    <row r="8756" spans="1:6" x14ac:dyDescent="0.3">
      <c r="A8756" t="str">
        <f>HYPERLINK("https://us2.cloudbeds.com/connect/10074733072513#/reservations/31682182815960?display=MHCU6ZQ95&amp;reservation_id=31682182815960", "MHCU6ZQ95")</f>
        <v>MHCU6ZQ95</v>
      </c>
      <c r="B8756" t="s">
        <v>1339</v>
      </c>
      <c r="C8756">
        <v>139</v>
      </c>
      <c r="D8756">
        <v>151.1</v>
      </c>
      <c r="E8756">
        <v>151.09</v>
      </c>
      <c r="F8756">
        <v>0.01</v>
      </c>
    </row>
    <row r="8757" spans="1:6" x14ac:dyDescent="0.3">
      <c r="A8757" t="str">
        <f>HYPERLINK("https://us2.cloudbeds.com/connect/10074733072513#/reservations/31683518947500?display=MHDVBDKYN&amp;reservation_id=31683518947500", "MHDVBDKYN")</f>
        <v>MHDVBDKYN</v>
      </c>
      <c r="B8757" t="s">
        <v>1227</v>
      </c>
      <c r="C8757">
        <v>278</v>
      </c>
      <c r="D8757">
        <v>302.2</v>
      </c>
      <c r="E8757">
        <v>302.19</v>
      </c>
      <c r="F8757">
        <v>0.01</v>
      </c>
    </row>
    <row r="8758" spans="1:6" x14ac:dyDescent="0.3">
      <c r="A8758" t="str">
        <f>HYPERLINK("https://us2.cloudbeds.com/connect/10074733072513#/reservations/31685958836400?display=MHFRMQ4AW&amp;reservation_id=31685958836400", "MHFRMQ4AW")</f>
        <v>MHFRMQ4AW</v>
      </c>
      <c r="B8758" t="s">
        <v>1250</v>
      </c>
      <c r="C8758">
        <v>119</v>
      </c>
      <c r="D8758">
        <v>129.36000000000001</v>
      </c>
      <c r="E8758">
        <v>129.35</v>
      </c>
      <c r="F8758">
        <v>0.01</v>
      </c>
    </row>
    <row r="8759" spans="1:6" x14ac:dyDescent="0.3">
      <c r="A8759" t="str">
        <f>HYPERLINK("https://us2.cloudbeds.com/connect/10074733072513#/reservations/31681617289355?display=MHCFZT63A&amp;reservation_id=31681617289355", "MHCFZT63A")</f>
        <v>MHCFZT63A</v>
      </c>
      <c r="B8759" t="s">
        <v>1339</v>
      </c>
      <c r="C8759">
        <v>89</v>
      </c>
      <c r="D8759">
        <v>96.75</v>
      </c>
      <c r="E8759">
        <v>96.74</v>
      </c>
      <c r="F8759">
        <v>0.01</v>
      </c>
    </row>
    <row r="8760" spans="1:6" x14ac:dyDescent="0.3">
      <c r="A8760" t="str">
        <f>HYPERLINK("https://us2.cloudbeds.com/connect/10074733072513#/reservations/31681665888478?display=MHCGWSHD0&amp;reservation_id=31681665888478", "MHCGWSHD0")</f>
        <v>MHCGWSHD0</v>
      </c>
      <c r="B8760" t="s">
        <v>1339</v>
      </c>
      <c r="C8760">
        <v>79</v>
      </c>
      <c r="D8760">
        <v>85.88</v>
      </c>
      <c r="E8760">
        <v>85.87</v>
      </c>
      <c r="F8760">
        <v>0.01</v>
      </c>
    </row>
    <row r="8761" spans="1:6" x14ac:dyDescent="0.3">
      <c r="A8761" t="str">
        <f>HYPERLINK("https://us2.cloudbeds.com/connect/10074733072513#/reservations/31684503257240?display=MHENGDGBJ&amp;reservation_id=31684503257240", "MHENGDGBJ")</f>
        <v>MHENGDGBJ</v>
      </c>
      <c r="B8761" t="s">
        <v>1334</v>
      </c>
      <c r="C8761">
        <v>225</v>
      </c>
      <c r="D8761">
        <v>244.59</v>
      </c>
      <c r="E8761">
        <v>244.58</v>
      </c>
      <c r="F8761">
        <v>0.01</v>
      </c>
    </row>
    <row r="8762" spans="1:6" x14ac:dyDescent="0.3">
      <c r="A8762" t="str">
        <f>HYPERLINK("https://us2.cloudbeds.com/connect/10074733072513#/reservations/31686522421452?display=MHG930NKT&amp;reservation_id=31686522421452", "MHG930NKT")</f>
        <v>MHG930NKT</v>
      </c>
      <c r="B8762" t="s">
        <v>1342</v>
      </c>
      <c r="C8762">
        <v>195.48</v>
      </c>
      <c r="D8762">
        <v>212.5</v>
      </c>
      <c r="E8762">
        <v>212.49</v>
      </c>
      <c r="F8762">
        <v>0.01</v>
      </c>
    </row>
    <row r="8763" spans="1:6" x14ac:dyDescent="0.3">
      <c r="A8763" t="str">
        <f>HYPERLINK("https://us2.cloudbeds.com/connect/10074733072513#/reservations/31684512624891?display=MHENZA5DQ&amp;reservation_id=31684512624891", "MHENZA5DQ")</f>
        <v>MHENZA5DQ</v>
      </c>
      <c r="B8763" t="s">
        <v>1321</v>
      </c>
      <c r="C8763">
        <v>411.3</v>
      </c>
      <c r="D8763">
        <v>447.09</v>
      </c>
      <c r="E8763">
        <v>447.08</v>
      </c>
      <c r="F8763">
        <v>0.01</v>
      </c>
    </row>
    <row r="8764" spans="1:6" x14ac:dyDescent="0.3">
      <c r="A8764" t="str">
        <f>HYPERLINK("https://us2.cloudbeds.com/connect/10074733072513#/reservations/31686672564465?display=MHGCUKM05&amp;reservation_id=31686672564465", "MHGCUKM05")</f>
        <v>MHGCUKM05</v>
      </c>
      <c r="B8764" t="s">
        <v>1227</v>
      </c>
      <c r="C8764">
        <v>129</v>
      </c>
      <c r="D8764">
        <v>140.22999999999999</v>
      </c>
      <c r="E8764">
        <v>140.22</v>
      </c>
      <c r="F8764">
        <v>0.01</v>
      </c>
    </row>
    <row r="8765" spans="1:6" x14ac:dyDescent="0.3">
      <c r="A8765" t="str">
        <f>HYPERLINK("https://us2.cloudbeds.com/connect/10074733072513#/reservations/31682197496010?display=MHCUJ49J5&amp;reservation_id=31682197496010", "MHCUJ49J5")</f>
        <v>MHCUJ49J5</v>
      </c>
      <c r="B8765" t="s">
        <v>1227</v>
      </c>
      <c r="C8765">
        <v>119</v>
      </c>
      <c r="D8765">
        <v>129.36000000000001</v>
      </c>
      <c r="E8765">
        <v>129.35</v>
      </c>
      <c r="F8765">
        <v>0.01</v>
      </c>
    </row>
    <row r="8766" spans="1:6" x14ac:dyDescent="0.3">
      <c r="A8766" t="str">
        <f>HYPERLINK("https://us2.cloudbeds.com/connect/10074733072513#/reservations/31682991808716?display=MHDHSU704&amp;reservation_id=31682991808716", "MHDHSU704")</f>
        <v>MHDHSU704</v>
      </c>
      <c r="B8766" t="s">
        <v>1321</v>
      </c>
      <c r="C8766">
        <v>199</v>
      </c>
      <c r="D8766">
        <v>216.32</v>
      </c>
      <c r="E8766">
        <v>216.31</v>
      </c>
      <c r="F8766">
        <v>0.01</v>
      </c>
    </row>
    <row r="8767" spans="1:6" x14ac:dyDescent="0.3">
      <c r="A8767" t="str">
        <f>HYPERLINK("https://us2.cloudbeds.com/connect/10074733072513#/reservations/31684462358661?display=MHEMEUE8N&amp;reservation_id=31684462358661", "MHEMEUE8N")</f>
        <v>MHEMEUE8N</v>
      </c>
      <c r="B8767" t="s">
        <v>1334</v>
      </c>
      <c r="C8767">
        <v>258</v>
      </c>
      <c r="D8767">
        <v>280.45999999999998</v>
      </c>
      <c r="E8767">
        <v>280.45</v>
      </c>
      <c r="F8767">
        <v>0.01</v>
      </c>
    </row>
    <row r="8768" spans="1:6" x14ac:dyDescent="0.3">
      <c r="A8768" t="str">
        <f>HYPERLINK("https://us2.cloudbeds.com/connect/10074733072513#/reservations/31681652465911?display=MHCGYX0QX&amp;reservation_id=31681652465911", "MHCGYX0QX")</f>
        <v>MHCGYX0QX</v>
      </c>
      <c r="B8768" t="s">
        <v>1339</v>
      </c>
      <c r="C8768">
        <v>129</v>
      </c>
      <c r="D8768">
        <v>140.22999999999999</v>
      </c>
      <c r="E8768">
        <v>140.22</v>
      </c>
      <c r="F8768">
        <v>0.01</v>
      </c>
    </row>
    <row r="8769" spans="1:6" x14ac:dyDescent="0.3">
      <c r="A8769" t="str">
        <f>HYPERLINK("https://us2.cloudbeds.com/connect/10074733072513#/reservations/31687285440641?display=MHGSJDS1G&amp;reservation_id=31687285440641", "MHGSJDS1G")</f>
        <v>MHGSJDS1G</v>
      </c>
      <c r="B8769" t="s">
        <v>1334</v>
      </c>
      <c r="C8769">
        <v>149</v>
      </c>
      <c r="D8769">
        <v>161.97</v>
      </c>
      <c r="E8769">
        <v>161.96</v>
      </c>
      <c r="F8769">
        <v>0.01</v>
      </c>
    </row>
    <row r="8770" spans="1:6" x14ac:dyDescent="0.3">
      <c r="A8770" t="str">
        <f>HYPERLINK("https://us2.cloudbeds.com/connect/10074733072513#/reservations/31687247265932?display=MHGRK7J74&amp;reservation_id=31687247265932", "MHGRK7J74")</f>
        <v>MHGRK7J74</v>
      </c>
      <c r="B8770" t="s">
        <v>1334</v>
      </c>
      <c r="C8770">
        <v>139</v>
      </c>
      <c r="D8770">
        <v>151.1</v>
      </c>
      <c r="E8770">
        <v>151.09</v>
      </c>
      <c r="F8770">
        <v>0.01</v>
      </c>
    </row>
    <row r="8771" spans="1:6" x14ac:dyDescent="0.3">
      <c r="A8771" t="str">
        <f>HYPERLINK("https://us2.cloudbeds.com/connect/10074733072513#/reservations/31686682034310?display=MHGD5K5U5&amp;reservation_id=31686682034310", "MHGD5K5U5")</f>
        <v>MHGD5K5U5</v>
      </c>
      <c r="B8771" t="s">
        <v>1227</v>
      </c>
      <c r="C8771">
        <v>97.74</v>
      </c>
      <c r="D8771">
        <v>106.25</v>
      </c>
      <c r="E8771">
        <v>106.24</v>
      </c>
      <c r="F8771">
        <v>0.01</v>
      </c>
    </row>
    <row r="8772" spans="1:6" x14ac:dyDescent="0.3">
      <c r="A8772" t="str">
        <f>HYPERLINK("https://us2.cloudbeds.com/connect/10074733072513#/reservations/31687291547795?display=MHGSZXQ2P&amp;reservation_id=31687291547795", "MHGSZXQ2P")</f>
        <v>MHGSZXQ2P</v>
      </c>
      <c r="B8772" t="s">
        <v>1334</v>
      </c>
      <c r="C8772">
        <v>149</v>
      </c>
      <c r="D8772">
        <v>161.97</v>
      </c>
      <c r="E8772">
        <v>161.96</v>
      </c>
      <c r="F8772">
        <v>0.01</v>
      </c>
    </row>
    <row r="8773" spans="1:6" x14ac:dyDescent="0.3">
      <c r="A8773" t="str">
        <f>HYPERLINK("https://us2.cloudbeds.com/connect/10074733072513#/reservations/31684325843154?display=MHEXVQMM5&amp;reservation_id=31684325843154", "MHEXVQMM5")</f>
        <v>MHEXVQMM5</v>
      </c>
      <c r="B8773" t="s">
        <v>1168</v>
      </c>
      <c r="C8773">
        <v>169</v>
      </c>
      <c r="D8773">
        <v>183.71</v>
      </c>
      <c r="E8773">
        <v>183.7</v>
      </c>
      <c r="F8773">
        <v>0.01</v>
      </c>
    </row>
    <row r="8774" spans="1:6" x14ac:dyDescent="0.3">
      <c r="A8774" t="str">
        <f>HYPERLINK("https://us2.cloudbeds.com/connect/10074733072513#/reservations/31682013622524?display=MHCPT2ZDB&amp;reservation_id=31682013622524", "MHCPT2ZDB")</f>
        <v>MHCPT2ZDB</v>
      </c>
      <c r="B8774" t="s">
        <v>1227</v>
      </c>
      <c r="C8774">
        <v>129</v>
      </c>
      <c r="D8774">
        <v>140.22999999999999</v>
      </c>
      <c r="E8774">
        <v>140.22</v>
      </c>
      <c r="F8774">
        <v>0.01</v>
      </c>
    </row>
    <row r="8775" spans="1:6" x14ac:dyDescent="0.3">
      <c r="A8775" t="str">
        <f>HYPERLINK("https://us2.cloudbeds.com/connect/10074733072513#/reservations/31682072182944?display=MHCRCF8TH&amp;reservation_id=31682072182944", "MHCRCF8TH")</f>
        <v>MHCRCF8TH</v>
      </c>
      <c r="B8775" t="s">
        <v>1227</v>
      </c>
      <c r="C8775">
        <v>139</v>
      </c>
      <c r="D8775">
        <v>151.1</v>
      </c>
      <c r="E8775">
        <v>151.09</v>
      </c>
      <c r="F8775">
        <v>0.01</v>
      </c>
    </row>
    <row r="8776" spans="1:6" x14ac:dyDescent="0.3">
      <c r="A8776" t="str">
        <f>HYPERLINK("https://us2.cloudbeds.com/connect/10074733072513#/reservations/31687270432915?display=MHGS6P7RU&amp;reservation_id=31687270432915", "MHGS6P7RU")</f>
        <v>MHGS6P7RU</v>
      </c>
      <c r="B8776" t="s">
        <v>1334</v>
      </c>
      <c r="C8776">
        <v>149</v>
      </c>
      <c r="D8776">
        <v>161.97</v>
      </c>
      <c r="E8776">
        <v>161.96</v>
      </c>
      <c r="F8776">
        <v>0.01</v>
      </c>
    </row>
    <row r="8777" spans="1:6" x14ac:dyDescent="0.3">
      <c r="A8777" t="str">
        <f>HYPERLINK("https://us2.cloudbeds.com/connect/10074733072513#/reservations/31685307658370?display=MHFB1N4ND&amp;reservation_id=31685307658370", "MHFB1N4ND")</f>
        <v>MHFB1N4ND</v>
      </c>
      <c r="B8777" t="s">
        <v>1242</v>
      </c>
      <c r="C8777">
        <v>258</v>
      </c>
      <c r="D8777">
        <v>280.45999999999998</v>
      </c>
      <c r="E8777">
        <v>280.45</v>
      </c>
      <c r="F8777">
        <v>0.01</v>
      </c>
    </row>
    <row r="8778" spans="1:6" x14ac:dyDescent="0.3">
      <c r="A8778" t="str">
        <f>HYPERLINK("https://us2.cloudbeds.com/connect/10074733072513#/reservations/31687303569662?display=MHGT1NAEP&amp;reservation_id=31687303569662", "MHGT1NAEP")</f>
        <v>MHGT1NAEP</v>
      </c>
      <c r="B8778" t="s">
        <v>1334</v>
      </c>
      <c r="C8778">
        <v>110.86</v>
      </c>
      <c r="D8778">
        <v>120.51</v>
      </c>
      <c r="E8778">
        <v>120.5</v>
      </c>
      <c r="F8778">
        <v>0.01</v>
      </c>
    </row>
    <row r="8779" spans="1:6" x14ac:dyDescent="0.3">
      <c r="A8779" t="str">
        <f>HYPERLINK("https://us2.cloudbeds.com/connect/10074733072513#/reservations/31683501645989?display=MHDUTR64G&amp;reservation_id=31683501645989", "MHDUTR64G")</f>
        <v>MHDUTR64G</v>
      </c>
      <c r="B8779" t="s">
        <v>1227</v>
      </c>
      <c r="C8779">
        <v>129</v>
      </c>
      <c r="D8779">
        <v>140.22999999999999</v>
      </c>
      <c r="E8779">
        <v>140.22</v>
      </c>
      <c r="F8779">
        <v>0.01</v>
      </c>
    </row>
    <row r="8780" spans="1:6" x14ac:dyDescent="0.3">
      <c r="A8780" t="str">
        <f>HYPERLINK("https://us2.cloudbeds.com/connect/10074733072513#/reservations/31683470176413?display=MHDU39GEW&amp;reservation_id=31683470176413", "MHDU39GEW")</f>
        <v>MHDU39GEW</v>
      </c>
      <c r="B8780" t="s">
        <v>1227</v>
      </c>
      <c r="C8780">
        <v>129</v>
      </c>
      <c r="D8780">
        <v>140.22999999999999</v>
      </c>
      <c r="E8780">
        <v>140.22</v>
      </c>
      <c r="F8780">
        <v>0.01</v>
      </c>
    </row>
    <row r="8781" spans="1:6" x14ac:dyDescent="0.3">
      <c r="A8781" t="str">
        <f>HYPERLINK("https://us2.cloudbeds.com/connect/10074733072513#/reservations/31687254155498?display=MHGRQ19NS&amp;reservation_id=31687254155498", "MHGRQ19NS")</f>
        <v>MHGRQ19NS</v>
      </c>
      <c r="B8781" t="s">
        <v>1334</v>
      </c>
      <c r="C8781">
        <v>73</v>
      </c>
      <c r="D8781">
        <v>79.36</v>
      </c>
      <c r="E8781">
        <v>79.349999999999994</v>
      </c>
      <c r="F8781">
        <v>0.01</v>
      </c>
    </row>
    <row r="8782" spans="1:6" x14ac:dyDescent="0.3">
      <c r="A8782" t="str">
        <f>HYPERLINK("https://us2.cloudbeds.com/connect/10074733072513#/reservations/31683000598691?display=MHDX3AQK1&amp;reservation_id=31683000598691", "MHDX3AQK1")</f>
        <v>MHDX3AQK1</v>
      </c>
      <c r="B8782" t="s">
        <v>1321</v>
      </c>
      <c r="C8782">
        <v>199</v>
      </c>
      <c r="D8782">
        <v>216.32</v>
      </c>
      <c r="E8782">
        <v>216.31</v>
      </c>
      <c r="F8782">
        <v>0.01</v>
      </c>
    </row>
    <row r="8783" spans="1:6" x14ac:dyDescent="0.3">
      <c r="A8783" t="str">
        <f>HYPERLINK("https://us2.cloudbeds.com/connect/10074733072513#/reservations/31682973602012?display=MHDHDXJ8S&amp;reservation_id=31682973602012", "MHDHDXJ8S")</f>
        <v>MHDHDXJ8S</v>
      </c>
      <c r="B8783" t="s">
        <v>1321</v>
      </c>
      <c r="C8783">
        <v>73</v>
      </c>
      <c r="D8783">
        <v>79.36</v>
      </c>
      <c r="E8783">
        <v>79.349999999999994</v>
      </c>
      <c r="F8783">
        <v>0.01</v>
      </c>
    </row>
    <row r="8784" spans="1:6" x14ac:dyDescent="0.3">
      <c r="A8784" t="str">
        <f>HYPERLINK("https://us2.cloudbeds.com/connect/10074733072513#/reservations/31686723223689?display=MHGE7BB15&amp;reservation_id=31686723223689", "MHGE7BB15")</f>
        <v>MHGE7BB15</v>
      </c>
      <c r="B8784" t="s">
        <v>1334</v>
      </c>
      <c r="C8784">
        <v>129</v>
      </c>
      <c r="D8784">
        <v>140.22999999999999</v>
      </c>
      <c r="E8784">
        <v>140.22</v>
      </c>
      <c r="F8784">
        <v>0.01</v>
      </c>
    </row>
    <row r="8785" spans="1:6" x14ac:dyDescent="0.3">
      <c r="A8785" t="str">
        <f>HYPERLINK("https://us2.cloudbeds.com/connect/10074733072513#/reservations/31681836499107?display=MHCYBZ0Y2&amp;reservation_id=31681836499107", "MHCYBZ0Y2")</f>
        <v>MHCYBZ0Y2</v>
      </c>
      <c r="B8785" t="s">
        <v>974</v>
      </c>
      <c r="C8785">
        <v>119</v>
      </c>
      <c r="D8785">
        <v>129.36000000000001</v>
      </c>
      <c r="E8785">
        <v>129.35</v>
      </c>
      <c r="F8785">
        <v>0.01</v>
      </c>
    </row>
    <row r="8786" spans="1:6" x14ac:dyDescent="0.3">
      <c r="A8786" t="str">
        <f>HYPERLINK("https://us2.cloudbeds.com/connect/10074733072513#/reservations/31681858674907?display=MHCYUE330&amp;reservation_id=31681858674907", "MHCYUE330")</f>
        <v>MHCYUE330</v>
      </c>
      <c r="B8786" t="s">
        <v>1288</v>
      </c>
      <c r="C8786">
        <v>252</v>
      </c>
      <c r="D8786">
        <v>273.93</v>
      </c>
      <c r="E8786">
        <v>273.92</v>
      </c>
      <c r="F8786">
        <v>0.01</v>
      </c>
    </row>
    <row r="8787" spans="1:6" x14ac:dyDescent="0.3">
      <c r="A8787" t="str">
        <f>HYPERLINK("https://us2.cloudbeds.com/connect/10074733072513#/reservations/31682965217415?display=MHDH6G8U5&amp;reservation_id=31682965217415", "MHDH6G8U5")</f>
        <v>MHDH6G8U5</v>
      </c>
      <c r="B8787" t="s">
        <v>1321</v>
      </c>
      <c r="C8787">
        <v>209</v>
      </c>
      <c r="D8787">
        <v>227.19</v>
      </c>
      <c r="E8787">
        <v>227.18</v>
      </c>
      <c r="F8787">
        <v>0.01</v>
      </c>
    </row>
    <row r="8788" spans="1:6" x14ac:dyDescent="0.3">
      <c r="A8788" t="str">
        <f>HYPERLINK("https://us2.cloudbeds.com/connect/10074733072513#/reservations/31683036725453?display=MHDJ0Q2SD&amp;reservation_id=31683036725453", "MHDJ0Q2SD")</f>
        <v>MHDJ0Q2SD</v>
      </c>
      <c r="B8788" t="s">
        <v>1321</v>
      </c>
      <c r="C8788">
        <v>199</v>
      </c>
      <c r="D8788">
        <v>216.32</v>
      </c>
      <c r="E8788">
        <v>216.31</v>
      </c>
      <c r="F8788">
        <v>0.01</v>
      </c>
    </row>
    <row r="8789" spans="1:6" x14ac:dyDescent="0.3">
      <c r="A8789" t="str">
        <f>HYPERLINK("https://us2.cloudbeds.com/connect/10074733072513#/reservations/31733981741274?display=MXK0PW88X&amp;reservation_id=31733981741274", "MXK0PW88X")</f>
        <v>MXK0PW88X</v>
      </c>
      <c r="B8789" t="s">
        <v>1344</v>
      </c>
      <c r="C8789">
        <v>169</v>
      </c>
      <c r="D8789">
        <v>183.71</v>
      </c>
      <c r="E8789">
        <v>183.7</v>
      </c>
      <c r="F8789">
        <v>0.01</v>
      </c>
    </row>
    <row r="8790" spans="1:6" x14ac:dyDescent="0.3">
      <c r="A8790" t="str">
        <f>HYPERLINK("https://us2.cloudbeds.com/connect/10074733072513#/reservations/31692059050128?display=MHKXXYXRE&amp;reservation_id=31692059050128", "MHKXXYXRE")</f>
        <v>MHKXXYXRE</v>
      </c>
      <c r="B8790" t="s">
        <v>1345</v>
      </c>
      <c r="C8790">
        <v>169</v>
      </c>
      <c r="D8790">
        <v>183.71</v>
      </c>
      <c r="E8790">
        <v>183.7</v>
      </c>
      <c r="F8790">
        <v>0.01</v>
      </c>
    </row>
    <row r="8791" spans="1:6" x14ac:dyDescent="0.3">
      <c r="A8791" t="str">
        <f>HYPERLINK("https://us2.cloudbeds.com/connect/10074733072513#/reservations/31692059046029?display=MHKXXYF27&amp;reservation_id=31692059046029", "MHKXXYF27")</f>
        <v>MHKXXYF27</v>
      </c>
      <c r="B8791" t="s">
        <v>1345</v>
      </c>
      <c r="C8791">
        <v>298</v>
      </c>
      <c r="D8791">
        <v>323.94</v>
      </c>
      <c r="E8791">
        <v>323.93</v>
      </c>
      <c r="F8791">
        <v>0.01</v>
      </c>
    </row>
    <row r="8792" spans="1:6" x14ac:dyDescent="0.3">
      <c r="A8792" t="str">
        <f>HYPERLINK("https://us2.cloudbeds.com/connect/10074733072513#/reservations/31692031586559?display=MHKHSGBP2&amp;reservation_id=31692031586559", "MHKHSGBP2")</f>
        <v>MHKHSGBP2</v>
      </c>
      <c r="B8792" t="s">
        <v>1345</v>
      </c>
      <c r="C8792">
        <v>169</v>
      </c>
      <c r="D8792">
        <v>183.71</v>
      </c>
      <c r="E8792">
        <v>183.7</v>
      </c>
      <c r="F8792">
        <v>0.01</v>
      </c>
    </row>
    <row r="8793" spans="1:6" x14ac:dyDescent="0.3">
      <c r="A8793" t="str">
        <f>HYPERLINK("https://us2.cloudbeds.com/connect/10074733072513#/reservations/31686024184057?display=MHFTBTHC0&amp;reservation_id=31686024184057", "MHFTBTHC0")</f>
        <v>MHFTBTHC0</v>
      </c>
      <c r="B8793" t="s">
        <v>1337</v>
      </c>
      <c r="C8793">
        <v>129</v>
      </c>
      <c r="D8793">
        <v>140.22999999999999</v>
      </c>
      <c r="E8793">
        <v>140.22</v>
      </c>
      <c r="F8793">
        <v>0.01</v>
      </c>
    </row>
    <row r="8794" spans="1:6" x14ac:dyDescent="0.3">
      <c r="A8794" t="str">
        <f>HYPERLINK("https://us2.cloudbeds.com/connect/10074733072513#/reservations/31682180882585?display=MHCU53WU1&amp;reservation_id=31682180882585", "MHCU53WU1")</f>
        <v>MHCU53WU1</v>
      </c>
      <c r="B8794" t="s">
        <v>1288</v>
      </c>
      <c r="C8794">
        <v>139</v>
      </c>
      <c r="D8794">
        <v>151.1</v>
      </c>
      <c r="E8794">
        <v>151.09</v>
      </c>
      <c r="F8794">
        <v>0.01</v>
      </c>
    </row>
    <row r="8795" spans="1:6" x14ac:dyDescent="0.3">
      <c r="A8795" t="str">
        <f>HYPERLINK("https://us2.cloudbeds.com/connect/10074733072513#/reservations/31692088045762?display=MHKJA3DP0&amp;reservation_id=31692088045762", "MHKJA3DP0")</f>
        <v>MHKJA3DP0</v>
      </c>
      <c r="B8795" t="s">
        <v>1345</v>
      </c>
      <c r="C8795">
        <v>169</v>
      </c>
      <c r="D8795">
        <v>183.71</v>
      </c>
      <c r="E8795">
        <v>183.7</v>
      </c>
      <c r="F8795">
        <v>0.01</v>
      </c>
    </row>
    <row r="8796" spans="1:6" x14ac:dyDescent="0.3">
      <c r="A8796" t="str">
        <f>HYPERLINK("https://us2.cloudbeds.com/connect/10074733072513#/reservations/31687416537282?display=MHGVUVQKW&amp;reservation_id=31687416537282", "MHGVUVQKW")</f>
        <v>MHGVUVQKW</v>
      </c>
      <c r="B8796" t="s">
        <v>1262</v>
      </c>
      <c r="C8796">
        <v>73</v>
      </c>
      <c r="D8796">
        <v>79.36</v>
      </c>
      <c r="E8796">
        <v>79.349999999999994</v>
      </c>
      <c r="F8796">
        <v>0.01</v>
      </c>
    </row>
    <row r="8797" spans="1:6" x14ac:dyDescent="0.3">
      <c r="A8797" t="str">
        <f>HYPERLINK("https://us2.cloudbeds.com/connect/10074733072513#/reservations/31685447991451?display=MHFEY13T0&amp;reservation_id=31685447991451", "MHFEY13T0")</f>
        <v>MHFEY13T0</v>
      </c>
      <c r="B8797" t="s">
        <v>1262</v>
      </c>
      <c r="C8797">
        <v>129</v>
      </c>
      <c r="D8797">
        <v>140.22999999999999</v>
      </c>
      <c r="E8797">
        <v>140.22</v>
      </c>
      <c r="F8797">
        <v>0.01</v>
      </c>
    </row>
    <row r="8798" spans="1:6" x14ac:dyDescent="0.3">
      <c r="A8798" t="str">
        <f>HYPERLINK("https://us2.cloudbeds.com/connect/10074733072513#/reservations/31682260066440?display=MHCW5TDBQ&amp;reservation_id=31682260066440", "MHCW5TDBQ")</f>
        <v>MHCW5TDBQ</v>
      </c>
      <c r="B8798" t="s">
        <v>1288</v>
      </c>
      <c r="C8798">
        <v>129</v>
      </c>
      <c r="D8798">
        <v>140.22999999999999</v>
      </c>
      <c r="E8798">
        <v>140.22</v>
      </c>
      <c r="F8798">
        <v>0.01</v>
      </c>
    </row>
    <row r="8799" spans="1:6" x14ac:dyDescent="0.3">
      <c r="A8799" t="str">
        <f>HYPERLINK("https://us2.cloudbeds.com/connect/10074733072513#/reservations/31685480476897?display=MHFFFE2DF&amp;reservation_id=31685480476897", "MHFFFE2DF")</f>
        <v>MHFFFE2DF</v>
      </c>
      <c r="B8799" t="s">
        <v>1262</v>
      </c>
      <c r="C8799">
        <v>73</v>
      </c>
      <c r="D8799">
        <v>79.36</v>
      </c>
      <c r="E8799">
        <v>79.349999999999994</v>
      </c>
      <c r="F8799">
        <v>0.01</v>
      </c>
    </row>
    <row r="8800" spans="1:6" x14ac:dyDescent="0.3">
      <c r="A8800" t="str">
        <f>HYPERLINK("https://us2.cloudbeds.com/connect/10074733072513#/reservations/31683955667129?display=MHE9GYWPS&amp;reservation_id=31683955667129", "MHE9GYWPS")</f>
        <v>MHE9GYWPS</v>
      </c>
      <c r="B8800" t="s">
        <v>1337</v>
      </c>
      <c r="C8800">
        <v>150</v>
      </c>
      <c r="D8800">
        <v>163.06</v>
      </c>
      <c r="E8800">
        <v>163.05000000000001</v>
      </c>
      <c r="F8800">
        <v>0.01</v>
      </c>
    </row>
    <row r="8801" spans="1:6" x14ac:dyDescent="0.3">
      <c r="A8801" t="str">
        <f>HYPERLINK("https://us2.cloudbeds.com/connect/10074733072513#/reservations/31683978035441?display=MHEA2HE0G&amp;reservation_id=31683978035441", "MHEA2HE0G")</f>
        <v>MHEA2HE0G</v>
      </c>
      <c r="B8801" t="s">
        <v>1335</v>
      </c>
      <c r="C8801">
        <v>129</v>
      </c>
      <c r="D8801">
        <v>140.22999999999999</v>
      </c>
      <c r="E8801">
        <v>140.22</v>
      </c>
      <c r="F8801">
        <v>0.01</v>
      </c>
    </row>
    <row r="8802" spans="1:6" x14ac:dyDescent="0.3">
      <c r="A8802" t="str">
        <f>HYPERLINK("https://us2.cloudbeds.com/connect/10074733072513#/reservations/31683677208800?display=MHE2CSFRM&amp;reservation_id=31683677208800", "MHE2CSFRM")</f>
        <v>MHE2CSFRM</v>
      </c>
      <c r="B8802" t="s">
        <v>1335</v>
      </c>
      <c r="C8802">
        <v>129</v>
      </c>
      <c r="D8802">
        <v>140.22999999999999</v>
      </c>
      <c r="E8802">
        <v>140.22</v>
      </c>
      <c r="F8802">
        <v>0.01</v>
      </c>
    </row>
    <row r="8803" spans="1:6" x14ac:dyDescent="0.3">
      <c r="A8803" t="str">
        <f>HYPERLINK("https://us2.cloudbeds.com/connect/10074733072513#/reservations/31684404293802?display=MHEKVVMRH&amp;reservation_id=31684404293802", "MHEKVVMRH")</f>
        <v>MHEKVVMRH</v>
      </c>
      <c r="B8803" t="s">
        <v>1218</v>
      </c>
      <c r="C8803">
        <v>149</v>
      </c>
      <c r="D8803">
        <v>161.97</v>
      </c>
      <c r="E8803">
        <v>161.96</v>
      </c>
      <c r="F8803">
        <v>0.01</v>
      </c>
    </row>
    <row r="8804" spans="1:6" x14ac:dyDescent="0.3">
      <c r="A8804" t="str">
        <f>HYPERLINK("https://us2.cloudbeds.com/connect/10074733072513#/reservations/31683677204704?display=MHE2CSC2X&amp;reservation_id=31683677204704", "MHE2CSC2X")</f>
        <v>MHE2CSC2X</v>
      </c>
      <c r="B8804" t="s">
        <v>1335</v>
      </c>
      <c r="C8804">
        <v>129</v>
      </c>
      <c r="D8804">
        <v>140.22999999999999</v>
      </c>
      <c r="E8804">
        <v>140.22</v>
      </c>
      <c r="F8804">
        <v>0.01</v>
      </c>
    </row>
    <row r="8805" spans="1:6" x14ac:dyDescent="0.3">
      <c r="A8805" t="str">
        <f>HYPERLINK("https://us2.cloudbeds.com/connect/10074733072513#/reservations/31683665526922?display=MHE230DMC&amp;reservation_id=31683665526922", "MHE230DMC")</f>
        <v>MHE230DMC</v>
      </c>
      <c r="B8805" t="s">
        <v>1335</v>
      </c>
      <c r="C8805">
        <v>129</v>
      </c>
      <c r="D8805">
        <v>140.22999999999999</v>
      </c>
      <c r="E8805">
        <v>140.22</v>
      </c>
      <c r="F8805">
        <v>0.01</v>
      </c>
    </row>
    <row r="8806" spans="1:6" x14ac:dyDescent="0.3">
      <c r="A8806" t="str">
        <f>HYPERLINK("https://us2.cloudbeds.com/connect/10074733072513#/reservations/31682870452467?display=MHDEPJ9P2&amp;reservation_id=31682870452467", "MHDEPJ9P2")</f>
        <v>MHDEPJ9P2</v>
      </c>
      <c r="B8806" t="s">
        <v>1242</v>
      </c>
      <c r="C8806">
        <v>398</v>
      </c>
      <c r="D8806">
        <v>432.64</v>
      </c>
      <c r="E8806">
        <v>432.63</v>
      </c>
      <c r="F8806">
        <v>0.01</v>
      </c>
    </row>
    <row r="8807" spans="1:6" x14ac:dyDescent="0.3">
      <c r="A8807" t="str">
        <f>HYPERLINK("https://us2.cloudbeds.com/connect/10074733072513#/reservations/31687408238767?display=MHGVNVTAR&amp;reservation_id=31687408238767", "MHGVNVTAR")</f>
        <v>MHGVNVTAR</v>
      </c>
      <c r="B8807" t="s">
        <v>1262</v>
      </c>
      <c r="C8807">
        <v>97.74</v>
      </c>
      <c r="D8807">
        <v>106.25</v>
      </c>
      <c r="E8807">
        <v>106.24</v>
      </c>
      <c r="F8807">
        <v>0.01</v>
      </c>
    </row>
    <row r="8808" spans="1:6" x14ac:dyDescent="0.3">
      <c r="A8808" t="str">
        <f>HYPERLINK("https://us2.cloudbeds.com/connect/10074733072513#/reservations/31683224244365?display=MHDNQU2HM&amp;reservation_id=31683224244365", "MHDNQU2HM")</f>
        <v>MHDNQU2HM</v>
      </c>
      <c r="B8808" t="s">
        <v>1100</v>
      </c>
      <c r="C8808">
        <v>199</v>
      </c>
      <c r="D8808">
        <v>216.32</v>
      </c>
      <c r="E8808">
        <v>216.31</v>
      </c>
      <c r="F8808">
        <v>0.01</v>
      </c>
    </row>
    <row r="8809" spans="1:6" x14ac:dyDescent="0.3">
      <c r="A8809" t="str">
        <f>HYPERLINK("https://us2.cloudbeds.com/connect/10074733072513#/reservations/31695114875124?display=MHMUYDDCT&amp;reservation_id=31695114875124", "MHMUYDDCT")</f>
        <v>MHMUYDDCT</v>
      </c>
      <c r="B8809" t="s">
        <v>1327</v>
      </c>
      <c r="C8809">
        <v>278</v>
      </c>
      <c r="D8809">
        <v>302.2</v>
      </c>
      <c r="E8809">
        <v>302.19</v>
      </c>
      <c r="F8809">
        <v>0.01</v>
      </c>
    </row>
    <row r="8810" spans="1:6" x14ac:dyDescent="0.3">
      <c r="A8810" t="str">
        <f>HYPERLINK("https://us2.cloudbeds.com/connect/10074733072513#/reservations/31682269204704?display=MHCWDJMPT&amp;reservation_id=31682269204704", "MHCWDJMPT")</f>
        <v>MHCWDJMPT</v>
      </c>
      <c r="B8810" t="s">
        <v>1139</v>
      </c>
      <c r="C8810">
        <v>209</v>
      </c>
      <c r="D8810">
        <v>227.19</v>
      </c>
      <c r="E8810">
        <v>227.18</v>
      </c>
      <c r="F8810">
        <v>0.01</v>
      </c>
    </row>
    <row r="8811" spans="1:6" x14ac:dyDescent="0.3">
      <c r="A8811" t="str">
        <f>HYPERLINK("https://us2.cloudbeds.com/connect/10074733072513#/reservations/31683231355113?display=MHDNWTV4T&amp;reservation_id=31683231355113", "MHDNWTV4T")</f>
        <v>MHDNWTV4T</v>
      </c>
      <c r="B8811" t="s">
        <v>1100</v>
      </c>
      <c r="C8811">
        <v>293.72000000000003</v>
      </c>
      <c r="D8811">
        <v>319.27999999999997</v>
      </c>
      <c r="E8811">
        <v>319.27</v>
      </c>
      <c r="F8811">
        <v>0.01</v>
      </c>
    </row>
    <row r="8812" spans="1:6" x14ac:dyDescent="0.3">
      <c r="A8812" t="str">
        <f>HYPERLINK("https://us2.cloudbeds.com/connect/10074733072513#/reservations/31683635908756?display=MHE1B1836&amp;reservation_id=31683635908756", "MHE1B1836")</f>
        <v>MHE1B1836</v>
      </c>
      <c r="B8812" t="s">
        <v>1335</v>
      </c>
      <c r="C8812">
        <v>169</v>
      </c>
      <c r="D8812">
        <v>183.71</v>
      </c>
      <c r="E8812">
        <v>183.7</v>
      </c>
      <c r="F8812">
        <v>0.01</v>
      </c>
    </row>
    <row r="8813" spans="1:6" x14ac:dyDescent="0.3">
      <c r="A8813" t="str">
        <f>HYPERLINK("https://us2.cloudbeds.com/connect/10074733072513#/reservations/31683888124099?display=MHE7PNGQC&amp;reservation_id=31683888124099", "MHE7PNGQC")</f>
        <v>MHE7PNGQC</v>
      </c>
      <c r="B8813" t="s">
        <v>1335</v>
      </c>
      <c r="C8813">
        <v>159</v>
      </c>
      <c r="D8813">
        <v>172.84</v>
      </c>
      <c r="E8813">
        <v>172.83</v>
      </c>
      <c r="F8813">
        <v>0.01</v>
      </c>
    </row>
    <row r="8814" spans="1:6" x14ac:dyDescent="0.3">
      <c r="A8814" t="str">
        <f>HYPERLINK("https://us2.cloudbeds.com/connect/10074733072513#/reservations/31684124430499?display=MHEDQW2ZC&amp;reservation_id=31684124430499", "MHEDQW2ZC")</f>
        <v>MHEDQW2ZC</v>
      </c>
      <c r="B8814" t="s">
        <v>1139</v>
      </c>
      <c r="C8814">
        <v>278</v>
      </c>
      <c r="D8814">
        <v>302.2</v>
      </c>
      <c r="E8814">
        <v>302.19</v>
      </c>
      <c r="F8814">
        <v>0.01</v>
      </c>
    </row>
    <row r="8815" spans="1:6" x14ac:dyDescent="0.3">
      <c r="A8815" t="str">
        <f>HYPERLINK("https://us2.cloudbeds.com/connect/10074733072513#/reservations/31684144378092?display=MHEEAQ52T&amp;reservation_id=31684144378092", "MHEEAQ52T")</f>
        <v>MHEEAQ52T</v>
      </c>
      <c r="B8815" t="s">
        <v>1139</v>
      </c>
      <c r="C8815">
        <v>199</v>
      </c>
      <c r="D8815">
        <v>216.32</v>
      </c>
      <c r="E8815">
        <v>216.31</v>
      </c>
      <c r="F8815">
        <v>0.01</v>
      </c>
    </row>
    <row r="8816" spans="1:6" x14ac:dyDescent="0.3">
      <c r="A8816" t="str">
        <f>HYPERLINK("https://us2.cloudbeds.com/connect/10074733072513#/reservations/31685083287763?display=MHF5AGN33&amp;reservation_id=31685083287763", "MHF5AGN33")</f>
        <v>MHF5AGN33</v>
      </c>
      <c r="B8816" t="s">
        <v>1228</v>
      </c>
      <c r="C8816">
        <v>129</v>
      </c>
      <c r="D8816">
        <v>140.22999999999999</v>
      </c>
      <c r="E8816">
        <v>140.22</v>
      </c>
      <c r="F8816">
        <v>0.01</v>
      </c>
    </row>
    <row r="8817" spans="1:6" x14ac:dyDescent="0.3">
      <c r="A8817" t="str">
        <f>HYPERLINK("https://us2.cloudbeds.com/connect/10074733072513#/reservations/31686324650183?display=MHG418EG4&amp;reservation_id=31686324650183", "MHG418EG4")</f>
        <v>MHG418EG4</v>
      </c>
      <c r="B8817" t="s">
        <v>1228</v>
      </c>
      <c r="C8817">
        <v>129</v>
      </c>
      <c r="D8817">
        <v>140.22999999999999</v>
      </c>
      <c r="E8817">
        <v>140.22</v>
      </c>
      <c r="F8817">
        <v>0.01</v>
      </c>
    </row>
    <row r="8818" spans="1:6" x14ac:dyDescent="0.3">
      <c r="A8818" t="str">
        <f>HYPERLINK("https://us2.cloudbeds.com/connect/10074733072513#/reservations/31686342135946?display=MHG4G006Z&amp;reservation_id=31686342135946", "MHG4G006Z")</f>
        <v>MHG4G006Z</v>
      </c>
      <c r="B8818" t="s">
        <v>1228</v>
      </c>
      <c r="C8818">
        <v>129</v>
      </c>
      <c r="D8818">
        <v>140.22999999999999</v>
      </c>
      <c r="E8818">
        <v>140.22</v>
      </c>
      <c r="F8818">
        <v>0.01</v>
      </c>
    </row>
    <row r="8819" spans="1:6" x14ac:dyDescent="0.3">
      <c r="A8819" t="str">
        <f>HYPERLINK("https://us2.cloudbeds.com/connect/10074733072513#/reservations/31689466474686?display=MHXXAHB48&amp;reservation_id=31689466474686", "MHXXAHB48")</f>
        <v>MHXXAHB48</v>
      </c>
      <c r="B8819" t="s">
        <v>1228</v>
      </c>
      <c r="C8819">
        <v>129</v>
      </c>
      <c r="D8819">
        <v>140.22999999999999</v>
      </c>
      <c r="E8819">
        <v>140.22</v>
      </c>
      <c r="F8819">
        <v>0.01</v>
      </c>
    </row>
    <row r="8820" spans="1:6" x14ac:dyDescent="0.3">
      <c r="A8820" t="str">
        <f>HYPERLINK("https://us2.cloudbeds.com/connect/10074733072513#/reservations/31687060697285?display=MHGMRU14P&amp;reservation_id=31687060697285", "MHGMRU14P")</f>
        <v>MHGMRU14P</v>
      </c>
      <c r="B8820" t="s">
        <v>1318</v>
      </c>
      <c r="C8820">
        <v>129</v>
      </c>
      <c r="D8820">
        <v>140.22999999999999</v>
      </c>
      <c r="E8820">
        <v>140.22</v>
      </c>
      <c r="F8820">
        <v>0.01</v>
      </c>
    </row>
    <row r="8821" spans="1:6" x14ac:dyDescent="0.3">
      <c r="A8821" t="str">
        <f>HYPERLINK("https://us2.cloudbeds.com/connect/10074733072513#/reservations/31688261263573?display=MHHKH8XHC&amp;reservation_id=31688261263573", "MHHKH8XHC")</f>
        <v>MHHKH8XHC</v>
      </c>
      <c r="B8821" t="s">
        <v>1168</v>
      </c>
      <c r="C8821">
        <v>139</v>
      </c>
      <c r="D8821">
        <v>151.1</v>
      </c>
      <c r="E8821">
        <v>151.09</v>
      </c>
      <c r="F8821">
        <v>0.01</v>
      </c>
    </row>
    <row r="8822" spans="1:6" x14ac:dyDescent="0.3">
      <c r="A8822" t="str">
        <f>HYPERLINK("https://us2.cloudbeds.com/connect/10074733072513#/reservations/31686006141127?display=MHFSTMF0X&amp;reservation_id=31686006141127", "MHFSTMF0X")</f>
        <v>MHFSTMF0X</v>
      </c>
      <c r="B8822" t="s">
        <v>1337</v>
      </c>
      <c r="C8822">
        <v>169</v>
      </c>
      <c r="D8822">
        <v>183.71</v>
      </c>
      <c r="E8822">
        <v>183.7</v>
      </c>
      <c r="F8822">
        <v>0.01</v>
      </c>
    </row>
    <row r="8823" spans="1:6" x14ac:dyDescent="0.3">
      <c r="A8823" t="str">
        <f>HYPERLINK("https://us2.cloudbeds.com/connect/10074733072513#/reservations/31684464607465?display=MHEMGR099&amp;reservation_id=31684464607465", "MHEMGR099")</f>
        <v>MHEMGR099</v>
      </c>
      <c r="B8823" t="s">
        <v>1214</v>
      </c>
      <c r="C8823">
        <v>129</v>
      </c>
      <c r="D8823">
        <v>140.22999999999999</v>
      </c>
      <c r="E8823">
        <v>140.22</v>
      </c>
      <c r="F8823">
        <v>0.01</v>
      </c>
    </row>
    <row r="8824" spans="1:6" x14ac:dyDescent="0.3">
      <c r="A8824" t="str">
        <f>HYPERLINK("https://us2.cloudbeds.com/connect/10074733072513#/reservations/31684072227034?display=MHECFVEM6&amp;reservation_id=31684072227034", "MHECFVEM6")</f>
        <v>MHECFVEM6</v>
      </c>
      <c r="B8824" t="s">
        <v>1337</v>
      </c>
      <c r="C8824">
        <v>73</v>
      </c>
      <c r="D8824">
        <v>79.36</v>
      </c>
      <c r="E8824">
        <v>79.349999999999994</v>
      </c>
      <c r="F8824">
        <v>0.01</v>
      </c>
    </row>
    <row r="8825" spans="1:6" x14ac:dyDescent="0.3">
      <c r="A8825" t="str">
        <f>HYPERLINK("https://us2.cloudbeds.com/connect/10074733072513#/reservations/31687443476677?display=MHGWKMEC9&amp;reservation_id=31687443476677", "MHGWKMEC9")</f>
        <v>MHGWKMEC9</v>
      </c>
      <c r="B8825" t="s">
        <v>1337</v>
      </c>
      <c r="C8825">
        <v>139</v>
      </c>
      <c r="D8825">
        <v>151.1</v>
      </c>
      <c r="E8825">
        <v>151.09</v>
      </c>
      <c r="F8825">
        <v>0.01</v>
      </c>
    </row>
    <row r="8826" spans="1:6" x14ac:dyDescent="0.3">
      <c r="A8826" t="str">
        <f>HYPERLINK("https://us2.cloudbeds.com/connect/10074733072513#/reservations/31685594448019?display=MHFXCHG2R&amp;reservation_id=31685594448019", "MHFXCHG2R")</f>
        <v>MHFXCHG2R</v>
      </c>
      <c r="B8826" t="s">
        <v>1347</v>
      </c>
      <c r="C8826">
        <v>373.3</v>
      </c>
      <c r="D8826">
        <v>405.79</v>
      </c>
      <c r="E8826">
        <v>405.78</v>
      </c>
      <c r="F8826">
        <v>0.01</v>
      </c>
    </row>
    <row r="8827" spans="1:6" x14ac:dyDescent="0.3">
      <c r="A8827" t="str">
        <f>HYPERLINK("https://us2.cloudbeds.com/connect/10074733072513#/reservations/31684009238728?display=MHEASRN5Y&amp;reservation_id=31684009238728", "MHEASRN5Y")</f>
        <v>MHEASRN5Y</v>
      </c>
      <c r="B8827" t="s">
        <v>1297</v>
      </c>
      <c r="C8827">
        <v>139</v>
      </c>
      <c r="D8827">
        <v>151.1</v>
      </c>
      <c r="E8827">
        <v>151.09</v>
      </c>
      <c r="F8827">
        <v>0.01</v>
      </c>
    </row>
    <row r="8828" spans="1:6" x14ac:dyDescent="0.3">
      <c r="A8828" t="str">
        <f>HYPERLINK("https://us2.cloudbeds.com/connect/10074733072513#/reservations/31683974992013?display=MHE9WVZAD&amp;reservation_id=31683974992013", "MHE9WVZAD")</f>
        <v>MHE9WVZAD</v>
      </c>
      <c r="B8828" t="s">
        <v>1337</v>
      </c>
      <c r="C8828">
        <v>73</v>
      </c>
      <c r="D8828">
        <v>79.36</v>
      </c>
      <c r="E8828">
        <v>79.349999999999994</v>
      </c>
      <c r="F8828">
        <v>0.01</v>
      </c>
    </row>
    <row r="8829" spans="1:6" x14ac:dyDescent="0.3">
      <c r="A8829" t="str">
        <f>HYPERLINK("https://us2.cloudbeds.com/connect/10074733072513#/reservations/31684859719832?display=MHEWJWJXA&amp;reservation_id=31684859719832", "MHEWJWJXA")</f>
        <v>MHEWJWJXA</v>
      </c>
      <c r="B8829" t="s">
        <v>1328</v>
      </c>
      <c r="C8829">
        <v>420</v>
      </c>
      <c r="D8829">
        <v>456.55</v>
      </c>
      <c r="E8829">
        <v>456.54</v>
      </c>
      <c r="F8829">
        <v>0.01</v>
      </c>
    </row>
    <row r="8830" spans="1:6" x14ac:dyDescent="0.3">
      <c r="A8830" t="str">
        <f>HYPERLINK("https://us2.cloudbeds.com/connect/10074733072513#/reservations/31684480762021?display=MHEMUEHJ9&amp;reservation_id=31684480762021", "MHEMUEHJ9")</f>
        <v>MHEMUEHJ9</v>
      </c>
      <c r="B8830" t="s">
        <v>1214</v>
      </c>
      <c r="C8830">
        <v>225</v>
      </c>
      <c r="D8830">
        <v>244.59</v>
      </c>
      <c r="E8830">
        <v>244.58</v>
      </c>
      <c r="F8830">
        <v>0.01</v>
      </c>
    </row>
    <row r="8831" spans="1:6" x14ac:dyDescent="0.3">
      <c r="A8831" t="str">
        <f>HYPERLINK("https://us2.cloudbeds.com/connect/10074733072513#/reservations/31686888906949?display=MHGXF1NK0&amp;reservation_id=31686888906949", "MHGXF1NK0")</f>
        <v>MHGXF1NK0</v>
      </c>
      <c r="B8831" t="s">
        <v>1270</v>
      </c>
      <c r="C8831">
        <v>358</v>
      </c>
      <c r="D8831">
        <v>389.16</v>
      </c>
      <c r="E8831">
        <v>389.15</v>
      </c>
      <c r="F8831">
        <v>0.01</v>
      </c>
    </row>
    <row r="8832" spans="1:6" x14ac:dyDescent="0.3">
      <c r="A8832" t="str">
        <f>HYPERLINK("https://us2.cloudbeds.com/connect/10074733072513#/reservations/31687664930966?display=MHH59DZ0A&amp;reservation_id=31687664930966", "MHH59DZ0A")</f>
        <v>MHH59DZ0A</v>
      </c>
      <c r="B8832" t="s">
        <v>1259</v>
      </c>
      <c r="C8832">
        <v>158</v>
      </c>
      <c r="D8832">
        <v>171.76</v>
      </c>
      <c r="E8832">
        <v>171.75</v>
      </c>
      <c r="F8832">
        <v>0.01</v>
      </c>
    </row>
    <row r="8833" spans="1:6" x14ac:dyDescent="0.3">
      <c r="A8833" t="str">
        <f>HYPERLINK("https://us2.cloudbeds.com/connect/10074733072513#/reservations/31695068655840?display=MHMTFE9EH&amp;reservation_id=31695068655840", "MHMTFE9EH")</f>
        <v>MHMTFE9EH</v>
      </c>
      <c r="B8833" t="s">
        <v>1327</v>
      </c>
      <c r="C8833">
        <v>278</v>
      </c>
      <c r="D8833">
        <v>302.2</v>
      </c>
      <c r="E8833">
        <v>302.19</v>
      </c>
      <c r="F8833">
        <v>0.01</v>
      </c>
    </row>
    <row r="8834" spans="1:6" x14ac:dyDescent="0.3">
      <c r="A8834" t="str">
        <f>HYPERLINK("https://us2.cloudbeds.com/connect/10074733072513#/reservations/31683519738016?display=MHDVC2KXZ&amp;reservation_id=31683519738016", "MHDVC2KXZ")</f>
        <v>MHDVC2KXZ</v>
      </c>
      <c r="B8834" t="s">
        <v>1297</v>
      </c>
      <c r="C8834">
        <v>119</v>
      </c>
      <c r="D8834">
        <v>129.36000000000001</v>
      </c>
      <c r="E8834">
        <v>129.35</v>
      </c>
      <c r="F8834">
        <v>0.01</v>
      </c>
    </row>
    <row r="8835" spans="1:6" x14ac:dyDescent="0.3">
      <c r="A8835" t="str">
        <f>HYPERLINK("https://us2.cloudbeds.com/connect/10074733072513#/reservations/31685114679517?display=MHF63W7AC&amp;reservation_id=31685114679517", "MHF63W7AC")</f>
        <v>MHF63W7AC</v>
      </c>
      <c r="B8835" t="s">
        <v>1100</v>
      </c>
      <c r="C8835">
        <v>199</v>
      </c>
      <c r="D8835">
        <v>216.32</v>
      </c>
      <c r="E8835">
        <v>216.31</v>
      </c>
      <c r="F8835">
        <v>0.01</v>
      </c>
    </row>
    <row r="8836" spans="1:6" x14ac:dyDescent="0.3">
      <c r="A8836" t="str">
        <f>HYPERLINK("https://us2.cloudbeds.com/connect/10074733072513#/reservations/31682345521283?display=MHD1BVA9E&amp;reservation_id=31682345521283", "MHD1BVA9E")</f>
        <v>MHD1BVA9E</v>
      </c>
      <c r="B8836" t="s">
        <v>1100</v>
      </c>
      <c r="C8836">
        <v>179</v>
      </c>
      <c r="D8836">
        <v>194.58</v>
      </c>
      <c r="E8836">
        <v>194.57</v>
      </c>
      <c r="F8836">
        <v>0.01</v>
      </c>
    </row>
    <row r="8837" spans="1:6" x14ac:dyDescent="0.3">
      <c r="A8837" t="str">
        <f>HYPERLINK("https://us2.cloudbeds.com/connect/10074733072513#/reservations/31685224796292?display=MHF8URCYB&amp;reservation_id=31685224796292", "MHF8URCYB")</f>
        <v>MHF8URCYB</v>
      </c>
      <c r="B8837" t="s">
        <v>1100</v>
      </c>
      <c r="C8837">
        <v>199</v>
      </c>
      <c r="D8837">
        <v>216.32</v>
      </c>
      <c r="E8837">
        <v>216.31</v>
      </c>
      <c r="F8837">
        <v>0.01</v>
      </c>
    </row>
    <row r="8838" spans="1:6" x14ac:dyDescent="0.3">
      <c r="A8838" t="str">
        <f>HYPERLINK("https://us2.cloudbeds.com/connect/10074733072513#/reservations/31692197703868?display=MHKM3XQTU&amp;reservation_id=31692197703868", "MHKM3XQTU")</f>
        <v>MHKM3XQTU</v>
      </c>
      <c r="B8838" t="s">
        <v>1331</v>
      </c>
      <c r="C8838">
        <v>179</v>
      </c>
      <c r="D8838">
        <v>194.58</v>
      </c>
      <c r="E8838">
        <v>194.57</v>
      </c>
      <c r="F8838">
        <v>0.01</v>
      </c>
    </row>
    <row r="8839" spans="1:6" x14ac:dyDescent="0.3">
      <c r="A8839" t="str">
        <f>HYPERLINK("https://us2.cloudbeds.com/connect/10074733072513#/reservations/31682246115549?display=MHCVR46KH&amp;reservation_id=31682246115549", "MHCVR46KH")</f>
        <v>MHCVR46KH</v>
      </c>
      <c r="B8839" t="s">
        <v>1317</v>
      </c>
      <c r="C8839">
        <v>129</v>
      </c>
      <c r="D8839">
        <v>140.22999999999999</v>
      </c>
      <c r="E8839">
        <v>140.22</v>
      </c>
      <c r="F8839">
        <v>0.01</v>
      </c>
    </row>
    <row r="8840" spans="1:6" x14ac:dyDescent="0.3">
      <c r="A8840" t="str">
        <f>HYPERLINK("https://us2.cloudbeds.com/connect/10074733072513#/reservations/31682301186234?display=MHD07XKJ5&amp;reservation_id=31682301186234", "MHD07XKJ5")</f>
        <v>MHD07XKJ5</v>
      </c>
      <c r="B8840" t="s">
        <v>1317</v>
      </c>
      <c r="C8840">
        <v>129</v>
      </c>
      <c r="D8840">
        <v>140.22999999999999</v>
      </c>
      <c r="E8840">
        <v>140.22</v>
      </c>
      <c r="F8840">
        <v>0.01</v>
      </c>
    </row>
    <row r="8841" spans="1:6" x14ac:dyDescent="0.3">
      <c r="A8841" t="str">
        <f>HYPERLINK("https://us2.cloudbeds.com/connect/10074733072513#/reservations/31684320833688?display=MHEXRJ9K5&amp;reservation_id=31684320833688", "MHEXRJ9K5")</f>
        <v>MHEXRJ9K5</v>
      </c>
      <c r="B8841" t="s">
        <v>1307</v>
      </c>
      <c r="C8841">
        <v>129</v>
      </c>
      <c r="D8841">
        <v>140.22999999999999</v>
      </c>
      <c r="E8841">
        <v>140.22</v>
      </c>
      <c r="F8841">
        <v>0.01</v>
      </c>
    </row>
    <row r="8842" spans="1:6" x14ac:dyDescent="0.3">
      <c r="A8842" t="str">
        <f>HYPERLINK("https://us2.cloudbeds.com/connect/10074733072513#/reservations/31692663718094?display=MHY10HBG4&amp;reservation_id=31692663718094", "MHY10HBG4")</f>
        <v>MHY10HBG4</v>
      </c>
      <c r="B8842" t="s">
        <v>1348</v>
      </c>
      <c r="C8842">
        <v>109</v>
      </c>
      <c r="D8842">
        <v>118.49</v>
      </c>
      <c r="E8842">
        <v>118.48</v>
      </c>
      <c r="F8842">
        <v>0.01</v>
      </c>
    </row>
    <row r="8843" spans="1:6" x14ac:dyDescent="0.3">
      <c r="A8843" t="str">
        <f>HYPERLINK("https://us2.cloudbeds.com/connect/10074733072513#/reservations/31684318011645?display=MHEXP6P6N&amp;reservation_id=31684318011645", "MHEXP6P6N")</f>
        <v>MHEXP6P6N</v>
      </c>
      <c r="B8843" t="s">
        <v>1307</v>
      </c>
      <c r="C8843">
        <v>73</v>
      </c>
      <c r="D8843">
        <v>79.36</v>
      </c>
      <c r="E8843">
        <v>79.349999999999994</v>
      </c>
      <c r="F8843">
        <v>0.01</v>
      </c>
    </row>
    <row r="8844" spans="1:6" x14ac:dyDescent="0.3">
      <c r="A8844" t="str">
        <f>HYPERLINK("https://us2.cloudbeds.com/connect/10074733072513#/reservations/31684487901316?display=MHEN3F6DX&amp;reservation_id=31684487901316", "MHEN3F6DX")</f>
        <v>MHEN3F6DX</v>
      </c>
      <c r="B8844" t="s">
        <v>1307</v>
      </c>
      <c r="C8844">
        <v>159</v>
      </c>
      <c r="D8844">
        <v>172.84</v>
      </c>
      <c r="E8844">
        <v>172.83</v>
      </c>
      <c r="F8844">
        <v>0.01</v>
      </c>
    </row>
    <row r="8845" spans="1:6" x14ac:dyDescent="0.3">
      <c r="A8845" t="str">
        <f>HYPERLINK("https://us2.cloudbeds.com/connect/10074733072513#/reservations/31684487905411?display=MHEN3FA5Y&amp;reservation_id=31684487905411", "MHEN3FA5Y")</f>
        <v>MHEN3FA5Y</v>
      </c>
      <c r="B8845" t="s">
        <v>1214</v>
      </c>
      <c r="C8845">
        <v>225</v>
      </c>
      <c r="D8845">
        <v>244.59</v>
      </c>
      <c r="E8845">
        <v>244.58</v>
      </c>
      <c r="F8845">
        <v>0.01</v>
      </c>
    </row>
    <row r="8846" spans="1:6" x14ac:dyDescent="0.3">
      <c r="A8846" t="str">
        <f>HYPERLINK("https://us2.cloudbeds.com/connect/10074733072513#/reservations/31682742264025?display=MHDBGG8MR&amp;reservation_id=31682742264025", "MHDBGG8MR")</f>
        <v>MHDBGG8MR</v>
      </c>
      <c r="B8846" t="s">
        <v>1249</v>
      </c>
      <c r="C8846">
        <v>110.86</v>
      </c>
      <c r="D8846">
        <v>120.51</v>
      </c>
      <c r="E8846">
        <v>120.5</v>
      </c>
      <c r="F8846">
        <v>0.01</v>
      </c>
    </row>
    <row r="8847" spans="1:6" x14ac:dyDescent="0.3">
      <c r="A8847" t="str">
        <f>HYPERLINK("https://us2.cloudbeds.com/connect/10074733072513#/reservations/31682285596842?display=MHCWRDR8B&amp;reservation_id=31682285596842", "MHCWRDR8B")</f>
        <v>MHCWRDR8B</v>
      </c>
      <c r="B8847" t="s">
        <v>1317</v>
      </c>
      <c r="C8847">
        <v>139</v>
      </c>
      <c r="D8847">
        <v>151.1</v>
      </c>
      <c r="E8847">
        <v>151.09</v>
      </c>
      <c r="F8847">
        <v>0.01</v>
      </c>
    </row>
    <row r="8848" spans="1:6" x14ac:dyDescent="0.3">
      <c r="A8848" t="str">
        <f>HYPERLINK("https://us2.cloudbeds.com/connect/10074733072513#/reservations/31685511856341?display=MHFG8T8AN&amp;reservation_id=31685511856341", "MHFG8T8AN")</f>
        <v>MHFG8T8AN</v>
      </c>
      <c r="B8848" t="s">
        <v>1280</v>
      </c>
      <c r="C8848">
        <v>301.60000000000002</v>
      </c>
      <c r="D8848">
        <v>327.85</v>
      </c>
      <c r="E8848">
        <v>327.84</v>
      </c>
      <c r="F8848">
        <v>0.01</v>
      </c>
    </row>
    <row r="8849" spans="1:6" x14ac:dyDescent="0.3">
      <c r="A8849" t="str">
        <f>HYPERLINK("https://us2.cloudbeds.com/connect/10074733072513#/reservations/31684341727384?display=MHEJC6MZE&amp;reservation_id=31684341727384", "MHEJC6MZE")</f>
        <v>MHEJC6MZE</v>
      </c>
      <c r="B8849" t="s">
        <v>1307</v>
      </c>
      <c r="C8849">
        <v>110.86</v>
      </c>
      <c r="D8849">
        <v>120.51</v>
      </c>
      <c r="E8849">
        <v>120.5</v>
      </c>
      <c r="F8849">
        <v>0.01</v>
      </c>
    </row>
    <row r="8850" spans="1:6" x14ac:dyDescent="0.3">
      <c r="A8850" t="str">
        <f>HYPERLINK("https://us2.cloudbeds.com/connect/10074733072513#/reservations/31684555309230?display=MHEZR9UAK&amp;reservation_id=31684555309230", "MHEZR9UAK")</f>
        <v>MHEZR9UAK</v>
      </c>
      <c r="B8850" t="s">
        <v>1307</v>
      </c>
      <c r="C8850">
        <v>73</v>
      </c>
      <c r="D8850">
        <v>79.36</v>
      </c>
      <c r="E8850">
        <v>79.349999999999994</v>
      </c>
      <c r="F8850">
        <v>0.01</v>
      </c>
    </row>
    <row r="8851" spans="1:6" x14ac:dyDescent="0.3">
      <c r="A8851" t="str">
        <f>HYPERLINK("https://us2.cloudbeds.com/connect/10074733072513#/reservations/31685964095685?display=MHFRR7FQ8&amp;reservation_id=31685964095685", "MHFRR7FQ8")</f>
        <v>MHFRR7FQ8</v>
      </c>
      <c r="B8851" t="s">
        <v>1250</v>
      </c>
      <c r="C8851">
        <v>178</v>
      </c>
      <c r="D8851">
        <v>193.5</v>
      </c>
      <c r="E8851">
        <v>193.49</v>
      </c>
      <c r="F8851">
        <v>0.01</v>
      </c>
    </row>
    <row r="8852" spans="1:6" x14ac:dyDescent="0.3">
      <c r="A8852" t="str">
        <f>HYPERLINK("https://us2.cloudbeds.com/connect/10074733072513#/reservations/31691790385357?display=MHKBN3J1Z&amp;reservation_id=31691790385357", "MHKBN3J1Z")</f>
        <v>MHKBN3J1Z</v>
      </c>
      <c r="B8852" t="s">
        <v>1237</v>
      </c>
      <c r="C8852">
        <v>150</v>
      </c>
      <c r="D8852">
        <v>163.06</v>
      </c>
      <c r="E8852">
        <v>163.05000000000001</v>
      </c>
      <c r="F8852">
        <v>0.01</v>
      </c>
    </row>
    <row r="8853" spans="1:6" x14ac:dyDescent="0.3">
      <c r="A8853" t="str">
        <f>HYPERLINK("https://us2.cloudbeds.com/connect/10074733072513#/reservations/31684009234632?display=MHEASRJDB&amp;reservation_id=31684009234632", "MHEASRJDB")</f>
        <v>MHEASRJDB</v>
      </c>
      <c r="B8853" t="s">
        <v>1297</v>
      </c>
      <c r="C8853">
        <v>129</v>
      </c>
      <c r="D8853">
        <v>140.22999999999999</v>
      </c>
      <c r="E8853">
        <v>140.22</v>
      </c>
      <c r="F8853">
        <v>0.01</v>
      </c>
    </row>
    <row r="8854" spans="1:6" x14ac:dyDescent="0.3">
      <c r="A8854" t="str">
        <f>HYPERLINK("https://us2.cloudbeds.com/connect/10074733072513#/reservations/31684306084056?display=MHEXF4SDK&amp;reservation_id=31684306084056", "MHEXF4SDK")</f>
        <v>MHEXF4SDK</v>
      </c>
      <c r="B8854" t="s">
        <v>1307</v>
      </c>
      <c r="C8854">
        <v>129</v>
      </c>
      <c r="D8854">
        <v>140.22999999999999</v>
      </c>
      <c r="E8854">
        <v>140.22</v>
      </c>
      <c r="F8854">
        <v>0.01</v>
      </c>
    </row>
    <row r="8855" spans="1:6" x14ac:dyDescent="0.3">
      <c r="A8855" t="str">
        <f>HYPERLINK("https://us2.cloudbeds.com/connect/10074733072513#/reservations/31684068479109?display=MHECCQ51N&amp;reservation_id=31684068479109", "MHECCQ51N")</f>
        <v>MHECCQ51N</v>
      </c>
      <c r="B8855" t="s">
        <v>1297</v>
      </c>
      <c r="C8855">
        <v>322.2</v>
      </c>
      <c r="D8855">
        <v>350.24</v>
      </c>
      <c r="E8855">
        <v>350.23</v>
      </c>
      <c r="F8855">
        <v>0.01</v>
      </c>
    </row>
    <row r="8856" spans="1:6" x14ac:dyDescent="0.3">
      <c r="A8856" t="str">
        <f>HYPERLINK("https://us2.cloudbeds.com/connect/10074733072513#/reservations/31684927070423?display=MHF1APNRA&amp;reservation_id=31684927070423", "MHF1APNRA")</f>
        <v>MHF1APNRA</v>
      </c>
      <c r="B8856" t="s">
        <v>1328</v>
      </c>
      <c r="C8856">
        <v>252</v>
      </c>
      <c r="D8856">
        <v>273.93</v>
      </c>
      <c r="E8856">
        <v>273.92</v>
      </c>
      <c r="F8856">
        <v>0.01</v>
      </c>
    </row>
    <row r="8857" spans="1:6" x14ac:dyDescent="0.3">
      <c r="A8857" t="str">
        <f>HYPERLINK("https://us2.cloudbeds.com/connect/10074733072513#/reservations/31685013467275?display=MHF3HKRPZ&amp;reservation_id=31685013467275", "MHF3HKRPZ")</f>
        <v>MHF3HKRPZ</v>
      </c>
      <c r="B8857" t="s">
        <v>1249</v>
      </c>
      <c r="C8857">
        <v>169</v>
      </c>
      <c r="D8857">
        <v>183.71</v>
      </c>
      <c r="E8857">
        <v>183.7</v>
      </c>
      <c r="F8857">
        <v>0.01</v>
      </c>
    </row>
    <row r="8858" spans="1:6" x14ac:dyDescent="0.3">
      <c r="A8858" t="str">
        <f>HYPERLINK("https://us2.cloudbeds.com/connect/10074733072513#/reservations/31684541722854?display=MHEZFRSA8&amp;reservation_id=31684541722854", "MHEZFRSA8")</f>
        <v>MHEZFRSA8</v>
      </c>
      <c r="B8858" t="s">
        <v>1307</v>
      </c>
      <c r="C8858">
        <v>129</v>
      </c>
      <c r="D8858">
        <v>140.22999999999999</v>
      </c>
      <c r="E8858">
        <v>140.22</v>
      </c>
      <c r="F8858">
        <v>0.01</v>
      </c>
    </row>
    <row r="8859" spans="1:6" x14ac:dyDescent="0.3">
      <c r="A8859" t="str">
        <f>HYPERLINK("https://us2.cloudbeds.com/connect/10074733072513#/reservations/31687625900173?display=MHH49GY20&amp;reservation_id=31687625900173", "MHH49GY20")</f>
        <v>MHH49GY20</v>
      </c>
      <c r="B8859" t="s">
        <v>1318</v>
      </c>
      <c r="C8859">
        <v>139</v>
      </c>
      <c r="D8859">
        <v>151.1</v>
      </c>
      <c r="E8859">
        <v>151.09</v>
      </c>
      <c r="F8859">
        <v>0.01</v>
      </c>
    </row>
    <row r="8860" spans="1:6" x14ac:dyDescent="0.3">
      <c r="A8860" t="str">
        <f>HYPERLINK("https://us2.cloudbeds.com/connect/10074733072513#/reservations/31687665840274?display=MHH5A6103&amp;reservation_id=31687665840274", "MHH5A6103")</f>
        <v>MHH5A6103</v>
      </c>
      <c r="B8860" t="s">
        <v>1214</v>
      </c>
      <c r="C8860">
        <v>97.74</v>
      </c>
      <c r="D8860">
        <v>106.25</v>
      </c>
      <c r="E8860">
        <v>106.24</v>
      </c>
      <c r="F8860">
        <v>0.01</v>
      </c>
    </row>
    <row r="8861" spans="1:6" x14ac:dyDescent="0.3">
      <c r="A8861" t="str">
        <f>HYPERLINK("https://us2.cloudbeds.com/connect/10074733072513#/reservations/31685375946945?display=MHFCQ9CA5&amp;reservation_id=31685375946945", "MHFCQ9CA5")</f>
        <v>MHFCQ9CA5</v>
      </c>
      <c r="B8861" t="s">
        <v>1214</v>
      </c>
      <c r="C8861">
        <v>159</v>
      </c>
      <c r="D8861">
        <v>172.84</v>
      </c>
      <c r="E8861">
        <v>172.83</v>
      </c>
      <c r="F8861">
        <v>0.01</v>
      </c>
    </row>
    <row r="8862" spans="1:6" x14ac:dyDescent="0.3">
      <c r="A8862" t="str">
        <f>HYPERLINK("https://us2.cloudbeds.com/connect/10074733072513#/reservations/31682726998191?display=MHDB3KFFQ&amp;reservation_id=31682726998191", "MHDB3KFFQ")</f>
        <v>MHDB3KFFQ</v>
      </c>
      <c r="B8862" t="s">
        <v>1249</v>
      </c>
      <c r="C8862">
        <v>79</v>
      </c>
      <c r="D8862">
        <v>85.88</v>
      </c>
      <c r="E8862">
        <v>85.87</v>
      </c>
      <c r="F8862">
        <v>0.01</v>
      </c>
    </row>
    <row r="8863" spans="1:6" x14ac:dyDescent="0.3">
      <c r="A8863" t="str">
        <f>HYPERLINK("https://us2.cloudbeds.com/connect/10074733072513#/reservations/31691690184866?display=MHK94KBJ7&amp;reservation_id=31691690184866", "MHK94KBJ7")</f>
        <v>MHK94KBJ7</v>
      </c>
      <c r="B8863" t="s">
        <v>1280</v>
      </c>
      <c r="C8863">
        <v>377</v>
      </c>
      <c r="D8863">
        <v>409.81</v>
      </c>
      <c r="E8863">
        <v>409.8</v>
      </c>
      <c r="F8863">
        <v>0.01</v>
      </c>
    </row>
    <row r="8864" spans="1:6" x14ac:dyDescent="0.3">
      <c r="A8864" t="str">
        <f>HYPERLINK("https://us2.cloudbeds.com/connect/10074733072513#/reservations/31686599753941?display=MHGB27K0Y&amp;reservation_id=31686599753941", "MHGB27K0Y")</f>
        <v>MHGB27K0Y</v>
      </c>
      <c r="B8864" t="s">
        <v>1303</v>
      </c>
      <c r="C8864">
        <v>119</v>
      </c>
      <c r="D8864">
        <v>129.36000000000001</v>
      </c>
      <c r="E8864">
        <v>129.35</v>
      </c>
      <c r="F8864">
        <v>0.01</v>
      </c>
    </row>
    <row r="8865" spans="1:6" x14ac:dyDescent="0.3">
      <c r="A8865" t="str">
        <f>HYPERLINK("https://us2.cloudbeds.com/connect/10074733072513#/reservations/31689155551421?display=MHXACBEG4&amp;reservation_id=31689155551421", "MHXACBEG4")</f>
        <v>MHXACBEG4</v>
      </c>
      <c r="B8865" t="s">
        <v>1214</v>
      </c>
      <c r="C8865">
        <v>73</v>
      </c>
      <c r="D8865">
        <v>79.36</v>
      </c>
      <c r="E8865">
        <v>79.349999999999994</v>
      </c>
      <c r="F8865">
        <v>0.01</v>
      </c>
    </row>
    <row r="8866" spans="1:6" x14ac:dyDescent="0.3">
      <c r="A8866" t="str">
        <f>HYPERLINK("https://us2.cloudbeds.com/connect/10074733072513#/reservations/31683589595341?display=MHE04WGNC&amp;reservation_id=31683589595341", "MHE04WGNC")</f>
        <v>MHE04WGNC</v>
      </c>
      <c r="B8866" t="s">
        <v>1242</v>
      </c>
      <c r="C8866">
        <v>169</v>
      </c>
      <c r="D8866">
        <v>183.71</v>
      </c>
      <c r="E8866">
        <v>183.7</v>
      </c>
      <c r="F8866">
        <v>0.01</v>
      </c>
    </row>
    <row r="8867" spans="1:6" x14ac:dyDescent="0.3">
      <c r="A8867" t="str">
        <f>HYPERLINK("https://us2.cloudbeds.com/connect/10074733072513#/reservations/31684964941982?display=MHF29NX9A&amp;reservation_id=31684964941982", "MHF29NX9A")</f>
        <v>MHF29NX9A</v>
      </c>
      <c r="B8867" t="s">
        <v>1249</v>
      </c>
      <c r="C8867">
        <v>283.10000000000002</v>
      </c>
      <c r="D8867">
        <v>307.74</v>
      </c>
      <c r="E8867">
        <v>307.73</v>
      </c>
      <c r="F8867">
        <v>0.01</v>
      </c>
    </row>
    <row r="8868" spans="1:6" x14ac:dyDescent="0.3">
      <c r="A8868" t="str">
        <f>HYPERLINK("https://us2.cloudbeds.com/connect/10074733072513#/reservations/31685451071700?display=MHFENKRCT&amp;reservation_id=31685451071700", "MHFENKRCT")</f>
        <v>MHFENKRCT</v>
      </c>
      <c r="B8868" t="s">
        <v>1214</v>
      </c>
      <c r="C8868">
        <v>189</v>
      </c>
      <c r="D8868">
        <v>205.45</v>
      </c>
      <c r="E8868">
        <v>205.44</v>
      </c>
      <c r="F8868">
        <v>0.01</v>
      </c>
    </row>
    <row r="8869" spans="1:6" x14ac:dyDescent="0.3">
      <c r="A8869" t="str">
        <f>HYPERLINK("https://us2.cloudbeds.com/connect/10074733072513#/reservations/31686185681074?display=MHG0G2DR0&amp;reservation_id=31686185681074", "MHG0G2DR0")</f>
        <v>MHG0G2DR0</v>
      </c>
      <c r="B8869" t="s">
        <v>1351</v>
      </c>
      <c r="C8869">
        <v>411.3</v>
      </c>
      <c r="D8869">
        <v>447.09</v>
      </c>
      <c r="E8869">
        <v>447.08</v>
      </c>
      <c r="F8869">
        <v>0.01</v>
      </c>
    </row>
    <row r="8870" spans="1:6" x14ac:dyDescent="0.3">
      <c r="A8870" t="str">
        <f>HYPERLINK("https://us2.cloudbeds.com/connect/10074733072513#/reservations/31689825087644?display=MHXRFU8VJ&amp;reservation_id=31689825087644", "MHXRFU8VJ")</f>
        <v>MHXRFU8VJ</v>
      </c>
      <c r="B8870" t="s">
        <v>1328</v>
      </c>
      <c r="C8870">
        <v>97.74</v>
      </c>
      <c r="D8870">
        <v>106.25</v>
      </c>
      <c r="E8870">
        <v>106.24</v>
      </c>
      <c r="F8870">
        <v>0.01</v>
      </c>
    </row>
    <row r="8871" spans="1:6" x14ac:dyDescent="0.3">
      <c r="A8871" t="str">
        <f>HYPERLINK("https://us2.cloudbeds.com/connect/10074733072513#/reservations/31683387687146?display=MHDRWZ3Z7&amp;reservation_id=31683387687146", "MHDRWZ3Z7")</f>
        <v>MHDRWZ3Z7</v>
      </c>
      <c r="B8871" t="s">
        <v>1242</v>
      </c>
      <c r="C8871">
        <v>169</v>
      </c>
      <c r="D8871">
        <v>183.71</v>
      </c>
      <c r="E8871">
        <v>183.7</v>
      </c>
      <c r="F8871">
        <v>0.01</v>
      </c>
    </row>
    <row r="8872" spans="1:6" x14ac:dyDescent="0.3">
      <c r="A8872" t="str">
        <f>HYPERLINK("https://us2.cloudbeds.com/connect/10074733072513#/reservations/31682736173252?display=MHDBBBPMV&amp;reservation_id=31682736173252", "MHDBBBPMV")</f>
        <v>MHDBBBPMV</v>
      </c>
      <c r="B8872" t="s">
        <v>1249</v>
      </c>
      <c r="C8872">
        <v>169</v>
      </c>
      <c r="D8872">
        <v>183.71</v>
      </c>
      <c r="E8872">
        <v>183.7</v>
      </c>
      <c r="F8872">
        <v>0.01</v>
      </c>
    </row>
    <row r="8873" spans="1:6" x14ac:dyDescent="0.3">
      <c r="A8873" t="str">
        <f>HYPERLINK("https://us2.cloudbeds.com/connect/10074733072513#/reservations/31684573606114?display=MHEP9Z1SY&amp;reservation_id=31684573606114", "MHEP9Z1SY")</f>
        <v>MHEP9Z1SY</v>
      </c>
      <c r="B8873" t="s">
        <v>1220</v>
      </c>
      <c r="C8873">
        <v>225</v>
      </c>
      <c r="D8873">
        <v>244.59</v>
      </c>
      <c r="E8873">
        <v>244.58</v>
      </c>
      <c r="F8873">
        <v>0.01</v>
      </c>
    </row>
    <row r="8874" spans="1:6" x14ac:dyDescent="0.3">
      <c r="A8874" t="str">
        <f>HYPERLINK("https://us2.cloudbeds.com/connect/10074733072513#/reservations/31685089190089?display=MHF5FFV1E&amp;reservation_id=31685089190089", "MHF5FFV1E")</f>
        <v>MHF5FFV1E</v>
      </c>
      <c r="B8874" t="s">
        <v>1349</v>
      </c>
      <c r="C8874">
        <v>129</v>
      </c>
      <c r="D8874">
        <v>140.22999999999999</v>
      </c>
      <c r="E8874">
        <v>140.22</v>
      </c>
      <c r="F8874">
        <v>0.01</v>
      </c>
    </row>
    <row r="8875" spans="1:6" x14ac:dyDescent="0.3">
      <c r="A8875" t="str">
        <f>HYPERLINK("https://us2.cloudbeds.com/connect/10074733072513#/reservations/31684989849797?display=MHF2UNYFJ&amp;reservation_id=31684989849797", "MHF2UNYFJ")</f>
        <v>MHF2UNYFJ</v>
      </c>
      <c r="B8875" t="s">
        <v>1249</v>
      </c>
      <c r="C8875">
        <v>169</v>
      </c>
      <c r="D8875">
        <v>183.71</v>
      </c>
      <c r="E8875">
        <v>183.7</v>
      </c>
      <c r="F8875">
        <v>0.01</v>
      </c>
    </row>
    <row r="8876" spans="1:6" x14ac:dyDescent="0.3">
      <c r="A8876" t="str">
        <f>HYPERLINK("https://us2.cloudbeds.com/connect/10074733072513#/reservations/31684345954435?display=MHEJFPAAU&amp;reservation_id=31684345954435", "MHEJFPAAU")</f>
        <v>MHEJFPAAU</v>
      </c>
      <c r="B8876" t="s">
        <v>1168</v>
      </c>
      <c r="C8876">
        <v>179</v>
      </c>
      <c r="D8876">
        <v>194.58</v>
      </c>
      <c r="E8876">
        <v>194.57</v>
      </c>
      <c r="F8876">
        <v>0.01</v>
      </c>
    </row>
    <row r="8877" spans="1:6" x14ac:dyDescent="0.3">
      <c r="A8877" t="str">
        <f>HYPERLINK("https://us2.cloudbeds.com/connect/10074733072513#/reservations/31684946714828?display=MHF1RBBPA&amp;reservation_id=31684946714828", "MHF1RBBPA")</f>
        <v>MHF1RBBPA</v>
      </c>
      <c r="B8877" t="s">
        <v>1249</v>
      </c>
      <c r="C8877">
        <v>199</v>
      </c>
      <c r="D8877">
        <v>216.32</v>
      </c>
      <c r="E8877">
        <v>216.31</v>
      </c>
      <c r="F8877">
        <v>0.01</v>
      </c>
    </row>
    <row r="8878" spans="1:6" x14ac:dyDescent="0.3">
      <c r="A8878" t="str">
        <f>HYPERLINK("https://us2.cloudbeds.com/connect/10074733072513#/reservations/31686958637277?display=MHGK7S248&amp;reservation_id=31686958637277", "MHGK7S248")</f>
        <v>MHGK7S248</v>
      </c>
      <c r="B8878" t="s">
        <v>1242</v>
      </c>
      <c r="C8878">
        <v>350</v>
      </c>
      <c r="D8878">
        <v>380.46</v>
      </c>
      <c r="E8878">
        <v>380.45</v>
      </c>
      <c r="F8878">
        <v>0.01</v>
      </c>
    </row>
    <row r="8879" spans="1:6" x14ac:dyDescent="0.3">
      <c r="A8879" t="str">
        <f>HYPERLINK("https://us2.cloudbeds.com/connect/10074733072513#/reservations/31684339622048?display=MHEJAE3FD&amp;reservation_id=31684339622048", "MHEJAE3FD")</f>
        <v>MHEJAE3FD</v>
      </c>
      <c r="B8879" t="s">
        <v>1340</v>
      </c>
      <c r="C8879">
        <v>159</v>
      </c>
      <c r="D8879">
        <v>172.84</v>
      </c>
      <c r="E8879">
        <v>172.83</v>
      </c>
      <c r="F8879">
        <v>0.01</v>
      </c>
    </row>
    <row r="8880" spans="1:6" x14ac:dyDescent="0.3">
      <c r="A8880" t="str">
        <f>HYPERLINK("https://us2.cloudbeds.com/connect/10074733072513#/reservations/31683742326991?display=MHE41PG56&amp;reservation_id=31683742326991", "MHE41PG56")</f>
        <v>MHE41PG56</v>
      </c>
      <c r="B8880" t="s">
        <v>1297</v>
      </c>
      <c r="C8880">
        <v>438</v>
      </c>
      <c r="D8880">
        <v>476.12</v>
      </c>
      <c r="E8880">
        <v>476.11</v>
      </c>
      <c r="F8880">
        <v>0.01</v>
      </c>
    </row>
    <row r="8881" spans="1:6" x14ac:dyDescent="0.3">
      <c r="A8881" t="str">
        <f>HYPERLINK("https://us2.cloudbeds.com/connect/10074733072513#/reservations/31688831365334?display=MHX22WFVA&amp;reservation_id=31688831365334", "MHX22WFVA")</f>
        <v>MHX22WFVA</v>
      </c>
      <c r="B8881" t="s">
        <v>1220</v>
      </c>
      <c r="C8881">
        <v>225</v>
      </c>
      <c r="D8881">
        <v>244.59</v>
      </c>
      <c r="E8881">
        <v>244.58</v>
      </c>
      <c r="F8881">
        <v>0.01</v>
      </c>
    </row>
    <row r="8882" spans="1:6" x14ac:dyDescent="0.3">
      <c r="A8882" t="str">
        <f>HYPERLINK("https://us2.cloudbeds.com/connect/10074733072513#/reservations/31684614459533?display=MHEQB5SG1&amp;reservation_id=31684614459533", "MHEQB5SG1")</f>
        <v>MHEQB5SG1</v>
      </c>
      <c r="B8882" t="s">
        <v>1220</v>
      </c>
      <c r="C8882">
        <v>129</v>
      </c>
      <c r="D8882">
        <v>140.22999999999999</v>
      </c>
      <c r="E8882">
        <v>140.22</v>
      </c>
      <c r="F8882">
        <v>0.01</v>
      </c>
    </row>
    <row r="8883" spans="1:6" x14ac:dyDescent="0.3">
      <c r="A8883" t="str">
        <f>HYPERLINK("https://us2.cloudbeds.com/connect/10074733072513#/reservations/31685076410556?display=MHF54NAUT&amp;reservation_id=31685076410556", "MHF54NAUT")</f>
        <v>MHF54NAUT</v>
      </c>
      <c r="B8883" t="s">
        <v>1353</v>
      </c>
      <c r="C8883">
        <v>99</v>
      </c>
      <c r="D8883">
        <v>107.62</v>
      </c>
      <c r="E8883">
        <v>107.61</v>
      </c>
      <c r="F8883">
        <v>0.01</v>
      </c>
    </row>
    <row r="8884" spans="1:6" x14ac:dyDescent="0.3">
      <c r="A8884" t="str">
        <f>HYPERLINK("https://us2.cloudbeds.com/connect/10074733072513#/reservations/31686457962727?display=MHG7EM1T6&amp;reservation_id=31686457962727", "MHG7EM1T6")</f>
        <v>MHG7EM1T6</v>
      </c>
      <c r="B8884" t="s">
        <v>1220</v>
      </c>
      <c r="C8884">
        <v>594</v>
      </c>
      <c r="D8884">
        <v>645.69000000000005</v>
      </c>
      <c r="E8884">
        <v>645.67999999999995</v>
      </c>
      <c r="F8884">
        <v>0.01</v>
      </c>
    </row>
    <row r="8885" spans="1:6" x14ac:dyDescent="0.3">
      <c r="A8885" t="str">
        <f>HYPERLINK("https://us2.cloudbeds.com/connect/10074733072513#/reservations/31686822527184?display=MHGGP2JQW&amp;reservation_id=31686822527184", "MHGGP2JQW")</f>
        <v>MHGGP2JQW</v>
      </c>
      <c r="B8885" t="s">
        <v>1355</v>
      </c>
      <c r="C8885">
        <v>198</v>
      </c>
      <c r="D8885">
        <v>215.24</v>
      </c>
      <c r="E8885">
        <v>215.23</v>
      </c>
      <c r="F8885">
        <v>0.01</v>
      </c>
    </row>
    <row r="8886" spans="1:6" x14ac:dyDescent="0.3">
      <c r="A8886" t="str">
        <f>HYPERLINK("https://us2.cloudbeds.com/connect/10074733072513#/reservations/31689449971934?display=MHXHTK42S&amp;reservation_id=31689449971934", "MHXHTK42S")</f>
        <v>MHXHTK42S</v>
      </c>
      <c r="B8886" t="s">
        <v>1233</v>
      </c>
      <c r="C8886">
        <v>594</v>
      </c>
      <c r="D8886">
        <v>645.69000000000005</v>
      </c>
      <c r="E8886">
        <v>645.67999999999995</v>
      </c>
      <c r="F8886">
        <v>0.01</v>
      </c>
    </row>
    <row r="8887" spans="1:6" x14ac:dyDescent="0.3">
      <c r="A8887" t="str">
        <f>HYPERLINK("https://us2.cloudbeds.com/connect/10074733072513#/reservations/31689216839919?display=MHXBV0T3B&amp;reservation_id=31689216839919", "MHXBV0T3B")</f>
        <v>MHXBV0T3B</v>
      </c>
      <c r="B8887" t="s">
        <v>1352</v>
      </c>
      <c r="C8887">
        <v>129</v>
      </c>
      <c r="D8887">
        <v>140.22999999999999</v>
      </c>
      <c r="E8887">
        <v>140.22</v>
      </c>
      <c r="F8887">
        <v>0.01</v>
      </c>
    </row>
    <row r="8888" spans="1:6" x14ac:dyDescent="0.3">
      <c r="A8888" t="str">
        <f>HYPERLINK("https://us2.cloudbeds.com/connect/10074733072513#/reservations/31689220718724?display=MHXC19QTT&amp;reservation_id=31689220718724", "MHXC19QTT")</f>
        <v>MHXC19QTT</v>
      </c>
      <c r="B8888" t="s">
        <v>1352</v>
      </c>
      <c r="C8888">
        <v>89</v>
      </c>
      <c r="D8888">
        <v>96.75</v>
      </c>
      <c r="E8888">
        <v>96.74</v>
      </c>
      <c r="F8888">
        <v>0.01</v>
      </c>
    </row>
    <row r="8889" spans="1:6" x14ac:dyDescent="0.3">
      <c r="A8889" t="str">
        <f>HYPERLINK("https://us2.cloudbeds.com/connect/10074733072513#/reservations/31684132159733?display=MHEE0G59J&amp;reservation_id=31684132159733", "MHEE0G59J")</f>
        <v>MHEE0G59J</v>
      </c>
      <c r="B8889" t="s">
        <v>1220</v>
      </c>
      <c r="C8889">
        <v>73</v>
      </c>
      <c r="D8889">
        <v>79.36</v>
      </c>
      <c r="E8889">
        <v>79.349999999999994</v>
      </c>
      <c r="F8889">
        <v>0.01</v>
      </c>
    </row>
    <row r="8890" spans="1:6" x14ac:dyDescent="0.3">
      <c r="A8890" t="str">
        <f>HYPERLINK("https://us2.cloudbeds.com/connect/10074733072513#/reservations/31685926871289?display=MHFQSRYK8&amp;reservation_id=31685926871289", "MHFQSRYK8")</f>
        <v>MHFQSRYK8</v>
      </c>
      <c r="B8890" t="s">
        <v>1357</v>
      </c>
      <c r="C8890">
        <v>222</v>
      </c>
      <c r="D8890">
        <v>241.32</v>
      </c>
      <c r="E8890">
        <v>241.31</v>
      </c>
      <c r="F8890">
        <v>0.01</v>
      </c>
    </row>
    <row r="8891" spans="1:6" x14ac:dyDescent="0.3">
      <c r="A8891" t="str">
        <f>HYPERLINK("https://us2.cloudbeds.com/connect/10074733072513#/reservations/31688764129413?display=MHX0C9HW5&amp;reservation_id=31688764129413", "MHX0C9HW5")</f>
        <v>MHX0C9HW5</v>
      </c>
      <c r="B8891" t="s">
        <v>1358</v>
      </c>
      <c r="C8891">
        <v>73</v>
      </c>
      <c r="D8891">
        <v>79.36</v>
      </c>
      <c r="E8891">
        <v>79.349999999999994</v>
      </c>
      <c r="F8891">
        <v>0.01</v>
      </c>
    </row>
    <row r="8892" spans="1:6" x14ac:dyDescent="0.3">
      <c r="A8892" t="str">
        <f>HYPERLINK("https://us2.cloudbeds.com/connect/10074733072513#/reservations/31689756180709?display=MHXPNQRHY&amp;reservation_id=31689756180709", "MHXPNQRHY")</f>
        <v>MHXPNQRHY</v>
      </c>
      <c r="B8892" t="s">
        <v>1352</v>
      </c>
      <c r="C8892">
        <v>89</v>
      </c>
      <c r="D8892">
        <v>96.75</v>
      </c>
      <c r="E8892">
        <v>96.74</v>
      </c>
      <c r="F8892">
        <v>0.01</v>
      </c>
    </row>
    <row r="8893" spans="1:6" x14ac:dyDescent="0.3">
      <c r="A8893" t="str">
        <f>HYPERLINK("https://us2.cloudbeds.com/connect/10074733072513#/reservations/31685919752400?display=MHFQMRXHB&amp;reservation_id=31685919752400", "MHFQMRXHB")</f>
        <v>MHFQMRXHB</v>
      </c>
      <c r="B8893" t="s">
        <v>1357</v>
      </c>
      <c r="C8893">
        <v>222</v>
      </c>
      <c r="D8893">
        <v>241.32</v>
      </c>
      <c r="E8893">
        <v>241.31</v>
      </c>
      <c r="F8893">
        <v>0.01</v>
      </c>
    </row>
    <row r="8894" spans="1:6" x14ac:dyDescent="0.3">
      <c r="A8894" t="str">
        <f>HYPERLINK("https://us2.cloudbeds.com/connect/10074733072513#/reservations/31688802078897?display=MHX1B9HWH&amp;reservation_id=31688802078897", "MHX1B9HWH")</f>
        <v>MHX1B9HWH</v>
      </c>
      <c r="B8894" t="s">
        <v>1220</v>
      </c>
      <c r="C8894">
        <v>225</v>
      </c>
      <c r="D8894">
        <v>244.59</v>
      </c>
      <c r="E8894">
        <v>244.58</v>
      </c>
      <c r="F8894">
        <v>0.01</v>
      </c>
    </row>
    <row r="8895" spans="1:6" x14ac:dyDescent="0.3">
      <c r="A8895" t="str">
        <f>HYPERLINK("https://us2.cloudbeds.com/connect/10074733072513#/reservations/31685943136388?display=MHFR9X8E1&amp;reservation_id=31685943136388", "MHFR9X8E1")</f>
        <v>MHFR9X8E1</v>
      </c>
      <c r="B8895" t="s">
        <v>1357</v>
      </c>
      <c r="C8895">
        <v>222</v>
      </c>
      <c r="D8895">
        <v>241.32</v>
      </c>
      <c r="E8895">
        <v>241.31</v>
      </c>
      <c r="F8895">
        <v>0.01</v>
      </c>
    </row>
    <row r="8896" spans="1:6" x14ac:dyDescent="0.3">
      <c r="A8896" t="str">
        <f>HYPERLINK("https://us2.cloudbeds.com/connect/10074733072513#/reservations/31687706816751?display=MHH6BZ8KH&amp;reservation_id=31687706816751", "MHH6BZ8KH")</f>
        <v>MHH6BZ8KH</v>
      </c>
      <c r="B8896" t="s">
        <v>1358</v>
      </c>
      <c r="C8896">
        <v>99</v>
      </c>
      <c r="D8896">
        <v>107.62</v>
      </c>
      <c r="E8896">
        <v>107.61</v>
      </c>
      <c r="F8896">
        <v>0.01</v>
      </c>
    </row>
    <row r="8897" spans="1:6" x14ac:dyDescent="0.3">
      <c r="A8897" t="str">
        <f>HYPERLINK("https://us2.cloudbeds.com/connect/10074733072513#/reservations/31684621467875?display=MHEQH2T21&amp;reservation_id=31684621467875", "MHEQH2T21")</f>
        <v>MHEQH2T21</v>
      </c>
      <c r="B8897" t="s">
        <v>1220</v>
      </c>
      <c r="C8897">
        <v>79</v>
      </c>
      <c r="D8897">
        <v>85.88</v>
      </c>
      <c r="E8897">
        <v>85.87</v>
      </c>
      <c r="F8897">
        <v>0.01</v>
      </c>
    </row>
    <row r="8898" spans="1:6" x14ac:dyDescent="0.3">
      <c r="A8898" t="str">
        <f>HYPERLINK("https://us2.cloudbeds.com/connect/10074733072513#/reservations/31684628783289?display=MHEQN8EK8&amp;reservation_id=31684628783289", "MHEQN8EK8")</f>
        <v>MHEQN8EK8</v>
      </c>
      <c r="B8898" t="s">
        <v>1220</v>
      </c>
      <c r="C8898">
        <v>79</v>
      </c>
      <c r="D8898">
        <v>85.88</v>
      </c>
      <c r="E8898">
        <v>85.87</v>
      </c>
      <c r="F8898">
        <v>0.01</v>
      </c>
    </row>
    <row r="8899" spans="1:6" x14ac:dyDescent="0.3">
      <c r="A8899" t="str">
        <f>HYPERLINK("https://us2.cloudbeds.com/connect/10074733072513#/reservations/31684634267854?display=MHEQRT1V6&amp;reservation_id=31684634267854", "MHEQRT1V6")</f>
        <v>MHEQRT1V6</v>
      </c>
      <c r="B8899" t="s">
        <v>1220</v>
      </c>
      <c r="C8899">
        <v>79</v>
      </c>
      <c r="D8899">
        <v>85.88</v>
      </c>
      <c r="E8899">
        <v>85.87</v>
      </c>
      <c r="F8899">
        <v>0.01</v>
      </c>
    </row>
    <row r="8900" spans="1:6" x14ac:dyDescent="0.3">
      <c r="A8900" t="str">
        <f>HYPERLINK("https://us2.cloudbeds.com/connect/10074733072513#/reservations/31682825445543?display=MHDDKKU2T&amp;reservation_id=31682825445543", "MHDDKKU2T")</f>
        <v>MHDDKKU2T</v>
      </c>
      <c r="B8900" t="s">
        <v>1359</v>
      </c>
      <c r="C8900">
        <v>158</v>
      </c>
      <c r="D8900">
        <v>171.76</v>
      </c>
      <c r="E8900">
        <v>171.75</v>
      </c>
      <c r="F8900">
        <v>0.01</v>
      </c>
    </row>
    <row r="8901" spans="1:6" x14ac:dyDescent="0.3">
      <c r="A8901" t="str">
        <f>HYPERLINK("https://us2.cloudbeds.com/connect/10074733072513#/reservations/31688772989086?display=MHX0JP2J3&amp;reservation_id=31688772989086", "MHX0JP2J3")</f>
        <v>MHX0JP2J3</v>
      </c>
      <c r="B8901" t="s">
        <v>1358</v>
      </c>
      <c r="C8901">
        <v>97.74</v>
      </c>
      <c r="D8901">
        <v>106.25</v>
      </c>
      <c r="E8901">
        <v>106.24</v>
      </c>
      <c r="F8901">
        <v>0.01</v>
      </c>
    </row>
    <row r="8902" spans="1:6" x14ac:dyDescent="0.3">
      <c r="A8902" t="str">
        <f>HYPERLINK("https://us2.cloudbeds.com/connect/10074733072513#/reservations/31684587319507?display=MHEPY9YH0&amp;reservation_id=31684587319507", "MHEPY9YH0")</f>
        <v>MHEPY9YH0</v>
      </c>
      <c r="B8902" t="s">
        <v>1220</v>
      </c>
      <c r="C8902">
        <v>97.74</v>
      </c>
      <c r="D8902">
        <v>106.25</v>
      </c>
      <c r="E8902">
        <v>106.24</v>
      </c>
      <c r="F8902">
        <v>0.01</v>
      </c>
    </row>
    <row r="8903" spans="1:6" x14ac:dyDescent="0.3">
      <c r="A8903" t="str">
        <f>HYPERLINK("https://us2.cloudbeds.com/connect/10074733072513#/reservations/31684136984779?display=MHEE4XE03&amp;reservation_id=31684136984779", "MHEE4XE03")</f>
        <v>MHEE4XE03</v>
      </c>
      <c r="B8903" t="s">
        <v>1220</v>
      </c>
      <c r="C8903">
        <v>110.86</v>
      </c>
      <c r="D8903">
        <v>120.51</v>
      </c>
      <c r="E8903">
        <v>120.5</v>
      </c>
      <c r="F8903">
        <v>0.01</v>
      </c>
    </row>
    <row r="8904" spans="1:6" x14ac:dyDescent="0.3">
      <c r="A8904" t="str">
        <f>HYPERLINK("https://us2.cloudbeds.com/connect/10074733072513#/reservations/31684151705729?display=MHEEGW1SG&amp;reservation_id=31684151705729", "MHEEGW1SG")</f>
        <v>MHEEGW1SG</v>
      </c>
      <c r="B8904" t="s">
        <v>1220</v>
      </c>
      <c r="C8904">
        <v>73</v>
      </c>
      <c r="D8904">
        <v>79.36</v>
      </c>
      <c r="E8904">
        <v>79.349999999999994</v>
      </c>
      <c r="F8904">
        <v>0.01</v>
      </c>
    </row>
    <row r="8905" spans="1:6" x14ac:dyDescent="0.3">
      <c r="A8905" t="str">
        <f>HYPERLINK("https://us2.cloudbeds.com/connect/10074733072513#/reservations/31682796695714?display=MHDCTCTSV&amp;reservation_id=31682796695714", "MHDCTCTSV")</f>
        <v>MHDCTCTSV</v>
      </c>
      <c r="B8905" t="s">
        <v>1340</v>
      </c>
      <c r="C8905">
        <v>407</v>
      </c>
      <c r="D8905">
        <v>442.42</v>
      </c>
      <c r="E8905">
        <v>442.41</v>
      </c>
      <c r="F8905">
        <v>0.01</v>
      </c>
    </row>
    <row r="8906" spans="1:6" x14ac:dyDescent="0.3">
      <c r="A8906" t="str">
        <f>HYPERLINK("https://us2.cloudbeds.com/connect/10074733072513#/reservations/31682779594958?display=MHDCEW1N7&amp;reservation_id=31682779594958", "MHDCEW1N7")</f>
        <v>MHDCEW1N7</v>
      </c>
      <c r="B8906" t="s">
        <v>1340</v>
      </c>
      <c r="C8906">
        <v>407</v>
      </c>
      <c r="D8906">
        <v>442.42</v>
      </c>
      <c r="E8906">
        <v>442.41</v>
      </c>
      <c r="F8906">
        <v>0.01</v>
      </c>
    </row>
    <row r="8907" spans="1:6" x14ac:dyDescent="0.3">
      <c r="A8907" t="str">
        <f>HYPERLINK("https://us2.cloudbeds.com/connect/10074733072513#/reservations/31685400752272?display=MHFDE6KCZ&amp;reservation_id=31685400752272", "MHFDE6KCZ")</f>
        <v>MHFDE6KCZ</v>
      </c>
      <c r="B8907" t="s">
        <v>1349</v>
      </c>
      <c r="C8907">
        <v>129</v>
      </c>
      <c r="D8907">
        <v>140.22999999999999</v>
      </c>
      <c r="E8907">
        <v>140.22</v>
      </c>
      <c r="F8907">
        <v>0.01</v>
      </c>
    </row>
    <row r="8908" spans="1:6" x14ac:dyDescent="0.3">
      <c r="A8908" t="str">
        <f>HYPERLINK("https://us2.cloudbeds.com/connect/10074733072513#/reservations/31693224775817?display=MHYFBKK0A&amp;reservation_id=31693224775817", "MHYFBKK0A")</f>
        <v>MHYFBKK0A</v>
      </c>
      <c r="B8908" t="s">
        <v>1349</v>
      </c>
      <c r="C8908">
        <v>258</v>
      </c>
      <c r="D8908">
        <v>280.45999999999998</v>
      </c>
      <c r="E8908">
        <v>280.45</v>
      </c>
      <c r="F8908">
        <v>0.01</v>
      </c>
    </row>
    <row r="8909" spans="1:6" x14ac:dyDescent="0.3">
      <c r="A8909" t="str">
        <f>HYPERLINK("https://us2.cloudbeds.com/connect/10074733072513#/reservations/31685394735340?display=MHFD9466F&amp;reservation_id=31685394735340", "MHFD9466F")</f>
        <v>MHFD9466F</v>
      </c>
      <c r="B8909" t="s">
        <v>1349</v>
      </c>
      <c r="C8909">
        <v>258</v>
      </c>
      <c r="D8909">
        <v>280.45999999999998</v>
      </c>
      <c r="E8909">
        <v>280.45</v>
      </c>
      <c r="F8909">
        <v>0.01</v>
      </c>
    </row>
    <row r="8910" spans="1:6" x14ac:dyDescent="0.3">
      <c r="A8910" t="str">
        <f>HYPERLINK("https://us2.cloudbeds.com/connect/10074733072513#/reservations/31684406796535?display=MHEY12B0U&amp;reservation_id=31684406796535", "MHEY12B0U")</f>
        <v>MHEY12B0U</v>
      </c>
      <c r="B8910" t="s">
        <v>1340</v>
      </c>
      <c r="C8910">
        <v>129</v>
      </c>
      <c r="D8910">
        <v>140.22999999999999</v>
      </c>
      <c r="E8910">
        <v>140.22</v>
      </c>
      <c r="F8910">
        <v>0.01</v>
      </c>
    </row>
    <row r="8911" spans="1:6" x14ac:dyDescent="0.3">
      <c r="A8911" t="str">
        <f>HYPERLINK("https://us2.cloudbeds.com/connect/10074733072513#/reservations/31682917617834?display=MHDFWBZFK&amp;reservation_id=31682917617834", "MHDFWBZFK")</f>
        <v>MHDFWBZFK</v>
      </c>
      <c r="B8911" t="s">
        <v>1340</v>
      </c>
      <c r="C8911">
        <v>110.86</v>
      </c>
      <c r="D8911">
        <v>120.51</v>
      </c>
      <c r="E8911">
        <v>120.5</v>
      </c>
      <c r="F8911">
        <v>0.01</v>
      </c>
    </row>
    <row r="8912" spans="1:6" x14ac:dyDescent="0.3">
      <c r="A8912" t="str">
        <f>HYPERLINK("https://us2.cloudbeds.com/connect/10074733072513#/reservations/31684072222952?display=MHECFVAUG&amp;reservation_id=31684072222952", "MHECFVAUG")</f>
        <v>MHECFVAUG</v>
      </c>
      <c r="B8912" t="s">
        <v>1220</v>
      </c>
      <c r="C8912">
        <v>149</v>
      </c>
      <c r="D8912">
        <v>161.97</v>
      </c>
      <c r="E8912">
        <v>161.96</v>
      </c>
      <c r="F8912">
        <v>0.01</v>
      </c>
    </row>
    <row r="8913" spans="1:6" x14ac:dyDescent="0.3">
      <c r="A8913" t="str">
        <f>HYPERLINK("https://us2.cloudbeds.com/connect/10074733072513#/reservations/31685357650165?display=MHFCAS7R2&amp;reservation_id=31685357650165", "MHFCAS7R2")</f>
        <v>MHFCAS7R2</v>
      </c>
      <c r="B8913" t="s">
        <v>1349</v>
      </c>
      <c r="C8913">
        <v>129</v>
      </c>
      <c r="D8913">
        <v>140.22999999999999</v>
      </c>
      <c r="E8913">
        <v>140.22</v>
      </c>
      <c r="F8913">
        <v>0.01</v>
      </c>
    </row>
    <row r="8914" spans="1:6" x14ac:dyDescent="0.3">
      <c r="A8914" t="str">
        <f>HYPERLINK("https://us2.cloudbeds.com/connect/10074733072513#/reservations/31693257035935?display=MHYG5R9KY&amp;reservation_id=31693257035935", "MHYG5R9KY")</f>
        <v>MHYG5R9KY</v>
      </c>
      <c r="B8914" t="s">
        <v>1349</v>
      </c>
      <c r="C8914">
        <v>258</v>
      </c>
      <c r="D8914">
        <v>280.45999999999998</v>
      </c>
      <c r="E8914">
        <v>280.45</v>
      </c>
      <c r="F8914">
        <v>0.01</v>
      </c>
    </row>
    <row r="8915" spans="1:6" x14ac:dyDescent="0.3">
      <c r="A8915" t="str">
        <f>HYPERLINK("https://us2.cloudbeds.com/connect/10074733072513#/reservations/31685352992931?display=MHFC6UY7W&amp;reservation_id=31685352992931", "MHFC6UY7W")</f>
        <v>MHFC6UY7W</v>
      </c>
      <c r="B8915" t="s">
        <v>1349</v>
      </c>
      <c r="C8915">
        <v>129</v>
      </c>
      <c r="D8915">
        <v>140.22999999999999</v>
      </c>
      <c r="E8915">
        <v>140.22</v>
      </c>
      <c r="F8915">
        <v>0.01</v>
      </c>
    </row>
    <row r="8916" spans="1:6" x14ac:dyDescent="0.3">
      <c r="A8916" t="str">
        <f>HYPERLINK("https://us2.cloudbeds.com/connect/10074733072513#/reservations/31692198318318?display=MHKM42U4K&amp;reservation_id=31692198318318", "MHKM42U4K")</f>
        <v>MHKM42U4K</v>
      </c>
      <c r="B8916" t="s">
        <v>1349</v>
      </c>
      <c r="C8916">
        <v>308</v>
      </c>
      <c r="D8916">
        <v>334.81</v>
      </c>
      <c r="E8916">
        <v>334.8</v>
      </c>
      <c r="F8916">
        <v>0.01</v>
      </c>
    </row>
    <row r="8917" spans="1:6" x14ac:dyDescent="0.3">
      <c r="A8917" t="str">
        <f>HYPERLINK("https://us2.cloudbeds.com/connect/10074733072513#/reservations/31693186277534?display=MHYEC5B1M&amp;reservation_id=31693186277534", "MHYEC5B1M")</f>
        <v>MHYEC5B1M</v>
      </c>
      <c r="B8917" t="s">
        <v>1349</v>
      </c>
      <c r="C8917">
        <v>129</v>
      </c>
      <c r="D8917">
        <v>140.22999999999999</v>
      </c>
      <c r="E8917">
        <v>140.22</v>
      </c>
      <c r="F8917">
        <v>0.01</v>
      </c>
    </row>
    <row r="8918" spans="1:6" x14ac:dyDescent="0.3">
      <c r="A8918" t="str">
        <f>HYPERLINK("https://us2.cloudbeds.com/connect/10074733072513#/reservations/31686383358171?display=MHG5HP2G2&amp;reservation_id=31686383358171", "MHG5HP2G2")</f>
        <v>MHG5HP2G2</v>
      </c>
      <c r="B8918" t="s">
        <v>1220</v>
      </c>
      <c r="C8918">
        <v>169</v>
      </c>
      <c r="D8918">
        <v>183.71</v>
      </c>
      <c r="E8918">
        <v>183.7</v>
      </c>
      <c r="F8918">
        <v>0.01</v>
      </c>
    </row>
    <row r="8919" spans="1:6" x14ac:dyDescent="0.3">
      <c r="A8919" t="str">
        <f>HYPERLINK("https://us2.cloudbeds.com/connect/10074733072513#/reservations/31686444056711?display=MHG72V3BP&amp;reservation_id=31686444056711", "MHG72V3BP")</f>
        <v>MHG72V3BP</v>
      </c>
      <c r="B8919" t="s">
        <v>1220</v>
      </c>
      <c r="C8919">
        <v>129</v>
      </c>
      <c r="D8919">
        <v>140.22999999999999</v>
      </c>
      <c r="E8919">
        <v>140.22</v>
      </c>
      <c r="F8919">
        <v>0.01</v>
      </c>
    </row>
    <row r="8920" spans="1:6" x14ac:dyDescent="0.3">
      <c r="A8920" t="str">
        <f>HYPERLINK("https://us2.cloudbeds.com/connect/10074733072513#/reservations/31683079880840?display=MHDK45VAB&amp;reservation_id=31683079880840", "MHDK45VAB")</f>
        <v>MHDK45VAB</v>
      </c>
      <c r="B8920" t="s">
        <v>1349</v>
      </c>
      <c r="C8920">
        <v>129</v>
      </c>
      <c r="D8920">
        <v>140.22999999999999</v>
      </c>
      <c r="E8920">
        <v>140.22</v>
      </c>
      <c r="F8920">
        <v>0.01</v>
      </c>
    </row>
    <row r="8921" spans="1:6" x14ac:dyDescent="0.3">
      <c r="A8921" t="str">
        <f>HYPERLINK("https://us2.cloudbeds.com/connect/10074733072513#/reservations/31693214535894?display=MHYF2WYVX&amp;reservation_id=31693214535894", "MHYF2WYVX")</f>
        <v>MHYF2WYVX</v>
      </c>
      <c r="B8921" t="s">
        <v>1349</v>
      </c>
      <c r="C8921">
        <v>129</v>
      </c>
      <c r="D8921">
        <v>140.22999999999999</v>
      </c>
      <c r="E8921">
        <v>140.22</v>
      </c>
      <c r="F8921">
        <v>0.01</v>
      </c>
    </row>
    <row r="8922" spans="1:6" x14ac:dyDescent="0.3">
      <c r="A8922" t="str">
        <f>HYPERLINK("https://us2.cloudbeds.com/connect/10074733072513#/reservations/31682854617301?display=MHDEC7YZX&amp;reservation_id=31682854617301", "MHDEC7YZX")</f>
        <v>MHDEC7YZX</v>
      </c>
      <c r="B8922" t="s">
        <v>1340</v>
      </c>
      <c r="C8922">
        <v>149</v>
      </c>
      <c r="D8922">
        <v>161.97</v>
      </c>
      <c r="E8922">
        <v>161.96</v>
      </c>
      <c r="F8922">
        <v>0.01</v>
      </c>
    </row>
    <row r="8923" spans="1:6" x14ac:dyDescent="0.3">
      <c r="A8923" t="str">
        <f>HYPERLINK("https://us2.cloudbeds.com/connect/10074733072513#/reservations/31682933842079?display=MHDGD16PD&amp;reservation_id=31682933842079", "MHDGD16PD")</f>
        <v>MHDGD16PD</v>
      </c>
      <c r="B8923" t="s">
        <v>1340</v>
      </c>
      <c r="C8923">
        <v>196</v>
      </c>
      <c r="D8923">
        <v>213.06</v>
      </c>
      <c r="E8923">
        <v>213.05</v>
      </c>
      <c r="F8923">
        <v>0.01</v>
      </c>
    </row>
    <row r="8924" spans="1:6" x14ac:dyDescent="0.3">
      <c r="A8924" t="str">
        <f>HYPERLINK("https://us2.cloudbeds.com/connect/10074733072513#/reservations/31684418916506?display=MHEYB9JFZ&amp;reservation_id=31684418916506", "MHEYB9JFZ")</f>
        <v>MHEYB9JFZ</v>
      </c>
      <c r="B8924" t="s">
        <v>1340</v>
      </c>
      <c r="C8924">
        <v>129</v>
      </c>
      <c r="D8924">
        <v>140.22999999999999</v>
      </c>
      <c r="E8924">
        <v>140.22</v>
      </c>
      <c r="F8924">
        <v>0.01</v>
      </c>
    </row>
    <row r="8925" spans="1:6" x14ac:dyDescent="0.3">
      <c r="A8925" t="str">
        <f>HYPERLINK("https://us2.cloudbeds.com/connect/10074733072513#/reservations/31684351701202?display=MHEJKK7EC&amp;reservation_id=31684351701202", "MHEJKK7EC")</f>
        <v>MHEJKK7EC</v>
      </c>
      <c r="B8925" t="s">
        <v>1340</v>
      </c>
      <c r="C8925">
        <v>129</v>
      </c>
      <c r="D8925">
        <v>140.22999999999999</v>
      </c>
      <c r="E8925">
        <v>140.22</v>
      </c>
      <c r="F8925">
        <v>0.01</v>
      </c>
    </row>
    <row r="8926" spans="1:6" x14ac:dyDescent="0.3">
      <c r="A8926" t="str">
        <f>HYPERLINK("https://us2.cloudbeds.com/connect/10074733072513#/reservations/31684264456402?display=MHEHD1GRX&amp;reservation_id=31684264456402", "MHEHD1GRX")</f>
        <v>MHEHD1GRX</v>
      </c>
      <c r="B8926" t="s">
        <v>1168</v>
      </c>
      <c r="C8926">
        <v>169</v>
      </c>
      <c r="D8926">
        <v>183.71</v>
      </c>
      <c r="E8926">
        <v>183.7</v>
      </c>
      <c r="F8926">
        <v>0.01</v>
      </c>
    </row>
    <row r="8927" spans="1:6" x14ac:dyDescent="0.3">
      <c r="A8927" t="str">
        <f>HYPERLINK("https://us2.cloudbeds.com/connect/10074733072513#/reservations/31683828773063?display=MHE68YWA4&amp;reservation_id=31683828773063", "MHE68YWA4")</f>
        <v>MHE68YWA4</v>
      </c>
      <c r="B8927" t="s">
        <v>1341</v>
      </c>
      <c r="C8927">
        <v>129</v>
      </c>
      <c r="D8927">
        <v>140.22999999999999</v>
      </c>
      <c r="E8927">
        <v>140.22</v>
      </c>
      <c r="F8927">
        <v>0.01</v>
      </c>
    </row>
    <row r="8928" spans="1:6" x14ac:dyDescent="0.3">
      <c r="A8928" t="str">
        <f>HYPERLINK("https://us2.cloudbeds.com/connect/10074733072513#/reservations/31682878648515?display=MHDEWGBW5&amp;reservation_id=31682878648515", "MHDEWGBW5")</f>
        <v>MHDEWGBW5</v>
      </c>
      <c r="B8928" t="s">
        <v>1359</v>
      </c>
      <c r="C8928">
        <v>199</v>
      </c>
      <c r="D8928">
        <v>216.32</v>
      </c>
      <c r="E8928">
        <v>216.31</v>
      </c>
      <c r="F8928">
        <v>0.01</v>
      </c>
    </row>
    <row r="8929" spans="1:6" x14ac:dyDescent="0.3">
      <c r="A8929" t="str">
        <f>HYPERLINK("https://us2.cloudbeds.com/connect/10074733072513#/reservations/31688125575352?display=MHHH1RRK3&amp;reservation_id=31688125575352", "MHHH1RRK3")</f>
        <v>MHHH1RRK3</v>
      </c>
      <c r="B8929" t="s">
        <v>1360</v>
      </c>
      <c r="C8929">
        <v>298</v>
      </c>
      <c r="D8929">
        <v>323.94</v>
      </c>
      <c r="E8929">
        <v>323.93</v>
      </c>
      <c r="F8929">
        <v>0.01</v>
      </c>
    </row>
    <row r="8930" spans="1:6" x14ac:dyDescent="0.3">
      <c r="A8930" t="str">
        <f>HYPERLINK("https://us2.cloudbeds.com/connect/10074733072513#/reservations/31683291775153?display=MHDPHS794&amp;reservation_id=31683291775153", "MHDPHS794")</f>
        <v>MHDPHS794</v>
      </c>
      <c r="B8930" t="s">
        <v>1115</v>
      </c>
      <c r="C8930">
        <v>129</v>
      </c>
      <c r="D8930">
        <v>140.22999999999999</v>
      </c>
      <c r="E8930">
        <v>140.22</v>
      </c>
      <c r="F8930">
        <v>0.01</v>
      </c>
    </row>
    <row r="8931" spans="1:6" x14ac:dyDescent="0.3">
      <c r="A8931" t="str">
        <f>HYPERLINK("https://us2.cloudbeds.com/connect/10074733072513#/reservations/31684920045760?display=MHF0TBDH7&amp;reservation_id=31684920045760", "MHF0TBDH7")</f>
        <v>MHF0TBDH7</v>
      </c>
      <c r="B8931" t="s">
        <v>1341</v>
      </c>
      <c r="C8931">
        <v>278</v>
      </c>
      <c r="D8931">
        <v>302.2</v>
      </c>
      <c r="E8931">
        <v>302.19</v>
      </c>
      <c r="F8931">
        <v>0.01</v>
      </c>
    </row>
    <row r="8932" spans="1:6" x14ac:dyDescent="0.3">
      <c r="A8932" t="str">
        <f>HYPERLINK("https://us2.cloudbeds.com/connect/10074733072513#/reservations/31682736169159?display=MHDBBBYUU&amp;reservation_id=31682736169159", "MHDBBBYUU")</f>
        <v>MHDBBBYUU</v>
      </c>
      <c r="B8932" t="s">
        <v>1115</v>
      </c>
      <c r="C8932">
        <v>129</v>
      </c>
      <c r="D8932">
        <v>140.22999999999999</v>
      </c>
      <c r="E8932">
        <v>140.22</v>
      </c>
      <c r="F8932">
        <v>0.01</v>
      </c>
    </row>
    <row r="8933" spans="1:6" x14ac:dyDescent="0.3">
      <c r="A8933" t="str">
        <f>HYPERLINK("https://us2.cloudbeds.com/connect/10074733072513#/reservations/31682718458019?display=MHDATDR8N&amp;reservation_id=31682718458019", "MHDATDR8N")</f>
        <v>MHDATDR8N</v>
      </c>
      <c r="B8933" t="s">
        <v>1115</v>
      </c>
      <c r="C8933">
        <v>139</v>
      </c>
      <c r="D8933">
        <v>151.1</v>
      </c>
      <c r="E8933">
        <v>151.09</v>
      </c>
      <c r="F8933">
        <v>0.01</v>
      </c>
    </row>
    <row r="8934" spans="1:6" x14ac:dyDescent="0.3">
      <c r="A8934" t="str">
        <f>HYPERLINK("https://us2.cloudbeds.com/connect/10074733072513#/reservations/31688491876489?display=MHHQDNN9X&amp;reservation_id=31688491876489", "MHHQDNN9X")</f>
        <v>MHHQDNN9X</v>
      </c>
      <c r="B8934" t="s">
        <v>1210</v>
      </c>
      <c r="C8934">
        <v>225</v>
      </c>
      <c r="D8934">
        <v>244.59</v>
      </c>
      <c r="E8934">
        <v>244.58</v>
      </c>
      <c r="F8934">
        <v>0.01</v>
      </c>
    </row>
    <row r="8935" spans="1:6" x14ac:dyDescent="0.3">
      <c r="A8935" t="str">
        <f>HYPERLINK("https://us2.cloudbeds.com/connect/10074733072513#/reservations/31683813503192?display=MHE5SQ2CP&amp;reservation_id=31683813503192", "MHE5SQ2CP")</f>
        <v>MHE5SQ2CP</v>
      </c>
      <c r="B8935" t="s">
        <v>1341</v>
      </c>
      <c r="C8935">
        <v>129</v>
      </c>
      <c r="D8935">
        <v>140.22999999999999</v>
      </c>
      <c r="E8935">
        <v>140.22</v>
      </c>
      <c r="F8935">
        <v>0.01</v>
      </c>
    </row>
    <row r="8936" spans="1:6" x14ac:dyDescent="0.3">
      <c r="A8936" t="str">
        <f>HYPERLINK("https://us2.cloudbeds.com/connect/10074733072513#/reservations/31689486512280?display=MHXXRDU42&amp;reservation_id=31689486512280", "MHXXRDU42")</f>
        <v>MHXXRDU42</v>
      </c>
      <c r="B8936" t="s">
        <v>1343</v>
      </c>
      <c r="C8936">
        <v>129</v>
      </c>
      <c r="D8936">
        <v>140.22999999999999</v>
      </c>
      <c r="E8936">
        <v>140.22</v>
      </c>
      <c r="F8936">
        <v>0.01</v>
      </c>
    </row>
    <row r="8937" spans="1:6" x14ac:dyDescent="0.3">
      <c r="A8937" t="str">
        <f>HYPERLINK("https://us2.cloudbeds.com/connect/10074733072513#/reservations/31688088019110?display=MHHG35PN5&amp;reservation_id=31688088019110", "MHHG35PN5")</f>
        <v>MHHG35PN5</v>
      </c>
      <c r="B8937" t="s">
        <v>1361</v>
      </c>
      <c r="C8937">
        <v>139</v>
      </c>
      <c r="D8937">
        <v>151.1</v>
      </c>
      <c r="E8937">
        <v>151.09</v>
      </c>
      <c r="F8937">
        <v>0.01</v>
      </c>
    </row>
    <row r="8938" spans="1:6" x14ac:dyDescent="0.3">
      <c r="A8938" t="str">
        <f>HYPERLINK("https://us2.cloudbeds.com/connect/10074733072513#/reservations/31684221014164?display=MHEG9DYW3&amp;reservation_id=31684221014164", "MHEG9DYW3")</f>
        <v>MHEG9DYW3</v>
      </c>
      <c r="B8938" t="s">
        <v>1361</v>
      </c>
      <c r="C8938">
        <v>139</v>
      </c>
      <c r="D8938">
        <v>151.1</v>
      </c>
      <c r="E8938">
        <v>151.09</v>
      </c>
      <c r="F8938">
        <v>0.01</v>
      </c>
    </row>
    <row r="8939" spans="1:6" x14ac:dyDescent="0.3">
      <c r="A8939" t="str">
        <f>HYPERLINK("https://us2.cloudbeds.com/connect/10074733072513#/reservations/31689624715476?display=MHXMBVKFN&amp;reservation_id=31689624715476", "MHXMBVKFN")</f>
        <v>MHXMBVKFN</v>
      </c>
      <c r="B8939" t="s">
        <v>1210</v>
      </c>
      <c r="C8939">
        <v>129</v>
      </c>
      <c r="D8939">
        <v>140.22999999999999</v>
      </c>
      <c r="E8939">
        <v>140.22</v>
      </c>
      <c r="F8939">
        <v>0.01</v>
      </c>
    </row>
    <row r="8940" spans="1:6" x14ac:dyDescent="0.3">
      <c r="A8940" t="str">
        <f>HYPERLINK("https://us2.cloudbeds.com/connect/10074733072513#/reservations/31683797426312?display=MHE5F7NDJ&amp;reservation_id=31683797426312", "MHE5F7NDJ")</f>
        <v>MHE5F7NDJ</v>
      </c>
      <c r="B8940" t="s">
        <v>1341</v>
      </c>
      <c r="C8940">
        <v>73</v>
      </c>
      <c r="D8940">
        <v>79.36</v>
      </c>
      <c r="E8940">
        <v>79.349999999999994</v>
      </c>
      <c r="F8940">
        <v>0.01</v>
      </c>
    </row>
    <row r="8941" spans="1:6" x14ac:dyDescent="0.3">
      <c r="A8941" t="str">
        <f>HYPERLINK("https://us2.cloudbeds.com/connect/10074733072513#/reservations/31683779588318?display=MHE506B8A&amp;reservation_id=31683779588318", "MHE506B8A")</f>
        <v>MHE506B8A</v>
      </c>
      <c r="B8941" t="s">
        <v>1341</v>
      </c>
      <c r="C8941">
        <v>129</v>
      </c>
      <c r="D8941">
        <v>140.22999999999999</v>
      </c>
      <c r="E8941">
        <v>140.22</v>
      </c>
      <c r="F8941">
        <v>0.01</v>
      </c>
    </row>
    <row r="8942" spans="1:6" x14ac:dyDescent="0.3">
      <c r="A8942" t="str">
        <f>HYPERLINK("https://us2.cloudbeds.com/connect/10074733072513#/reservations/31688499695861?display=MHHQKA9K7&amp;reservation_id=31688499695861", "MHHQKA9K7")</f>
        <v>MHHQKA9K7</v>
      </c>
      <c r="B8942" t="s">
        <v>1210</v>
      </c>
      <c r="C8942">
        <v>225</v>
      </c>
      <c r="D8942">
        <v>244.59</v>
      </c>
      <c r="E8942">
        <v>244.58</v>
      </c>
      <c r="F8942">
        <v>0.01</v>
      </c>
    </row>
    <row r="8943" spans="1:6" x14ac:dyDescent="0.3">
      <c r="A8943" t="str">
        <f>HYPERLINK("https://us2.cloudbeds.com/connect/10074733072513#/reservations/31683779592402?display=MHE506F02&amp;reservation_id=31683779592402", "MHE506F02")</f>
        <v>MHE506F02</v>
      </c>
      <c r="B8943" t="s">
        <v>1297</v>
      </c>
      <c r="C8943">
        <v>169</v>
      </c>
      <c r="D8943">
        <v>183.71</v>
      </c>
      <c r="E8943">
        <v>183.7</v>
      </c>
      <c r="F8943">
        <v>0.01</v>
      </c>
    </row>
    <row r="8944" spans="1:6" x14ac:dyDescent="0.3">
      <c r="A8944" t="str">
        <f>HYPERLINK("https://us2.cloudbeds.com/connect/10074733072513#/reservations/31683402760336?display=MHDSCEX1H&amp;reservation_id=31683402760336", "MHDSCEX1H")</f>
        <v>MHDSCEX1H</v>
      </c>
      <c r="B8944" t="s">
        <v>1341</v>
      </c>
      <c r="C8944">
        <v>129</v>
      </c>
      <c r="D8944">
        <v>140.22999999999999</v>
      </c>
      <c r="E8944">
        <v>140.22</v>
      </c>
      <c r="F8944">
        <v>0.01</v>
      </c>
    </row>
    <row r="8945" spans="1:6" x14ac:dyDescent="0.3">
      <c r="A8945" t="str">
        <f>HYPERLINK("https://us2.cloudbeds.com/connect/10074733072513#/reservations/31692099514591?display=MHKJJPX99&amp;reservation_id=31692099514591", "MHKJJPX99")</f>
        <v>MHKJJPX99</v>
      </c>
      <c r="B8945" t="s">
        <v>1297</v>
      </c>
      <c r="C8945">
        <v>179</v>
      </c>
      <c r="D8945">
        <v>194.58</v>
      </c>
      <c r="E8945">
        <v>194.57</v>
      </c>
      <c r="F8945">
        <v>0.01</v>
      </c>
    </row>
    <row r="8946" spans="1:6" x14ac:dyDescent="0.3">
      <c r="A8946" t="str">
        <f>HYPERLINK("https://us2.cloudbeds.com/connect/10074733072513#/reservations/31688424575126?display=MHHZMVV7A&amp;reservation_id=31688424575126", "MHHZMVV7A")</f>
        <v>MHHZMVV7A</v>
      </c>
      <c r="B8946" t="s">
        <v>1363</v>
      </c>
      <c r="C8946">
        <v>73</v>
      </c>
      <c r="D8946">
        <v>79.36</v>
      </c>
      <c r="E8946">
        <v>79.349999999999994</v>
      </c>
      <c r="F8946">
        <v>0.01</v>
      </c>
    </row>
    <row r="8947" spans="1:6" x14ac:dyDescent="0.3">
      <c r="A8947" t="str">
        <f>HYPERLINK("https://us2.cloudbeds.com/connect/10074733072513#/reservations/31684974428308?display=MHF2HNHAZ&amp;reservation_id=31684974428308", "MHF2HNHAZ")</f>
        <v>MHF2HNHAZ</v>
      </c>
      <c r="B8947" t="s">
        <v>1363</v>
      </c>
      <c r="C8947">
        <v>109</v>
      </c>
      <c r="D8947">
        <v>118.49</v>
      </c>
      <c r="E8947">
        <v>118.48</v>
      </c>
      <c r="F8947">
        <v>0.01</v>
      </c>
    </row>
    <row r="8948" spans="1:6" x14ac:dyDescent="0.3">
      <c r="A8948" t="str">
        <f>HYPERLINK("https://us2.cloudbeds.com/connect/10074733072513#/reservations/31684418912424?display=MHEYB9FZ2&amp;reservation_id=31684418912424", "MHEYB9FZ2")</f>
        <v>MHEYB9FZ2</v>
      </c>
      <c r="B8948" t="s">
        <v>1168</v>
      </c>
      <c r="C8948">
        <v>119</v>
      </c>
      <c r="D8948">
        <v>129.36000000000001</v>
      </c>
      <c r="E8948">
        <v>129.35</v>
      </c>
      <c r="F8948">
        <v>0.01</v>
      </c>
    </row>
    <row r="8949" spans="1:6" x14ac:dyDescent="0.3">
      <c r="A8949" t="str">
        <f>HYPERLINK("https://us2.cloudbeds.com/connect/10074733072513#/reservations/31692099510493?display=MHKJJPEH3&amp;reservation_id=31692099510493", "MHKJJPEH3")</f>
        <v>MHKJJPEH3</v>
      </c>
      <c r="B8949" t="s">
        <v>1297</v>
      </c>
      <c r="C8949">
        <v>338</v>
      </c>
      <c r="D8949">
        <v>367.42</v>
      </c>
      <c r="E8949">
        <v>367.41</v>
      </c>
      <c r="F8949">
        <v>0.01</v>
      </c>
    </row>
    <row r="8950" spans="1:6" x14ac:dyDescent="0.3">
      <c r="A8950" t="str">
        <f>HYPERLINK("https://us2.cloudbeds.com/connect/10074733072513#/reservations/31689623650538?display=MHXMB1WXS&amp;reservation_id=31689623650538", "MHXMB1WXS")</f>
        <v>MHXMB1WXS</v>
      </c>
      <c r="B8950" t="s">
        <v>1210</v>
      </c>
      <c r="C8950">
        <v>258</v>
      </c>
      <c r="D8950">
        <v>280.45999999999998</v>
      </c>
      <c r="E8950">
        <v>280.45</v>
      </c>
      <c r="F8950">
        <v>0.01</v>
      </c>
    </row>
    <row r="8951" spans="1:6" x14ac:dyDescent="0.3">
      <c r="A8951" t="str">
        <f>HYPERLINK("https://us2.cloudbeds.com/connect/10074733072513#/reservations/31684964937882?display=MHF29NEH2&amp;reservation_id=31684964937882", "MHF29NEH2")</f>
        <v>MHF29NEH2</v>
      </c>
      <c r="B8951" t="s">
        <v>1363</v>
      </c>
      <c r="C8951">
        <v>129</v>
      </c>
      <c r="D8951">
        <v>140.22999999999999</v>
      </c>
      <c r="E8951">
        <v>140.22</v>
      </c>
      <c r="F8951">
        <v>0.01</v>
      </c>
    </row>
    <row r="8952" spans="1:6" x14ac:dyDescent="0.3">
      <c r="A8952" t="str">
        <f>HYPERLINK("https://us2.cloudbeds.com/connect/10074733072513#/reservations/31683735908564?display=MHE3TBT9D&amp;reservation_id=31683735908564", "MHE3TBT9D")</f>
        <v>MHE3TBT9D</v>
      </c>
      <c r="B8952" t="s">
        <v>1210</v>
      </c>
      <c r="C8952">
        <v>73</v>
      </c>
      <c r="D8952">
        <v>79.36</v>
      </c>
      <c r="E8952">
        <v>79.349999999999994</v>
      </c>
      <c r="F8952">
        <v>0.01</v>
      </c>
    </row>
    <row r="8953" spans="1:6" x14ac:dyDescent="0.3">
      <c r="A8953" t="str">
        <f>HYPERLINK("https://us2.cloudbeds.com/connect/10074733072513#/reservations/31690865135813?display=MHJY1U4PP&amp;reservation_id=31690865135813", "MHJY1U4PP")</f>
        <v>MHJY1U4PP</v>
      </c>
      <c r="B8953" t="s">
        <v>1364</v>
      </c>
      <c r="C8953">
        <v>225</v>
      </c>
      <c r="D8953">
        <v>244.59</v>
      </c>
      <c r="E8953">
        <v>244.58</v>
      </c>
      <c r="F8953">
        <v>0.01</v>
      </c>
    </row>
    <row r="8954" spans="1:6" x14ac:dyDescent="0.3">
      <c r="A8954" t="str">
        <f>HYPERLINK("https://us2.cloudbeds.com/connect/10074733072513#/reservations/31686917349561?display=MHGJ615NB&amp;reservation_id=31686917349561", "MHGJ615NB")</f>
        <v>MHGJ615NB</v>
      </c>
      <c r="B8954" t="s">
        <v>1242</v>
      </c>
      <c r="C8954">
        <v>79</v>
      </c>
      <c r="D8954">
        <v>85.88</v>
      </c>
      <c r="E8954">
        <v>85.87</v>
      </c>
      <c r="F8954">
        <v>0.01</v>
      </c>
    </row>
    <row r="8955" spans="1:6" x14ac:dyDescent="0.3">
      <c r="A8955" t="str">
        <f>HYPERLINK("https://us2.cloudbeds.com/connect/10074733072513#/reservations/31688440578291?display=MHHP3F8GN&amp;reservation_id=31688440578291", "MHHP3F8GN")</f>
        <v>MHHP3F8GN</v>
      </c>
      <c r="B8955" t="s">
        <v>1363</v>
      </c>
      <c r="C8955">
        <v>129</v>
      </c>
      <c r="D8955">
        <v>140.22999999999999</v>
      </c>
      <c r="E8955">
        <v>140.22</v>
      </c>
      <c r="F8955">
        <v>0.01</v>
      </c>
    </row>
    <row r="8956" spans="1:6" x14ac:dyDescent="0.3">
      <c r="A8956" t="str">
        <f>HYPERLINK("https://us2.cloudbeds.com/connect/10074733072513#/reservations/31689641173209?display=MHXMPRJ5T&amp;reservation_id=31689641173209", "MHXMPRJ5T")</f>
        <v>MHXMPRJ5T</v>
      </c>
      <c r="B8956" t="s">
        <v>1210</v>
      </c>
      <c r="C8956">
        <v>149</v>
      </c>
      <c r="D8956">
        <v>161.97</v>
      </c>
      <c r="E8956">
        <v>161.96</v>
      </c>
      <c r="F8956">
        <v>0.01</v>
      </c>
    </row>
    <row r="8957" spans="1:6" x14ac:dyDescent="0.3">
      <c r="A8957" t="str">
        <f>HYPERLINK("https://us2.cloudbeds.com/connect/10074733072513#/reservations/31691870531716?display=MHKDZMPB9&amp;reservation_id=31691870531716", "MHKDZMPB9")</f>
        <v>MHKDZMPB9</v>
      </c>
      <c r="B8957" t="s">
        <v>1360</v>
      </c>
      <c r="C8957">
        <v>379</v>
      </c>
      <c r="D8957">
        <v>411.98</v>
      </c>
      <c r="E8957">
        <v>411.97</v>
      </c>
      <c r="F8957">
        <v>0.01</v>
      </c>
    </row>
    <row r="8958" spans="1:6" x14ac:dyDescent="0.3">
      <c r="A8958" t="str">
        <f>HYPERLINK("https://us2.cloudbeds.com/connect/10074733072513#/reservations/31683765883098?display=MHE4YKW3K&amp;reservation_id=31683765883098", "MHE4YKW3K")</f>
        <v>MHE4YKW3K</v>
      </c>
      <c r="B8958" t="s">
        <v>1210</v>
      </c>
      <c r="C8958">
        <v>129</v>
      </c>
      <c r="D8958">
        <v>140.22999999999999</v>
      </c>
      <c r="E8958">
        <v>140.22</v>
      </c>
      <c r="F8958">
        <v>0.01</v>
      </c>
    </row>
    <row r="8959" spans="1:6" x14ac:dyDescent="0.3">
      <c r="A8959" t="str">
        <f>HYPERLINK("https://us2.cloudbeds.com/connect/10074733072513#/reservations/31685500367008?display=MHFFW6HW3&amp;reservation_id=31685500367008", "MHFFW6HW3")</f>
        <v>MHFFW6HW3</v>
      </c>
      <c r="B8959" t="s">
        <v>1280</v>
      </c>
      <c r="C8959">
        <v>258</v>
      </c>
      <c r="D8959">
        <v>280.45999999999998</v>
      </c>
      <c r="E8959">
        <v>280.45</v>
      </c>
      <c r="F8959">
        <v>0.01</v>
      </c>
    </row>
    <row r="8960" spans="1:6" x14ac:dyDescent="0.3">
      <c r="A8960" t="str">
        <f>HYPERLINK("https://us2.cloudbeds.com/connect/10074733072513#/reservations/31686566518946?display=MHGA76Q6J&amp;reservation_id=31686566518946", "MHGA76Q6J")</f>
        <v>MHGA76Q6J</v>
      </c>
      <c r="B8960" t="s">
        <v>1362</v>
      </c>
      <c r="C8960">
        <v>129</v>
      </c>
      <c r="D8960">
        <v>140.22999999999999</v>
      </c>
      <c r="E8960">
        <v>140.22</v>
      </c>
      <c r="F8960">
        <v>0.01</v>
      </c>
    </row>
    <row r="8961" spans="1:6" x14ac:dyDescent="0.3">
      <c r="A8961" t="str">
        <f>HYPERLINK("https://us2.cloudbeds.com/connect/10074733072513#/reservations/31683696701586?display=MHE2T9TX5&amp;reservation_id=31683696701586", "MHE2T9TX5")</f>
        <v>MHE2T9TX5</v>
      </c>
      <c r="B8961" t="s">
        <v>1259</v>
      </c>
      <c r="C8961">
        <v>338</v>
      </c>
      <c r="D8961">
        <v>367.42</v>
      </c>
      <c r="E8961">
        <v>367.41</v>
      </c>
      <c r="F8961">
        <v>0.01</v>
      </c>
    </row>
    <row r="8962" spans="1:6" x14ac:dyDescent="0.3">
      <c r="A8962" t="str">
        <f>HYPERLINK("https://us2.cloudbeds.com/connect/10074733072513#/reservations/31687638483185?display=MHH4K3PND&amp;reservation_id=31687638483185", "MHH4K3PND")</f>
        <v>MHH4K3PND</v>
      </c>
      <c r="B8962" t="s">
        <v>1259</v>
      </c>
      <c r="C8962">
        <v>338</v>
      </c>
      <c r="D8962">
        <v>367.42</v>
      </c>
      <c r="E8962">
        <v>367.41</v>
      </c>
      <c r="F8962">
        <v>0.01</v>
      </c>
    </row>
    <row r="8963" spans="1:6" x14ac:dyDescent="0.3">
      <c r="A8963" t="str">
        <f>HYPERLINK("https://us2.cloudbeds.com/connect/10074733072513#/reservations/31690686435576?display=MHJGG7X21&amp;reservation_id=31690686435576", "MHJGG7X21")</f>
        <v>MHJGG7X21</v>
      </c>
      <c r="B8963" t="s">
        <v>1362</v>
      </c>
      <c r="C8963">
        <v>79</v>
      </c>
      <c r="D8963">
        <v>85.88</v>
      </c>
      <c r="E8963">
        <v>85.87</v>
      </c>
      <c r="F8963">
        <v>0.01</v>
      </c>
    </row>
    <row r="8964" spans="1:6" x14ac:dyDescent="0.3">
      <c r="A8964" t="str">
        <f>HYPERLINK("https://us2.cloudbeds.com/connect/10074733072513#/reservations/31683414835337?display=MHDSMKX6M&amp;reservation_id=31683414835337", "MHDSMKX6M")</f>
        <v>MHDSMKX6M</v>
      </c>
      <c r="B8964" t="s">
        <v>1284</v>
      </c>
      <c r="C8964">
        <v>169</v>
      </c>
      <c r="D8964">
        <v>183.71</v>
      </c>
      <c r="E8964">
        <v>183.7</v>
      </c>
      <c r="F8964">
        <v>0.01</v>
      </c>
    </row>
    <row r="8965" spans="1:6" x14ac:dyDescent="0.3">
      <c r="A8965" t="str">
        <f>HYPERLINK("https://us2.cloudbeds.com/connect/10074733072513#/reservations/31690676957417?display=MHJG87QH4&amp;reservation_id=31690676957417", "MHJG87QH4")</f>
        <v>MHJG87QH4</v>
      </c>
      <c r="B8965" t="s">
        <v>1362</v>
      </c>
      <c r="C8965">
        <v>73</v>
      </c>
      <c r="D8965">
        <v>79.36</v>
      </c>
      <c r="E8965">
        <v>79.349999999999994</v>
      </c>
      <c r="F8965">
        <v>0.01</v>
      </c>
    </row>
    <row r="8966" spans="1:6" x14ac:dyDescent="0.3">
      <c r="A8966" t="str">
        <f>HYPERLINK("https://us2.cloudbeds.com/connect/10074733072513#/reservations/31689479282885?display=MHXXYAZXG&amp;reservation_id=31689479282885", "MHXXYAZXG")</f>
        <v>MHXXYAZXG</v>
      </c>
      <c r="B8966" t="s">
        <v>1343</v>
      </c>
      <c r="C8966">
        <v>129</v>
      </c>
      <c r="D8966">
        <v>140.22999999999999</v>
      </c>
      <c r="E8966">
        <v>140.22</v>
      </c>
      <c r="F8966">
        <v>0.01</v>
      </c>
    </row>
    <row r="8967" spans="1:6" x14ac:dyDescent="0.3">
      <c r="A8967" t="str">
        <f>HYPERLINK("https://us2.cloudbeds.com/connect/10074733072513#/reservations/31687631130774?display=MHH4DU662&amp;reservation_id=31687631130774", "MHH4DU662")</f>
        <v>MHH4DU662</v>
      </c>
      <c r="B8967" t="s">
        <v>1259</v>
      </c>
      <c r="C8967">
        <v>338</v>
      </c>
      <c r="D8967">
        <v>367.42</v>
      </c>
      <c r="E8967">
        <v>367.41</v>
      </c>
      <c r="F8967">
        <v>0.01</v>
      </c>
    </row>
    <row r="8968" spans="1:6" x14ac:dyDescent="0.3">
      <c r="A8968" t="str">
        <f>HYPERLINK("https://us2.cloudbeds.com/connect/10074733072513#/reservations/31686566514826?display=MHGA76MDN&amp;reservation_id=31686566514826", "MHGA76MDN")</f>
        <v>MHGA76MDN</v>
      </c>
      <c r="B8968" t="s">
        <v>1362</v>
      </c>
      <c r="C8968">
        <v>129</v>
      </c>
      <c r="D8968">
        <v>140.22999999999999</v>
      </c>
      <c r="E8968">
        <v>140.22</v>
      </c>
      <c r="F8968">
        <v>0.01</v>
      </c>
    </row>
    <row r="8969" spans="1:6" x14ac:dyDescent="0.3">
      <c r="A8969" t="str">
        <f>HYPERLINK("https://us2.cloudbeds.com/connect/10074733072513#/reservations/31685866172561?display=MHFPAYKXS&amp;reservation_id=31685866172561", "MHFPAYKXS")</f>
        <v>MHFPAYKXS</v>
      </c>
      <c r="B8969" t="s">
        <v>1365</v>
      </c>
      <c r="C8969">
        <v>159</v>
      </c>
      <c r="D8969">
        <v>172.84</v>
      </c>
      <c r="E8969">
        <v>172.83</v>
      </c>
      <c r="F8969">
        <v>0.01</v>
      </c>
    </row>
    <row r="8970" spans="1:6" x14ac:dyDescent="0.3">
      <c r="A8970" t="str">
        <f>HYPERLINK("https://us2.cloudbeds.com/connect/10074733072513#/reservations/31684305064073?display=MHEXE9FQ1&amp;reservation_id=31684305064073", "MHEXE9FQ1")</f>
        <v>MHEXE9FQ1</v>
      </c>
      <c r="B8970" t="s">
        <v>1246</v>
      </c>
      <c r="C8970">
        <v>129</v>
      </c>
      <c r="D8970">
        <v>140.22999999999999</v>
      </c>
      <c r="E8970">
        <v>140.22</v>
      </c>
      <c r="F8970">
        <v>0.01</v>
      </c>
    </row>
    <row r="8971" spans="1:6" x14ac:dyDescent="0.3">
      <c r="A8971" t="str">
        <f>HYPERLINK("https://us2.cloudbeds.com/connect/10074733072513#/reservations/31690617458820?display=MHJEZ25HA&amp;reservation_id=31690617458820", "MHJEZ25HA")</f>
        <v>MHJEZ25HA</v>
      </c>
      <c r="B8971" t="s">
        <v>1362</v>
      </c>
      <c r="C8971">
        <v>149</v>
      </c>
      <c r="D8971">
        <v>161.97</v>
      </c>
      <c r="E8971">
        <v>161.96</v>
      </c>
      <c r="F8971">
        <v>0.01</v>
      </c>
    </row>
    <row r="8972" spans="1:6" x14ac:dyDescent="0.3">
      <c r="A8972" t="str">
        <f>HYPERLINK("https://us2.cloudbeds.com/connect/10074733072513#/reservations/31686651814071?display=MHGCD48FB&amp;reservation_id=31686651814071", "MHGCD48FB")</f>
        <v>MHGCD48FB</v>
      </c>
      <c r="B8972" t="s">
        <v>1362</v>
      </c>
      <c r="C8972">
        <v>159</v>
      </c>
      <c r="D8972">
        <v>172.84</v>
      </c>
      <c r="E8972">
        <v>172.83</v>
      </c>
      <c r="F8972">
        <v>0.01</v>
      </c>
    </row>
    <row r="8973" spans="1:6" x14ac:dyDescent="0.3">
      <c r="A8973" t="str">
        <f>HYPERLINK("https://us2.cloudbeds.com/connect/10074733072513#/reservations/31686632730768?display=MHGBU17PE&amp;reservation_id=31686632730768", "MHGBU17PE")</f>
        <v>MHGBU17PE</v>
      </c>
      <c r="B8973" t="s">
        <v>1362</v>
      </c>
      <c r="C8973">
        <v>129</v>
      </c>
      <c r="D8973">
        <v>140.22999999999999</v>
      </c>
      <c r="E8973">
        <v>140.22</v>
      </c>
      <c r="F8973">
        <v>0.01</v>
      </c>
    </row>
    <row r="8974" spans="1:6" x14ac:dyDescent="0.3">
      <c r="A8974" t="str">
        <f>HYPERLINK("https://us2.cloudbeds.com/connect/10074733072513#/reservations/31690901229715?display=MHJYWBGSC&amp;reservation_id=31690901229715", "MHJYWBGSC")</f>
        <v>MHJYWBGSC</v>
      </c>
      <c r="B8974" t="s">
        <v>1364</v>
      </c>
      <c r="C8974">
        <v>129</v>
      </c>
      <c r="D8974">
        <v>140.22999999999999</v>
      </c>
      <c r="E8974">
        <v>140.22</v>
      </c>
      <c r="F8974">
        <v>0.01</v>
      </c>
    </row>
    <row r="8975" spans="1:6" x14ac:dyDescent="0.3">
      <c r="A8975" t="str">
        <f>HYPERLINK("https://us2.cloudbeds.com/connect/10074733072513#/reservations/31690711118022?display=MHJH41C9W&amp;reservation_id=31690711118022", "MHJH41C9W")</f>
        <v>MHJH41C9W</v>
      </c>
      <c r="B8975" t="s">
        <v>1362</v>
      </c>
      <c r="C8975">
        <v>258</v>
      </c>
      <c r="D8975">
        <v>280.45999999999998</v>
      </c>
      <c r="E8975">
        <v>280.45</v>
      </c>
      <c r="F8975">
        <v>0.01</v>
      </c>
    </row>
    <row r="8976" spans="1:6" x14ac:dyDescent="0.3">
      <c r="A8976" t="str">
        <f>HYPERLINK("https://us2.cloudbeds.com/connect/10074733072513#/reservations/31686551113862?display=MHG9R743S&amp;reservation_id=31686551113862", "MHG9R743S")</f>
        <v>MHG9R743S</v>
      </c>
      <c r="B8976" t="s">
        <v>1362</v>
      </c>
      <c r="C8976">
        <v>129</v>
      </c>
      <c r="D8976">
        <v>140.22999999999999</v>
      </c>
      <c r="E8976">
        <v>140.22</v>
      </c>
      <c r="F8976">
        <v>0.01</v>
      </c>
    </row>
    <row r="8977" spans="1:6" x14ac:dyDescent="0.3">
      <c r="A8977" t="str">
        <f>HYPERLINK("https://us2.cloudbeds.com/connect/10074733072513#/reservations/31691750289621?display=MHKAM9S6E&amp;reservation_id=31691750289621", "MHKAM9S6E")</f>
        <v>MHKAM9S6E</v>
      </c>
      <c r="B8977" t="s">
        <v>1270</v>
      </c>
      <c r="C8977">
        <v>298</v>
      </c>
      <c r="D8977">
        <v>323.94</v>
      </c>
      <c r="E8977">
        <v>323.93</v>
      </c>
      <c r="F8977">
        <v>0.01</v>
      </c>
    </row>
    <row r="8978" spans="1:6" x14ac:dyDescent="0.3">
      <c r="A8978" t="str">
        <f>HYPERLINK("https://us2.cloudbeds.com/connect/10074733072513#/reservations/31686614728928?display=MHGBESA54&amp;reservation_id=31686614728928", "MHGBESA54")</f>
        <v>MHGBESA54</v>
      </c>
      <c r="B8978" t="s">
        <v>1362</v>
      </c>
      <c r="C8978">
        <v>129</v>
      </c>
      <c r="D8978">
        <v>140.22999999999999</v>
      </c>
      <c r="E8978">
        <v>140.22</v>
      </c>
      <c r="F8978">
        <v>0.01</v>
      </c>
    </row>
    <row r="8979" spans="1:6" x14ac:dyDescent="0.3">
      <c r="A8979" t="str">
        <f>HYPERLINK("https://us2.cloudbeds.com/connect/10074733072513#/reservations/31690692612235?display=MHJGYEDUX&amp;reservation_id=31690692612235", "MHJGYEDUX")</f>
        <v>MHJGYEDUX</v>
      </c>
      <c r="B8979" t="s">
        <v>1362</v>
      </c>
      <c r="C8979">
        <v>129</v>
      </c>
      <c r="D8979">
        <v>140.22999999999999</v>
      </c>
      <c r="E8979">
        <v>140.22</v>
      </c>
      <c r="F8979">
        <v>0.01</v>
      </c>
    </row>
    <row r="8980" spans="1:6" x14ac:dyDescent="0.3">
      <c r="A8980" t="str">
        <f>HYPERLINK("https://us2.cloudbeds.com/connect/10074733072513#/reservations/31686483706056?display=MHG83CDA2&amp;reservation_id=31686483706056", "MHG83CDA2")</f>
        <v>MHG83CDA2</v>
      </c>
      <c r="B8980" t="s">
        <v>1218</v>
      </c>
      <c r="C8980">
        <v>64.5</v>
      </c>
      <c r="D8980">
        <v>70.12</v>
      </c>
      <c r="E8980">
        <v>70.11</v>
      </c>
      <c r="F8980">
        <v>0.01</v>
      </c>
    </row>
    <row r="8981" spans="1:6" x14ac:dyDescent="0.3">
      <c r="A8981" t="str">
        <f>HYPERLINK("https://us2.cloudbeds.com/connect/10074733072513#/reservations/31690630140125?display=MHJF1P1EA&amp;reservation_id=31690630140125", "MHJF1P1EA")</f>
        <v>MHJF1P1EA</v>
      </c>
      <c r="B8981" t="s">
        <v>1270</v>
      </c>
      <c r="C8981">
        <v>73</v>
      </c>
      <c r="D8981">
        <v>79.36</v>
      </c>
      <c r="E8981">
        <v>79.349999999999994</v>
      </c>
      <c r="F8981">
        <v>0.01</v>
      </c>
    </row>
    <row r="8982" spans="1:6" x14ac:dyDescent="0.3">
      <c r="A8982" t="str">
        <f>HYPERLINK("https://us2.cloudbeds.com/connect/10074733072513#/reservations/31683617382548?display=MHE0SDNVV&amp;reservation_id=31683617382548", "MHE0SDNVV")</f>
        <v>MHE0SDNVV</v>
      </c>
      <c r="B8982" t="s">
        <v>1246</v>
      </c>
      <c r="C8982">
        <v>129</v>
      </c>
      <c r="D8982">
        <v>140.22999999999999</v>
      </c>
      <c r="E8982">
        <v>140.22</v>
      </c>
      <c r="F8982">
        <v>0.01</v>
      </c>
    </row>
    <row r="8983" spans="1:6" x14ac:dyDescent="0.3">
      <c r="A8983" t="str">
        <f>HYPERLINK("https://us2.cloudbeds.com/connect/10074733072513#/reservations/31684917842049?display=MHF12WUYK&amp;reservation_id=31684917842049", "MHF12WUYK")</f>
        <v>MHF12WUYK</v>
      </c>
      <c r="B8983" t="s">
        <v>1280</v>
      </c>
      <c r="C8983">
        <v>129</v>
      </c>
      <c r="D8983">
        <v>140.22999999999999</v>
      </c>
      <c r="E8983">
        <v>140.22</v>
      </c>
      <c r="F8983">
        <v>0.01</v>
      </c>
    </row>
    <row r="8984" spans="1:6" x14ac:dyDescent="0.3">
      <c r="A8984" t="str">
        <f>HYPERLINK("https://us2.cloudbeds.com/connect/10074733072513#/reservations/31685952110821?display=MHFRH3WDX&amp;reservation_id=31685952110821", "MHFRH3WDX")</f>
        <v>MHFRH3WDX</v>
      </c>
      <c r="B8984" t="s">
        <v>1259</v>
      </c>
      <c r="C8984">
        <v>338</v>
      </c>
      <c r="D8984">
        <v>367.42</v>
      </c>
      <c r="E8984">
        <v>367.41</v>
      </c>
      <c r="F8984">
        <v>0.01</v>
      </c>
    </row>
    <row r="8985" spans="1:6" x14ac:dyDescent="0.3">
      <c r="A8985" t="str">
        <f>HYPERLINK("https://us2.cloudbeds.com/connect/10074733072513#/reservations/31686908399837?display=MHGXVG4DJ&amp;reservation_id=31686908399837", "MHGXVG4DJ")</f>
        <v>MHGXVG4DJ</v>
      </c>
      <c r="B8985" t="s">
        <v>1242</v>
      </c>
      <c r="C8985">
        <v>189</v>
      </c>
      <c r="D8985">
        <v>205.45</v>
      </c>
      <c r="E8985">
        <v>205.44</v>
      </c>
      <c r="F8985">
        <v>0.01</v>
      </c>
    </row>
    <row r="8986" spans="1:6" x14ac:dyDescent="0.3">
      <c r="A8986" t="str">
        <f>HYPERLINK("https://us2.cloudbeds.com/connect/10074733072513#/reservations/31685666255031?display=MHFK72KXT&amp;reservation_id=31685666255031", "MHFK72KXT")</f>
        <v>MHFK72KXT</v>
      </c>
      <c r="B8986" t="s">
        <v>1366</v>
      </c>
      <c r="C8986">
        <v>258</v>
      </c>
      <c r="D8986">
        <v>280.45999999999998</v>
      </c>
      <c r="E8986">
        <v>280.45</v>
      </c>
      <c r="F8986">
        <v>0.01</v>
      </c>
    </row>
    <row r="8987" spans="1:6" x14ac:dyDescent="0.3">
      <c r="A8987" t="str">
        <f>HYPERLINK("https://us2.cloudbeds.com/connect/10074733072513#/reservations/31682855334083?display=MHDECRJV7&amp;reservation_id=31682855334083", "MHDECRJV7")</f>
        <v>MHDECRJV7</v>
      </c>
      <c r="B8987" t="s">
        <v>1242</v>
      </c>
      <c r="C8987">
        <v>169</v>
      </c>
      <c r="D8987">
        <v>183.71</v>
      </c>
      <c r="E8987">
        <v>183.7</v>
      </c>
      <c r="F8987">
        <v>0.01</v>
      </c>
    </row>
    <row r="8988" spans="1:6" x14ac:dyDescent="0.3">
      <c r="A8988" t="str">
        <f>HYPERLINK("https://us2.cloudbeds.com/connect/10074733072513#/reservations/31684305068186?display=MHEXE9JXM&amp;reservation_id=31684305068186", "MHEXE9JXM")</f>
        <v>MHEXE9JXM</v>
      </c>
      <c r="B8988" t="s">
        <v>1343</v>
      </c>
      <c r="C8988">
        <v>89</v>
      </c>
      <c r="D8988">
        <v>96.75</v>
      </c>
      <c r="E8988">
        <v>96.74</v>
      </c>
      <c r="F8988">
        <v>0.01</v>
      </c>
    </row>
    <row r="8989" spans="1:6" x14ac:dyDescent="0.3">
      <c r="A8989" t="str">
        <f>HYPERLINK("https://us2.cloudbeds.com/connect/10074733072513#/reservations/31692105625760?display=MHKJZUK07&amp;reservation_id=31692105625760", "MHKJZUK07")</f>
        <v>MHKJZUK07</v>
      </c>
      <c r="B8989" t="s">
        <v>1368</v>
      </c>
      <c r="C8989">
        <v>139</v>
      </c>
      <c r="D8989">
        <v>151.1</v>
      </c>
      <c r="E8989">
        <v>151.09</v>
      </c>
      <c r="F8989">
        <v>0.01</v>
      </c>
    </row>
    <row r="8990" spans="1:6" x14ac:dyDescent="0.3">
      <c r="A8990" t="str">
        <f>HYPERLINK("https://us2.cloudbeds.com/connect/10074733072513#/reservations/31684438265992?display=MHEYRK0JR&amp;reservation_id=31684438265992", "MHEYRK0JR")</f>
        <v>MHEYRK0JR</v>
      </c>
      <c r="B8990" t="s">
        <v>1218</v>
      </c>
      <c r="C8990">
        <v>73</v>
      </c>
      <c r="D8990">
        <v>79.36</v>
      </c>
      <c r="E8990">
        <v>79.349999999999994</v>
      </c>
      <c r="F8990">
        <v>0.01</v>
      </c>
    </row>
    <row r="8991" spans="1:6" x14ac:dyDescent="0.3">
      <c r="A8991" t="str">
        <f>HYPERLINK("https://us2.cloudbeds.com/connect/10074733072513#/reservations/31684430455020?display=MHEYY0YWN&amp;reservation_id=31684430455020", "MHEYY0YWN")</f>
        <v>MHEYY0YWN</v>
      </c>
      <c r="B8991" t="s">
        <v>1218</v>
      </c>
      <c r="C8991">
        <v>73</v>
      </c>
      <c r="D8991">
        <v>79.36</v>
      </c>
      <c r="E8991">
        <v>79.349999999999994</v>
      </c>
      <c r="F8991">
        <v>0.01</v>
      </c>
    </row>
    <row r="8992" spans="1:6" x14ac:dyDescent="0.3">
      <c r="A8992" t="str">
        <f>HYPERLINK("https://us2.cloudbeds.com/connect/10074733072513#/reservations/31683758223545?display=MHE4F5RHV&amp;reservation_id=31683758223545", "MHE4F5RHV")</f>
        <v>MHE4F5RHV</v>
      </c>
      <c r="B8992" t="s">
        <v>1246</v>
      </c>
      <c r="C8992">
        <v>129</v>
      </c>
      <c r="D8992">
        <v>140.22999999999999</v>
      </c>
      <c r="E8992">
        <v>140.22</v>
      </c>
      <c r="F8992">
        <v>0.01</v>
      </c>
    </row>
    <row r="8993" spans="1:6" x14ac:dyDescent="0.3">
      <c r="A8993" t="str">
        <f>HYPERLINK("https://us2.cloudbeds.com/connect/10074733072513#/reservations/31684428894449?display=MHEYJN7VM&amp;reservation_id=31684428894449", "MHEYJN7VM")</f>
        <v>MHEYJN7VM</v>
      </c>
      <c r="B8993" t="s">
        <v>1218</v>
      </c>
      <c r="C8993">
        <v>73</v>
      </c>
      <c r="D8993">
        <v>79.36</v>
      </c>
      <c r="E8993">
        <v>79.349999999999994</v>
      </c>
      <c r="F8993">
        <v>0.01</v>
      </c>
    </row>
    <row r="8994" spans="1:6" x14ac:dyDescent="0.3">
      <c r="A8994" t="str">
        <f>HYPERLINK("https://us2.cloudbeds.com/connect/10074733072513#/reservations/31682180878500?display=MHCU53T58&amp;reservation_id=31682180878500", "MHCU53T58")</f>
        <v>MHCU53T58</v>
      </c>
      <c r="B8994" t="s">
        <v>1369</v>
      </c>
      <c r="C8994">
        <v>252</v>
      </c>
      <c r="D8994">
        <v>273.93</v>
      </c>
      <c r="E8994">
        <v>273.92</v>
      </c>
      <c r="F8994">
        <v>0.01</v>
      </c>
    </row>
    <row r="8995" spans="1:6" x14ac:dyDescent="0.3">
      <c r="A8995" t="str">
        <f>HYPERLINK("https://us2.cloudbeds.com/connect/10074733072513#/reservations/31686648500440?display=MHGCAB1Y9&amp;reservation_id=31686648500440", "MHGCAB1Y9")</f>
        <v>MHGCAB1Y9</v>
      </c>
      <c r="B8995" t="s">
        <v>1303</v>
      </c>
      <c r="C8995">
        <v>119</v>
      </c>
      <c r="D8995">
        <v>129.36000000000001</v>
      </c>
      <c r="E8995">
        <v>129.35</v>
      </c>
      <c r="F8995">
        <v>0.01</v>
      </c>
    </row>
    <row r="8996" spans="1:6" x14ac:dyDescent="0.3">
      <c r="A8996" t="str">
        <f>HYPERLINK("https://us2.cloudbeds.com/connect/10074733072513#/reservations/31689508413652?display=MHXJCTBXW&amp;reservation_id=31689508413652", "MHXJCTBXW")</f>
        <v>MHXJCTBXW</v>
      </c>
      <c r="B8996" t="s">
        <v>1343</v>
      </c>
      <c r="C8996">
        <v>139</v>
      </c>
      <c r="D8996">
        <v>151.1</v>
      </c>
      <c r="E8996">
        <v>151.09</v>
      </c>
      <c r="F8996">
        <v>0.01</v>
      </c>
    </row>
    <row r="8997" spans="1:6" x14ac:dyDescent="0.3">
      <c r="A8997" t="str">
        <f>HYPERLINK("https://us2.cloudbeds.com/connect/10074733072513#/reservations/31683811152056?display=MHE5QQYD7&amp;reservation_id=31683811152056", "MHE5QQYD7")</f>
        <v>MHE5QQYD7</v>
      </c>
      <c r="B8997" t="s">
        <v>1297</v>
      </c>
      <c r="C8997">
        <v>338</v>
      </c>
      <c r="D8997">
        <v>367.42</v>
      </c>
      <c r="E8997">
        <v>367.41</v>
      </c>
      <c r="F8997">
        <v>0.01</v>
      </c>
    </row>
    <row r="8998" spans="1:6" x14ac:dyDescent="0.3">
      <c r="A8998" t="str">
        <f>HYPERLINK("https://us2.cloudbeds.com/connect/10074733072513#/reservations/31684381610202?display=MHEKCRG2M&amp;reservation_id=31684381610202", "MHEKCRG2M")</f>
        <v>MHEKCRG2M</v>
      </c>
      <c r="B8998" t="s">
        <v>1369</v>
      </c>
      <c r="C8998">
        <v>159</v>
      </c>
      <c r="D8998">
        <v>172.84</v>
      </c>
      <c r="E8998">
        <v>172.83</v>
      </c>
      <c r="F8998">
        <v>0.01</v>
      </c>
    </row>
    <row r="8999" spans="1:6" x14ac:dyDescent="0.3">
      <c r="A8999" t="str">
        <f>HYPERLINK("https://us2.cloudbeds.com/connect/10074733072513#/reservations/31686663549128?display=MHGCN0QF4&amp;reservation_id=31686663549128", "MHGCN0QF4")</f>
        <v>MHGCN0QF4</v>
      </c>
      <c r="B8999" t="s">
        <v>1303</v>
      </c>
      <c r="C8999">
        <v>119</v>
      </c>
      <c r="D8999">
        <v>129.36000000000001</v>
      </c>
      <c r="E8999">
        <v>129.35</v>
      </c>
      <c r="F8999">
        <v>0.01</v>
      </c>
    </row>
    <row r="9000" spans="1:6" x14ac:dyDescent="0.3">
      <c r="A9000" t="str">
        <f>HYPERLINK("https://us2.cloudbeds.com/connect/10074733072513#/reservations/31690271793404?display=MHJ5TJH2P&amp;reservation_id=31690271793404", "MHJ5TJH2P")</f>
        <v>MHJ5TJH2P</v>
      </c>
      <c r="B9000" t="s">
        <v>1369</v>
      </c>
      <c r="C9000">
        <v>258</v>
      </c>
      <c r="D9000">
        <v>280.45999999999998</v>
      </c>
      <c r="E9000">
        <v>280.45</v>
      </c>
      <c r="F9000">
        <v>0.01</v>
      </c>
    </row>
    <row r="9001" spans="1:6" x14ac:dyDescent="0.3">
      <c r="A9001" t="str">
        <f>HYPERLINK("https://us2.cloudbeds.com/connect/10074733072513#/reservations/31690203582592?display=MHJ452B68&amp;reservation_id=31690203582592", "MHJ452B68")</f>
        <v>MHJ452B68</v>
      </c>
      <c r="B9001" t="s">
        <v>1343</v>
      </c>
      <c r="C9001">
        <v>89</v>
      </c>
      <c r="D9001">
        <v>96.75</v>
      </c>
      <c r="E9001">
        <v>96.74</v>
      </c>
      <c r="F9001">
        <v>0.01</v>
      </c>
    </row>
    <row r="9002" spans="1:6" x14ac:dyDescent="0.3">
      <c r="A9002" t="str">
        <f>HYPERLINK("https://us2.cloudbeds.com/connect/10074733072513#/reservations/31682168606880?display=MHCTRPDEW&amp;reservation_id=31682168606880", "MHCTRPDEW")</f>
        <v>MHCTRPDEW</v>
      </c>
      <c r="B9002" t="s">
        <v>1369</v>
      </c>
      <c r="C9002">
        <v>258</v>
      </c>
      <c r="D9002">
        <v>280.45999999999998</v>
      </c>
      <c r="E9002">
        <v>280.45</v>
      </c>
      <c r="F9002">
        <v>0.01</v>
      </c>
    </row>
    <row r="9003" spans="1:6" x14ac:dyDescent="0.3">
      <c r="A9003" t="str">
        <f>HYPERLINK("https://us2.cloudbeds.com/connect/10074733072513#/reservations/31686477770897?display=MHG7VC86P&amp;reservation_id=31686477770897", "MHG7VC86P")</f>
        <v>MHG7VC86P</v>
      </c>
      <c r="B9003" t="s">
        <v>1218</v>
      </c>
      <c r="C9003">
        <v>225</v>
      </c>
      <c r="D9003">
        <v>244.59</v>
      </c>
      <c r="E9003">
        <v>244.58</v>
      </c>
      <c r="F9003">
        <v>0.01</v>
      </c>
    </row>
    <row r="9004" spans="1:6" x14ac:dyDescent="0.3">
      <c r="A9004" t="str">
        <f>HYPERLINK("https://us2.cloudbeds.com/connect/10074733072513#/reservations/31686981484717?display=MHGKR3RAU&amp;reservation_id=31686981484717", "MHGKR3RAU")</f>
        <v>MHGKR3RAU</v>
      </c>
      <c r="B9004" t="s">
        <v>1225</v>
      </c>
      <c r="C9004">
        <v>159</v>
      </c>
      <c r="D9004">
        <v>172.84</v>
      </c>
      <c r="E9004">
        <v>172.83</v>
      </c>
      <c r="F9004">
        <v>0.01</v>
      </c>
    </row>
    <row r="9005" spans="1:6" x14ac:dyDescent="0.3">
      <c r="A9005" t="str">
        <f>HYPERLINK("https://us2.cloudbeds.com/connect/10074733072513#/reservations/31690210967762?display=MHJ4B9VGG&amp;reservation_id=31690210967762", "MHJ4B9VGG")</f>
        <v>MHJ4B9VGG</v>
      </c>
      <c r="B9005" t="s">
        <v>1343</v>
      </c>
      <c r="C9005">
        <v>73</v>
      </c>
      <c r="D9005">
        <v>79.36</v>
      </c>
      <c r="E9005">
        <v>79.349999999999994</v>
      </c>
      <c r="F9005">
        <v>0.01</v>
      </c>
    </row>
    <row r="9006" spans="1:6" x14ac:dyDescent="0.3">
      <c r="A9006" t="str">
        <f>HYPERLINK("https://us2.cloudbeds.com/connect/10074733072513#/reservations/31688355737768?display=MHHMUUEMP&amp;reservation_id=31688355737768", "MHHMUUEMP")</f>
        <v>MHHMUUEMP</v>
      </c>
      <c r="B9006" t="s">
        <v>1168</v>
      </c>
      <c r="C9006">
        <v>179</v>
      </c>
      <c r="D9006">
        <v>194.58</v>
      </c>
      <c r="E9006">
        <v>194.57</v>
      </c>
      <c r="F9006">
        <v>0.01</v>
      </c>
    </row>
    <row r="9007" spans="1:6" x14ac:dyDescent="0.3">
      <c r="A9007" t="str">
        <f>HYPERLINK("https://us2.cloudbeds.com/connect/10074733072513#/reservations/31682122694906?display=MHCSM1RN1&amp;reservation_id=31682122694906", "MHCSM1RN1")</f>
        <v>MHCSM1RN1</v>
      </c>
      <c r="B9007" t="s">
        <v>1369</v>
      </c>
      <c r="C9007">
        <v>73</v>
      </c>
      <c r="D9007">
        <v>79.36</v>
      </c>
      <c r="E9007">
        <v>79.349999999999994</v>
      </c>
      <c r="F9007">
        <v>0.01</v>
      </c>
    </row>
    <row r="9008" spans="1:6" x14ac:dyDescent="0.3">
      <c r="A9008" t="str">
        <f>HYPERLINK("https://us2.cloudbeds.com/connect/10074733072513#/reservations/31682152833175?display=MHCTEFFSU&amp;reservation_id=31682152833175", "MHCTEFFSU")</f>
        <v>MHCTEFFSU</v>
      </c>
      <c r="B9008" t="s">
        <v>1369</v>
      </c>
      <c r="C9008">
        <v>129</v>
      </c>
      <c r="D9008">
        <v>140.22999999999999</v>
      </c>
      <c r="E9008">
        <v>140.22</v>
      </c>
      <c r="F9008">
        <v>0.01</v>
      </c>
    </row>
    <row r="9009" spans="1:6" x14ac:dyDescent="0.3">
      <c r="A9009" t="str">
        <f>HYPERLINK("https://us2.cloudbeds.com/connect/10074733072513#/reservations/31684369694873?display=MHEK2PUX4&amp;reservation_id=31684369694873", "MHEK2PUX4")</f>
        <v>MHEK2PUX4</v>
      </c>
      <c r="B9009" t="s">
        <v>1369</v>
      </c>
      <c r="C9009">
        <v>129</v>
      </c>
      <c r="D9009">
        <v>140.22999999999999</v>
      </c>
      <c r="E9009">
        <v>140.22</v>
      </c>
      <c r="F9009">
        <v>0.01</v>
      </c>
    </row>
    <row r="9010" spans="1:6" x14ac:dyDescent="0.3">
      <c r="A9010" t="str">
        <f>HYPERLINK("https://us2.cloudbeds.com/connect/10074733072513#/reservations/31689534787724?display=MHXK2486A&amp;reservation_id=31689534787724", "MHXK2486A")</f>
        <v>MHXK2486A</v>
      </c>
      <c r="B9010" t="s">
        <v>1343</v>
      </c>
      <c r="C9010">
        <v>139</v>
      </c>
      <c r="D9010">
        <v>151.1</v>
      </c>
      <c r="E9010">
        <v>151.09</v>
      </c>
      <c r="F9010">
        <v>0.01</v>
      </c>
    </row>
    <row r="9011" spans="1:6" x14ac:dyDescent="0.3">
      <c r="A9011" t="str">
        <f>HYPERLINK("https://us2.cloudbeds.com/connect/10074733072513#/reservations/31684050632908?display=MHEBUZXBZ&amp;reservation_id=31684050632908", "MHEBUZXBZ")</f>
        <v>MHEBUZXBZ</v>
      </c>
      <c r="B9011" t="s">
        <v>1297</v>
      </c>
      <c r="C9011">
        <v>169</v>
      </c>
      <c r="D9011">
        <v>183.71</v>
      </c>
      <c r="E9011">
        <v>183.7</v>
      </c>
      <c r="F9011">
        <v>0.01</v>
      </c>
    </row>
    <row r="9012" spans="1:6" x14ac:dyDescent="0.3">
      <c r="A9012" t="str">
        <f>HYPERLINK("https://us2.cloudbeds.com/connect/10074733072513#/reservations/31686377357440?display=MHG5CMWFX&amp;reservation_id=31686377357440", "MHG5CMWFX")</f>
        <v>MHG5CMWFX</v>
      </c>
      <c r="B9012" t="s">
        <v>1218</v>
      </c>
      <c r="C9012">
        <v>129</v>
      </c>
      <c r="D9012">
        <v>140.22999999999999</v>
      </c>
      <c r="E9012">
        <v>140.22</v>
      </c>
      <c r="F9012">
        <v>0.01</v>
      </c>
    </row>
    <row r="9013" spans="1:6" x14ac:dyDescent="0.3">
      <c r="A9013" t="str">
        <f>HYPERLINK("https://us2.cloudbeds.com/connect/10074733072513#/reservations/31685647671518?display=MHFJZDGR4&amp;reservation_id=31685647671518", "MHFJZDGR4")</f>
        <v>MHFJZDGR4</v>
      </c>
      <c r="B9013" t="s">
        <v>1366</v>
      </c>
      <c r="C9013">
        <v>79</v>
      </c>
      <c r="D9013">
        <v>85.88</v>
      </c>
      <c r="E9013">
        <v>85.87</v>
      </c>
      <c r="F9013">
        <v>0.01</v>
      </c>
    </row>
    <row r="9014" spans="1:6" x14ac:dyDescent="0.3">
      <c r="A9014" t="str">
        <f>HYPERLINK("https://us2.cloudbeds.com/connect/10074733072513#/reservations/31686494261395?display=MHG8C93WR&amp;reservation_id=31686494261395", "MHG8C93WR")</f>
        <v>MHG8C93WR</v>
      </c>
      <c r="B9014" t="s">
        <v>1218</v>
      </c>
      <c r="C9014">
        <v>129</v>
      </c>
      <c r="D9014">
        <v>140.22999999999999</v>
      </c>
      <c r="E9014">
        <v>140.22</v>
      </c>
      <c r="F9014">
        <v>0.01</v>
      </c>
    </row>
    <row r="9015" spans="1:6" x14ac:dyDescent="0.3">
      <c r="A9015" t="str">
        <f>HYPERLINK("https://us2.cloudbeds.com/connect/10074733072513#/reservations/31682209288419?display=MHCUT2E7T&amp;reservation_id=31682209288419", "MHCUT2E7T")</f>
        <v>MHCUT2E7T</v>
      </c>
      <c r="B9015" t="s">
        <v>1369</v>
      </c>
      <c r="C9015">
        <v>139</v>
      </c>
      <c r="D9015">
        <v>151.1</v>
      </c>
      <c r="E9015">
        <v>151.09</v>
      </c>
      <c r="F9015">
        <v>0.01</v>
      </c>
    </row>
    <row r="9016" spans="1:6" x14ac:dyDescent="0.3">
      <c r="A9016" t="str">
        <f>HYPERLINK("https://us2.cloudbeds.com/connect/10074733072513#/reservations/31684408123588?display=MHEY268KY&amp;reservation_id=31684408123588", "MHEY268KY")</f>
        <v>MHEY268KY</v>
      </c>
      <c r="B9016" t="s">
        <v>1218</v>
      </c>
      <c r="C9016">
        <v>73</v>
      </c>
      <c r="D9016">
        <v>79.36</v>
      </c>
      <c r="E9016">
        <v>79.349999999999994</v>
      </c>
      <c r="F9016">
        <v>0.01</v>
      </c>
    </row>
    <row r="9017" spans="1:6" x14ac:dyDescent="0.3">
      <c r="A9017" t="str">
        <f>HYPERLINK("https://us2.cloudbeds.com/connect/10074733072513#/reservations/31687283540130?display=MHGSHQVS8&amp;reservation_id=31687283540130", "MHGSHQVS8")</f>
        <v>MHGSHQVS8</v>
      </c>
      <c r="B9017" t="s">
        <v>1364</v>
      </c>
      <c r="C9017">
        <v>73</v>
      </c>
      <c r="D9017">
        <v>79.36</v>
      </c>
      <c r="E9017">
        <v>79.349999999999994</v>
      </c>
      <c r="F9017">
        <v>0.01</v>
      </c>
    </row>
    <row r="9018" spans="1:6" x14ac:dyDescent="0.3">
      <c r="A9018" t="str">
        <f>HYPERLINK("https://us2.cloudbeds.com/connect/10074733072513#/reservations/31690888110221?display=MHJYY9EXU&amp;reservation_id=31690888110221", "MHJYY9EXU")</f>
        <v>MHJYY9EXU</v>
      </c>
      <c r="B9018" t="s">
        <v>1364</v>
      </c>
      <c r="C9018">
        <v>129</v>
      </c>
      <c r="D9018">
        <v>140.22999999999999</v>
      </c>
      <c r="E9018">
        <v>140.22</v>
      </c>
      <c r="F9018">
        <v>0.01</v>
      </c>
    </row>
    <row r="9019" spans="1:6" x14ac:dyDescent="0.3">
      <c r="A9019" t="str">
        <f>HYPERLINK("https://us2.cloudbeds.com/connect/10074733072513#/reservations/31684033339596?display=MHEBG5BBW&amp;reservation_id=31684033339596", "MHEBG5BBW")</f>
        <v>MHEBG5BBW</v>
      </c>
      <c r="B9019" t="s">
        <v>1297</v>
      </c>
      <c r="C9019">
        <v>338</v>
      </c>
      <c r="D9019">
        <v>367.42</v>
      </c>
      <c r="E9019">
        <v>367.41</v>
      </c>
      <c r="F9019">
        <v>0.01</v>
      </c>
    </row>
    <row r="9020" spans="1:6" x14ac:dyDescent="0.3">
      <c r="A9020" t="str">
        <f>HYPERLINK("https://us2.cloudbeds.com/connect/10074733072513#/reservations/31684033335500?display=MHEBG57JS&amp;reservation_id=31684033335500", "MHEBG57JS")</f>
        <v>MHEBG57JS</v>
      </c>
      <c r="B9020" t="s">
        <v>1297</v>
      </c>
      <c r="C9020">
        <v>199</v>
      </c>
      <c r="D9020">
        <v>216.32</v>
      </c>
      <c r="E9020">
        <v>216.31</v>
      </c>
      <c r="F9020">
        <v>0.01</v>
      </c>
    </row>
    <row r="9021" spans="1:6" x14ac:dyDescent="0.3">
      <c r="A9021" t="str">
        <f>HYPERLINK("https://us2.cloudbeds.com/connect/10074733072513#/reservations/31687189418187?display=MHGQ4ET54&amp;reservation_id=31687189418187", "MHGQ4ET54")</f>
        <v>MHGQ4ET54</v>
      </c>
      <c r="B9021" t="s">
        <v>1364</v>
      </c>
      <c r="C9021">
        <v>129</v>
      </c>
      <c r="D9021">
        <v>140.22999999999999</v>
      </c>
      <c r="E9021">
        <v>140.22</v>
      </c>
      <c r="F9021">
        <v>0.01</v>
      </c>
    </row>
    <row r="9022" spans="1:6" x14ac:dyDescent="0.3">
      <c r="A9022" t="str">
        <f>HYPERLINK("https://us2.cloudbeds.com/connect/10074733072513#/reservations/31687245467848?display=MHGRXNX2Z&amp;reservation_id=31687245467848", "MHGRXNX2Z")</f>
        <v>MHGRXNX2Z</v>
      </c>
      <c r="B9022" t="s">
        <v>1364</v>
      </c>
      <c r="C9022">
        <v>119</v>
      </c>
      <c r="D9022">
        <v>129.36000000000001</v>
      </c>
      <c r="E9022">
        <v>129.35</v>
      </c>
      <c r="F9022">
        <v>0.01</v>
      </c>
    </row>
    <row r="9023" spans="1:6" x14ac:dyDescent="0.3">
      <c r="A9023" t="str">
        <f>HYPERLINK("https://us2.cloudbeds.com/connect/10074733072513#/reservations/31687269413067?display=MHGS5TSBE&amp;reservation_id=31687269413067", "MHGS5TSBE")</f>
        <v>MHGS5TSBE</v>
      </c>
      <c r="B9023" t="s">
        <v>1364</v>
      </c>
      <c r="C9023">
        <v>119</v>
      </c>
      <c r="D9023">
        <v>129.36000000000001</v>
      </c>
      <c r="E9023">
        <v>129.35</v>
      </c>
      <c r="F9023">
        <v>0.01</v>
      </c>
    </row>
    <row r="9024" spans="1:6" x14ac:dyDescent="0.3">
      <c r="A9024" t="str">
        <f>HYPERLINK("https://us2.cloudbeds.com/connect/10074733072513#/reservations/31692794310793?display=MHY4BY9AY&amp;reservation_id=31692794310793", "MHY4BY9AY")</f>
        <v>MHY4BY9AY</v>
      </c>
      <c r="B9024" t="s">
        <v>1013</v>
      </c>
      <c r="C9024">
        <v>338</v>
      </c>
      <c r="D9024">
        <v>367.42</v>
      </c>
      <c r="E9024">
        <v>367.41</v>
      </c>
      <c r="F9024">
        <v>0.01</v>
      </c>
    </row>
    <row r="9025" spans="1:6" x14ac:dyDescent="0.3">
      <c r="A9025" t="str">
        <f>HYPERLINK("https://us2.cloudbeds.com/connect/10074733072513#/reservations/31683813507281?display=MHE5SQ64M&amp;reservation_id=31683813507281", "MHE5SQ64M")</f>
        <v>MHE5SQ64M</v>
      </c>
      <c r="B9025" t="s">
        <v>1297</v>
      </c>
      <c r="C9025">
        <v>338</v>
      </c>
      <c r="D9025">
        <v>367.42</v>
      </c>
      <c r="E9025">
        <v>367.41</v>
      </c>
      <c r="F9025">
        <v>0.01</v>
      </c>
    </row>
    <row r="9026" spans="1:6" x14ac:dyDescent="0.3">
      <c r="A9026" t="str">
        <f>HYPERLINK("https://us2.cloudbeds.com/connect/10074733072513#/reservations/31692077326505?display=MHKJ124X1&amp;reservation_id=31692077326505", "MHKJ124X1")</f>
        <v>MHKJ124X1</v>
      </c>
      <c r="B9026" t="s">
        <v>1345</v>
      </c>
      <c r="C9026">
        <v>159</v>
      </c>
      <c r="D9026">
        <v>172.84</v>
      </c>
      <c r="E9026">
        <v>172.83</v>
      </c>
      <c r="F9026">
        <v>0.01</v>
      </c>
    </row>
    <row r="9027" spans="1:6" x14ac:dyDescent="0.3">
      <c r="A9027" t="str">
        <f>HYPERLINK("https://us2.cloudbeds.com/connect/10074733072513#/reservations/31686937546991?display=MHGJN26FM&amp;reservation_id=31686937546991", "MHGJN26FM")</f>
        <v>MHGJN26FM</v>
      </c>
      <c r="B9027" t="s">
        <v>1225</v>
      </c>
      <c r="C9027">
        <v>225</v>
      </c>
      <c r="D9027">
        <v>244.59</v>
      </c>
      <c r="E9027">
        <v>244.58</v>
      </c>
      <c r="F9027">
        <v>0.01</v>
      </c>
    </row>
    <row r="9028" spans="1:6" x14ac:dyDescent="0.3">
      <c r="A9028" t="str">
        <f>HYPERLINK("https://us2.cloudbeds.com/connect/10074733072513#/reservations/31687252959398?display=MHGRP10CD&amp;reservation_id=31687252959398", "MHGRP10CD")</f>
        <v>MHGRP10CD</v>
      </c>
      <c r="B9028" t="s">
        <v>1364</v>
      </c>
      <c r="C9028">
        <v>119</v>
      </c>
      <c r="D9028">
        <v>129.36000000000001</v>
      </c>
      <c r="E9028">
        <v>129.35</v>
      </c>
      <c r="F9028">
        <v>0.01</v>
      </c>
    </row>
    <row r="9029" spans="1:6" x14ac:dyDescent="0.3">
      <c r="A9029" t="str">
        <f>HYPERLINK("https://us2.cloudbeds.com/connect/10074733072513#/reservations/31690947743965?display=MHJN5XRM3&amp;reservation_id=31690947743965", "MHJN5XRM3")</f>
        <v>MHJN5XRM3</v>
      </c>
      <c r="B9029" t="s">
        <v>1345</v>
      </c>
      <c r="C9029">
        <v>179</v>
      </c>
      <c r="D9029">
        <v>194.58</v>
      </c>
      <c r="E9029">
        <v>194.57</v>
      </c>
      <c r="F9029">
        <v>0.01</v>
      </c>
    </row>
    <row r="9030" spans="1:6" x14ac:dyDescent="0.3">
      <c r="A9030" t="str">
        <f>HYPERLINK("https://us2.cloudbeds.com/connect/10074733072513#/reservations/31684030562483?display=MHEBDR271&amp;reservation_id=31684030562483", "MHEBDR271")</f>
        <v>MHEBDR271</v>
      </c>
      <c r="B9030" t="s">
        <v>1297</v>
      </c>
      <c r="C9030">
        <v>169</v>
      </c>
      <c r="D9030">
        <v>183.71</v>
      </c>
      <c r="E9030">
        <v>183.7</v>
      </c>
      <c r="F9030">
        <v>0.01</v>
      </c>
    </row>
    <row r="9031" spans="1:6" x14ac:dyDescent="0.3">
      <c r="A9031" t="str">
        <f>HYPERLINK("https://us2.cloudbeds.com/connect/10074733072513#/reservations/31684883296448?display=MHF06SHY1&amp;reservation_id=31684883296448", "MHF06SHY1")</f>
        <v>MHF06SHY1</v>
      </c>
      <c r="B9031" t="s">
        <v>1370</v>
      </c>
      <c r="C9031">
        <v>318</v>
      </c>
      <c r="D9031">
        <v>345.68</v>
      </c>
      <c r="E9031">
        <v>345.67</v>
      </c>
      <c r="F9031">
        <v>0.01</v>
      </c>
    </row>
    <row r="9032" spans="1:6" x14ac:dyDescent="0.3">
      <c r="A9032" t="str">
        <f>HYPERLINK("https://us2.cloudbeds.com/connect/10074733072513#/reservations/31690664513672?display=MHJFUZHZV&amp;reservation_id=31690664513672", "MHJFUZHZV")</f>
        <v>MHJFUZHZV</v>
      </c>
      <c r="B9032" t="s">
        <v>1233</v>
      </c>
      <c r="C9032">
        <v>225</v>
      </c>
      <c r="D9032">
        <v>244.59</v>
      </c>
      <c r="E9032">
        <v>244.58</v>
      </c>
      <c r="F9032">
        <v>0.01</v>
      </c>
    </row>
    <row r="9033" spans="1:6" x14ac:dyDescent="0.3">
      <c r="A9033" t="str">
        <f>HYPERLINK("https://us2.cloudbeds.com/connect/10074733072513#/reservations/31690924974230?display=MHJMJC7R4&amp;reservation_id=31690924974230", "MHJMJC7R4")</f>
        <v>MHJMJC7R4</v>
      </c>
      <c r="B9033" t="s">
        <v>1345</v>
      </c>
      <c r="C9033">
        <v>149</v>
      </c>
      <c r="D9033">
        <v>161.97</v>
      </c>
      <c r="E9033">
        <v>161.96</v>
      </c>
      <c r="F9033">
        <v>0.01</v>
      </c>
    </row>
    <row r="9034" spans="1:6" x14ac:dyDescent="0.3">
      <c r="A9034" t="str">
        <f>HYPERLINK("https://us2.cloudbeds.com/connect/10074733072513#/reservations/31692031586499?display=MHKHSGBN8&amp;reservation_id=31692031586499", "MHKHSGBN8")</f>
        <v>MHKHSGBN8</v>
      </c>
      <c r="B9034" t="s">
        <v>1345</v>
      </c>
      <c r="C9034">
        <v>149</v>
      </c>
      <c r="D9034">
        <v>161.97</v>
      </c>
      <c r="E9034">
        <v>161.96</v>
      </c>
      <c r="F9034">
        <v>0.01</v>
      </c>
    </row>
    <row r="9035" spans="1:6" x14ac:dyDescent="0.3">
      <c r="A9035" t="str">
        <f>HYPERLINK("https://us2.cloudbeds.com/connect/10074733072513#/reservations/31693271728275?display=MHYGX7472&amp;reservation_id=31693271728275", "MHYGX7472")</f>
        <v>MHYGX7472</v>
      </c>
      <c r="B9035" t="s">
        <v>1349</v>
      </c>
      <c r="C9035">
        <v>258</v>
      </c>
      <c r="D9035">
        <v>280.45999999999998</v>
      </c>
      <c r="E9035">
        <v>280.45</v>
      </c>
      <c r="F9035">
        <v>0.01</v>
      </c>
    </row>
    <row r="9036" spans="1:6" x14ac:dyDescent="0.3">
      <c r="A9036" t="str">
        <f>HYPERLINK("https://us2.cloudbeds.com/connect/10074733072513#/reservations/31683844636912?display=MHE6M1DYR&amp;reservation_id=31683844636912", "MHE6M1DYR")</f>
        <v>MHE6M1DYR</v>
      </c>
      <c r="B9036" t="s">
        <v>1297</v>
      </c>
      <c r="C9036">
        <v>179</v>
      </c>
      <c r="D9036">
        <v>194.58</v>
      </c>
      <c r="E9036">
        <v>194.57</v>
      </c>
      <c r="F9036">
        <v>0.01</v>
      </c>
    </row>
    <row r="9037" spans="1:6" x14ac:dyDescent="0.3">
      <c r="A9037" t="str">
        <f>HYPERLINK("https://us2.cloudbeds.com/connect/10074733072513#/reservations/31690956779697?display=MHJND68V5&amp;reservation_id=31690956779697", "MHJND68V5")</f>
        <v>MHJND68V5</v>
      </c>
      <c r="B9037" t="s">
        <v>1345</v>
      </c>
      <c r="C9037">
        <v>149</v>
      </c>
      <c r="D9037">
        <v>161.97</v>
      </c>
      <c r="E9037">
        <v>161.96</v>
      </c>
      <c r="F9037">
        <v>0.01</v>
      </c>
    </row>
    <row r="9038" spans="1:6" x14ac:dyDescent="0.3">
      <c r="A9038" t="str">
        <f>HYPERLINK("https://us2.cloudbeds.com/connect/10074733072513#/reservations/31729720156390?display=MXGNTGC5Z&amp;reservation_id=31729720156390", "MXGNTGC5Z")</f>
        <v>MXGNTGC5Z</v>
      </c>
      <c r="B9038" t="s">
        <v>1371</v>
      </c>
      <c r="C9038">
        <v>368</v>
      </c>
      <c r="D9038">
        <v>400.03</v>
      </c>
      <c r="E9038">
        <v>400.02</v>
      </c>
      <c r="F9038">
        <v>0.01</v>
      </c>
    </row>
    <row r="9039" spans="1:6" x14ac:dyDescent="0.3">
      <c r="A9039" t="str">
        <f>HYPERLINK("https://us2.cloudbeds.com/connect/10074733072513#/reservations/31683470172314?display=MHDU39CMP&amp;reservation_id=31683470172314", "MHDU39CMP")</f>
        <v>MHDU39CMP</v>
      </c>
      <c r="B9039" t="s">
        <v>1284</v>
      </c>
      <c r="C9039">
        <v>378</v>
      </c>
      <c r="D9039">
        <v>410.9</v>
      </c>
      <c r="E9039">
        <v>410.89</v>
      </c>
      <c r="F9039">
        <v>0.01</v>
      </c>
    </row>
    <row r="9040" spans="1:6" x14ac:dyDescent="0.3">
      <c r="A9040" t="str">
        <f>HYPERLINK("https://us2.cloudbeds.com/connect/10074733072513#/reservations/31685754073249?display=MHFMF49Z0&amp;reservation_id=31685754073249", "MHFMF49Z0")</f>
        <v>MHFMF49Z0</v>
      </c>
      <c r="B9040" t="s">
        <v>1366</v>
      </c>
      <c r="C9040">
        <v>252</v>
      </c>
      <c r="D9040">
        <v>273.93</v>
      </c>
      <c r="E9040">
        <v>273.92</v>
      </c>
      <c r="F9040">
        <v>0.01</v>
      </c>
    </row>
    <row r="9041" spans="1:6" x14ac:dyDescent="0.3">
      <c r="A9041" t="str">
        <f>HYPERLINK("https://us2.cloudbeds.com/connect/10074733072513#/reservations/31685682794707?display=MHFKY0SH6&amp;reservation_id=31685682794707", "MHFKY0SH6")</f>
        <v>MHFKY0SH6</v>
      </c>
      <c r="B9041" t="s">
        <v>1366</v>
      </c>
      <c r="C9041">
        <v>73</v>
      </c>
      <c r="D9041">
        <v>79.36</v>
      </c>
      <c r="E9041">
        <v>79.349999999999994</v>
      </c>
      <c r="F9041">
        <v>0.01</v>
      </c>
    </row>
    <row r="9042" spans="1:6" x14ac:dyDescent="0.3">
      <c r="A9042" t="str">
        <f>HYPERLINK("https://us2.cloudbeds.com/connect/10074733072513#/reservations/31686914293964?display=MHGJ3F4RG&amp;reservation_id=31686914293964", "MHGJ3F4RG")</f>
        <v>MHGJ3F4RG</v>
      </c>
      <c r="B9042" t="s">
        <v>1225</v>
      </c>
      <c r="C9042">
        <v>225</v>
      </c>
      <c r="D9042">
        <v>244.59</v>
      </c>
      <c r="E9042">
        <v>244.58</v>
      </c>
      <c r="F9042">
        <v>0.01</v>
      </c>
    </row>
    <row r="9043" spans="1:6" x14ac:dyDescent="0.3">
      <c r="A9043" t="str">
        <f>HYPERLINK("https://us2.cloudbeds.com/connect/10074733072513#/reservations/31685730496674?display=MHFYS87WB&amp;reservation_id=31685730496674", "MHFYS87WB")</f>
        <v>MHFYS87WB</v>
      </c>
      <c r="B9043" t="s">
        <v>1366</v>
      </c>
      <c r="C9043">
        <v>73</v>
      </c>
      <c r="D9043">
        <v>79.36</v>
      </c>
      <c r="E9043">
        <v>79.349999999999994</v>
      </c>
      <c r="F9043">
        <v>0.01</v>
      </c>
    </row>
    <row r="9044" spans="1:6" x14ac:dyDescent="0.3">
      <c r="A9044" t="str">
        <f>HYPERLINK("https://us2.cloudbeds.com/connect/10074733072513#/reservations/31686930370759?display=MHGJH0GZ3&amp;reservation_id=31686930370759", "MHGJH0GZ3")</f>
        <v>MHGJH0GZ3</v>
      </c>
      <c r="B9044" t="s">
        <v>1225</v>
      </c>
      <c r="C9044">
        <v>321.3</v>
      </c>
      <c r="D9044">
        <v>349.26</v>
      </c>
      <c r="E9044">
        <v>349.25</v>
      </c>
      <c r="F9044">
        <v>0.01</v>
      </c>
    </row>
    <row r="9045" spans="1:6" x14ac:dyDescent="0.3">
      <c r="A9045" t="str">
        <f>HYPERLINK("https://us2.cloudbeds.com/connect/10074733072513#/reservations/31685625626845?display=MHFJ5R2PZ&amp;reservation_id=31685625626845", "MHFJ5R2PZ")</f>
        <v>MHFJ5R2PZ</v>
      </c>
      <c r="B9045" t="s">
        <v>1347</v>
      </c>
      <c r="C9045">
        <v>238</v>
      </c>
      <c r="D9045">
        <v>258.72000000000003</v>
      </c>
      <c r="E9045">
        <v>258.70999999999998</v>
      </c>
      <c r="F9045">
        <v>0.01</v>
      </c>
    </row>
    <row r="9046" spans="1:6" x14ac:dyDescent="0.3">
      <c r="A9046" t="str">
        <f>HYPERLINK("https://us2.cloudbeds.com/connect/10074733072513#/reservations/31683554590869?display=MHDW8FF0Q&amp;reservation_id=31683554590869", "MHDW8FF0Q")</f>
        <v>MHDW8FF0Q</v>
      </c>
      <c r="B9046" t="s">
        <v>1347</v>
      </c>
      <c r="C9046">
        <v>149</v>
      </c>
      <c r="D9046">
        <v>161.97</v>
      </c>
      <c r="E9046">
        <v>161.96</v>
      </c>
      <c r="F9046">
        <v>0.01</v>
      </c>
    </row>
    <row r="9047" spans="1:6" x14ac:dyDescent="0.3">
      <c r="A9047" t="str">
        <f>HYPERLINK("https://us2.cloudbeds.com/connect/10074733072513#/reservations/31685576048787?display=MHFHU0GXB&amp;reservation_id=31685576048787", "MHFHU0GXB")</f>
        <v>MHFHU0GXB</v>
      </c>
      <c r="B9047" t="s">
        <v>1347</v>
      </c>
      <c r="C9047">
        <v>119</v>
      </c>
      <c r="D9047">
        <v>129.36000000000001</v>
      </c>
      <c r="E9047">
        <v>129.35</v>
      </c>
      <c r="F9047">
        <v>0.01</v>
      </c>
    </row>
    <row r="9048" spans="1:6" x14ac:dyDescent="0.3">
      <c r="A9048" t="str">
        <f>HYPERLINK("https://us2.cloudbeds.com/connect/10074733072513#/reservations/31687497707738?display=MHH10DGAP&amp;reservation_id=31687497707738", "MHH10DGAP")</f>
        <v>MHH10DGAP</v>
      </c>
      <c r="B9048" t="s">
        <v>1225</v>
      </c>
      <c r="C9048">
        <v>225</v>
      </c>
      <c r="D9048">
        <v>244.59</v>
      </c>
      <c r="E9048">
        <v>244.58</v>
      </c>
      <c r="F9048">
        <v>0.01</v>
      </c>
    </row>
    <row r="9049" spans="1:6" x14ac:dyDescent="0.3">
      <c r="A9049" t="str">
        <f>HYPERLINK("https://us2.cloudbeds.com/connect/10074733072513#/reservations/31687549034651?display=MHH2AMZFP&amp;reservation_id=31687549034651", "MHH2AMZFP")</f>
        <v>MHH2AMZFP</v>
      </c>
      <c r="B9049" t="s">
        <v>1373</v>
      </c>
      <c r="C9049">
        <v>428.4</v>
      </c>
      <c r="D9049">
        <v>465.68</v>
      </c>
      <c r="E9049">
        <v>465.67</v>
      </c>
      <c r="F9049">
        <v>0.01</v>
      </c>
    </row>
    <row r="9050" spans="1:6" x14ac:dyDescent="0.3">
      <c r="A9050" t="str">
        <f>HYPERLINK("https://us2.cloudbeds.com/connect/10074733072513#/reservations/31686079623328?display=MHFUPY6PU&amp;reservation_id=31686079623328", "MHFUPY6PU")</f>
        <v>MHFUPY6PU</v>
      </c>
      <c r="B9050" t="s">
        <v>1356</v>
      </c>
      <c r="C9050">
        <v>119</v>
      </c>
      <c r="D9050">
        <v>129.36000000000001</v>
      </c>
      <c r="E9050">
        <v>129.35</v>
      </c>
      <c r="F9050">
        <v>0.01</v>
      </c>
    </row>
    <row r="9051" spans="1:6" x14ac:dyDescent="0.3">
      <c r="A9051" t="str">
        <f>HYPERLINK("https://us2.cloudbeds.com/connect/10074733072513#/reservations/31685746962636?display=MHFM94E7T&amp;reservation_id=31685746962636", "MHFM94E7T")</f>
        <v>MHFM94E7T</v>
      </c>
      <c r="B9051" t="s">
        <v>1366</v>
      </c>
      <c r="C9051">
        <v>119</v>
      </c>
      <c r="D9051">
        <v>129.36000000000001</v>
      </c>
      <c r="E9051">
        <v>129.35</v>
      </c>
      <c r="F9051">
        <v>0.01</v>
      </c>
    </row>
    <row r="9052" spans="1:6" x14ac:dyDescent="0.3">
      <c r="A9052" t="str">
        <f>HYPERLINK("https://us2.cloudbeds.com/connect/10074733072513#/reservations/31685739122935?display=MHFM2H986&amp;reservation_id=31685739122935", "MHFM2H986")</f>
        <v>MHFM2H986</v>
      </c>
      <c r="B9052" t="s">
        <v>1366</v>
      </c>
      <c r="C9052">
        <v>119</v>
      </c>
      <c r="D9052">
        <v>129.36000000000001</v>
      </c>
      <c r="E9052">
        <v>129.35</v>
      </c>
      <c r="F9052">
        <v>0.01</v>
      </c>
    </row>
    <row r="9053" spans="1:6" x14ac:dyDescent="0.3">
      <c r="A9053" t="str">
        <f>HYPERLINK("https://us2.cloudbeds.com/connect/10074733072513#/reservations/31691937480893?display=MHKFF4Z07&amp;reservation_id=31691937480893", "MHKFF4Z07")</f>
        <v>MHKFF4Z07</v>
      </c>
      <c r="B9053" t="s">
        <v>1360</v>
      </c>
      <c r="C9053">
        <v>358</v>
      </c>
      <c r="D9053">
        <v>389.16</v>
      </c>
      <c r="E9053">
        <v>389.15</v>
      </c>
      <c r="F9053">
        <v>0.01</v>
      </c>
    </row>
    <row r="9054" spans="1:6" x14ac:dyDescent="0.3">
      <c r="A9054" t="str">
        <f>HYPERLINK("https://us2.cloudbeds.com/connect/10074733072513#/reservations/31685974597802?display=MHFS32NK7&amp;reservation_id=31685974597802", "MHFS32NK7")</f>
        <v>MHFS32NK7</v>
      </c>
      <c r="B9054" t="s">
        <v>1259</v>
      </c>
      <c r="C9054">
        <v>149</v>
      </c>
      <c r="D9054">
        <v>161.97</v>
      </c>
      <c r="E9054">
        <v>161.96</v>
      </c>
      <c r="F9054">
        <v>0.01</v>
      </c>
    </row>
    <row r="9055" spans="1:6" x14ac:dyDescent="0.3">
      <c r="A9055" t="str">
        <f>HYPERLINK("https://us2.cloudbeds.com/connect/10074733072513#/reservations/31683489439975?display=MHDUJHHM9&amp;reservation_id=31683489439975", "MHDUJHHM9")</f>
        <v>MHDUJHHM9</v>
      </c>
      <c r="B9055" t="s">
        <v>1284</v>
      </c>
      <c r="C9055">
        <v>149</v>
      </c>
      <c r="D9055">
        <v>161.97</v>
      </c>
      <c r="E9055">
        <v>161.96</v>
      </c>
      <c r="F9055">
        <v>0.01</v>
      </c>
    </row>
    <row r="9056" spans="1:6" x14ac:dyDescent="0.3">
      <c r="A9056" t="str">
        <f>HYPERLINK("https://us2.cloudbeds.com/connect/10074733072513#/reservations/31691876847779?display=MHKDU0H74&amp;reservation_id=31691876847779", "MHKDU0H74")</f>
        <v>MHKDU0H74</v>
      </c>
      <c r="B9056" t="s">
        <v>1360</v>
      </c>
      <c r="C9056">
        <v>358</v>
      </c>
      <c r="D9056">
        <v>389.16</v>
      </c>
      <c r="E9056">
        <v>389.15</v>
      </c>
      <c r="F9056">
        <v>0.01</v>
      </c>
    </row>
    <row r="9057" spans="1:6" x14ac:dyDescent="0.3">
      <c r="A9057" t="str">
        <f>HYPERLINK("https://us2.cloudbeds.com/connect/10074733072513#/reservations/31685978185856?display=MHFS63ENV&amp;reservation_id=31685978185856", "MHFS63ENV")</f>
        <v>MHFS63ENV</v>
      </c>
      <c r="B9057" t="s">
        <v>1259</v>
      </c>
      <c r="C9057">
        <v>149</v>
      </c>
      <c r="D9057">
        <v>161.97</v>
      </c>
      <c r="E9057">
        <v>161.96</v>
      </c>
      <c r="F9057">
        <v>0.01</v>
      </c>
    </row>
    <row r="9058" spans="1:6" x14ac:dyDescent="0.3">
      <c r="A9058" t="str">
        <f>HYPERLINK("https://us2.cloudbeds.com/connect/10074733072513#/reservations/31686167703764?display=MHG00U5Z1&amp;reservation_id=31686167703764", "MHG00U5Z1")</f>
        <v>MHG00U5Z1</v>
      </c>
      <c r="B9058" t="s">
        <v>1225</v>
      </c>
      <c r="C9058">
        <v>225</v>
      </c>
      <c r="D9058">
        <v>244.59</v>
      </c>
      <c r="E9058">
        <v>244.58</v>
      </c>
      <c r="F9058">
        <v>0.01</v>
      </c>
    </row>
    <row r="9059" spans="1:6" x14ac:dyDescent="0.3">
      <c r="A9059" t="str">
        <f>HYPERLINK("https://us2.cloudbeds.com/connect/10074733072513#/reservations/31684361011374?display=MHEJSF9NQ&amp;reservation_id=31684361011374", "MHEJSF9NQ")</f>
        <v>MHEJSF9NQ</v>
      </c>
      <c r="B9059" t="s">
        <v>1168</v>
      </c>
      <c r="C9059">
        <v>73</v>
      </c>
      <c r="D9059">
        <v>79.36</v>
      </c>
      <c r="E9059">
        <v>79.349999999999994</v>
      </c>
      <c r="F9059">
        <v>0.01</v>
      </c>
    </row>
    <row r="9060" spans="1:6" x14ac:dyDescent="0.3">
      <c r="A9060" t="str">
        <f>HYPERLINK("https://us2.cloudbeds.com/connect/10074733072513#/reservations/31685464801515?display=MHFF26T3T&amp;reservation_id=31685464801515", "MHFF26T3T")</f>
        <v>MHFF26T3T</v>
      </c>
      <c r="B9060" t="s">
        <v>1280</v>
      </c>
      <c r="C9060">
        <v>338</v>
      </c>
      <c r="D9060">
        <v>367.42</v>
      </c>
      <c r="E9060">
        <v>367.41</v>
      </c>
      <c r="F9060">
        <v>0.01</v>
      </c>
    </row>
    <row r="9061" spans="1:6" x14ac:dyDescent="0.3">
      <c r="A9061" t="str">
        <f>HYPERLINK("https://us2.cloudbeds.com/connect/10074733072513#/reservations/31685781053581?display=MHFN4T21R&amp;reservation_id=31685781053581", "MHFN4T21R")</f>
        <v>MHFN4T21R</v>
      </c>
      <c r="B9061" t="s">
        <v>1356</v>
      </c>
      <c r="C9061">
        <v>119</v>
      </c>
      <c r="D9061">
        <v>129.36000000000001</v>
      </c>
      <c r="E9061">
        <v>129.35</v>
      </c>
      <c r="F9061">
        <v>0.01</v>
      </c>
    </row>
    <row r="9062" spans="1:6" x14ac:dyDescent="0.3">
      <c r="A9062" t="str">
        <f>HYPERLINK("https://us2.cloudbeds.com/connect/10074733072513#/reservations/31690437804241?display=MHJA4J0F6&amp;reservation_id=31690437804241", "MHJA4J0F6")</f>
        <v>MHJA4J0F6</v>
      </c>
      <c r="B9062" t="s">
        <v>1168</v>
      </c>
      <c r="C9062">
        <v>119</v>
      </c>
      <c r="D9062">
        <v>129.36000000000001</v>
      </c>
      <c r="E9062">
        <v>129.35</v>
      </c>
      <c r="F9062">
        <v>0.01</v>
      </c>
    </row>
    <row r="9063" spans="1:6" x14ac:dyDescent="0.3">
      <c r="A9063" t="str">
        <f>HYPERLINK("https://us2.cloudbeds.com/connect/10074733072513#/reservations/31688308617365?display=MHHYZ688P&amp;reservation_id=31688308617365", "MHHYZ688P")</f>
        <v>MHHYZ688P</v>
      </c>
      <c r="B9063" t="s">
        <v>1168</v>
      </c>
      <c r="C9063">
        <v>169</v>
      </c>
      <c r="D9063">
        <v>183.71</v>
      </c>
      <c r="E9063">
        <v>183.7</v>
      </c>
      <c r="F9063">
        <v>0.01</v>
      </c>
    </row>
    <row r="9064" spans="1:6" x14ac:dyDescent="0.3">
      <c r="A9064" t="str">
        <f>HYPERLINK("https://us2.cloudbeds.com/connect/10074733072513#/reservations/31686068465868?display=MHFUG7Z62&amp;reservation_id=31686068465868", "MHFUG7Z62")</f>
        <v>MHFUG7Z62</v>
      </c>
      <c r="B9064" t="s">
        <v>1356</v>
      </c>
      <c r="C9064">
        <v>159</v>
      </c>
      <c r="D9064">
        <v>172.84</v>
      </c>
      <c r="E9064">
        <v>172.83</v>
      </c>
      <c r="F9064">
        <v>0.01</v>
      </c>
    </row>
    <row r="9065" spans="1:6" x14ac:dyDescent="0.3">
      <c r="A9065" t="str">
        <f>HYPERLINK("https://us2.cloudbeds.com/connect/10074733072513#/reservations/31681856696457?display=MHCYSP1AW&amp;reservation_id=31681856696457", "MHCYSP1AW")</f>
        <v>MHCYSP1AW</v>
      </c>
      <c r="B9065" t="s">
        <v>1284</v>
      </c>
      <c r="C9065">
        <v>149</v>
      </c>
      <c r="D9065">
        <v>161.97</v>
      </c>
      <c r="E9065">
        <v>161.96</v>
      </c>
      <c r="F9065">
        <v>0.01</v>
      </c>
    </row>
    <row r="9066" spans="1:6" x14ac:dyDescent="0.3">
      <c r="A9066" t="str">
        <f>HYPERLINK("https://us2.cloudbeds.com/connect/10074733072513#/reservations/31687656747207?display=MHH52H02K&amp;reservation_id=31687656747207", "MHH52H02K")</f>
        <v>MHH52H02K</v>
      </c>
      <c r="B9066" t="s">
        <v>1259</v>
      </c>
      <c r="C9066">
        <v>169</v>
      </c>
      <c r="D9066">
        <v>183.71</v>
      </c>
      <c r="E9066">
        <v>183.7</v>
      </c>
      <c r="F9066">
        <v>0.01</v>
      </c>
    </row>
    <row r="9067" spans="1:6" x14ac:dyDescent="0.3">
      <c r="A9067" t="str">
        <f>HYPERLINK("https://us2.cloudbeds.com/connect/10074733072513#/reservations/31684285796522?display=MHEHV1ATS&amp;reservation_id=31684285796522", "MHEHV1ATS")</f>
        <v>MHEHV1ATS</v>
      </c>
      <c r="B9067" t="s">
        <v>1168</v>
      </c>
      <c r="C9067">
        <v>119</v>
      </c>
      <c r="D9067">
        <v>129.36000000000001</v>
      </c>
      <c r="E9067">
        <v>129.35</v>
      </c>
      <c r="F9067">
        <v>0.01</v>
      </c>
    </row>
    <row r="9068" spans="1:6" x14ac:dyDescent="0.3">
      <c r="A9068" t="str">
        <f>HYPERLINK("https://us2.cloudbeds.com/connect/10074733072513#/reservations/31683671445752?display=MHE2803PS&amp;reservation_id=31683671445752", "MHE2803PS")</f>
        <v>MHE2803PS</v>
      </c>
      <c r="B9068" t="s">
        <v>1259</v>
      </c>
      <c r="C9068">
        <v>318</v>
      </c>
      <c r="D9068">
        <v>345.68</v>
      </c>
      <c r="E9068">
        <v>345.67</v>
      </c>
      <c r="F9068">
        <v>0.01</v>
      </c>
    </row>
    <row r="9069" spans="1:6" x14ac:dyDescent="0.3">
      <c r="A9069" t="str">
        <f>HYPERLINK("https://us2.cloudbeds.com/connect/10074733072513#/reservations/31687530496203?display=MHH1S1T3K&amp;reservation_id=31687530496203", "MHH1S1T3K")</f>
        <v>MHH1S1T3K</v>
      </c>
      <c r="B9069" t="s">
        <v>1373</v>
      </c>
      <c r="C9069">
        <v>129</v>
      </c>
      <c r="D9069">
        <v>140.22999999999999</v>
      </c>
      <c r="E9069">
        <v>140.22</v>
      </c>
      <c r="F9069">
        <v>0.01</v>
      </c>
    </row>
    <row r="9070" spans="1:6" x14ac:dyDescent="0.3">
      <c r="A9070" t="str">
        <f>HYPERLINK("https://us2.cloudbeds.com/connect/10074733072513#/reservations/31683016319180?display=MHDXGJ8AG&amp;reservation_id=31683016319180", "MHDXGJ8AG")</f>
        <v>MHDXGJ8AG</v>
      </c>
      <c r="B9070" t="s">
        <v>1370</v>
      </c>
      <c r="C9070">
        <v>119</v>
      </c>
      <c r="D9070">
        <v>129.36000000000001</v>
      </c>
      <c r="E9070">
        <v>129.35</v>
      </c>
      <c r="F9070">
        <v>0.01</v>
      </c>
    </row>
    <row r="9071" spans="1:6" x14ac:dyDescent="0.3">
      <c r="A9071" t="str">
        <f>HYPERLINK("https://us2.cloudbeds.com/connect/10074733072513#/reservations/31685745561837?display=MHFM7VEUE&amp;reservation_id=31685745561837", "MHFM7VEUE")</f>
        <v>MHFM7VEUE</v>
      </c>
      <c r="B9071" t="s">
        <v>1013</v>
      </c>
      <c r="C9071">
        <v>278</v>
      </c>
      <c r="D9071">
        <v>302.2</v>
      </c>
      <c r="E9071">
        <v>302.19</v>
      </c>
      <c r="F9071">
        <v>0.01</v>
      </c>
    </row>
    <row r="9072" spans="1:6" x14ac:dyDescent="0.3">
      <c r="A9072" t="str">
        <f>HYPERLINK("https://us2.cloudbeds.com/connect/10074733072513#/reservations/31684194390174?display=MHEFJVQSH&amp;reservation_id=31684194390174", "MHEFJVQSH")</f>
        <v>MHEFJVQSH</v>
      </c>
      <c r="B9072" t="s">
        <v>1373</v>
      </c>
      <c r="C9072">
        <v>119</v>
      </c>
      <c r="D9072">
        <v>129.36000000000001</v>
      </c>
      <c r="E9072">
        <v>129.35</v>
      </c>
      <c r="F9072">
        <v>0.01</v>
      </c>
    </row>
    <row r="9073" spans="1:6" x14ac:dyDescent="0.3">
      <c r="A9073" t="str">
        <f>HYPERLINK("https://us2.cloudbeds.com/connect/10074733072513#/reservations/31685631365358?display=MHFJAYPA2&amp;reservation_id=31685631365358", "MHFJAYPA2")</f>
        <v>MHFJAYPA2</v>
      </c>
      <c r="B9073" t="s">
        <v>1367</v>
      </c>
      <c r="C9073">
        <v>225</v>
      </c>
      <c r="D9073">
        <v>244.59</v>
      </c>
      <c r="E9073">
        <v>244.58</v>
      </c>
      <c r="F9073">
        <v>0.01</v>
      </c>
    </row>
    <row r="9074" spans="1:6" x14ac:dyDescent="0.3">
      <c r="A9074" t="str">
        <f>HYPERLINK("https://us2.cloudbeds.com/connect/10074733072513#/reservations/31684231749845?display=MHEGXFD8P&amp;reservation_id=31684231749845", "MHEGXFD8P")</f>
        <v>MHEGXFD8P</v>
      </c>
      <c r="B9074" t="s">
        <v>1373</v>
      </c>
      <c r="C9074">
        <v>119</v>
      </c>
      <c r="D9074">
        <v>129.36000000000001</v>
      </c>
      <c r="E9074">
        <v>129.35</v>
      </c>
      <c r="F9074">
        <v>0.01</v>
      </c>
    </row>
    <row r="9075" spans="1:6" x14ac:dyDescent="0.3">
      <c r="A9075" t="str">
        <f>HYPERLINK("https://us2.cloudbeds.com/connect/10074733072513#/reservations/31685966917840?display=MHFRTK0A3&amp;reservation_id=31685966917840", "MHFRTK0A3")</f>
        <v>MHFRTK0A3</v>
      </c>
      <c r="B9075" t="s">
        <v>1259</v>
      </c>
      <c r="C9075">
        <v>89</v>
      </c>
      <c r="D9075">
        <v>96.75</v>
      </c>
      <c r="E9075">
        <v>96.74</v>
      </c>
      <c r="F9075">
        <v>0.01</v>
      </c>
    </row>
    <row r="9076" spans="1:6" x14ac:dyDescent="0.3">
      <c r="A9076" t="str">
        <f>HYPERLINK("https://us2.cloudbeds.com/connect/10074733072513#/reservations/31684231753938?display=MHEGXFH0Q&amp;reservation_id=31684231753938", "MHEGXFH0Q")</f>
        <v>MHEGXFH0Q</v>
      </c>
      <c r="B9076" t="s">
        <v>1373</v>
      </c>
      <c r="C9076">
        <v>119</v>
      </c>
      <c r="D9076">
        <v>129.36000000000001</v>
      </c>
      <c r="E9076">
        <v>129.35</v>
      </c>
      <c r="F9076">
        <v>0.01</v>
      </c>
    </row>
    <row r="9077" spans="1:6" x14ac:dyDescent="0.3">
      <c r="A9077" t="str">
        <f>HYPERLINK("https://us2.cloudbeds.com/connect/10074733072513#/reservations/31684264460494?display=MHEHD1KJX&amp;reservation_id=31684264460494", "MHEHD1KJX")</f>
        <v>MHEHD1KJX</v>
      </c>
      <c r="B9077" t="s">
        <v>1168</v>
      </c>
      <c r="C9077">
        <v>119</v>
      </c>
      <c r="D9077">
        <v>129.36000000000001</v>
      </c>
      <c r="E9077">
        <v>129.35</v>
      </c>
      <c r="F9077">
        <v>0.01</v>
      </c>
    </row>
    <row r="9078" spans="1:6" x14ac:dyDescent="0.3">
      <c r="A9078" t="str">
        <f>HYPERLINK("https://us2.cloudbeds.com/connect/10074733072513#/reservations/31684194386082?display=MHEFJVN3H&amp;reservation_id=31684194386082", "MHEFJVN3H")</f>
        <v>MHEFJVN3H</v>
      </c>
      <c r="B9078" t="s">
        <v>1373</v>
      </c>
      <c r="C9078">
        <v>119</v>
      </c>
      <c r="D9078">
        <v>129.36000000000001</v>
      </c>
      <c r="E9078">
        <v>129.35</v>
      </c>
      <c r="F9078">
        <v>0.01</v>
      </c>
    </row>
    <row r="9079" spans="1:6" x14ac:dyDescent="0.3">
      <c r="A9079" t="str">
        <f>HYPERLINK("https://us2.cloudbeds.com/connect/10074733072513#/reservations/31686949720270?display=MHGK0AUSU&amp;reservation_id=31686949720270", "MHGK0AUSU")</f>
        <v>MHGK0AUSU</v>
      </c>
      <c r="B9079" t="s">
        <v>1348</v>
      </c>
      <c r="C9079">
        <v>218</v>
      </c>
      <c r="D9079">
        <v>236.98</v>
      </c>
      <c r="E9079">
        <v>236.97</v>
      </c>
      <c r="F9079">
        <v>0.01</v>
      </c>
    </row>
    <row r="9080" spans="1:6" x14ac:dyDescent="0.3">
      <c r="A9080" t="str">
        <f>HYPERLINK("https://us2.cloudbeds.com/connect/10074733072513#/reservations/31683048665237?display=MHDJASAS1&amp;reservation_id=31683048665237", "MHDJASAS1")</f>
        <v>MHDJASAS1</v>
      </c>
      <c r="B9080" t="s">
        <v>1370</v>
      </c>
      <c r="C9080">
        <v>109</v>
      </c>
      <c r="D9080">
        <v>118.49</v>
      </c>
      <c r="E9080">
        <v>118.48</v>
      </c>
      <c r="F9080">
        <v>0.01</v>
      </c>
    </row>
    <row r="9081" spans="1:6" x14ac:dyDescent="0.3">
      <c r="A9081" t="str">
        <f>HYPERLINK("https://us2.cloudbeds.com/connect/10074733072513#/reservations/31692116918492?display=MHKK1ERR7&amp;reservation_id=31692116918492", "MHKK1ERR7")</f>
        <v>MHKK1ERR7</v>
      </c>
      <c r="B9081" t="s">
        <v>1368</v>
      </c>
      <c r="C9081">
        <v>139</v>
      </c>
      <c r="D9081">
        <v>151.1</v>
      </c>
      <c r="E9081">
        <v>151.09</v>
      </c>
      <c r="F9081">
        <v>0.01</v>
      </c>
    </row>
    <row r="9082" spans="1:6" x14ac:dyDescent="0.3">
      <c r="A9082" t="str">
        <f>HYPERLINK("https://us2.cloudbeds.com/connect/10074733072513#/reservations/31684454490351?display=MHEM89G02&amp;reservation_id=31684454490351", "MHEM89G02")</f>
        <v>MHEM89G02</v>
      </c>
      <c r="B9082" t="s">
        <v>1346</v>
      </c>
      <c r="C9082">
        <v>258</v>
      </c>
      <c r="D9082">
        <v>280.45999999999998</v>
      </c>
      <c r="E9082">
        <v>280.45</v>
      </c>
      <c r="F9082">
        <v>0.01</v>
      </c>
    </row>
    <row r="9083" spans="1:6" x14ac:dyDescent="0.3">
      <c r="A9083" t="str">
        <f>HYPERLINK("https://us2.cloudbeds.com/connect/10074733072513#/reservations/31684474282221?display=MHEMZW7BM&amp;reservation_id=31684474282221", "MHEMZW7BM")</f>
        <v>MHEMZW7BM</v>
      </c>
      <c r="B9083" t="s">
        <v>1346</v>
      </c>
      <c r="C9083">
        <v>258</v>
      </c>
      <c r="D9083">
        <v>280.45999999999998</v>
      </c>
      <c r="E9083">
        <v>280.45</v>
      </c>
      <c r="F9083">
        <v>0.01</v>
      </c>
    </row>
    <row r="9084" spans="1:6" x14ac:dyDescent="0.3">
      <c r="A9084" t="str">
        <f>HYPERLINK("https://us2.cloudbeds.com/connect/10074733072513#/reservations/31685198139638?display=MHF88BKHV&amp;reservation_id=31685198139638", "MHF88BKHV")</f>
        <v>MHF88BKHV</v>
      </c>
      <c r="B9084" t="s">
        <v>1224</v>
      </c>
      <c r="C9084">
        <v>225</v>
      </c>
      <c r="D9084">
        <v>244.59</v>
      </c>
      <c r="E9084">
        <v>244.58</v>
      </c>
      <c r="F9084">
        <v>0.01</v>
      </c>
    </row>
    <row r="9085" spans="1:6" x14ac:dyDescent="0.3">
      <c r="A9085" t="str">
        <f>HYPERLINK("https://us2.cloudbeds.com/connect/10074733072513#/reservations/31683433816312?display=MHDT5KNUZ&amp;reservation_id=31683433816312", "MHDT5KNUZ")</f>
        <v>MHDT5KNUZ</v>
      </c>
      <c r="B9085" t="s">
        <v>1284</v>
      </c>
      <c r="C9085">
        <v>149</v>
      </c>
      <c r="D9085">
        <v>161.97</v>
      </c>
      <c r="E9085">
        <v>161.96</v>
      </c>
      <c r="F9085">
        <v>0.01</v>
      </c>
    </row>
    <row r="9086" spans="1:6" x14ac:dyDescent="0.3">
      <c r="A9086" t="str">
        <f>HYPERLINK("https://us2.cloudbeds.com/connect/10074733072513#/reservations/31684902580369?display=MHF0N488F&amp;reservation_id=31684902580369", "MHF0N488F")</f>
        <v>MHF0N488F</v>
      </c>
      <c r="B9086" t="s">
        <v>1370</v>
      </c>
      <c r="C9086">
        <v>129</v>
      </c>
      <c r="D9086">
        <v>140.22999999999999</v>
      </c>
      <c r="E9086">
        <v>140.22</v>
      </c>
      <c r="F9086">
        <v>0.01</v>
      </c>
    </row>
    <row r="9087" spans="1:6" x14ac:dyDescent="0.3">
      <c r="A9087" t="str">
        <f>HYPERLINK("https://us2.cloudbeds.com/connect/10074733072513#/reservations/31681906176152?display=MHCN4FT7M&amp;reservation_id=31681906176152", "MHCN4FT7M")</f>
        <v>MHCN4FT7M</v>
      </c>
      <c r="B9087" t="s">
        <v>1370</v>
      </c>
      <c r="C9087">
        <v>119</v>
      </c>
      <c r="D9087">
        <v>129.36000000000001</v>
      </c>
      <c r="E9087">
        <v>129.35</v>
      </c>
      <c r="F9087">
        <v>0.01</v>
      </c>
    </row>
    <row r="9088" spans="1:6" x14ac:dyDescent="0.3">
      <c r="A9088" t="str">
        <f>HYPERLINK("https://us2.cloudbeds.com/connect/10074733072513#/reservations/31682987360386?display=MHDHP5E79&amp;reservation_id=31682987360386", "MHDHP5E79")</f>
        <v>MHDHP5E79</v>
      </c>
      <c r="B9088" t="s">
        <v>1370</v>
      </c>
      <c r="C9088">
        <v>119</v>
      </c>
      <c r="D9088">
        <v>129.36000000000001</v>
      </c>
      <c r="E9088">
        <v>129.35</v>
      </c>
      <c r="F9088">
        <v>0.01</v>
      </c>
    </row>
    <row r="9089" spans="1:6" x14ac:dyDescent="0.3">
      <c r="A9089" t="str">
        <f>HYPERLINK("https://us2.cloudbeds.com/connect/10074733072513#/reservations/31684850626747?display=MHEWCAXK9&amp;reservation_id=31684850626747", "MHEWCAXK9")</f>
        <v>MHEWCAXK9</v>
      </c>
      <c r="B9089" t="s">
        <v>1370</v>
      </c>
      <c r="C9089">
        <v>238</v>
      </c>
      <c r="D9089">
        <v>258.72000000000003</v>
      </c>
      <c r="E9089">
        <v>258.70999999999998</v>
      </c>
      <c r="F9089">
        <v>0.01</v>
      </c>
    </row>
    <row r="9090" spans="1:6" x14ac:dyDescent="0.3">
      <c r="A9090" t="str">
        <f>HYPERLINK("https://us2.cloudbeds.com/connect/10074733072513#/reservations/31684883292353?display=MHF06SHJ4&amp;reservation_id=31684883292353", "MHF06SHJ4")</f>
        <v>MHF06SHJ4</v>
      </c>
      <c r="B9090" t="s">
        <v>1370</v>
      </c>
      <c r="C9090">
        <v>119</v>
      </c>
      <c r="D9090">
        <v>129.36000000000001</v>
      </c>
      <c r="E9090">
        <v>129.35</v>
      </c>
      <c r="F9090">
        <v>0.01</v>
      </c>
    </row>
    <row r="9091" spans="1:6" x14ac:dyDescent="0.3">
      <c r="A9091" t="str">
        <f>HYPERLINK("https://us2.cloudbeds.com/connect/10074733072513#/reservations/31683455451334?display=MHDTNSZQF&amp;reservation_id=31683455451334", "MHDTNSZQF")</f>
        <v>MHDTNSZQF</v>
      </c>
      <c r="B9091" t="s">
        <v>1284</v>
      </c>
      <c r="C9091">
        <v>159</v>
      </c>
      <c r="D9091">
        <v>172.84</v>
      </c>
      <c r="E9091">
        <v>172.83</v>
      </c>
      <c r="F9091">
        <v>0.01</v>
      </c>
    </row>
    <row r="9092" spans="1:6" x14ac:dyDescent="0.3">
      <c r="A9092" t="str">
        <f>HYPERLINK("https://us2.cloudbeds.com/connect/10074733072513#/reservations/31693801447614?display=MHYU2TBH8&amp;reservation_id=31693801447614", "MHYU2TBH8")</f>
        <v>MHYU2TBH8</v>
      </c>
      <c r="B9092" t="s">
        <v>1374</v>
      </c>
      <c r="C9092">
        <v>73</v>
      </c>
      <c r="D9092">
        <v>79.36</v>
      </c>
      <c r="E9092">
        <v>79.349999999999994</v>
      </c>
      <c r="F9092">
        <v>0.01</v>
      </c>
    </row>
    <row r="9093" spans="1:6" x14ac:dyDescent="0.3">
      <c r="A9093" t="str">
        <f>HYPERLINK("https://us2.cloudbeds.com/connect/10074733072513#/reservations/31683010506934?display=MHDXBMH2R&amp;reservation_id=31683010506934", "MHDXBMH2R")</f>
        <v>MHDXBMH2R</v>
      </c>
      <c r="B9093" t="s">
        <v>1370</v>
      </c>
      <c r="C9093">
        <v>119</v>
      </c>
      <c r="D9093">
        <v>129.36000000000001</v>
      </c>
      <c r="E9093">
        <v>129.35</v>
      </c>
      <c r="F9093">
        <v>0.01</v>
      </c>
    </row>
    <row r="9094" spans="1:6" x14ac:dyDescent="0.3">
      <c r="A9094" t="str">
        <f>HYPERLINK("https://us2.cloudbeds.com/connect/10074733072513#/reservations/31690140774542?display=MHJ2X3NU7&amp;reservation_id=31690140774542", "MHJ2X3NU7")</f>
        <v>MHJ2X3NU7</v>
      </c>
      <c r="B9094" t="s">
        <v>1357</v>
      </c>
      <c r="C9094">
        <v>149</v>
      </c>
      <c r="D9094">
        <v>161.97</v>
      </c>
      <c r="E9094">
        <v>161.96</v>
      </c>
      <c r="F9094">
        <v>0.01</v>
      </c>
    </row>
    <row r="9095" spans="1:6" x14ac:dyDescent="0.3">
      <c r="A9095" t="str">
        <f>HYPERLINK("https://us2.cloudbeds.com/connect/10074733072513#/reservations/31684203897027?display=MHEFRWBZW&amp;reservation_id=31684203897027", "MHEFRWBZW")</f>
        <v>MHEFRWBZW</v>
      </c>
      <c r="B9095" t="s">
        <v>1361</v>
      </c>
      <c r="C9095">
        <v>179</v>
      </c>
      <c r="D9095">
        <v>194.58</v>
      </c>
      <c r="E9095">
        <v>194.57</v>
      </c>
      <c r="F9095">
        <v>0.01</v>
      </c>
    </row>
    <row r="9096" spans="1:6" x14ac:dyDescent="0.3">
      <c r="A9096" t="str">
        <f>HYPERLINK("https://us2.cloudbeds.com/connect/10074733072513#/reservations/31692751052932?display=MHY385XPC&amp;reservation_id=31692751052932", "MHY385XPC")</f>
        <v>MHY385XPC</v>
      </c>
      <c r="B9096" t="s">
        <v>1331</v>
      </c>
      <c r="C9096">
        <v>149</v>
      </c>
      <c r="D9096">
        <v>161.97</v>
      </c>
      <c r="E9096">
        <v>161.96</v>
      </c>
      <c r="F9096">
        <v>0.01</v>
      </c>
    </row>
    <row r="9097" spans="1:6" x14ac:dyDescent="0.3">
      <c r="A9097" t="str">
        <f>HYPERLINK("https://us2.cloudbeds.com/connect/10074733072513#/reservations/31682975412458?display=MHDHF2VZS&amp;reservation_id=31682975412458", "MHDHF2VZS")</f>
        <v>MHDHF2VZS</v>
      </c>
      <c r="B9097" t="s">
        <v>1370</v>
      </c>
      <c r="C9097">
        <v>139</v>
      </c>
      <c r="D9097">
        <v>151.1</v>
      </c>
      <c r="E9097">
        <v>151.09</v>
      </c>
      <c r="F9097">
        <v>0.01</v>
      </c>
    </row>
    <row r="9098" spans="1:6" x14ac:dyDescent="0.3">
      <c r="A9098" t="str">
        <f>HYPERLINK("https://us2.cloudbeds.com/connect/10074733072513#/reservations/31694326775966?display=MHMAGSCN7&amp;reservation_id=31694326775966", "MHMAGSCN7")</f>
        <v>MHMAGSCN7</v>
      </c>
      <c r="B9098" t="s">
        <v>1375</v>
      </c>
      <c r="C9098">
        <v>278</v>
      </c>
      <c r="D9098">
        <v>302.2</v>
      </c>
      <c r="E9098">
        <v>302.19</v>
      </c>
      <c r="F9098">
        <v>0.01</v>
      </c>
    </row>
    <row r="9099" spans="1:6" x14ac:dyDescent="0.3">
      <c r="A9099" t="str">
        <f>HYPERLINK("https://us2.cloudbeds.com/connect/10074733072513#/reservations/31683024056485?display=MHDXN3X99&amp;reservation_id=31683024056485", "MHDXN3X99")</f>
        <v>MHDXN3X99</v>
      </c>
      <c r="B9099" t="s">
        <v>1370</v>
      </c>
      <c r="C9099">
        <v>119</v>
      </c>
      <c r="D9099">
        <v>129.36000000000001</v>
      </c>
      <c r="E9099">
        <v>129.35</v>
      </c>
      <c r="F9099">
        <v>0.01</v>
      </c>
    </row>
    <row r="9100" spans="1:6" x14ac:dyDescent="0.3">
      <c r="A9100" t="str">
        <f>HYPERLINK("https://us2.cloudbeds.com/connect/10074733072513#/reservations/31684834656483?display=MHEVVS5HT&amp;reservation_id=31684834656483", "MHEVVS5HT")</f>
        <v>MHEVVS5HT</v>
      </c>
      <c r="B9100" t="s">
        <v>1370</v>
      </c>
      <c r="C9100">
        <v>99</v>
      </c>
      <c r="D9100">
        <v>107.62</v>
      </c>
      <c r="E9100">
        <v>107.61</v>
      </c>
      <c r="F9100">
        <v>0.01</v>
      </c>
    </row>
    <row r="9101" spans="1:6" x14ac:dyDescent="0.3">
      <c r="A9101" t="str">
        <f>HYPERLINK("https://us2.cloudbeds.com/connect/10074733072513#/reservations/31684890665115?display=MHF0D2MQ5&amp;reservation_id=31684890665115", "MHF0D2MQ5")</f>
        <v>MHF0D2MQ5</v>
      </c>
      <c r="B9101" t="s">
        <v>1370</v>
      </c>
      <c r="C9101">
        <v>79</v>
      </c>
      <c r="D9101">
        <v>85.88</v>
      </c>
      <c r="E9101">
        <v>85.87</v>
      </c>
      <c r="F9101">
        <v>0.01</v>
      </c>
    </row>
    <row r="9102" spans="1:6" x14ac:dyDescent="0.3">
      <c r="A9102" t="str">
        <f>HYPERLINK("https://us2.cloudbeds.com/connect/10074733072513#/reservations/31683314188493?display=MHDQ3ZTSA&amp;reservation_id=31683314188493", "MHDQ3ZTSA")</f>
        <v>MHDQ3ZTSA</v>
      </c>
      <c r="B9102" t="s">
        <v>1224</v>
      </c>
      <c r="C9102">
        <v>119</v>
      </c>
      <c r="D9102">
        <v>129.36000000000001</v>
      </c>
      <c r="E9102">
        <v>129.35</v>
      </c>
      <c r="F9102">
        <v>0.01</v>
      </c>
    </row>
    <row r="9103" spans="1:6" x14ac:dyDescent="0.3">
      <c r="A9103" t="str">
        <f>HYPERLINK("https://us2.cloudbeds.com/connect/10074733072513#/reservations/31692155900060?display=MHKY1AXXS&amp;reservation_id=31692155900060", "MHKY1AXXS")</f>
        <v>MHKY1AXXS</v>
      </c>
      <c r="B9103" t="s">
        <v>1331</v>
      </c>
      <c r="C9103">
        <v>149</v>
      </c>
      <c r="D9103">
        <v>161.97</v>
      </c>
      <c r="E9103">
        <v>161.96</v>
      </c>
      <c r="F9103">
        <v>0.01</v>
      </c>
    </row>
    <row r="9104" spans="1:6" x14ac:dyDescent="0.3">
      <c r="A9104" t="str">
        <f>HYPERLINK("https://us2.cloudbeds.com/connect/10074733072513#/reservations/31694627733678?display=MHMX6KW7T&amp;reservation_id=31694627733678", "MHMX6KW7T")</f>
        <v>MHMX6KW7T</v>
      </c>
      <c r="B9104" t="s">
        <v>1327</v>
      </c>
      <c r="C9104">
        <v>358</v>
      </c>
      <c r="D9104">
        <v>389.16</v>
      </c>
      <c r="E9104">
        <v>389.15</v>
      </c>
      <c r="F9104">
        <v>0.01</v>
      </c>
    </row>
    <row r="9105" spans="1:6" x14ac:dyDescent="0.3">
      <c r="A9105" t="str">
        <f>HYPERLINK("https://us2.cloudbeds.com/connect/10074733072513#/reservations/31686215585953?display=MHG189XMF&amp;reservation_id=31686215585953", "MHG189XMF")</f>
        <v>MHG189XMF</v>
      </c>
      <c r="B9105" t="s">
        <v>1351</v>
      </c>
      <c r="C9105">
        <v>179</v>
      </c>
      <c r="D9105">
        <v>194.58</v>
      </c>
      <c r="E9105">
        <v>194.57</v>
      </c>
      <c r="F9105">
        <v>0.01</v>
      </c>
    </row>
    <row r="9106" spans="1:6" x14ac:dyDescent="0.3">
      <c r="A9106" t="str">
        <f>HYPERLINK("https://us2.cloudbeds.com/connect/10074733072513#/reservations/31685841698963?display=MHFZN0K3M&amp;reservation_id=31685841698963", "MHFZN0K3M")</f>
        <v>MHFZN0K3M</v>
      </c>
      <c r="B9106" t="s">
        <v>1365</v>
      </c>
      <c r="C9106">
        <v>79</v>
      </c>
      <c r="D9106">
        <v>85.88</v>
      </c>
      <c r="E9106">
        <v>85.87</v>
      </c>
      <c r="F9106">
        <v>0.01</v>
      </c>
    </row>
    <row r="9107" spans="1:6" x14ac:dyDescent="0.3">
      <c r="A9107" t="str">
        <f>HYPERLINK("https://us2.cloudbeds.com/connect/10074733072513#/reservations/31695076405434?display=MHMTYVUMN&amp;reservation_id=31695076405434", "MHMTYVUMN")</f>
        <v>MHMTYVUMN</v>
      </c>
      <c r="B9107" t="s">
        <v>1327</v>
      </c>
      <c r="C9107">
        <v>358</v>
      </c>
      <c r="D9107">
        <v>389.16</v>
      </c>
      <c r="E9107">
        <v>389.15</v>
      </c>
      <c r="F9107">
        <v>0.01</v>
      </c>
    </row>
    <row r="9108" spans="1:6" x14ac:dyDescent="0.3">
      <c r="A9108" t="str">
        <f>HYPERLINK("https://us2.cloudbeds.com/connect/10074733072513#/reservations/31689397076112?display=MHXGX0785&amp;reservation_id=31689397076112", "MHXGX0785")</f>
        <v>MHXGX0785</v>
      </c>
      <c r="B9108" t="s">
        <v>1233</v>
      </c>
      <c r="C9108">
        <v>225</v>
      </c>
      <c r="D9108">
        <v>244.59</v>
      </c>
      <c r="E9108">
        <v>244.58</v>
      </c>
      <c r="F9108">
        <v>0.01</v>
      </c>
    </row>
    <row r="9109" spans="1:6" x14ac:dyDescent="0.3">
      <c r="A9109" t="str">
        <f>HYPERLINK("https://us2.cloudbeds.com/connect/10074733072513#/reservations/31685825741013?display=MHFZ9XXBE&amp;reservation_id=31685825741013", "MHFZ9XXBE")</f>
        <v>MHFZ9XXBE</v>
      </c>
      <c r="B9109" t="s">
        <v>1365</v>
      </c>
      <c r="C9109">
        <v>119</v>
      </c>
      <c r="D9109">
        <v>129.36000000000001</v>
      </c>
      <c r="E9109">
        <v>129.35</v>
      </c>
      <c r="F9109">
        <v>0.01</v>
      </c>
    </row>
    <row r="9110" spans="1:6" x14ac:dyDescent="0.3">
      <c r="A9110" t="str">
        <f>HYPERLINK("https://us2.cloudbeds.com/connect/10074733072513#/reservations/31689378656468?display=MHXG2FYW4&amp;reservation_id=31689378656468", "MHXG2FYW4")</f>
        <v>MHXG2FYW4</v>
      </c>
      <c r="B9110" t="s">
        <v>1233</v>
      </c>
      <c r="C9110">
        <v>225</v>
      </c>
      <c r="D9110">
        <v>244.59</v>
      </c>
      <c r="E9110">
        <v>244.58</v>
      </c>
      <c r="F9110">
        <v>0.01</v>
      </c>
    </row>
    <row r="9111" spans="1:6" x14ac:dyDescent="0.3">
      <c r="A9111" t="str">
        <f>HYPERLINK("https://us2.cloudbeds.com/connect/10074733072513#/reservations/31686557094133?display=MHG9W8HY6&amp;reservation_id=31686557094133", "MHG9W8HY6")</f>
        <v>MHG9W8HY6</v>
      </c>
      <c r="B9111" t="s">
        <v>1342</v>
      </c>
      <c r="C9111">
        <v>129</v>
      </c>
      <c r="D9111">
        <v>140.22999999999999</v>
      </c>
      <c r="E9111">
        <v>140.22</v>
      </c>
      <c r="F9111">
        <v>0.01</v>
      </c>
    </row>
    <row r="9112" spans="1:6" x14ac:dyDescent="0.3">
      <c r="A9112" t="str">
        <f>HYPERLINK("https://us2.cloudbeds.com/connect/10074733072513#/reservations/31691667751120?display=MHK8XN38Z&amp;reservation_id=31691667751120", "MHK8XN38Z")</f>
        <v>MHK8XN38Z</v>
      </c>
      <c r="B9112" t="s">
        <v>1280</v>
      </c>
      <c r="C9112">
        <v>322.2</v>
      </c>
      <c r="D9112">
        <v>350.24</v>
      </c>
      <c r="E9112">
        <v>350.23</v>
      </c>
      <c r="F9112">
        <v>0.01</v>
      </c>
    </row>
    <row r="9113" spans="1:6" x14ac:dyDescent="0.3">
      <c r="A9113" t="str">
        <f>HYPERLINK("https://us2.cloudbeds.com/connect/10074733072513#/reservations/31684046938318?display=MHEBRKZNF&amp;reservation_id=31684046938318", "MHEBRKZNF")</f>
        <v>MHEBRKZNF</v>
      </c>
      <c r="B9113" t="s">
        <v>1361</v>
      </c>
      <c r="C9113">
        <v>139</v>
      </c>
      <c r="D9113">
        <v>151.1</v>
      </c>
      <c r="E9113">
        <v>151.09</v>
      </c>
      <c r="F9113">
        <v>0.01</v>
      </c>
    </row>
    <row r="9114" spans="1:6" x14ac:dyDescent="0.3">
      <c r="A9114" t="str">
        <f>HYPERLINK("https://us2.cloudbeds.com/connect/10074733072513#/reservations/31686510629010?display=MHG8Q2XV5&amp;reservation_id=31686510629010", "MHG8Q2XV5")</f>
        <v>MHG8Q2XV5</v>
      </c>
      <c r="B9114" t="s">
        <v>1342</v>
      </c>
      <c r="C9114">
        <v>150</v>
      </c>
      <c r="D9114">
        <v>163.06</v>
      </c>
      <c r="E9114">
        <v>163.05000000000001</v>
      </c>
      <c r="F9114">
        <v>0.01</v>
      </c>
    </row>
    <row r="9115" spans="1:6" x14ac:dyDescent="0.3">
      <c r="A9115" t="str">
        <f>HYPERLINK("https://us2.cloudbeds.com/connect/10074733072513#/reservations/31689442898062?display=MHXHNY9B3&amp;reservation_id=31689442898062", "MHXHNY9B3")</f>
        <v>MHXHNY9B3</v>
      </c>
      <c r="B9115" t="s">
        <v>1233</v>
      </c>
      <c r="C9115">
        <v>129</v>
      </c>
      <c r="D9115">
        <v>140.22999999999999</v>
      </c>
      <c r="E9115">
        <v>140.22</v>
      </c>
      <c r="F9115">
        <v>0.01</v>
      </c>
    </row>
    <row r="9116" spans="1:6" x14ac:dyDescent="0.3">
      <c r="A9116" t="str">
        <f>HYPERLINK("https://us2.cloudbeds.com/connect/10074733072513#/reservations/31692743561370?display=MHY31S3FB&amp;reservation_id=31692743561370", "MHY31S3FB")</f>
        <v>MHY31S3FB</v>
      </c>
      <c r="B9116" t="s">
        <v>1368</v>
      </c>
      <c r="C9116">
        <v>119</v>
      </c>
      <c r="D9116">
        <v>129.36000000000001</v>
      </c>
      <c r="E9116">
        <v>129.35</v>
      </c>
      <c r="F9116">
        <v>0.01</v>
      </c>
    </row>
    <row r="9117" spans="1:6" x14ac:dyDescent="0.3">
      <c r="A9117" t="str">
        <f>HYPERLINK("https://us2.cloudbeds.com/connect/10074733072513#/reservations/31686538453244?display=MHG9GHR6P&amp;reservation_id=31686538453244", "MHG9GHR6P")</f>
        <v>MHG9GHR6P</v>
      </c>
      <c r="B9117" t="s">
        <v>1342</v>
      </c>
      <c r="C9117">
        <v>99</v>
      </c>
      <c r="D9117">
        <v>107.62</v>
      </c>
      <c r="E9117">
        <v>107.61</v>
      </c>
      <c r="F9117">
        <v>0.01</v>
      </c>
    </row>
    <row r="9118" spans="1:6" x14ac:dyDescent="0.3">
      <c r="A9118" t="str">
        <f>HYPERLINK("https://us2.cloudbeds.com/connect/10074733072513#/reservations/31690148393187?display=MHJ2ZHNU8&amp;reservation_id=31690148393187", "MHJ2ZHNU8")</f>
        <v>MHJ2ZHNU8</v>
      </c>
      <c r="B9118" t="s">
        <v>1357</v>
      </c>
      <c r="C9118">
        <v>258</v>
      </c>
      <c r="D9118">
        <v>280.45999999999998</v>
      </c>
      <c r="E9118">
        <v>280.45</v>
      </c>
      <c r="F9118">
        <v>0.01</v>
      </c>
    </row>
    <row r="9119" spans="1:6" x14ac:dyDescent="0.3">
      <c r="A9119" t="str">
        <f>HYPERLINK("https://us2.cloudbeds.com/connect/10074733072513#/reservations/31690179563651?display=MHJ3HR2UN&amp;reservation_id=31690179563651", "MHJ3HR2UN")</f>
        <v>MHJ3HR2UN</v>
      </c>
      <c r="B9119" t="s">
        <v>1357</v>
      </c>
      <c r="C9119">
        <v>179</v>
      </c>
      <c r="D9119">
        <v>194.58</v>
      </c>
      <c r="E9119">
        <v>194.57</v>
      </c>
      <c r="F9119">
        <v>0.01</v>
      </c>
    </row>
    <row r="9120" spans="1:6" x14ac:dyDescent="0.3">
      <c r="A9120" t="str">
        <f>HYPERLINK("https://us2.cloudbeds.com/connect/10074733072513#/reservations/31690771005645?display=MHJXYHRHE&amp;reservation_id=31690771005645", "MHJXYHRHE")</f>
        <v>MHJXYHRHE</v>
      </c>
      <c r="B9120" t="s">
        <v>1237</v>
      </c>
      <c r="C9120">
        <v>139</v>
      </c>
      <c r="D9120">
        <v>151.1</v>
      </c>
      <c r="E9120">
        <v>151.09</v>
      </c>
      <c r="F9120">
        <v>0.01</v>
      </c>
    </row>
    <row r="9121" spans="1:6" x14ac:dyDescent="0.3">
      <c r="A9121" t="str">
        <f>HYPERLINK("https://us2.cloudbeds.com/connect/10074733072513#/reservations/31691741208704?display=MHKAEY1NV&amp;reservation_id=31691741208704", "MHKAEY1NV")</f>
        <v>MHKAEY1NV</v>
      </c>
      <c r="B9121" t="s">
        <v>1237</v>
      </c>
      <c r="C9121">
        <v>73</v>
      </c>
      <c r="D9121">
        <v>79.36</v>
      </c>
      <c r="E9121">
        <v>79.349999999999994</v>
      </c>
      <c r="F9121">
        <v>0.01</v>
      </c>
    </row>
    <row r="9122" spans="1:6" x14ac:dyDescent="0.3">
      <c r="A9122" t="str">
        <f>HYPERLINK("https://us2.cloudbeds.com/connect/10074733072513#/reservations/31690711122121?display=MHJH41G26&amp;reservation_id=31690711122121", "MHJH41G26")</f>
        <v>MHJH41G26</v>
      </c>
      <c r="B9122" t="s">
        <v>1237</v>
      </c>
      <c r="C9122">
        <v>169</v>
      </c>
      <c r="D9122">
        <v>183.71</v>
      </c>
      <c r="E9122">
        <v>183.7</v>
      </c>
      <c r="F9122">
        <v>0.01</v>
      </c>
    </row>
    <row r="9123" spans="1:6" x14ac:dyDescent="0.3">
      <c r="A9123" t="str">
        <f>HYPERLINK("https://us2.cloudbeds.com/connect/10074733072513#/reservations/31690128662679?display=MHJ27TMU2&amp;reservation_id=31690128662679", "MHJ27TMU2")</f>
        <v>MHJ27TMU2</v>
      </c>
      <c r="B9123" t="s">
        <v>1357</v>
      </c>
      <c r="C9123">
        <v>149</v>
      </c>
      <c r="D9123">
        <v>161.97</v>
      </c>
      <c r="E9123">
        <v>161.96</v>
      </c>
      <c r="F9123">
        <v>0.01</v>
      </c>
    </row>
    <row r="9124" spans="1:6" x14ac:dyDescent="0.3">
      <c r="A9124" t="str">
        <f>HYPERLINK("https://us2.cloudbeds.com/connect/10074733072513#/reservations/31686907408557?display=MHGXUYX4P&amp;reservation_id=31686907408557", "MHGXUYX4P")</f>
        <v>MHGXUYX4P</v>
      </c>
      <c r="B9124" t="s">
        <v>1346</v>
      </c>
      <c r="C9124">
        <v>119</v>
      </c>
      <c r="D9124">
        <v>129.36000000000001</v>
      </c>
      <c r="E9124">
        <v>129.35</v>
      </c>
      <c r="F9124">
        <v>0.01</v>
      </c>
    </row>
    <row r="9125" spans="1:6" x14ac:dyDescent="0.3">
      <c r="A9125" t="str">
        <f>HYPERLINK("https://us2.cloudbeds.com/connect/10074733072513#/reservations/31686617645215?display=MHGBHAF3F&amp;reservation_id=31686617645215", "MHGBHAF3F")</f>
        <v>MHGBHAF3F</v>
      </c>
      <c r="B9125" t="s">
        <v>1233</v>
      </c>
      <c r="C9125">
        <v>119</v>
      </c>
      <c r="D9125">
        <v>129.36000000000001</v>
      </c>
      <c r="E9125">
        <v>129.35</v>
      </c>
      <c r="F9125">
        <v>0.01</v>
      </c>
    </row>
    <row r="9126" spans="1:6" x14ac:dyDescent="0.3">
      <c r="A9126" t="str">
        <f>HYPERLINK("https://us2.cloudbeds.com/connect/10074733072513#/reservations/31687600636138?display=MHH3Y6KP6&amp;reservation_id=31687600636138", "MHH3Y6KP6")</f>
        <v>MHH3Y6KP6</v>
      </c>
      <c r="B9126" t="s">
        <v>1259</v>
      </c>
      <c r="C9126">
        <v>358</v>
      </c>
      <c r="D9126">
        <v>389.16</v>
      </c>
      <c r="E9126">
        <v>389.15</v>
      </c>
      <c r="F9126">
        <v>0.01</v>
      </c>
    </row>
    <row r="9127" spans="1:6" x14ac:dyDescent="0.3">
      <c r="A9127" t="str">
        <f>HYPERLINK("https://us2.cloudbeds.com/connect/10074733072513#/reservations/31690171752664?display=MHJ34GFQP&amp;reservation_id=31690171752664", "MHJ34GFQP")</f>
        <v>MHJ34GFQP</v>
      </c>
      <c r="B9127" t="s">
        <v>1357</v>
      </c>
      <c r="C9127">
        <v>149</v>
      </c>
      <c r="D9127">
        <v>161.97</v>
      </c>
      <c r="E9127">
        <v>161.96</v>
      </c>
      <c r="F9127">
        <v>0.01</v>
      </c>
    </row>
    <row r="9128" spans="1:6" x14ac:dyDescent="0.3">
      <c r="A9128" t="str">
        <f>HYPERLINK("https://us2.cloudbeds.com/connect/10074733072513#/reservations/31690128658563?display=MHJ27TJ4B&amp;reservation_id=31690128658563", "MHJ27TJ4B")</f>
        <v>MHJ27TJ4B</v>
      </c>
      <c r="B9128" t="s">
        <v>1357</v>
      </c>
      <c r="C9128">
        <v>149</v>
      </c>
      <c r="D9128">
        <v>161.97</v>
      </c>
      <c r="E9128">
        <v>161.96</v>
      </c>
      <c r="F9128">
        <v>0.01</v>
      </c>
    </row>
    <row r="9129" spans="1:6" x14ac:dyDescent="0.3">
      <c r="A9129" t="str">
        <f>HYPERLINK("https://us2.cloudbeds.com/connect/10074733072513#/reservations/31685895700688?display=MHFQ2X9FJ&amp;reservation_id=31685895700688", "MHFQ2X9FJ")</f>
        <v>MHFQ2X9FJ</v>
      </c>
      <c r="B9129" t="s">
        <v>1357</v>
      </c>
      <c r="C9129">
        <v>159</v>
      </c>
      <c r="D9129">
        <v>172.84</v>
      </c>
      <c r="E9129">
        <v>172.83</v>
      </c>
      <c r="F9129">
        <v>0.01</v>
      </c>
    </row>
    <row r="9130" spans="1:6" x14ac:dyDescent="0.3">
      <c r="A9130" t="str">
        <f>HYPERLINK("https://us2.cloudbeds.com/connect/10074733072513#/reservations/31695100469453?display=MHMU98X1D&amp;reservation_id=31695100469453", "MHMU98X1D")</f>
        <v>MHMU98X1D</v>
      </c>
      <c r="B9130" t="s">
        <v>1327</v>
      </c>
      <c r="C9130">
        <v>139</v>
      </c>
      <c r="D9130">
        <v>151.1</v>
      </c>
      <c r="E9130">
        <v>151.09</v>
      </c>
      <c r="F9130">
        <v>0.01</v>
      </c>
    </row>
    <row r="9131" spans="1:6" x14ac:dyDescent="0.3">
      <c r="A9131" t="str">
        <f>HYPERLINK("https://us2.cloudbeds.com/connect/10074733072513#/reservations/31692769935539?display=MHY3Z305J&amp;reservation_id=31692769935539", "MHY3Z305J")</f>
        <v>MHY3Z305J</v>
      </c>
      <c r="B9131" t="s">
        <v>1331</v>
      </c>
      <c r="C9131">
        <v>169</v>
      </c>
      <c r="D9131">
        <v>183.71</v>
      </c>
      <c r="E9131">
        <v>183.7</v>
      </c>
      <c r="F9131">
        <v>0.01</v>
      </c>
    </row>
    <row r="9132" spans="1:6" x14ac:dyDescent="0.3">
      <c r="A9132" t="str">
        <f>HYPERLINK("https://us2.cloudbeds.com/connect/10074733072513#/reservations/31690701627630?display=MHJGT19HB&amp;reservation_id=31690701627630", "MHJGT19HB")</f>
        <v>MHJGT19HB</v>
      </c>
      <c r="B9132" t="s">
        <v>1237</v>
      </c>
      <c r="C9132">
        <v>159</v>
      </c>
      <c r="D9132">
        <v>172.84</v>
      </c>
      <c r="E9132">
        <v>172.83</v>
      </c>
      <c r="F9132">
        <v>0.01</v>
      </c>
    </row>
    <row r="9133" spans="1:6" x14ac:dyDescent="0.3">
      <c r="A9133" t="str">
        <f>HYPERLINK("https://us2.cloudbeds.com/connect/10074733072513#/reservations/31685913297026?display=MHFQHCUNV&amp;reservation_id=31685913297026", "MHFQHCUNV")</f>
        <v>MHFQHCUNV</v>
      </c>
      <c r="B9133" t="s">
        <v>1259</v>
      </c>
      <c r="C9133">
        <v>73</v>
      </c>
      <c r="D9133">
        <v>79.36</v>
      </c>
      <c r="E9133">
        <v>79.349999999999994</v>
      </c>
      <c r="F9133">
        <v>0.01</v>
      </c>
    </row>
    <row r="9134" spans="1:6" x14ac:dyDescent="0.3">
      <c r="A9134" t="str">
        <f>HYPERLINK("https://us2.cloudbeds.com/connect/10074733072513#/reservations/31683662278813?display=MHE20910R&amp;reservation_id=31683662278813", "MHE20910R")</f>
        <v>MHE20910R</v>
      </c>
      <c r="B9134" t="s">
        <v>1259</v>
      </c>
      <c r="C9134">
        <v>149</v>
      </c>
      <c r="D9134">
        <v>161.97</v>
      </c>
      <c r="E9134">
        <v>161.96</v>
      </c>
      <c r="F9134">
        <v>0.01</v>
      </c>
    </row>
    <row r="9135" spans="1:6" x14ac:dyDescent="0.3">
      <c r="A9135" t="str">
        <f>HYPERLINK("https://us2.cloudbeds.com/connect/10074733072513#/reservations/31691575857322?display=MHK6770K6&amp;reservation_id=31691575857322", "MHK6770K6")</f>
        <v>MHK6770K6</v>
      </c>
      <c r="B9135" t="s">
        <v>1361</v>
      </c>
      <c r="C9135">
        <v>139</v>
      </c>
      <c r="D9135">
        <v>151.1</v>
      </c>
      <c r="E9135">
        <v>151.09</v>
      </c>
      <c r="F9135">
        <v>0.01</v>
      </c>
    </row>
    <row r="9136" spans="1:6" x14ac:dyDescent="0.3">
      <c r="A9136" t="str">
        <f>HYPERLINK("https://us2.cloudbeds.com/connect/10074733072513#/reservations/31685735506068?display=MHFYWFKW5&amp;reservation_id=31685735506068", "MHFYWFKW5")</f>
        <v>MHFYWFKW5</v>
      </c>
      <c r="B9136" t="s">
        <v>1013</v>
      </c>
      <c r="C9136">
        <v>159</v>
      </c>
      <c r="D9136">
        <v>172.84</v>
      </c>
      <c r="E9136">
        <v>172.83</v>
      </c>
      <c r="F9136">
        <v>0.01</v>
      </c>
    </row>
    <row r="9137" spans="1:6" x14ac:dyDescent="0.3">
      <c r="A9137" t="str">
        <f>HYPERLINK("https://us2.cloudbeds.com/connect/10074733072513#/reservations/31685617279168?display=MHFXVPMKY&amp;reservation_id=31685617279168", "MHFXVPMKY")</f>
        <v>MHFXVPMKY</v>
      </c>
      <c r="B9137" t="s">
        <v>1367</v>
      </c>
      <c r="C9137">
        <v>119</v>
      </c>
      <c r="D9137">
        <v>129.36000000000001</v>
      </c>
      <c r="E9137">
        <v>129.35</v>
      </c>
      <c r="F9137">
        <v>0.01</v>
      </c>
    </row>
    <row r="9138" spans="1:6" x14ac:dyDescent="0.3">
      <c r="A9138" t="str">
        <f>HYPERLINK("https://us2.cloudbeds.com/connect/10074733072513#/reservations/31684037271736?display=MHEBJFP4Z&amp;reservation_id=31684037271736", "MHEBJFP4Z")</f>
        <v>MHEBJFP4Z</v>
      </c>
      <c r="B9138" t="s">
        <v>1361</v>
      </c>
      <c r="C9138">
        <v>139</v>
      </c>
      <c r="D9138">
        <v>151.1</v>
      </c>
      <c r="E9138">
        <v>151.09</v>
      </c>
      <c r="F9138">
        <v>0.01</v>
      </c>
    </row>
    <row r="9139" spans="1:6" x14ac:dyDescent="0.3">
      <c r="A9139" t="str">
        <f>HYPERLINK("https://us2.cloudbeds.com/connect/10074733072513#/reservations/31685623902344?display=MHFJ4C374&amp;reservation_id=31685623902344", "MHFJ4C374")</f>
        <v>MHFJ4C374</v>
      </c>
      <c r="B9139" t="s">
        <v>1367</v>
      </c>
      <c r="C9139">
        <v>119</v>
      </c>
      <c r="D9139">
        <v>129.36000000000001</v>
      </c>
      <c r="E9139">
        <v>129.35</v>
      </c>
      <c r="F9139">
        <v>0.01</v>
      </c>
    </row>
    <row r="9140" spans="1:6" x14ac:dyDescent="0.3">
      <c r="A9140" t="str">
        <f>HYPERLINK("https://us2.cloudbeds.com/connect/10074733072513#/reservations/31686960447713?display=MHGK9CEJV&amp;reservation_id=31686960447713", "MHGK9CEJV")</f>
        <v>MHGK9CEJV</v>
      </c>
      <c r="B9140" t="s">
        <v>1348</v>
      </c>
      <c r="C9140">
        <v>109</v>
      </c>
      <c r="D9140">
        <v>118.49</v>
      </c>
      <c r="E9140">
        <v>118.48</v>
      </c>
      <c r="F9140">
        <v>0.01</v>
      </c>
    </row>
    <row r="9141" spans="1:6" x14ac:dyDescent="0.3">
      <c r="A9141" t="str">
        <f>HYPERLINK("https://us2.cloudbeds.com/connect/10074733072513#/reservations/31687962284238?display=MHHCT50MH&amp;reservation_id=31687962284238", "MHHCT50MH")</f>
        <v>MHHCT50MH</v>
      </c>
      <c r="B9141" t="s">
        <v>1331</v>
      </c>
      <c r="C9141">
        <v>149</v>
      </c>
      <c r="D9141">
        <v>161.97</v>
      </c>
      <c r="E9141">
        <v>161.96</v>
      </c>
      <c r="F9141">
        <v>0.01</v>
      </c>
    </row>
    <row r="9142" spans="1:6" x14ac:dyDescent="0.3">
      <c r="A9142" t="str">
        <f>HYPERLINK("https://us2.cloudbeds.com/connect/10074733072513#/reservations/31684084351168?display=MHECAGJC9&amp;reservation_id=31684084351168", "MHECAGJC9")</f>
        <v>MHECAGJC9</v>
      </c>
      <c r="B9142" t="s">
        <v>1361</v>
      </c>
      <c r="C9142">
        <v>139</v>
      </c>
      <c r="D9142">
        <v>151.1</v>
      </c>
      <c r="E9142">
        <v>151.09</v>
      </c>
      <c r="F9142">
        <v>0.01</v>
      </c>
    </row>
    <row r="9143" spans="1:6" x14ac:dyDescent="0.3">
      <c r="A9143" t="str">
        <f>HYPERLINK("https://us2.cloudbeds.com/connect/10074733072513#/reservations/31687992721622?display=MHHDYQWHG&amp;reservation_id=31687992721622", "MHHDYQWHG")</f>
        <v>MHHDYQWHG</v>
      </c>
      <c r="B9143" t="s">
        <v>1331</v>
      </c>
      <c r="C9143">
        <v>169</v>
      </c>
      <c r="D9143">
        <v>183.71</v>
      </c>
      <c r="E9143">
        <v>183.7</v>
      </c>
      <c r="F9143">
        <v>0.01</v>
      </c>
    </row>
    <row r="9144" spans="1:6" x14ac:dyDescent="0.3">
      <c r="A9144" t="str">
        <f>HYPERLINK("https://us2.cloudbeds.com/connect/10074733072513#/reservations/31685106319579?display=MHF5TUJJU&amp;reservation_id=31685106319579", "MHF5TUJJU")</f>
        <v>MHF5TUJJU</v>
      </c>
      <c r="B9144" t="s">
        <v>1224</v>
      </c>
      <c r="C9144">
        <v>225</v>
      </c>
      <c r="D9144">
        <v>244.59</v>
      </c>
      <c r="E9144">
        <v>244.58</v>
      </c>
      <c r="F9144">
        <v>0.01</v>
      </c>
    </row>
    <row r="9145" spans="1:6" x14ac:dyDescent="0.3">
      <c r="A9145" t="str">
        <f>HYPERLINK("https://us2.cloudbeds.com/connect/10074733072513#/reservations/31683729678502?display=MHE3Z3HCY&amp;reservation_id=31683729678502", "MHE3Z3HCY")</f>
        <v>MHE3Z3HCY</v>
      </c>
      <c r="B9145" t="s">
        <v>1367</v>
      </c>
      <c r="C9145">
        <v>238</v>
      </c>
      <c r="D9145">
        <v>258.72000000000003</v>
      </c>
      <c r="E9145">
        <v>258.70999999999998</v>
      </c>
      <c r="F9145">
        <v>0.01</v>
      </c>
    </row>
    <row r="9146" spans="1:6" x14ac:dyDescent="0.3">
      <c r="A9146" t="str">
        <f>HYPERLINK("https://us2.cloudbeds.com/connect/10074733072513#/reservations/31691586252998?display=MHK6FW9MM&amp;reservation_id=31691586252998", "MHK6FW9MM")</f>
        <v>MHK6FW9MM</v>
      </c>
      <c r="B9146" t="s">
        <v>1361</v>
      </c>
      <c r="C9146">
        <v>139</v>
      </c>
      <c r="D9146">
        <v>151.1</v>
      </c>
      <c r="E9146">
        <v>151.09</v>
      </c>
      <c r="F9146">
        <v>0.01</v>
      </c>
    </row>
    <row r="9147" spans="1:6" x14ac:dyDescent="0.3">
      <c r="A9147" t="str">
        <f>HYPERLINK("https://us2.cloudbeds.com/connect/10074733072513#/reservations/31695085019348?display=MHMTT7KKD&amp;reservation_id=31695085019348", "MHMTT7KKD")</f>
        <v>MHMTT7KKD</v>
      </c>
      <c r="B9147" t="s">
        <v>1327</v>
      </c>
      <c r="C9147">
        <v>278</v>
      </c>
      <c r="D9147">
        <v>302.2</v>
      </c>
      <c r="E9147">
        <v>302.19</v>
      </c>
      <c r="F9147">
        <v>0.01</v>
      </c>
    </row>
    <row r="9148" spans="1:6" x14ac:dyDescent="0.3">
      <c r="A9148" t="str">
        <f>HYPERLINK("https://us2.cloudbeds.com/connect/10074733072513#/reservations/31683324768461?display=MHDQCMA5D&amp;reservation_id=31683324768461", "MHDQCMA5D")</f>
        <v>MHDQCMA5D</v>
      </c>
      <c r="B9148" t="s">
        <v>1224</v>
      </c>
      <c r="C9148">
        <v>225</v>
      </c>
      <c r="D9148">
        <v>244.59</v>
      </c>
      <c r="E9148">
        <v>244.58</v>
      </c>
      <c r="F9148">
        <v>0.01</v>
      </c>
    </row>
    <row r="9149" spans="1:6" x14ac:dyDescent="0.3">
      <c r="A9149" t="str">
        <f>HYPERLINK("https://us2.cloudbeds.com/connect/10074733072513#/reservations/31686868721849?display=MHGHV115A&amp;reservation_id=31686868721849", "MHGHV115A")</f>
        <v>MHGHV115A</v>
      </c>
      <c r="B9149" t="s">
        <v>1216</v>
      </c>
      <c r="C9149">
        <v>321.3</v>
      </c>
      <c r="D9149">
        <v>349.26</v>
      </c>
      <c r="E9149">
        <v>349.25</v>
      </c>
      <c r="F9149">
        <v>0.01</v>
      </c>
    </row>
    <row r="9150" spans="1:6" x14ac:dyDescent="0.3">
      <c r="A9150" t="str">
        <f>HYPERLINK("https://us2.cloudbeds.com/connect/10074733072513#/reservations/31686207434956?display=MHG11DZRX&amp;reservation_id=31686207434956", "MHG11DZRX")</f>
        <v>MHG11DZRX</v>
      </c>
      <c r="B9150" t="s">
        <v>1351</v>
      </c>
      <c r="C9150">
        <v>179</v>
      </c>
      <c r="D9150">
        <v>194.58</v>
      </c>
      <c r="E9150">
        <v>194.57</v>
      </c>
      <c r="F9150">
        <v>0.01</v>
      </c>
    </row>
    <row r="9151" spans="1:6" x14ac:dyDescent="0.3">
      <c r="A9151" t="str">
        <f>HYPERLINK("https://us2.cloudbeds.com/connect/10074733072513#/reservations/31685203845257?display=MHF8D5CSG&amp;reservation_id=31685203845257", "MHF8D5CSG")</f>
        <v>MHF8D5CSG</v>
      </c>
      <c r="B9151" t="s">
        <v>1224</v>
      </c>
      <c r="C9151">
        <v>129</v>
      </c>
      <c r="D9151">
        <v>140.22999999999999</v>
      </c>
      <c r="E9151">
        <v>140.22</v>
      </c>
      <c r="F9151">
        <v>0.01</v>
      </c>
    </row>
    <row r="9152" spans="1:6" x14ac:dyDescent="0.3">
      <c r="A9152" t="str">
        <f>HYPERLINK("https://us2.cloudbeds.com/connect/10074733072513#/reservations/31684726001911?display=MHET67MU3&amp;reservation_id=31684726001911", "MHET67MU3")</f>
        <v>MHET67MU3</v>
      </c>
      <c r="B9152" t="s">
        <v>1376</v>
      </c>
      <c r="C9152">
        <v>73</v>
      </c>
      <c r="D9152">
        <v>79.36</v>
      </c>
      <c r="E9152">
        <v>79.349999999999994</v>
      </c>
      <c r="F9152">
        <v>0.01</v>
      </c>
    </row>
    <row r="9153" spans="1:6" x14ac:dyDescent="0.3">
      <c r="A9153" t="str">
        <f>HYPERLINK("https://us2.cloudbeds.com/connect/10074733072513#/reservations/31684065759399?display=MHECAGFK8&amp;reservation_id=31684065759399", "MHECAGFK8")</f>
        <v>MHECAGFK8</v>
      </c>
      <c r="B9153" t="s">
        <v>1361</v>
      </c>
      <c r="C9153">
        <v>139</v>
      </c>
      <c r="D9153">
        <v>151.1</v>
      </c>
      <c r="E9153">
        <v>151.09</v>
      </c>
      <c r="F9153">
        <v>0.01</v>
      </c>
    </row>
    <row r="9154" spans="1:6" x14ac:dyDescent="0.3">
      <c r="A9154" t="str">
        <f>HYPERLINK("https://us2.cloudbeds.com/connect/10074733072513#/reservations/31683361763457?display=MHDRASZMT&amp;reservation_id=31683361763457", "MHDRASZMT")</f>
        <v>MHDRASZMT</v>
      </c>
      <c r="B9154" t="s">
        <v>1378</v>
      </c>
      <c r="C9154">
        <v>119</v>
      </c>
      <c r="D9154">
        <v>129.36000000000001</v>
      </c>
      <c r="E9154">
        <v>129.35</v>
      </c>
      <c r="F9154">
        <v>0.01</v>
      </c>
    </row>
    <row r="9155" spans="1:6" x14ac:dyDescent="0.3">
      <c r="A9155" t="str">
        <f>HYPERLINK("https://us2.cloudbeds.com/connect/10074733072513#/reservations/31692719354096?display=MHY2EEGXJ&amp;reservation_id=31692719354096", "MHY2EEGXJ")</f>
        <v>MHY2EEGXJ</v>
      </c>
      <c r="B9155" t="s">
        <v>1331</v>
      </c>
      <c r="C9155">
        <v>149</v>
      </c>
      <c r="D9155">
        <v>161.97</v>
      </c>
      <c r="E9155">
        <v>161.96</v>
      </c>
      <c r="F9155">
        <v>0.01</v>
      </c>
    </row>
    <row r="9156" spans="1:6" x14ac:dyDescent="0.3">
      <c r="A9156" t="str">
        <f>HYPERLINK("https://us2.cloudbeds.com/connect/10074733072513#/reservations/31685769023626?display=MHFMRZA8Z&amp;reservation_id=31685769023626", "MHFMRZA8Z")</f>
        <v>MHFMRZA8Z</v>
      </c>
      <c r="B9156" t="s">
        <v>1013</v>
      </c>
      <c r="C9156">
        <v>129</v>
      </c>
      <c r="D9156">
        <v>140.22999999999999</v>
      </c>
      <c r="E9156">
        <v>140.22</v>
      </c>
      <c r="F9156">
        <v>0.01</v>
      </c>
    </row>
    <row r="9157" spans="1:6" x14ac:dyDescent="0.3">
      <c r="A9157" t="str">
        <f>HYPERLINK("https://us2.cloudbeds.com/connect/10074733072513#/reservations/31685229117650?display=MHF91FKRX&amp;reservation_id=31685229117650", "MHF91FKRX")</f>
        <v>MHF91FKRX</v>
      </c>
      <c r="B9157" t="s">
        <v>1224</v>
      </c>
      <c r="C9157">
        <v>129</v>
      </c>
      <c r="D9157">
        <v>140.22999999999999</v>
      </c>
      <c r="E9157">
        <v>140.22</v>
      </c>
      <c r="F9157">
        <v>0.01</v>
      </c>
    </row>
    <row r="9158" spans="1:6" x14ac:dyDescent="0.3">
      <c r="A9158" t="str">
        <f>HYPERLINK("https://us2.cloudbeds.com/connect/10074733072513#/reservations/31686037704849?display=MHFTN9P4W&amp;reservation_id=31686037704849", "MHFTN9P4W")</f>
        <v>MHFTN9P4W</v>
      </c>
      <c r="B9158" t="s">
        <v>1379</v>
      </c>
      <c r="C9158">
        <v>225</v>
      </c>
      <c r="D9158">
        <v>244.59</v>
      </c>
      <c r="E9158">
        <v>244.58</v>
      </c>
      <c r="F9158">
        <v>0.01</v>
      </c>
    </row>
    <row r="9159" spans="1:6" x14ac:dyDescent="0.3">
      <c r="A9159" t="str">
        <f>HYPERLINK("https://us2.cloudbeds.com/connect/10074733072513#/reservations/31686782902401?display=MHGFZYWDW&amp;reservation_id=31686782902401", "MHGFZYWDW")</f>
        <v>MHGFZYWDW</v>
      </c>
      <c r="B9159" t="s">
        <v>1353</v>
      </c>
      <c r="C9159">
        <v>119</v>
      </c>
      <c r="D9159">
        <v>129.36000000000001</v>
      </c>
      <c r="E9159">
        <v>129.35</v>
      </c>
      <c r="F9159">
        <v>0.01</v>
      </c>
    </row>
    <row r="9160" spans="1:6" x14ac:dyDescent="0.3">
      <c r="A9160" t="str">
        <f>HYPERLINK("https://us2.cloudbeds.com/connect/10074733072513#/reservations/31683331305653?display=MHDQX6734&amp;reservation_id=31683331305653", "MHDQX6734")</f>
        <v>MHDQX6734</v>
      </c>
      <c r="B9160" t="s">
        <v>1224</v>
      </c>
      <c r="C9160">
        <v>119</v>
      </c>
      <c r="D9160">
        <v>129.36000000000001</v>
      </c>
      <c r="E9160">
        <v>129.35</v>
      </c>
      <c r="F9160">
        <v>0.01</v>
      </c>
    </row>
    <row r="9161" spans="1:6" x14ac:dyDescent="0.3">
      <c r="A9161" t="str">
        <f>HYPERLINK("https://us2.cloudbeds.com/connect/10074733072513#/reservations/31687937585336?display=MHHC8AZAV&amp;reservation_id=31687937585336", "MHHC8AZAV")</f>
        <v>MHHC8AZAV</v>
      </c>
      <c r="B9161" t="s">
        <v>1378</v>
      </c>
      <c r="C9161">
        <v>150</v>
      </c>
      <c r="D9161">
        <v>163.06</v>
      </c>
      <c r="E9161">
        <v>163.05000000000001</v>
      </c>
      <c r="F9161">
        <v>0.01</v>
      </c>
    </row>
    <row r="9162" spans="1:6" x14ac:dyDescent="0.3">
      <c r="A9162" t="str">
        <f>HYPERLINK("https://us2.cloudbeds.com/connect/10074733072513#/reservations/31685213589744?display=MHF8YCHVW&amp;reservation_id=31685213589744", "MHF8YCHVW")</f>
        <v>MHF8YCHVW</v>
      </c>
      <c r="B9162" t="s">
        <v>1224</v>
      </c>
      <c r="C9162">
        <v>119</v>
      </c>
      <c r="D9162">
        <v>129.36000000000001</v>
      </c>
      <c r="E9162">
        <v>129.35</v>
      </c>
      <c r="F9162">
        <v>0.01</v>
      </c>
    </row>
    <row r="9163" spans="1:6" x14ac:dyDescent="0.3">
      <c r="A9163" t="str">
        <f>HYPERLINK("https://us2.cloudbeds.com/connect/10074733072513#/reservations/31685189595295?display=MHF814SGF&amp;reservation_id=31685189595295", "MHF814SGF")</f>
        <v>MHF814SGF</v>
      </c>
      <c r="B9163" t="s">
        <v>1224</v>
      </c>
      <c r="C9163">
        <v>149</v>
      </c>
      <c r="D9163">
        <v>161.97</v>
      </c>
      <c r="E9163">
        <v>161.96</v>
      </c>
      <c r="F9163">
        <v>0.01</v>
      </c>
    </row>
    <row r="9164" spans="1:6" x14ac:dyDescent="0.3">
      <c r="A9164" t="str">
        <f>HYPERLINK("https://us2.cloudbeds.com/connect/10074733072513#/reservations/31692793213141?display=MHY4ANZCF&amp;reservation_id=31692793213141", "MHY4ANZCF")</f>
        <v>MHY4ANZCF</v>
      </c>
      <c r="B9164" t="s">
        <v>1368</v>
      </c>
      <c r="C9164">
        <v>119</v>
      </c>
      <c r="D9164">
        <v>129.36000000000001</v>
      </c>
      <c r="E9164">
        <v>129.35</v>
      </c>
      <c r="F9164">
        <v>0.01</v>
      </c>
    </row>
    <row r="9165" spans="1:6" x14ac:dyDescent="0.3">
      <c r="A9165" t="str">
        <f>HYPERLINK("https://us2.cloudbeds.com/connect/10074733072513#/reservations/31683354919117?display=MHDR539NY&amp;reservation_id=31683354919117", "MHDR539NY")</f>
        <v>MHDR539NY</v>
      </c>
      <c r="B9165" t="s">
        <v>1378</v>
      </c>
      <c r="C9165">
        <v>79</v>
      </c>
      <c r="D9165">
        <v>85.88</v>
      </c>
      <c r="E9165">
        <v>85.87</v>
      </c>
      <c r="F9165">
        <v>0.01</v>
      </c>
    </row>
    <row r="9166" spans="1:6" x14ac:dyDescent="0.3">
      <c r="A9166" t="str">
        <f>HYPERLINK("https://us2.cloudbeds.com/connect/10074733072513#/reservations/31687987249280?display=MHHDH6JNP&amp;reservation_id=31687987249280", "MHHDH6JNP")</f>
        <v>MHHDH6JNP</v>
      </c>
      <c r="B9166" t="s">
        <v>1331</v>
      </c>
      <c r="C9166">
        <v>169</v>
      </c>
      <c r="D9166">
        <v>183.71</v>
      </c>
      <c r="E9166">
        <v>183.7</v>
      </c>
      <c r="F9166">
        <v>0.01</v>
      </c>
    </row>
    <row r="9167" spans="1:6" x14ac:dyDescent="0.3">
      <c r="A9167" t="str">
        <f>HYPERLINK("https://us2.cloudbeds.com/connect/10074733072513#/reservations/31683347452093?display=MHDQVQGV6&amp;reservation_id=31683347452093", "MHDQVQGV6")</f>
        <v>MHDQVQGV6</v>
      </c>
      <c r="B9167" t="s">
        <v>1378</v>
      </c>
      <c r="C9167">
        <v>109</v>
      </c>
      <c r="D9167">
        <v>118.49</v>
      </c>
      <c r="E9167">
        <v>118.48</v>
      </c>
      <c r="F9167">
        <v>0.01</v>
      </c>
    </row>
    <row r="9168" spans="1:6" x14ac:dyDescent="0.3">
      <c r="A9168" t="str">
        <f>HYPERLINK("https://us2.cloudbeds.com/connect/10074733072513#/reservations/31687903822054?display=MHHBCS7D6&amp;reservation_id=31687903822054", "MHHBCS7D6")</f>
        <v>MHHBCS7D6</v>
      </c>
      <c r="B9168" t="s">
        <v>1378</v>
      </c>
      <c r="C9168">
        <v>73</v>
      </c>
      <c r="D9168">
        <v>79.36</v>
      </c>
      <c r="E9168">
        <v>79.349999999999994</v>
      </c>
      <c r="F9168">
        <v>0.01</v>
      </c>
    </row>
    <row r="9169" spans="1:6" x14ac:dyDescent="0.3">
      <c r="A9169" t="str">
        <f>HYPERLINK("https://us2.cloudbeds.com/connect/10074733072513#/reservations/31685769027721?display=MHFMRZE0R&amp;reservation_id=31685769027721", "MHFMRZE0R")</f>
        <v>MHFMRZE0R</v>
      </c>
      <c r="B9169" t="s">
        <v>1013</v>
      </c>
      <c r="C9169">
        <v>378</v>
      </c>
      <c r="D9169">
        <v>410.9</v>
      </c>
      <c r="E9169">
        <v>410.89</v>
      </c>
      <c r="F9169">
        <v>0.01</v>
      </c>
    </row>
    <row r="9170" spans="1:6" x14ac:dyDescent="0.3">
      <c r="A9170" t="str">
        <f>HYPERLINK("https://us2.cloudbeds.com/connect/10074733072513#/reservations/31695288225931?display=MHN22J4SY&amp;reservation_id=31695288225931", "MHN22J4SY")</f>
        <v>MHN22J4SY</v>
      </c>
      <c r="B9170" t="s">
        <v>1305</v>
      </c>
      <c r="C9170">
        <v>258</v>
      </c>
      <c r="D9170">
        <v>280.45999999999998</v>
      </c>
      <c r="E9170">
        <v>280.45</v>
      </c>
      <c r="F9170">
        <v>0.01</v>
      </c>
    </row>
    <row r="9171" spans="1:6" x14ac:dyDescent="0.3">
      <c r="A9171" t="str">
        <f>HYPERLINK("https://us2.cloudbeds.com/connect/10074733072513#/reservations/31685707067582?display=MHFY8G9YS&amp;reservation_id=31685707067582", "MHFY8G9YS")</f>
        <v>MHFY8G9YS</v>
      </c>
      <c r="B9171" t="s">
        <v>1013</v>
      </c>
      <c r="C9171">
        <v>221.72</v>
      </c>
      <c r="D9171">
        <v>241.02</v>
      </c>
      <c r="E9171">
        <v>241.01</v>
      </c>
      <c r="F9171">
        <v>0.01</v>
      </c>
    </row>
    <row r="9172" spans="1:6" x14ac:dyDescent="0.3">
      <c r="A9172" t="str">
        <f>HYPERLINK("https://us2.cloudbeds.com/connect/10074733072513#/reservations/31691151564928?display=MHJS0UU5C&amp;reservation_id=31691151564928", "MHJS0UU5C")</f>
        <v>MHJS0UU5C</v>
      </c>
      <c r="B9172" t="s">
        <v>1013</v>
      </c>
      <c r="C9172">
        <v>221.72</v>
      </c>
      <c r="D9172">
        <v>241.02</v>
      </c>
      <c r="E9172">
        <v>241.01</v>
      </c>
      <c r="F9172">
        <v>0.01</v>
      </c>
    </row>
    <row r="9173" spans="1:6" x14ac:dyDescent="0.3">
      <c r="A9173" t="str">
        <f>HYPERLINK("https://us2.cloudbeds.com/connect/10074733072513#/reservations/31685791096986?display=MHFNDBHYE&amp;reservation_id=31685791096986", "MHFNDBHYE")</f>
        <v>MHFNDBHYE</v>
      </c>
      <c r="B9173" t="s">
        <v>1380</v>
      </c>
      <c r="C9173">
        <v>196</v>
      </c>
      <c r="D9173">
        <v>213.06</v>
      </c>
      <c r="E9173">
        <v>213.05</v>
      </c>
      <c r="F9173">
        <v>0.01</v>
      </c>
    </row>
    <row r="9174" spans="1:6" x14ac:dyDescent="0.3">
      <c r="A9174" t="str">
        <f>HYPERLINK("https://us2.cloudbeds.com/connect/10074733072513#/reservations/31686997176528?display=MHGY7BFNB&amp;reservation_id=31686997176528", "MHGY7BFNB")</f>
        <v>MHGY7BFNB</v>
      </c>
      <c r="B9174" t="s">
        <v>1381</v>
      </c>
      <c r="C9174">
        <v>218</v>
      </c>
      <c r="D9174">
        <v>236.98</v>
      </c>
      <c r="E9174">
        <v>236.97</v>
      </c>
      <c r="F9174">
        <v>0.01</v>
      </c>
    </row>
    <row r="9175" spans="1:6" x14ac:dyDescent="0.3">
      <c r="A9175" t="str">
        <f>HYPERLINK("https://us2.cloudbeds.com/connect/10074733072513#/reservations/31690512482503?display=MHJC1X1HR&amp;reservation_id=31690512482503", "MHJC1X1HR")</f>
        <v>MHJC1X1HR</v>
      </c>
      <c r="B9175" t="s">
        <v>1375</v>
      </c>
      <c r="C9175">
        <v>139</v>
      </c>
      <c r="D9175">
        <v>151.1</v>
      </c>
      <c r="E9175">
        <v>151.09</v>
      </c>
      <c r="F9175">
        <v>0.01</v>
      </c>
    </row>
    <row r="9176" spans="1:6" x14ac:dyDescent="0.3">
      <c r="A9176" t="str">
        <f>HYPERLINK("https://us2.cloudbeds.com/connect/10074733072513#/reservations/31686815088825?display=MHGGXQKC5&amp;reservation_id=31686815088825", "MHGGXQKC5")</f>
        <v>MHGGXQKC5</v>
      </c>
      <c r="B9176" t="s">
        <v>1355</v>
      </c>
      <c r="C9176">
        <v>278</v>
      </c>
      <c r="D9176">
        <v>302.2</v>
      </c>
      <c r="E9176">
        <v>302.19</v>
      </c>
      <c r="F9176">
        <v>0.01</v>
      </c>
    </row>
    <row r="9177" spans="1:6" x14ac:dyDescent="0.3">
      <c r="A9177" t="str">
        <f>HYPERLINK("https://us2.cloudbeds.com/connect/10074733072513#/reservations/31687962288321?display=MHHCT54E8&amp;reservation_id=31687962288321", "MHHCT54E8")</f>
        <v>MHHCT54E8</v>
      </c>
      <c r="B9177" t="s">
        <v>1381</v>
      </c>
      <c r="C9177">
        <v>218</v>
      </c>
      <c r="D9177">
        <v>236.98</v>
      </c>
      <c r="E9177">
        <v>236.97</v>
      </c>
      <c r="F9177">
        <v>0.01</v>
      </c>
    </row>
    <row r="9178" spans="1:6" x14ac:dyDescent="0.3">
      <c r="A9178" t="str">
        <f>HYPERLINK("https://us2.cloudbeds.com/connect/10074733072513#/reservations/31686768607429?display=MHGFCK6Z0&amp;reservation_id=31686768607429", "MHGFCK6Z0")</f>
        <v>MHGFCK6Z0</v>
      </c>
      <c r="B9178" t="s">
        <v>1013</v>
      </c>
      <c r="C9178">
        <v>169</v>
      </c>
      <c r="D9178">
        <v>183.71</v>
      </c>
      <c r="E9178">
        <v>183.7</v>
      </c>
      <c r="F9178">
        <v>0.01</v>
      </c>
    </row>
    <row r="9179" spans="1:6" x14ac:dyDescent="0.3">
      <c r="A9179" t="str">
        <f>HYPERLINK("https://us2.cloudbeds.com/connect/10074733072513#/reservations/31685800272121?display=MHFNY2RUR&amp;reservation_id=31685800272121", "MHFNY2RUR")</f>
        <v>MHFNY2RUR</v>
      </c>
      <c r="B9179" t="s">
        <v>1380</v>
      </c>
      <c r="C9179">
        <v>79</v>
      </c>
      <c r="D9179">
        <v>85.88</v>
      </c>
      <c r="E9179">
        <v>85.87</v>
      </c>
      <c r="F9179">
        <v>0.01</v>
      </c>
    </row>
    <row r="9180" spans="1:6" x14ac:dyDescent="0.3">
      <c r="A9180" t="str">
        <f>HYPERLINK("https://us2.cloudbeds.com/connect/10074733072513#/reservations/31683989541001?display=MHEAC7J8R&amp;reservation_id=31683989541001", "MHEAC7J8R")</f>
        <v>MHEAC7J8R</v>
      </c>
      <c r="B9180" t="s">
        <v>1361</v>
      </c>
      <c r="C9180">
        <v>139</v>
      </c>
      <c r="D9180">
        <v>151.1</v>
      </c>
      <c r="E9180">
        <v>151.09</v>
      </c>
      <c r="F9180">
        <v>0.01</v>
      </c>
    </row>
    <row r="9181" spans="1:6" x14ac:dyDescent="0.3">
      <c r="A9181" t="str">
        <f>HYPERLINK("https://us2.cloudbeds.com/connect/10074733072513#/reservations/31685984915666?display=MHFSBPR7Z&amp;reservation_id=31685984915666", "MHFSBPR7Z")</f>
        <v>MHFSBPR7Z</v>
      </c>
      <c r="B9181" t="s">
        <v>1382</v>
      </c>
      <c r="C9181">
        <v>119</v>
      </c>
      <c r="D9181">
        <v>129.36000000000001</v>
      </c>
      <c r="E9181">
        <v>129.35</v>
      </c>
      <c r="F9181">
        <v>0.01</v>
      </c>
    </row>
    <row r="9182" spans="1:6" x14ac:dyDescent="0.3">
      <c r="A9182" t="str">
        <f>HYPERLINK("https://us2.cloudbeds.com/connect/10074733072513#/reservations/31687947047123?display=MHHCGA0RP&amp;reservation_id=31687947047123", "MHHCGA0RP")</f>
        <v>MHHCGA0RP</v>
      </c>
      <c r="B9182" t="s">
        <v>1381</v>
      </c>
      <c r="C9182">
        <v>109</v>
      </c>
      <c r="D9182">
        <v>118.49</v>
      </c>
      <c r="E9182">
        <v>118.48</v>
      </c>
      <c r="F9182">
        <v>0.01</v>
      </c>
    </row>
    <row r="9183" spans="1:6" x14ac:dyDescent="0.3">
      <c r="A9183" t="str">
        <f>HYPERLINK("https://us2.cloudbeds.com/connect/10074733072513#/reservations/31686838997135?display=MHGH5VTZD&amp;reservation_id=31686838997135", "MHGH5VTZD")</f>
        <v>MHGH5VTZD</v>
      </c>
      <c r="B9183" t="s">
        <v>1355</v>
      </c>
      <c r="C9183">
        <v>150</v>
      </c>
      <c r="D9183">
        <v>163.06</v>
      </c>
      <c r="E9183">
        <v>163.05000000000001</v>
      </c>
      <c r="F9183">
        <v>0.01</v>
      </c>
    </row>
    <row r="9184" spans="1:6" x14ac:dyDescent="0.3">
      <c r="A9184" t="str">
        <f>HYPERLINK("https://us2.cloudbeds.com/connect/10074733072513#/reservations/31691256836248?display=MHJV26PVU&amp;reservation_id=31691256836248", "MHJV26PVU")</f>
        <v>MHJV26PVU</v>
      </c>
      <c r="B9184" t="s">
        <v>1208</v>
      </c>
      <c r="C9184">
        <v>218</v>
      </c>
      <c r="D9184">
        <v>236.98</v>
      </c>
      <c r="E9184">
        <v>236.97</v>
      </c>
      <c r="F9184">
        <v>0.01</v>
      </c>
    </row>
    <row r="9185" spans="1:6" x14ac:dyDescent="0.3">
      <c r="A9185" t="str">
        <f>HYPERLINK("https://us2.cloudbeds.com/connect/10074733072513#/reservations/31685035368661?display=MHF433983&amp;reservation_id=31685035368661", "MHF433983")</f>
        <v>MHF433983</v>
      </c>
      <c r="B9185" t="s">
        <v>1353</v>
      </c>
      <c r="C9185">
        <v>109</v>
      </c>
      <c r="D9185">
        <v>118.49</v>
      </c>
      <c r="E9185">
        <v>118.48</v>
      </c>
      <c r="F9185">
        <v>0.01</v>
      </c>
    </row>
    <row r="9186" spans="1:6" x14ac:dyDescent="0.3">
      <c r="A9186" t="str">
        <f>HYPERLINK("https://us2.cloudbeds.com/connect/10074733072513#/reservations/31694577852592?display=MHMGUXVZR&amp;reservation_id=31694577852592", "MHMGUXVZR")</f>
        <v>MHMGUXVZR</v>
      </c>
      <c r="B9186" t="s">
        <v>1327</v>
      </c>
      <c r="C9186">
        <v>278</v>
      </c>
      <c r="D9186">
        <v>302.2</v>
      </c>
      <c r="E9186">
        <v>302.19</v>
      </c>
      <c r="F9186">
        <v>0.01</v>
      </c>
    </row>
    <row r="9187" spans="1:6" x14ac:dyDescent="0.3">
      <c r="A9187" t="str">
        <f>HYPERLINK("https://us2.cloudbeds.com/connect/10074733072513#/reservations/31685083291857?display=MHF5AGQS5&amp;reservation_id=31685083291857", "MHF5AGQS5")</f>
        <v>MHF5AGQS5</v>
      </c>
      <c r="B9187" t="s">
        <v>1353</v>
      </c>
      <c r="C9187">
        <v>119</v>
      </c>
      <c r="D9187">
        <v>129.36000000000001</v>
      </c>
      <c r="E9187">
        <v>129.35</v>
      </c>
      <c r="F9187">
        <v>0.01</v>
      </c>
    </row>
    <row r="9188" spans="1:6" x14ac:dyDescent="0.3">
      <c r="A9188" t="str">
        <f>HYPERLINK("https://us2.cloudbeds.com/connect/10074733072513#/reservations/31692780081383?display=MHY3WYARD&amp;reservation_id=31692780081383", "MHY3WYARD")</f>
        <v>MHY3WYARD</v>
      </c>
      <c r="B9188" t="s">
        <v>1383</v>
      </c>
      <c r="C9188">
        <v>159</v>
      </c>
      <c r="D9188">
        <v>172.84</v>
      </c>
      <c r="E9188">
        <v>172.83</v>
      </c>
      <c r="F9188">
        <v>0.01</v>
      </c>
    </row>
    <row r="9189" spans="1:6" x14ac:dyDescent="0.3">
      <c r="A9189" t="str">
        <f>HYPERLINK("https://us2.cloudbeds.com/connect/10074733072513#/reservations/31684503261324?display=MHENGDK3B&amp;reservation_id=31684503261324", "MHENGDK3B")</f>
        <v>MHENGDK3B</v>
      </c>
      <c r="B9189" t="s">
        <v>1346</v>
      </c>
      <c r="C9189">
        <v>238</v>
      </c>
      <c r="D9189">
        <v>258.72000000000003</v>
      </c>
      <c r="E9189">
        <v>258.70999999999998</v>
      </c>
      <c r="F9189">
        <v>0.01</v>
      </c>
    </row>
    <row r="9190" spans="1:6" x14ac:dyDescent="0.3">
      <c r="A9190" t="str">
        <f>HYPERLINK("https://us2.cloudbeds.com/connect/10074733072513#/reservations/31692808106239?display=MHY4N95AF&amp;reservation_id=31692808106239", "MHY4N95AF")</f>
        <v>MHY4N95AF</v>
      </c>
      <c r="B9190" t="s">
        <v>1368</v>
      </c>
      <c r="C9190">
        <v>169</v>
      </c>
      <c r="D9190">
        <v>183.71</v>
      </c>
      <c r="E9190">
        <v>183.7</v>
      </c>
      <c r="F9190">
        <v>0.01</v>
      </c>
    </row>
    <row r="9191" spans="1:6" x14ac:dyDescent="0.3">
      <c r="A9191" t="str">
        <f>HYPERLINK("https://us2.cloudbeds.com/connect/10074733072513#/reservations/31691242668193?display=MHJUN8HQU&amp;reservation_id=31691242668193", "MHJUN8HQU")</f>
        <v>MHJUN8HQU</v>
      </c>
      <c r="B9191" t="s">
        <v>1208</v>
      </c>
      <c r="C9191">
        <v>139</v>
      </c>
      <c r="D9191">
        <v>151.1</v>
      </c>
      <c r="E9191">
        <v>151.09</v>
      </c>
      <c r="F9191">
        <v>0.01</v>
      </c>
    </row>
    <row r="9192" spans="1:6" x14ac:dyDescent="0.3">
      <c r="A9192" t="str">
        <f>HYPERLINK("https://us2.cloudbeds.com/connect/10074733072513#/reservations/31683057119421?display=MHDJHWJ3E&amp;reservation_id=31683057119421", "MHDJHWJ3E")</f>
        <v>MHDJHWJ3E</v>
      </c>
      <c r="B9192" t="s">
        <v>1349</v>
      </c>
      <c r="C9192">
        <v>189</v>
      </c>
      <c r="D9192">
        <v>205.45</v>
      </c>
      <c r="E9192">
        <v>205.44</v>
      </c>
      <c r="F9192">
        <v>0.01</v>
      </c>
    </row>
    <row r="9193" spans="1:6" x14ac:dyDescent="0.3">
      <c r="A9193" t="str">
        <f>HYPERLINK("https://us2.cloudbeds.com/connect/10074733072513#/reservations/31686977659071?display=MHGKNTCB8&amp;reservation_id=31686977659071", "MHGKNTCB8")</f>
        <v>MHGKNTCB8</v>
      </c>
      <c r="B9193" t="s">
        <v>1381</v>
      </c>
      <c r="C9193">
        <v>218</v>
      </c>
      <c r="D9193">
        <v>236.98</v>
      </c>
      <c r="E9193">
        <v>236.97</v>
      </c>
      <c r="F9193">
        <v>0.01</v>
      </c>
    </row>
    <row r="9194" spans="1:6" x14ac:dyDescent="0.3">
      <c r="A9194" t="str">
        <f>HYPERLINK("https://us2.cloudbeds.com/connect/10074733072513#/reservations/31686081126547?display=MHFUQU150&amp;reservation_id=31686081126547", "MHFUQU150")</f>
        <v>MHFUQU150</v>
      </c>
      <c r="B9194" t="s">
        <v>1379</v>
      </c>
      <c r="C9194">
        <v>119</v>
      </c>
      <c r="D9194">
        <v>129.36000000000001</v>
      </c>
      <c r="E9194">
        <v>129.35</v>
      </c>
      <c r="F9194">
        <v>0.01</v>
      </c>
    </row>
    <row r="9195" spans="1:6" x14ac:dyDescent="0.3">
      <c r="A9195" t="str">
        <f>HYPERLINK("https://us2.cloudbeds.com/connect/10074733072513#/reservations/31691272732847?display=MHJVFK4D1&amp;reservation_id=31691272732847", "MHJVFK4D1")</f>
        <v>MHJVFK4D1</v>
      </c>
      <c r="B9195" t="s">
        <v>1208</v>
      </c>
      <c r="C9195">
        <v>109</v>
      </c>
      <c r="D9195">
        <v>118.49</v>
      </c>
      <c r="E9195">
        <v>118.48</v>
      </c>
      <c r="F9195">
        <v>0.01</v>
      </c>
    </row>
    <row r="9196" spans="1:6" x14ac:dyDescent="0.3">
      <c r="A9196" t="str">
        <f>HYPERLINK("https://us2.cloudbeds.com/connect/10074733072513#/reservations/31691312013474?display=MHJWFZ5P2&amp;reservation_id=31691312013474", "MHJWFZ5P2")</f>
        <v>MHJWFZ5P2</v>
      </c>
      <c r="B9196" t="s">
        <v>1208</v>
      </c>
      <c r="C9196">
        <v>129</v>
      </c>
      <c r="D9196">
        <v>140.22999999999999</v>
      </c>
      <c r="E9196">
        <v>140.22</v>
      </c>
      <c r="F9196">
        <v>0.01</v>
      </c>
    </row>
    <row r="9197" spans="1:6" x14ac:dyDescent="0.3">
      <c r="A9197" t="str">
        <f>HYPERLINK("https://us2.cloudbeds.com/connect/10074733072513#/reservations/31686116434098?display=MHFVNMH4Q&amp;reservation_id=31686116434098", "MHFVNMH4Q")</f>
        <v>MHFVNMH4Q</v>
      </c>
      <c r="B9197" t="s">
        <v>1384</v>
      </c>
      <c r="C9197">
        <v>150</v>
      </c>
      <c r="D9197">
        <v>163.06</v>
      </c>
      <c r="E9197">
        <v>163.05000000000001</v>
      </c>
      <c r="F9197">
        <v>0.01</v>
      </c>
    </row>
    <row r="9198" spans="1:6" x14ac:dyDescent="0.3">
      <c r="A9198" t="str">
        <f>HYPERLINK("https://us2.cloudbeds.com/connect/10074733072513#/reservations/31686835490961?display=MHGH30B3N&amp;reservation_id=31686835490961", "MHGH30B3N")</f>
        <v>MHGH30B3N</v>
      </c>
      <c r="B9198" t="s">
        <v>1379</v>
      </c>
      <c r="C9198">
        <v>535.5</v>
      </c>
      <c r="D9198">
        <v>582.1</v>
      </c>
      <c r="E9198">
        <v>582.09</v>
      </c>
      <c r="F9198">
        <v>0.01</v>
      </c>
    </row>
    <row r="9199" spans="1:6" x14ac:dyDescent="0.3">
      <c r="A9199" t="str">
        <f>HYPERLINK("https://us2.cloudbeds.com/connect/10074733072513#/reservations/31686796730610?display=MHGG3APGK&amp;reservation_id=31686796730610", "MHGG3APGK")</f>
        <v>MHGG3APGK</v>
      </c>
      <c r="B9199" t="s">
        <v>1355</v>
      </c>
      <c r="C9199">
        <v>109</v>
      </c>
      <c r="D9199">
        <v>118.49</v>
      </c>
      <c r="E9199">
        <v>118.48</v>
      </c>
      <c r="F9199">
        <v>0.01</v>
      </c>
    </row>
    <row r="9200" spans="1:6" x14ac:dyDescent="0.3">
      <c r="A9200" t="str">
        <f>HYPERLINK("https://us2.cloudbeds.com/connect/10074733072513#/reservations/31685412323546?display=MHFDNVJWD&amp;reservation_id=31685412323546", "MHFDNVJWD")</f>
        <v>MHFDNVJWD</v>
      </c>
      <c r="B9200" t="s">
        <v>1320</v>
      </c>
      <c r="C9200">
        <v>322.2</v>
      </c>
      <c r="D9200">
        <v>350.24</v>
      </c>
      <c r="E9200">
        <v>350.23</v>
      </c>
      <c r="F9200">
        <v>0.01</v>
      </c>
    </row>
    <row r="9201" spans="1:6" x14ac:dyDescent="0.3">
      <c r="A9201" t="str">
        <f>HYPERLINK("https://us2.cloudbeds.com/connect/10074733072513#/reservations/31684917842109?display=MHF12WUNE&amp;reservation_id=31684917842109", "MHF12WUNE")</f>
        <v>MHF12WUNE</v>
      </c>
      <c r="B9201" t="s">
        <v>1280</v>
      </c>
      <c r="C9201">
        <v>129</v>
      </c>
      <c r="D9201">
        <v>140.22999999999999</v>
      </c>
      <c r="E9201">
        <v>140.22</v>
      </c>
      <c r="F9201">
        <v>0.01</v>
      </c>
    </row>
    <row r="9202" spans="1:6" x14ac:dyDescent="0.3">
      <c r="A9202" t="str">
        <f>HYPERLINK("https://us2.cloudbeds.com/connect/10074733072513#/reservations/31688091676918?display=MHHG68XXR&amp;reservation_id=31688091676918", "MHHG68XXR")</f>
        <v>MHHG68XXR</v>
      </c>
      <c r="B9202" t="s">
        <v>1361</v>
      </c>
      <c r="C9202">
        <v>139</v>
      </c>
      <c r="D9202">
        <v>151.1</v>
      </c>
      <c r="E9202">
        <v>151.09</v>
      </c>
      <c r="F9202">
        <v>0.01</v>
      </c>
    </row>
    <row r="9203" spans="1:6" x14ac:dyDescent="0.3">
      <c r="A9203" t="str">
        <f>HYPERLINK("https://us2.cloudbeds.com/connect/10074733072513#/reservations/31688067313846?display=MHHFXNKJU&amp;reservation_id=31688067313846", "MHHFXNKJU")</f>
        <v>MHHFXNKJU</v>
      </c>
      <c r="B9203" t="s">
        <v>1360</v>
      </c>
      <c r="C9203">
        <v>278</v>
      </c>
      <c r="D9203">
        <v>302.2</v>
      </c>
      <c r="E9203">
        <v>302.19</v>
      </c>
      <c r="F9203">
        <v>0.01</v>
      </c>
    </row>
    <row r="9204" spans="1:6" x14ac:dyDescent="0.3">
      <c r="A9204" t="str">
        <f>HYPERLINK("https://us2.cloudbeds.com/connect/10074733072513#/reservations/31690367324291?display=MHJ8B4QJ4&amp;reservation_id=31690367324291", "MHJ8B4QJ4")</f>
        <v>MHJ8B4QJ4</v>
      </c>
      <c r="B9204" t="s">
        <v>1208</v>
      </c>
      <c r="C9204">
        <v>109</v>
      </c>
      <c r="D9204">
        <v>118.49</v>
      </c>
      <c r="E9204">
        <v>118.48</v>
      </c>
      <c r="F9204">
        <v>0.01</v>
      </c>
    </row>
    <row r="9205" spans="1:6" x14ac:dyDescent="0.3">
      <c r="A9205" t="str">
        <f>HYPERLINK("https://us2.cloudbeds.com/connect/10074733072513#/reservations/31690348679347?display=MHJ7SDWDR&amp;reservation_id=31690348679347", "MHJ7SDWDR")</f>
        <v>MHJ7SDWDR</v>
      </c>
      <c r="B9205" t="s">
        <v>1208</v>
      </c>
      <c r="C9205">
        <v>218</v>
      </c>
      <c r="D9205">
        <v>236.98</v>
      </c>
      <c r="E9205">
        <v>236.97</v>
      </c>
      <c r="F9205">
        <v>0.01</v>
      </c>
    </row>
    <row r="9206" spans="1:6" x14ac:dyDescent="0.3">
      <c r="A9206" t="str">
        <f>HYPERLINK("https://us2.cloudbeds.com/connect/10074733072513#/reservations/31687992717529?display=MHHDYQSPF&amp;reservation_id=31687992717529", "MHHDYQSPF")</f>
        <v>MHHDYQSPF</v>
      </c>
      <c r="B9206" t="s">
        <v>1381</v>
      </c>
      <c r="C9206">
        <v>73</v>
      </c>
      <c r="D9206">
        <v>79.36</v>
      </c>
      <c r="E9206">
        <v>79.349999999999994</v>
      </c>
      <c r="F9206">
        <v>0.01</v>
      </c>
    </row>
    <row r="9207" spans="1:6" x14ac:dyDescent="0.3">
      <c r="A9207" t="str">
        <f>HYPERLINK("https://us2.cloudbeds.com/connect/10074733072513#/reservations/31687987245187?display=MHHDH6JYU&amp;reservation_id=31687987245187", "MHHDH6JYU")</f>
        <v>MHHDH6JYU</v>
      </c>
      <c r="B9207" t="s">
        <v>1381</v>
      </c>
      <c r="C9207">
        <v>73</v>
      </c>
      <c r="D9207">
        <v>79.36</v>
      </c>
      <c r="E9207">
        <v>79.349999999999994</v>
      </c>
      <c r="F9207">
        <v>0.01</v>
      </c>
    </row>
    <row r="9208" spans="1:6" x14ac:dyDescent="0.3">
      <c r="A9208" t="str">
        <f>HYPERLINK("https://us2.cloudbeds.com/connect/10074733072513#/reservations/31691286876315?display=MHJVRHMVW&amp;reservation_id=31691286876315", "MHJVRHMVW")</f>
        <v>MHJVRHMVW</v>
      </c>
      <c r="B9208" t="s">
        <v>1208</v>
      </c>
      <c r="C9208">
        <v>109</v>
      </c>
      <c r="D9208">
        <v>118.49</v>
      </c>
      <c r="E9208">
        <v>118.48</v>
      </c>
      <c r="F9208">
        <v>0.01</v>
      </c>
    </row>
    <row r="9209" spans="1:6" x14ac:dyDescent="0.3">
      <c r="A9209" t="str">
        <f>HYPERLINK("https://us2.cloudbeds.com/connect/10074733072513#/reservations/31690296541343?display=MHJ6HF5FA&amp;reservation_id=31690296541343", "MHJ6HF5FA")</f>
        <v>MHJ6HF5FA</v>
      </c>
      <c r="B9209" t="s">
        <v>1208</v>
      </c>
      <c r="C9209">
        <v>218</v>
      </c>
      <c r="D9209">
        <v>236.98</v>
      </c>
      <c r="E9209">
        <v>236.97</v>
      </c>
      <c r="F9209">
        <v>0.01</v>
      </c>
    </row>
    <row r="9210" spans="1:6" x14ac:dyDescent="0.3">
      <c r="A9210" t="str">
        <f>HYPERLINK("https://us2.cloudbeds.com/connect/10074733072513#/reservations/31687557329151?display=MHH2HMX38&amp;reservation_id=31687557329151", "MHH2HMX38")</f>
        <v>MHH2HMX38</v>
      </c>
      <c r="B9210" t="s">
        <v>1346</v>
      </c>
      <c r="C9210">
        <v>258</v>
      </c>
      <c r="D9210">
        <v>280.45999999999998</v>
      </c>
      <c r="E9210">
        <v>280.45</v>
      </c>
      <c r="F9210">
        <v>0.01</v>
      </c>
    </row>
    <row r="9211" spans="1:6" x14ac:dyDescent="0.3">
      <c r="A9211" t="str">
        <f>HYPERLINK("https://us2.cloudbeds.com/connect/10074733072513#/reservations/31685694718147?display=MHFKV2YGX&amp;reservation_id=31685694718147", "MHFKV2YGX")</f>
        <v>MHFKV2YGX</v>
      </c>
      <c r="B9211" t="s">
        <v>1351</v>
      </c>
      <c r="C9211">
        <v>411.3</v>
      </c>
      <c r="D9211">
        <v>447.09</v>
      </c>
      <c r="E9211">
        <v>447.08</v>
      </c>
      <c r="F9211">
        <v>0.01</v>
      </c>
    </row>
    <row r="9212" spans="1:6" x14ac:dyDescent="0.3">
      <c r="A9212" t="str">
        <f>HYPERLINK("https://us2.cloudbeds.com/connect/10074733072513#/reservations/31684563292292?display=MHEP111VJ&amp;reservation_id=31684563292292", "MHEP111VJ")</f>
        <v>MHEP111VJ</v>
      </c>
      <c r="B9212" t="s">
        <v>1351</v>
      </c>
      <c r="C9212">
        <v>179</v>
      </c>
      <c r="D9212">
        <v>194.58</v>
      </c>
      <c r="E9212">
        <v>194.57</v>
      </c>
      <c r="F9212">
        <v>0.01</v>
      </c>
    </row>
    <row r="9213" spans="1:6" x14ac:dyDescent="0.3">
      <c r="A9213" t="str">
        <f>HYPERLINK("https://us2.cloudbeds.com/connect/10074733072513#/reservations/31687524618415?display=MHH1N3AMR&amp;reservation_id=31687524618415", "MHH1N3AMR")</f>
        <v>MHH1N3AMR</v>
      </c>
      <c r="B9213" t="s">
        <v>1346</v>
      </c>
      <c r="C9213">
        <v>238</v>
      </c>
      <c r="D9213">
        <v>258.72000000000003</v>
      </c>
      <c r="E9213">
        <v>258.70999999999998</v>
      </c>
      <c r="F9213">
        <v>0.01</v>
      </c>
    </row>
    <row r="9214" spans="1:6" x14ac:dyDescent="0.3">
      <c r="A9214" t="str">
        <f>HYPERLINK("https://us2.cloudbeds.com/connect/10074733072513#/reservations/31686088831223?display=MHFV0DE51&amp;reservation_id=31686088831223", "MHFV0DE51")</f>
        <v>MHFV0DE51</v>
      </c>
      <c r="B9214" t="s">
        <v>1384</v>
      </c>
      <c r="C9214">
        <v>416</v>
      </c>
      <c r="D9214">
        <v>452.2</v>
      </c>
      <c r="E9214">
        <v>452.19</v>
      </c>
      <c r="F9214">
        <v>0.01</v>
      </c>
    </row>
    <row r="9215" spans="1:6" x14ac:dyDescent="0.3">
      <c r="A9215" t="str">
        <f>HYPERLINK("https://us2.cloudbeds.com/connect/10074733072513#/reservations/31683108286682?display=MHDKS4CYF&amp;reservation_id=31683108286682", "MHDKS4CYF")</f>
        <v>MHDKS4CYF</v>
      </c>
      <c r="B9215" t="s">
        <v>1387</v>
      </c>
      <c r="C9215">
        <v>119</v>
      </c>
      <c r="D9215">
        <v>129.36000000000001</v>
      </c>
      <c r="E9215">
        <v>129.35</v>
      </c>
      <c r="F9215">
        <v>0.01</v>
      </c>
    </row>
    <row r="9216" spans="1:6" x14ac:dyDescent="0.3">
      <c r="A9216" t="str">
        <f>HYPERLINK("https://us2.cloudbeds.com/connect/10074733072513#/reservations/31686050128000?display=MHFU0PB9U&amp;reservation_id=31686050128000", "MHFU0PB9U")</f>
        <v>MHFU0PB9U</v>
      </c>
      <c r="B9216" t="s">
        <v>1388</v>
      </c>
      <c r="C9216">
        <v>99</v>
      </c>
      <c r="D9216">
        <v>107.62</v>
      </c>
      <c r="E9216">
        <v>107.61</v>
      </c>
      <c r="F9216">
        <v>0.01</v>
      </c>
    </row>
    <row r="9217" spans="1:6" x14ac:dyDescent="0.3">
      <c r="A9217" t="str">
        <f>HYPERLINK("https://us2.cloudbeds.com/connect/10074733072513#/reservations/31686020567192?display=MHFT8RT31&amp;reservation_id=31686020567192", "MHFT8RT31")</f>
        <v>MHFT8RT31</v>
      </c>
      <c r="B9217" t="s">
        <v>1382</v>
      </c>
      <c r="C9217">
        <v>225</v>
      </c>
      <c r="D9217">
        <v>244.59</v>
      </c>
      <c r="E9217">
        <v>244.58</v>
      </c>
      <c r="F9217">
        <v>0.01</v>
      </c>
    </row>
    <row r="9218" spans="1:6" x14ac:dyDescent="0.3">
      <c r="A9218" t="str">
        <f>HYPERLINK("https://us2.cloudbeds.com/connect/10074733072513#/reservations/31686140846281?display=MHFWB8R6U&amp;reservation_id=31686140846281", "MHFWB8R6U")</f>
        <v>MHFWB8R6U</v>
      </c>
      <c r="B9218" t="s">
        <v>1384</v>
      </c>
      <c r="C9218">
        <v>150</v>
      </c>
      <c r="D9218">
        <v>163.06</v>
      </c>
      <c r="E9218">
        <v>163.05000000000001</v>
      </c>
      <c r="F9218">
        <v>0.01</v>
      </c>
    </row>
    <row r="9219" spans="1:6" x14ac:dyDescent="0.3">
      <c r="A9219" t="str">
        <f>HYPERLINK("https://us2.cloudbeds.com/connect/10074733072513#/reservations/31686064402579?display=MHFUCQYW3&amp;reservation_id=31686064402579", "MHFUCQYW3")</f>
        <v>MHFUCQYW3</v>
      </c>
      <c r="B9219" t="s">
        <v>1379</v>
      </c>
      <c r="C9219">
        <v>178</v>
      </c>
      <c r="D9219">
        <v>193.5</v>
      </c>
      <c r="E9219">
        <v>193.49</v>
      </c>
      <c r="F9219">
        <v>0.01</v>
      </c>
    </row>
    <row r="9220" spans="1:6" x14ac:dyDescent="0.3">
      <c r="A9220" t="str">
        <f>HYPERLINK("https://us2.cloudbeds.com/connect/10074733072513#/reservations/31686789386440?display=MHGFU4DX0&amp;reservation_id=31686789386440", "MHGFU4DX0")</f>
        <v>MHGFU4DX0</v>
      </c>
      <c r="B9220" t="s">
        <v>1379</v>
      </c>
      <c r="C9220">
        <v>119</v>
      </c>
      <c r="D9220">
        <v>129.36000000000001</v>
      </c>
      <c r="E9220">
        <v>129.35</v>
      </c>
      <c r="F9220">
        <v>0.01</v>
      </c>
    </row>
    <row r="9221" spans="1:6" x14ac:dyDescent="0.3">
      <c r="A9221" t="str">
        <f>HYPERLINK("https://us2.cloudbeds.com/connect/10074733072513#/reservations/31691926364378?display=MHKF5PD04&amp;reservation_id=31691926364378", "MHKF5PD04")</f>
        <v>MHKF5PD04</v>
      </c>
      <c r="B9221" t="s">
        <v>1360</v>
      </c>
      <c r="C9221">
        <v>339</v>
      </c>
      <c r="D9221">
        <v>368.5</v>
      </c>
      <c r="E9221">
        <v>368.49</v>
      </c>
      <c r="F9221">
        <v>0.01</v>
      </c>
    </row>
    <row r="9222" spans="1:6" x14ac:dyDescent="0.3">
      <c r="A9222" t="str">
        <f>HYPERLINK("https://us2.cloudbeds.com/connect/10074733072513#/reservations/31684120355053?display=MHEDNHMC0&amp;reservation_id=31684120355053", "MHEDNHMC0")</f>
        <v>MHEDNHMC0</v>
      </c>
      <c r="B9222" t="s">
        <v>1382</v>
      </c>
      <c r="C9222">
        <v>109</v>
      </c>
      <c r="D9222">
        <v>118.49</v>
      </c>
      <c r="E9222">
        <v>118.48</v>
      </c>
      <c r="F9222">
        <v>0.01</v>
      </c>
    </row>
    <row r="9223" spans="1:6" x14ac:dyDescent="0.3">
      <c r="A9223" t="str">
        <f>HYPERLINK("https://us2.cloudbeds.com/connect/10074733072513#/reservations/31686048342145?display=MHFTW8P39&amp;reservation_id=31686048342145", "MHFTW8P39")</f>
        <v>MHFTW8P39</v>
      </c>
      <c r="B9223" t="s">
        <v>1379</v>
      </c>
      <c r="C9223">
        <v>109</v>
      </c>
      <c r="D9223">
        <v>118.49</v>
      </c>
      <c r="E9223">
        <v>118.48</v>
      </c>
      <c r="F9223">
        <v>0.01</v>
      </c>
    </row>
    <row r="9224" spans="1:6" x14ac:dyDescent="0.3">
      <c r="A9224" t="str">
        <f>HYPERLINK("https://us2.cloudbeds.com/connect/10074733072513#/reservations/31684177608907?display=MHEF5QS29&amp;reservation_id=31684177608907", "MHEF5QS29")</f>
        <v>MHEF5QS29</v>
      </c>
      <c r="B9224" t="s">
        <v>1382</v>
      </c>
      <c r="C9224">
        <v>87.82</v>
      </c>
      <c r="D9224">
        <v>95.47</v>
      </c>
      <c r="E9224">
        <v>95.46</v>
      </c>
      <c r="F9224">
        <v>0.01</v>
      </c>
    </row>
    <row r="9225" spans="1:6" x14ac:dyDescent="0.3">
      <c r="A9225" t="str">
        <f>HYPERLINK("https://us2.cloudbeds.com/connect/10074733072513#/reservations/31688101359792?display=MHHGEE038&amp;reservation_id=31688101359792", "MHHGEE038")</f>
        <v>MHHGEE038</v>
      </c>
      <c r="B9225" t="s">
        <v>1360</v>
      </c>
      <c r="C9225">
        <v>179</v>
      </c>
      <c r="D9225">
        <v>194.58</v>
      </c>
      <c r="E9225">
        <v>194.57</v>
      </c>
      <c r="F9225">
        <v>0.01</v>
      </c>
    </row>
    <row r="9226" spans="1:6" x14ac:dyDescent="0.3">
      <c r="A9226" t="str">
        <f>HYPERLINK("https://us2.cloudbeds.com/connect/10074733072513#/reservations/31686028267773?display=MHFTFB5AW&amp;reservation_id=31686028267773", "MHFTFB5AW")</f>
        <v>MHFTFB5AW</v>
      </c>
      <c r="B9226" t="s">
        <v>1382</v>
      </c>
      <c r="C9226">
        <v>87.82</v>
      </c>
      <c r="D9226">
        <v>95.47</v>
      </c>
      <c r="E9226">
        <v>95.46</v>
      </c>
      <c r="F9226">
        <v>0.01</v>
      </c>
    </row>
    <row r="9227" spans="1:6" x14ac:dyDescent="0.3">
      <c r="A9227" t="str">
        <f>HYPERLINK("https://us2.cloudbeds.com/connect/10074733072513#/reservations/31688091791490?display=MHHG6BZPM&amp;reservation_id=31688091791490", "MHHG6BZPM")</f>
        <v>MHHG6BZPM</v>
      </c>
      <c r="B9227" t="s">
        <v>1360</v>
      </c>
      <c r="C9227">
        <v>179</v>
      </c>
      <c r="D9227">
        <v>194.58</v>
      </c>
      <c r="E9227">
        <v>194.57</v>
      </c>
      <c r="F9227">
        <v>0.01</v>
      </c>
    </row>
    <row r="9228" spans="1:6" x14ac:dyDescent="0.3">
      <c r="A9228" t="str">
        <f>HYPERLINK("https://us2.cloudbeds.com/connect/10074733072513#/reservations/31684148011224?display=MHEEDS89Q&amp;reservation_id=31684148011224", "MHEEDS89Q")</f>
        <v>MHEEDS89Q</v>
      </c>
      <c r="B9228" t="s">
        <v>1382</v>
      </c>
      <c r="C9228">
        <v>139</v>
      </c>
      <c r="D9228">
        <v>151.1</v>
      </c>
      <c r="E9228">
        <v>151.09</v>
      </c>
      <c r="F9228">
        <v>0.01</v>
      </c>
    </row>
    <row r="9229" spans="1:6" x14ac:dyDescent="0.3">
      <c r="A9229" t="str">
        <f>HYPERLINK("https://us2.cloudbeds.com/connect/10074733072513#/reservations/31686151082216?display=MHFWJTYJP&amp;reservation_id=31686151082216", "MHFWJTYJP")</f>
        <v>MHFWJTYJP</v>
      </c>
      <c r="B9229" t="s">
        <v>1379</v>
      </c>
      <c r="C9229">
        <v>119</v>
      </c>
      <c r="D9229">
        <v>129.36000000000001</v>
      </c>
      <c r="E9229">
        <v>129.35</v>
      </c>
      <c r="F9229">
        <v>0.01</v>
      </c>
    </row>
    <row r="9230" spans="1:6" x14ac:dyDescent="0.3">
      <c r="A9230" t="str">
        <f>HYPERLINK("https://us2.cloudbeds.com/connect/10074733072513#/reservations/31686825898220?display=MHGGRUDBJ&amp;reservation_id=31686825898220", "MHGGRUDBJ")</f>
        <v>MHGGRUDBJ</v>
      </c>
      <c r="B9230" t="s">
        <v>1379</v>
      </c>
      <c r="C9230">
        <v>159</v>
      </c>
      <c r="D9230">
        <v>172.84</v>
      </c>
      <c r="E9230">
        <v>172.83</v>
      </c>
      <c r="F9230">
        <v>0.01</v>
      </c>
    </row>
    <row r="9231" spans="1:6" x14ac:dyDescent="0.3">
      <c r="A9231" t="str">
        <f>HYPERLINK("https://us2.cloudbeds.com/connect/10074733072513#/reservations/31686812037360?display=MHGGG7N9H&amp;reservation_id=31686812037360", "MHGGG7N9H")</f>
        <v>MHGGG7N9H</v>
      </c>
      <c r="B9231" t="s">
        <v>1379</v>
      </c>
      <c r="C9231">
        <v>129</v>
      </c>
      <c r="D9231">
        <v>140.22999999999999</v>
      </c>
      <c r="E9231">
        <v>140.22</v>
      </c>
      <c r="F9231">
        <v>0.01</v>
      </c>
    </row>
    <row r="9232" spans="1:6" x14ac:dyDescent="0.3">
      <c r="A9232" t="str">
        <f>HYPERLINK("https://us2.cloudbeds.com/connect/10074733072513#/reservations/31687093960849?display=MHGNMVY6X&amp;reservation_id=31687093960849", "MHGNMVY6X")</f>
        <v>MHGNMVY6X</v>
      </c>
      <c r="B9232" t="s">
        <v>1280</v>
      </c>
      <c r="C9232">
        <v>189</v>
      </c>
      <c r="D9232">
        <v>205.45</v>
      </c>
      <c r="E9232">
        <v>205.44</v>
      </c>
      <c r="F9232">
        <v>0.01</v>
      </c>
    </row>
    <row r="9233" spans="1:6" x14ac:dyDescent="0.3">
      <c r="A9233" t="str">
        <f>HYPERLINK("https://us2.cloudbeds.com/connect/10074733072513#/reservations/31691080904959?display=MHJQXS7TZ&amp;reservation_id=31691080904959", "MHJQXS7TZ")</f>
        <v>MHJQXS7TZ</v>
      </c>
      <c r="B9233" t="s">
        <v>1354</v>
      </c>
      <c r="C9233">
        <v>150</v>
      </c>
      <c r="D9233">
        <v>163.06</v>
      </c>
      <c r="E9233">
        <v>163.05000000000001</v>
      </c>
      <c r="F9233">
        <v>0.01</v>
      </c>
    </row>
    <row r="9234" spans="1:6" x14ac:dyDescent="0.3">
      <c r="A9234" t="str">
        <f>HYPERLINK("https://us2.cloudbeds.com/connect/10074733072513#/reservations/31691918401669?display=MHKEW1R1U&amp;reservation_id=31691918401669", "MHKEW1R1U")</f>
        <v>MHKEW1R1U</v>
      </c>
      <c r="B9234" t="s">
        <v>1360</v>
      </c>
      <c r="C9234">
        <v>179</v>
      </c>
      <c r="D9234">
        <v>194.58</v>
      </c>
      <c r="E9234">
        <v>194.57</v>
      </c>
      <c r="F9234">
        <v>0.01</v>
      </c>
    </row>
    <row r="9235" spans="1:6" x14ac:dyDescent="0.3">
      <c r="A9235" t="str">
        <f>HYPERLINK("https://us2.cloudbeds.com/connect/10074733072513#/reservations/31688111296648?display=MHHGMQGS3&amp;reservation_id=31688111296648", "MHHGMQGS3")</f>
        <v>MHHGMQGS3</v>
      </c>
      <c r="B9235" t="s">
        <v>1360</v>
      </c>
      <c r="C9235">
        <v>137.76</v>
      </c>
      <c r="D9235">
        <v>149.76</v>
      </c>
      <c r="E9235">
        <v>149.75</v>
      </c>
      <c r="F9235">
        <v>0.01</v>
      </c>
    </row>
    <row r="9236" spans="1:6" x14ac:dyDescent="0.3">
      <c r="A9236" t="str">
        <f>HYPERLINK("https://us2.cloudbeds.com/connect/10074733072513#/reservations/31686822523094?display=MHGGP2G21&amp;reservation_id=31686822523094", "MHGGP2G21")</f>
        <v>MHGGP2G21</v>
      </c>
      <c r="B9236" t="s">
        <v>1216</v>
      </c>
      <c r="C9236">
        <v>149</v>
      </c>
      <c r="D9236">
        <v>161.97</v>
      </c>
      <c r="E9236">
        <v>161.96</v>
      </c>
      <c r="F9236">
        <v>0.01</v>
      </c>
    </row>
    <row r="9237" spans="1:6" x14ac:dyDescent="0.3">
      <c r="A9237" t="str">
        <f>HYPERLINK("https://us2.cloudbeds.com/connect/10074733072513#/reservations/31685080088765?display=MHF57QMHP&amp;reservation_id=31685080088765", "MHF57QMHP")</f>
        <v>MHF57QMHP</v>
      </c>
      <c r="B9237" t="s">
        <v>1375</v>
      </c>
      <c r="C9237">
        <v>278</v>
      </c>
      <c r="D9237">
        <v>302.2</v>
      </c>
      <c r="E9237">
        <v>302.19</v>
      </c>
      <c r="F9237">
        <v>0.01</v>
      </c>
    </row>
    <row r="9238" spans="1:6" x14ac:dyDescent="0.3">
      <c r="A9238" t="str">
        <f>HYPERLINK("https://us2.cloudbeds.com/connect/10074733072513#/reservations/31694347100362?display=MHMB0WV20&amp;reservation_id=31694347100362", "MHMB0WV20")</f>
        <v>MHMB0WV20</v>
      </c>
      <c r="B9238" t="s">
        <v>1375</v>
      </c>
      <c r="C9238">
        <v>278</v>
      </c>
      <c r="D9238">
        <v>302.2</v>
      </c>
      <c r="E9238">
        <v>302.19</v>
      </c>
      <c r="F9238">
        <v>0.01</v>
      </c>
    </row>
    <row r="9239" spans="1:6" x14ac:dyDescent="0.3">
      <c r="A9239" t="str">
        <f>HYPERLINK("https://us2.cloudbeds.com/connect/10074733072513#/reservations/31694343618794?display=MHMAV220V&amp;reservation_id=31694343618794", "MHMAV220V")</f>
        <v>MHMAV220V</v>
      </c>
      <c r="B9239" t="s">
        <v>1375</v>
      </c>
      <c r="C9239">
        <v>278</v>
      </c>
      <c r="D9239">
        <v>302.2</v>
      </c>
      <c r="E9239">
        <v>302.19</v>
      </c>
      <c r="F9239">
        <v>0.01</v>
      </c>
    </row>
    <row r="9240" spans="1:6" x14ac:dyDescent="0.3">
      <c r="A9240" t="str">
        <f>HYPERLINK("https://us2.cloudbeds.com/connect/10074733072513#/reservations/31684989083781?display=MHF2U2B1W&amp;reservation_id=31684989083781", "MHF2U2B1W")</f>
        <v>MHF2U2B1W</v>
      </c>
      <c r="B9240" t="s">
        <v>1372</v>
      </c>
      <c r="C9240">
        <v>218</v>
      </c>
      <c r="D9240">
        <v>236.98</v>
      </c>
      <c r="E9240">
        <v>236.97</v>
      </c>
      <c r="F9240">
        <v>0.01</v>
      </c>
    </row>
    <row r="9241" spans="1:6" x14ac:dyDescent="0.3">
      <c r="A9241" t="str">
        <f>HYPERLINK("https://us2.cloudbeds.com/connect/10074733072513#/reservations/31684965777600?display=MHF222AY8&amp;reservation_id=31684965777600", "MHF222AY8")</f>
        <v>MHF222AY8</v>
      </c>
      <c r="B9241" t="s">
        <v>1280</v>
      </c>
      <c r="C9241">
        <v>169</v>
      </c>
      <c r="D9241">
        <v>183.71</v>
      </c>
      <c r="E9241">
        <v>183.7</v>
      </c>
      <c r="F9241">
        <v>0.01</v>
      </c>
    </row>
    <row r="9242" spans="1:6" x14ac:dyDescent="0.3">
      <c r="A9242" t="str">
        <f>HYPERLINK("https://us2.cloudbeds.com/connect/10074733072513#/reservations/31686273962170?display=MHG2ZGW0Z&amp;reservation_id=31686273962170", "MHG2ZGW0Z")</f>
        <v>MHG2ZGW0Z</v>
      </c>
      <c r="B9242" t="s">
        <v>1320</v>
      </c>
      <c r="C9242">
        <v>139</v>
      </c>
      <c r="D9242">
        <v>151.1</v>
      </c>
      <c r="E9242">
        <v>151.09</v>
      </c>
      <c r="F9242">
        <v>0.01</v>
      </c>
    </row>
    <row r="9243" spans="1:6" x14ac:dyDescent="0.3">
      <c r="A9243" t="str">
        <f>HYPERLINK("https://us2.cloudbeds.com/connect/10074733072513#/reservations/31690449793217?display=MHJAEMKKG&amp;reservation_id=31690449793217", "MHJAEMKKG")</f>
        <v>MHJAEMKKG</v>
      </c>
      <c r="B9243" t="s">
        <v>1375</v>
      </c>
      <c r="C9243">
        <v>149</v>
      </c>
      <c r="D9243">
        <v>161.97</v>
      </c>
      <c r="E9243">
        <v>161.96</v>
      </c>
      <c r="F9243">
        <v>0.01</v>
      </c>
    </row>
    <row r="9244" spans="1:6" x14ac:dyDescent="0.3">
      <c r="A9244" t="str">
        <f>HYPERLINK("https://us2.cloudbeds.com/connect/10074733072513#/reservations/31691109183702?display=MHJR9N4HB&amp;reservation_id=31691109183702", "MHJR9N4HB")</f>
        <v>MHJR9N4HB</v>
      </c>
      <c r="B9244" t="s">
        <v>1354</v>
      </c>
      <c r="C9244">
        <v>119</v>
      </c>
      <c r="D9244">
        <v>129.36000000000001</v>
      </c>
      <c r="E9244">
        <v>129.35</v>
      </c>
      <c r="F9244">
        <v>0.01</v>
      </c>
    </row>
    <row r="9245" spans="1:6" x14ac:dyDescent="0.3">
      <c r="A9245" t="str">
        <f>HYPERLINK("https://us2.cloudbeds.com/connect/10074733072513#/reservations/31692447273166?display=MHKSG0EQU&amp;reservation_id=31692447273166", "MHKSG0EQU")</f>
        <v>MHKSG0EQU</v>
      </c>
      <c r="B9245" t="s">
        <v>1354</v>
      </c>
      <c r="C9245">
        <v>252</v>
      </c>
      <c r="D9245">
        <v>273.93</v>
      </c>
      <c r="E9245">
        <v>273.92</v>
      </c>
      <c r="F9245">
        <v>0.01</v>
      </c>
    </row>
    <row r="9246" spans="1:6" x14ac:dyDescent="0.3">
      <c r="A9246" t="str">
        <f>HYPERLINK("https://us2.cloudbeds.com/connect/10074733072513#/reservations/31693250506996?display=MHYG0AK90&amp;reservation_id=31693250506996", "MHYG0AK90")</f>
        <v>MHYG0AK90</v>
      </c>
      <c r="B9246" t="s">
        <v>1375</v>
      </c>
      <c r="C9246">
        <v>298</v>
      </c>
      <c r="D9246">
        <v>323.94</v>
      </c>
      <c r="E9246">
        <v>323.93</v>
      </c>
      <c r="F9246">
        <v>0.01</v>
      </c>
    </row>
    <row r="9247" spans="1:6" x14ac:dyDescent="0.3">
      <c r="A9247" t="str">
        <f>HYPERLINK("https://us2.cloudbeds.com/connect/10074733072513#/reservations/31685699018924?display=MHFY1NAQ4&amp;reservation_id=31685699018924", "MHFY1NAQ4")</f>
        <v>MHFY1NAQ4</v>
      </c>
      <c r="B9247" t="s">
        <v>1351</v>
      </c>
      <c r="C9247">
        <v>411.3</v>
      </c>
      <c r="D9247">
        <v>447.09</v>
      </c>
      <c r="E9247">
        <v>447.08</v>
      </c>
      <c r="F9247">
        <v>0.01</v>
      </c>
    </row>
    <row r="9248" spans="1:6" x14ac:dyDescent="0.3">
      <c r="A9248" t="str">
        <f>HYPERLINK("https://us2.cloudbeds.com/connect/10074733072513#/reservations/31692494192769?display=MHKTMJ1S2&amp;reservation_id=31692494192769", "MHKTMJ1S2")</f>
        <v>MHKTMJ1S2</v>
      </c>
      <c r="B9248" t="s">
        <v>1354</v>
      </c>
      <c r="C9248">
        <v>109</v>
      </c>
      <c r="D9248">
        <v>118.49</v>
      </c>
      <c r="E9248">
        <v>118.48</v>
      </c>
      <c r="F9248">
        <v>0.01</v>
      </c>
    </row>
    <row r="9249" spans="1:6" x14ac:dyDescent="0.3">
      <c r="A9249" t="str">
        <f>HYPERLINK("https://us2.cloudbeds.com/connect/10074733072513#/reservations/31692243148956?display=MHKN8TCUQ&amp;reservation_id=31692243148956", "MHKN8TCUQ")</f>
        <v>MHKN8TCUQ</v>
      </c>
      <c r="B9249" t="s">
        <v>1354</v>
      </c>
      <c r="C9249">
        <v>150</v>
      </c>
      <c r="D9249">
        <v>163.06</v>
      </c>
      <c r="E9249">
        <v>163.05000000000001</v>
      </c>
      <c r="F9249">
        <v>0.01</v>
      </c>
    </row>
    <row r="9250" spans="1:6" x14ac:dyDescent="0.3">
      <c r="A9250" t="str">
        <f>HYPERLINK("https://us2.cloudbeds.com/connect/10074733072513#/reservations/31685658267781?display=MHFK0BC30&amp;reservation_id=31685658267781", "MHFK0BC30")</f>
        <v>MHFK0BC30</v>
      </c>
      <c r="B9250" t="s">
        <v>1351</v>
      </c>
      <c r="C9250">
        <v>159</v>
      </c>
      <c r="D9250">
        <v>172.84</v>
      </c>
      <c r="E9250">
        <v>172.83</v>
      </c>
      <c r="F9250">
        <v>0.01</v>
      </c>
    </row>
    <row r="9251" spans="1:6" x14ac:dyDescent="0.3">
      <c r="A9251" t="str">
        <f>HYPERLINK("https://us2.cloudbeds.com/connect/10074733072513#/reservations/31691606638766?display=MHK705XD7&amp;reservation_id=31691606638766", "MHK705XD7")</f>
        <v>MHK705XD7</v>
      </c>
      <c r="B9251" t="s">
        <v>1374</v>
      </c>
      <c r="C9251">
        <v>822.6</v>
      </c>
      <c r="D9251">
        <v>894.18</v>
      </c>
      <c r="E9251">
        <v>894.17</v>
      </c>
      <c r="F9251">
        <v>0.01</v>
      </c>
    </row>
    <row r="9252" spans="1:6" x14ac:dyDescent="0.3">
      <c r="A9252" t="str">
        <f>HYPERLINK("https://us2.cloudbeds.com/connect/10074733072513#/reservations/31694615896281?display=MHMHTYJ8T&amp;reservation_id=31694615896281", "MHMHTYJ8T")</f>
        <v>MHMHTYJ8T</v>
      </c>
      <c r="B9252" t="s">
        <v>1327</v>
      </c>
      <c r="C9252">
        <v>278</v>
      </c>
      <c r="D9252">
        <v>302.2</v>
      </c>
      <c r="E9252">
        <v>302.19</v>
      </c>
      <c r="F9252">
        <v>0.01</v>
      </c>
    </row>
    <row r="9253" spans="1:6" x14ac:dyDescent="0.3">
      <c r="A9253" t="str">
        <f>HYPERLINK("https://us2.cloudbeds.com/connect/10074733072513#/reservations/31686895444193?display=MHGXKXKJ9&amp;reservation_id=31686895444193", "MHGXKXKJ9")</f>
        <v>MHGXKXKJ9</v>
      </c>
      <c r="B9253" t="s">
        <v>1216</v>
      </c>
      <c r="C9253">
        <v>159</v>
      </c>
      <c r="D9253">
        <v>172.84</v>
      </c>
      <c r="E9253">
        <v>172.83</v>
      </c>
      <c r="F9253">
        <v>0.01</v>
      </c>
    </row>
    <row r="9254" spans="1:6" x14ac:dyDescent="0.3">
      <c r="A9254" t="str">
        <f>HYPERLINK("https://us2.cloudbeds.com/connect/10074733072513#/reservations/31687548113089?display=MHH29U37Y&amp;reservation_id=31687548113089", "MHH29U37Y")</f>
        <v>MHH29U37Y</v>
      </c>
      <c r="B9254" t="s">
        <v>1346</v>
      </c>
      <c r="C9254">
        <v>218</v>
      </c>
      <c r="D9254">
        <v>236.98</v>
      </c>
      <c r="E9254">
        <v>236.97</v>
      </c>
      <c r="F9254">
        <v>0.01</v>
      </c>
    </row>
    <row r="9255" spans="1:6" x14ac:dyDescent="0.3">
      <c r="A9255" t="str">
        <f>HYPERLINK("https://us2.cloudbeds.com/connect/10074733072513#/reservations/31693241270404?display=MHYFPHJX9&amp;reservation_id=31693241270404", "MHYFPHJX9")</f>
        <v>MHYFPHJX9</v>
      </c>
      <c r="B9255" t="s">
        <v>1392</v>
      </c>
      <c r="C9255">
        <v>195.48</v>
      </c>
      <c r="D9255">
        <v>212.5</v>
      </c>
      <c r="E9255">
        <v>212.49</v>
      </c>
      <c r="F9255">
        <v>0.01</v>
      </c>
    </row>
    <row r="9256" spans="1:6" x14ac:dyDescent="0.3">
      <c r="A9256" t="str">
        <f>HYPERLINK("https://us2.cloudbeds.com/connect/10074733072513#/reservations/31684196507805?display=MHEFYZZE4&amp;reservation_id=31684196507805", "MHEFYZZE4")</f>
        <v>MHEFYZZE4</v>
      </c>
      <c r="B9256" t="s">
        <v>1361</v>
      </c>
      <c r="C9256">
        <v>159</v>
      </c>
      <c r="D9256">
        <v>172.84</v>
      </c>
      <c r="E9256">
        <v>172.83</v>
      </c>
      <c r="F9256">
        <v>0.01</v>
      </c>
    </row>
    <row r="9257" spans="1:6" x14ac:dyDescent="0.3">
      <c r="A9257" t="str">
        <f>HYPERLINK("https://us2.cloudbeds.com/connect/10074733072513#/reservations/31684536815832?display=MHEZBNAAK&amp;reservation_id=31684536815832", "MHEZBNAAK")</f>
        <v>MHEZBNAAK</v>
      </c>
      <c r="B9257" t="s">
        <v>1351</v>
      </c>
      <c r="C9257">
        <v>170</v>
      </c>
      <c r="D9257">
        <v>184.8</v>
      </c>
      <c r="E9257">
        <v>184.79</v>
      </c>
      <c r="F9257">
        <v>0.01</v>
      </c>
    </row>
    <row r="9258" spans="1:6" x14ac:dyDescent="0.3">
      <c r="A9258" t="str">
        <f>HYPERLINK("https://us2.cloudbeds.com/connect/10074733072513#/reservations/31685451075797?display=MHFENKV51&amp;reservation_id=31685451075797", "MHFENKV51")</f>
        <v>MHFENKV51</v>
      </c>
      <c r="B9258" t="s">
        <v>1320</v>
      </c>
      <c r="C9258">
        <v>139</v>
      </c>
      <c r="D9258">
        <v>151.1</v>
      </c>
      <c r="E9258">
        <v>151.09</v>
      </c>
      <c r="F9258">
        <v>0.01</v>
      </c>
    </row>
    <row r="9259" spans="1:6" x14ac:dyDescent="0.3">
      <c r="A9259" t="str">
        <f>HYPERLINK("https://us2.cloudbeds.com/connect/10074733072513#/reservations/31685443653822?display=MHFEHCDZN&amp;reservation_id=31685443653822", "MHFEHCDZN")</f>
        <v>MHFEHCDZN</v>
      </c>
      <c r="B9259" t="s">
        <v>1320</v>
      </c>
      <c r="C9259">
        <v>97.74</v>
      </c>
      <c r="D9259">
        <v>106.25</v>
      </c>
      <c r="E9259">
        <v>106.24</v>
      </c>
      <c r="F9259">
        <v>0.01</v>
      </c>
    </row>
    <row r="9260" spans="1:6" x14ac:dyDescent="0.3">
      <c r="A9260" t="str">
        <f>HYPERLINK("https://us2.cloudbeds.com/connect/10074733072513#/reservations/31685651873989?display=MHFJRVERZ&amp;reservation_id=31685651873989", "MHFJRVERZ")</f>
        <v>MHFJRVERZ</v>
      </c>
      <c r="B9260" t="s">
        <v>1351</v>
      </c>
      <c r="C9260">
        <v>411.3</v>
      </c>
      <c r="D9260">
        <v>447.09</v>
      </c>
      <c r="E9260">
        <v>447.08</v>
      </c>
      <c r="F9260">
        <v>0.01</v>
      </c>
    </row>
    <row r="9261" spans="1:6" x14ac:dyDescent="0.3">
      <c r="A9261" t="str">
        <f>HYPERLINK("https://us2.cloudbeds.com/connect/10074733072513#/reservations/31685707513996?display=MHFY8SNJX&amp;reservation_id=31685707513996", "MHFY8SNJX")</f>
        <v>MHFY8SNJX</v>
      </c>
      <c r="B9261" t="s">
        <v>1351</v>
      </c>
      <c r="C9261">
        <v>110.86</v>
      </c>
      <c r="D9261">
        <v>120.51</v>
      </c>
      <c r="E9261">
        <v>120.5</v>
      </c>
      <c r="F9261">
        <v>0.01</v>
      </c>
    </row>
    <row r="9262" spans="1:6" x14ac:dyDescent="0.3">
      <c r="A9262" t="str">
        <f>HYPERLINK("https://us2.cloudbeds.com/connect/10074733072513#/reservations/31685385109645?display=MHFD10B5Z&amp;reservation_id=31685385109645", "MHFD10B5Z")</f>
        <v>MHFD10B5Z</v>
      </c>
      <c r="B9262" t="s">
        <v>1320</v>
      </c>
      <c r="C9262">
        <v>298</v>
      </c>
      <c r="D9262">
        <v>323.94</v>
      </c>
      <c r="E9262">
        <v>323.93</v>
      </c>
      <c r="F9262">
        <v>0.01</v>
      </c>
    </row>
    <row r="9263" spans="1:6" x14ac:dyDescent="0.3">
      <c r="A9263" t="str">
        <f>HYPERLINK("https://us2.cloudbeds.com/connect/10074733072513#/reservations/31687577411728?display=MHH31KCD6&amp;reservation_id=31687577411728", "MHH31KCD6")</f>
        <v>MHH31KCD6</v>
      </c>
      <c r="B9263" t="s">
        <v>1346</v>
      </c>
      <c r="C9263">
        <v>179</v>
      </c>
      <c r="D9263">
        <v>194.58</v>
      </c>
      <c r="E9263">
        <v>194.57</v>
      </c>
      <c r="F9263">
        <v>0.01</v>
      </c>
    </row>
    <row r="9264" spans="1:6" x14ac:dyDescent="0.3">
      <c r="A9264" t="str">
        <f>HYPERLINK("https://us2.cloudbeds.com/connect/10074733072513#/reservations/31687161102590?display=MHGPDXVMP&amp;reservation_id=31687161102590", "MHGPDXVMP")</f>
        <v>MHGPDXVMP</v>
      </c>
      <c r="B9264" t="s">
        <v>1393</v>
      </c>
      <c r="C9264">
        <v>322.2</v>
      </c>
      <c r="D9264">
        <v>350.24</v>
      </c>
      <c r="E9264">
        <v>350.23</v>
      </c>
      <c r="F9264">
        <v>0.01</v>
      </c>
    </row>
    <row r="9265" spans="1:6" x14ac:dyDescent="0.3">
      <c r="A9265" t="str">
        <f>HYPERLINK("https://us2.cloudbeds.com/connect/10074733072513#/reservations/31685639643345?display=MHFJHY3P5&amp;reservation_id=31685639643345", "MHFJHY3P5")</f>
        <v>MHFJHY3P5</v>
      </c>
      <c r="B9265" t="s">
        <v>1351</v>
      </c>
      <c r="C9265">
        <v>119</v>
      </c>
      <c r="D9265">
        <v>129.36000000000001</v>
      </c>
      <c r="E9265">
        <v>129.35</v>
      </c>
      <c r="F9265">
        <v>0.01</v>
      </c>
    </row>
    <row r="9266" spans="1:6" x14ac:dyDescent="0.3">
      <c r="A9266" t="str">
        <f>HYPERLINK("https://us2.cloudbeds.com/connect/10074733072513#/reservations/31688606105776?display=MHHTB1A13&amp;reservation_id=31688606105776", "MHHTB1A13")</f>
        <v>MHHTB1A13</v>
      </c>
      <c r="B9266" t="s">
        <v>1393</v>
      </c>
      <c r="C9266">
        <v>358</v>
      </c>
      <c r="D9266">
        <v>389.16</v>
      </c>
      <c r="E9266">
        <v>389.15</v>
      </c>
      <c r="F9266">
        <v>0.01</v>
      </c>
    </row>
    <row r="9267" spans="1:6" x14ac:dyDescent="0.3">
      <c r="A9267" t="str">
        <f>HYPERLINK("https://us2.cloudbeds.com/connect/10074733072513#/reservations/31687204810920?display=MHGQHE6TK&amp;reservation_id=31687204810920", "MHGQHE6TK")</f>
        <v>MHGQHE6TK</v>
      </c>
      <c r="B9267" t="s">
        <v>1393</v>
      </c>
      <c r="C9267">
        <v>358</v>
      </c>
      <c r="D9267">
        <v>389.16</v>
      </c>
      <c r="E9267">
        <v>389.15</v>
      </c>
      <c r="F9267">
        <v>0.01</v>
      </c>
    </row>
    <row r="9268" spans="1:6" x14ac:dyDescent="0.3">
      <c r="A9268" t="str">
        <f>HYPERLINK("https://us2.cloudbeds.com/connect/10074733072513#/reservations/31692065099971?display=MHKXNZU80&amp;reservation_id=31692065099971", "MHKXNZU80")</f>
        <v>MHKXNZU80</v>
      </c>
      <c r="B9268" t="s">
        <v>1396</v>
      </c>
      <c r="C9268">
        <v>238</v>
      </c>
      <c r="D9268">
        <v>258.72000000000003</v>
      </c>
      <c r="E9268">
        <v>258.70999999999998</v>
      </c>
      <c r="F9268">
        <v>0.01</v>
      </c>
    </row>
    <row r="9269" spans="1:6" x14ac:dyDescent="0.3">
      <c r="A9269" t="str">
        <f>HYPERLINK("https://us2.cloudbeds.com/connect/10074733072513#/reservations/31692007416034?display=MHKH83PJU&amp;reservation_id=31692007416034", "MHKH83PJU")</f>
        <v>MHKH83PJU</v>
      </c>
      <c r="B9269" t="s">
        <v>1396</v>
      </c>
      <c r="C9269">
        <v>238</v>
      </c>
      <c r="D9269">
        <v>258.72000000000003</v>
      </c>
      <c r="E9269">
        <v>258.70999999999998</v>
      </c>
      <c r="F9269">
        <v>0.01</v>
      </c>
    </row>
    <row r="9270" spans="1:6" x14ac:dyDescent="0.3">
      <c r="A9270" t="str">
        <f>HYPERLINK("https://us2.cloudbeds.com/connect/10074733072513#/reservations/31687073017989?display=MHGN59SUE&amp;reservation_id=31687073017989", "MHGN59SUE")</f>
        <v>MHGN59SUE</v>
      </c>
      <c r="B9270" t="s">
        <v>1350</v>
      </c>
      <c r="C9270">
        <v>318</v>
      </c>
      <c r="D9270">
        <v>345.68</v>
      </c>
      <c r="E9270">
        <v>345.67</v>
      </c>
      <c r="F9270">
        <v>0.01</v>
      </c>
    </row>
    <row r="9271" spans="1:6" x14ac:dyDescent="0.3">
      <c r="A9271" t="str">
        <f>HYPERLINK("https://us2.cloudbeds.com/connect/10074733072513#/reservations/31693054496968?display=MHYB01BE6&amp;reservation_id=31693054496968", "MHYB01BE6")</f>
        <v>MHYB01BE6</v>
      </c>
      <c r="B9271" t="s">
        <v>1397</v>
      </c>
      <c r="C9271">
        <v>321.3</v>
      </c>
      <c r="D9271">
        <v>349.26</v>
      </c>
      <c r="E9271">
        <v>349.25</v>
      </c>
      <c r="F9271">
        <v>0.01</v>
      </c>
    </row>
    <row r="9272" spans="1:6" x14ac:dyDescent="0.3">
      <c r="A9272" t="str">
        <f>HYPERLINK("https://us2.cloudbeds.com/connect/10074733072513#/reservations/31691982500058?display=MHKGK3EUB&amp;reservation_id=31691982500058", "MHKGK3EUB")</f>
        <v>MHKGK3EUB</v>
      </c>
      <c r="B9272" t="s">
        <v>1396</v>
      </c>
      <c r="C9272">
        <v>119</v>
      </c>
      <c r="D9272">
        <v>129.36000000000001</v>
      </c>
      <c r="E9272">
        <v>129.35</v>
      </c>
      <c r="F9272">
        <v>0.01</v>
      </c>
    </row>
    <row r="9273" spans="1:6" x14ac:dyDescent="0.3">
      <c r="A9273" t="str">
        <f>HYPERLINK("https://us2.cloudbeds.com/connect/10074733072513#/reservations/31692546732224?display=MHKV0SUZJ&amp;reservation_id=31692546732224", "MHKV0SUZJ")</f>
        <v>MHKV0SUZJ</v>
      </c>
      <c r="B9273" t="s">
        <v>1398</v>
      </c>
      <c r="C9273">
        <v>119</v>
      </c>
      <c r="D9273">
        <v>129.36000000000001</v>
      </c>
      <c r="E9273">
        <v>129.35</v>
      </c>
      <c r="F9273">
        <v>0.01</v>
      </c>
    </row>
    <row r="9274" spans="1:6" x14ac:dyDescent="0.3">
      <c r="A9274" t="str">
        <f>HYPERLINK("https://us2.cloudbeds.com/connect/10074733072513#/reservations/31688697635030?display=MHHVM77US&amp;reservation_id=31688697635030", "MHHVM77US")</f>
        <v>MHHVM77US</v>
      </c>
      <c r="B9274" t="s">
        <v>1399</v>
      </c>
      <c r="C9274">
        <v>199</v>
      </c>
      <c r="D9274">
        <v>216.32</v>
      </c>
      <c r="E9274">
        <v>216.31</v>
      </c>
      <c r="F9274">
        <v>0.01</v>
      </c>
    </row>
    <row r="9275" spans="1:6" x14ac:dyDescent="0.3">
      <c r="A9275" t="str">
        <f>HYPERLINK("https://us2.cloudbeds.com/connect/10074733072513#/reservations/31692045160604?display=MHKX6V2EP&amp;reservation_id=31692045160604", "MHKX6V2EP")</f>
        <v>MHKX6V2EP</v>
      </c>
      <c r="B9275" t="s">
        <v>1396</v>
      </c>
      <c r="C9275">
        <v>119</v>
      </c>
      <c r="D9275">
        <v>129.36000000000001</v>
      </c>
      <c r="E9275">
        <v>129.35</v>
      </c>
      <c r="F9275">
        <v>0.01</v>
      </c>
    </row>
    <row r="9276" spans="1:6" x14ac:dyDescent="0.3">
      <c r="A9276" t="str">
        <f>HYPERLINK("https://us2.cloudbeds.com/connect/10074733072513#/reservations/31685912789177?display=MHFQGVQCJ&amp;reservation_id=31685912789177", "MHFQGVQCJ")</f>
        <v>MHFQGVQCJ</v>
      </c>
      <c r="B9276" t="s">
        <v>1350</v>
      </c>
      <c r="C9276">
        <v>378</v>
      </c>
      <c r="D9276">
        <v>410.9</v>
      </c>
      <c r="E9276">
        <v>410.89</v>
      </c>
      <c r="F9276">
        <v>0.01</v>
      </c>
    </row>
    <row r="9277" spans="1:6" x14ac:dyDescent="0.3">
      <c r="A9277" t="str">
        <f>HYPERLINK("https://us2.cloudbeds.com/connect/10074733072513#/reservations/31692564787400?display=MHKVG3F1A&amp;reservation_id=31692564787400", "MHKVG3F1A")</f>
        <v>MHKVG3F1A</v>
      </c>
      <c r="B9277" t="s">
        <v>1398</v>
      </c>
      <c r="C9277">
        <v>119</v>
      </c>
      <c r="D9277">
        <v>129.36000000000001</v>
      </c>
      <c r="E9277">
        <v>129.35</v>
      </c>
      <c r="F9277">
        <v>0.01</v>
      </c>
    </row>
    <row r="9278" spans="1:6" x14ac:dyDescent="0.3">
      <c r="A9278" t="str">
        <f>HYPERLINK("https://us2.cloudbeds.com/connect/10074733072513#/reservations/31681878126818?display=MHCMDRC8S&amp;reservation_id=31681878126818", "MHCMDRC8S")</f>
        <v>MHCMDRC8S</v>
      </c>
      <c r="B9278" t="s">
        <v>1213</v>
      </c>
      <c r="C9278">
        <v>347</v>
      </c>
      <c r="D9278">
        <v>377.2</v>
      </c>
      <c r="E9278">
        <v>377.19</v>
      </c>
      <c r="F9278">
        <v>0.01</v>
      </c>
    </row>
    <row r="9279" spans="1:6" x14ac:dyDescent="0.3">
      <c r="A9279" t="str">
        <f>HYPERLINK("https://us2.cloudbeds.com/connect/10074733072513#/reservations/31684229013736?display=MHEGG58PC&amp;reservation_id=31684229013736", "MHEGG58PC")</f>
        <v>MHEGG58PC</v>
      </c>
      <c r="B9279" t="s">
        <v>1361</v>
      </c>
      <c r="C9279">
        <v>159</v>
      </c>
      <c r="D9279">
        <v>172.84</v>
      </c>
      <c r="E9279">
        <v>172.83</v>
      </c>
      <c r="F9279">
        <v>0.01</v>
      </c>
    </row>
    <row r="9280" spans="1:6" x14ac:dyDescent="0.3">
      <c r="A9280" t="str">
        <f>HYPERLINK("https://us2.cloudbeds.com/connect/10074733072513#/reservations/31692581028022?display=MHKVTQCCC&amp;reservation_id=31692581028022", "MHKVTQCCC")</f>
        <v>MHKVTQCCC</v>
      </c>
      <c r="B9280" t="s">
        <v>1398</v>
      </c>
      <c r="C9280">
        <v>109</v>
      </c>
      <c r="D9280">
        <v>118.49</v>
      </c>
      <c r="E9280">
        <v>118.48</v>
      </c>
      <c r="F9280">
        <v>0.01</v>
      </c>
    </row>
    <row r="9281" spans="1:6" x14ac:dyDescent="0.3">
      <c r="A9281" t="str">
        <f>HYPERLINK("https://us2.cloudbeds.com/connect/10074733072513#/reservations/31688475742417?display=MHHQ03ZQ9&amp;reservation_id=31688475742417", "MHHQ03ZQ9")</f>
        <v>MHHQ03ZQ9</v>
      </c>
      <c r="B9281" t="s">
        <v>1392</v>
      </c>
      <c r="C9281">
        <v>376</v>
      </c>
      <c r="D9281">
        <v>408.72</v>
      </c>
      <c r="E9281">
        <v>408.71</v>
      </c>
      <c r="F9281">
        <v>0.01</v>
      </c>
    </row>
    <row r="9282" spans="1:6" x14ac:dyDescent="0.3">
      <c r="A9282" t="str">
        <f>HYPERLINK("https://us2.cloudbeds.com/connect/10074733072513#/reservations/31685513974002?display=MHFGAM5U8&amp;reservation_id=31685513974002", "MHFGAM5U8")</f>
        <v>MHFGAM5U8</v>
      </c>
      <c r="B9282" t="s">
        <v>1213</v>
      </c>
      <c r="C9282">
        <v>225</v>
      </c>
      <c r="D9282">
        <v>244.59</v>
      </c>
      <c r="E9282">
        <v>244.58</v>
      </c>
      <c r="F9282">
        <v>0.01</v>
      </c>
    </row>
    <row r="9283" spans="1:6" x14ac:dyDescent="0.3">
      <c r="A9283" t="str">
        <f>HYPERLINK("https://us2.cloudbeds.com/connect/10074733072513#/reservations/31693336150241?display=MHYX6HP6S&amp;reservation_id=31693336150241", "MHYX6HP6S")</f>
        <v>MHYX6HP6S</v>
      </c>
      <c r="B9283" t="s">
        <v>1392</v>
      </c>
      <c r="C9283">
        <v>119</v>
      </c>
      <c r="D9283">
        <v>129.36000000000001</v>
      </c>
      <c r="E9283">
        <v>129.35</v>
      </c>
      <c r="F9283">
        <v>0.01</v>
      </c>
    </row>
    <row r="9284" spans="1:6" x14ac:dyDescent="0.3">
      <c r="A9284" t="str">
        <f>HYPERLINK("https://us2.cloudbeds.com/connect/10074733072513#/reservations/31688410370199?display=MHHZAWM6W&amp;reservation_id=31688410370199", "MHHZAWM6W")</f>
        <v>MHHZAWM6W</v>
      </c>
      <c r="B9284" t="s">
        <v>1392</v>
      </c>
      <c r="C9284">
        <v>278</v>
      </c>
      <c r="D9284">
        <v>302.2</v>
      </c>
      <c r="E9284">
        <v>302.19</v>
      </c>
      <c r="F9284">
        <v>0.01</v>
      </c>
    </row>
    <row r="9285" spans="1:6" x14ac:dyDescent="0.3">
      <c r="A9285" t="str">
        <f>HYPERLINK("https://us2.cloudbeds.com/connect/10074733072513#/reservations/31693345255606?display=MHYXE74E0&amp;reservation_id=31693345255606", "MHYXE74E0")</f>
        <v>MHYXE74E0</v>
      </c>
      <c r="B9285" t="s">
        <v>1392</v>
      </c>
      <c r="C9285">
        <v>99</v>
      </c>
      <c r="D9285">
        <v>107.62</v>
      </c>
      <c r="E9285">
        <v>107.61</v>
      </c>
      <c r="F9285">
        <v>0.01</v>
      </c>
    </row>
    <row r="9286" spans="1:6" x14ac:dyDescent="0.3">
      <c r="A9286" t="str">
        <f>HYPERLINK("https://us2.cloudbeds.com/connect/10074733072513#/reservations/31692504850649?display=MHKTVXKN4&amp;reservation_id=31692504850649", "MHKTVXKN4")</f>
        <v>MHKTVXKN4</v>
      </c>
      <c r="B9286" t="s">
        <v>1398</v>
      </c>
      <c r="C9286">
        <v>119</v>
      </c>
      <c r="D9286">
        <v>129.36000000000001</v>
      </c>
      <c r="E9286">
        <v>129.35</v>
      </c>
      <c r="F9286">
        <v>0.01</v>
      </c>
    </row>
    <row r="9287" spans="1:6" x14ac:dyDescent="0.3">
      <c r="A9287" t="str">
        <f>HYPERLINK("https://us2.cloudbeds.com/connect/10074733072513#/reservations/31685895454869?display=MHFQ2BEZG&amp;reservation_id=31685895454869", "MHFQ2BEZG")</f>
        <v>MHFQ2BEZG</v>
      </c>
      <c r="B9287" t="s">
        <v>1350</v>
      </c>
      <c r="C9287">
        <v>199</v>
      </c>
      <c r="D9287">
        <v>216.32</v>
      </c>
      <c r="E9287">
        <v>216.31</v>
      </c>
      <c r="F9287">
        <v>0.01</v>
      </c>
    </row>
    <row r="9288" spans="1:6" x14ac:dyDescent="0.3">
      <c r="A9288" t="str">
        <f>HYPERLINK("https://us2.cloudbeds.com/connect/10074733072513#/reservations/31692525043910?display=MHKUFJHY4&amp;reservation_id=31692525043910", "MHKUFJHY4")</f>
        <v>MHKUFJHY4</v>
      </c>
      <c r="B9288" t="s">
        <v>1398</v>
      </c>
      <c r="C9288">
        <v>73</v>
      </c>
      <c r="D9288">
        <v>79.36</v>
      </c>
      <c r="E9288">
        <v>79.349999999999994</v>
      </c>
      <c r="F9288">
        <v>0.01</v>
      </c>
    </row>
    <row r="9289" spans="1:6" x14ac:dyDescent="0.3">
      <c r="A9289" t="str">
        <f>HYPERLINK("https://us2.cloudbeds.com/connect/10074733072513#/reservations/31691991961778?display=MHKGS2ZC4&amp;reservation_id=31691991961778", "MHKGS2ZC4")</f>
        <v>MHKGS2ZC4</v>
      </c>
      <c r="B9289" t="s">
        <v>1396</v>
      </c>
      <c r="C9289">
        <v>119</v>
      </c>
      <c r="D9289">
        <v>129.36000000000001</v>
      </c>
      <c r="E9289">
        <v>129.35</v>
      </c>
      <c r="F9289">
        <v>0.01</v>
      </c>
    </row>
    <row r="9290" spans="1:6" x14ac:dyDescent="0.3">
      <c r="A9290" t="str">
        <f>HYPERLINK("https://us2.cloudbeds.com/connect/10074733072513#/reservations/31692554617071?display=MHKV7HETH&amp;reservation_id=31692554617071", "MHKV7HETH")</f>
        <v>MHKV7HETH</v>
      </c>
      <c r="B9290" t="s">
        <v>1392</v>
      </c>
      <c r="C9290">
        <v>119</v>
      </c>
      <c r="D9290">
        <v>129.36000000000001</v>
      </c>
      <c r="E9290">
        <v>129.35</v>
      </c>
      <c r="F9290">
        <v>0.01</v>
      </c>
    </row>
    <row r="9291" spans="1:6" x14ac:dyDescent="0.3">
      <c r="A9291" t="str">
        <f>HYPERLINK("https://us2.cloudbeds.com/connect/10074733072513#/reservations/31694393888976?display=MHMC7ETQQ&amp;reservation_id=31694393888976", "MHMC7ETQQ")</f>
        <v>MHMC7ETQQ</v>
      </c>
      <c r="B9291" t="s">
        <v>1375</v>
      </c>
      <c r="C9291">
        <v>139</v>
      </c>
      <c r="D9291">
        <v>151.1</v>
      </c>
      <c r="E9291">
        <v>151.09</v>
      </c>
      <c r="F9291">
        <v>0.01</v>
      </c>
    </row>
    <row r="9292" spans="1:6" x14ac:dyDescent="0.3">
      <c r="A9292" t="str">
        <f>HYPERLINK("https://us2.cloudbeds.com/connect/10074733072513#/reservations/31681798619334?display=MHCKCPVY5&amp;reservation_id=31681798619334", "MHCKCPVY5")</f>
        <v>MHCKCPVY5</v>
      </c>
      <c r="B9292" t="s">
        <v>1213</v>
      </c>
      <c r="C9292">
        <v>225</v>
      </c>
      <c r="D9292">
        <v>244.59</v>
      </c>
      <c r="E9292">
        <v>244.58</v>
      </c>
      <c r="F9292">
        <v>0.01</v>
      </c>
    </row>
    <row r="9293" spans="1:6" x14ac:dyDescent="0.3">
      <c r="A9293" t="str">
        <f>HYPERLINK("https://us2.cloudbeds.com/connect/10074733072513#/reservations/31692543725747?display=MHKUVBCMD&amp;reservation_id=31692543725747", "MHKUVBCMD")</f>
        <v>MHKUVBCMD</v>
      </c>
      <c r="B9293" t="s">
        <v>1398</v>
      </c>
      <c r="C9293">
        <v>119</v>
      </c>
      <c r="D9293">
        <v>129.36000000000001</v>
      </c>
      <c r="E9293">
        <v>129.35</v>
      </c>
      <c r="F9293">
        <v>0.01</v>
      </c>
    </row>
    <row r="9294" spans="1:6" x14ac:dyDescent="0.3">
      <c r="A9294" t="str">
        <f>HYPERLINK("https://us2.cloudbeds.com/connect/10074733072513#/reservations/31688394838259?display=MHHNUTFY4&amp;reservation_id=31688394838259", "MHHNUTFY4")</f>
        <v>MHHNUTFY4</v>
      </c>
      <c r="B9294" t="s">
        <v>1398</v>
      </c>
      <c r="C9294">
        <v>158</v>
      </c>
      <c r="D9294">
        <v>171.76</v>
      </c>
      <c r="E9294">
        <v>171.75</v>
      </c>
      <c r="F9294">
        <v>0.01</v>
      </c>
    </row>
    <row r="9295" spans="1:6" x14ac:dyDescent="0.3">
      <c r="A9295" t="str">
        <f>HYPERLINK("https://us2.cloudbeds.com/connect/10074733072513#/reservations/31688410374295?display=MHHZAWPW3&amp;reservation_id=31688410374295", "MHHZAWPW3")</f>
        <v>MHHZAWPW3</v>
      </c>
      <c r="B9295" t="s">
        <v>1392</v>
      </c>
      <c r="C9295">
        <v>73</v>
      </c>
      <c r="D9295">
        <v>79.36</v>
      </c>
      <c r="E9295">
        <v>79.349999999999994</v>
      </c>
      <c r="F9295">
        <v>0.01</v>
      </c>
    </row>
    <row r="9296" spans="1:6" x14ac:dyDescent="0.3">
      <c r="A9296" t="str">
        <f>HYPERLINK("https://us2.cloudbeds.com/connect/10074733072513#/reservations/31692651897052?display=MHY0NXDHZ&amp;reservation_id=31692651897052", "MHY0NXDHZ")</f>
        <v>MHY0NXDHZ</v>
      </c>
      <c r="B9296" t="s">
        <v>1348</v>
      </c>
      <c r="C9296">
        <v>189</v>
      </c>
      <c r="D9296">
        <v>205.45</v>
      </c>
      <c r="E9296">
        <v>205.44</v>
      </c>
      <c r="F9296">
        <v>0.01</v>
      </c>
    </row>
    <row r="9297" spans="1:6" x14ac:dyDescent="0.3">
      <c r="A9297" t="str">
        <f>HYPERLINK("https://us2.cloudbeds.com/connect/10074733072513#/reservations/31688432205999?display=MHHZTD9ET&amp;reservation_id=31688432205999", "MHHZTD9ET")</f>
        <v>MHHZTD9ET</v>
      </c>
      <c r="B9297" t="s">
        <v>1392</v>
      </c>
      <c r="C9297">
        <v>129</v>
      </c>
      <c r="D9297">
        <v>140.22999999999999</v>
      </c>
      <c r="E9297">
        <v>140.22</v>
      </c>
      <c r="F9297">
        <v>0.01</v>
      </c>
    </row>
    <row r="9298" spans="1:6" x14ac:dyDescent="0.3">
      <c r="A9298" t="str">
        <f>HYPERLINK("https://us2.cloudbeds.com/connect/10074733072513#/reservations/31688444260550?display=MHHP6XNRA&amp;reservation_id=31688444260550", "MHHP6XNRA")</f>
        <v>MHHP6XNRA</v>
      </c>
      <c r="B9298" t="s">
        <v>1392</v>
      </c>
      <c r="C9298">
        <v>73</v>
      </c>
      <c r="D9298">
        <v>79.36</v>
      </c>
      <c r="E9298">
        <v>79.349999999999994</v>
      </c>
      <c r="F9298">
        <v>0.01</v>
      </c>
    </row>
    <row r="9299" spans="1:6" x14ac:dyDescent="0.3">
      <c r="A9299" t="str">
        <f>HYPERLINK("https://us2.cloudbeds.com/connect/10074733072513#/reservations/31685518717076?display=MHFGEM5BP&amp;reservation_id=31685518717076", "MHFGEM5BP")</f>
        <v>MHFGEM5BP</v>
      </c>
      <c r="B9299" t="s">
        <v>1394</v>
      </c>
      <c r="C9299">
        <v>336</v>
      </c>
      <c r="D9299">
        <v>365.24</v>
      </c>
      <c r="E9299">
        <v>365.23</v>
      </c>
      <c r="F9299">
        <v>0.01</v>
      </c>
    </row>
    <row r="9300" spans="1:6" x14ac:dyDescent="0.3">
      <c r="A9300" t="str">
        <f>HYPERLINK("https://us2.cloudbeds.com/connect/10074733072513#/reservations/31686105264350?display=MHFVE8N8J&amp;reservation_id=31686105264350", "MHFVE8N8J")</f>
        <v>MHFVE8N8J</v>
      </c>
      <c r="B9300" t="s">
        <v>1393</v>
      </c>
      <c r="C9300">
        <v>338</v>
      </c>
      <c r="D9300">
        <v>367.42</v>
      </c>
      <c r="E9300">
        <v>367.41</v>
      </c>
      <c r="F9300">
        <v>0.01</v>
      </c>
    </row>
    <row r="9301" spans="1:6" x14ac:dyDescent="0.3">
      <c r="A9301" t="str">
        <f>HYPERLINK("https://us2.cloudbeds.com/connect/10074733072513#/reservations/31681871237248?display=MHCM1UNPB&amp;reservation_id=31681871237248", "MHCM1UNPB")</f>
        <v>MHCM1UNPB</v>
      </c>
      <c r="B9301" t="s">
        <v>1213</v>
      </c>
      <c r="C9301">
        <v>495</v>
      </c>
      <c r="D9301">
        <v>538.08000000000004</v>
      </c>
      <c r="E9301">
        <v>538.07000000000005</v>
      </c>
      <c r="F9301">
        <v>0.01</v>
      </c>
    </row>
    <row r="9302" spans="1:6" x14ac:dyDescent="0.3">
      <c r="A9302" t="str">
        <f>HYPERLINK("https://us2.cloudbeds.com/connect/10074733072513#/reservations/31688563617989?display=MHHS870KD&amp;reservation_id=31688563617989", "MHHS870KD")</f>
        <v>MHHS870KD</v>
      </c>
      <c r="B9302" t="s">
        <v>1403</v>
      </c>
      <c r="C9302">
        <v>252</v>
      </c>
      <c r="D9302">
        <v>273.93</v>
      </c>
      <c r="E9302">
        <v>273.92</v>
      </c>
      <c r="F9302">
        <v>0.01</v>
      </c>
    </row>
    <row r="9303" spans="1:6" x14ac:dyDescent="0.3">
      <c r="A9303" t="str">
        <f>HYPERLINK("https://us2.cloudbeds.com/connect/10074733072513#/reservations/31688595738785?display=MHHT29R9S&amp;reservation_id=31688595738785", "MHHT29R9S")</f>
        <v>MHHT29R9S</v>
      </c>
      <c r="B9303" t="s">
        <v>1403</v>
      </c>
      <c r="C9303">
        <v>325.36</v>
      </c>
      <c r="D9303">
        <v>353.68</v>
      </c>
      <c r="E9303">
        <v>353.67</v>
      </c>
      <c r="F9303">
        <v>0.01</v>
      </c>
    </row>
    <row r="9304" spans="1:6" x14ac:dyDescent="0.3">
      <c r="A9304" t="str">
        <f>HYPERLINK("https://us2.cloudbeds.com/connect/10074733072513#/reservations/31692985385177?display=MHY97P6TG&amp;reservation_id=31692985385177", "MHY97P6TG")</f>
        <v>MHY97P6TG</v>
      </c>
      <c r="B9304" t="s">
        <v>1212</v>
      </c>
      <c r="C9304">
        <v>225</v>
      </c>
      <c r="D9304">
        <v>244.59</v>
      </c>
      <c r="E9304">
        <v>244.58</v>
      </c>
      <c r="F9304">
        <v>0.01</v>
      </c>
    </row>
    <row r="9305" spans="1:6" x14ac:dyDescent="0.3">
      <c r="A9305" t="str">
        <f>HYPERLINK("https://us2.cloudbeds.com/connect/10074733072513#/reservations/31693281960178?display=MHYGQRRTZ&amp;reservation_id=31693281960178", "MHYGQRRTZ")</f>
        <v>MHYGQRRTZ</v>
      </c>
      <c r="B9305" t="s">
        <v>1392</v>
      </c>
      <c r="C9305">
        <v>99</v>
      </c>
      <c r="D9305">
        <v>107.62</v>
      </c>
      <c r="E9305">
        <v>107.61</v>
      </c>
      <c r="F9305">
        <v>0.01</v>
      </c>
    </row>
    <row r="9306" spans="1:6" x14ac:dyDescent="0.3">
      <c r="A9306" t="str">
        <f>HYPERLINK("https://us2.cloudbeds.com/connect/10074733072513#/reservations/31686923059435?display=MHGJAS1UR&amp;reservation_id=31686923059435", "MHGJAS1UR")</f>
        <v>MHGJAS1UR</v>
      </c>
      <c r="B9306" t="s">
        <v>1348</v>
      </c>
      <c r="C9306">
        <v>199</v>
      </c>
      <c r="D9306">
        <v>216.32</v>
      </c>
      <c r="E9306">
        <v>216.31</v>
      </c>
      <c r="F9306">
        <v>0.01</v>
      </c>
    </row>
    <row r="9307" spans="1:6" x14ac:dyDescent="0.3">
      <c r="A9307" t="str">
        <f>HYPERLINK("https://us2.cloudbeds.com/connect/10074733072513#/reservations/31690519101598?display=MHJC747MF&amp;reservation_id=31690519101598", "MHJC747MF")</f>
        <v>MHJC747MF</v>
      </c>
      <c r="B9307" t="s">
        <v>1348</v>
      </c>
      <c r="C9307">
        <v>159</v>
      </c>
      <c r="D9307">
        <v>172.84</v>
      </c>
      <c r="E9307">
        <v>172.83</v>
      </c>
      <c r="F9307">
        <v>0.01</v>
      </c>
    </row>
    <row r="9308" spans="1:6" x14ac:dyDescent="0.3">
      <c r="A9308" t="str">
        <f>HYPERLINK("https://us2.cloudbeds.com/connect/10074733072513#/reservations/31684211196062?display=MHEG14F8S&amp;reservation_id=31684211196062", "MHEG14F8S")</f>
        <v>MHEG14F8S</v>
      </c>
      <c r="B9308" t="s">
        <v>1361</v>
      </c>
      <c r="C9308">
        <v>139</v>
      </c>
      <c r="D9308">
        <v>151.1</v>
      </c>
      <c r="E9308">
        <v>151.09</v>
      </c>
      <c r="F9308">
        <v>0.01</v>
      </c>
    </row>
    <row r="9309" spans="1:6" x14ac:dyDescent="0.3">
      <c r="A9309" t="str">
        <f>HYPERLINK("https://us2.cloudbeds.com/connect/10074733072513#/reservations/31688901611672?display=MHX3T76A7&amp;reservation_id=31688901611672", "MHX3T76A7")</f>
        <v>MHX3T76A7</v>
      </c>
      <c r="B9309" t="s">
        <v>1403</v>
      </c>
      <c r="C9309">
        <v>189</v>
      </c>
      <c r="D9309">
        <v>205.45</v>
      </c>
      <c r="E9309">
        <v>205.44</v>
      </c>
      <c r="F9309">
        <v>0.01</v>
      </c>
    </row>
    <row r="9310" spans="1:6" x14ac:dyDescent="0.3">
      <c r="A9310" t="str">
        <f>HYPERLINK("https://us2.cloudbeds.com/connect/10074733072513#/reservations/31688475746526?display=MHHQ03SXQ&amp;reservation_id=31688475746526", "MHHQ03SXQ")</f>
        <v>MHHQ03SXQ</v>
      </c>
      <c r="B9310" t="s">
        <v>1394</v>
      </c>
      <c r="C9310">
        <v>109</v>
      </c>
      <c r="D9310">
        <v>118.49</v>
      </c>
      <c r="E9310">
        <v>118.48</v>
      </c>
      <c r="F9310">
        <v>0.01</v>
      </c>
    </row>
    <row r="9311" spans="1:6" x14ac:dyDescent="0.3">
      <c r="A9311" t="str">
        <f>HYPERLINK("https://us2.cloudbeds.com/connect/10074733072513#/reservations/31686481690756?display=MHG81MANC&amp;reservation_id=31686481690756", "MHG81MANC")</f>
        <v>MHG81MANC</v>
      </c>
      <c r="B9311" t="s">
        <v>1405</v>
      </c>
      <c r="C9311">
        <v>225</v>
      </c>
      <c r="D9311">
        <v>244.59</v>
      </c>
      <c r="E9311">
        <v>244.58</v>
      </c>
      <c r="F9311">
        <v>0.01</v>
      </c>
    </row>
    <row r="9312" spans="1:6" x14ac:dyDescent="0.3">
      <c r="A9312" t="str">
        <f>HYPERLINK("https://us2.cloudbeds.com/connect/10074733072513#/reservations/31691512377591?display=MHK4JMJRW&amp;reservation_id=31691512377591", "MHK4JMJRW")</f>
        <v>MHK4JMJRW</v>
      </c>
      <c r="B9312" t="s">
        <v>1406</v>
      </c>
      <c r="C9312">
        <v>150</v>
      </c>
      <c r="D9312">
        <v>163.06</v>
      </c>
      <c r="E9312">
        <v>163.05000000000001</v>
      </c>
      <c r="F9312">
        <v>0.01</v>
      </c>
    </row>
    <row r="9313" spans="1:6" x14ac:dyDescent="0.3">
      <c r="A9313" t="str">
        <f>HYPERLINK("https://us2.cloudbeds.com/connect/10074733072513#/reservations/31691479302358?display=MHK3ZQ7Z6&amp;reservation_id=31691479302358", "MHK3ZQ7Z6")</f>
        <v>MHK3ZQ7Z6</v>
      </c>
      <c r="B9313" t="s">
        <v>1406</v>
      </c>
      <c r="C9313">
        <v>109</v>
      </c>
      <c r="D9313">
        <v>118.49</v>
      </c>
      <c r="E9313">
        <v>118.48</v>
      </c>
      <c r="F9313">
        <v>0.01</v>
      </c>
    </row>
    <row r="9314" spans="1:6" x14ac:dyDescent="0.3">
      <c r="A9314" t="str">
        <f>HYPERLINK("https://us2.cloudbeds.com/connect/10074733072513#/reservations/31729677123771?display=MXGMQ6UEW&amp;reservation_id=31729677123771", "MXGMQ6UEW")</f>
        <v>MXGMQ6UEW</v>
      </c>
      <c r="B9314" t="s">
        <v>1371</v>
      </c>
      <c r="C9314">
        <v>318</v>
      </c>
      <c r="D9314">
        <v>345.68</v>
      </c>
      <c r="E9314">
        <v>345.67</v>
      </c>
      <c r="F9314">
        <v>0.01</v>
      </c>
    </row>
    <row r="9315" spans="1:6" x14ac:dyDescent="0.3">
      <c r="A9315" t="str">
        <f>HYPERLINK("https://us2.cloudbeds.com/connect/10074733072513#/reservations/31692719276238?display=MHY2ECB28&amp;reservation_id=31692719276238", "MHY2ECB28")</f>
        <v>MHY2ECB28</v>
      </c>
      <c r="B9315" t="s">
        <v>1348</v>
      </c>
      <c r="C9315">
        <v>298</v>
      </c>
      <c r="D9315">
        <v>323.94</v>
      </c>
      <c r="E9315">
        <v>323.93</v>
      </c>
      <c r="F9315">
        <v>0.01</v>
      </c>
    </row>
    <row r="9316" spans="1:6" x14ac:dyDescent="0.3">
      <c r="A9316" t="str">
        <f>HYPERLINK("https://us2.cloudbeds.com/connect/10074733072513#/reservations/31688901615766?display=MHX3T7A29&amp;reservation_id=31688901615766", "MHX3T7A29")</f>
        <v>MHX3T7A29</v>
      </c>
      <c r="B9316" t="s">
        <v>1403</v>
      </c>
      <c r="C9316">
        <v>139</v>
      </c>
      <c r="D9316">
        <v>151.1</v>
      </c>
      <c r="E9316">
        <v>151.09</v>
      </c>
      <c r="F9316">
        <v>0.01</v>
      </c>
    </row>
    <row r="9317" spans="1:6" x14ac:dyDescent="0.3">
      <c r="A9317" t="str">
        <f>HYPERLINK("https://us2.cloudbeds.com/connect/10074733072513#/reservations/31688554086577?display=MHHS05Q5Z&amp;reservation_id=31688554086577", "MHHS05Q5Z")</f>
        <v>MHHS05Q5Z</v>
      </c>
      <c r="B9317" t="s">
        <v>1403</v>
      </c>
      <c r="C9317">
        <v>149</v>
      </c>
      <c r="D9317">
        <v>161.97</v>
      </c>
      <c r="E9317">
        <v>161.96</v>
      </c>
      <c r="F9317">
        <v>0.01</v>
      </c>
    </row>
    <row r="9318" spans="1:6" x14ac:dyDescent="0.3">
      <c r="A9318" t="str">
        <f>HYPERLINK("https://us2.cloudbeds.com/connect/10074733072513#/reservations/31686914289869?display=MHGJ3F12D&amp;reservation_id=31686914289869", "MHGJ3F12D")</f>
        <v>MHGJ3F12D</v>
      </c>
      <c r="B9318" t="s">
        <v>1348</v>
      </c>
      <c r="C9318">
        <v>159</v>
      </c>
      <c r="D9318">
        <v>172.84</v>
      </c>
      <c r="E9318">
        <v>172.83</v>
      </c>
      <c r="F9318">
        <v>0.01</v>
      </c>
    </row>
    <row r="9319" spans="1:6" x14ac:dyDescent="0.3">
      <c r="A9319" t="str">
        <f>HYPERLINK("https://us2.cloudbeds.com/connect/10074733072513#/reservations/31688583033080?display=MHHSZJ8WG&amp;reservation_id=31688583033080", "MHHSZJ8WG")</f>
        <v>MHHSZJ8WG</v>
      </c>
      <c r="B9319" t="s">
        <v>1403</v>
      </c>
      <c r="C9319">
        <v>97.74</v>
      </c>
      <c r="D9319">
        <v>106.25</v>
      </c>
      <c r="E9319">
        <v>106.24</v>
      </c>
      <c r="F9319">
        <v>0.01</v>
      </c>
    </row>
    <row r="9320" spans="1:6" x14ac:dyDescent="0.3">
      <c r="A9320" t="str">
        <f>HYPERLINK("https://us2.cloudbeds.com/connect/10074733072513#/reservations/31694768382148?display=MHMYQ7Z0Z&amp;reservation_id=31694768382148", "MHMYQ7Z0Z")</f>
        <v>MHMYQ7Z0Z</v>
      </c>
      <c r="B9320" t="s">
        <v>1407</v>
      </c>
      <c r="C9320">
        <v>149</v>
      </c>
      <c r="D9320">
        <v>161.97</v>
      </c>
      <c r="E9320">
        <v>161.96</v>
      </c>
      <c r="F9320">
        <v>0.01</v>
      </c>
    </row>
    <row r="9321" spans="1:6" x14ac:dyDescent="0.3">
      <c r="A9321" t="str">
        <f>HYPERLINK("https://us2.cloudbeds.com/connect/10074733072513#/reservations/31694356721909?display=MHMB93M91&amp;reservation_id=31694356721909", "MHMB93M91")</f>
        <v>MHMB93M91</v>
      </c>
      <c r="B9321" t="s">
        <v>1375</v>
      </c>
      <c r="C9321">
        <v>298</v>
      </c>
      <c r="D9321">
        <v>323.94</v>
      </c>
      <c r="E9321">
        <v>323.93</v>
      </c>
      <c r="F9321">
        <v>0.01</v>
      </c>
    </row>
    <row r="9322" spans="1:6" x14ac:dyDescent="0.3">
      <c r="A9322" t="str">
        <f>HYPERLINK("https://us2.cloudbeds.com/connect/10074733072513#/reservations/31688896970946?display=MHX3PA1S5&amp;reservation_id=31688896970946", "MHX3PA1S5")</f>
        <v>MHX3PA1S5</v>
      </c>
      <c r="B9322" t="s">
        <v>1403</v>
      </c>
      <c r="C9322">
        <v>97.74</v>
      </c>
      <c r="D9322">
        <v>106.25</v>
      </c>
      <c r="E9322">
        <v>106.24</v>
      </c>
      <c r="F9322">
        <v>0.01</v>
      </c>
    </row>
    <row r="9323" spans="1:6" x14ac:dyDescent="0.3">
      <c r="A9323" t="str">
        <f>HYPERLINK("https://us2.cloudbeds.com/connect/10074733072513#/reservations/31685717020898?display=MHFYGT8HG&amp;reservation_id=31685717020898", "MHFYGT8HG")</f>
        <v>MHFYGT8HG</v>
      </c>
      <c r="B9323" t="s">
        <v>1212</v>
      </c>
      <c r="C9323">
        <v>218</v>
      </c>
      <c r="D9323">
        <v>236.98</v>
      </c>
      <c r="E9323">
        <v>236.97</v>
      </c>
      <c r="F9323">
        <v>0.01</v>
      </c>
    </row>
    <row r="9324" spans="1:6" x14ac:dyDescent="0.3">
      <c r="A9324" t="str">
        <f>HYPERLINK("https://us2.cloudbeds.com/connect/10074733072513#/reservations/31688929206491?display=MHX4JG1TS&amp;reservation_id=31688929206491", "MHX4JG1TS")</f>
        <v>MHX4JG1TS</v>
      </c>
      <c r="B9324" t="s">
        <v>1403</v>
      </c>
      <c r="C9324">
        <v>298</v>
      </c>
      <c r="D9324">
        <v>323.94</v>
      </c>
      <c r="E9324">
        <v>323.93</v>
      </c>
      <c r="F9324">
        <v>0.01</v>
      </c>
    </row>
    <row r="9325" spans="1:6" x14ac:dyDescent="0.3">
      <c r="A9325" t="str">
        <f>HYPERLINK("https://us2.cloudbeds.com/connect/10074733072513#/reservations/31690484449442?display=MHJBATWH4&amp;reservation_id=31690484449442", "MHJBATWH4")</f>
        <v>MHJBATWH4</v>
      </c>
      <c r="B9325" t="s">
        <v>1375</v>
      </c>
      <c r="C9325">
        <v>298</v>
      </c>
      <c r="D9325">
        <v>323.94</v>
      </c>
      <c r="E9325">
        <v>323.93</v>
      </c>
      <c r="F9325">
        <v>0.01</v>
      </c>
    </row>
    <row r="9326" spans="1:6" x14ac:dyDescent="0.3">
      <c r="A9326" t="str">
        <f>HYPERLINK("https://us2.cloudbeds.com/connect/10074733072513#/reservations/31687213957251?display=MHGQP4NZ5&amp;reservation_id=31687213957251", "MHGQP4NZ5")</f>
        <v>MHGQP4NZ5</v>
      </c>
      <c r="B9326" t="s">
        <v>1408</v>
      </c>
      <c r="C9326">
        <v>338</v>
      </c>
      <c r="D9326">
        <v>367.42</v>
      </c>
      <c r="E9326">
        <v>367.41</v>
      </c>
      <c r="F9326">
        <v>0.01</v>
      </c>
    </row>
    <row r="9327" spans="1:6" x14ac:dyDescent="0.3">
      <c r="A9327" t="str">
        <f>HYPERLINK("https://us2.cloudbeds.com/connect/10074733072513#/reservations/31687641874584?display=MHH4MW4V2&amp;reservation_id=31687641874584", "MHH4MW4V2")</f>
        <v>MHH4MW4V2</v>
      </c>
      <c r="B9327" t="s">
        <v>1389</v>
      </c>
      <c r="C9327">
        <v>109</v>
      </c>
      <c r="D9327">
        <v>118.49</v>
      </c>
      <c r="E9327">
        <v>118.48</v>
      </c>
      <c r="F9327">
        <v>0.01</v>
      </c>
    </row>
    <row r="9328" spans="1:6" x14ac:dyDescent="0.3">
      <c r="A9328" t="str">
        <f>HYPERLINK("https://us2.cloudbeds.com/connect/10074733072513#/reservations/31694798729360?display=MHMMXR627&amp;reservation_id=31694798729360", "MHMMXR627")</f>
        <v>MHMMXR627</v>
      </c>
      <c r="B9328" t="s">
        <v>1409</v>
      </c>
      <c r="C9328">
        <v>139</v>
      </c>
      <c r="D9328">
        <v>151.1</v>
      </c>
      <c r="E9328">
        <v>151.09</v>
      </c>
      <c r="F9328">
        <v>0.01</v>
      </c>
    </row>
    <row r="9329" spans="1:6" x14ac:dyDescent="0.3">
      <c r="A9329" t="str">
        <f>HYPERLINK("https://us2.cloudbeds.com/connect/10074733072513#/reservations/31686971678929?display=MHGKXRVUR&amp;reservation_id=31686971678929", "MHGKXRVUR")</f>
        <v>MHGKXRVUR</v>
      </c>
      <c r="B9329" t="s">
        <v>1389</v>
      </c>
      <c r="C9329">
        <v>109</v>
      </c>
      <c r="D9329">
        <v>118.49</v>
      </c>
      <c r="E9329">
        <v>118.48</v>
      </c>
      <c r="F9329">
        <v>0.01</v>
      </c>
    </row>
    <row r="9330" spans="1:6" x14ac:dyDescent="0.3">
      <c r="A9330" t="str">
        <f>HYPERLINK("https://us2.cloudbeds.com/connect/10074733072513#/reservations/31691463319688?display=MHK3BAG8S&amp;reservation_id=31691463319688", "MHK3BAG8S")</f>
        <v>MHK3BAG8S</v>
      </c>
      <c r="B9330" t="s">
        <v>1406</v>
      </c>
      <c r="C9330">
        <v>109</v>
      </c>
      <c r="D9330">
        <v>118.49</v>
      </c>
      <c r="E9330">
        <v>118.48</v>
      </c>
      <c r="F9330">
        <v>0.01</v>
      </c>
    </row>
    <row r="9331" spans="1:6" x14ac:dyDescent="0.3">
      <c r="A9331" t="str">
        <f>HYPERLINK("https://us2.cloudbeds.com/connect/10074733072513#/reservations/31693003526358?display=MHY9N20F8&amp;reservation_id=31693003526358", "MHY9N20F8")</f>
        <v>MHY9N20F8</v>
      </c>
      <c r="B9331" t="s">
        <v>1212</v>
      </c>
      <c r="C9331">
        <v>178</v>
      </c>
      <c r="D9331">
        <v>193.5</v>
      </c>
      <c r="E9331">
        <v>193.49</v>
      </c>
      <c r="F9331">
        <v>0.01</v>
      </c>
    </row>
    <row r="9332" spans="1:6" x14ac:dyDescent="0.3">
      <c r="A9332" t="str">
        <f>HYPERLINK("https://us2.cloudbeds.com/connect/10074733072513#/reservations/31692958322829?display=MHY8HV58B&amp;reservation_id=31692958322829", "MHY8HV58B")</f>
        <v>MHY8HV58B</v>
      </c>
      <c r="B9332" t="s">
        <v>1406</v>
      </c>
      <c r="C9332">
        <v>97.74</v>
      </c>
      <c r="D9332">
        <v>106.25</v>
      </c>
      <c r="E9332">
        <v>106.24</v>
      </c>
      <c r="F9332">
        <v>0.01</v>
      </c>
    </row>
    <row r="9333" spans="1:6" x14ac:dyDescent="0.3">
      <c r="A9333" t="str">
        <f>HYPERLINK("https://us2.cloudbeds.com/connect/10074733072513#/reservations/31691549237430?display=MHK5HP98Q&amp;reservation_id=31691549237430", "MHK5HP98Q")</f>
        <v>MHK5HP98Q</v>
      </c>
      <c r="B9333" t="s">
        <v>1361</v>
      </c>
      <c r="C9333">
        <v>159</v>
      </c>
      <c r="D9333">
        <v>172.84</v>
      </c>
      <c r="E9333">
        <v>172.83</v>
      </c>
      <c r="F9333">
        <v>0.01</v>
      </c>
    </row>
    <row r="9334" spans="1:6" x14ac:dyDescent="0.3">
      <c r="A9334" t="str">
        <f>HYPERLINK("https://us2.cloudbeds.com/connect/10074733072513#/reservations/31693023391887?display=MHYA6QQEW&amp;reservation_id=31693023391887", "MHYA6QQEW")</f>
        <v>MHYA6QQEW</v>
      </c>
      <c r="B9334" t="s">
        <v>1212</v>
      </c>
      <c r="C9334">
        <v>109</v>
      </c>
      <c r="D9334">
        <v>118.49</v>
      </c>
      <c r="E9334">
        <v>118.48</v>
      </c>
      <c r="F9334">
        <v>0.01</v>
      </c>
    </row>
    <row r="9335" spans="1:6" x14ac:dyDescent="0.3">
      <c r="A9335" t="str">
        <f>HYPERLINK("https://us2.cloudbeds.com/connect/10074733072513#/reservations/31685746958533?display=MHFM94AFX&amp;reservation_id=31685746958533", "MHFM94AFX")</f>
        <v>MHFM94AFX</v>
      </c>
      <c r="B9335" t="s">
        <v>1405</v>
      </c>
      <c r="C9335">
        <v>79</v>
      </c>
      <c r="D9335">
        <v>85.88</v>
      </c>
      <c r="E9335">
        <v>85.87</v>
      </c>
      <c r="F9335">
        <v>0.01</v>
      </c>
    </row>
    <row r="9336" spans="1:6" x14ac:dyDescent="0.3">
      <c r="A9336" t="str">
        <f>HYPERLINK("https://us2.cloudbeds.com/connect/10074733072513#/reservations/31692619464878?display=MHKWT6UUJ&amp;reservation_id=31692619464878", "MHKWT6UUJ")</f>
        <v>MHKWT6UUJ</v>
      </c>
      <c r="B9336" t="s">
        <v>1413</v>
      </c>
      <c r="C9336">
        <v>225</v>
      </c>
      <c r="D9336">
        <v>244.59</v>
      </c>
      <c r="E9336">
        <v>244.58</v>
      </c>
      <c r="F9336">
        <v>0.01</v>
      </c>
    </row>
    <row r="9337" spans="1:6" x14ac:dyDescent="0.3">
      <c r="A9337" t="str">
        <f>HYPERLINK("https://us2.cloudbeds.com/connect/10074733072513#/reservations/31684018012386?display=MHEB37RQ2&amp;reservation_id=31684018012386", "MHEB37RQ2")</f>
        <v>MHEB37RQ2</v>
      </c>
      <c r="B9337" t="s">
        <v>1361</v>
      </c>
      <c r="C9337">
        <v>159</v>
      </c>
      <c r="D9337">
        <v>172.84</v>
      </c>
      <c r="E9337">
        <v>172.83</v>
      </c>
      <c r="F9337">
        <v>0.01</v>
      </c>
    </row>
    <row r="9338" spans="1:6" x14ac:dyDescent="0.3">
      <c r="A9338" t="str">
        <f>HYPERLINK("https://us2.cloudbeds.com/connect/10074733072513#/reservations/31686505070803?display=MHG8YCTWY&amp;reservation_id=31686505070803", "MHG8YCTWY")</f>
        <v>MHG8YCTWY</v>
      </c>
      <c r="B9338" t="s">
        <v>1405</v>
      </c>
      <c r="C9338">
        <v>73</v>
      </c>
      <c r="D9338">
        <v>79.36</v>
      </c>
      <c r="E9338">
        <v>79.349999999999994</v>
      </c>
      <c r="F9338">
        <v>0.01</v>
      </c>
    </row>
    <row r="9339" spans="1:6" x14ac:dyDescent="0.3">
      <c r="A9339" t="str">
        <f>HYPERLINK("https://us2.cloudbeds.com/connect/10074733072513#/reservations/31686411411669?display=MHG68DN92&amp;reservation_id=31686411411669", "MHG68DN92")</f>
        <v>MHG68DN92</v>
      </c>
      <c r="B9339" t="s">
        <v>1405</v>
      </c>
      <c r="C9339">
        <v>109</v>
      </c>
      <c r="D9339">
        <v>118.49</v>
      </c>
      <c r="E9339">
        <v>118.48</v>
      </c>
      <c r="F9339">
        <v>0.01</v>
      </c>
    </row>
    <row r="9340" spans="1:6" x14ac:dyDescent="0.3">
      <c r="A9340" t="str">
        <f>HYPERLINK("https://us2.cloudbeds.com/connect/10074733072513#/reservations/31693471613079?display=MHYYYP75B&amp;reservation_id=31693471613079", "MHYYYP75B")</f>
        <v>MHYYYP75B</v>
      </c>
      <c r="B9340" t="s">
        <v>1395</v>
      </c>
      <c r="C9340">
        <v>139</v>
      </c>
      <c r="D9340">
        <v>151.1</v>
      </c>
      <c r="E9340">
        <v>151.09</v>
      </c>
      <c r="F9340">
        <v>0.01</v>
      </c>
    </row>
    <row r="9341" spans="1:6" x14ac:dyDescent="0.3">
      <c r="A9341" t="str">
        <f>HYPERLINK("https://us2.cloudbeds.com/connect/10074733072513#/reservations/31687227076821?display=MHGR36Q2T&amp;reservation_id=31687227076821", "MHGR36Q2T")</f>
        <v>MHGR36Q2T</v>
      </c>
      <c r="B9341" t="s">
        <v>1408</v>
      </c>
      <c r="C9341">
        <v>179</v>
      </c>
      <c r="D9341">
        <v>194.58</v>
      </c>
      <c r="E9341">
        <v>194.57</v>
      </c>
      <c r="F9341">
        <v>0.01</v>
      </c>
    </row>
    <row r="9342" spans="1:6" x14ac:dyDescent="0.3">
      <c r="A9342" t="str">
        <f>HYPERLINK("https://us2.cloudbeds.com/connect/10074733072513#/reservations/31686489796770?display=MHG88GT85&amp;reservation_id=31686489796770", "MHG88GT85")</f>
        <v>MHG88GT85</v>
      </c>
      <c r="B9342" t="s">
        <v>1405</v>
      </c>
      <c r="C9342">
        <v>109</v>
      </c>
      <c r="D9342">
        <v>118.49</v>
      </c>
      <c r="E9342">
        <v>118.48</v>
      </c>
      <c r="F9342">
        <v>0.01</v>
      </c>
    </row>
    <row r="9343" spans="1:6" x14ac:dyDescent="0.3">
      <c r="A9343" t="str">
        <f>HYPERLINK("https://us2.cloudbeds.com/connect/10074733072513#/reservations/31688076431570?display=MHHFQDB5J&amp;reservation_id=31688076431570", "MHHFQDB5J")</f>
        <v>MHHFQDB5J</v>
      </c>
      <c r="B9343" t="s">
        <v>1361</v>
      </c>
      <c r="C9343">
        <v>205.16</v>
      </c>
      <c r="D9343">
        <v>223.02</v>
      </c>
      <c r="E9343">
        <v>223.01</v>
      </c>
      <c r="F9343">
        <v>0.01</v>
      </c>
    </row>
    <row r="9344" spans="1:6" x14ac:dyDescent="0.3">
      <c r="A9344" t="str">
        <f>HYPERLINK("https://us2.cloudbeds.com/connect/10074733072513#/reservations/31686447497414?display=MHG75RRSG&amp;reservation_id=31686447497414", "MHG75RRSG")</f>
        <v>MHG75RRSG</v>
      </c>
      <c r="B9344" t="s">
        <v>1405</v>
      </c>
      <c r="C9344">
        <v>109</v>
      </c>
      <c r="D9344">
        <v>118.49</v>
      </c>
      <c r="E9344">
        <v>118.48</v>
      </c>
      <c r="F9344">
        <v>0.01</v>
      </c>
    </row>
    <row r="9345" spans="1:6" x14ac:dyDescent="0.3">
      <c r="A9345" t="str">
        <f>HYPERLINK("https://us2.cloudbeds.com/connect/10074733072513#/reservations/31693843063000?display=MHYV4WBRX&amp;reservation_id=31693843063000", "MHYV4WBRX")</f>
        <v>MHYV4WBRX</v>
      </c>
      <c r="B9345" t="s">
        <v>1411</v>
      </c>
      <c r="C9345">
        <v>278</v>
      </c>
      <c r="D9345">
        <v>302.2</v>
      </c>
      <c r="E9345">
        <v>302.19</v>
      </c>
      <c r="F9345">
        <v>0.01</v>
      </c>
    </row>
    <row r="9346" spans="1:6" x14ac:dyDescent="0.3">
      <c r="A9346" t="str">
        <f>HYPERLINK("https://us2.cloudbeds.com/connect/10074733072513#/reservations/31684235784326?display=MHEGYSM0P&amp;reservation_id=31684235784326", "MHEGYSM0P")</f>
        <v>MHEGYSM0P</v>
      </c>
      <c r="B9346" t="s">
        <v>1361</v>
      </c>
      <c r="C9346">
        <v>199</v>
      </c>
      <c r="D9346">
        <v>216.32</v>
      </c>
      <c r="E9346">
        <v>216.31</v>
      </c>
      <c r="F9346">
        <v>0.01</v>
      </c>
    </row>
    <row r="9347" spans="1:6" x14ac:dyDescent="0.3">
      <c r="A9347" t="str">
        <f>HYPERLINK("https://us2.cloudbeds.com/connect/10074733072513#/reservations/31694159167697?display=MHM67HEEP&amp;reservation_id=31694159167697", "MHM67HEEP")</f>
        <v>MHM67HEEP</v>
      </c>
      <c r="B9347" t="s">
        <v>1327</v>
      </c>
      <c r="C9347">
        <v>139</v>
      </c>
      <c r="D9347">
        <v>151.1</v>
      </c>
      <c r="E9347">
        <v>151.09</v>
      </c>
      <c r="F9347">
        <v>0.01</v>
      </c>
    </row>
    <row r="9348" spans="1:6" x14ac:dyDescent="0.3">
      <c r="A9348" t="str">
        <f>HYPERLINK("https://us2.cloudbeds.com/connect/10074733072513#/reservations/31686825902296?display=MHGGRUH32&amp;reservation_id=31686825902296", "MHGGRUH32")</f>
        <v>MHGGRUH32</v>
      </c>
      <c r="B9348" t="s">
        <v>1350</v>
      </c>
      <c r="C9348">
        <v>420</v>
      </c>
      <c r="D9348">
        <v>456.55</v>
      </c>
      <c r="E9348">
        <v>456.54</v>
      </c>
      <c r="F9348">
        <v>0.01</v>
      </c>
    </row>
    <row r="9349" spans="1:6" x14ac:dyDescent="0.3">
      <c r="A9349" t="str">
        <f>HYPERLINK("https://us2.cloudbeds.com/connect/10074733072513#/reservations/31687126950078?display=MHGZHPKB5&amp;reservation_id=31687126950078", "MHGZHPKB5")</f>
        <v>MHGZHPKB5</v>
      </c>
      <c r="B9349" t="s">
        <v>1350</v>
      </c>
      <c r="C9349">
        <v>258</v>
      </c>
      <c r="D9349">
        <v>280.45999999999998</v>
      </c>
      <c r="E9349">
        <v>280.45</v>
      </c>
      <c r="F9349">
        <v>0.01</v>
      </c>
    </row>
    <row r="9350" spans="1:6" x14ac:dyDescent="0.3">
      <c r="A9350" t="str">
        <f>HYPERLINK("https://us2.cloudbeds.com/connect/10074733072513#/reservations/31685810258132?display=MHFNTGNR7&amp;reservation_id=31685810258132", "MHFNTGNR7")</f>
        <v>MHFNTGNR7</v>
      </c>
      <c r="B9350" t="s">
        <v>1350</v>
      </c>
      <c r="C9350">
        <v>110.86</v>
      </c>
      <c r="D9350">
        <v>120.51</v>
      </c>
      <c r="E9350">
        <v>120.5</v>
      </c>
      <c r="F9350">
        <v>0.01</v>
      </c>
    </row>
    <row r="9351" spans="1:6" x14ac:dyDescent="0.3">
      <c r="A9351" t="str">
        <f>HYPERLINK("https://us2.cloudbeds.com/connect/10074733072513#/reservations/31687166197924?display=MHGPHSZJR&amp;reservation_id=31687166197924", "MHGPHSZJR")</f>
        <v>MHGPHSZJR</v>
      </c>
      <c r="B9351" t="s">
        <v>1350</v>
      </c>
      <c r="C9351">
        <v>110.86</v>
      </c>
      <c r="D9351">
        <v>120.51</v>
      </c>
      <c r="E9351">
        <v>120.5</v>
      </c>
      <c r="F9351">
        <v>0.01</v>
      </c>
    </row>
    <row r="9352" spans="1:6" x14ac:dyDescent="0.3">
      <c r="A9352" t="str">
        <f>HYPERLINK("https://us2.cloudbeds.com/connect/10074733072513#/reservations/31691043901658?display=MHJPKYXZJ&amp;reservation_id=31691043901658", "MHJPKYXZJ")</f>
        <v>MHJPKYXZJ</v>
      </c>
      <c r="B9352" t="s">
        <v>1415</v>
      </c>
      <c r="C9352">
        <v>218</v>
      </c>
      <c r="D9352">
        <v>236.98</v>
      </c>
      <c r="E9352">
        <v>236.97</v>
      </c>
      <c r="F9352">
        <v>0.01</v>
      </c>
    </row>
    <row r="9353" spans="1:6" x14ac:dyDescent="0.3">
      <c r="A9353" t="str">
        <f>HYPERLINK("https://us2.cloudbeds.com/connect/10074733072513#/reservations/31692574064892?display=MHKVNUKAE&amp;reservation_id=31692574064892", "MHKVNUKAE")</f>
        <v>MHKVNUKAE</v>
      </c>
      <c r="B9353" t="s">
        <v>1415</v>
      </c>
      <c r="C9353">
        <v>150</v>
      </c>
      <c r="D9353">
        <v>163.06</v>
      </c>
      <c r="E9353">
        <v>163.05000000000001</v>
      </c>
      <c r="F9353">
        <v>0.01</v>
      </c>
    </row>
    <row r="9354" spans="1:6" x14ac:dyDescent="0.3">
      <c r="A9354" t="str">
        <f>HYPERLINK("https://us2.cloudbeds.com/connect/10074733072513#/reservations/31693838790786?display=MHYV1CFPH&amp;reservation_id=31693838790786", "MHYV1CFPH")</f>
        <v>MHYV1CFPH</v>
      </c>
      <c r="B9354" t="s">
        <v>1411</v>
      </c>
      <c r="C9354">
        <v>89</v>
      </c>
      <c r="D9354">
        <v>96.75</v>
      </c>
      <c r="E9354">
        <v>96.74</v>
      </c>
      <c r="F9354">
        <v>0.01</v>
      </c>
    </row>
    <row r="9355" spans="1:6" x14ac:dyDescent="0.3">
      <c r="A9355" t="str">
        <f>HYPERLINK("https://us2.cloudbeds.com/connect/10074733072513#/reservations/31687804776607?display=MHH8SB4J0&amp;reservation_id=31687804776607", "MHH8SB4J0")</f>
        <v>MHH8SB4J0</v>
      </c>
      <c r="B9355" t="s">
        <v>1416</v>
      </c>
      <c r="C9355">
        <v>198</v>
      </c>
      <c r="D9355">
        <v>215.24</v>
      </c>
      <c r="E9355">
        <v>215.23</v>
      </c>
      <c r="F9355">
        <v>0.01</v>
      </c>
    </row>
    <row r="9356" spans="1:6" x14ac:dyDescent="0.3">
      <c r="A9356" t="str">
        <f>HYPERLINK("https://us2.cloudbeds.com/connect/10074733072513#/reservations/31687831699662?display=MHH9X1AA5&amp;reservation_id=31687831699662", "MHH9X1AA5")</f>
        <v>MHH9X1AA5</v>
      </c>
      <c r="B9356" t="s">
        <v>1413</v>
      </c>
      <c r="C9356">
        <v>225</v>
      </c>
      <c r="D9356">
        <v>244.59</v>
      </c>
      <c r="E9356">
        <v>244.58</v>
      </c>
      <c r="F9356">
        <v>0.01</v>
      </c>
    </row>
    <row r="9357" spans="1:6" x14ac:dyDescent="0.3">
      <c r="A9357" t="str">
        <f>HYPERLINK("https://us2.cloudbeds.com/connect/10074733072513#/reservations/31690986451125?display=MHJZ56UEB&amp;reservation_id=31690986451125", "MHJZ56UEB")</f>
        <v>MHJZ56UEB</v>
      </c>
      <c r="B9357" t="s">
        <v>1411</v>
      </c>
      <c r="C9357">
        <v>149</v>
      </c>
      <c r="D9357">
        <v>161.97</v>
      </c>
      <c r="E9357">
        <v>161.96</v>
      </c>
      <c r="F9357">
        <v>0.01</v>
      </c>
    </row>
    <row r="9358" spans="1:6" x14ac:dyDescent="0.3">
      <c r="A9358" t="str">
        <f>HYPERLINK("https://us2.cloudbeds.com/connect/10074733072513#/reservations/31692551270552?display=MHKV4NASS&amp;reservation_id=31692551270552", "MHKV4NASS")</f>
        <v>MHKV4NASS</v>
      </c>
      <c r="B9358" t="s">
        <v>1415</v>
      </c>
      <c r="C9358">
        <v>109</v>
      </c>
      <c r="D9358">
        <v>118.49</v>
      </c>
      <c r="E9358">
        <v>118.48</v>
      </c>
      <c r="F9358">
        <v>0.01</v>
      </c>
    </row>
    <row r="9359" spans="1:6" x14ac:dyDescent="0.3">
      <c r="A9359" t="str">
        <f>HYPERLINK("https://us2.cloudbeds.com/connect/10074733072513#/reservations/31691055874230?display=MHJPUZNRQ&amp;reservation_id=31691055874230", "MHJPUZNRQ")</f>
        <v>MHJPUZNRQ</v>
      </c>
      <c r="B9359" t="s">
        <v>1415</v>
      </c>
      <c r="C9359">
        <v>109</v>
      </c>
      <c r="D9359">
        <v>118.49</v>
      </c>
      <c r="E9359">
        <v>118.48</v>
      </c>
      <c r="F9359">
        <v>0.01</v>
      </c>
    </row>
    <row r="9360" spans="1:6" x14ac:dyDescent="0.3">
      <c r="A9360" t="str">
        <f>HYPERLINK("https://us2.cloudbeds.com/connect/10074733072513#/reservations/31692579324064?display=MHKVSBVM9&amp;reservation_id=31692579324064", "MHKVSBVM9")</f>
        <v>MHKVSBVM9</v>
      </c>
      <c r="B9360" t="s">
        <v>1415</v>
      </c>
      <c r="C9360">
        <v>150</v>
      </c>
      <c r="D9360">
        <v>163.06</v>
      </c>
      <c r="E9360">
        <v>163.05000000000001</v>
      </c>
      <c r="F9360">
        <v>0.01</v>
      </c>
    </row>
    <row r="9361" spans="1:6" x14ac:dyDescent="0.3">
      <c r="A9361" t="str">
        <f>HYPERLINK("https://us2.cloudbeds.com/connect/10074733072513#/reservations/31691080904896?display=MHJQAQM3X&amp;reservation_id=31691080904896", "MHJQAQM3X")</f>
        <v>MHJQAQM3X</v>
      </c>
      <c r="B9361" t="s">
        <v>1415</v>
      </c>
      <c r="C9361">
        <v>109</v>
      </c>
      <c r="D9361">
        <v>118.49</v>
      </c>
      <c r="E9361">
        <v>118.48</v>
      </c>
      <c r="F9361">
        <v>0.01</v>
      </c>
    </row>
    <row r="9362" spans="1:6" x14ac:dyDescent="0.3">
      <c r="A9362" t="str">
        <f>HYPERLINK("https://us2.cloudbeds.com/connect/10074733072513#/reservations/31692637556897?display=MHY0BFCBJ&amp;reservation_id=31692637556897", "MHY0BFCBJ")</f>
        <v>MHY0BFCBJ</v>
      </c>
      <c r="B9362" t="s">
        <v>1413</v>
      </c>
      <c r="C9362">
        <v>73</v>
      </c>
      <c r="D9362">
        <v>79.36</v>
      </c>
      <c r="E9362">
        <v>79.349999999999994</v>
      </c>
      <c r="F9362">
        <v>0.01</v>
      </c>
    </row>
    <row r="9363" spans="1:6" x14ac:dyDescent="0.3">
      <c r="A9363" t="str">
        <f>HYPERLINK("https://us2.cloudbeds.com/connect/10074733072513#/reservations/31692597104869?display=MHKWABZAX&amp;reservation_id=31692597104869", "MHKWABZAX")</f>
        <v>MHKWABZAX</v>
      </c>
      <c r="B9363" t="s">
        <v>1413</v>
      </c>
      <c r="C9363">
        <v>73</v>
      </c>
      <c r="D9363">
        <v>79.36</v>
      </c>
      <c r="E9363">
        <v>79.349999999999994</v>
      </c>
      <c r="F9363">
        <v>0.01</v>
      </c>
    </row>
    <row r="9364" spans="1:6" x14ac:dyDescent="0.3">
      <c r="A9364" t="str">
        <f>HYPERLINK("https://us2.cloudbeds.com/connect/10074733072513#/reservations/31688968462464?display=MHX5JJ9UK&amp;reservation_id=31688968462464", "MHX5JJ9UK")</f>
        <v>MHX5JJ9UK</v>
      </c>
      <c r="B9364" t="s">
        <v>1419</v>
      </c>
      <c r="C9364">
        <v>73</v>
      </c>
      <c r="D9364">
        <v>79.36</v>
      </c>
      <c r="E9364">
        <v>79.349999999999994</v>
      </c>
      <c r="F9364">
        <v>0.01</v>
      </c>
    </row>
    <row r="9365" spans="1:6" x14ac:dyDescent="0.3">
      <c r="A9365" t="str">
        <f>HYPERLINK("https://us2.cloudbeds.com/connect/10074733072513#/reservations/31693445001395?display=MHYKWANBM&amp;reservation_id=31693445001395", "MHYKWANBM")</f>
        <v>MHYKWANBM</v>
      </c>
      <c r="B9365" t="s">
        <v>1395</v>
      </c>
      <c r="C9365">
        <v>202</v>
      </c>
      <c r="D9365">
        <v>219.58</v>
      </c>
      <c r="E9365">
        <v>219.57</v>
      </c>
      <c r="F9365">
        <v>0.01</v>
      </c>
    </row>
    <row r="9366" spans="1:6" x14ac:dyDescent="0.3">
      <c r="A9366" t="str">
        <f>HYPERLINK("https://us2.cloudbeds.com/connect/10074733072513#/reservations/31691016503505?display=MHJZUX5ZH&amp;reservation_id=31691016503505", "MHJZUX5ZH")</f>
        <v>MHJZUX5ZH</v>
      </c>
      <c r="B9366" t="s">
        <v>1415</v>
      </c>
      <c r="C9366">
        <v>89</v>
      </c>
      <c r="D9366">
        <v>96.75</v>
      </c>
      <c r="E9366">
        <v>96.74</v>
      </c>
      <c r="F9366">
        <v>0.01</v>
      </c>
    </row>
    <row r="9367" spans="1:6" x14ac:dyDescent="0.3">
      <c r="A9367" t="str">
        <f>HYPERLINK("https://us2.cloudbeds.com/connect/10074733072513#/reservations/31694182764778?display=MHM6RE20R&amp;reservation_id=31694182764778", "MHM6RE20R")</f>
        <v>MHM6RE20R</v>
      </c>
      <c r="B9367" t="s">
        <v>1420</v>
      </c>
      <c r="C9367">
        <v>225</v>
      </c>
      <c r="D9367">
        <v>244.59</v>
      </c>
      <c r="E9367">
        <v>244.58</v>
      </c>
      <c r="F9367">
        <v>0.01</v>
      </c>
    </row>
    <row r="9368" spans="1:6" x14ac:dyDescent="0.3">
      <c r="A9368" t="str">
        <f>HYPERLINK("https://us2.cloudbeds.com/connect/10074733072513#/reservations/31687213953155?display=MHGQP4JW1&amp;reservation_id=31687213953155", "MHGQP4JW1")</f>
        <v>MHGQP4JW1</v>
      </c>
      <c r="B9368" t="s">
        <v>1408</v>
      </c>
      <c r="C9368">
        <v>109</v>
      </c>
      <c r="D9368">
        <v>118.49</v>
      </c>
      <c r="E9368">
        <v>118.48</v>
      </c>
      <c r="F9368">
        <v>0.01</v>
      </c>
    </row>
    <row r="9369" spans="1:6" x14ac:dyDescent="0.3">
      <c r="A9369" t="str">
        <f>HYPERLINK("https://us2.cloudbeds.com/connect/10074733072513#/reservations/31687865737374?display=MHHADZF7W&amp;reservation_id=31687865737374", "MHHADZF7W")</f>
        <v>MHHADZF7W</v>
      </c>
      <c r="B9369" t="s">
        <v>1419</v>
      </c>
      <c r="C9369">
        <v>102.58</v>
      </c>
      <c r="D9369">
        <v>111.51</v>
      </c>
      <c r="E9369">
        <v>111.5</v>
      </c>
      <c r="F9369">
        <v>0.01</v>
      </c>
    </row>
    <row r="9370" spans="1:6" x14ac:dyDescent="0.3">
      <c r="A9370" t="str">
        <f>HYPERLINK("https://us2.cloudbeds.com/connect/10074733072513#/reservations/31692608110776?display=MHKWJKWZT&amp;reservation_id=31692608110776", "MHKWJKWZT")</f>
        <v>MHKWJKWZT</v>
      </c>
      <c r="B9370" t="s">
        <v>1413</v>
      </c>
      <c r="C9370">
        <v>89</v>
      </c>
      <c r="D9370">
        <v>96.75</v>
      </c>
      <c r="E9370">
        <v>96.74</v>
      </c>
      <c r="F9370">
        <v>0.01</v>
      </c>
    </row>
    <row r="9371" spans="1:6" x14ac:dyDescent="0.3">
      <c r="A9371" t="str">
        <f>HYPERLINK("https://us2.cloudbeds.com/connect/10074733072513#/reservations/31688941289635?display=MHX4TM9HZ&amp;reservation_id=31688941289635", "MHX4TM9HZ")</f>
        <v>MHX4TM9HZ</v>
      </c>
      <c r="B9371" t="s">
        <v>1419</v>
      </c>
      <c r="C9371">
        <v>73</v>
      </c>
      <c r="D9371">
        <v>79.36</v>
      </c>
      <c r="E9371">
        <v>79.349999999999994</v>
      </c>
      <c r="F9371">
        <v>0.01</v>
      </c>
    </row>
    <row r="9372" spans="1:6" x14ac:dyDescent="0.3">
      <c r="A9372" t="str">
        <f>HYPERLINK("https://us2.cloudbeds.com/connect/10074733072513#/reservations/31687838703795?display=MHH9NV70K&amp;reservation_id=31687838703795", "MHH9NV70K")</f>
        <v>MHH9NV70K</v>
      </c>
      <c r="B9372" t="s">
        <v>1413</v>
      </c>
      <c r="C9372">
        <v>109</v>
      </c>
      <c r="D9372">
        <v>118.49</v>
      </c>
      <c r="E9372">
        <v>118.48</v>
      </c>
      <c r="F9372">
        <v>0.01</v>
      </c>
    </row>
    <row r="9373" spans="1:6" x14ac:dyDescent="0.3">
      <c r="A9373" t="str">
        <f>HYPERLINK("https://us2.cloudbeds.com/connect/10074733072513#/reservations/31692611289235?display=MHKWMAEER&amp;reservation_id=31692611289235", "MHKWMAEER")</f>
        <v>MHKWMAEER</v>
      </c>
      <c r="B9373" t="s">
        <v>1413</v>
      </c>
      <c r="C9373">
        <v>109</v>
      </c>
      <c r="D9373">
        <v>118.49</v>
      </c>
      <c r="E9373">
        <v>118.48</v>
      </c>
      <c r="F9373">
        <v>0.01</v>
      </c>
    </row>
    <row r="9374" spans="1:6" x14ac:dyDescent="0.3">
      <c r="A9374" t="str">
        <f>HYPERLINK("https://us2.cloudbeds.com/connect/10074733072513#/reservations/31684211191948?display=MHEG14BG5&amp;reservation_id=31684211191948", "MHEG14BG5")</f>
        <v>MHEG14BG5</v>
      </c>
      <c r="B9374" t="s">
        <v>1416</v>
      </c>
      <c r="C9374">
        <v>218</v>
      </c>
      <c r="D9374">
        <v>236.98</v>
      </c>
      <c r="E9374">
        <v>236.97</v>
      </c>
      <c r="F9374">
        <v>0.01</v>
      </c>
    </row>
    <row r="9375" spans="1:6" x14ac:dyDescent="0.3">
      <c r="A9375" t="str">
        <f>HYPERLINK("https://us2.cloudbeds.com/connect/10074733072513#/reservations/31687896260742?display=MHHB6FR1H&amp;reservation_id=31687896260742", "MHHB6FR1H")</f>
        <v>MHHB6FR1H</v>
      </c>
      <c r="B9375" t="s">
        <v>1419</v>
      </c>
      <c r="C9375">
        <v>109</v>
      </c>
      <c r="D9375">
        <v>118.49</v>
      </c>
      <c r="E9375">
        <v>118.48</v>
      </c>
      <c r="F9375">
        <v>0.01</v>
      </c>
    </row>
    <row r="9376" spans="1:6" x14ac:dyDescent="0.3">
      <c r="A9376" t="str">
        <f>HYPERLINK("https://us2.cloudbeds.com/connect/10074733072513#/reservations/31685931593859?display=MHFQWR27D&amp;reservation_id=31685931593859", "MHFQWR27D")</f>
        <v>MHFQWR27D</v>
      </c>
      <c r="B9376" t="s">
        <v>1350</v>
      </c>
      <c r="C9376">
        <v>159</v>
      </c>
      <c r="D9376">
        <v>172.84</v>
      </c>
      <c r="E9376">
        <v>172.83</v>
      </c>
      <c r="F9376">
        <v>0.01</v>
      </c>
    </row>
    <row r="9377" spans="1:6" x14ac:dyDescent="0.3">
      <c r="A9377" t="str">
        <f>HYPERLINK("https://us2.cloudbeds.com/connect/10074733072513#/reservations/31683063472268?display=MHDJNBBZV&amp;reservation_id=31683063472268", "MHDJNBBZV")</f>
        <v>MHDJNBBZV</v>
      </c>
      <c r="B9377" t="s">
        <v>1421</v>
      </c>
      <c r="C9377">
        <v>79</v>
      </c>
      <c r="D9377">
        <v>85.88</v>
      </c>
      <c r="E9377">
        <v>85.87</v>
      </c>
      <c r="F9377">
        <v>0.01</v>
      </c>
    </row>
    <row r="9378" spans="1:6" x14ac:dyDescent="0.3">
      <c r="A9378" t="str">
        <f>HYPERLINK("https://us2.cloudbeds.com/connect/10074733072513#/reservations/31687093956738?display=MHGNMVHDW&amp;reservation_id=31687093956738", "MHGNMVHDW")</f>
        <v>MHGNMVHDW</v>
      </c>
      <c r="B9378" t="s">
        <v>1350</v>
      </c>
      <c r="C9378">
        <v>159</v>
      </c>
      <c r="D9378">
        <v>172.84</v>
      </c>
      <c r="E9378">
        <v>172.83</v>
      </c>
      <c r="F9378">
        <v>0.01</v>
      </c>
    </row>
    <row r="9379" spans="1:6" x14ac:dyDescent="0.3">
      <c r="A9379" t="str">
        <f>HYPERLINK("https://us2.cloudbeds.com/connect/10074733072513#/reservations/31686844731645?display=MHGHAQFJE&amp;reservation_id=31686844731645", "MHGHAQFJE")</f>
        <v>MHGHAQFJE</v>
      </c>
      <c r="B9379" t="s">
        <v>1350</v>
      </c>
      <c r="C9379">
        <v>79</v>
      </c>
      <c r="D9379">
        <v>85.88</v>
      </c>
      <c r="E9379">
        <v>85.87</v>
      </c>
      <c r="F9379">
        <v>0.01</v>
      </c>
    </row>
    <row r="9380" spans="1:6" x14ac:dyDescent="0.3">
      <c r="A9380" t="str">
        <f>HYPERLINK("https://us2.cloudbeds.com/connect/10074733072513#/reservations/31686778867886?display=MHGFY8NKV&amp;reservation_id=31686778867886", "MHGFY8NKV")</f>
        <v>MHGFY8NKV</v>
      </c>
      <c r="B9380" t="s">
        <v>1421</v>
      </c>
      <c r="C9380">
        <v>110.86</v>
      </c>
      <c r="D9380">
        <v>120.51</v>
      </c>
      <c r="E9380">
        <v>120.5</v>
      </c>
      <c r="F9380">
        <v>0.01</v>
      </c>
    </row>
    <row r="9381" spans="1:6" x14ac:dyDescent="0.3">
      <c r="A9381" t="str">
        <f>HYPERLINK("https://us2.cloudbeds.com/connect/10074733072513#/reservations/31692812873946?display=MHY4R9RCE&amp;reservation_id=31692812873946", "MHY4R9RCE")</f>
        <v>MHY4R9RCE</v>
      </c>
      <c r="B9381" t="s">
        <v>1417</v>
      </c>
      <c r="C9381">
        <v>189</v>
      </c>
      <c r="D9381">
        <v>205.45</v>
      </c>
      <c r="E9381">
        <v>205.44</v>
      </c>
      <c r="F9381">
        <v>0.01</v>
      </c>
    </row>
    <row r="9382" spans="1:6" x14ac:dyDescent="0.3">
      <c r="A9382" t="str">
        <f>HYPERLINK("https://us2.cloudbeds.com/connect/10074733072513#/reservations/31688993538205?display=MHX67Z60Z&amp;reservation_id=31688993538205", "MHX67Z60Z")</f>
        <v>MHX67Z60Z</v>
      </c>
      <c r="B9382" t="s">
        <v>1386</v>
      </c>
      <c r="C9382">
        <v>102.58</v>
      </c>
      <c r="D9382">
        <v>111.51</v>
      </c>
      <c r="E9382">
        <v>111.5</v>
      </c>
      <c r="F9382">
        <v>0.01</v>
      </c>
    </row>
    <row r="9383" spans="1:6" x14ac:dyDescent="0.3">
      <c r="A9383" t="str">
        <f>HYPERLINK("https://us2.cloudbeds.com/connect/10074733072513#/reservations/31684196503727?display=MHEFYZKMJ&amp;reservation_id=31684196503727", "MHEFYZKMJ")</f>
        <v>MHEFYZKMJ</v>
      </c>
      <c r="B9383" t="s">
        <v>1422</v>
      </c>
      <c r="C9383">
        <v>109</v>
      </c>
      <c r="D9383">
        <v>118.49</v>
      </c>
      <c r="E9383">
        <v>118.48</v>
      </c>
      <c r="F9383">
        <v>0.01</v>
      </c>
    </row>
    <row r="9384" spans="1:6" x14ac:dyDescent="0.3">
      <c r="A9384" t="str">
        <f>HYPERLINK("https://us2.cloudbeds.com/connect/10074733072513#/reservations/31690657951914?display=MHJFP6V8Q&amp;reservation_id=31690657951914", "MHJFP6V8Q")</f>
        <v>MHJFP6V8Q</v>
      </c>
      <c r="B9384" t="s">
        <v>1407</v>
      </c>
      <c r="C9384">
        <v>205.16</v>
      </c>
      <c r="D9384">
        <v>223.02</v>
      </c>
      <c r="E9384">
        <v>223.01</v>
      </c>
      <c r="F9384">
        <v>0.01</v>
      </c>
    </row>
    <row r="9385" spans="1:6" x14ac:dyDescent="0.3">
      <c r="A9385" t="str">
        <f>HYPERLINK("https://us2.cloudbeds.com/connect/10074733072513#/reservations/31688935252168?display=MHX4ZJ9G6&amp;reservation_id=31688935252168", "MHX4ZJ9G6")</f>
        <v>MHX4ZJ9G6</v>
      </c>
      <c r="B9385" t="s">
        <v>1422</v>
      </c>
      <c r="C9385">
        <v>73</v>
      </c>
      <c r="D9385">
        <v>79.36</v>
      </c>
      <c r="E9385">
        <v>79.349999999999994</v>
      </c>
      <c r="F9385">
        <v>0.01</v>
      </c>
    </row>
    <row r="9386" spans="1:6" x14ac:dyDescent="0.3">
      <c r="A9386" t="str">
        <f>HYPERLINK("https://us2.cloudbeds.com/connect/10074733072513#/reservations/31684218568948?display=MHEG7BKJY&amp;reservation_id=31684218568948", "MHEG7BKJY")</f>
        <v>MHEG7BKJY</v>
      </c>
      <c r="B9386" t="s">
        <v>1416</v>
      </c>
      <c r="C9386">
        <v>150</v>
      </c>
      <c r="D9386">
        <v>163.06</v>
      </c>
      <c r="E9386">
        <v>163.05000000000001</v>
      </c>
      <c r="F9386">
        <v>0.01</v>
      </c>
    </row>
    <row r="9387" spans="1:6" x14ac:dyDescent="0.3">
      <c r="A9387" t="str">
        <f>HYPERLINK("https://us2.cloudbeds.com/connect/10074733072513#/reservations/31692806451415?display=MHY4YT3Z9&amp;reservation_id=31692806451415", "MHY4YT3Z9")</f>
        <v>MHY4YT3Z9</v>
      </c>
      <c r="B9387" t="s">
        <v>1414</v>
      </c>
      <c r="C9387">
        <v>119</v>
      </c>
      <c r="D9387">
        <v>129.36000000000001</v>
      </c>
      <c r="E9387">
        <v>129.35</v>
      </c>
      <c r="F9387">
        <v>0.01</v>
      </c>
    </row>
    <row r="9388" spans="1:6" x14ac:dyDescent="0.3">
      <c r="A9388" t="str">
        <f>HYPERLINK("https://us2.cloudbeds.com/connect/10074733072513#/reservations/31687828717765?display=MHH9FHB3Y&amp;reservation_id=31687828717765", "MHH9FHB3Y")</f>
        <v>MHH9FHB3Y</v>
      </c>
      <c r="B9388" t="s">
        <v>1416</v>
      </c>
      <c r="C9388">
        <v>109</v>
      </c>
      <c r="D9388">
        <v>118.49</v>
      </c>
      <c r="E9388">
        <v>118.48</v>
      </c>
      <c r="F9388">
        <v>0.01</v>
      </c>
    </row>
    <row r="9389" spans="1:6" x14ac:dyDescent="0.3">
      <c r="A9389" t="str">
        <f>HYPERLINK("https://us2.cloudbeds.com/connect/10074733072513#/reservations/31687422582942?display=MHGW3216Q&amp;reservation_id=31687422582942", "MHGW3216Q")</f>
        <v>MHGW3216Q</v>
      </c>
      <c r="B9389" t="s">
        <v>1425</v>
      </c>
      <c r="C9389">
        <v>139</v>
      </c>
      <c r="D9389">
        <v>151.1</v>
      </c>
      <c r="E9389">
        <v>151.09</v>
      </c>
      <c r="F9389">
        <v>0.01</v>
      </c>
    </row>
    <row r="9390" spans="1:6" x14ac:dyDescent="0.3">
      <c r="A9390" t="str">
        <f>HYPERLINK("https://us2.cloudbeds.com/connect/10074733072513#/reservations/31684240076958?display=MHEGPG3RH&amp;reservation_id=31684240076958", "MHEGPG3RH")</f>
        <v>MHEGPG3RH</v>
      </c>
      <c r="B9390" t="s">
        <v>1416</v>
      </c>
      <c r="C9390">
        <v>109</v>
      </c>
      <c r="D9390">
        <v>118.49</v>
      </c>
      <c r="E9390">
        <v>118.48</v>
      </c>
      <c r="F9390">
        <v>0.01</v>
      </c>
    </row>
    <row r="9391" spans="1:6" x14ac:dyDescent="0.3">
      <c r="A9391" t="str">
        <f>HYPERLINK("https://us2.cloudbeds.com/connect/10074733072513#/reservations/31684240072866?display=MHEGPG02H&amp;reservation_id=31684240072866", "MHEGPG02H")</f>
        <v>MHEGPG02H</v>
      </c>
      <c r="B9391" t="s">
        <v>1416</v>
      </c>
      <c r="C9391">
        <v>109</v>
      </c>
      <c r="D9391">
        <v>118.49</v>
      </c>
      <c r="E9391">
        <v>118.48</v>
      </c>
      <c r="F9391">
        <v>0.01</v>
      </c>
    </row>
    <row r="9392" spans="1:6" x14ac:dyDescent="0.3">
      <c r="A9392" t="str">
        <f>HYPERLINK("https://us2.cloudbeds.com/connect/10074733072513#/reservations/31687794888911?display=MHH8JWWVS&amp;reservation_id=31687794888911", "MHH8JWWVS")</f>
        <v>MHH8JWWVS</v>
      </c>
      <c r="B9392" t="s">
        <v>1416</v>
      </c>
      <c r="C9392">
        <v>109</v>
      </c>
      <c r="D9392">
        <v>118.49</v>
      </c>
      <c r="E9392">
        <v>118.48</v>
      </c>
      <c r="F9392">
        <v>0.01</v>
      </c>
    </row>
    <row r="9393" spans="1:6" x14ac:dyDescent="0.3">
      <c r="A9393" t="str">
        <f>HYPERLINK("https://us2.cloudbeds.com/connect/10074733072513#/reservations/31684221018256?display=MHEG9DPZ3&amp;reservation_id=31684221018256", "MHEG9DPZ3")</f>
        <v>MHEG9DPZ3</v>
      </c>
      <c r="B9393" t="s">
        <v>1416</v>
      </c>
      <c r="C9393">
        <v>109</v>
      </c>
      <c r="D9393">
        <v>118.49</v>
      </c>
      <c r="E9393">
        <v>118.48</v>
      </c>
      <c r="F9393">
        <v>0.01</v>
      </c>
    </row>
    <row r="9394" spans="1:6" x14ac:dyDescent="0.3">
      <c r="A9394" t="str">
        <f>HYPERLINK("https://us2.cloudbeds.com/connect/10074733072513#/reservations/31687813349587?display=MHH92XMU9&amp;reservation_id=31687813349587", "MHH92XMU9")</f>
        <v>MHH92XMU9</v>
      </c>
      <c r="B9394" t="s">
        <v>1416</v>
      </c>
      <c r="C9394">
        <v>109</v>
      </c>
      <c r="D9394">
        <v>118.49</v>
      </c>
      <c r="E9394">
        <v>118.48</v>
      </c>
      <c r="F9394">
        <v>0.01</v>
      </c>
    </row>
    <row r="9395" spans="1:6" x14ac:dyDescent="0.3">
      <c r="A9395" t="str">
        <f>HYPERLINK("https://us2.cloudbeds.com/connect/10074733072513#/reservations/31687901134976?display=MHHAS74N3&amp;reservation_id=31687901134976", "MHHAS74N3")</f>
        <v>MHHAS74N3</v>
      </c>
      <c r="B9395" t="s">
        <v>1416</v>
      </c>
      <c r="C9395">
        <v>119</v>
      </c>
      <c r="D9395">
        <v>129.36000000000001</v>
      </c>
      <c r="E9395">
        <v>129.35</v>
      </c>
      <c r="F9395">
        <v>0.01</v>
      </c>
    </row>
    <row r="9396" spans="1:6" x14ac:dyDescent="0.3">
      <c r="A9396" t="str">
        <f>HYPERLINK("https://us2.cloudbeds.com/connect/10074733072513#/reservations/31687882899686?display=MHHAS70V1&amp;reservation_id=31687882899686", "MHHAS70V1")</f>
        <v>MHHAS70V1</v>
      </c>
      <c r="B9396" t="s">
        <v>1416</v>
      </c>
      <c r="C9396">
        <v>109</v>
      </c>
      <c r="D9396">
        <v>118.49</v>
      </c>
      <c r="E9396">
        <v>118.48</v>
      </c>
      <c r="F9396">
        <v>0.01</v>
      </c>
    </row>
    <row r="9397" spans="1:6" x14ac:dyDescent="0.3">
      <c r="A9397" t="str">
        <f>HYPERLINK("https://us2.cloudbeds.com/connect/10074733072513#/reservations/31692950864025?display=MHY8BYK0W&amp;reservation_id=31692950864025", "MHY8BYK0W")</f>
        <v>MHY8BYK0W</v>
      </c>
      <c r="B9397" t="s">
        <v>1230</v>
      </c>
      <c r="C9397">
        <v>109</v>
      </c>
      <c r="D9397">
        <v>118.49</v>
      </c>
      <c r="E9397">
        <v>118.48</v>
      </c>
      <c r="F9397">
        <v>0.01</v>
      </c>
    </row>
    <row r="9398" spans="1:6" x14ac:dyDescent="0.3">
      <c r="A9398" t="str">
        <f>HYPERLINK("https://us2.cloudbeds.com/connect/10074733072513#/reservations/31689720606927?display=MHXZQQV27&amp;reservation_id=31689720606927", "MHXZQQV27")</f>
        <v>MHXZQQV27</v>
      </c>
      <c r="B9398" t="s">
        <v>1397</v>
      </c>
      <c r="C9398">
        <v>205.2</v>
      </c>
      <c r="D9398">
        <v>223.06</v>
      </c>
      <c r="E9398">
        <v>223.05</v>
      </c>
      <c r="F9398">
        <v>0.01</v>
      </c>
    </row>
    <row r="9399" spans="1:6" x14ac:dyDescent="0.3">
      <c r="A9399" t="str">
        <f>HYPERLINK("https://us2.cloudbeds.com/connect/10074733072513#/reservations/31692913184977?display=MHY7CT4BY&amp;reservation_id=31692913184977", "MHY7CT4BY")</f>
        <v>MHY7CT4BY</v>
      </c>
      <c r="B9399" t="s">
        <v>1230</v>
      </c>
      <c r="C9399">
        <v>109</v>
      </c>
      <c r="D9399">
        <v>118.49</v>
      </c>
      <c r="E9399">
        <v>118.48</v>
      </c>
      <c r="F9399">
        <v>0.01</v>
      </c>
    </row>
    <row r="9400" spans="1:6" x14ac:dyDescent="0.3">
      <c r="A9400" t="str">
        <f>HYPERLINK("https://us2.cloudbeds.com/connect/10074733072513#/reservations/31692970496149?display=MHY8S6TMR&amp;reservation_id=31692970496149", "MHY8S6TMR")</f>
        <v>MHY8S6TMR</v>
      </c>
      <c r="B9400" t="s">
        <v>1424</v>
      </c>
      <c r="C9400">
        <v>109</v>
      </c>
      <c r="D9400">
        <v>118.49</v>
      </c>
      <c r="E9400">
        <v>118.48</v>
      </c>
      <c r="F9400">
        <v>0.01</v>
      </c>
    </row>
    <row r="9401" spans="1:6" x14ac:dyDescent="0.3">
      <c r="A9401" t="str">
        <f>HYPERLINK("https://us2.cloudbeds.com/connect/10074733072513#/reservations/31692812869847?display=MHY4R9NK6&amp;reservation_id=31692812869847", "MHY4R9NK6")</f>
        <v>MHY4R9NK6</v>
      </c>
      <c r="B9401" t="s">
        <v>1417</v>
      </c>
      <c r="C9401">
        <v>278</v>
      </c>
      <c r="D9401">
        <v>302.2</v>
      </c>
      <c r="E9401">
        <v>302.19</v>
      </c>
      <c r="F9401">
        <v>0.01</v>
      </c>
    </row>
    <row r="9402" spans="1:6" x14ac:dyDescent="0.3">
      <c r="A9402" t="str">
        <f>HYPERLINK("https://us2.cloudbeds.com/connect/10074733072513#/reservations/31692893806808?display=MHY6THTTD&amp;reservation_id=31692893806808", "MHY6THTTD")</f>
        <v>MHY6THTTD</v>
      </c>
      <c r="B9402" t="s">
        <v>1417</v>
      </c>
      <c r="C9402">
        <v>119</v>
      </c>
      <c r="D9402">
        <v>129.36000000000001</v>
      </c>
      <c r="E9402">
        <v>129.35</v>
      </c>
      <c r="F9402">
        <v>0.01</v>
      </c>
    </row>
    <row r="9403" spans="1:6" x14ac:dyDescent="0.3">
      <c r="A9403" t="str">
        <f>HYPERLINK("https://us2.cloudbeds.com/connect/10074733072513#/reservations/31693202514082?display=MHYEPS4Y9&amp;reservation_id=31693202514082", "MHYEPS4Y9")</f>
        <v>MHYEPS4Y9</v>
      </c>
      <c r="B9403" t="s">
        <v>1397</v>
      </c>
      <c r="C9403">
        <v>109</v>
      </c>
      <c r="D9403">
        <v>118.49</v>
      </c>
      <c r="E9403">
        <v>118.48</v>
      </c>
      <c r="F9403">
        <v>0.01</v>
      </c>
    </row>
    <row r="9404" spans="1:6" x14ac:dyDescent="0.3">
      <c r="A9404" t="str">
        <f>HYPERLINK("https://us2.cloudbeds.com/connect/10074733072513#/reservations/31692784337129?display=MHY437ZPD&amp;reservation_id=31692784337129", "MHY437ZPD")</f>
        <v>MHY437ZPD</v>
      </c>
      <c r="B9404" t="s">
        <v>1414</v>
      </c>
      <c r="C9404">
        <v>321.3</v>
      </c>
      <c r="D9404">
        <v>349.26</v>
      </c>
      <c r="E9404">
        <v>349.25</v>
      </c>
      <c r="F9404">
        <v>0.01</v>
      </c>
    </row>
    <row r="9405" spans="1:6" x14ac:dyDescent="0.3">
      <c r="A9405" t="str">
        <f>HYPERLINK("https://us2.cloudbeds.com/connect/10074733072513#/reservations/31692032065693?display=MHKHSTMZ9&amp;reservation_id=31692032065693", "MHKHSTMZ9")</f>
        <v>MHKHSTMZ9</v>
      </c>
      <c r="B9405" t="s">
        <v>1426</v>
      </c>
      <c r="C9405">
        <v>496</v>
      </c>
      <c r="D9405">
        <v>539.16</v>
      </c>
      <c r="E9405">
        <v>539.15</v>
      </c>
      <c r="F9405">
        <v>0.01</v>
      </c>
    </row>
    <row r="9406" spans="1:6" x14ac:dyDescent="0.3">
      <c r="A9406" t="str">
        <f>HYPERLINK("https://us2.cloudbeds.com/connect/10074733072513#/reservations/31692958326919?display=MHY8HV909&amp;reservation_id=31692958326919", "MHY8HV909")</f>
        <v>MHY8HV909</v>
      </c>
      <c r="B9406" t="s">
        <v>1395</v>
      </c>
      <c r="C9406">
        <v>109</v>
      </c>
      <c r="D9406">
        <v>118.49</v>
      </c>
      <c r="E9406">
        <v>118.48</v>
      </c>
      <c r="F9406">
        <v>0.01</v>
      </c>
    </row>
    <row r="9407" spans="1:6" x14ac:dyDescent="0.3">
      <c r="A9407" t="str">
        <f>HYPERLINK("https://us2.cloudbeds.com/connect/10074733072513#/reservations/31692800463011?display=MHY4GRFZG&amp;reservation_id=31692800463011", "MHY4GRFZG")</f>
        <v>MHY4GRFZG</v>
      </c>
      <c r="B9407" t="s">
        <v>1417</v>
      </c>
      <c r="C9407">
        <v>139</v>
      </c>
      <c r="D9407">
        <v>151.1</v>
      </c>
      <c r="E9407">
        <v>151.09</v>
      </c>
      <c r="F9407">
        <v>0.01</v>
      </c>
    </row>
    <row r="9408" spans="1:6" x14ac:dyDescent="0.3">
      <c r="A9408" t="str">
        <f>HYPERLINK("https://us2.cloudbeds.com/connect/10074733072513#/reservations/31693488341222?display=MHYM2SN5P&amp;reservation_id=31693488341222", "MHYM2SN5P")</f>
        <v>MHYM2SN5P</v>
      </c>
      <c r="B9408" t="s">
        <v>1395</v>
      </c>
      <c r="C9408">
        <v>218</v>
      </c>
      <c r="D9408">
        <v>236.98</v>
      </c>
      <c r="E9408">
        <v>236.97</v>
      </c>
      <c r="F9408">
        <v>0.01</v>
      </c>
    </row>
    <row r="9409" spans="1:6" x14ac:dyDescent="0.3">
      <c r="A9409" t="str">
        <f>HYPERLINK("https://us2.cloudbeds.com/connect/10074733072513#/reservations/31688549626022?display=MHHRTDM5D&amp;reservation_id=31688549626022", "MHHRTDM5D")</f>
        <v>MHHRTDM5D</v>
      </c>
      <c r="B9409" t="s">
        <v>1303</v>
      </c>
      <c r="C9409">
        <v>109</v>
      </c>
      <c r="D9409">
        <v>118.49</v>
      </c>
      <c r="E9409">
        <v>118.48</v>
      </c>
      <c r="F9409">
        <v>0.01</v>
      </c>
    </row>
    <row r="9410" spans="1:6" x14ac:dyDescent="0.3">
      <c r="A9410" t="str">
        <f>HYPERLINK("https://us2.cloudbeds.com/connect/10074733072513#/reservations/31692021956743?display=MHKHKCCVF&amp;reservation_id=31692021956743", "MHKHKCCVF")</f>
        <v>MHKHKCCVF</v>
      </c>
      <c r="B9410" t="s">
        <v>1426</v>
      </c>
      <c r="C9410">
        <v>139</v>
      </c>
      <c r="D9410">
        <v>151.1</v>
      </c>
      <c r="E9410">
        <v>151.09</v>
      </c>
      <c r="F9410">
        <v>0.01</v>
      </c>
    </row>
    <row r="9411" spans="1:6" x14ac:dyDescent="0.3">
      <c r="A9411" t="str">
        <f>HYPERLINK("https://us2.cloudbeds.com/connect/10074733072513#/reservations/31686296641715?display=MHG3AY21M&amp;reservation_id=31686296641715", "MHG3AY21M")</f>
        <v>MHG3AY21M</v>
      </c>
      <c r="B9411" t="s">
        <v>1393</v>
      </c>
      <c r="C9411">
        <v>199</v>
      </c>
      <c r="D9411">
        <v>216.32</v>
      </c>
      <c r="E9411">
        <v>216.31</v>
      </c>
      <c r="F9411">
        <v>0.01</v>
      </c>
    </row>
    <row r="9412" spans="1:6" x14ac:dyDescent="0.3">
      <c r="A9412" t="str">
        <f>HYPERLINK("https://us2.cloudbeds.com/connect/10074733072513#/reservations/31693530345629?display=MHYN59HNJ&amp;reservation_id=31693530345629", "MHYN59HNJ")</f>
        <v>MHYN59HNJ</v>
      </c>
      <c r="B9412" t="s">
        <v>1414</v>
      </c>
      <c r="C9412">
        <v>109</v>
      </c>
      <c r="D9412">
        <v>118.49</v>
      </c>
      <c r="E9412">
        <v>118.48</v>
      </c>
      <c r="F9412">
        <v>0.01</v>
      </c>
    </row>
    <row r="9413" spans="1:6" x14ac:dyDescent="0.3">
      <c r="A9413" t="str">
        <f>HYPERLINK("https://us2.cloudbeds.com/connect/10074733072513#/reservations/31690632224919?display=MHJF3H1RT&amp;reservation_id=31690632224919", "MHJF3H1RT")</f>
        <v>MHJF3H1RT</v>
      </c>
      <c r="B9413" t="s">
        <v>1407</v>
      </c>
      <c r="C9413">
        <v>278</v>
      </c>
      <c r="D9413">
        <v>302.2</v>
      </c>
      <c r="E9413">
        <v>302.19</v>
      </c>
      <c r="F9413">
        <v>0.01</v>
      </c>
    </row>
    <row r="9414" spans="1:6" x14ac:dyDescent="0.3">
      <c r="A9414" t="str">
        <f>HYPERLINK("https://us2.cloudbeds.com/connect/10074733072513#/reservations/31686172995760?display=MHG05CE7X&amp;reservation_id=31686172995760", "MHG05CE7X")</f>
        <v>MHG05CE7X</v>
      </c>
      <c r="B9414" t="s">
        <v>1428</v>
      </c>
      <c r="C9414">
        <v>110.86</v>
      </c>
      <c r="D9414">
        <v>120.51</v>
      </c>
      <c r="E9414">
        <v>120.5</v>
      </c>
      <c r="F9414">
        <v>0.01</v>
      </c>
    </row>
    <row r="9415" spans="1:6" x14ac:dyDescent="0.3">
      <c r="A9415" t="str">
        <f>HYPERLINK("https://us2.cloudbeds.com/connect/10074733072513#/reservations/31692096053458?display=MHKJGS80F&amp;reservation_id=31692096053458", "MHKJGS80F")</f>
        <v>MHKJGS80F</v>
      </c>
      <c r="B9415" t="s">
        <v>1426</v>
      </c>
      <c r="C9415">
        <v>218</v>
      </c>
      <c r="D9415">
        <v>236.98</v>
      </c>
      <c r="E9415">
        <v>236.97</v>
      </c>
      <c r="F9415">
        <v>0.01</v>
      </c>
    </row>
    <row r="9416" spans="1:6" x14ac:dyDescent="0.3">
      <c r="A9416" t="str">
        <f>HYPERLINK("https://us2.cloudbeds.com/connect/10074733072513#/reservations/31687254159587?display=MHGRQ1DFP&amp;reservation_id=31687254159587", "MHGRQ1DFP")</f>
        <v>MHGRQ1DFP</v>
      </c>
      <c r="B9416" t="s">
        <v>1426</v>
      </c>
      <c r="C9416">
        <v>109</v>
      </c>
      <c r="D9416">
        <v>118.49</v>
      </c>
      <c r="E9416">
        <v>118.48</v>
      </c>
      <c r="F9416">
        <v>0.01</v>
      </c>
    </row>
    <row r="9417" spans="1:6" x14ac:dyDescent="0.3">
      <c r="A9417" t="str">
        <f>HYPERLINK("https://us2.cloudbeds.com/connect/10074733072513#/reservations/31687270428822?display=MHGS6P42T&amp;reservation_id=31687270428822", "MHGS6P42T")</f>
        <v>MHGS6P42T</v>
      </c>
      <c r="B9417" t="s">
        <v>1426</v>
      </c>
      <c r="C9417">
        <v>109</v>
      </c>
      <c r="D9417">
        <v>118.49</v>
      </c>
      <c r="E9417">
        <v>118.48</v>
      </c>
      <c r="F9417">
        <v>0.01</v>
      </c>
    </row>
    <row r="9418" spans="1:6" x14ac:dyDescent="0.3">
      <c r="A9418" t="str">
        <f>HYPERLINK("https://us2.cloudbeds.com/connect/10074733072513#/reservations/31686592110720?display=MHGAY4432&amp;reservation_id=31686592110720", "MHGAY4432")</f>
        <v>MHGAY4432</v>
      </c>
      <c r="B9418" t="s">
        <v>1303</v>
      </c>
      <c r="C9418">
        <v>189</v>
      </c>
      <c r="D9418">
        <v>205.45</v>
      </c>
      <c r="E9418">
        <v>205.44</v>
      </c>
      <c r="F9418">
        <v>0.01</v>
      </c>
    </row>
    <row r="9419" spans="1:6" x14ac:dyDescent="0.3">
      <c r="A9419" t="str">
        <f>HYPERLINK("https://us2.cloudbeds.com/connect/10074733072513#/reservations/31692076720291?display=MHKJ0X8SU&amp;reservation_id=31692076720291", "MHKJ0X8SU")</f>
        <v>MHKJ0X8SU</v>
      </c>
      <c r="B9419" t="s">
        <v>1426</v>
      </c>
      <c r="C9419">
        <v>109</v>
      </c>
      <c r="D9419">
        <v>118.49</v>
      </c>
      <c r="E9419">
        <v>118.48</v>
      </c>
      <c r="F9419">
        <v>0.01</v>
      </c>
    </row>
    <row r="9420" spans="1:6" x14ac:dyDescent="0.3">
      <c r="A9420" t="str">
        <f>HYPERLINK("https://us2.cloudbeds.com/connect/10074733072513#/reservations/31693254365395?display=MHYG3XWB6&amp;reservation_id=31693254365395", "MHYG3XWB6")</f>
        <v>MHYG3XWB6</v>
      </c>
      <c r="B9420" t="s">
        <v>1397</v>
      </c>
      <c r="C9420">
        <v>178</v>
      </c>
      <c r="D9420">
        <v>193.5</v>
      </c>
      <c r="E9420">
        <v>193.49</v>
      </c>
      <c r="F9420">
        <v>0.01</v>
      </c>
    </row>
    <row r="9421" spans="1:6" x14ac:dyDescent="0.3">
      <c r="A9421" t="str">
        <f>HYPERLINK("https://us2.cloudbeds.com/connect/10074733072513#/reservations/31692110278838?display=MHKJSS2QJ&amp;reservation_id=31692110278838", "MHKJSS2QJ")</f>
        <v>MHKJSS2QJ</v>
      </c>
      <c r="B9421" t="s">
        <v>1426</v>
      </c>
      <c r="C9421">
        <v>109</v>
      </c>
      <c r="D9421">
        <v>118.49</v>
      </c>
      <c r="E9421">
        <v>118.48</v>
      </c>
      <c r="F9421">
        <v>0.01</v>
      </c>
    </row>
    <row r="9422" spans="1:6" x14ac:dyDescent="0.3">
      <c r="A9422" t="str">
        <f>HYPERLINK("https://us2.cloudbeds.com/connect/10074733072513#/reservations/31692076716175?display=MHKJ0X536&amp;reservation_id=31692076716175", "MHKJ0X536")</f>
        <v>MHKJ0X536</v>
      </c>
      <c r="B9422" t="s">
        <v>1426</v>
      </c>
      <c r="C9422">
        <v>119</v>
      </c>
      <c r="D9422">
        <v>129.36000000000001</v>
      </c>
      <c r="E9422">
        <v>129.35</v>
      </c>
      <c r="F9422">
        <v>0.01</v>
      </c>
    </row>
    <row r="9423" spans="1:6" x14ac:dyDescent="0.3">
      <c r="A9423" t="str">
        <f>HYPERLINK("https://us2.cloudbeds.com/connect/10074733072513#/reservations/31686197833859?display=MHG0QAJD7&amp;reservation_id=31686197833859", "MHG0QAJD7")</f>
        <v>MHG0QAJD7</v>
      </c>
      <c r="B9423" t="s">
        <v>1428</v>
      </c>
      <c r="C9423">
        <v>178</v>
      </c>
      <c r="D9423">
        <v>193.5</v>
      </c>
      <c r="E9423">
        <v>193.49</v>
      </c>
      <c r="F9423">
        <v>0.01</v>
      </c>
    </row>
    <row r="9424" spans="1:6" x14ac:dyDescent="0.3">
      <c r="A9424" t="str">
        <f>HYPERLINK("https://us2.cloudbeds.com/connect/10074733072513#/reservations/31686304800967?display=MHG3HH3FZ&amp;reservation_id=31686304800967", "MHG3HH3FZ")</f>
        <v>MHG3HH3FZ</v>
      </c>
      <c r="B9424" t="s">
        <v>1393</v>
      </c>
      <c r="C9424">
        <v>179</v>
      </c>
      <c r="D9424">
        <v>194.58</v>
      </c>
      <c r="E9424">
        <v>194.57</v>
      </c>
      <c r="F9424">
        <v>0.01</v>
      </c>
    </row>
    <row r="9425" spans="1:6" x14ac:dyDescent="0.3">
      <c r="A9425" t="str">
        <f>HYPERLINK("https://us2.cloudbeds.com/connect/10074733072513#/reservations/31693020852360?display=MHYA4M4FK&amp;reservation_id=31693020852360", "MHYA4M4FK")</f>
        <v>MHYA4M4FK</v>
      </c>
      <c r="B9425" t="s">
        <v>1397</v>
      </c>
      <c r="C9425">
        <v>129</v>
      </c>
      <c r="D9425">
        <v>140.22999999999999</v>
      </c>
      <c r="E9425">
        <v>140.22</v>
      </c>
      <c r="F9425">
        <v>0.01</v>
      </c>
    </row>
    <row r="9426" spans="1:6" x14ac:dyDescent="0.3">
      <c r="A9426" t="str">
        <f>HYPERLINK("https://us2.cloudbeds.com/connect/10074733072513#/reservations/31689728254143?display=MHXP08ZA2&amp;reservation_id=31689728254143", "MHXP08ZA2")</f>
        <v>MHXP08ZA2</v>
      </c>
      <c r="B9426" t="s">
        <v>1397</v>
      </c>
      <c r="C9426">
        <v>109</v>
      </c>
      <c r="D9426">
        <v>118.49</v>
      </c>
      <c r="E9426">
        <v>118.48</v>
      </c>
      <c r="F9426">
        <v>0.01</v>
      </c>
    </row>
    <row r="9427" spans="1:6" x14ac:dyDescent="0.3">
      <c r="A9427" t="str">
        <f>HYPERLINK("https://us2.cloudbeds.com/connect/10074733072513#/reservations/31687324750021?display=MHGTJXMQR&amp;reservation_id=31687324750021", "MHGTJXMQR")</f>
        <v>MHGTJXMQR</v>
      </c>
      <c r="B9427" t="s">
        <v>1209</v>
      </c>
      <c r="C9427">
        <v>109</v>
      </c>
      <c r="D9427">
        <v>118.49</v>
      </c>
      <c r="E9427">
        <v>118.48</v>
      </c>
      <c r="F9427">
        <v>0.01</v>
      </c>
    </row>
    <row r="9428" spans="1:6" x14ac:dyDescent="0.3">
      <c r="A9428" t="str">
        <f>HYPERLINK("https://us2.cloudbeds.com/connect/10074733072513#/reservations/31693003690199?display=MHY9N6XU4&amp;reservation_id=31693003690199", "MHY9N6XU4")</f>
        <v>MHY9N6XU4</v>
      </c>
      <c r="B9428" t="s">
        <v>1397</v>
      </c>
      <c r="C9428">
        <v>119</v>
      </c>
      <c r="D9428">
        <v>129.36000000000001</v>
      </c>
      <c r="E9428">
        <v>129.35</v>
      </c>
      <c r="F9428">
        <v>0.01</v>
      </c>
    </row>
    <row r="9429" spans="1:6" x14ac:dyDescent="0.3">
      <c r="A9429" t="str">
        <f>HYPERLINK("https://us2.cloudbeds.com/connect/10074733072513#/reservations/31693027156188?display=MHYA9WX3N&amp;reservation_id=31693027156188", "MHYA9WX3N")</f>
        <v>MHYA9WX3N</v>
      </c>
      <c r="B9429" t="s">
        <v>1397</v>
      </c>
      <c r="C9429">
        <v>109</v>
      </c>
      <c r="D9429">
        <v>118.49</v>
      </c>
      <c r="E9429">
        <v>118.48</v>
      </c>
      <c r="F9429">
        <v>0.01</v>
      </c>
    </row>
    <row r="9430" spans="1:6" x14ac:dyDescent="0.3">
      <c r="A9430" t="str">
        <f>HYPERLINK("https://us2.cloudbeds.com/connect/10074733072513#/reservations/31693038342289?display=MHYAJDR0F&amp;reservation_id=31693038342289", "MHYAJDR0F")</f>
        <v>MHYAJDR0F</v>
      </c>
      <c r="B9430" t="s">
        <v>1397</v>
      </c>
      <c r="C9430">
        <v>119</v>
      </c>
      <c r="D9430">
        <v>129.36000000000001</v>
      </c>
      <c r="E9430">
        <v>129.35</v>
      </c>
      <c r="F9430">
        <v>0.01</v>
      </c>
    </row>
    <row r="9431" spans="1:6" x14ac:dyDescent="0.3">
      <c r="A9431" t="str">
        <f>HYPERLINK("https://us2.cloudbeds.com/connect/10074733072513#/reservations/31686331011230?display=MHG46KEM4&amp;reservation_id=31686331011230", "MHG46KEM4")</f>
        <v>MHG46KEM4</v>
      </c>
      <c r="B9431" t="s">
        <v>1393</v>
      </c>
      <c r="C9431">
        <v>189</v>
      </c>
      <c r="D9431">
        <v>205.45</v>
      </c>
      <c r="E9431">
        <v>205.44</v>
      </c>
      <c r="F9431">
        <v>0.01</v>
      </c>
    </row>
    <row r="9432" spans="1:6" x14ac:dyDescent="0.3">
      <c r="A9432" t="str">
        <f>HYPERLINK("https://us2.cloudbeds.com/connect/10074733072513#/reservations/31693220995220?display=MHYF8EDCP&amp;reservation_id=31693220995220", "MHYF8EDCP")</f>
        <v>MHYF8EDCP</v>
      </c>
      <c r="B9432" t="s">
        <v>1397</v>
      </c>
      <c r="C9432">
        <v>149</v>
      </c>
      <c r="D9432">
        <v>161.97</v>
      </c>
      <c r="E9432">
        <v>161.96</v>
      </c>
      <c r="F9432">
        <v>0.01</v>
      </c>
    </row>
    <row r="9433" spans="1:6" x14ac:dyDescent="0.3">
      <c r="A9433" t="str">
        <f>HYPERLINK("https://us2.cloudbeds.com/connect/10074733072513#/reservations/31687170384009?display=MHGPYD7XT&amp;reservation_id=31687170384009", "MHGPYD7XT")</f>
        <v>MHGPYD7XT</v>
      </c>
      <c r="B9433" t="s">
        <v>1408</v>
      </c>
      <c r="C9433">
        <v>109</v>
      </c>
      <c r="D9433">
        <v>118.49</v>
      </c>
      <c r="E9433">
        <v>118.48</v>
      </c>
      <c r="F9433">
        <v>0.01</v>
      </c>
    </row>
    <row r="9434" spans="1:6" x14ac:dyDescent="0.3">
      <c r="A9434" t="str">
        <f>HYPERLINK("https://us2.cloudbeds.com/connect/10074733072513#/reservations/31686324646088?display=MHG418AZ1&amp;reservation_id=31686324646088", "MHG418AZ1")</f>
        <v>MHG418AZ1</v>
      </c>
      <c r="B9434" t="s">
        <v>1393</v>
      </c>
      <c r="C9434">
        <v>179</v>
      </c>
      <c r="D9434">
        <v>194.58</v>
      </c>
      <c r="E9434">
        <v>194.57</v>
      </c>
      <c r="F9434">
        <v>0.01</v>
      </c>
    </row>
    <row r="9435" spans="1:6" x14ac:dyDescent="0.3">
      <c r="A9435" t="str">
        <f>HYPERLINK("https://us2.cloudbeds.com/connect/10074733072513#/reservations/31688590299325?display=MHHSUNFCZ&amp;reservation_id=31688590299325", "MHHSUNFCZ")</f>
        <v>MHHSUNFCZ</v>
      </c>
      <c r="B9435" t="s">
        <v>1393</v>
      </c>
      <c r="C9435">
        <v>189</v>
      </c>
      <c r="D9435">
        <v>205.45</v>
      </c>
      <c r="E9435">
        <v>205.44</v>
      </c>
      <c r="F9435">
        <v>0.01</v>
      </c>
    </row>
    <row r="9436" spans="1:6" x14ac:dyDescent="0.3">
      <c r="A9436" t="str">
        <f>HYPERLINK("https://us2.cloudbeds.com/connect/10074733072513#/reservations/31691952529552?display=MHKFRRFQ6&amp;reservation_id=31691952529552", "MHKFRRFQ6")</f>
        <v>MHKFRRFQ6</v>
      </c>
      <c r="B9436" t="s">
        <v>1404</v>
      </c>
      <c r="C9436">
        <v>109</v>
      </c>
      <c r="D9436">
        <v>118.49</v>
      </c>
      <c r="E9436">
        <v>118.48</v>
      </c>
      <c r="F9436">
        <v>0.01</v>
      </c>
    </row>
    <row r="9437" spans="1:6" x14ac:dyDescent="0.3">
      <c r="A9437" t="str">
        <f>HYPERLINK("https://us2.cloudbeds.com/connect/10074733072513#/reservations/31688576102537?display=MHHSXZDS1&amp;reservation_id=31688576102537", "MHHSXZDS1")</f>
        <v>MHHSXZDS1</v>
      </c>
      <c r="B9437" t="s">
        <v>1393</v>
      </c>
      <c r="C9437">
        <v>179</v>
      </c>
      <c r="D9437">
        <v>194.58</v>
      </c>
      <c r="E9437">
        <v>194.57</v>
      </c>
      <c r="F9437">
        <v>0.01</v>
      </c>
    </row>
    <row r="9438" spans="1:6" x14ac:dyDescent="0.3">
      <c r="A9438" t="str">
        <f>HYPERLINK("https://us2.cloudbeds.com/connect/10074733072513#/reservations/31693085634757?display=MHYBQ9QEX&amp;reservation_id=31693085634757", "MHYBQ9QEX")</f>
        <v>MHYBQ9QEX</v>
      </c>
      <c r="B9438" t="s">
        <v>1397</v>
      </c>
      <c r="C9438">
        <v>109</v>
      </c>
      <c r="D9438">
        <v>118.49</v>
      </c>
      <c r="E9438">
        <v>118.48</v>
      </c>
      <c r="F9438">
        <v>0.01</v>
      </c>
    </row>
    <row r="9439" spans="1:6" x14ac:dyDescent="0.3">
      <c r="A9439" t="str">
        <f>HYPERLINK("https://us2.cloudbeds.com/connect/10074733072513#/reservations/31694364778644?display=MHMBFTSXH&amp;reservation_id=31694364778644", "MHMBFTSXH")</f>
        <v>MHMBFTSXH</v>
      </c>
      <c r="B9439" t="s">
        <v>1375</v>
      </c>
      <c r="C9439">
        <v>278</v>
      </c>
      <c r="D9439">
        <v>302.2</v>
      </c>
      <c r="E9439">
        <v>302.19</v>
      </c>
      <c r="F9439">
        <v>0.01</v>
      </c>
    </row>
    <row r="9440" spans="1:6" x14ac:dyDescent="0.3">
      <c r="A9440" t="str">
        <f>HYPERLINK("https://us2.cloudbeds.com/connect/10074733072513#/reservations/31684354171086?display=MHEJMMVFB&amp;reservation_id=31684354171086", "MHEJMMVFB")</f>
        <v>MHEJMMVFB</v>
      </c>
      <c r="B9440" t="s">
        <v>1429</v>
      </c>
      <c r="C9440">
        <v>109</v>
      </c>
      <c r="D9440">
        <v>118.49</v>
      </c>
      <c r="E9440">
        <v>118.48</v>
      </c>
      <c r="F9440">
        <v>0.01</v>
      </c>
    </row>
    <row r="9441" spans="1:6" x14ac:dyDescent="0.3">
      <c r="A9441" t="str">
        <f>HYPERLINK("https://us2.cloudbeds.com/connect/10074733072513#/reservations/31689737388244?display=MHXP7VTU0&amp;reservation_id=31689737388244", "MHXP7VTU0")</f>
        <v>MHXP7VTU0</v>
      </c>
      <c r="B9441" t="s">
        <v>1397</v>
      </c>
      <c r="C9441">
        <v>109</v>
      </c>
      <c r="D9441">
        <v>118.49</v>
      </c>
      <c r="E9441">
        <v>118.48</v>
      </c>
      <c r="F9441">
        <v>0.01</v>
      </c>
    </row>
    <row r="9442" spans="1:6" x14ac:dyDescent="0.3">
      <c r="A9442" t="str">
        <f>HYPERLINK("https://us2.cloudbeds.com/connect/10074733072513#/reservations/31687170388121?display=MHGPYDBBG&amp;reservation_id=31687170388121", "MHGPYDBBG")</f>
        <v>MHGPYDBBG</v>
      </c>
      <c r="B9442" t="s">
        <v>1393</v>
      </c>
      <c r="C9442">
        <v>137.76</v>
      </c>
      <c r="D9442">
        <v>149.76</v>
      </c>
      <c r="E9442">
        <v>149.75</v>
      </c>
      <c r="F9442">
        <v>0.01</v>
      </c>
    </row>
    <row r="9443" spans="1:6" x14ac:dyDescent="0.3">
      <c r="A9443" t="str">
        <f>HYPERLINK("https://us2.cloudbeds.com/connect/10074733072513#/reservations/31687183065242?display=MHGPW33DM&amp;reservation_id=31687183065242", "MHGPW33DM")</f>
        <v>MHGPW33DM</v>
      </c>
      <c r="B9443" t="s">
        <v>1428</v>
      </c>
      <c r="C9443">
        <v>109</v>
      </c>
      <c r="D9443">
        <v>118.49</v>
      </c>
      <c r="E9443">
        <v>118.48</v>
      </c>
      <c r="F9443">
        <v>0.01</v>
      </c>
    </row>
    <row r="9444" spans="1:6" x14ac:dyDescent="0.3">
      <c r="A9444" t="str">
        <f>HYPERLINK("https://us2.cloudbeds.com/connect/10074733072513#/reservations/31693489946784?display=MHYM47CH5&amp;reservation_id=31693489946784", "MHYM47CH5")</f>
        <v>MHYM47CH5</v>
      </c>
      <c r="B9444" t="s">
        <v>1430</v>
      </c>
      <c r="C9444">
        <v>504</v>
      </c>
      <c r="D9444">
        <v>547.86</v>
      </c>
      <c r="E9444">
        <v>547.85</v>
      </c>
      <c r="F9444">
        <v>0.01</v>
      </c>
    </row>
    <row r="9445" spans="1:6" x14ac:dyDescent="0.3">
      <c r="A9445" t="str">
        <f>HYPERLINK("https://us2.cloudbeds.com/connect/10074733072513#/reservations/31689536467138?display=MHXK3HWBK&amp;reservation_id=31689536467138", "MHXK3HWBK")</f>
        <v>MHXK3HWBK</v>
      </c>
      <c r="B9445" t="s">
        <v>1408</v>
      </c>
      <c r="C9445">
        <v>139</v>
      </c>
      <c r="D9445">
        <v>151.1</v>
      </c>
      <c r="E9445">
        <v>151.09</v>
      </c>
      <c r="F9445">
        <v>0.01</v>
      </c>
    </row>
    <row r="9446" spans="1:6" x14ac:dyDescent="0.3">
      <c r="A9446" t="str">
        <f>HYPERLINK("https://us2.cloudbeds.com/connect/10074733072513#/reservations/31690473611488?display=MHJB1PDA9&amp;reservation_id=31690473611488", "MHJB1PDA9")</f>
        <v>MHJB1PDA9</v>
      </c>
      <c r="B9446" t="s">
        <v>1375</v>
      </c>
      <c r="C9446">
        <v>278</v>
      </c>
      <c r="D9446">
        <v>302.2</v>
      </c>
      <c r="E9446">
        <v>302.19</v>
      </c>
      <c r="F9446">
        <v>0.01</v>
      </c>
    </row>
    <row r="9447" spans="1:6" x14ac:dyDescent="0.3">
      <c r="A9447" t="str">
        <f>HYPERLINK("https://us2.cloudbeds.com/connect/10074733072513#/reservations/31686311624860?display=MHG3N8WMC&amp;reservation_id=31686311624860", "MHG3N8WMC")</f>
        <v>MHG3N8WMC</v>
      </c>
      <c r="B9447" t="s">
        <v>1428</v>
      </c>
      <c r="C9447">
        <v>109</v>
      </c>
      <c r="D9447">
        <v>118.49</v>
      </c>
      <c r="E9447">
        <v>118.48</v>
      </c>
      <c r="F9447">
        <v>0.01</v>
      </c>
    </row>
    <row r="9448" spans="1:6" x14ac:dyDescent="0.3">
      <c r="A9448" t="str">
        <f>HYPERLINK("https://us2.cloudbeds.com/connect/10074733072513#/reservations/31686248706286?display=MHG23766U&amp;reservation_id=31686248706286", "MHG23766U")</f>
        <v>MHG23766U</v>
      </c>
      <c r="B9448" t="s">
        <v>1432</v>
      </c>
      <c r="C9448">
        <v>129</v>
      </c>
      <c r="D9448">
        <v>140.22999999999999</v>
      </c>
      <c r="E9448">
        <v>140.22</v>
      </c>
      <c r="F9448">
        <v>0.01</v>
      </c>
    </row>
    <row r="9449" spans="1:6" x14ac:dyDescent="0.3">
      <c r="A9449" t="str">
        <f>HYPERLINK("https://us2.cloudbeds.com/connect/10074733072513#/reservations/31689245565183?display=MHXCM86ZT&amp;reservation_id=31689245565183", "MHXCM86ZT")</f>
        <v>MHXCM86ZT</v>
      </c>
      <c r="B9449" t="s">
        <v>1433</v>
      </c>
      <c r="C9449">
        <v>407</v>
      </c>
      <c r="D9449">
        <v>442.42</v>
      </c>
      <c r="E9449">
        <v>442.41</v>
      </c>
      <c r="F9449">
        <v>0.01</v>
      </c>
    </row>
    <row r="9450" spans="1:6" x14ac:dyDescent="0.3">
      <c r="A9450" t="str">
        <f>HYPERLINK("https://us2.cloudbeds.com/connect/10074733072513#/reservations/31694728474847?display=MHMKPJ86X&amp;reservation_id=31694728474847", "MHMKPJ86X")</f>
        <v>MHMKPJ86X</v>
      </c>
      <c r="B9450" t="s">
        <v>1434</v>
      </c>
      <c r="C9450">
        <v>139</v>
      </c>
      <c r="D9450">
        <v>151.1</v>
      </c>
      <c r="E9450">
        <v>151.09</v>
      </c>
      <c r="F9450">
        <v>0.01</v>
      </c>
    </row>
    <row r="9451" spans="1:6" x14ac:dyDescent="0.3">
      <c r="A9451" t="str">
        <f>HYPERLINK("https://us2.cloudbeds.com/connect/10074733072513#/reservations/31689209663687?display=MHXBZW6BP&amp;reservation_id=31689209663687", "MHXBZW6BP")</f>
        <v>MHXBZW6BP</v>
      </c>
      <c r="B9451" t="s">
        <v>1433</v>
      </c>
      <c r="C9451">
        <v>73</v>
      </c>
      <c r="D9451">
        <v>79.36</v>
      </c>
      <c r="E9451">
        <v>79.349999999999994</v>
      </c>
      <c r="F9451">
        <v>0.01</v>
      </c>
    </row>
    <row r="9452" spans="1:6" x14ac:dyDescent="0.3">
      <c r="A9452" t="str">
        <f>HYPERLINK("https://us2.cloudbeds.com/connect/10074733072513#/reservations/31686677266626?display=MHGD1JGST&amp;reservation_id=31686677266626", "MHGD1JGST")</f>
        <v>MHGD1JGST</v>
      </c>
      <c r="B9452" t="s">
        <v>1433</v>
      </c>
      <c r="C9452">
        <v>89</v>
      </c>
      <c r="D9452">
        <v>96.75</v>
      </c>
      <c r="E9452">
        <v>96.74</v>
      </c>
      <c r="F9452">
        <v>0.01</v>
      </c>
    </row>
    <row r="9453" spans="1:6" x14ac:dyDescent="0.3">
      <c r="A9453" t="str">
        <f>HYPERLINK("https://us2.cloudbeds.com/connect/10074733072513#/reservations/31686697214123?display=MHGDXDJ4F&amp;reservation_id=31686697214123", "MHGDXDJ4F")</f>
        <v>MHGDXDJ4F</v>
      </c>
      <c r="B9453" t="s">
        <v>1433</v>
      </c>
      <c r="C9453">
        <v>218</v>
      </c>
      <c r="D9453">
        <v>236.98</v>
      </c>
      <c r="E9453">
        <v>236.97</v>
      </c>
      <c r="F9453">
        <v>0.01</v>
      </c>
    </row>
    <row r="9454" spans="1:6" x14ac:dyDescent="0.3">
      <c r="A9454" t="str">
        <f>HYPERLINK("https://us2.cloudbeds.com/connect/10074733072513#/reservations/31686698942674?display=MHGDJSMDR&amp;reservation_id=31686698942674", "MHGDJSMDR")</f>
        <v>MHGDJSMDR</v>
      </c>
      <c r="B9454" t="s">
        <v>1433</v>
      </c>
      <c r="C9454">
        <v>218</v>
      </c>
      <c r="D9454">
        <v>236.98</v>
      </c>
      <c r="E9454">
        <v>236.97</v>
      </c>
      <c r="F9454">
        <v>0.01</v>
      </c>
    </row>
    <row r="9455" spans="1:6" x14ac:dyDescent="0.3">
      <c r="A9455" t="str">
        <f>HYPERLINK("https://us2.cloudbeds.com/connect/10074733072513#/reservations/31686289158364?display=MHG34AR9F&amp;reservation_id=31686289158364", "MHG34AR9F")</f>
        <v>MHG34AR9F</v>
      </c>
      <c r="B9455" t="s">
        <v>1433</v>
      </c>
      <c r="C9455">
        <v>109</v>
      </c>
      <c r="D9455">
        <v>118.49</v>
      </c>
      <c r="E9455">
        <v>118.48</v>
      </c>
      <c r="F9455">
        <v>0.01</v>
      </c>
    </row>
    <row r="9456" spans="1:6" x14ac:dyDescent="0.3">
      <c r="A9456" t="str">
        <f>HYPERLINK("https://us2.cloudbeds.com/connect/10074733072513#/reservations/31693480120495?display=MHYYSUV9R&amp;reservation_id=31693480120495", "MHYYSUV9R")</f>
        <v>MHYYSUV9R</v>
      </c>
      <c r="B9456" t="s">
        <v>1430</v>
      </c>
      <c r="C9456">
        <v>139</v>
      </c>
      <c r="D9456">
        <v>151.1</v>
      </c>
      <c r="E9456">
        <v>151.09</v>
      </c>
      <c r="F9456">
        <v>0.01</v>
      </c>
    </row>
    <row r="9457" spans="1:6" x14ac:dyDescent="0.3">
      <c r="A9457" t="str">
        <f>HYPERLINK("https://us2.cloudbeds.com/connect/10074733072513#/reservations/31689222111362?display=MHXC2FXZ1&amp;reservation_id=31689222111362", "MHXC2FXZ1")</f>
        <v>MHXC2FXZ1</v>
      </c>
      <c r="B9457" t="s">
        <v>1433</v>
      </c>
      <c r="C9457">
        <v>109</v>
      </c>
      <c r="D9457">
        <v>118.49</v>
      </c>
      <c r="E9457">
        <v>118.48</v>
      </c>
      <c r="F9457">
        <v>0.01</v>
      </c>
    </row>
    <row r="9458" spans="1:6" x14ac:dyDescent="0.3">
      <c r="A9458" t="str">
        <f>HYPERLINK("https://us2.cloudbeds.com/connect/10074733072513#/reservations/31694121324695?display=MHM58KD74&amp;reservation_id=31694121324695", "MHM58KD74")</f>
        <v>MHM58KD74</v>
      </c>
      <c r="B9458" t="s">
        <v>1431</v>
      </c>
      <c r="C9458">
        <v>999</v>
      </c>
      <c r="D9458">
        <v>1085.92</v>
      </c>
      <c r="E9458">
        <v>1085.9100000000001</v>
      </c>
      <c r="F9458">
        <v>0.01</v>
      </c>
    </row>
    <row r="9459" spans="1:6" x14ac:dyDescent="0.3">
      <c r="A9459" t="str">
        <f>HYPERLINK("https://us2.cloudbeds.com/connect/10074733072513#/reservations/31694120063137?display=MHM57X9P3&amp;reservation_id=31694120063137", "MHM57X9P3")</f>
        <v>MHM57X9P3</v>
      </c>
      <c r="B9459" t="s">
        <v>1431</v>
      </c>
      <c r="C9459">
        <v>158</v>
      </c>
      <c r="D9459">
        <v>171.76</v>
      </c>
      <c r="E9459">
        <v>171.75</v>
      </c>
      <c r="F9459">
        <v>0.01</v>
      </c>
    </row>
    <row r="9460" spans="1:6" x14ac:dyDescent="0.3">
      <c r="A9460" t="str">
        <f>HYPERLINK("https://us2.cloudbeds.com/connect/10074733072513#/reservations/31694104486042?display=MHM4RDRNU&amp;reservation_id=31694104486042", "MHM4RDRNU")</f>
        <v>MHM4RDRNU</v>
      </c>
      <c r="B9460" t="s">
        <v>1431</v>
      </c>
      <c r="C9460">
        <v>73</v>
      </c>
      <c r="D9460">
        <v>79.36</v>
      </c>
      <c r="E9460">
        <v>79.349999999999994</v>
      </c>
      <c r="F9460">
        <v>0.01</v>
      </c>
    </row>
    <row r="9461" spans="1:6" x14ac:dyDescent="0.3">
      <c r="A9461" t="str">
        <f>HYPERLINK("https://us2.cloudbeds.com/connect/10074733072513#/reservations/31689232376030?display=MHXCB46GJ&amp;reservation_id=31689232376030", "MHXCB46GJ")</f>
        <v>MHXCB46GJ</v>
      </c>
      <c r="B9461" t="s">
        <v>1433</v>
      </c>
      <c r="C9461">
        <v>109</v>
      </c>
      <c r="D9461">
        <v>118.49</v>
      </c>
      <c r="E9461">
        <v>118.48</v>
      </c>
      <c r="F9461">
        <v>0.01</v>
      </c>
    </row>
    <row r="9462" spans="1:6" x14ac:dyDescent="0.3">
      <c r="A9462" t="str">
        <f>HYPERLINK("https://us2.cloudbeds.com/connect/10074733072513#/reservations/31694364782741?display=MHMBFTWAM&amp;reservation_id=31694364782741", "MHMBFTWAM")</f>
        <v>MHMBFTWAM</v>
      </c>
      <c r="B9462" t="s">
        <v>1375</v>
      </c>
      <c r="C9462">
        <v>278</v>
      </c>
      <c r="D9462">
        <v>302.2</v>
      </c>
      <c r="E9462">
        <v>302.19</v>
      </c>
      <c r="F9462">
        <v>0.01</v>
      </c>
    </row>
    <row r="9463" spans="1:6" x14ac:dyDescent="0.3">
      <c r="A9463" t="str">
        <f>HYPERLINK("https://us2.cloudbeds.com/connect/10074733072513#/reservations/31693470793941?display=MHYYY2DVW&amp;reservation_id=31693470793941", "MHYYY2DVW")</f>
        <v>MHYYY2DVW</v>
      </c>
      <c r="B9463" t="s">
        <v>1420</v>
      </c>
      <c r="C9463">
        <v>150</v>
      </c>
      <c r="D9463">
        <v>163.06</v>
      </c>
      <c r="E9463">
        <v>163.05000000000001</v>
      </c>
      <c r="F9463">
        <v>0.01</v>
      </c>
    </row>
    <row r="9464" spans="1:6" x14ac:dyDescent="0.3">
      <c r="A9464" t="str">
        <f>HYPERLINK("https://us2.cloudbeds.com/connect/10074733072513#/reservations/31694141075665?display=MHM5P900C&amp;reservation_id=31694141075665", "MHM5P900C")</f>
        <v>MHM5P900C</v>
      </c>
      <c r="B9464" t="s">
        <v>1431</v>
      </c>
      <c r="C9464">
        <v>218</v>
      </c>
      <c r="D9464">
        <v>236.98</v>
      </c>
      <c r="E9464">
        <v>236.97</v>
      </c>
      <c r="F9464">
        <v>0.01</v>
      </c>
    </row>
    <row r="9465" spans="1:6" x14ac:dyDescent="0.3">
      <c r="A9465" t="str">
        <f>HYPERLINK("https://us2.cloudbeds.com/connect/10074733072513#/reservations/31694778286231?display=MHMM1JAMF&amp;reservation_id=31694778286231", "MHMM1JAMF")</f>
        <v>MHMM1JAMF</v>
      </c>
      <c r="B9465" t="s">
        <v>1407</v>
      </c>
      <c r="C9465">
        <v>159</v>
      </c>
      <c r="D9465">
        <v>172.84</v>
      </c>
      <c r="E9465">
        <v>172.83</v>
      </c>
      <c r="F9465">
        <v>0.01</v>
      </c>
    </row>
    <row r="9466" spans="1:6" x14ac:dyDescent="0.3">
      <c r="A9466" t="str">
        <f>HYPERLINK("https://us2.cloudbeds.com/connect/10074733072513#/reservations/31693561614506?display=MHYNVYY3A&amp;reservation_id=31693561614506", "MHYNVYY3A")</f>
        <v>MHYNVYY3A</v>
      </c>
      <c r="B9466" t="s">
        <v>1435</v>
      </c>
      <c r="C9466">
        <v>109</v>
      </c>
      <c r="D9466">
        <v>118.49</v>
      </c>
      <c r="E9466">
        <v>118.48</v>
      </c>
      <c r="F9466">
        <v>0.01</v>
      </c>
    </row>
    <row r="9467" spans="1:6" x14ac:dyDescent="0.3">
      <c r="A9467" t="str">
        <f>HYPERLINK("https://us2.cloudbeds.com/connect/10074733072513#/reservations/31693535137923?display=MHYN9ATBK&amp;reservation_id=31693535137923", "MHYN9ATBK")</f>
        <v>MHYN9ATBK</v>
      </c>
      <c r="B9467" t="s">
        <v>1436</v>
      </c>
      <c r="C9467">
        <v>420</v>
      </c>
      <c r="D9467">
        <v>456.55</v>
      </c>
      <c r="E9467">
        <v>456.54</v>
      </c>
      <c r="F9467">
        <v>0.01</v>
      </c>
    </row>
    <row r="9468" spans="1:6" x14ac:dyDescent="0.3">
      <c r="A9468" t="str">
        <f>HYPERLINK("https://us2.cloudbeds.com/connect/10074733072513#/reservations/31693483507914?display=MHYYVQ6ST&amp;reservation_id=31693483507914", "MHYYVQ6ST")</f>
        <v>MHYYVQ6ST</v>
      </c>
      <c r="B9468" t="s">
        <v>1420</v>
      </c>
      <c r="C9468">
        <v>109</v>
      </c>
      <c r="D9468">
        <v>118.49</v>
      </c>
      <c r="E9468">
        <v>118.48</v>
      </c>
      <c r="F9468">
        <v>0.01</v>
      </c>
    </row>
    <row r="9469" spans="1:6" x14ac:dyDescent="0.3">
      <c r="A9469" t="str">
        <f>HYPERLINK("https://us2.cloudbeds.com/connect/10074733072513#/reservations/31694030282956?display=MHM2US0WX&amp;reservation_id=31694030282956", "MHM2US0WX")</f>
        <v>MHM2US0WX</v>
      </c>
      <c r="B9469" t="s">
        <v>1431</v>
      </c>
      <c r="C9469">
        <v>109</v>
      </c>
      <c r="D9469">
        <v>118.49</v>
      </c>
      <c r="E9469">
        <v>118.48</v>
      </c>
      <c r="F9469">
        <v>0.01</v>
      </c>
    </row>
    <row r="9470" spans="1:6" x14ac:dyDescent="0.3">
      <c r="A9470" t="str">
        <f>HYPERLINK("https://us2.cloudbeds.com/connect/10074733072513#/reservations/31694087790749?display=MHM4DB8SV&amp;reservation_id=31694087790749", "MHM4DB8SV")</f>
        <v>MHM4DB8SV</v>
      </c>
      <c r="B9470" t="s">
        <v>1431</v>
      </c>
      <c r="C9470">
        <v>109</v>
      </c>
      <c r="D9470">
        <v>118.49</v>
      </c>
      <c r="E9470">
        <v>118.48</v>
      </c>
      <c r="F9470">
        <v>0.01</v>
      </c>
    </row>
    <row r="9471" spans="1:6" x14ac:dyDescent="0.3">
      <c r="A9471" t="str">
        <f>HYPERLINK("https://us2.cloudbeds.com/connect/10074733072513#/reservations/31694144901277?display=MHM5SGEW0&amp;reservation_id=31694144901277", "MHM5SGEW0")</f>
        <v>MHM5SGEW0</v>
      </c>
      <c r="B9471" t="s">
        <v>1420</v>
      </c>
      <c r="C9471">
        <v>119</v>
      </c>
      <c r="D9471">
        <v>129.36000000000001</v>
      </c>
      <c r="E9471">
        <v>129.35</v>
      </c>
      <c r="F9471">
        <v>0.01</v>
      </c>
    </row>
    <row r="9472" spans="1:6" x14ac:dyDescent="0.3">
      <c r="A9472" t="str">
        <f>HYPERLINK("https://us2.cloudbeds.com/connect/10074733072513#/reservations/31694173221014?display=MHM6JCG7S&amp;reservation_id=31694173221014", "MHM6JCG7S")</f>
        <v>MHM6JCG7S</v>
      </c>
      <c r="B9472" t="s">
        <v>1420</v>
      </c>
      <c r="C9472">
        <v>109</v>
      </c>
      <c r="D9472">
        <v>118.49</v>
      </c>
      <c r="E9472">
        <v>118.48</v>
      </c>
      <c r="F9472">
        <v>0.01</v>
      </c>
    </row>
    <row r="9473" spans="1:6" x14ac:dyDescent="0.3">
      <c r="A9473" t="str">
        <f>HYPERLINK("https://us2.cloudbeds.com/connect/10074733072513#/reservations/31685549863050?display=MHFH7URT5&amp;reservation_id=31685549863050", "MHFH7URT5")</f>
        <v>MHFH7URT5</v>
      </c>
      <c r="B9473" t="s">
        <v>1437</v>
      </c>
      <c r="C9473">
        <v>139</v>
      </c>
      <c r="D9473">
        <v>151.1</v>
      </c>
      <c r="E9473">
        <v>151.09</v>
      </c>
      <c r="F9473">
        <v>0.01</v>
      </c>
    </row>
    <row r="9474" spans="1:6" x14ac:dyDescent="0.3">
      <c r="A9474" t="str">
        <f>HYPERLINK("https://us2.cloudbeds.com/connect/10074733072513#/reservations/31694170824935?display=MHM6HBQWD&amp;reservation_id=31694170824935", "MHM6HBQWD")</f>
        <v>MHM6HBQWD</v>
      </c>
      <c r="B9474" t="s">
        <v>1420</v>
      </c>
      <c r="C9474">
        <v>109</v>
      </c>
      <c r="D9474">
        <v>118.49</v>
      </c>
      <c r="E9474">
        <v>118.48</v>
      </c>
      <c r="F9474">
        <v>0.01</v>
      </c>
    </row>
    <row r="9475" spans="1:6" x14ac:dyDescent="0.3">
      <c r="A9475" t="str">
        <f>HYPERLINK("https://us2.cloudbeds.com/connect/10074733072513#/reservations/31688144289930?display=MHHHHKJNH&amp;reservation_id=31688144289930", "MHHHHKJNH")</f>
        <v>MHHHHKJNH</v>
      </c>
      <c r="B9475" t="s">
        <v>1400</v>
      </c>
      <c r="C9475">
        <v>149</v>
      </c>
      <c r="D9475">
        <v>161.97</v>
      </c>
      <c r="E9475">
        <v>161.96</v>
      </c>
      <c r="F9475">
        <v>0.01</v>
      </c>
    </row>
    <row r="9476" spans="1:6" x14ac:dyDescent="0.3">
      <c r="A9476" t="str">
        <f>HYPERLINK("https://us2.cloudbeds.com/connect/10074733072513#/reservations/31693452120211?display=MHYY5AQCC&amp;reservation_id=31693452120211", "MHYY5AQCC")</f>
        <v>MHYY5AQCC</v>
      </c>
      <c r="B9476" t="s">
        <v>1430</v>
      </c>
      <c r="C9476">
        <v>139</v>
      </c>
      <c r="D9476">
        <v>151.1</v>
      </c>
      <c r="E9476">
        <v>151.09</v>
      </c>
      <c r="F9476">
        <v>0.01</v>
      </c>
    </row>
    <row r="9477" spans="1:6" x14ac:dyDescent="0.3">
      <c r="A9477" t="str">
        <f>HYPERLINK("https://us2.cloudbeds.com/connect/10074733072513#/reservations/31688133439688?display=MHHH8FM7A&amp;reservation_id=31688133439688", "MHHH8FM7A")</f>
        <v>MHHH8FM7A</v>
      </c>
      <c r="B9477" t="s">
        <v>1400</v>
      </c>
      <c r="C9477">
        <v>129</v>
      </c>
      <c r="D9477">
        <v>140.22999999999999</v>
      </c>
      <c r="E9477">
        <v>140.22</v>
      </c>
      <c r="F9477">
        <v>0.01</v>
      </c>
    </row>
    <row r="9478" spans="1:6" x14ac:dyDescent="0.3">
      <c r="A9478" t="str">
        <f>HYPERLINK("https://us2.cloudbeds.com/connect/10074733072513#/reservations/31687245467901?display=MHGRXNX4B&amp;reservation_id=31687245467901", "MHGRXNX4B")</f>
        <v>MHGRXNX4B</v>
      </c>
      <c r="B9478" t="s">
        <v>1440</v>
      </c>
      <c r="C9478">
        <v>377</v>
      </c>
      <c r="D9478">
        <v>409.81</v>
      </c>
      <c r="E9478">
        <v>409.8</v>
      </c>
      <c r="F9478">
        <v>0.01</v>
      </c>
    </row>
    <row r="9479" spans="1:6" x14ac:dyDescent="0.3">
      <c r="A9479" t="str">
        <f>HYPERLINK("https://us2.cloudbeds.com/connect/10074733072513#/reservations/31685310324943?display=MHFB3VBBY&amp;reservation_id=31685310324943", "MHFB3VBBY")</f>
        <v>MHFB3VBBY</v>
      </c>
      <c r="B9479" t="s">
        <v>1409</v>
      </c>
      <c r="C9479">
        <v>139</v>
      </c>
      <c r="D9479">
        <v>151.1</v>
      </c>
      <c r="E9479">
        <v>151.09</v>
      </c>
      <c r="F9479">
        <v>0.01</v>
      </c>
    </row>
    <row r="9480" spans="1:6" x14ac:dyDescent="0.3">
      <c r="A9480" t="str">
        <f>HYPERLINK("https://us2.cloudbeds.com/connect/10074733072513#/reservations/31687476048069?display=MHH0F4PR4&amp;reservation_id=31687476048069", "MHH0F4PR4")</f>
        <v>MHH0F4PR4</v>
      </c>
      <c r="B9480" t="s">
        <v>1408</v>
      </c>
      <c r="C9480">
        <v>129</v>
      </c>
      <c r="D9480">
        <v>140.22999999999999</v>
      </c>
      <c r="E9480">
        <v>140.22</v>
      </c>
      <c r="F9480">
        <v>0.01</v>
      </c>
    </row>
    <row r="9481" spans="1:6" x14ac:dyDescent="0.3">
      <c r="A9481" t="str">
        <f>HYPERLINK("https://us2.cloudbeds.com/connect/10074733072513#/reservations/31689129672895?display=MHX9NHAUC&amp;reservation_id=31689129672895", "MHX9NHAUC")</f>
        <v>MHX9NHAUC</v>
      </c>
      <c r="B9481" t="s">
        <v>1402</v>
      </c>
      <c r="C9481">
        <v>97.74</v>
      </c>
      <c r="D9481">
        <v>106.25</v>
      </c>
      <c r="E9481">
        <v>106.24</v>
      </c>
      <c r="F9481">
        <v>0.01</v>
      </c>
    </row>
    <row r="9482" spans="1:6" x14ac:dyDescent="0.3">
      <c r="A9482" t="str">
        <f>HYPERLINK("https://us2.cloudbeds.com/connect/10074733072513#/reservations/31688133443794?display=MHHH8FPWZ&amp;reservation_id=31688133443794", "MHHH8FPWZ")</f>
        <v>MHHH8FPWZ</v>
      </c>
      <c r="B9482" t="s">
        <v>1400</v>
      </c>
      <c r="C9482">
        <v>109</v>
      </c>
      <c r="D9482">
        <v>118.49</v>
      </c>
      <c r="E9482">
        <v>118.48</v>
      </c>
      <c r="F9482">
        <v>0.01</v>
      </c>
    </row>
    <row r="9483" spans="1:6" x14ac:dyDescent="0.3">
      <c r="A9483" t="str">
        <f>HYPERLINK("https://us2.cloudbeds.com/connect/10074733072513#/reservations/31694288724127?display=MHM9HPHN6&amp;reservation_id=31694288724127", "MHM9HPHN6")</f>
        <v>MHM9HPHN6</v>
      </c>
      <c r="B9483" t="s">
        <v>1441</v>
      </c>
      <c r="C9483">
        <v>129</v>
      </c>
      <c r="D9483">
        <v>140.22999999999999</v>
      </c>
      <c r="E9483">
        <v>140.22</v>
      </c>
      <c r="F9483">
        <v>0.01</v>
      </c>
    </row>
    <row r="9484" spans="1:6" x14ac:dyDescent="0.3">
      <c r="A9484" t="str">
        <f>HYPERLINK("https://us2.cloudbeds.com/connect/10074733072513#/reservations/31687437541580?display=MHGWFM9AS&amp;reservation_id=31687437541580", "MHGWFM9AS")</f>
        <v>MHGWFM9AS</v>
      </c>
      <c r="B9484" t="s">
        <v>1425</v>
      </c>
      <c r="C9484">
        <v>149</v>
      </c>
      <c r="D9484">
        <v>161.97</v>
      </c>
      <c r="E9484">
        <v>161.96</v>
      </c>
      <c r="F9484">
        <v>0.01</v>
      </c>
    </row>
    <row r="9485" spans="1:6" x14ac:dyDescent="0.3">
      <c r="A9485" t="str">
        <f>HYPERLINK("https://us2.cloudbeds.com/connect/10074733072513#/reservations/31694560264328?display=MHMGFZHU4&amp;reservation_id=31694560264328", "MHMGFZHU4")</f>
        <v>MHMGFZHU4</v>
      </c>
      <c r="B9485" t="s">
        <v>1327</v>
      </c>
      <c r="C9485">
        <v>139</v>
      </c>
      <c r="D9485">
        <v>151.1</v>
      </c>
      <c r="E9485">
        <v>151.09</v>
      </c>
      <c r="F9485">
        <v>0.01</v>
      </c>
    </row>
    <row r="9486" spans="1:6" x14ac:dyDescent="0.3">
      <c r="A9486" t="str">
        <f>HYPERLINK("https://us2.cloudbeds.com/connect/10074733072513#/reservations/31687416533192?display=MHGVUVMT1&amp;reservation_id=31687416533192", "MHGVUVMT1")</f>
        <v>MHGVUVMT1</v>
      </c>
      <c r="B9486" t="s">
        <v>1425</v>
      </c>
      <c r="C9486">
        <v>139</v>
      </c>
      <c r="D9486">
        <v>151.1</v>
      </c>
      <c r="E9486">
        <v>151.09</v>
      </c>
      <c r="F9486">
        <v>0.01</v>
      </c>
    </row>
    <row r="9487" spans="1:6" x14ac:dyDescent="0.3">
      <c r="A9487" t="str">
        <f>HYPERLINK("https://us2.cloudbeds.com/connect/10074733072513#/reservations/31693551153357?display=MHYNMRHTQ&amp;reservation_id=31693551153357", "MHYNMRHTQ")</f>
        <v>MHYNMRHTQ</v>
      </c>
      <c r="B9487" t="s">
        <v>1436</v>
      </c>
      <c r="C9487">
        <v>218</v>
      </c>
      <c r="D9487">
        <v>236.98</v>
      </c>
      <c r="E9487">
        <v>236.97</v>
      </c>
      <c r="F9487">
        <v>0.01</v>
      </c>
    </row>
    <row r="9488" spans="1:6" x14ac:dyDescent="0.3">
      <c r="A9488" t="str">
        <f>HYPERLINK("https://us2.cloudbeds.com/connect/10074733072513#/reservations/31736076341436?display=MXYYA6JCQ&amp;reservation_id=31736076341436", "MXYYA6JCQ")</f>
        <v>MXYYA6JCQ</v>
      </c>
      <c r="B9488" t="s">
        <v>1322</v>
      </c>
      <c r="C9488">
        <v>318</v>
      </c>
      <c r="D9488">
        <v>345.68</v>
      </c>
      <c r="E9488">
        <v>345.67</v>
      </c>
      <c r="F9488">
        <v>0.01</v>
      </c>
    </row>
    <row r="9489" spans="1:6" x14ac:dyDescent="0.3">
      <c r="A9489" t="str">
        <f>HYPERLINK("https://us2.cloudbeds.com/connect/10074733072513#/reservations/31695446708406?display=MHN64754T&amp;reservation_id=31695446708406", "MHN64754T")</f>
        <v>MHN64754T</v>
      </c>
      <c r="B9489" t="s">
        <v>1442</v>
      </c>
      <c r="C9489">
        <v>318</v>
      </c>
      <c r="D9489">
        <v>345.68</v>
      </c>
      <c r="E9489">
        <v>345.67</v>
      </c>
      <c r="F9489">
        <v>0.01</v>
      </c>
    </row>
    <row r="9490" spans="1:6" x14ac:dyDescent="0.3">
      <c r="A9490" t="str">
        <f>HYPERLINK("https://us2.cloudbeds.com/connect/10074733072513#/reservations/31689164890285?display=MHXAK7A40&amp;reservation_id=31689164890285", "MHXAK7A40")</f>
        <v>MHXAK7A40</v>
      </c>
      <c r="B9490" t="s">
        <v>1436</v>
      </c>
      <c r="C9490">
        <v>73</v>
      </c>
      <c r="D9490">
        <v>79.36</v>
      </c>
      <c r="E9490">
        <v>79.349999999999994</v>
      </c>
      <c r="F9490">
        <v>0.01</v>
      </c>
    </row>
    <row r="9491" spans="1:6" x14ac:dyDescent="0.3">
      <c r="A9491" t="str">
        <f>HYPERLINK("https://us2.cloudbeds.com/connect/10074733072513#/reservations/31689536471250?display=MHXK3X348&amp;reservation_id=31689536471250", "MHXK3X348")</f>
        <v>MHXK3X348</v>
      </c>
      <c r="B9491" t="s">
        <v>1408</v>
      </c>
      <c r="C9491">
        <v>278</v>
      </c>
      <c r="D9491">
        <v>302.2</v>
      </c>
      <c r="E9491">
        <v>302.19</v>
      </c>
      <c r="F9491">
        <v>0.01</v>
      </c>
    </row>
    <row r="9492" spans="1:6" x14ac:dyDescent="0.3">
      <c r="A9492" t="str">
        <f>HYPERLINK("https://us2.cloudbeds.com/connect/10074733072513#/reservations/31686483710149?display=MHG83CH23&amp;reservation_id=31686483710149", "MHG83CH23")</f>
        <v>MHG83CH23</v>
      </c>
      <c r="B9492" t="s">
        <v>1409</v>
      </c>
      <c r="C9492">
        <v>139</v>
      </c>
      <c r="D9492">
        <v>151.1</v>
      </c>
      <c r="E9492">
        <v>151.09</v>
      </c>
      <c r="F9492">
        <v>0.01</v>
      </c>
    </row>
    <row r="9493" spans="1:6" x14ac:dyDescent="0.3">
      <c r="A9493" t="str">
        <f>HYPERLINK("https://us2.cloudbeds.com/connect/10074733072513#/reservations/31693622714497?display=MHYPH5RK6&amp;reservation_id=31693622714497", "MHYPH5RK6")</f>
        <v>MHYPH5RK6</v>
      </c>
      <c r="B9493" t="s">
        <v>1435</v>
      </c>
      <c r="C9493">
        <v>484</v>
      </c>
      <c r="D9493">
        <v>526.12</v>
      </c>
      <c r="E9493">
        <v>526.11</v>
      </c>
      <c r="F9493">
        <v>0.01</v>
      </c>
    </row>
    <row r="9494" spans="1:6" x14ac:dyDescent="0.3">
      <c r="A9494" t="str">
        <f>HYPERLINK("https://us2.cloudbeds.com/connect/10074733072513#/reservations/31693595545735?display=MHYZR8R8C&amp;reservation_id=31693595545735", "MHYZR8R8C")</f>
        <v>MHYZR8R8C</v>
      </c>
      <c r="B9494" t="s">
        <v>1435</v>
      </c>
      <c r="C9494">
        <v>150</v>
      </c>
      <c r="D9494">
        <v>163.06</v>
      </c>
      <c r="E9494">
        <v>163.05000000000001</v>
      </c>
      <c r="F9494">
        <v>0.01</v>
      </c>
    </row>
    <row r="9495" spans="1:6" x14ac:dyDescent="0.3">
      <c r="A9495" t="str">
        <f>HYPERLINK("https://us2.cloudbeds.com/connect/10074733072513#/reservations/31693568581772?display=MHYZ4HGVJ&amp;reservation_id=31693568581772", "MHYZ4HGVJ")</f>
        <v>MHYZ4HGVJ</v>
      </c>
      <c r="B9495" t="s">
        <v>1436</v>
      </c>
      <c r="C9495">
        <v>79</v>
      </c>
      <c r="D9495">
        <v>85.88</v>
      </c>
      <c r="E9495">
        <v>85.87</v>
      </c>
      <c r="F9495">
        <v>0.01</v>
      </c>
    </row>
    <row r="9496" spans="1:6" x14ac:dyDescent="0.3">
      <c r="A9496" t="str">
        <f>HYPERLINK("https://us2.cloudbeds.com/connect/10074733072513#/reservations/31689156108500?display=MHXACQV1A&amp;reservation_id=31689156108500", "MHXACQV1A")</f>
        <v>MHXACQV1A</v>
      </c>
      <c r="B9496" t="s">
        <v>1436</v>
      </c>
      <c r="C9496">
        <v>109</v>
      </c>
      <c r="D9496">
        <v>118.49</v>
      </c>
      <c r="E9496">
        <v>118.48</v>
      </c>
      <c r="F9496">
        <v>0.01</v>
      </c>
    </row>
    <row r="9497" spans="1:6" x14ac:dyDescent="0.3">
      <c r="A9497" t="str">
        <f>HYPERLINK("https://us2.cloudbeds.com/connect/10074733072513#/reservations/31684975079575?display=MHF2X8YC3&amp;reservation_id=31684975079575", "MHF2X8YC3")</f>
        <v>MHF2X8YC3</v>
      </c>
      <c r="B9497" t="s">
        <v>1375</v>
      </c>
      <c r="C9497">
        <v>159</v>
      </c>
      <c r="D9497">
        <v>172.84</v>
      </c>
      <c r="E9497">
        <v>172.83</v>
      </c>
      <c r="F9497">
        <v>0.01</v>
      </c>
    </row>
    <row r="9498" spans="1:6" x14ac:dyDescent="0.3">
      <c r="A9498" t="str">
        <f>HYPERLINK("https://us2.cloudbeds.com/connect/10074733072513#/reservations/31693659263130?display=MHYQEWS8H&amp;reservation_id=31693659263130", "MHYQEWS8H")</f>
        <v>MHYQEWS8H</v>
      </c>
      <c r="B9498" t="s">
        <v>1435</v>
      </c>
      <c r="C9498">
        <v>139</v>
      </c>
      <c r="D9498">
        <v>151.1</v>
      </c>
      <c r="E9498">
        <v>151.09</v>
      </c>
      <c r="F9498">
        <v>0.01</v>
      </c>
    </row>
    <row r="9499" spans="1:6" x14ac:dyDescent="0.3">
      <c r="A9499" t="str">
        <f>HYPERLINK("https://us2.cloudbeds.com/connect/10074733072513#/reservations/31693648617616?display=MHYQ60KP6&amp;reservation_id=31693648617616", "MHYQ60KP6")</f>
        <v>MHYQ60KP6</v>
      </c>
      <c r="B9499" t="s">
        <v>1435</v>
      </c>
      <c r="C9499">
        <v>102.58</v>
      </c>
      <c r="D9499">
        <v>111.51</v>
      </c>
      <c r="E9499">
        <v>111.5</v>
      </c>
      <c r="F9499">
        <v>0.01</v>
      </c>
    </row>
    <row r="9500" spans="1:6" x14ac:dyDescent="0.3">
      <c r="A9500" t="str">
        <f>HYPERLINK("https://us2.cloudbeds.com/connect/10074733072513#/reservations/31685676892354?display=MHFKG1KX0&amp;reservation_id=31685676892354", "MHFKG1KX0")</f>
        <v>MHFKG1KX0</v>
      </c>
      <c r="B9500" t="s">
        <v>1445</v>
      </c>
      <c r="C9500">
        <v>420</v>
      </c>
      <c r="D9500">
        <v>456.55</v>
      </c>
      <c r="E9500">
        <v>456.54</v>
      </c>
      <c r="F9500">
        <v>0.01</v>
      </c>
    </row>
    <row r="9501" spans="1:6" x14ac:dyDescent="0.3">
      <c r="A9501" t="str">
        <f>HYPERLINK("https://us2.cloudbeds.com/connect/10074733072513#/reservations/31687189418186?display=MHGQ4ET53&amp;reservation_id=31687189418186", "MHGQ4ET53")</f>
        <v>MHGQ4ET53</v>
      </c>
      <c r="B9501" t="s">
        <v>1407</v>
      </c>
      <c r="C9501">
        <v>178</v>
      </c>
      <c r="D9501">
        <v>193.5</v>
      </c>
      <c r="E9501">
        <v>193.49</v>
      </c>
      <c r="F9501">
        <v>0.01</v>
      </c>
    </row>
    <row r="9502" spans="1:6" x14ac:dyDescent="0.3">
      <c r="A9502" t="str">
        <f>HYPERLINK("https://us2.cloudbeds.com/connect/10074733072513#/reservations/31693565984896?display=MHYZ2B4K6&amp;reservation_id=31693565984896", "MHYZ2B4K6")</f>
        <v>MHYZ2B4K6</v>
      </c>
      <c r="B9502" t="s">
        <v>1435</v>
      </c>
      <c r="C9502">
        <v>87.82</v>
      </c>
      <c r="D9502">
        <v>95.47</v>
      </c>
      <c r="E9502">
        <v>95.46</v>
      </c>
      <c r="F9502">
        <v>0.01</v>
      </c>
    </row>
    <row r="9503" spans="1:6" x14ac:dyDescent="0.3">
      <c r="A9503" t="str">
        <f>HYPERLINK("https://us2.cloudbeds.com/connect/10074733072513#/reservations/31687220674722?display=MHGQUQY6T&amp;reservation_id=31687220674722", "MHGQUQY6T")</f>
        <v>MHGQUQY6T</v>
      </c>
      <c r="B9503" t="s">
        <v>1440</v>
      </c>
      <c r="C9503">
        <v>369.2</v>
      </c>
      <c r="D9503">
        <v>401.33</v>
      </c>
      <c r="E9503">
        <v>401.32</v>
      </c>
      <c r="F9503">
        <v>0.01</v>
      </c>
    </row>
    <row r="9504" spans="1:6" x14ac:dyDescent="0.3">
      <c r="A9504" t="str">
        <f>HYPERLINK("https://us2.cloudbeds.com/connect/10074733072513#/reservations/31685590065315?display=MHFX8RHXK&amp;reservation_id=31685590065315", "MHFX8RHXK")</f>
        <v>MHFX8RHXK</v>
      </c>
      <c r="B9504" t="s">
        <v>1437</v>
      </c>
      <c r="C9504">
        <v>149</v>
      </c>
      <c r="D9504">
        <v>161.97</v>
      </c>
      <c r="E9504">
        <v>161.96</v>
      </c>
      <c r="F9504">
        <v>0.01</v>
      </c>
    </row>
    <row r="9505" spans="1:6" x14ac:dyDescent="0.3">
      <c r="A9505" t="str">
        <f>HYPERLINK("https://us2.cloudbeds.com/connect/10074733072513#/reservations/31689808867463?display=MHXR27UCV&amp;reservation_id=31689808867463", "MHXR27UCV")</f>
        <v>MHXR27UCV</v>
      </c>
      <c r="B9505" t="s">
        <v>1439</v>
      </c>
      <c r="C9505">
        <v>150</v>
      </c>
      <c r="D9505">
        <v>163.06</v>
      </c>
      <c r="E9505">
        <v>163.05000000000001</v>
      </c>
      <c r="F9505">
        <v>0.01</v>
      </c>
    </row>
    <row r="9506" spans="1:6" x14ac:dyDescent="0.3">
      <c r="A9506" t="str">
        <f>HYPERLINK("https://us2.cloudbeds.com/connect/10074733072513#/reservations/31691908288660?display=MHKENHDX3&amp;reservation_id=31691908288660", "MHKENHDX3")</f>
        <v>MHKENHDX3</v>
      </c>
      <c r="B9506" t="s">
        <v>1442</v>
      </c>
      <c r="C9506">
        <v>139</v>
      </c>
      <c r="D9506">
        <v>151.1</v>
      </c>
      <c r="E9506">
        <v>151.09</v>
      </c>
      <c r="F9506">
        <v>0.01</v>
      </c>
    </row>
    <row r="9507" spans="1:6" x14ac:dyDescent="0.3">
      <c r="A9507" t="str">
        <f>HYPERLINK("https://us2.cloudbeds.com/connect/10074733072513#/reservations/31687198318796?display=MHGQBVXBJ&amp;reservation_id=31687198318796", "MHGQBVXBJ")</f>
        <v>MHGQBVXBJ</v>
      </c>
      <c r="B9507" t="s">
        <v>1408</v>
      </c>
      <c r="C9507">
        <v>139</v>
      </c>
      <c r="D9507">
        <v>151.1</v>
      </c>
      <c r="E9507">
        <v>151.09</v>
      </c>
      <c r="F9507">
        <v>0.01</v>
      </c>
    </row>
    <row r="9508" spans="1:6" x14ac:dyDescent="0.3">
      <c r="A9508" t="str">
        <f>HYPERLINK("https://us2.cloudbeds.com/connect/10074733072513#/reservations/31688016683168?display=MHHE90ZPV&amp;reservation_id=31688016683168", "MHHE90ZPV")</f>
        <v>MHHE90ZPV</v>
      </c>
      <c r="B9508" t="s">
        <v>1438</v>
      </c>
      <c r="C9508">
        <v>119</v>
      </c>
      <c r="D9508">
        <v>129.36000000000001</v>
      </c>
      <c r="E9508">
        <v>129.35</v>
      </c>
      <c r="F9508">
        <v>0.01</v>
      </c>
    </row>
    <row r="9509" spans="1:6" x14ac:dyDescent="0.3">
      <c r="A9509" t="str">
        <f>HYPERLINK("https://us2.cloudbeds.com/connect/10074733072513#/reservations/31689095590017?display=MHX8RPUGT&amp;reservation_id=31689095590017", "MHX8RPUGT")</f>
        <v>MHX8RPUGT</v>
      </c>
      <c r="B9509" t="s">
        <v>1439</v>
      </c>
      <c r="C9509">
        <v>109</v>
      </c>
      <c r="D9509">
        <v>118.49</v>
      </c>
      <c r="E9509">
        <v>118.48</v>
      </c>
      <c r="F9509">
        <v>0.01</v>
      </c>
    </row>
    <row r="9510" spans="1:6" x14ac:dyDescent="0.3">
      <c r="A9510" t="str">
        <f>HYPERLINK("https://us2.cloudbeds.com/connect/10074733072513#/reservations/31687116243094?display=MHGZ8ZMD3&amp;reservation_id=31687116243094", "MHGZ8ZMD3")</f>
        <v>MHGZ8ZMD3</v>
      </c>
      <c r="B9510" t="s">
        <v>1408</v>
      </c>
      <c r="C9510">
        <v>179</v>
      </c>
      <c r="D9510">
        <v>194.58</v>
      </c>
      <c r="E9510">
        <v>194.57</v>
      </c>
      <c r="F9510">
        <v>0.01</v>
      </c>
    </row>
    <row r="9511" spans="1:6" x14ac:dyDescent="0.3">
      <c r="A9511" t="str">
        <f>HYPERLINK("https://us2.cloudbeds.com/connect/10074733072513#/reservations/31687129886860?display=MHGZK8B3X&amp;reservation_id=31687129886860", "MHGZK8B3X")</f>
        <v>MHGZK8B3X</v>
      </c>
      <c r="B9511" t="s">
        <v>1408</v>
      </c>
      <c r="C9511">
        <v>159</v>
      </c>
      <c r="D9511">
        <v>172.84</v>
      </c>
      <c r="E9511">
        <v>172.83</v>
      </c>
      <c r="F9511">
        <v>0.01</v>
      </c>
    </row>
    <row r="9512" spans="1:6" x14ac:dyDescent="0.3">
      <c r="A9512" t="str">
        <f>HYPERLINK("https://us2.cloudbeds.com/connect/10074733072513#/reservations/31689827496098?display=MHXRHV9J1&amp;reservation_id=31689827496098", "MHXRHV9J1")</f>
        <v>MHXRHV9J1</v>
      </c>
      <c r="B9512" t="s">
        <v>1439</v>
      </c>
      <c r="C9512">
        <v>79</v>
      </c>
      <c r="D9512">
        <v>85.88</v>
      </c>
      <c r="E9512">
        <v>85.87</v>
      </c>
      <c r="F9512">
        <v>0.01</v>
      </c>
    </row>
    <row r="9513" spans="1:6" x14ac:dyDescent="0.3">
      <c r="A9513" t="str">
        <f>HYPERLINK("https://us2.cloudbeds.com/connect/10074733072513#/reservations/31689842438292?display=MHXRUX2JQ&amp;reservation_id=31689842438292", "MHXRUX2JQ")</f>
        <v>MHXRUX2JQ</v>
      </c>
      <c r="B9513" t="s">
        <v>1425</v>
      </c>
      <c r="C9513">
        <v>169</v>
      </c>
      <c r="D9513">
        <v>183.71</v>
      </c>
      <c r="E9513">
        <v>183.7</v>
      </c>
      <c r="F9513">
        <v>0.01</v>
      </c>
    </row>
    <row r="9514" spans="1:6" x14ac:dyDescent="0.3">
      <c r="A9514" t="str">
        <f>HYPERLINK("https://us2.cloudbeds.com/connect/10074733072513#/reservations/31693377761436?display=MHYJ8KYM5&amp;reservation_id=31693377761436", "MHYJ8KYM5")</f>
        <v>MHYJ8KYM5</v>
      </c>
      <c r="B9514" t="s">
        <v>1448</v>
      </c>
      <c r="C9514">
        <v>225</v>
      </c>
      <c r="D9514">
        <v>244.59</v>
      </c>
      <c r="E9514">
        <v>244.58</v>
      </c>
      <c r="F9514">
        <v>0.01</v>
      </c>
    </row>
    <row r="9515" spans="1:6" x14ac:dyDescent="0.3">
      <c r="A9515" t="str">
        <f>HYPERLINK("https://us2.cloudbeds.com/connect/10074733072513#/reservations/31689410048215?display=MHXGSV666&amp;reservation_id=31689410048215", "MHXGSV666")</f>
        <v>MHXGSV666</v>
      </c>
      <c r="B9515" t="s">
        <v>1443</v>
      </c>
      <c r="C9515">
        <v>149</v>
      </c>
      <c r="D9515">
        <v>161.97</v>
      </c>
      <c r="E9515">
        <v>161.96</v>
      </c>
      <c r="F9515">
        <v>0.01</v>
      </c>
    </row>
    <row r="9516" spans="1:6" x14ac:dyDescent="0.3">
      <c r="A9516" t="str">
        <f>HYPERLINK("https://us2.cloudbeds.com/connect/10074733072513#/reservations/31687247261837?display=MHGRK7FF1&amp;reservation_id=31687247261837", "MHGRK7FF1")</f>
        <v>MHGRK7FF1</v>
      </c>
      <c r="B9516" t="s">
        <v>1408</v>
      </c>
      <c r="C9516">
        <v>278</v>
      </c>
      <c r="D9516">
        <v>302.2</v>
      </c>
      <c r="E9516">
        <v>302.19</v>
      </c>
      <c r="F9516">
        <v>0.01</v>
      </c>
    </row>
    <row r="9517" spans="1:6" x14ac:dyDescent="0.3">
      <c r="A9517" t="str">
        <f>HYPERLINK("https://us2.cloudbeds.com/connect/10074733072513#/reservations/31687108358336?display=MHGNSZTYF&amp;reservation_id=31687108358336", "MHGNSZTYF")</f>
        <v>MHGNSZTYF</v>
      </c>
      <c r="B9517" t="s">
        <v>1408</v>
      </c>
      <c r="C9517">
        <v>129</v>
      </c>
      <c r="D9517">
        <v>140.22999999999999</v>
      </c>
      <c r="E9517">
        <v>140.22</v>
      </c>
      <c r="F9517">
        <v>0.01</v>
      </c>
    </row>
    <row r="9518" spans="1:6" x14ac:dyDescent="0.3">
      <c r="A9518" t="str">
        <f>HYPERLINK("https://us2.cloudbeds.com/connect/10074733072513#/reservations/31693396869313?display=MHYJGP2CQ&amp;reservation_id=31693396869313", "MHYJGP2CQ")</f>
        <v>MHYJGP2CQ</v>
      </c>
      <c r="B9518" t="s">
        <v>1448</v>
      </c>
      <c r="C9518">
        <v>225</v>
      </c>
      <c r="D9518">
        <v>244.59</v>
      </c>
      <c r="E9518">
        <v>244.58</v>
      </c>
      <c r="F9518">
        <v>0.01</v>
      </c>
    </row>
    <row r="9519" spans="1:6" x14ac:dyDescent="0.3">
      <c r="A9519" t="str">
        <f>HYPERLINK("https://us2.cloudbeds.com/connect/10074733072513#/reservations/31689600053494?display=MHXYZ5C0U&amp;reservation_id=31689600053494", "MHXYZ5C0U")</f>
        <v>MHXYZ5C0U</v>
      </c>
      <c r="B9519" t="s">
        <v>1409</v>
      </c>
      <c r="C9519">
        <v>139</v>
      </c>
      <c r="D9519">
        <v>151.1</v>
      </c>
      <c r="E9519">
        <v>151.09</v>
      </c>
      <c r="F9519">
        <v>0.01</v>
      </c>
    </row>
    <row r="9520" spans="1:6" x14ac:dyDescent="0.3">
      <c r="A9520" t="str">
        <f>HYPERLINK("https://us2.cloudbeds.com/connect/10074733072513#/reservations/31688709513400?display=MHHVW7PHF&amp;reservation_id=31688709513400", "MHHVW7PHF")</f>
        <v>MHHVW7PHF</v>
      </c>
      <c r="B9520" t="s">
        <v>1437</v>
      </c>
      <c r="C9520">
        <v>149</v>
      </c>
      <c r="D9520">
        <v>161.97</v>
      </c>
      <c r="E9520">
        <v>161.96</v>
      </c>
      <c r="F9520">
        <v>0.01</v>
      </c>
    </row>
    <row r="9521" spans="1:6" x14ac:dyDescent="0.3">
      <c r="A9521" t="str">
        <f>HYPERLINK("https://us2.cloudbeds.com/connect/10074733072513#/reservations/31689873150206?display=MHXSNEMHS&amp;reservation_id=31689873150206", "MHXSNEMHS")</f>
        <v>MHXSNEMHS</v>
      </c>
      <c r="B9521" t="s">
        <v>1447</v>
      </c>
      <c r="C9521">
        <v>150</v>
      </c>
      <c r="D9521">
        <v>163.06</v>
      </c>
      <c r="E9521">
        <v>163.05000000000001</v>
      </c>
      <c r="F9521">
        <v>0.01</v>
      </c>
    </row>
    <row r="9522" spans="1:6" x14ac:dyDescent="0.3">
      <c r="A9522" t="str">
        <f>HYPERLINK("https://us2.cloudbeds.com/connect/10074733072513#/reservations/31695119986849?display=MHMUPNYBY&amp;reservation_id=31695119986849", "MHMUPNYBY")</f>
        <v>MHMUPNYBY</v>
      </c>
      <c r="B9522" t="s">
        <v>1327</v>
      </c>
      <c r="C9522">
        <v>139</v>
      </c>
      <c r="D9522">
        <v>151.1</v>
      </c>
      <c r="E9522">
        <v>151.09</v>
      </c>
      <c r="F9522">
        <v>0.01</v>
      </c>
    </row>
    <row r="9523" spans="1:6" x14ac:dyDescent="0.3">
      <c r="A9523" t="str">
        <f>HYPERLINK("https://us2.cloudbeds.com/connect/10074733072513#/reservations/31689619189908?display=MHXM79SG8&amp;reservation_id=31689619189908", "MHXM79SG8")</f>
        <v>MHXM79SG8</v>
      </c>
      <c r="B9523" t="s">
        <v>1418</v>
      </c>
      <c r="C9523">
        <v>336</v>
      </c>
      <c r="D9523">
        <v>365.24</v>
      </c>
      <c r="E9523">
        <v>365.23</v>
      </c>
      <c r="F9523">
        <v>0.01</v>
      </c>
    </row>
    <row r="9524" spans="1:6" x14ac:dyDescent="0.3">
      <c r="A9524" t="str">
        <f>HYPERLINK("https://us2.cloudbeds.com/connect/10074733072513#/reservations/31730127483089?display=MXH19VRX1&amp;reservation_id=31730127483089", "MXH19VRX1")</f>
        <v>MXH19VRX1</v>
      </c>
      <c r="B9524" t="s">
        <v>1322</v>
      </c>
      <c r="C9524">
        <v>209</v>
      </c>
      <c r="D9524">
        <v>227.19</v>
      </c>
      <c r="E9524">
        <v>227.18</v>
      </c>
      <c r="F9524">
        <v>0.01</v>
      </c>
    </row>
    <row r="9525" spans="1:6" x14ac:dyDescent="0.3">
      <c r="A9525" t="str">
        <f>HYPERLINK("https://us2.cloudbeds.com/connect/10074733072513#/reservations/31687129882762?display=MHGZK87BC&amp;reservation_id=31687129882762", "MHGZK87BC")</f>
        <v>MHGZK87BC</v>
      </c>
      <c r="B9525" t="s">
        <v>1408</v>
      </c>
      <c r="C9525">
        <v>169</v>
      </c>
      <c r="D9525">
        <v>183.71</v>
      </c>
      <c r="E9525">
        <v>183.7</v>
      </c>
      <c r="F9525">
        <v>0.01</v>
      </c>
    </row>
    <row r="9526" spans="1:6" x14ac:dyDescent="0.3">
      <c r="A9526" t="str">
        <f>HYPERLINK("https://us2.cloudbeds.com/connect/10074733072513#/reservations/31694768378052?display=MHMYQ7K8K&amp;reservation_id=31694768378052", "MHMYQ7K8K")</f>
        <v>MHMYQ7K8K</v>
      </c>
      <c r="B9526" t="s">
        <v>1409</v>
      </c>
      <c r="C9526">
        <v>139</v>
      </c>
      <c r="D9526">
        <v>151.1</v>
      </c>
      <c r="E9526">
        <v>151.09</v>
      </c>
      <c r="F9526">
        <v>0.01</v>
      </c>
    </row>
    <row r="9527" spans="1:6" x14ac:dyDescent="0.3">
      <c r="A9527" t="str">
        <f>HYPERLINK("https://us2.cloudbeds.com/connect/10074733072513#/reservations/31689484587195?display=MHXXPQBC5&amp;reservation_id=31689484587195", "MHXXPQBC5")</f>
        <v>MHXXPQBC5</v>
      </c>
      <c r="B9527" t="s">
        <v>1443</v>
      </c>
      <c r="C9527">
        <v>294</v>
      </c>
      <c r="D9527">
        <v>319.58999999999997</v>
      </c>
      <c r="E9527">
        <v>319.58</v>
      </c>
      <c r="F9527">
        <v>0.01</v>
      </c>
    </row>
    <row r="9528" spans="1:6" x14ac:dyDescent="0.3">
      <c r="A9528" t="str">
        <f>HYPERLINK("https://us2.cloudbeds.com/connect/10074733072513#/reservations/31689652355313?display=MHXN28ZDH&amp;reservation_id=31689652355313", "MHXN28ZDH")</f>
        <v>MHXN28ZDH</v>
      </c>
      <c r="B9528" t="s">
        <v>1418</v>
      </c>
      <c r="C9528">
        <v>109</v>
      </c>
      <c r="D9528">
        <v>118.49</v>
      </c>
      <c r="E9528">
        <v>118.48</v>
      </c>
      <c r="F9528">
        <v>0.01</v>
      </c>
    </row>
    <row r="9529" spans="1:6" x14ac:dyDescent="0.3">
      <c r="A9529" t="str">
        <f>HYPERLINK("https://us2.cloudbeds.com/connect/10074733072513#/reservations/31687518027969?display=MHH1HHUSB&amp;reservation_id=31687518027969", "MHH1HHUSB")</f>
        <v>MHH1HHUSB</v>
      </c>
      <c r="B9529" t="s">
        <v>1447</v>
      </c>
      <c r="C9529">
        <v>225</v>
      </c>
      <c r="D9529">
        <v>244.59</v>
      </c>
      <c r="E9529">
        <v>244.58</v>
      </c>
      <c r="F9529">
        <v>0.01</v>
      </c>
    </row>
    <row r="9530" spans="1:6" x14ac:dyDescent="0.3">
      <c r="A9530" t="str">
        <f>HYPERLINK("https://us2.cloudbeds.com/connect/10074733072513#/reservations/31687142052023?display=MHGZUGS1S&amp;reservation_id=31687142052023", "MHGZUGS1S")</f>
        <v>MHGZUGS1S</v>
      </c>
      <c r="B9530" t="s">
        <v>1407</v>
      </c>
      <c r="C9530">
        <v>149</v>
      </c>
      <c r="D9530">
        <v>161.97</v>
      </c>
      <c r="E9530">
        <v>161.96</v>
      </c>
      <c r="F9530">
        <v>0.01</v>
      </c>
    </row>
    <row r="9531" spans="1:6" x14ac:dyDescent="0.3">
      <c r="A9531" t="str">
        <f>HYPERLINK("https://us2.cloudbeds.com/connect/10074733072513#/reservations/31686286385374?display=MHG31WYUF&amp;reservation_id=31686286385374", "MHG31WYUF")</f>
        <v>MHG31WYUF</v>
      </c>
      <c r="B9531" t="s">
        <v>1445</v>
      </c>
      <c r="C9531">
        <v>218</v>
      </c>
      <c r="D9531">
        <v>236.98</v>
      </c>
      <c r="E9531">
        <v>236.97</v>
      </c>
      <c r="F9531">
        <v>0.01</v>
      </c>
    </row>
    <row r="9532" spans="1:6" x14ac:dyDescent="0.3">
      <c r="A9532" t="str">
        <f>HYPERLINK("https://us2.cloudbeds.com/connect/10074733072513#/reservations/31685612712078?display=MHFXRUNG5&amp;reservation_id=31685612712078", "MHFXRUNG5")</f>
        <v>MHFXRUNG5</v>
      </c>
      <c r="B9532" t="s">
        <v>1445</v>
      </c>
      <c r="C9532">
        <v>119</v>
      </c>
      <c r="D9532">
        <v>129.36000000000001</v>
      </c>
      <c r="E9532">
        <v>129.35</v>
      </c>
      <c r="F9532">
        <v>0.01</v>
      </c>
    </row>
    <row r="9533" spans="1:6" x14ac:dyDescent="0.3">
      <c r="A9533" t="str">
        <f>HYPERLINK("https://us2.cloudbeds.com/connect/10074733072513#/reservations/31685247787230?display=MHF9H74KE&amp;reservation_id=31685247787230", "MHF9H74KE")</f>
        <v>MHF9H74KE</v>
      </c>
      <c r="B9533" t="s">
        <v>1409</v>
      </c>
      <c r="C9533">
        <v>205.16</v>
      </c>
      <c r="D9533">
        <v>223.02</v>
      </c>
      <c r="E9533">
        <v>223.01</v>
      </c>
      <c r="F9533">
        <v>0.01</v>
      </c>
    </row>
    <row r="9534" spans="1:6" x14ac:dyDescent="0.3">
      <c r="A9534" t="str">
        <f>HYPERLINK("https://us2.cloudbeds.com/connect/10074733072513#/reservations/31687461879964?display=MHH036HKY&amp;reservation_id=31687461879964", "MHH036HKY")</f>
        <v>MHH036HKY</v>
      </c>
      <c r="B9534" t="s">
        <v>1445</v>
      </c>
      <c r="C9534">
        <v>109</v>
      </c>
      <c r="D9534">
        <v>118.49</v>
      </c>
      <c r="E9534">
        <v>118.48</v>
      </c>
      <c r="F9534">
        <v>0.01</v>
      </c>
    </row>
    <row r="9535" spans="1:6" x14ac:dyDescent="0.3">
      <c r="A9535" t="str">
        <f>HYPERLINK("https://us2.cloudbeds.com/connect/10074733072513#/reservations/31689709850799?display=MHXZHZKWW&amp;reservation_id=31689709850799", "MHXZHZKWW")</f>
        <v>MHXZHZKWW</v>
      </c>
      <c r="B9535" t="s">
        <v>1451</v>
      </c>
      <c r="C9535">
        <v>109</v>
      </c>
      <c r="D9535">
        <v>118.49</v>
      </c>
      <c r="E9535">
        <v>118.48</v>
      </c>
      <c r="F9535">
        <v>0.01</v>
      </c>
    </row>
    <row r="9536" spans="1:6" x14ac:dyDescent="0.3">
      <c r="A9536" t="str">
        <f>HYPERLINK("https://us2.cloudbeds.com/connect/10074733072513#/reservations/31689491357905?display=MHXXVGZZ6&amp;reservation_id=31689491357905", "MHXXVGZZ6")</f>
        <v>MHXXVGZZ6</v>
      </c>
      <c r="B9536" t="s">
        <v>1443</v>
      </c>
      <c r="C9536">
        <v>252</v>
      </c>
      <c r="D9536">
        <v>273.93</v>
      </c>
      <c r="E9536">
        <v>273.92</v>
      </c>
      <c r="F9536">
        <v>0.01</v>
      </c>
    </row>
    <row r="9537" spans="1:6" x14ac:dyDescent="0.3">
      <c r="A9537" t="str">
        <f>HYPERLINK("https://us2.cloudbeds.com/connect/10074733072513#/reservations/31690127909007?display=MHJ278NRH&amp;reservation_id=31690127909007", "MHJ278NRH")</f>
        <v>MHJ278NRH</v>
      </c>
      <c r="B9537" t="s">
        <v>1453</v>
      </c>
      <c r="C9537">
        <v>450</v>
      </c>
      <c r="D9537">
        <v>489.16</v>
      </c>
      <c r="E9537">
        <v>489.15</v>
      </c>
      <c r="F9537">
        <v>0.01</v>
      </c>
    </row>
    <row r="9538" spans="1:6" x14ac:dyDescent="0.3">
      <c r="A9538" t="str">
        <f>HYPERLINK("https://us2.cloudbeds.com/connect/10074733072513#/reservations/31689879752858?display=MHXST0DJ7&amp;reservation_id=31689879752858", "MHXST0DJ7")</f>
        <v>MHXST0DJ7</v>
      </c>
      <c r="B9538" t="s">
        <v>1447</v>
      </c>
      <c r="C9538">
        <v>336</v>
      </c>
      <c r="D9538">
        <v>365.24</v>
      </c>
      <c r="E9538">
        <v>365.23</v>
      </c>
      <c r="F9538">
        <v>0.01</v>
      </c>
    </row>
    <row r="9539" spans="1:6" x14ac:dyDescent="0.3">
      <c r="A9539" t="str">
        <f>HYPERLINK("https://us2.cloudbeds.com/connect/10074733072513#/reservations/31686215590043?display=MHG189MED&amp;reservation_id=31686215590043", "MHG189MED")</f>
        <v>MHG189MED</v>
      </c>
      <c r="B9539" t="s">
        <v>1451</v>
      </c>
      <c r="C9539">
        <v>109</v>
      </c>
      <c r="D9539">
        <v>118.49</v>
      </c>
      <c r="E9539">
        <v>118.48</v>
      </c>
      <c r="F9539">
        <v>0.01</v>
      </c>
    </row>
    <row r="9540" spans="1:6" x14ac:dyDescent="0.3">
      <c r="A9540" t="str">
        <f>HYPERLINK("https://us2.cloudbeds.com/connect/10074733072513#/reservations/31687475331218?display=MHH0EHRXD&amp;reservation_id=31687475331218", "MHH0EHRXD")</f>
        <v>MHH0EHRXD</v>
      </c>
      <c r="B9540" t="s">
        <v>1445</v>
      </c>
      <c r="C9540">
        <v>139</v>
      </c>
      <c r="D9540">
        <v>151.1</v>
      </c>
      <c r="E9540">
        <v>151.09</v>
      </c>
      <c r="F9540">
        <v>0.01</v>
      </c>
    </row>
    <row r="9541" spans="1:6" x14ac:dyDescent="0.3">
      <c r="A9541" t="str">
        <f>HYPERLINK("https://us2.cloudbeds.com/connect/10074733072513#/reservations/31689269891288?display=MHXD9P3PJ&amp;reservation_id=31689269891288", "MHXD9P3PJ")</f>
        <v>MHXD9P3PJ</v>
      </c>
      <c r="B9541" t="s">
        <v>1429</v>
      </c>
      <c r="C9541">
        <v>318</v>
      </c>
      <c r="D9541">
        <v>345.68</v>
      </c>
      <c r="E9541">
        <v>345.67</v>
      </c>
      <c r="F9541">
        <v>0.01</v>
      </c>
    </row>
    <row r="9542" spans="1:6" x14ac:dyDescent="0.3">
      <c r="A9542" t="str">
        <f>HYPERLINK("https://us2.cloudbeds.com/connect/10074733072513#/reservations/31685565620423?display=MHFHY7AFA&amp;reservation_id=31685565620423", "MHFHY7AFA")</f>
        <v>MHFHY7AFA</v>
      </c>
      <c r="B9542" t="s">
        <v>1445</v>
      </c>
      <c r="C9542">
        <v>109</v>
      </c>
      <c r="D9542">
        <v>118.49</v>
      </c>
      <c r="E9542">
        <v>118.48</v>
      </c>
      <c r="F9542">
        <v>0.01</v>
      </c>
    </row>
    <row r="9543" spans="1:6" x14ac:dyDescent="0.3">
      <c r="A9543" t="str">
        <f>HYPERLINK("https://us2.cloudbeds.com/connect/10074733072513#/reservations/31693936554198?display=MHM0HQTB5&amp;reservation_id=31693936554198", "MHM0HQTB5")</f>
        <v>MHM0HQTB5</v>
      </c>
      <c r="B9543" t="s">
        <v>1407</v>
      </c>
      <c r="C9543">
        <v>298</v>
      </c>
      <c r="D9543">
        <v>323.94</v>
      </c>
      <c r="E9543">
        <v>323.93</v>
      </c>
      <c r="F9543">
        <v>0.01</v>
      </c>
    </row>
    <row r="9544" spans="1:6" x14ac:dyDescent="0.3">
      <c r="A9544" t="str">
        <f>HYPERLINK("https://us2.cloudbeds.com/connect/10074733072513#/reservations/31686494265499?display=MHG8C97P6&amp;reservation_id=31686494265499", "MHG8C97P6")</f>
        <v>MHG8C97P6</v>
      </c>
      <c r="B9544" t="s">
        <v>1409</v>
      </c>
      <c r="C9544">
        <v>189</v>
      </c>
      <c r="D9544">
        <v>205.45</v>
      </c>
      <c r="E9544">
        <v>205.44</v>
      </c>
      <c r="F9544">
        <v>0.01</v>
      </c>
    </row>
    <row r="9545" spans="1:6" x14ac:dyDescent="0.3">
      <c r="A9545" t="str">
        <f>HYPERLINK("https://us2.cloudbeds.com/connect/10074733072513#/reservations/31686522425547?display=MHG930RCW&amp;reservation_id=31686522425547", "MHG930RCW")</f>
        <v>MHG930RCW</v>
      </c>
      <c r="B9545" t="s">
        <v>1409</v>
      </c>
      <c r="C9545">
        <v>97.74</v>
      </c>
      <c r="D9545">
        <v>106.25</v>
      </c>
      <c r="E9545">
        <v>106.24</v>
      </c>
      <c r="F9545">
        <v>0.01</v>
      </c>
    </row>
    <row r="9546" spans="1:6" x14ac:dyDescent="0.3">
      <c r="A9546" t="str">
        <f>HYPERLINK("https://us2.cloudbeds.com/connect/10074733072513#/reservations/31689567105208?display=MHXKTCHG0&amp;reservation_id=31689567105208", "MHXKTCHG0")</f>
        <v>MHXKTCHG0</v>
      </c>
      <c r="B9546" t="s">
        <v>1452</v>
      </c>
      <c r="C9546">
        <v>109</v>
      </c>
      <c r="D9546">
        <v>118.49</v>
      </c>
      <c r="E9546">
        <v>118.48</v>
      </c>
      <c r="F9546">
        <v>0.01</v>
      </c>
    </row>
    <row r="9547" spans="1:6" x14ac:dyDescent="0.3">
      <c r="A9547" t="str">
        <f>HYPERLINK("https://us2.cloudbeds.com/connect/10074733072513#/reservations/31687508172956?display=MHH197N8X&amp;reservation_id=31687508172956", "MHH197N8X")</f>
        <v>MHH197N8X</v>
      </c>
      <c r="B9547" t="s">
        <v>1447</v>
      </c>
      <c r="C9547">
        <v>109</v>
      </c>
      <c r="D9547">
        <v>118.49</v>
      </c>
      <c r="E9547">
        <v>118.48</v>
      </c>
      <c r="F9547">
        <v>0.01</v>
      </c>
    </row>
    <row r="9548" spans="1:6" x14ac:dyDescent="0.3">
      <c r="A9548" t="str">
        <f>HYPERLINK("https://us2.cloudbeds.com/connect/10074733072513#/reservations/31685557035246?display=MHFHDWDUE&amp;reservation_id=31685557035246", "MHFHDWDUE")</f>
        <v>MHFHDWDUE</v>
      </c>
      <c r="B9548" t="s">
        <v>1437</v>
      </c>
      <c r="C9548">
        <v>169</v>
      </c>
      <c r="D9548">
        <v>183.71</v>
      </c>
      <c r="E9548">
        <v>183.7</v>
      </c>
      <c r="F9548">
        <v>0.01</v>
      </c>
    </row>
    <row r="9549" spans="1:6" x14ac:dyDescent="0.3">
      <c r="A9549" t="str">
        <f>HYPERLINK("https://us2.cloudbeds.com/connect/10074733072513#/reservations/31685326549176?display=MHFBHKQY2&amp;reservation_id=31685326549176", "MHFBHKQY2")</f>
        <v>MHFBHKQY2</v>
      </c>
      <c r="B9549" t="s">
        <v>1409</v>
      </c>
      <c r="C9549">
        <v>139</v>
      </c>
      <c r="D9549">
        <v>151.1</v>
      </c>
      <c r="E9549">
        <v>151.09</v>
      </c>
      <c r="F9549">
        <v>0.01</v>
      </c>
    </row>
    <row r="9550" spans="1:6" x14ac:dyDescent="0.3">
      <c r="A9550" t="str">
        <f>HYPERLINK("https://us2.cloudbeds.com/connect/10074733072513#/reservations/31685629386898?display=MHFJ8WNHZ&amp;reservation_id=31685629386898", "MHFJ8WNHZ")</f>
        <v>MHFJ8WNHZ</v>
      </c>
      <c r="B9550" t="s">
        <v>1445</v>
      </c>
      <c r="C9550">
        <v>109</v>
      </c>
      <c r="D9550">
        <v>118.49</v>
      </c>
      <c r="E9550">
        <v>118.48</v>
      </c>
      <c r="F9550">
        <v>0.01</v>
      </c>
    </row>
    <row r="9551" spans="1:6" x14ac:dyDescent="0.3">
      <c r="A9551" t="str">
        <f>HYPERLINK("https://us2.cloudbeds.com/connect/10074733072513#/reservations/31694747652241?display=MHMY8ZT9Z&amp;reservation_id=31694747652241", "MHMY8ZT9Z")</f>
        <v>MHMY8ZT9Z</v>
      </c>
      <c r="B9551" t="s">
        <v>1409</v>
      </c>
      <c r="C9551">
        <v>97.74</v>
      </c>
      <c r="D9551">
        <v>106.25</v>
      </c>
      <c r="E9551">
        <v>106.24</v>
      </c>
      <c r="F9551">
        <v>0.01</v>
      </c>
    </row>
    <row r="9552" spans="1:6" x14ac:dyDescent="0.3">
      <c r="A9552" t="str">
        <f>HYPERLINK("https://us2.cloudbeds.com/connect/10074733072513#/reservations/31689913979026?display=MHXTZSQXR&amp;reservation_id=31689913979026", "MHXTZSQXR")</f>
        <v>MHXTZSQXR</v>
      </c>
      <c r="B9552" t="s">
        <v>1443</v>
      </c>
      <c r="C9552">
        <v>73</v>
      </c>
      <c r="D9552">
        <v>79.36</v>
      </c>
      <c r="E9552">
        <v>79.349999999999994</v>
      </c>
      <c r="F9552">
        <v>0.01</v>
      </c>
    </row>
    <row r="9553" spans="1:6" x14ac:dyDescent="0.3">
      <c r="A9553" t="str">
        <f>HYPERLINK("https://us2.cloudbeds.com/connect/10074733072513#/reservations/31689913974921?display=MHXTZSMQD&amp;reservation_id=31689913974921", "MHXTZSMQD")</f>
        <v>MHXTZSMQD</v>
      </c>
      <c r="B9553" t="s">
        <v>1443</v>
      </c>
      <c r="C9553">
        <v>73</v>
      </c>
      <c r="D9553">
        <v>79.36</v>
      </c>
      <c r="E9553">
        <v>79.349999999999994</v>
      </c>
      <c r="F9553">
        <v>0.01</v>
      </c>
    </row>
    <row r="9554" spans="1:6" x14ac:dyDescent="0.3">
      <c r="A9554" t="str">
        <f>HYPERLINK("https://us2.cloudbeds.com/connect/10074733072513#/reservations/31690035327105?display=MHXWS6GAB&amp;reservation_id=31690035327105", "MHXWS6GAB")</f>
        <v>MHXWS6GAB</v>
      </c>
      <c r="B9554" t="s">
        <v>1404</v>
      </c>
      <c r="C9554">
        <v>169</v>
      </c>
      <c r="D9554">
        <v>183.71</v>
      </c>
      <c r="E9554">
        <v>183.7</v>
      </c>
      <c r="F9554">
        <v>0.01</v>
      </c>
    </row>
    <row r="9555" spans="1:6" x14ac:dyDescent="0.3">
      <c r="A9555" t="str">
        <f>HYPERLINK("https://us2.cloudbeds.com/connect/10074733072513#/reservations/31689971544219?display=MHXV7DY5K&amp;reservation_id=31689971544219", "MHXV7DY5K")</f>
        <v>MHXV7DY5K</v>
      </c>
      <c r="B9555" t="s">
        <v>1452</v>
      </c>
      <c r="C9555">
        <v>139</v>
      </c>
      <c r="D9555">
        <v>151.1</v>
      </c>
      <c r="E9555">
        <v>151.09</v>
      </c>
      <c r="F9555">
        <v>0.01</v>
      </c>
    </row>
    <row r="9556" spans="1:6" x14ac:dyDescent="0.3">
      <c r="A9556" t="str">
        <f>HYPERLINK("https://us2.cloudbeds.com/connect/10074733072513#/reservations/31694701760659?display=MHMK31T8Z&amp;reservation_id=31694701760659", "MHMK31T8Z")</f>
        <v>MHMK31T8Z</v>
      </c>
      <c r="B9556" t="s">
        <v>1409</v>
      </c>
      <c r="C9556">
        <v>159</v>
      </c>
      <c r="D9556">
        <v>172.84</v>
      </c>
      <c r="E9556">
        <v>172.83</v>
      </c>
      <c r="F9556">
        <v>0.01</v>
      </c>
    </row>
    <row r="9557" spans="1:6" x14ac:dyDescent="0.3">
      <c r="A9557" t="str">
        <f>HYPERLINK("https://us2.cloudbeds.com/connect/10074733072513#/reservations/31689582006503?display=MHXY8V5VD&amp;reservation_id=31689582006503", "MHXY8V5VD")</f>
        <v>MHXY8V5VD</v>
      </c>
      <c r="B9557" t="s">
        <v>1452</v>
      </c>
      <c r="C9557">
        <v>97.74</v>
      </c>
      <c r="D9557">
        <v>106.25</v>
      </c>
      <c r="E9557">
        <v>106.24</v>
      </c>
      <c r="F9557">
        <v>0.01</v>
      </c>
    </row>
    <row r="9558" spans="1:6" x14ac:dyDescent="0.3">
      <c r="A9558" t="str">
        <f>HYPERLINK("https://us2.cloudbeds.com/connect/10074733072513#/reservations/31688697630946?display=MHHVM7463&amp;reservation_id=31688697630946", "MHHVM7463")</f>
        <v>MHHVM7463</v>
      </c>
      <c r="B9558" t="s">
        <v>1437</v>
      </c>
      <c r="C9558">
        <v>149</v>
      </c>
      <c r="D9558">
        <v>161.97</v>
      </c>
      <c r="E9558">
        <v>161.96</v>
      </c>
      <c r="F9558">
        <v>0.01</v>
      </c>
    </row>
    <row r="9559" spans="1:6" x14ac:dyDescent="0.3">
      <c r="A9559" t="str">
        <f>HYPERLINK("https://us2.cloudbeds.com/connect/10074733072513#/reservations/31685560901770?display=MHFHH80ER&amp;reservation_id=31685560901770", "MHFHH80ER")</f>
        <v>MHFHH80ER</v>
      </c>
      <c r="B9559" t="s">
        <v>1437</v>
      </c>
      <c r="C9559">
        <v>149</v>
      </c>
      <c r="D9559">
        <v>161.97</v>
      </c>
      <c r="E9559">
        <v>161.96</v>
      </c>
      <c r="F9559">
        <v>0.01</v>
      </c>
    </row>
    <row r="9560" spans="1:6" x14ac:dyDescent="0.3">
      <c r="A9560" t="str">
        <f>HYPERLINK("https://us2.cloudbeds.com/connect/10074733072513#/reservations/31695806001330?display=MHNFA60C8&amp;reservation_id=31695806001330", "MHNFA60C8")</f>
        <v>MHNFA60C8</v>
      </c>
      <c r="B9560" t="s">
        <v>1305</v>
      </c>
      <c r="C9560">
        <v>258</v>
      </c>
      <c r="D9560">
        <v>280.45999999999998</v>
      </c>
      <c r="E9560">
        <v>280.45</v>
      </c>
      <c r="F9560">
        <v>0.01</v>
      </c>
    </row>
    <row r="9561" spans="1:6" x14ac:dyDescent="0.3">
      <c r="A9561" t="str">
        <f>HYPERLINK("https://us2.cloudbeds.com/connect/10074733072513#/reservations/31694778282137?display=MHMM1J6UD&amp;reservation_id=31694778282137", "MHMM1J6UD")</f>
        <v>MHMM1J6UD</v>
      </c>
      <c r="B9561" t="s">
        <v>1409</v>
      </c>
      <c r="C9561">
        <v>149</v>
      </c>
      <c r="D9561">
        <v>161.97</v>
      </c>
      <c r="E9561">
        <v>161.96</v>
      </c>
      <c r="F9561">
        <v>0.01</v>
      </c>
    </row>
    <row r="9562" spans="1:6" x14ac:dyDescent="0.3">
      <c r="A9562" t="str">
        <f>HYPERLINK("https://us2.cloudbeds.com/connect/10074733072513#/reservations/31689307959501?display=MHXE8SDQQ&amp;reservation_id=31689307959501", "MHXE8SDQQ")</f>
        <v>MHXE8SDQQ</v>
      </c>
      <c r="B9562" t="s">
        <v>1443</v>
      </c>
      <c r="C9562">
        <v>109</v>
      </c>
      <c r="D9562">
        <v>118.49</v>
      </c>
      <c r="E9562">
        <v>118.48</v>
      </c>
      <c r="F9562">
        <v>0.01</v>
      </c>
    </row>
    <row r="9563" spans="1:6" x14ac:dyDescent="0.3">
      <c r="A9563" t="str">
        <f>HYPERLINK("https://us2.cloudbeds.com/connect/10074733072513#/reservations/31689979990262?display=MHXVEHYVA&amp;reservation_id=31689979990262", "MHXVEHYVA")</f>
        <v>MHXVEHYVA</v>
      </c>
      <c r="B9563" t="s">
        <v>1452</v>
      </c>
      <c r="C9563">
        <v>97.74</v>
      </c>
      <c r="D9563">
        <v>106.25</v>
      </c>
      <c r="E9563">
        <v>106.24</v>
      </c>
      <c r="F9563">
        <v>0.01</v>
      </c>
    </row>
    <row r="9564" spans="1:6" x14ac:dyDescent="0.3">
      <c r="A9564" t="str">
        <f>HYPERLINK("https://us2.cloudbeds.com/connect/10074733072513#/reservations/31686464356606?display=MHG7K1W73&amp;reservation_id=31686464356606", "MHG7K1W73")</f>
        <v>MHG7K1W73</v>
      </c>
      <c r="B9564" t="s">
        <v>1454</v>
      </c>
      <c r="C9564">
        <v>150</v>
      </c>
      <c r="D9564">
        <v>163.06</v>
      </c>
      <c r="E9564">
        <v>163.05000000000001</v>
      </c>
      <c r="F9564">
        <v>0.01</v>
      </c>
    </row>
    <row r="9565" spans="1:6" x14ac:dyDescent="0.3">
      <c r="A9565" t="str">
        <f>HYPERLINK("https://us2.cloudbeds.com/connect/10074733072513#/reservations/31691502653597?display=MHK4BG0XG&amp;reservation_id=31691502653597", "MHK4BG0XG")</f>
        <v>MHK4BG0XG</v>
      </c>
      <c r="B9565" t="s">
        <v>1305</v>
      </c>
      <c r="C9565">
        <v>318</v>
      </c>
      <c r="D9565">
        <v>345.68</v>
      </c>
      <c r="E9565">
        <v>345.67</v>
      </c>
      <c r="F9565">
        <v>0.01</v>
      </c>
    </row>
    <row r="9566" spans="1:6" x14ac:dyDescent="0.3">
      <c r="A9566" t="str">
        <f>HYPERLINK("https://us2.cloudbeds.com/connect/10074733072513#/reservations/31693019537576?display=MHYA3XX4M&amp;reservation_id=31693019537576", "MHYA3XX4M")</f>
        <v>MHYA3XX4M</v>
      </c>
      <c r="B9566" t="s">
        <v>1453</v>
      </c>
      <c r="C9566">
        <v>298</v>
      </c>
      <c r="D9566">
        <v>323.94</v>
      </c>
      <c r="E9566">
        <v>323.93</v>
      </c>
      <c r="F9566">
        <v>0.01</v>
      </c>
    </row>
    <row r="9567" spans="1:6" x14ac:dyDescent="0.3">
      <c r="A9567" t="str">
        <f>HYPERLINK("https://us2.cloudbeds.com/connect/10074733072513#/reservations/31685327298769?display=MHFBX8YW0&amp;reservation_id=31685327298769", "MHFBX8YW0")</f>
        <v>MHFBX8YW0</v>
      </c>
      <c r="B9567" t="s">
        <v>1409</v>
      </c>
      <c r="C9567">
        <v>179</v>
      </c>
      <c r="D9567">
        <v>194.58</v>
      </c>
      <c r="E9567">
        <v>194.57</v>
      </c>
      <c r="F9567">
        <v>0.01</v>
      </c>
    </row>
    <row r="9568" spans="1:6" x14ac:dyDescent="0.3">
      <c r="A9568" t="str">
        <f>HYPERLINK("https://us2.cloudbeds.com/connect/10074733072513#/reservations/31694798725278?display=MHMMXR2AH&amp;reservation_id=31694798725278", "MHMMXR2AH")</f>
        <v>MHMMXR2AH</v>
      </c>
      <c r="B9568" t="s">
        <v>1407</v>
      </c>
      <c r="C9568">
        <v>378</v>
      </c>
      <c r="D9568">
        <v>410.9</v>
      </c>
      <c r="E9568">
        <v>410.89</v>
      </c>
      <c r="F9568">
        <v>0.01</v>
      </c>
    </row>
    <row r="9569" spans="1:6" x14ac:dyDescent="0.3">
      <c r="A9569" t="str">
        <f>HYPERLINK("https://us2.cloudbeds.com/connect/10074733072513#/reservations/31691193376903?display=MHJTEMUUF&amp;reservation_id=31691193376903", "MHJTEMUUF")</f>
        <v>MHJTEMUUF</v>
      </c>
      <c r="B9569" t="s">
        <v>1305</v>
      </c>
      <c r="C9569">
        <v>159</v>
      </c>
      <c r="D9569">
        <v>172.84</v>
      </c>
      <c r="E9569">
        <v>172.83</v>
      </c>
      <c r="F9569">
        <v>0.01</v>
      </c>
    </row>
    <row r="9570" spans="1:6" x14ac:dyDescent="0.3">
      <c r="A9570" t="str">
        <f>HYPERLINK("https://us2.cloudbeds.com/connect/10074733072513#/reservations/31686544531600?display=MHG9YYVQC&amp;reservation_id=31686544531600", "MHG9YYVQC")</f>
        <v>MHG9YYVQC</v>
      </c>
      <c r="B9570" t="s">
        <v>1446</v>
      </c>
      <c r="C9570">
        <v>139</v>
      </c>
      <c r="D9570">
        <v>151.1</v>
      </c>
      <c r="E9570">
        <v>151.09</v>
      </c>
      <c r="F9570">
        <v>0.01</v>
      </c>
    </row>
    <row r="9571" spans="1:6" x14ac:dyDescent="0.3">
      <c r="A9571" t="str">
        <f>HYPERLINK("https://us2.cloudbeds.com/connect/10074733072513#/reservations/31694790885627?display=MHMMC6UCB&amp;reservation_id=31694790885627", "MHMMC6UCB")</f>
        <v>MHMMC6UCB</v>
      </c>
      <c r="B9571" t="s">
        <v>1409</v>
      </c>
      <c r="C9571">
        <v>97.74</v>
      </c>
      <c r="D9571">
        <v>106.25</v>
      </c>
      <c r="E9571">
        <v>106.24</v>
      </c>
      <c r="F9571">
        <v>0.01</v>
      </c>
    </row>
    <row r="9572" spans="1:6" x14ac:dyDescent="0.3">
      <c r="A9572" t="str">
        <f>HYPERLINK("https://us2.cloudbeds.com/connect/10074733072513#/reservations/31694845739141?display=MHMNPF9U1&amp;reservation_id=31694845739141", "MHMNPF9U1")</f>
        <v>MHMNPF9U1</v>
      </c>
      <c r="B9572" t="s">
        <v>1407</v>
      </c>
      <c r="C9572">
        <v>298</v>
      </c>
      <c r="D9572">
        <v>323.94</v>
      </c>
      <c r="E9572">
        <v>323.93</v>
      </c>
      <c r="F9572">
        <v>0.01</v>
      </c>
    </row>
    <row r="9573" spans="1:6" x14ac:dyDescent="0.3">
      <c r="A9573" t="str">
        <f>HYPERLINK("https://us2.cloudbeds.com/connect/10074733072513#/reservations/31695816224977?display=MHNFXQGFZ&amp;reservation_id=31695816224977", "MHNFXQGFZ")</f>
        <v>MHNFXQGFZ</v>
      </c>
      <c r="B9573" t="s">
        <v>1305</v>
      </c>
      <c r="C9573">
        <v>258</v>
      </c>
      <c r="D9573">
        <v>280.45999999999998</v>
      </c>
      <c r="E9573">
        <v>280.45</v>
      </c>
      <c r="F9573">
        <v>0.01</v>
      </c>
    </row>
    <row r="9574" spans="1:6" x14ac:dyDescent="0.3">
      <c r="A9574" t="str">
        <f>HYPERLINK("https://us2.cloudbeds.com/connect/10074733072513#/reservations/31685224800389?display=MHF8URGDG&amp;reservation_id=31685224800389", "MHF8URGDG")</f>
        <v>MHF8URGDG</v>
      </c>
      <c r="B9574" t="s">
        <v>1409</v>
      </c>
      <c r="C9574">
        <v>119</v>
      </c>
      <c r="D9574">
        <v>129.36000000000001</v>
      </c>
      <c r="E9574">
        <v>129.35</v>
      </c>
      <c r="F9574">
        <v>0.01</v>
      </c>
    </row>
    <row r="9575" spans="1:6" x14ac:dyDescent="0.3">
      <c r="A9575" t="str">
        <f>HYPERLINK("https://us2.cloudbeds.com/connect/10074733072513#/reservations/31686197829766?display=MHG0QAFY6&amp;reservation_id=31686197829766", "MHG0QAFY6")</f>
        <v>MHG0QAFY6</v>
      </c>
      <c r="B9575" t="s">
        <v>1456</v>
      </c>
      <c r="C9575">
        <v>109</v>
      </c>
      <c r="D9575">
        <v>118.49</v>
      </c>
      <c r="E9575">
        <v>118.48</v>
      </c>
      <c r="F9575">
        <v>0.01</v>
      </c>
    </row>
    <row r="9576" spans="1:6" x14ac:dyDescent="0.3">
      <c r="A9576" t="str">
        <f>HYPERLINK("https://us2.cloudbeds.com/connect/10074733072513#/reservations/31695948177546?display=MHNXV291E&amp;reservation_id=31695948177546", "MHNXV291E")</f>
        <v>MHNXV291E</v>
      </c>
      <c r="B9576" t="s">
        <v>1457</v>
      </c>
      <c r="C9576">
        <v>298</v>
      </c>
      <c r="D9576">
        <v>323.94</v>
      </c>
      <c r="E9576">
        <v>323.93</v>
      </c>
      <c r="F9576">
        <v>0.01</v>
      </c>
    </row>
    <row r="9577" spans="1:6" x14ac:dyDescent="0.3">
      <c r="A9577" t="str">
        <f>HYPERLINK("https://us2.cloudbeds.com/connect/10074733072513#/reservations/31689608675466?display=MHXYVE9BQ&amp;reservation_id=31689608675466", "MHXYVE9BQ")</f>
        <v>MHXYVE9BQ</v>
      </c>
      <c r="B9577" t="s">
        <v>1409</v>
      </c>
      <c r="C9577">
        <v>97.74</v>
      </c>
      <c r="D9577">
        <v>106.25</v>
      </c>
      <c r="E9577">
        <v>106.24</v>
      </c>
      <c r="F9577">
        <v>0.01</v>
      </c>
    </row>
    <row r="9578" spans="1:6" x14ac:dyDescent="0.3">
      <c r="A9578" t="str">
        <f>HYPERLINK("https://us2.cloudbeds.com/connect/10074733072513#/reservations/31693942132951?display=MHM0MH459&amp;reservation_id=31693942132951", "MHM0MH459")</f>
        <v>MHM0MH459</v>
      </c>
      <c r="B9578" t="s">
        <v>1446</v>
      </c>
      <c r="C9578">
        <v>109</v>
      </c>
      <c r="D9578">
        <v>118.49</v>
      </c>
      <c r="E9578">
        <v>118.48</v>
      </c>
      <c r="F9578">
        <v>0.01</v>
      </c>
    </row>
    <row r="9579" spans="1:6" x14ac:dyDescent="0.3">
      <c r="A9579" t="str">
        <f>HYPERLINK("https://us2.cloudbeds.com/connect/10074733072513#/reservations/31685299093676?display=MHFARFQW7&amp;reservation_id=31685299093676", "MHFARFQW7")</f>
        <v>MHFARFQW7</v>
      </c>
      <c r="B9579" t="s">
        <v>1409</v>
      </c>
      <c r="C9579">
        <v>149</v>
      </c>
      <c r="D9579">
        <v>161.97</v>
      </c>
      <c r="E9579">
        <v>161.96</v>
      </c>
      <c r="F9579">
        <v>0.01</v>
      </c>
    </row>
    <row r="9580" spans="1:6" x14ac:dyDescent="0.3">
      <c r="A9580" t="str">
        <f>HYPERLINK("https://us2.cloudbeds.com/connect/10074733072513#/reservations/31734945976503?display=MXKPE1H1W&amp;reservation_id=31734945976503", "MXKPE1H1W")</f>
        <v>MXKPE1H1W</v>
      </c>
      <c r="B9580" t="s">
        <v>1344</v>
      </c>
      <c r="C9580">
        <v>159</v>
      </c>
      <c r="D9580">
        <v>172.84</v>
      </c>
      <c r="E9580">
        <v>172.83</v>
      </c>
      <c r="F9580">
        <v>0.01</v>
      </c>
    </row>
    <row r="9581" spans="1:6" x14ac:dyDescent="0.3">
      <c r="A9581" t="str">
        <f>HYPERLINK("https://us2.cloudbeds.com/connect/10074733072513#/reservations/31693970927786?display=MHM1DQCN1&amp;reservation_id=31693970927786", "MHM1DQCN1")</f>
        <v>MHM1DQCN1</v>
      </c>
      <c r="B9581" t="s">
        <v>1459</v>
      </c>
      <c r="C9581">
        <v>73</v>
      </c>
      <c r="D9581">
        <v>79.36</v>
      </c>
      <c r="E9581">
        <v>79.349999999999994</v>
      </c>
      <c r="F9581">
        <v>0.01</v>
      </c>
    </row>
    <row r="9582" spans="1:6" x14ac:dyDescent="0.3">
      <c r="A9582" t="str">
        <f>HYPERLINK("https://us2.cloudbeds.com/connect/10074733072513#/reservations/31694006636743?display=MHM2AU19Y&amp;reservation_id=31694006636743", "MHM2AU19Y")</f>
        <v>MHM2AU19Y</v>
      </c>
      <c r="B9582" t="s">
        <v>1459</v>
      </c>
      <c r="C9582">
        <v>109</v>
      </c>
      <c r="D9582">
        <v>118.49</v>
      </c>
      <c r="E9582">
        <v>118.48</v>
      </c>
      <c r="F9582">
        <v>0.01</v>
      </c>
    </row>
    <row r="9583" spans="1:6" x14ac:dyDescent="0.3">
      <c r="A9583" t="str">
        <f>HYPERLINK("https://us2.cloudbeds.com/connect/10074733072513#/reservations/31689289859220?display=MHXDQJZQE&amp;reservation_id=31689289859220", "MHXDQJZQE")</f>
        <v>MHXDQJZQE</v>
      </c>
      <c r="B9583" t="s">
        <v>1429</v>
      </c>
      <c r="C9583">
        <v>318</v>
      </c>
      <c r="D9583">
        <v>345.68</v>
      </c>
      <c r="E9583">
        <v>345.67</v>
      </c>
      <c r="F9583">
        <v>0.01</v>
      </c>
    </row>
    <row r="9584" spans="1:6" x14ac:dyDescent="0.3">
      <c r="A9584" t="str">
        <f>HYPERLINK("https://us2.cloudbeds.com/connect/10074733072513#/reservations/31688619532452?display=MHHTMBUD2&amp;reservation_id=31688619532452", "MHHTMBUD2")</f>
        <v>MHHTMBUD2</v>
      </c>
      <c r="B9584" t="s">
        <v>1460</v>
      </c>
      <c r="C9584">
        <v>119</v>
      </c>
      <c r="D9584">
        <v>129.36000000000001</v>
      </c>
      <c r="E9584">
        <v>129.35</v>
      </c>
      <c r="F9584">
        <v>0.01</v>
      </c>
    </row>
    <row r="9585" spans="1:6" x14ac:dyDescent="0.3">
      <c r="A9585" t="str">
        <f>HYPERLINK("https://us2.cloudbeds.com/connect/10074733072513#/reservations/31694845743239?display=MHMNPFDM7&amp;reservation_id=31694845743239", "MHMNPFDM7")</f>
        <v>MHMNPFDM7</v>
      </c>
      <c r="B9585" t="s">
        <v>1407</v>
      </c>
      <c r="C9585">
        <v>298</v>
      </c>
      <c r="D9585">
        <v>323.94</v>
      </c>
      <c r="E9585">
        <v>323.93</v>
      </c>
      <c r="F9585">
        <v>0.01</v>
      </c>
    </row>
    <row r="9586" spans="1:6" x14ac:dyDescent="0.3">
      <c r="A9586" t="str">
        <f>HYPERLINK("https://us2.cloudbeds.com/connect/10074733072513#/reservations/31688667291806?display=MHHUTKTX7&amp;reservation_id=31688667291806", "MHHUTKTX7")</f>
        <v>MHHUTKTX7</v>
      </c>
      <c r="B9586" t="s">
        <v>1454</v>
      </c>
      <c r="C9586">
        <v>342</v>
      </c>
      <c r="D9586">
        <v>371.76</v>
      </c>
      <c r="E9586">
        <v>371.75</v>
      </c>
      <c r="F9586">
        <v>0.01</v>
      </c>
    </row>
    <row r="9587" spans="1:6" x14ac:dyDescent="0.3">
      <c r="A9587" t="str">
        <f>HYPERLINK("https://us2.cloudbeds.com/connect/10074733072513#/reservations/31694198038709?display=MHM77A2M7&amp;reservation_id=31694198038709", "MHM77A2M7")</f>
        <v>MHM77A2M7</v>
      </c>
      <c r="B9587" t="s">
        <v>1327</v>
      </c>
      <c r="C9587">
        <v>278</v>
      </c>
      <c r="D9587">
        <v>302.2</v>
      </c>
      <c r="E9587">
        <v>302.19</v>
      </c>
      <c r="F9587">
        <v>0.01</v>
      </c>
    </row>
    <row r="9588" spans="1:6" x14ac:dyDescent="0.3">
      <c r="A9588" t="str">
        <f>HYPERLINK("https://us2.cloudbeds.com/connect/10074733072513#/reservations/31694026342581?display=MHM2RHCY8&amp;reservation_id=31694026342581", "MHM2RHCY8")</f>
        <v>MHM2RHCY8</v>
      </c>
      <c r="B9588" t="s">
        <v>1460</v>
      </c>
      <c r="C9588">
        <v>109</v>
      </c>
      <c r="D9588">
        <v>118.49</v>
      </c>
      <c r="E9588">
        <v>118.48</v>
      </c>
      <c r="F9588">
        <v>0.01</v>
      </c>
    </row>
    <row r="9589" spans="1:6" x14ac:dyDescent="0.3">
      <c r="A9589" t="str">
        <f>HYPERLINK("https://us2.cloudbeds.com/connect/10074733072513#/reservations/31686502269176?display=MHG8J0VAS&amp;reservation_id=31686502269176", "MHG8J0VAS")</f>
        <v>MHG8J0VAS</v>
      </c>
      <c r="B9589" t="s">
        <v>1458</v>
      </c>
      <c r="C9589">
        <v>109</v>
      </c>
      <c r="D9589">
        <v>118.49</v>
      </c>
      <c r="E9589">
        <v>118.48</v>
      </c>
      <c r="F9589">
        <v>0.01</v>
      </c>
    </row>
    <row r="9590" spans="1:6" x14ac:dyDescent="0.3">
      <c r="A9590" t="str">
        <f>HYPERLINK("https://us2.cloudbeds.com/connect/10074733072513#/reservations/31690007675021?display=MHXW4T14D&amp;reservation_id=31690007675021", "MHXW4T14D")</f>
        <v>MHXW4T14D</v>
      </c>
      <c r="B9590" t="s">
        <v>1404</v>
      </c>
      <c r="C9590">
        <v>169</v>
      </c>
      <c r="D9590">
        <v>183.71</v>
      </c>
      <c r="E9590">
        <v>183.7</v>
      </c>
      <c r="F9590">
        <v>0.01</v>
      </c>
    </row>
    <row r="9591" spans="1:6" x14ac:dyDescent="0.3">
      <c r="A9591" t="str">
        <f>HYPERLINK("https://us2.cloudbeds.com/connect/10074733072513#/reservations/31686481686657?display=MHG81M6V5&amp;reservation_id=31686481686657", "MHG81M6V5")</f>
        <v>MHG81M6V5</v>
      </c>
      <c r="B9591" t="s">
        <v>1454</v>
      </c>
      <c r="C9591">
        <v>150</v>
      </c>
      <c r="D9591">
        <v>163.06</v>
      </c>
      <c r="E9591">
        <v>163.05000000000001</v>
      </c>
      <c r="F9591">
        <v>0.01</v>
      </c>
    </row>
    <row r="9592" spans="1:6" x14ac:dyDescent="0.3">
      <c r="A9592" t="str">
        <f>HYPERLINK("https://us2.cloudbeds.com/connect/10074733072513#/reservations/31686437744817?display=MHG6UKFA8&amp;reservation_id=31686437744817", "MHG6UKFA8")</f>
        <v>MHG6UKFA8</v>
      </c>
      <c r="B9592" t="s">
        <v>1454</v>
      </c>
      <c r="C9592">
        <v>73</v>
      </c>
      <c r="D9592">
        <v>79.36</v>
      </c>
      <c r="E9592">
        <v>79.349999999999994</v>
      </c>
      <c r="F9592">
        <v>0.01</v>
      </c>
    </row>
    <row r="9593" spans="1:6" x14ac:dyDescent="0.3">
      <c r="A9593" t="str">
        <f>HYPERLINK("https://us2.cloudbeds.com/connect/10074733072513#/reservations/31690350719192?display=MHJ7U4ZXA&amp;reservation_id=31690350719192", "MHJ7U4ZXA")</f>
        <v>MHJ7U4ZXA</v>
      </c>
      <c r="B9593" t="s">
        <v>1461</v>
      </c>
      <c r="C9593">
        <v>588</v>
      </c>
      <c r="D9593">
        <v>639.16999999999996</v>
      </c>
      <c r="E9593">
        <v>639.16</v>
      </c>
      <c r="F9593">
        <v>0.01</v>
      </c>
    </row>
    <row r="9594" spans="1:6" x14ac:dyDescent="0.3">
      <c r="A9594" t="str">
        <f>HYPERLINK("https://us2.cloudbeds.com/connect/10074733072513#/reservations/31734646456544?display=MXKHPFUPJ&amp;reservation_id=31734646456544", "MXKHPFUPJ")</f>
        <v>MXKHPFUPJ</v>
      </c>
      <c r="B9594" t="s">
        <v>1462</v>
      </c>
      <c r="C9594">
        <v>298</v>
      </c>
      <c r="D9594">
        <v>323.94</v>
      </c>
      <c r="E9594">
        <v>323.93</v>
      </c>
      <c r="F9594">
        <v>0.01</v>
      </c>
    </row>
    <row r="9595" spans="1:6" x14ac:dyDescent="0.3">
      <c r="A9595" t="str">
        <f>HYPERLINK("https://us2.cloudbeds.com/connect/10074733072513#/reservations/31690639675587?display=MHJF9QCJN&amp;reservation_id=31690639675587", "MHJF9QCJN")</f>
        <v>MHJF9QCJN</v>
      </c>
      <c r="B9595" t="s">
        <v>1407</v>
      </c>
      <c r="C9595">
        <v>238</v>
      </c>
      <c r="D9595">
        <v>258.72000000000003</v>
      </c>
      <c r="E9595">
        <v>258.70999999999998</v>
      </c>
      <c r="F9595">
        <v>0.01</v>
      </c>
    </row>
    <row r="9596" spans="1:6" x14ac:dyDescent="0.3">
      <c r="A9596" t="str">
        <f>HYPERLINK("https://us2.cloudbeds.com/connect/10074733072513#/reservations/31689121525910?display=MHX9GYKP1&amp;reservation_id=31689121525910", "MHX9GYKP1")</f>
        <v>MHX9GYKP1</v>
      </c>
      <c r="B9596" t="s">
        <v>1463</v>
      </c>
      <c r="C9596">
        <v>109</v>
      </c>
      <c r="D9596">
        <v>118.49</v>
      </c>
      <c r="E9596">
        <v>118.48</v>
      </c>
      <c r="F9596">
        <v>0.01</v>
      </c>
    </row>
    <row r="9597" spans="1:6" x14ac:dyDescent="0.3">
      <c r="A9597" t="str">
        <f>HYPERLINK("https://us2.cloudbeds.com/connect/10074733072513#/reservations/31687634915547?display=MHH4H3GY5&amp;reservation_id=31687634915547", "MHH4H3GY5")</f>
        <v>MHH4H3GY5</v>
      </c>
      <c r="B9597" t="s">
        <v>1456</v>
      </c>
      <c r="C9597">
        <v>119</v>
      </c>
      <c r="D9597">
        <v>129.36000000000001</v>
      </c>
      <c r="E9597">
        <v>129.35</v>
      </c>
      <c r="F9597">
        <v>0.01</v>
      </c>
    </row>
    <row r="9598" spans="1:6" x14ac:dyDescent="0.3">
      <c r="A9598" t="str">
        <f>HYPERLINK("https://us2.cloudbeds.com/connect/10074733072513#/reservations/31687198777494?display=MHGQCBAXH&amp;reservation_id=31687198777494", "MHGQCBAXH")</f>
        <v>MHGQCBAXH</v>
      </c>
      <c r="B9598" t="s">
        <v>1407</v>
      </c>
      <c r="C9598">
        <v>195.48</v>
      </c>
      <c r="D9598">
        <v>212.5</v>
      </c>
      <c r="E9598">
        <v>212.49</v>
      </c>
      <c r="F9598">
        <v>0.01</v>
      </c>
    </row>
    <row r="9599" spans="1:6" x14ac:dyDescent="0.3">
      <c r="A9599" t="str">
        <f>HYPERLINK("https://us2.cloudbeds.com/connect/10074733072513#/reservations/31690581311723?display=MHJDQJAJP&amp;reservation_id=31690581311723", "MHJDQJAJP")</f>
        <v>MHJDQJAJP</v>
      </c>
      <c r="B9599" t="s">
        <v>1464</v>
      </c>
      <c r="C9599">
        <v>198</v>
      </c>
      <c r="D9599">
        <v>215.24</v>
      </c>
      <c r="E9599">
        <v>215.23</v>
      </c>
      <c r="F9599">
        <v>0.01</v>
      </c>
    </row>
    <row r="9600" spans="1:6" x14ac:dyDescent="0.3">
      <c r="A9600" t="str">
        <f>HYPERLINK("https://us2.cloudbeds.com/connect/10074733072513#/reservations/31690609164513?display=MHJEH2C2N&amp;reservation_id=31690609164513", "MHJEH2C2N")</f>
        <v>MHJEH2C2N</v>
      </c>
      <c r="B9600" t="s">
        <v>1437</v>
      </c>
      <c r="C9600">
        <v>149</v>
      </c>
      <c r="D9600">
        <v>161.97</v>
      </c>
      <c r="E9600">
        <v>161.96</v>
      </c>
      <c r="F9600">
        <v>0.01</v>
      </c>
    </row>
    <row r="9601" spans="1:6" x14ac:dyDescent="0.3">
      <c r="A9601" t="str">
        <f>HYPERLINK("https://us2.cloudbeds.com/connect/10074733072513#/reservations/31694842953959?display=MHMNN3QBJ&amp;reservation_id=31694842953959", "MHMNN3QBJ")</f>
        <v>MHMNN3QBJ</v>
      </c>
      <c r="B9601" t="s">
        <v>1407</v>
      </c>
      <c r="C9601">
        <v>195.48</v>
      </c>
      <c r="D9601">
        <v>212.5</v>
      </c>
      <c r="E9601">
        <v>212.49</v>
      </c>
      <c r="F9601">
        <v>0.01</v>
      </c>
    </row>
    <row r="9602" spans="1:6" x14ac:dyDescent="0.3">
      <c r="A9602" t="str">
        <f>HYPERLINK("https://us2.cloudbeds.com/connect/10074733072513#/reservations/31694708232431?display=MHMK8GW41&amp;reservation_id=31694708232431", "MHMK8GW41")</f>
        <v>MHMK8GW41</v>
      </c>
      <c r="B9602" t="s">
        <v>1466</v>
      </c>
      <c r="C9602">
        <v>336</v>
      </c>
      <c r="D9602">
        <v>365.24</v>
      </c>
      <c r="E9602">
        <v>365.23</v>
      </c>
      <c r="F9602">
        <v>0.01</v>
      </c>
    </row>
    <row r="9603" spans="1:6" x14ac:dyDescent="0.3">
      <c r="A9603" t="str">
        <f>HYPERLINK("https://us2.cloudbeds.com/connect/10074733072513#/reservations/31689192841411?display=MHXBAQ2TR&amp;reservation_id=31689192841411", "MHXBAQ2TR")</f>
        <v>MHXBAQ2TR</v>
      </c>
      <c r="B9603" t="s">
        <v>1434</v>
      </c>
      <c r="C9603">
        <v>149</v>
      </c>
      <c r="D9603">
        <v>161.97</v>
      </c>
      <c r="E9603">
        <v>161.96</v>
      </c>
      <c r="F9603">
        <v>0.01</v>
      </c>
    </row>
    <row r="9604" spans="1:6" x14ac:dyDescent="0.3">
      <c r="A9604" t="str">
        <f>HYPERLINK("https://us2.cloudbeds.com/connect/10074733072513#/reservations/31687558582438?display=MHH2XZDVY&amp;reservation_id=31687558582438", "MHH2XZDVY")</f>
        <v>MHH2XZDVY</v>
      </c>
      <c r="B9604" t="s">
        <v>1440</v>
      </c>
      <c r="C9604">
        <v>252</v>
      </c>
      <c r="D9604">
        <v>273.93</v>
      </c>
      <c r="E9604">
        <v>273.92</v>
      </c>
      <c r="F9604">
        <v>0.01</v>
      </c>
    </row>
    <row r="9605" spans="1:6" x14ac:dyDescent="0.3">
      <c r="A9605" t="str">
        <f>HYPERLINK("https://us2.cloudbeds.com/connect/10074733072513#/reservations/31688688074940?display=MHHVE5755&amp;reservation_id=31688688074940", "MHHVE5755")</f>
        <v>MHHVE5755</v>
      </c>
      <c r="B9605" t="s">
        <v>1437</v>
      </c>
      <c r="C9605">
        <v>159</v>
      </c>
      <c r="D9605">
        <v>172.84</v>
      </c>
      <c r="E9605">
        <v>172.83</v>
      </c>
      <c r="F9605">
        <v>0.01</v>
      </c>
    </row>
    <row r="9606" spans="1:6" x14ac:dyDescent="0.3">
      <c r="A9606" t="str">
        <f>HYPERLINK("https://us2.cloudbeds.com/connect/10074733072513#/reservations/31685577052406?display=MHFHUSE51&amp;reservation_id=31685577052406", "MHFHUSE51")</f>
        <v>MHFHUSE51</v>
      </c>
      <c r="B9606" t="s">
        <v>1437</v>
      </c>
      <c r="C9606">
        <v>179</v>
      </c>
      <c r="D9606">
        <v>194.58</v>
      </c>
      <c r="E9606">
        <v>194.57</v>
      </c>
      <c r="F9606">
        <v>0.01</v>
      </c>
    </row>
    <row r="9607" spans="1:6" x14ac:dyDescent="0.3">
      <c r="A9607" t="str">
        <f>HYPERLINK("https://us2.cloudbeds.com/connect/10074733072513#/reservations/31728115716240?display=MXFFTJF28&amp;reservation_id=31728115716240", "MXFFTJF28")</f>
        <v>MXFFTJF28</v>
      </c>
      <c r="B9607" t="s">
        <v>1322</v>
      </c>
      <c r="C9607">
        <v>318</v>
      </c>
      <c r="D9607">
        <v>345.68</v>
      </c>
      <c r="E9607">
        <v>345.67</v>
      </c>
      <c r="F9607">
        <v>0.01</v>
      </c>
    </row>
    <row r="9608" spans="1:6" x14ac:dyDescent="0.3">
      <c r="A9608" t="str">
        <f>HYPERLINK("https://us2.cloudbeds.com/connect/10074733072513#/reservations/31695890559204?display=MHNHFFVY2&amp;reservation_id=31695890559204", "MHNHFFVY2")</f>
        <v>MHNHFFVY2</v>
      </c>
      <c r="B9608" t="s">
        <v>1467</v>
      </c>
      <c r="C9608">
        <v>159</v>
      </c>
      <c r="D9608">
        <v>172.84</v>
      </c>
      <c r="E9608">
        <v>172.83</v>
      </c>
      <c r="F9608">
        <v>0.01</v>
      </c>
    </row>
    <row r="9609" spans="1:6" x14ac:dyDescent="0.3">
      <c r="A9609" t="str">
        <f>HYPERLINK("https://us2.cloudbeds.com/connect/10074733072513#/reservations/31690677633162?display=MHJG8QK18&amp;reservation_id=31690677633162", "MHJG8QK18")</f>
        <v>MHJG8QK18</v>
      </c>
      <c r="B9609" t="s">
        <v>1407</v>
      </c>
      <c r="C9609">
        <v>159</v>
      </c>
      <c r="D9609">
        <v>172.84</v>
      </c>
      <c r="E9609">
        <v>172.83</v>
      </c>
      <c r="F9609">
        <v>0.01</v>
      </c>
    </row>
    <row r="9610" spans="1:6" x14ac:dyDescent="0.3">
      <c r="A9610" t="str">
        <f>HYPERLINK("https://us2.cloudbeds.com/connect/10074733072513#/reservations/31694790885576?display=MHMMC6UAQ&amp;reservation_id=31694790885576", "MHMMC6UAQ")</f>
        <v>MHMMC6UAQ</v>
      </c>
      <c r="B9610" t="s">
        <v>1407</v>
      </c>
      <c r="C9610">
        <v>159</v>
      </c>
      <c r="D9610">
        <v>172.84</v>
      </c>
      <c r="E9610">
        <v>172.83</v>
      </c>
      <c r="F9610">
        <v>0.01</v>
      </c>
    </row>
    <row r="9611" spans="1:6" x14ac:dyDescent="0.3">
      <c r="A9611" t="str">
        <f>HYPERLINK("https://us2.cloudbeds.com/connect/10074733072513#/reservations/31685569138848?display=MHFHZ67B8&amp;reservation_id=31685569138848", "MHFHZ67B8")</f>
        <v>MHFHZ67B8</v>
      </c>
      <c r="B9611" t="s">
        <v>1437</v>
      </c>
      <c r="C9611">
        <v>159</v>
      </c>
      <c r="D9611">
        <v>172.84</v>
      </c>
      <c r="E9611">
        <v>172.83</v>
      </c>
      <c r="F9611">
        <v>0.01</v>
      </c>
    </row>
    <row r="9612" spans="1:6" x14ac:dyDescent="0.3">
      <c r="A9612" t="str">
        <f>HYPERLINK("https://us2.cloudbeds.com/connect/10074733072513#/reservations/31687155929302?display=MHGP9706F&amp;reservation_id=31687155929302", "MHGP9706F")</f>
        <v>MHGP9706F</v>
      </c>
      <c r="B9612" t="s">
        <v>1407</v>
      </c>
      <c r="C9612">
        <v>159</v>
      </c>
      <c r="D9612">
        <v>172.84</v>
      </c>
      <c r="E9612">
        <v>172.83</v>
      </c>
      <c r="F9612">
        <v>0.01</v>
      </c>
    </row>
    <row r="9613" spans="1:6" x14ac:dyDescent="0.3">
      <c r="A9613" t="str">
        <f>HYPERLINK("https://us2.cloudbeds.com/connect/10074733072513#/reservations/31690659836045?display=MHJFQQCDM&amp;reservation_id=31690659836045", "MHJFQQCDM")</f>
        <v>MHJFQQCDM</v>
      </c>
      <c r="B9613" t="s">
        <v>1407</v>
      </c>
      <c r="C9613">
        <v>159</v>
      </c>
      <c r="D9613">
        <v>172.84</v>
      </c>
      <c r="E9613">
        <v>172.83</v>
      </c>
      <c r="F9613">
        <v>0.01</v>
      </c>
    </row>
    <row r="9614" spans="1:6" x14ac:dyDescent="0.3">
      <c r="A9614" t="str">
        <f>HYPERLINK("https://us2.cloudbeds.com/connect/10074733072513#/reservations/31686182842568?display=MHG0DME9M&amp;reservation_id=31686182842568", "MHG0DME9M")</f>
        <v>MHG0DME9M</v>
      </c>
      <c r="B9614" t="s">
        <v>1456</v>
      </c>
      <c r="C9614">
        <v>150</v>
      </c>
      <c r="D9614">
        <v>163.06</v>
      </c>
      <c r="E9614">
        <v>163.05000000000001</v>
      </c>
      <c r="F9614">
        <v>0.01</v>
      </c>
    </row>
    <row r="9615" spans="1:6" x14ac:dyDescent="0.3">
      <c r="A9615" t="str">
        <f>HYPERLINK("https://us2.cloudbeds.com/connect/10074733072513#/reservations/31687236911276?display=MHGRBGEQM&amp;reservation_id=31687236911276", "MHGRBGEQM")</f>
        <v>MHGRBGEQM</v>
      </c>
      <c r="B9615" t="s">
        <v>1440</v>
      </c>
      <c r="C9615">
        <v>139</v>
      </c>
      <c r="D9615">
        <v>151.1</v>
      </c>
      <c r="E9615">
        <v>151.09</v>
      </c>
      <c r="F9615">
        <v>0.01</v>
      </c>
    </row>
    <row r="9616" spans="1:6" x14ac:dyDescent="0.3">
      <c r="A9616" t="str">
        <f>HYPERLINK("https://us2.cloudbeds.com/connect/10074733072513#/reservations/31694400106624?display=MHMC1XMJU&amp;reservation_id=31694400106624", "MHMC1XMJU")</f>
        <v>MHMC1XMJU</v>
      </c>
      <c r="B9616" t="s">
        <v>1468</v>
      </c>
      <c r="C9616">
        <v>163.52000000000001</v>
      </c>
      <c r="D9616">
        <v>177.76</v>
      </c>
      <c r="E9616">
        <v>177.75</v>
      </c>
      <c r="F9616">
        <v>0.01</v>
      </c>
    </row>
    <row r="9617" spans="1:6" x14ac:dyDescent="0.3">
      <c r="A9617" t="str">
        <f>HYPERLINK("https://us2.cloudbeds.com/connect/10074733072513#/reservations/31694568300764?display=MHMGMH5XG&amp;reservation_id=31694568300764", "MHMGMH5XG")</f>
        <v>MHMGMH5XG</v>
      </c>
      <c r="B9617" t="s">
        <v>1327</v>
      </c>
      <c r="C9617">
        <v>159</v>
      </c>
      <c r="D9617">
        <v>172.84</v>
      </c>
      <c r="E9617">
        <v>172.83</v>
      </c>
      <c r="F9617">
        <v>0.01</v>
      </c>
    </row>
    <row r="9618" spans="1:6" x14ac:dyDescent="0.3">
      <c r="A9618" t="str">
        <f>HYPERLINK("https://us2.cloudbeds.com/connect/10074733072513#/reservations/31690386399457?display=MHJ8R7JQF&amp;reservation_id=31690386399457", "MHJ8R7JQF")</f>
        <v>MHJ8R7JQF</v>
      </c>
      <c r="B9618" t="s">
        <v>1461</v>
      </c>
      <c r="C9618">
        <v>150</v>
      </c>
      <c r="D9618">
        <v>163.06</v>
      </c>
      <c r="E9618">
        <v>163.05000000000001</v>
      </c>
      <c r="F9618">
        <v>0.01</v>
      </c>
    </row>
    <row r="9619" spans="1:6" x14ac:dyDescent="0.3">
      <c r="A9619" t="str">
        <f>HYPERLINK("https://us2.cloudbeds.com/connect/10074733072513#/reservations/31694317744300?display=MHMA9825C&amp;reservation_id=31694317744300", "MHMA9825C")</f>
        <v>MHMA9825C</v>
      </c>
      <c r="B9619" t="s">
        <v>1470</v>
      </c>
      <c r="C9619">
        <v>278</v>
      </c>
      <c r="D9619">
        <v>302.2</v>
      </c>
      <c r="E9619">
        <v>302.19</v>
      </c>
      <c r="F9619">
        <v>0.01</v>
      </c>
    </row>
    <row r="9620" spans="1:6" x14ac:dyDescent="0.3">
      <c r="A9620" t="str">
        <f>HYPERLINK("https://us2.cloudbeds.com/connect/10074733072513#/reservations/31687646339270?display=MHH4QZCZJ&amp;reservation_id=31687646339270", "MHH4QZCZJ")</f>
        <v>MHH4QZCZJ</v>
      </c>
      <c r="B9620" t="s">
        <v>1456</v>
      </c>
      <c r="C9620">
        <v>109</v>
      </c>
      <c r="D9620">
        <v>118.49</v>
      </c>
      <c r="E9620">
        <v>118.48</v>
      </c>
      <c r="F9620">
        <v>0.01</v>
      </c>
    </row>
    <row r="9621" spans="1:6" x14ac:dyDescent="0.3">
      <c r="A9621" t="str">
        <f>HYPERLINK("https://us2.cloudbeds.com/connect/10074733072513#/reservations/31690375500023?display=MHJ8X1A4J&amp;reservation_id=31690375500023", "MHJ8X1A4J")</f>
        <v>MHJ8X1A4J</v>
      </c>
      <c r="B9621" t="s">
        <v>1461</v>
      </c>
      <c r="C9621">
        <v>109</v>
      </c>
      <c r="D9621">
        <v>118.49</v>
      </c>
      <c r="E9621">
        <v>118.48</v>
      </c>
      <c r="F9621">
        <v>0.01</v>
      </c>
    </row>
    <row r="9622" spans="1:6" x14ac:dyDescent="0.3">
      <c r="A9622" t="str">
        <f>HYPERLINK("https://us2.cloudbeds.com/connect/10074733072513#/reservations/31685089194200?display=MHF5FG1R1&amp;reservation_id=31685089194200", "MHF5FG1R1")</f>
        <v>MHF5FG1R1</v>
      </c>
      <c r="B9622" t="s">
        <v>1375</v>
      </c>
      <c r="C9622">
        <v>139</v>
      </c>
      <c r="D9622">
        <v>151.1</v>
      </c>
      <c r="E9622">
        <v>151.09</v>
      </c>
      <c r="F9622">
        <v>0.01</v>
      </c>
    </row>
    <row r="9623" spans="1:6" x14ac:dyDescent="0.3">
      <c r="A9623" t="str">
        <f>HYPERLINK("https://us2.cloudbeds.com/connect/10074733072513#/reservations/31685034549499?display=MHF42DG10&amp;reservation_id=31685034549499", "MHF42DG10")</f>
        <v>MHF42DG10</v>
      </c>
      <c r="B9623" t="s">
        <v>1471</v>
      </c>
      <c r="C9623">
        <v>139</v>
      </c>
      <c r="D9623">
        <v>151.1</v>
      </c>
      <c r="E9623">
        <v>151.09</v>
      </c>
      <c r="F9623">
        <v>0.01</v>
      </c>
    </row>
    <row r="9624" spans="1:6" x14ac:dyDescent="0.3">
      <c r="A9624" t="str">
        <f>HYPERLINK("https://us2.cloudbeds.com/connect/10074733072513#/reservations/31690333065438?display=MHJ7F8GJ2&amp;reservation_id=31690333065438", "MHJ7F8GJ2")</f>
        <v>MHJ7F8GJ2</v>
      </c>
      <c r="B9624" t="s">
        <v>1461</v>
      </c>
      <c r="C9624">
        <v>73</v>
      </c>
      <c r="D9624">
        <v>79.36</v>
      </c>
      <c r="E9624">
        <v>79.349999999999994</v>
      </c>
      <c r="F9624">
        <v>0.01</v>
      </c>
    </row>
    <row r="9625" spans="1:6" x14ac:dyDescent="0.3">
      <c r="A9625" t="str">
        <f>HYPERLINK("https://us2.cloudbeds.com/connect/10074733072513#/reservations/31687382143121?display=MHGV1VZCM&amp;reservation_id=31687382143121", "MHGV1VZCM")</f>
        <v>MHGV1VZCM</v>
      </c>
      <c r="B9625" t="s">
        <v>1455</v>
      </c>
      <c r="C9625">
        <v>139</v>
      </c>
      <c r="D9625">
        <v>151.1</v>
      </c>
      <c r="E9625">
        <v>151.09</v>
      </c>
      <c r="F9625">
        <v>0.01</v>
      </c>
    </row>
    <row r="9626" spans="1:6" x14ac:dyDescent="0.3">
      <c r="A9626" t="str">
        <f>HYPERLINK("https://us2.cloudbeds.com/connect/10074733072513#/reservations/31687902695645?display=MHHBBTT1J&amp;reservation_id=31687902695645", "MHHBBTT1J")</f>
        <v>MHHBBTT1J</v>
      </c>
      <c r="B9626" t="s">
        <v>1473</v>
      </c>
      <c r="C9626">
        <v>109</v>
      </c>
      <c r="D9626">
        <v>118.49</v>
      </c>
      <c r="E9626">
        <v>118.48</v>
      </c>
      <c r="F9626">
        <v>0.01</v>
      </c>
    </row>
    <row r="9627" spans="1:6" x14ac:dyDescent="0.3">
      <c r="A9627" t="str">
        <f>HYPERLINK("https://us2.cloudbeds.com/connect/10074733072513#/reservations/31689220714634?display=MHXC19N4V&amp;reservation_id=31689220714634", "MHXC19N4V")</f>
        <v>MHXC19N4V</v>
      </c>
      <c r="B9627" t="s">
        <v>1434</v>
      </c>
      <c r="C9627">
        <v>97.74</v>
      </c>
      <c r="D9627">
        <v>106.25</v>
      </c>
      <c r="E9627">
        <v>106.24</v>
      </c>
      <c r="F9627">
        <v>0.01</v>
      </c>
    </row>
    <row r="9628" spans="1:6" x14ac:dyDescent="0.3">
      <c r="A9628" t="str">
        <f>HYPERLINK("https://us2.cloudbeds.com/connect/10074733072513#/reservations/31695353872628?display=MHN3ZUSGG&amp;reservation_id=31695353872628", "MHN3ZUSGG")</f>
        <v>MHN3ZUSGG</v>
      </c>
      <c r="B9628" t="s">
        <v>1305</v>
      </c>
      <c r="C9628">
        <v>129</v>
      </c>
      <c r="D9628">
        <v>140.22999999999999</v>
      </c>
      <c r="E9628">
        <v>140.22</v>
      </c>
      <c r="F9628">
        <v>0.01</v>
      </c>
    </row>
    <row r="9629" spans="1:6" x14ac:dyDescent="0.3">
      <c r="A9629" t="str">
        <f>HYPERLINK("https://us2.cloudbeds.com/connect/10074733072513#/reservations/31694451048656?display=MHMDMYF1A&amp;reservation_id=31694451048656", "MHMDMYF1A")</f>
        <v>MHMDMYF1A</v>
      </c>
      <c r="B9629" t="s">
        <v>1468</v>
      </c>
      <c r="C9629">
        <v>73</v>
      </c>
      <c r="D9629">
        <v>79.36</v>
      </c>
      <c r="E9629">
        <v>79.349999999999994</v>
      </c>
      <c r="F9629">
        <v>0.01</v>
      </c>
    </row>
    <row r="9630" spans="1:6" x14ac:dyDescent="0.3">
      <c r="A9630" t="str">
        <f>HYPERLINK("https://us2.cloudbeds.com/connect/10074733072513#/reservations/31687913341097?display=MHHBKT3G1&amp;reservation_id=31687913341097", "MHHBKT3G1")</f>
        <v>MHHBKT3G1</v>
      </c>
      <c r="B9630" t="s">
        <v>1473</v>
      </c>
      <c r="C9630">
        <v>109</v>
      </c>
      <c r="D9630">
        <v>118.49</v>
      </c>
      <c r="E9630">
        <v>118.48</v>
      </c>
      <c r="F9630">
        <v>0.01</v>
      </c>
    </row>
    <row r="9631" spans="1:6" x14ac:dyDescent="0.3">
      <c r="A9631" t="str">
        <f>HYPERLINK("https://us2.cloudbeds.com/connect/10074733072513#/reservations/31694427537609?display=MHMD2R7FB&amp;reservation_id=31694427537609", "MHMD2R7FB")</f>
        <v>MHMD2R7FB</v>
      </c>
      <c r="B9631" t="s">
        <v>1468</v>
      </c>
      <c r="C9631">
        <v>139</v>
      </c>
      <c r="D9631">
        <v>151.1</v>
      </c>
      <c r="E9631">
        <v>151.09</v>
      </c>
      <c r="F9631">
        <v>0.01</v>
      </c>
    </row>
    <row r="9632" spans="1:6" x14ac:dyDescent="0.3">
      <c r="A9632" t="str">
        <f>HYPERLINK("https://us2.cloudbeds.com/connect/10074733072513#/reservations/31694372085903?display=MHMBM26KK&amp;reservation_id=31694372085903", "MHMBM26KK")</f>
        <v>MHMBM26KK</v>
      </c>
      <c r="B9632" t="s">
        <v>1468</v>
      </c>
      <c r="C9632">
        <v>109</v>
      </c>
      <c r="D9632">
        <v>118.49</v>
      </c>
      <c r="E9632">
        <v>118.48</v>
      </c>
      <c r="F9632">
        <v>0.01</v>
      </c>
    </row>
    <row r="9633" spans="1:6" x14ac:dyDescent="0.3">
      <c r="A9633" t="str">
        <f>HYPERLINK("https://us2.cloudbeds.com/connect/10074733072513#/reservations/31687880741015?display=MHHAQCVMP&amp;reservation_id=31687880741015", "MHHAQCVMP")</f>
        <v>MHHAQCVMP</v>
      </c>
      <c r="B9633" t="s">
        <v>1473</v>
      </c>
      <c r="C9633">
        <v>109</v>
      </c>
      <c r="D9633">
        <v>118.49</v>
      </c>
      <c r="E9633">
        <v>118.48</v>
      </c>
      <c r="F9633">
        <v>0.01</v>
      </c>
    </row>
    <row r="9634" spans="1:6" x14ac:dyDescent="0.3">
      <c r="A9634" t="str">
        <f>HYPERLINK("https://us2.cloudbeds.com/connect/10074733072513#/reservations/31687361487057?display=MHGUHHVFB&amp;reservation_id=31687361487057", "MHGUHHVFB")</f>
        <v>MHGUHHVFB</v>
      </c>
      <c r="B9634" t="s">
        <v>1455</v>
      </c>
      <c r="C9634">
        <v>169</v>
      </c>
      <c r="D9634">
        <v>183.71</v>
      </c>
      <c r="E9634">
        <v>183.7</v>
      </c>
      <c r="F9634">
        <v>0.01</v>
      </c>
    </row>
    <row r="9635" spans="1:6" x14ac:dyDescent="0.3">
      <c r="A9635" t="str">
        <f>HYPERLINK("https://us2.cloudbeds.com/connect/10074733072513#/reservations/31691948691702?display=MHKFZJMJN&amp;reservation_id=31691948691702", "MHKFZJMJN")</f>
        <v>MHKFZJMJN</v>
      </c>
      <c r="B9635" t="s">
        <v>1404</v>
      </c>
      <c r="C9635">
        <v>195.48</v>
      </c>
      <c r="D9635">
        <v>212.5</v>
      </c>
      <c r="E9635">
        <v>212.49</v>
      </c>
      <c r="F9635">
        <v>0.01</v>
      </c>
    </row>
    <row r="9636" spans="1:6" x14ac:dyDescent="0.3">
      <c r="A9636" t="str">
        <f>HYPERLINK("https://us2.cloudbeds.com/connect/10074733072513#/reservations/31694680592512?display=MHMJ99XYP&amp;reservation_id=31694680592512", "MHMJ99XYP")</f>
        <v>MHMJ99XYP</v>
      </c>
      <c r="B9636" t="s">
        <v>1466</v>
      </c>
      <c r="C9636">
        <v>119</v>
      </c>
      <c r="D9636">
        <v>129.36000000000001</v>
      </c>
      <c r="E9636">
        <v>129.35</v>
      </c>
      <c r="F9636">
        <v>0.01</v>
      </c>
    </row>
    <row r="9637" spans="1:6" x14ac:dyDescent="0.3">
      <c r="A9637" t="str">
        <f>HYPERLINK("https://us2.cloudbeds.com/connect/10074733072513#/reservations/31694680592574?display=MHMJX6S5K&amp;reservation_id=31694680592574", "MHMJX6S5K")</f>
        <v>MHMJX6S5K</v>
      </c>
      <c r="B9637" t="s">
        <v>1466</v>
      </c>
      <c r="C9637">
        <v>109</v>
      </c>
      <c r="D9637">
        <v>118.49</v>
      </c>
      <c r="E9637">
        <v>118.48</v>
      </c>
      <c r="F9637">
        <v>0.01</v>
      </c>
    </row>
    <row r="9638" spans="1:6" x14ac:dyDescent="0.3">
      <c r="A9638" t="str">
        <f>HYPERLINK("https://us2.cloudbeds.com/connect/10074733072513#/reservations/31687400698073?display=MHGVHK1TV&amp;reservation_id=31687400698073", "MHGVHK1TV")</f>
        <v>MHGVHK1TV</v>
      </c>
      <c r="B9638" t="s">
        <v>1455</v>
      </c>
      <c r="C9638">
        <v>139</v>
      </c>
      <c r="D9638">
        <v>151.1</v>
      </c>
      <c r="E9638">
        <v>151.09</v>
      </c>
      <c r="F9638">
        <v>0.01</v>
      </c>
    </row>
    <row r="9639" spans="1:6" x14ac:dyDescent="0.3">
      <c r="A9639" t="str">
        <f>HYPERLINK("https://us2.cloudbeds.com/connect/10074733072513#/reservations/31690414321871?display=MHJ9HPJ77&amp;reservation_id=31690414321871", "MHJ9HPJ77")</f>
        <v>MHJ9HPJ77</v>
      </c>
      <c r="B9639" t="s">
        <v>1468</v>
      </c>
      <c r="C9639">
        <v>119</v>
      </c>
      <c r="D9639">
        <v>129.36000000000001</v>
      </c>
      <c r="E9639">
        <v>129.35</v>
      </c>
      <c r="F9639">
        <v>0.01</v>
      </c>
    </row>
    <row r="9640" spans="1:6" x14ac:dyDescent="0.3">
      <c r="A9640" t="str">
        <f>HYPERLINK("https://us2.cloudbeds.com/connect/10074733072513#/reservations/31694462574753?display=MHMDWC64W&amp;reservation_id=31694462574753", "MHMDWC64W")</f>
        <v>MHMDWC64W</v>
      </c>
      <c r="B9640" t="s">
        <v>1468</v>
      </c>
      <c r="C9640">
        <v>119</v>
      </c>
      <c r="D9640">
        <v>129.36000000000001</v>
      </c>
      <c r="E9640">
        <v>129.35</v>
      </c>
      <c r="F9640">
        <v>0.01</v>
      </c>
    </row>
    <row r="9641" spans="1:6" x14ac:dyDescent="0.3">
      <c r="A9641" t="str">
        <f>HYPERLINK("https://us2.cloudbeds.com/connect/10074733072513#/reservations/31687331836071?display=MHGTPHSZK&amp;reservation_id=31687331836071", "MHGTPHSZK")</f>
        <v>MHGTPHSZK</v>
      </c>
      <c r="B9641" t="s">
        <v>1455</v>
      </c>
      <c r="C9641">
        <v>221.72</v>
      </c>
      <c r="D9641">
        <v>241.02</v>
      </c>
      <c r="E9641">
        <v>241.01</v>
      </c>
      <c r="F9641">
        <v>0.01</v>
      </c>
    </row>
    <row r="9642" spans="1:6" x14ac:dyDescent="0.3">
      <c r="A9642" t="str">
        <f>HYPERLINK("https://us2.cloudbeds.com/connect/10074733072513#/reservations/31694983311538?display=MHMR9FF0X&amp;reservation_id=31694983311538", "MHMR9FF0X")</f>
        <v>MHMR9FF0X</v>
      </c>
      <c r="B9642" t="s">
        <v>1474</v>
      </c>
      <c r="C9642">
        <v>73</v>
      </c>
      <c r="D9642">
        <v>79.36</v>
      </c>
      <c r="E9642">
        <v>79.349999999999994</v>
      </c>
      <c r="F9642">
        <v>0.01</v>
      </c>
    </row>
    <row r="9643" spans="1:6" x14ac:dyDescent="0.3">
      <c r="A9643" t="str">
        <f>HYPERLINK("https://us2.cloudbeds.com/connect/10074733072513#/reservations/31695303864448?display=MHN26Y65T&amp;reservation_id=31695303864448", "MHN26Y65T")</f>
        <v>MHN26Y65T</v>
      </c>
      <c r="B9643" t="s">
        <v>1305</v>
      </c>
      <c r="C9643">
        <v>258</v>
      </c>
      <c r="D9643">
        <v>280.45999999999998</v>
      </c>
      <c r="E9643">
        <v>280.45</v>
      </c>
      <c r="F9643">
        <v>0.01</v>
      </c>
    </row>
    <row r="9644" spans="1:6" x14ac:dyDescent="0.3">
      <c r="A9644" t="str">
        <f>HYPERLINK("https://us2.cloudbeds.com/connect/10074733072513#/reservations/31687355195539?display=MHGUC7T49&amp;reservation_id=31687355195539", "MHGUC7T49")</f>
        <v>MHGUC7T49</v>
      </c>
      <c r="B9644" t="s">
        <v>1475</v>
      </c>
      <c r="C9644">
        <v>73</v>
      </c>
      <c r="D9644">
        <v>79.36</v>
      </c>
      <c r="E9644">
        <v>79.349999999999994</v>
      </c>
      <c r="F9644">
        <v>0.01</v>
      </c>
    </row>
    <row r="9645" spans="1:6" x14ac:dyDescent="0.3">
      <c r="A9645" t="str">
        <f>HYPERLINK("https://us2.cloudbeds.com/connect/10074733072513#/reservations/31692477747364?display=MHKT8NEFF&amp;reservation_id=31692477747364", "MHKT8NEFF")</f>
        <v>MHKT8NEFF</v>
      </c>
      <c r="B9645" t="s">
        <v>1476</v>
      </c>
      <c r="C9645">
        <v>73</v>
      </c>
      <c r="D9645">
        <v>79.36</v>
      </c>
      <c r="E9645">
        <v>79.349999999999994</v>
      </c>
      <c r="F9645">
        <v>0.01</v>
      </c>
    </row>
    <row r="9646" spans="1:6" x14ac:dyDescent="0.3">
      <c r="A9646" t="str">
        <f>HYPERLINK("https://us2.cloudbeds.com/connect/10074733072513#/reservations/31687396388994?display=MHGVDW4WQ&amp;reservation_id=31687396388994", "MHGVDW4WQ")</f>
        <v>MHGVDW4WQ</v>
      </c>
      <c r="B9646" t="s">
        <v>1455</v>
      </c>
      <c r="C9646">
        <v>139</v>
      </c>
      <c r="D9646">
        <v>151.1</v>
      </c>
      <c r="E9646">
        <v>151.09</v>
      </c>
      <c r="F9646">
        <v>0.01</v>
      </c>
    </row>
    <row r="9647" spans="1:6" x14ac:dyDescent="0.3">
      <c r="A9647" t="str">
        <f>HYPERLINK("https://us2.cloudbeds.com/connect/10074733072513#/reservations/31690450006172?display=MHJAESX5Y&amp;reservation_id=31690450006172", "MHJAESX5Y")</f>
        <v>MHJAESX5Y</v>
      </c>
      <c r="B9647" t="s">
        <v>1477</v>
      </c>
      <c r="C9647">
        <v>73</v>
      </c>
      <c r="D9647">
        <v>79.36</v>
      </c>
      <c r="E9647">
        <v>79.349999999999994</v>
      </c>
      <c r="F9647">
        <v>0.01</v>
      </c>
    </row>
    <row r="9648" spans="1:6" x14ac:dyDescent="0.3">
      <c r="A9648" t="str">
        <f>HYPERLINK("https://us2.cloudbeds.com/connect/10074733072513#/reservations/31687948226743?display=MHHCH9S1R&amp;reservation_id=31687948226743", "MHHCH9S1R")</f>
        <v>MHHCH9S1R</v>
      </c>
      <c r="B9648" t="s">
        <v>1473</v>
      </c>
      <c r="C9648">
        <v>109</v>
      </c>
      <c r="D9648">
        <v>118.49</v>
      </c>
      <c r="E9648">
        <v>118.48</v>
      </c>
      <c r="F9648">
        <v>0.01</v>
      </c>
    </row>
    <row r="9649" spans="1:6" x14ac:dyDescent="0.3">
      <c r="A9649" t="str">
        <f>HYPERLINK("https://us2.cloudbeds.com/connect/10074733072513#/reservations/31689559195805?display=MHXKMNEG4&amp;reservation_id=31689559195805", "MHXKMNEG4")</f>
        <v>MHXKMNEG4</v>
      </c>
      <c r="B9649" t="s">
        <v>1442</v>
      </c>
      <c r="C9649">
        <v>331.2</v>
      </c>
      <c r="D9649">
        <v>360.02</v>
      </c>
      <c r="E9649">
        <v>360.01</v>
      </c>
      <c r="F9649">
        <v>0.01</v>
      </c>
    </row>
    <row r="9650" spans="1:6" x14ac:dyDescent="0.3">
      <c r="A9650" t="str">
        <f>HYPERLINK("https://us2.cloudbeds.com/connect/10074733072513#/reservations/31729935085734?display=MXGTCZ345&amp;reservation_id=31729935085734", "MXGTCZ345")</f>
        <v>MXGTCZ345</v>
      </c>
      <c r="B9650" t="s">
        <v>1324</v>
      </c>
      <c r="C9650">
        <v>398</v>
      </c>
      <c r="D9650">
        <v>432.64</v>
      </c>
      <c r="E9650">
        <v>432.63</v>
      </c>
      <c r="F9650">
        <v>0.01</v>
      </c>
    </row>
    <row r="9651" spans="1:6" x14ac:dyDescent="0.3">
      <c r="A9651" t="str">
        <f>HYPERLINK("https://us2.cloudbeds.com/connect/10074733072513#/reservations/31687940272352?display=MHHCAJGZM&amp;reservation_id=31687940272352", "MHHCAJGZM")</f>
        <v>MHHCAJGZM</v>
      </c>
      <c r="B9651" t="s">
        <v>1473</v>
      </c>
      <c r="C9651">
        <v>119</v>
      </c>
      <c r="D9651">
        <v>129.36000000000001</v>
      </c>
      <c r="E9651">
        <v>129.35</v>
      </c>
      <c r="F9651">
        <v>0.01</v>
      </c>
    </row>
    <row r="9652" spans="1:6" x14ac:dyDescent="0.3">
      <c r="A9652" t="str">
        <f>HYPERLINK("https://us2.cloudbeds.com/connect/10074733072513#/reservations/31687745687779?display=MHH7BGTSF&amp;reservation_id=31687745687779", "MHH7BGTSF")</f>
        <v>MHH7BGTSF</v>
      </c>
      <c r="B9652" t="s">
        <v>1472</v>
      </c>
      <c r="C9652">
        <v>149</v>
      </c>
      <c r="D9652">
        <v>161.97</v>
      </c>
      <c r="E9652">
        <v>161.96</v>
      </c>
      <c r="F9652">
        <v>0.01</v>
      </c>
    </row>
    <row r="9653" spans="1:6" x14ac:dyDescent="0.3">
      <c r="A9653" t="str">
        <f>HYPERLINK("https://us2.cloudbeds.com/connect/10074733072513#/reservations/31685061476493?display=MHF4P3PCH&amp;reservation_id=31685061476493", "MHF4P3PCH")</f>
        <v>MHF4P3PCH</v>
      </c>
      <c r="B9653" t="s">
        <v>1450</v>
      </c>
      <c r="C9653">
        <v>189</v>
      </c>
      <c r="D9653">
        <v>205.45</v>
      </c>
      <c r="E9653">
        <v>205.44</v>
      </c>
      <c r="F9653">
        <v>0.01</v>
      </c>
    </row>
    <row r="9654" spans="1:6" x14ac:dyDescent="0.3">
      <c r="A9654" t="str">
        <f>HYPERLINK("https://us2.cloudbeds.com/connect/10074733072513#/reservations/31694796468401?display=MHMMGU8TA&amp;reservation_id=31694796468401", "MHMMGU8TA")</f>
        <v>MHMMGU8TA</v>
      </c>
      <c r="B9654" t="s">
        <v>1474</v>
      </c>
      <c r="C9654">
        <v>218</v>
      </c>
      <c r="D9654">
        <v>236.98</v>
      </c>
      <c r="E9654">
        <v>236.97</v>
      </c>
      <c r="F9654">
        <v>0.01</v>
      </c>
    </row>
    <row r="9655" spans="1:6" x14ac:dyDescent="0.3">
      <c r="A9655" t="str">
        <f>HYPERLINK("https://us2.cloudbeds.com/connect/10074733072513#/reservations/31691963265261?display=MHKG3T73N&amp;reservation_id=31691963265261", "MHKG3T73N")</f>
        <v>MHKG3T73N</v>
      </c>
      <c r="B9655" t="s">
        <v>1404</v>
      </c>
      <c r="C9655">
        <v>139</v>
      </c>
      <c r="D9655">
        <v>151.1</v>
      </c>
      <c r="E9655">
        <v>151.09</v>
      </c>
      <c r="F9655">
        <v>0.01</v>
      </c>
    </row>
    <row r="9656" spans="1:6" x14ac:dyDescent="0.3">
      <c r="A9656" t="str">
        <f>HYPERLINK("https://us2.cloudbeds.com/connect/10074733072513#/reservations/31687976263856?display=MHHD7V0QA&amp;reservation_id=31687976263856", "MHHD7V0QA")</f>
        <v>MHHD7V0QA</v>
      </c>
      <c r="B9656" t="s">
        <v>1479</v>
      </c>
      <c r="C9656">
        <v>218</v>
      </c>
      <c r="D9656">
        <v>236.98</v>
      </c>
      <c r="E9656">
        <v>236.97</v>
      </c>
      <c r="F9656">
        <v>0.01</v>
      </c>
    </row>
    <row r="9657" spans="1:6" x14ac:dyDescent="0.3">
      <c r="A9657" t="str">
        <f>HYPERLINK("https://us2.cloudbeds.com/connect/10074733072513#/reservations/31688012357763?display=MHHE5CCT2&amp;reservation_id=31688012357763", "MHHE5CCT2")</f>
        <v>MHHE5CCT2</v>
      </c>
      <c r="B9657" t="s">
        <v>1479</v>
      </c>
      <c r="C9657">
        <v>139</v>
      </c>
      <c r="D9657">
        <v>151.1</v>
      </c>
      <c r="E9657">
        <v>151.09</v>
      </c>
      <c r="F9657">
        <v>0.01</v>
      </c>
    </row>
    <row r="9658" spans="1:6" x14ac:dyDescent="0.3">
      <c r="A9658" t="str">
        <f>HYPERLINK("https://us2.cloudbeds.com/connect/10074733072513#/reservations/31694907052186?display=MHMPB5E23&amp;reservation_id=31694907052186", "MHMPB5E23")</f>
        <v>MHMPB5E23</v>
      </c>
      <c r="B9658" t="s">
        <v>1488</v>
      </c>
      <c r="C9658">
        <v>79</v>
      </c>
      <c r="D9658">
        <v>85.88</v>
      </c>
      <c r="E9658">
        <v>85.87</v>
      </c>
      <c r="F9658">
        <v>0.01</v>
      </c>
    </row>
    <row r="9659" spans="1:6" x14ac:dyDescent="0.3">
      <c r="A9659" t="str">
        <f>HYPERLINK("https://us2.cloudbeds.com/connect/10074733072513#/reservations/31687986991248?display=MHHDGWHFQ&amp;reservation_id=31687986991248", "MHHDGWHFQ")</f>
        <v>MHHDGWHFQ</v>
      </c>
      <c r="B9659" t="s">
        <v>1479</v>
      </c>
      <c r="C9659">
        <v>109</v>
      </c>
      <c r="D9659">
        <v>118.49</v>
      </c>
      <c r="E9659">
        <v>118.48</v>
      </c>
      <c r="F9659">
        <v>0.01</v>
      </c>
    </row>
    <row r="9660" spans="1:6" x14ac:dyDescent="0.3">
      <c r="A9660" t="str">
        <f>HYPERLINK("https://us2.cloudbeds.com/connect/10074733072513#/reservations/31695830216844?display=MHNFUJRRN&amp;reservation_id=31695830216844", "MHNFUJRRN")</f>
        <v>MHNFUJRRN</v>
      </c>
      <c r="B9660" t="s">
        <v>1305</v>
      </c>
      <c r="C9660">
        <v>258</v>
      </c>
      <c r="D9660">
        <v>280.45999999999998</v>
      </c>
      <c r="E9660">
        <v>280.45</v>
      </c>
      <c r="F9660">
        <v>0.01</v>
      </c>
    </row>
    <row r="9661" spans="1:6" x14ac:dyDescent="0.3">
      <c r="A9661" t="str">
        <f>HYPERLINK("https://us2.cloudbeds.com/connect/10074733072513#/reservations/31690554331273?display=MHJD3RX5C&amp;reservation_id=31690554331273", "MHJD3RX5C")</f>
        <v>MHJD3RX5C</v>
      </c>
      <c r="B9661" t="s">
        <v>1464</v>
      </c>
      <c r="C9661">
        <v>89</v>
      </c>
      <c r="D9661">
        <v>96.75</v>
      </c>
      <c r="E9661">
        <v>96.74</v>
      </c>
      <c r="F9661">
        <v>0.01</v>
      </c>
    </row>
    <row r="9662" spans="1:6" x14ac:dyDescent="0.3">
      <c r="A9662" t="str">
        <f>HYPERLINK("https://us2.cloudbeds.com/connect/10074733072513#/reservations/31690533494938?display=MHJCJ8ZN8&amp;reservation_id=31690533494938", "MHJCJ8ZN8")</f>
        <v>MHJCJ8ZN8</v>
      </c>
      <c r="B9662" t="s">
        <v>1464</v>
      </c>
      <c r="C9662">
        <v>109</v>
      </c>
      <c r="D9662">
        <v>118.49</v>
      </c>
      <c r="E9662">
        <v>118.48</v>
      </c>
      <c r="F9662">
        <v>0.01</v>
      </c>
    </row>
    <row r="9663" spans="1:6" x14ac:dyDescent="0.3">
      <c r="A9663" t="str">
        <f>HYPERLINK("https://us2.cloudbeds.com/connect/10074733072513#/reservations/31690602074332?display=MHJEB32BZ&amp;reservation_id=31690602074332", "MHJEB32BZ")</f>
        <v>MHJEB32BZ</v>
      </c>
      <c r="B9663" t="s">
        <v>1464</v>
      </c>
      <c r="C9663">
        <v>109</v>
      </c>
      <c r="D9663">
        <v>118.49</v>
      </c>
      <c r="E9663">
        <v>118.48</v>
      </c>
      <c r="F9663">
        <v>0.01</v>
      </c>
    </row>
    <row r="9664" spans="1:6" x14ac:dyDescent="0.3">
      <c r="A9664" t="str">
        <f>HYPERLINK("https://us2.cloudbeds.com/connect/10074733072513#/reservations/31688044630247?display=MHHEWJDS4&amp;reservation_id=31688044630247", "MHHEWJDS4")</f>
        <v>MHHEWJDS4</v>
      </c>
      <c r="B9664" t="s">
        <v>1464</v>
      </c>
      <c r="C9664">
        <v>109</v>
      </c>
      <c r="D9664">
        <v>118.49</v>
      </c>
      <c r="E9664">
        <v>118.48</v>
      </c>
      <c r="F9664">
        <v>0.01</v>
      </c>
    </row>
    <row r="9665" spans="1:6" x14ac:dyDescent="0.3">
      <c r="A9665" t="str">
        <f>HYPERLINK("https://us2.cloudbeds.com/connect/10074733072513#/reservations/31683414835384?display=MHDSMKX82&amp;reservation_id=31683414835384", "MHDSMKX82")</f>
        <v>MHDSMKX82</v>
      </c>
      <c r="B9665" t="s">
        <v>1487</v>
      </c>
      <c r="C9665">
        <v>218</v>
      </c>
      <c r="D9665">
        <v>236.98</v>
      </c>
      <c r="E9665">
        <v>236.97</v>
      </c>
      <c r="F9665">
        <v>0.01</v>
      </c>
    </row>
    <row r="9666" spans="1:6" x14ac:dyDescent="0.3">
      <c r="A9666" t="str">
        <f>HYPERLINK("https://us2.cloudbeds.com/connect/10074733072513#/reservations/31687776506082?display=MHH84GFGE&amp;reservation_id=31687776506082", "MHH84GFGE")</f>
        <v>MHH84GFGE</v>
      </c>
      <c r="B9666" t="s">
        <v>1472</v>
      </c>
      <c r="C9666">
        <v>169</v>
      </c>
      <c r="D9666">
        <v>183.71</v>
      </c>
      <c r="E9666">
        <v>183.7</v>
      </c>
      <c r="F9666">
        <v>0.01</v>
      </c>
    </row>
    <row r="9667" spans="1:6" x14ac:dyDescent="0.3">
      <c r="A9667" t="str">
        <f>HYPERLINK("https://us2.cloudbeds.com/connect/10074733072513#/reservations/31693403693211?display=MHYJUG84H&amp;reservation_id=31693403693211", "MHYJUG84H")</f>
        <v>MHYJUG84H</v>
      </c>
      <c r="B9667" t="s">
        <v>1494</v>
      </c>
      <c r="C9667">
        <v>79</v>
      </c>
      <c r="D9667">
        <v>85.88</v>
      </c>
      <c r="E9667">
        <v>85.87</v>
      </c>
      <c r="F9667">
        <v>0.01</v>
      </c>
    </row>
    <row r="9668" spans="1:6" x14ac:dyDescent="0.3">
      <c r="A9668" t="str">
        <f>HYPERLINK("https://us2.cloudbeds.com/connect/10074733072513#/reservations/31687696969870?display=MHH63E8G6&amp;reservation_id=31687696969870", "MHH63E8G6")</f>
        <v>MHH63E8G6</v>
      </c>
      <c r="B9668" t="s">
        <v>1472</v>
      </c>
      <c r="C9668">
        <v>73</v>
      </c>
      <c r="D9668">
        <v>79.36</v>
      </c>
      <c r="E9668">
        <v>79.349999999999994</v>
      </c>
      <c r="F9668">
        <v>0.01</v>
      </c>
    </row>
    <row r="9669" spans="1:6" x14ac:dyDescent="0.3">
      <c r="A9669" t="str">
        <f>HYPERLINK("https://us2.cloudbeds.com/connect/10074733072513#/reservations/31683397030098?display=MHDS7K33W&amp;reservation_id=31683397030098", "MHDS7K33W")</f>
        <v>MHDS7K33W</v>
      </c>
      <c r="B9669" t="s">
        <v>1487</v>
      </c>
      <c r="C9669">
        <v>218</v>
      </c>
      <c r="D9669">
        <v>236.98</v>
      </c>
      <c r="E9669">
        <v>236.97</v>
      </c>
      <c r="F9669">
        <v>0.01</v>
      </c>
    </row>
    <row r="9670" spans="1:6" x14ac:dyDescent="0.3">
      <c r="A9670" t="str">
        <f>HYPERLINK("https://us2.cloudbeds.com/connect/10074733072513#/reservations/31689082441951?display=MHX8GN1WY&amp;reservation_id=31689082441951", "MHX8GN1WY")</f>
        <v>MHX8GN1WY</v>
      </c>
      <c r="B9670" t="s">
        <v>1465</v>
      </c>
      <c r="C9670">
        <v>89</v>
      </c>
      <c r="D9670">
        <v>96.75</v>
      </c>
      <c r="E9670">
        <v>96.74</v>
      </c>
      <c r="F9670">
        <v>0.01</v>
      </c>
    </row>
    <row r="9671" spans="1:6" x14ac:dyDescent="0.3">
      <c r="A9671" t="str">
        <f>HYPERLINK("https://us2.cloudbeds.com/connect/10074733072513#/reservations/31694596006115?display=MHMHCT3YJ&amp;reservation_id=31694596006115", "MHMHCT3YJ")</f>
        <v>MHMHCT3YJ</v>
      </c>
      <c r="B9671" t="s">
        <v>1327</v>
      </c>
      <c r="C9671">
        <v>159</v>
      </c>
      <c r="D9671">
        <v>172.84</v>
      </c>
      <c r="E9671">
        <v>172.83</v>
      </c>
      <c r="F9671">
        <v>0.01</v>
      </c>
    </row>
    <row r="9672" spans="1:6" x14ac:dyDescent="0.3">
      <c r="A9672" t="str">
        <f>HYPERLINK("https://us2.cloudbeds.com/connect/10074733072513#/reservations/31683358818457?display=MHDR8CQCE&amp;reservation_id=31683358818457", "MHDR8CQCE")</f>
        <v>MHDR8CQCE</v>
      </c>
      <c r="B9672" t="s">
        <v>1487</v>
      </c>
      <c r="C9672">
        <v>99</v>
      </c>
      <c r="D9672">
        <v>107.62</v>
      </c>
      <c r="E9672">
        <v>107.61</v>
      </c>
      <c r="F9672">
        <v>0.01</v>
      </c>
    </row>
    <row r="9673" spans="1:6" x14ac:dyDescent="0.3">
      <c r="A9673" t="str">
        <f>HYPERLINK("https://us2.cloudbeds.com/connect/10074733072513#/reservations/31736047587489?display=MXYKXVFD2&amp;reservation_id=31736047587489", "MXYKXVFD2")</f>
        <v>MXYKXVFD2</v>
      </c>
      <c r="B9673" t="s">
        <v>1322</v>
      </c>
      <c r="C9673">
        <v>159</v>
      </c>
      <c r="D9673">
        <v>172.84</v>
      </c>
      <c r="E9673">
        <v>172.83</v>
      </c>
      <c r="F9673">
        <v>0.01</v>
      </c>
    </row>
    <row r="9674" spans="1:6" x14ac:dyDescent="0.3">
      <c r="A9674" t="str">
        <f>HYPERLINK("https://us2.cloudbeds.com/connect/10074733072513#/reservations/31684456947848?display=MHEMABSYM&amp;reservation_id=31684456947848", "MHEMABSYM")</f>
        <v>MHEMABSYM</v>
      </c>
      <c r="B9674" t="s">
        <v>1429</v>
      </c>
      <c r="C9674">
        <v>341.6</v>
      </c>
      <c r="D9674">
        <v>371.33</v>
      </c>
      <c r="E9674">
        <v>371.32</v>
      </c>
      <c r="F9674">
        <v>0.01</v>
      </c>
    </row>
    <row r="9675" spans="1:6" x14ac:dyDescent="0.3">
      <c r="A9675" t="str">
        <f>HYPERLINK("https://us2.cloudbeds.com/connect/10074733072513#/reservations/31691530596515?display=MHK521XQJ&amp;reservation_id=31691530596515", "MHK521XQJ")</f>
        <v>MHK521XQJ</v>
      </c>
      <c r="B9675" t="s">
        <v>1305</v>
      </c>
      <c r="C9675">
        <v>493.3</v>
      </c>
      <c r="D9675">
        <v>536.23</v>
      </c>
      <c r="E9675">
        <v>536.22</v>
      </c>
      <c r="F9675">
        <v>0.01</v>
      </c>
    </row>
    <row r="9676" spans="1:6" x14ac:dyDescent="0.3">
      <c r="A9676" t="str">
        <f>HYPERLINK("https://us2.cloudbeds.com/connect/10074733072513#/reservations/31685031461093?display=MHF3WQX0U&amp;reservation_id=31685031461093", "MHF3WQX0U")</f>
        <v>MHF3WQX0U</v>
      </c>
      <c r="B9676" t="s">
        <v>1450</v>
      </c>
      <c r="C9676">
        <v>189</v>
      </c>
      <c r="D9676">
        <v>205.45</v>
      </c>
      <c r="E9676">
        <v>205.44</v>
      </c>
      <c r="F9676">
        <v>0.01</v>
      </c>
    </row>
    <row r="9677" spans="1:6" x14ac:dyDescent="0.3">
      <c r="A9677" t="str">
        <f>HYPERLINK("https://us2.cloudbeds.com/connect/10074733072513#/reservations/31683375223015?display=MHDRM7989&amp;reservation_id=31683375223015", "MHDRM7989")</f>
        <v>MHDRM7989</v>
      </c>
      <c r="B9677" t="s">
        <v>1487</v>
      </c>
      <c r="C9677">
        <v>99</v>
      </c>
      <c r="D9677">
        <v>107.62</v>
      </c>
      <c r="E9677">
        <v>107.61</v>
      </c>
      <c r="F9677">
        <v>0.01</v>
      </c>
    </row>
    <row r="9678" spans="1:6" x14ac:dyDescent="0.3">
      <c r="A9678" t="str">
        <f>HYPERLINK("https://us2.cloudbeds.com/connect/10074733072513#/reservations/31688034005164?display=MHHENKP3U&amp;reservation_id=31688034005164", "MHHENKP3U")</f>
        <v>MHHENKP3U</v>
      </c>
      <c r="B9678" t="s">
        <v>1494</v>
      </c>
      <c r="C9678">
        <v>109</v>
      </c>
      <c r="D9678">
        <v>118.49</v>
      </c>
      <c r="E9678">
        <v>118.48</v>
      </c>
      <c r="F9678">
        <v>0.01</v>
      </c>
    </row>
    <row r="9679" spans="1:6" x14ac:dyDescent="0.3">
      <c r="A9679" t="str">
        <f>HYPERLINK("https://us2.cloudbeds.com/connect/10074733072513#/reservations/31689846747276?display=MHXS15WE2&amp;reservation_id=31689846747276", "MHXS15WE2")</f>
        <v>MHXS15WE2</v>
      </c>
      <c r="B9679" t="s">
        <v>1463</v>
      </c>
      <c r="C9679">
        <v>109</v>
      </c>
      <c r="D9679">
        <v>118.49</v>
      </c>
      <c r="E9679">
        <v>118.48</v>
      </c>
      <c r="F9679">
        <v>0.01</v>
      </c>
    </row>
    <row r="9680" spans="1:6" x14ac:dyDescent="0.3">
      <c r="A9680" t="str">
        <f>HYPERLINK("https://us2.cloudbeds.com/connect/10074733072513#/reservations/31687665844373?display=MHH5A64PA&amp;reservation_id=31687665844373", "MHH5A64PA")</f>
        <v>MHH5A64PA</v>
      </c>
      <c r="B9680" t="s">
        <v>1472</v>
      </c>
      <c r="C9680">
        <v>109</v>
      </c>
      <c r="D9680">
        <v>118.49</v>
      </c>
      <c r="E9680">
        <v>118.48</v>
      </c>
      <c r="F9680">
        <v>0.01</v>
      </c>
    </row>
    <row r="9681" spans="1:6" x14ac:dyDescent="0.3">
      <c r="A9681" t="str">
        <f>HYPERLINK("https://us2.cloudbeds.com/connect/10074733072513#/reservations/31687706820834?display=MHH6BZCC8&amp;reservation_id=31687706820834", "MHH6BZCC8")</f>
        <v>MHH6BZCC8</v>
      </c>
      <c r="B9681" t="s">
        <v>1472</v>
      </c>
      <c r="C9681">
        <v>159</v>
      </c>
      <c r="D9681">
        <v>172.84</v>
      </c>
      <c r="E9681">
        <v>172.83</v>
      </c>
      <c r="F9681">
        <v>0.01</v>
      </c>
    </row>
    <row r="9682" spans="1:6" x14ac:dyDescent="0.3">
      <c r="A9682" t="str">
        <f>HYPERLINK("https://us2.cloudbeds.com/connect/10074733072513#/reservations/31687725633746?display=MHH6RJSPE&amp;reservation_id=31687725633746", "MHH6RJSPE")</f>
        <v>MHH6RJSPE</v>
      </c>
      <c r="B9682" t="s">
        <v>1472</v>
      </c>
      <c r="C9682">
        <v>102.58</v>
      </c>
      <c r="D9682">
        <v>111.51</v>
      </c>
      <c r="E9682">
        <v>111.5</v>
      </c>
      <c r="F9682">
        <v>0.01</v>
      </c>
    </row>
    <row r="9683" spans="1:6" x14ac:dyDescent="0.3">
      <c r="A9683" t="str">
        <f>HYPERLINK("https://us2.cloudbeds.com/connect/10074733072513#/reservations/31689951273160?display=MHXUNAXQ3&amp;reservation_id=31689951273160", "MHXUNAXQ3")</f>
        <v>MHXUNAXQ3</v>
      </c>
      <c r="B9683" t="s">
        <v>1472</v>
      </c>
      <c r="C9683">
        <v>149</v>
      </c>
      <c r="D9683">
        <v>161.97</v>
      </c>
      <c r="E9683">
        <v>161.96</v>
      </c>
      <c r="F9683">
        <v>0.01</v>
      </c>
    </row>
    <row r="9684" spans="1:6" x14ac:dyDescent="0.3">
      <c r="A9684" t="str">
        <f>HYPERLINK("https://us2.cloudbeds.com/connect/10074733072513#/reservations/31694186303707?display=MHM6UDHZ3&amp;reservation_id=31694186303707", "MHM6UDHZ3")</f>
        <v>MHM6UDHZ3</v>
      </c>
      <c r="B9684" t="s">
        <v>1327</v>
      </c>
      <c r="C9684">
        <v>159</v>
      </c>
      <c r="D9684">
        <v>172.84</v>
      </c>
      <c r="E9684">
        <v>172.83</v>
      </c>
      <c r="F9684">
        <v>0.01</v>
      </c>
    </row>
    <row r="9685" spans="1:6" x14ac:dyDescent="0.3">
      <c r="A9685" t="str">
        <f>HYPERLINK("https://us2.cloudbeds.com/connect/10074733072513#/reservations/31694346477767?display=MHMB0FKBG&amp;reservation_id=31694346477767", "MHMB0FKBG")</f>
        <v>MHMB0FKBG</v>
      </c>
      <c r="B9685" t="s">
        <v>1470</v>
      </c>
      <c r="C9685">
        <v>189</v>
      </c>
      <c r="D9685">
        <v>205.45</v>
      </c>
      <c r="E9685">
        <v>205.44</v>
      </c>
      <c r="F9685">
        <v>0.01</v>
      </c>
    </row>
    <row r="9686" spans="1:6" x14ac:dyDescent="0.3">
      <c r="A9686" t="str">
        <f>HYPERLINK("https://us2.cloudbeds.com/connect/10074733072513#/reservations/31688059318486?display=MHHFBW4M9&amp;reservation_id=31688059318486", "MHHFBW4M9")</f>
        <v>MHHFBW4M9</v>
      </c>
      <c r="B9686" t="s">
        <v>1494</v>
      </c>
      <c r="C9686">
        <v>150</v>
      </c>
      <c r="D9686">
        <v>163.06</v>
      </c>
      <c r="E9686">
        <v>163.05000000000001</v>
      </c>
      <c r="F9686">
        <v>0.01</v>
      </c>
    </row>
    <row r="9687" spans="1:6" x14ac:dyDescent="0.3">
      <c r="A9687" t="str">
        <f>HYPERLINK("https://us2.cloudbeds.com/connect/10074733072513#/reservations/31693326913673?display=MHYHVZZGS&amp;reservation_id=31693326913673", "MHYHVZZGS")</f>
        <v>MHYHVZZGS</v>
      </c>
      <c r="B9687" t="s">
        <v>1404</v>
      </c>
      <c r="C9687">
        <v>139</v>
      </c>
      <c r="D9687">
        <v>151.1</v>
      </c>
      <c r="E9687">
        <v>151.09</v>
      </c>
      <c r="F9687">
        <v>0.01</v>
      </c>
    </row>
    <row r="9688" spans="1:6" x14ac:dyDescent="0.3">
      <c r="A9688" t="str">
        <f>HYPERLINK("https://us2.cloudbeds.com/connect/10074733072513#/reservations/31690035327166?display=MHXWS6GC6&amp;reservation_id=31690035327166", "MHXWS6GC6")</f>
        <v>MHXWS6GC6</v>
      </c>
      <c r="B9688" t="s">
        <v>1404</v>
      </c>
      <c r="C9688">
        <v>139</v>
      </c>
      <c r="D9688">
        <v>151.1</v>
      </c>
      <c r="E9688">
        <v>151.09</v>
      </c>
      <c r="F9688">
        <v>0.01</v>
      </c>
    </row>
    <row r="9689" spans="1:6" x14ac:dyDescent="0.3">
      <c r="A9689" t="str">
        <f>HYPERLINK("https://us2.cloudbeds.com/connect/10074733072513#/reservations/31685070536918?display=MHF4WZTAS&amp;reservation_id=31685070536918", "MHF4WZTAS")</f>
        <v>MHF4WZTAS</v>
      </c>
      <c r="B9689" t="s">
        <v>1375</v>
      </c>
      <c r="C9689">
        <v>159</v>
      </c>
      <c r="D9689">
        <v>172.84</v>
      </c>
      <c r="E9689">
        <v>172.83</v>
      </c>
      <c r="F9689">
        <v>0.01</v>
      </c>
    </row>
    <row r="9690" spans="1:6" x14ac:dyDescent="0.3">
      <c r="A9690" t="str">
        <f>HYPERLINK("https://us2.cloudbeds.com/connect/10074733072513#/reservations/31695136845961?display=MHMV6UPKR&amp;reservation_id=31695136845961", "MHMV6UPKR")</f>
        <v>MHMV6UPKR</v>
      </c>
      <c r="B9690" t="s">
        <v>1327</v>
      </c>
      <c r="C9690">
        <v>179</v>
      </c>
      <c r="D9690">
        <v>194.58</v>
      </c>
      <c r="E9690">
        <v>194.57</v>
      </c>
      <c r="F9690">
        <v>0.01</v>
      </c>
    </row>
    <row r="9691" spans="1:6" x14ac:dyDescent="0.3">
      <c r="A9691" t="str">
        <f>HYPERLINK("https://us2.cloudbeds.com/connect/10074733072513#/reservations/31689913483473?display=MHXTZF0H2&amp;reservation_id=31689913483473", "MHXTZF0H2")</f>
        <v>MHXTZF0H2</v>
      </c>
      <c r="B9691" t="s">
        <v>1463</v>
      </c>
      <c r="C9691">
        <v>150</v>
      </c>
      <c r="D9691">
        <v>163.06</v>
      </c>
      <c r="E9691">
        <v>163.05000000000001</v>
      </c>
      <c r="F9691">
        <v>0.01</v>
      </c>
    </row>
    <row r="9692" spans="1:6" x14ac:dyDescent="0.3">
      <c r="A9692" t="str">
        <f>HYPERLINK("https://us2.cloudbeds.com/connect/10074733072513#/reservations/31688044634336?display=MHHEWJHK1&amp;reservation_id=31688044634336", "MHHEWJHK1")</f>
        <v>MHHEWJHK1</v>
      </c>
      <c r="B9692" t="s">
        <v>1494</v>
      </c>
      <c r="C9692">
        <v>109</v>
      </c>
      <c r="D9692">
        <v>118.49</v>
      </c>
      <c r="E9692">
        <v>118.48</v>
      </c>
      <c r="F9692">
        <v>0.01</v>
      </c>
    </row>
    <row r="9693" spans="1:6" x14ac:dyDescent="0.3">
      <c r="A9693" t="str">
        <f>HYPERLINK("https://us2.cloudbeds.com/connect/10074733072513#/reservations/31689937719464?display=MHXUBTDQ1&amp;reservation_id=31689937719464", "MHXUBTDQ1")</f>
        <v>MHXUBTDQ1</v>
      </c>
      <c r="B9693" t="s">
        <v>1463</v>
      </c>
      <c r="C9693">
        <v>150</v>
      </c>
      <c r="D9693">
        <v>163.06</v>
      </c>
      <c r="E9693">
        <v>163.05000000000001</v>
      </c>
      <c r="F9693">
        <v>0.01</v>
      </c>
    </row>
    <row r="9694" spans="1:6" x14ac:dyDescent="0.3">
      <c r="A9694" t="str">
        <f>HYPERLINK("https://us2.cloudbeds.com/connect/10074733072513#/reservations/31692255682748?display=MHKNJF5CM&amp;reservation_id=31692255682748", "MHKNJF5CM")</f>
        <v>MHKNJF5CM</v>
      </c>
      <c r="B9694" t="s">
        <v>1453</v>
      </c>
      <c r="C9694">
        <v>150</v>
      </c>
      <c r="D9694">
        <v>163.06</v>
      </c>
      <c r="E9694">
        <v>163.05000000000001</v>
      </c>
      <c r="F9694">
        <v>0.01</v>
      </c>
    </row>
    <row r="9695" spans="1:6" x14ac:dyDescent="0.3">
      <c r="A9695" t="str">
        <f>HYPERLINK("https://us2.cloudbeds.com/connect/10074733072513#/reservations/31693364863201?display=MHYXUZZXX&amp;reservation_id=31693364863201", "MHYXUZZXX")</f>
        <v>MHYXUZZXX</v>
      </c>
      <c r="B9695" t="s">
        <v>1494</v>
      </c>
      <c r="C9695">
        <v>119</v>
      </c>
      <c r="D9695">
        <v>129.36000000000001</v>
      </c>
      <c r="E9695">
        <v>129.35</v>
      </c>
      <c r="F9695">
        <v>0.01</v>
      </c>
    </row>
    <row r="9696" spans="1:6" x14ac:dyDescent="0.3">
      <c r="A9696" t="str">
        <f>HYPERLINK("https://us2.cloudbeds.com/connect/10074733072513#/reservations/31688363311253?display=MHHN4A67A&amp;reservation_id=31688363311253", "MHHN4A67A")</f>
        <v>MHHN4A67A</v>
      </c>
      <c r="B9696" t="s">
        <v>1489</v>
      </c>
      <c r="C9696">
        <v>109</v>
      </c>
      <c r="D9696">
        <v>118.49</v>
      </c>
      <c r="E9696">
        <v>118.48</v>
      </c>
      <c r="F9696">
        <v>0.01</v>
      </c>
    </row>
    <row r="9697" spans="1:6" x14ac:dyDescent="0.3">
      <c r="A9697" t="str">
        <f>HYPERLINK("https://us2.cloudbeds.com/connect/10074733072513#/reservations/31689842368687?display=MHXRUG4MX&amp;reservation_id=31689842368687", "MHXRUG4MX")</f>
        <v>MHXRUG4MX</v>
      </c>
      <c r="B9697" t="s">
        <v>1463</v>
      </c>
      <c r="C9697">
        <v>278</v>
      </c>
      <c r="D9697">
        <v>302.2</v>
      </c>
      <c r="E9697">
        <v>302.19</v>
      </c>
      <c r="F9697">
        <v>0.01</v>
      </c>
    </row>
    <row r="9698" spans="1:6" x14ac:dyDescent="0.3">
      <c r="A9698" t="str">
        <f>HYPERLINK("https://us2.cloudbeds.com/connect/10074733072513#/reservations/31688083943642?display=MHHFWZCA4&amp;reservation_id=31688083943642", "MHHFWZCA4")</f>
        <v>MHHFWZCA4</v>
      </c>
      <c r="B9698" t="s">
        <v>1465</v>
      </c>
      <c r="C9698">
        <v>109</v>
      </c>
      <c r="D9698">
        <v>118.49</v>
      </c>
      <c r="E9698">
        <v>118.48</v>
      </c>
      <c r="F9698">
        <v>0.01</v>
      </c>
    </row>
    <row r="9699" spans="1:6" x14ac:dyDescent="0.3">
      <c r="A9699" t="str">
        <f>HYPERLINK("https://us2.cloudbeds.com/connect/10074733072513#/reservations/31689924665520?display=MHXU0T5MW&amp;reservation_id=31689924665520", "MHXU0T5MW")</f>
        <v>MHXU0T5MW</v>
      </c>
      <c r="B9699" t="s">
        <v>1463</v>
      </c>
      <c r="C9699">
        <v>150</v>
      </c>
      <c r="D9699">
        <v>163.06</v>
      </c>
      <c r="E9699">
        <v>163.05000000000001</v>
      </c>
      <c r="F9699">
        <v>0.01</v>
      </c>
    </row>
    <row r="9700" spans="1:6" x14ac:dyDescent="0.3">
      <c r="A9700" t="str">
        <f>HYPERLINK("https://us2.cloudbeds.com/connect/10074733072513#/reservations/31695044997331?display=MHMSSFVF0&amp;reservation_id=31695044997331", "MHMSSFVF0")</f>
        <v>MHMSSFVF0</v>
      </c>
      <c r="B9700" t="s">
        <v>1489</v>
      </c>
      <c r="C9700">
        <v>139</v>
      </c>
      <c r="D9700">
        <v>151.1</v>
      </c>
      <c r="E9700">
        <v>151.09</v>
      </c>
      <c r="F9700">
        <v>0.01</v>
      </c>
    </row>
    <row r="9701" spans="1:6" x14ac:dyDescent="0.3">
      <c r="A9701" t="str">
        <f>HYPERLINK("https://us2.cloudbeds.com/connect/10074733072513#/reservations/31689893114007?display=MHXT796PH&amp;reservation_id=31689893114007", "MHXT796PH")</f>
        <v>MHXT796PH</v>
      </c>
      <c r="B9701" t="s">
        <v>1463</v>
      </c>
      <c r="C9701">
        <v>109</v>
      </c>
      <c r="D9701">
        <v>118.49</v>
      </c>
      <c r="E9701">
        <v>118.48</v>
      </c>
      <c r="F9701">
        <v>0.01</v>
      </c>
    </row>
    <row r="9702" spans="1:6" x14ac:dyDescent="0.3">
      <c r="A9702" t="str">
        <f>HYPERLINK("https://us2.cloudbeds.com/connect/10074733072513#/reservations/31695309705435?display=MHN2KMRUN&amp;reservation_id=31695309705435", "MHN2KMRUN")</f>
        <v>MHN2KMRUN</v>
      </c>
      <c r="B9702" t="s">
        <v>1305</v>
      </c>
      <c r="C9702">
        <v>278</v>
      </c>
      <c r="D9702">
        <v>302.2</v>
      </c>
      <c r="E9702">
        <v>302.19</v>
      </c>
      <c r="F9702">
        <v>0.01</v>
      </c>
    </row>
    <row r="9703" spans="1:6" x14ac:dyDescent="0.3">
      <c r="A9703" t="str">
        <f>HYPERLINK("https://us2.cloudbeds.com/connect/10074733072513#/reservations/31688091791492?display=MHHG6BZPN&amp;reservation_id=31688091791492", "MHHG6BZPN")</f>
        <v>MHHG6BZPN</v>
      </c>
      <c r="B9703" t="s">
        <v>1465</v>
      </c>
      <c r="C9703">
        <v>109</v>
      </c>
      <c r="D9703">
        <v>118.49</v>
      </c>
      <c r="E9703">
        <v>118.48</v>
      </c>
      <c r="F9703">
        <v>0.01</v>
      </c>
    </row>
    <row r="9704" spans="1:6" x14ac:dyDescent="0.3">
      <c r="A9704" t="str">
        <f>HYPERLINK("https://us2.cloudbeds.com/connect/10074733072513#/reservations/31688092606677?display=MHHG71EBB&amp;reservation_id=31688092606677", "MHHG71EBB")</f>
        <v>MHHG71EBB</v>
      </c>
      <c r="B9704" t="s">
        <v>1465</v>
      </c>
      <c r="C9704">
        <v>73</v>
      </c>
      <c r="D9704">
        <v>79.36</v>
      </c>
      <c r="E9704">
        <v>79.349999999999994</v>
      </c>
      <c r="F9704">
        <v>0.01</v>
      </c>
    </row>
    <row r="9705" spans="1:6" x14ac:dyDescent="0.3">
      <c r="A9705" t="str">
        <f>HYPERLINK("https://us2.cloudbeds.com/connect/10074733072513#/reservations/31694785130745?display=MHMM7BPQW&amp;reservation_id=31694785130745", "MHMM7BPQW")</f>
        <v>MHMM7BPQW</v>
      </c>
      <c r="B9705" t="s">
        <v>1463</v>
      </c>
      <c r="C9705">
        <v>139</v>
      </c>
      <c r="D9705">
        <v>151.1</v>
      </c>
      <c r="E9705">
        <v>151.09</v>
      </c>
      <c r="F9705">
        <v>0.01</v>
      </c>
    </row>
    <row r="9706" spans="1:6" x14ac:dyDescent="0.3">
      <c r="A9706" t="str">
        <f>HYPERLINK("https://us2.cloudbeds.com/connect/10074733072513#/reservations/31693834567898?display=MHYUUQW07&amp;reservation_id=31693834567898", "MHYUUQW07")</f>
        <v>MHYUUQW07</v>
      </c>
      <c r="B9706" t="s">
        <v>1495</v>
      </c>
      <c r="C9706">
        <v>139</v>
      </c>
      <c r="D9706">
        <v>151.1</v>
      </c>
      <c r="E9706">
        <v>151.09</v>
      </c>
      <c r="F9706">
        <v>0.01</v>
      </c>
    </row>
    <row r="9707" spans="1:6" x14ac:dyDescent="0.3">
      <c r="A9707" t="str">
        <f>HYPERLINK("https://us2.cloudbeds.com/connect/10074733072513#/reservations/31693215822011?display=MHYF42EVS&amp;reservation_id=31693215822011", "MHYF42EVS")</f>
        <v>MHYF42EVS</v>
      </c>
      <c r="B9707" t="s">
        <v>1375</v>
      </c>
      <c r="C9707">
        <v>189</v>
      </c>
      <c r="D9707">
        <v>205.45</v>
      </c>
      <c r="E9707">
        <v>205.44</v>
      </c>
      <c r="F9707">
        <v>0.01</v>
      </c>
    </row>
    <row r="9708" spans="1:6" x14ac:dyDescent="0.3">
      <c r="A9708" t="str">
        <f>HYPERLINK("https://us2.cloudbeds.com/connect/10074733072513#/reservations/31694383526130?display=MHMBVNHT5&amp;reservation_id=31694383526130", "MHMBVNHT5")</f>
        <v>MHMBVNHT5</v>
      </c>
      <c r="B9708" t="s">
        <v>1375</v>
      </c>
      <c r="C9708">
        <v>322.2</v>
      </c>
      <c r="D9708">
        <v>350.24</v>
      </c>
      <c r="E9708">
        <v>350.23</v>
      </c>
      <c r="F9708">
        <v>0.01</v>
      </c>
    </row>
    <row r="9709" spans="1:6" x14ac:dyDescent="0.3">
      <c r="A9709" t="str">
        <f>HYPERLINK("https://us2.cloudbeds.com/connect/10074733072513#/reservations/31694889762970?display=MHMZTJARF&amp;reservation_id=31694889762970", "MHMZTJARF")</f>
        <v>MHMZTJARF</v>
      </c>
      <c r="B9709" t="s">
        <v>1496</v>
      </c>
      <c r="C9709">
        <v>159</v>
      </c>
      <c r="D9709">
        <v>172.84</v>
      </c>
      <c r="E9709">
        <v>172.83</v>
      </c>
      <c r="F9709">
        <v>0.01</v>
      </c>
    </row>
    <row r="9710" spans="1:6" x14ac:dyDescent="0.3">
      <c r="A9710" t="str">
        <f>HYPERLINK("https://us2.cloudbeds.com/connect/10074733072513#/reservations/31689891139825?display=MHXT5K8UR&amp;reservation_id=31689891139825", "MHXT5K8UR")</f>
        <v>MHXT5K8UR</v>
      </c>
      <c r="B9710" t="s">
        <v>1463</v>
      </c>
      <c r="C9710">
        <v>73</v>
      </c>
      <c r="D9710">
        <v>79.36</v>
      </c>
      <c r="E9710">
        <v>79.349999999999994</v>
      </c>
      <c r="F9710">
        <v>0.01</v>
      </c>
    </row>
    <row r="9711" spans="1:6" x14ac:dyDescent="0.3">
      <c r="A9711" t="str">
        <f>HYPERLINK("https://us2.cloudbeds.com/connect/10074733072513#/reservations/31736061702396?display=MXYKUS7ZH&amp;reservation_id=31736061702396", "MXYKUS7ZH")</f>
        <v>MXYKUS7ZH</v>
      </c>
      <c r="B9711" t="s">
        <v>1322</v>
      </c>
      <c r="C9711">
        <v>159</v>
      </c>
      <c r="D9711">
        <v>172.84</v>
      </c>
      <c r="E9711">
        <v>172.83</v>
      </c>
      <c r="F9711">
        <v>0.01</v>
      </c>
    </row>
    <row r="9712" spans="1:6" x14ac:dyDescent="0.3">
      <c r="A9712" t="str">
        <f>HYPERLINK("https://us2.cloudbeds.com/connect/10074733072513#/reservations/31693236748416?display=MHYFFE37H&amp;reservation_id=31693236748416", "MHYFFE37H")</f>
        <v>MHYFFE37H</v>
      </c>
      <c r="B9712" t="s">
        <v>1375</v>
      </c>
      <c r="C9712">
        <v>159</v>
      </c>
      <c r="D9712">
        <v>172.84</v>
      </c>
      <c r="E9712">
        <v>172.83</v>
      </c>
      <c r="F9712">
        <v>0.01</v>
      </c>
    </row>
    <row r="9713" spans="1:6" x14ac:dyDescent="0.3">
      <c r="A9713" t="str">
        <f>HYPERLINK("https://us2.cloudbeds.com/connect/10074733072513#/reservations/31694359486620?display=MHMBBEK15&amp;reservation_id=31694359486620", "MHMBBEK15")</f>
        <v>MHMBBEK15</v>
      </c>
      <c r="B9713" t="s">
        <v>1470</v>
      </c>
      <c r="C9713">
        <v>129</v>
      </c>
      <c r="D9713">
        <v>140.22999999999999</v>
      </c>
      <c r="E9713">
        <v>140.22</v>
      </c>
      <c r="F9713">
        <v>0.01</v>
      </c>
    </row>
    <row r="9714" spans="1:6" x14ac:dyDescent="0.3">
      <c r="A9714" t="str">
        <f>HYPERLINK("https://us2.cloudbeds.com/connect/10074733072513#/reservations/31694805541067?display=MHMMZXZ2J&amp;reservation_id=31694805541067", "MHMMZXZ2J")</f>
        <v>MHMMZXZ2J</v>
      </c>
      <c r="B9714" t="s">
        <v>1474</v>
      </c>
      <c r="C9714">
        <v>150</v>
      </c>
      <c r="D9714">
        <v>163.06</v>
      </c>
      <c r="E9714">
        <v>163.05000000000001</v>
      </c>
      <c r="F9714">
        <v>0.01</v>
      </c>
    </row>
    <row r="9715" spans="1:6" x14ac:dyDescent="0.3">
      <c r="A9715" t="str">
        <f>HYPERLINK("https://us2.cloudbeds.com/connect/10074733072513#/reservations/31693023395977?display=MHYA6QU6T&amp;reservation_id=31693023395977", "MHYA6QU6T")</f>
        <v>MHYA6QU6T</v>
      </c>
      <c r="B9715" t="s">
        <v>1453</v>
      </c>
      <c r="C9715">
        <v>270</v>
      </c>
      <c r="D9715">
        <v>293.5</v>
      </c>
      <c r="E9715">
        <v>293.49</v>
      </c>
      <c r="F9715">
        <v>0.01</v>
      </c>
    </row>
    <row r="9716" spans="1:6" x14ac:dyDescent="0.3">
      <c r="A9716" t="str">
        <f>HYPERLINK("https://us2.cloudbeds.com/connect/10074733072513#/reservations/31693041234155?display=MHYAYS9HP&amp;reservation_id=31693041234155", "MHYAYS9HP")</f>
        <v>MHYAYS9HP</v>
      </c>
      <c r="B9716" t="s">
        <v>1453</v>
      </c>
      <c r="C9716">
        <v>270</v>
      </c>
      <c r="D9716">
        <v>293.5</v>
      </c>
      <c r="E9716">
        <v>293.49</v>
      </c>
      <c r="F9716">
        <v>0.01</v>
      </c>
    </row>
    <row r="9717" spans="1:6" x14ac:dyDescent="0.3">
      <c r="A9717" t="str">
        <f>HYPERLINK("https://us2.cloudbeds.com/connect/10074733072513#/reservations/31685042614435?display=MHF496TS0&amp;reservation_id=31685042614435", "MHF496TS0")</f>
        <v>MHF496TS0</v>
      </c>
      <c r="B9717" t="s">
        <v>1450</v>
      </c>
      <c r="C9717">
        <v>159</v>
      </c>
      <c r="D9717">
        <v>172.84</v>
      </c>
      <c r="E9717">
        <v>172.83</v>
      </c>
      <c r="F9717">
        <v>0.01</v>
      </c>
    </row>
    <row r="9718" spans="1:6" x14ac:dyDescent="0.3">
      <c r="A9718" t="str">
        <f>HYPERLINK("https://us2.cloudbeds.com/connect/10074733072513#/reservations/31688471101684?display=MHHPT6KB0&amp;reservation_id=31688471101684", "MHHPT6KB0")</f>
        <v>MHHPT6KB0</v>
      </c>
      <c r="B9718" t="s">
        <v>1489</v>
      </c>
      <c r="C9718">
        <v>73</v>
      </c>
      <c r="D9718">
        <v>79.36</v>
      </c>
      <c r="E9718">
        <v>79.349999999999994</v>
      </c>
      <c r="F9718">
        <v>0.01</v>
      </c>
    </row>
    <row r="9719" spans="1:6" x14ac:dyDescent="0.3">
      <c r="A9719" t="str">
        <f>HYPERLINK("https://us2.cloudbeds.com/connect/10074733072513#/reservations/31736087777435?display=MXYYJRQP7&amp;reservation_id=31736087777435", "MXYYJRQP7")</f>
        <v>MXYYJRQP7</v>
      </c>
      <c r="B9719" t="s">
        <v>1322</v>
      </c>
      <c r="C9719">
        <v>298</v>
      </c>
      <c r="D9719">
        <v>323.94</v>
      </c>
      <c r="E9719">
        <v>323.93</v>
      </c>
      <c r="F9719">
        <v>0.01</v>
      </c>
    </row>
    <row r="9720" spans="1:6" x14ac:dyDescent="0.3">
      <c r="A9720" t="str">
        <f>HYPERLINK("https://us2.cloudbeds.com/connect/10074733072513#/reservations/31685904138412?display=MHFQ9M2K6&amp;reservation_id=31685904138412", "MHFQ9M2K6")</f>
        <v>MHFQ9M2K6</v>
      </c>
      <c r="B9720" t="s">
        <v>1450</v>
      </c>
      <c r="C9720">
        <v>159</v>
      </c>
      <c r="D9720">
        <v>172.84</v>
      </c>
      <c r="E9720">
        <v>172.83</v>
      </c>
      <c r="F9720">
        <v>0.01</v>
      </c>
    </row>
    <row r="9721" spans="1:6" x14ac:dyDescent="0.3">
      <c r="A9721" t="str">
        <f>HYPERLINK("https://us2.cloudbeds.com/connect/10074733072513#/reservations/31685010165889?display=MHF3ERW6Z&amp;reservation_id=31685010165889", "MHF3ERW6Z")</f>
        <v>MHF3ERW6Z</v>
      </c>
      <c r="B9721" t="s">
        <v>1450</v>
      </c>
      <c r="C9721">
        <v>110.86</v>
      </c>
      <c r="D9721">
        <v>120.51</v>
      </c>
      <c r="E9721">
        <v>120.5</v>
      </c>
      <c r="F9721">
        <v>0.01</v>
      </c>
    </row>
    <row r="9722" spans="1:6" x14ac:dyDescent="0.3">
      <c r="A9722" t="str">
        <f>HYPERLINK("https://us2.cloudbeds.com/connect/10074733072513#/reservations/31695068659934?display=MHMTFED6J&amp;reservation_id=31695068659934", "MHMTFED6J")</f>
        <v>MHMTFED6J</v>
      </c>
      <c r="B9722" t="s">
        <v>1489</v>
      </c>
      <c r="C9722">
        <v>119</v>
      </c>
      <c r="D9722">
        <v>129.36000000000001</v>
      </c>
      <c r="E9722">
        <v>129.35</v>
      </c>
      <c r="F9722">
        <v>0.01</v>
      </c>
    </row>
    <row r="9723" spans="1:6" x14ac:dyDescent="0.3">
      <c r="A9723" t="str">
        <f>HYPERLINK("https://us2.cloudbeds.com/connect/10074733072513#/reservations/31685061472385?display=MHF4HE1UB&amp;reservation_id=31685061472385", "MHF4HE1UB")</f>
        <v>MHF4HE1UB</v>
      </c>
      <c r="B9723" t="s">
        <v>1471</v>
      </c>
      <c r="C9723">
        <v>109</v>
      </c>
      <c r="D9723">
        <v>118.49</v>
      </c>
      <c r="E9723">
        <v>118.48</v>
      </c>
      <c r="F9723">
        <v>0.01</v>
      </c>
    </row>
    <row r="9724" spans="1:6" x14ac:dyDescent="0.3">
      <c r="A9724" t="str">
        <f>HYPERLINK("https://us2.cloudbeds.com/connect/10074733072513#/reservations/31694287274208?display=MHM9GX698&amp;reservation_id=31694287274208", "MHM9GX698")</f>
        <v>MHM9GX698</v>
      </c>
      <c r="B9724" t="s">
        <v>1327</v>
      </c>
      <c r="C9724">
        <v>179</v>
      </c>
      <c r="D9724">
        <v>194.58</v>
      </c>
      <c r="E9724">
        <v>194.57</v>
      </c>
      <c r="F9724">
        <v>0.01</v>
      </c>
    </row>
    <row r="9725" spans="1:6" x14ac:dyDescent="0.3">
      <c r="A9725" t="str">
        <f>HYPERLINK("https://us2.cloudbeds.com/connect/10074733072513#/reservations/31730173960398?display=MXH2G54EB&amp;reservation_id=31730173960398", "MXH2G54EB")</f>
        <v>MXH2G54EB</v>
      </c>
      <c r="B9725" t="s">
        <v>1322</v>
      </c>
      <c r="C9725">
        <v>159</v>
      </c>
      <c r="D9725">
        <v>172.84</v>
      </c>
      <c r="E9725">
        <v>172.83</v>
      </c>
      <c r="F9725">
        <v>0.01</v>
      </c>
    </row>
    <row r="9726" spans="1:6" x14ac:dyDescent="0.3">
      <c r="A9726" t="str">
        <f>HYPERLINK("https://us2.cloudbeds.com/connect/10074733072513#/reservations/31694319022295?display=MHMAAAKNG&amp;reservation_id=31694319022295", "MHMAAAKNG")</f>
        <v>MHMAAAKNG</v>
      </c>
      <c r="B9726" t="s">
        <v>1375</v>
      </c>
      <c r="C9726">
        <v>179</v>
      </c>
      <c r="D9726">
        <v>194.58</v>
      </c>
      <c r="E9726">
        <v>194.57</v>
      </c>
      <c r="F9726">
        <v>0.01</v>
      </c>
    </row>
    <row r="9727" spans="1:6" x14ac:dyDescent="0.3">
      <c r="A9727" t="str">
        <f>HYPERLINK("https://us2.cloudbeds.com/connect/10074733072513#/reservations/31695429267655?display=MHN5MGRP9&amp;reservation_id=31695429267655", "MHN5MGRP9")</f>
        <v>MHN5MGRP9</v>
      </c>
      <c r="B9727" t="s">
        <v>1442</v>
      </c>
      <c r="C9727">
        <v>278</v>
      </c>
      <c r="D9727">
        <v>302.2</v>
      </c>
      <c r="E9727">
        <v>302.19</v>
      </c>
      <c r="F9727">
        <v>0.01</v>
      </c>
    </row>
    <row r="9728" spans="1:6" x14ac:dyDescent="0.3">
      <c r="A9728" t="str">
        <f>HYPERLINK("https://us2.cloudbeds.com/connect/10074733072513#/reservations/31694206415056?display=MHM7EC5EU&amp;reservation_id=31694206415056", "MHM7EC5EU")</f>
        <v>MHM7EC5EU</v>
      </c>
      <c r="B9728" t="s">
        <v>1470</v>
      </c>
      <c r="C9728">
        <v>159</v>
      </c>
      <c r="D9728">
        <v>172.84</v>
      </c>
      <c r="E9728">
        <v>172.83</v>
      </c>
      <c r="F9728">
        <v>0.01</v>
      </c>
    </row>
    <row r="9729" spans="1:6" x14ac:dyDescent="0.3">
      <c r="A9729" t="str">
        <f>HYPERLINK("https://us2.cloudbeds.com/connect/10074733072513#/reservations/31694608806023?display=MHMHNM9FJ&amp;reservation_id=31694608806023", "MHMHNM9FJ")</f>
        <v>MHMHNM9FJ</v>
      </c>
      <c r="B9729" t="s">
        <v>1496</v>
      </c>
      <c r="C9729">
        <v>129</v>
      </c>
      <c r="D9729">
        <v>140.22999999999999</v>
      </c>
      <c r="E9729">
        <v>140.22</v>
      </c>
      <c r="F9729">
        <v>0.01</v>
      </c>
    </row>
    <row r="9730" spans="1:6" x14ac:dyDescent="0.3">
      <c r="A9730" t="str">
        <f>HYPERLINK("https://us2.cloudbeds.com/connect/10074733072513#/reservations/31694592786570?display=MHMHA5H7K&amp;reservation_id=31694592786570", "MHMHA5H7K")</f>
        <v>MHMHA5H7K</v>
      </c>
      <c r="B9730" t="s">
        <v>1496</v>
      </c>
      <c r="C9730">
        <v>149</v>
      </c>
      <c r="D9730">
        <v>161.97</v>
      </c>
      <c r="E9730">
        <v>161.96</v>
      </c>
      <c r="F9730">
        <v>0.01</v>
      </c>
    </row>
    <row r="9731" spans="1:6" x14ac:dyDescent="0.3">
      <c r="A9731" t="str">
        <f>HYPERLINK("https://us2.cloudbeds.com/connect/10074733072513#/reservations/31694600454387?display=MHMHGKTCN&amp;reservation_id=31694600454387", "MHMHGKTCN")</f>
        <v>MHMHGKTCN</v>
      </c>
      <c r="B9731" t="s">
        <v>1496</v>
      </c>
      <c r="C9731">
        <v>149</v>
      </c>
      <c r="D9731">
        <v>161.97</v>
      </c>
      <c r="E9731">
        <v>161.96</v>
      </c>
      <c r="F9731">
        <v>0.01</v>
      </c>
    </row>
    <row r="9732" spans="1:6" x14ac:dyDescent="0.3">
      <c r="A9732" t="str">
        <f>HYPERLINK("https://us2.cloudbeds.com/connect/10074733072513#/reservations/31690349514989?display=MHJ7T47PA&amp;reservation_id=31690349514989", "MHJ7T47PA")</f>
        <v>MHJ7T47PA</v>
      </c>
      <c r="B9732" t="s">
        <v>1471</v>
      </c>
      <c r="C9732">
        <v>109</v>
      </c>
      <c r="D9732">
        <v>118.49</v>
      </c>
      <c r="E9732">
        <v>118.48</v>
      </c>
      <c r="F9732">
        <v>0.01</v>
      </c>
    </row>
    <row r="9733" spans="1:6" x14ac:dyDescent="0.3">
      <c r="A9733" t="str">
        <f>HYPERLINK("https://us2.cloudbeds.com/connect/10074733072513#/reservations/31695449903266?display=MHN66U1TR&amp;reservation_id=31695449903266", "MHN66U1TR")</f>
        <v>MHN66U1TR</v>
      </c>
      <c r="B9733" t="s">
        <v>1470</v>
      </c>
      <c r="C9733">
        <v>129</v>
      </c>
      <c r="D9733">
        <v>140.22999999999999</v>
      </c>
      <c r="E9733">
        <v>140.22</v>
      </c>
      <c r="F9733">
        <v>0.01</v>
      </c>
    </row>
    <row r="9734" spans="1:6" x14ac:dyDescent="0.3">
      <c r="A9734" t="str">
        <f>HYPERLINK("https://us2.cloudbeds.com/connect/10074733072513#/reservations/31695412121744?display=MHN581Z47&amp;reservation_id=31695412121744", "MHN581Z47")</f>
        <v>MHN581Z47</v>
      </c>
      <c r="B9734" t="s">
        <v>1442</v>
      </c>
      <c r="C9734">
        <v>278</v>
      </c>
      <c r="D9734">
        <v>302.2</v>
      </c>
      <c r="E9734">
        <v>302.19</v>
      </c>
      <c r="F9734">
        <v>0.01</v>
      </c>
    </row>
    <row r="9735" spans="1:6" x14ac:dyDescent="0.3">
      <c r="A9735" t="str">
        <f>HYPERLINK("https://us2.cloudbeds.com/connect/10074733072513#/reservations/31691298509009?display=MHJW4BCVS&amp;reservation_id=31691298509009", "MHJW4BCVS")</f>
        <v>MHJW4BCVS</v>
      </c>
      <c r="B9735" t="s">
        <v>1377</v>
      </c>
      <c r="C9735">
        <v>375</v>
      </c>
      <c r="D9735">
        <v>407.64</v>
      </c>
      <c r="E9735">
        <v>407.63</v>
      </c>
      <c r="F9735">
        <v>0.01</v>
      </c>
    </row>
    <row r="9736" spans="1:6" x14ac:dyDescent="0.3">
      <c r="A9736" t="str">
        <f>HYPERLINK("https://us2.cloudbeds.com/connect/10074733072513#/reservations/31689893109913?display=MHXT7930F&amp;reservation_id=31689893109913", "MHXT7930F")</f>
        <v>MHXT7930F</v>
      </c>
      <c r="B9736" t="s">
        <v>1453</v>
      </c>
      <c r="C9736">
        <v>150</v>
      </c>
      <c r="D9736">
        <v>163.06</v>
      </c>
      <c r="E9736">
        <v>163.05000000000001</v>
      </c>
      <c r="F9736">
        <v>0.01</v>
      </c>
    </row>
    <row r="9737" spans="1:6" x14ac:dyDescent="0.3">
      <c r="A9737" t="str">
        <f>HYPERLINK("https://us2.cloudbeds.com/connect/10074733072513#/reservations/31690075488467?display=MHJ0T21EA&amp;reservation_id=31690075488467", "MHJ0T21EA")</f>
        <v>MHJ0T21EA</v>
      </c>
      <c r="B9737" t="s">
        <v>1377</v>
      </c>
      <c r="C9737">
        <v>250</v>
      </c>
      <c r="D9737">
        <v>271.76</v>
      </c>
      <c r="E9737">
        <v>271.75</v>
      </c>
      <c r="F9737">
        <v>0.01</v>
      </c>
    </row>
    <row r="9738" spans="1:6" x14ac:dyDescent="0.3">
      <c r="A9738" t="str">
        <f>HYPERLINK("https://us2.cloudbeds.com/connect/10074733072513#/reservations/31690094416115?display=MHJ1C0Z6C&amp;reservation_id=31690094416115", "MHJ1C0Z6C")</f>
        <v>MHJ1C0Z6C</v>
      </c>
      <c r="B9738" t="s">
        <v>1377</v>
      </c>
      <c r="C9738">
        <v>250</v>
      </c>
      <c r="D9738">
        <v>271.76</v>
      </c>
      <c r="E9738">
        <v>271.75</v>
      </c>
      <c r="F9738">
        <v>0.01</v>
      </c>
    </row>
    <row r="9739" spans="1:6" x14ac:dyDescent="0.3">
      <c r="A9739" t="str">
        <f>HYPERLINK("https://us2.cloudbeds.com/connect/10074733072513#/reservations/31690134139018?display=MHJ2CH2MZ&amp;reservation_id=31690134139018", "MHJ2CH2MZ")</f>
        <v>MHJ2CH2MZ</v>
      </c>
      <c r="B9739" t="s">
        <v>1377</v>
      </c>
      <c r="C9739">
        <v>250</v>
      </c>
      <c r="D9739">
        <v>271.76</v>
      </c>
      <c r="E9739">
        <v>271.75</v>
      </c>
      <c r="F9739">
        <v>0.01</v>
      </c>
    </row>
    <row r="9740" spans="1:6" x14ac:dyDescent="0.3">
      <c r="A9740" t="str">
        <f>HYPERLINK("https://us2.cloudbeds.com/connect/10074733072513#/reservations/31690336911529?display=MHJ7XGHB8&amp;reservation_id=31690336911529", "MHJ7XGHB8")</f>
        <v>MHJ7XGHB8</v>
      </c>
      <c r="B9740" t="s">
        <v>1471</v>
      </c>
      <c r="C9740">
        <v>73</v>
      </c>
      <c r="D9740">
        <v>79.36</v>
      </c>
      <c r="E9740">
        <v>79.349999999999994</v>
      </c>
      <c r="F9740">
        <v>0.01</v>
      </c>
    </row>
    <row r="9741" spans="1:6" x14ac:dyDescent="0.3">
      <c r="A9741" t="str">
        <f>HYPERLINK("https://us2.cloudbeds.com/connect/10074733072513#/reservations/31691287109781?display=MHJVRZ6BN&amp;reservation_id=31691287109781", "MHJVRZ6BN")</f>
        <v>MHJVRZ6BN</v>
      </c>
      <c r="B9741" t="s">
        <v>1377</v>
      </c>
      <c r="C9741">
        <v>250</v>
      </c>
      <c r="D9741">
        <v>271.76</v>
      </c>
      <c r="E9741">
        <v>271.75</v>
      </c>
      <c r="F9741">
        <v>0.01</v>
      </c>
    </row>
    <row r="9742" spans="1:6" x14ac:dyDescent="0.3">
      <c r="A9742" t="str">
        <f>HYPERLINK("https://us2.cloudbeds.com/connect/10074733072513#/reservations/31691316641989?display=MHJWJKW03&amp;reservation_id=31691316641989", "MHJWJKW03")</f>
        <v>MHJWJKW03</v>
      </c>
      <c r="B9742" t="s">
        <v>1377</v>
      </c>
      <c r="C9742">
        <v>250</v>
      </c>
      <c r="D9742">
        <v>271.76</v>
      </c>
      <c r="E9742">
        <v>271.75</v>
      </c>
      <c r="F9742">
        <v>0.01</v>
      </c>
    </row>
    <row r="9743" spans="1:6" x14ac:dyDescent="0.3">
      <c r="A9743" t="str">
        <f>HYPERLINK("https://us2.cloudbeds.com/connect/10074733072513#/reservations/31691323728037?display=MHJWPK4UR&amp;reservation_id=31691323728037", "MHJWPK4UR")</f>
        <v>MHJWPK4UR</v>
      </c>
      <c r="B9743" t="s">
        <v>1377</v>
      </c>
      <c r="C9743">
        <v>250</v>
      </c>
      <c r="D9743">
        <v>271.76</v>
      </c>
      <c r="E9743">
        <v>271.75</v>
      </c>
      <c r="F9743">
        <v>0.01</v>
      </c>
    </row>
    <row r="9744" spans="1:6" x14ac:dyDescent="0.3">
      <c r="A9744" t="str">
        <f>HYPERLINK("https://us2.cloudbeds.com/connect/10074733072513#/reservations/31691395911814?display=MHK1KFPD0&amp;reservation_id=31691395911814", "MHK1KFPD0")</f>
        <v>MHK1KFPD0</v>
      </c>
      <c r="B9744" t="s">
        <v>1377</v>
      </c>
      <c r="C9744">
        <v>375</v>
      </c>
      <c r="D9744">
        <v>407.64</v>
      </c>
      <c r="E9744">
        <v>407.63</v>
      </c>
      <c r="F9744">
        <v>0.01</v>
      </c>
    </row>
    <row r="9745" spans="1:6" x14ac:dyDescent="0.3">
      <c r="A9745" t="str">
        <f>HYPERLINK("https://us2.cloudbeds.com/connect/10074733072513#/reservations/31694542201042?display=MHMG0GTSR&amp;reservation_id=31694542201042", "MHMG0GTSR")</f>
        <v>MHMG0GTSR</v>
      </c>
      <c r="B9745" t="s">
        <v>1327</v>
      </c>
      <c r="C9745">
        <v>331.2</v>
      </c>
      <c r="D9745">
        <v>360.02</v>
      </c>
      <c r="E9745">
        <v>360.01</v>
      </c>
      <c r="F9745">
        <v>0.01</v>
      </c>
    </row>
    <row r="9746" spans="1:6" x14ac:dyDescent="0.3">
      <c r="A9746" t="str">
        <f>HYPERLINK("https://us2.cloudbeds.com/connect/10074733072513#/reservations/31694866239655?display=MHMZ9ZZWZ&amp;reservation_id=31694866239655", "MHMZ9ZZWZ")</f>
        <v>MHMZ9ZZWZ</v>
      </c>
      <c r="B9746" t="s">
        <v>1488</v>
      </c>
      <c r="C9746">
        <v>109</v>
      </c>
      <c r="D9746">
        <v>118.49</v>
      </c>
      <c r="E9746">
        <v>118.48</v>
      </c>
      <c r="F9746">
        <v>0.01</v>
      </c>
    </row>
    <row r="9747" spans="1:6" x14ac:dyDescent="0.3">
      <c r="A9747" t="str">
        <f>HYPERLINK("https://us2.cloudbeds.com/connect/10074733072513#/reservations/31694950391982?display=MHMQENDS8&amp;reservation_id=31694950391982", "MHMQENDS8")</f>
        <v>MHMQENDS8</v>
      </c>
      <c r="B9747" t="s">
        <v>1488</v>
      </c>
      <c r="C9747">
        <v>99</v>
      </c>
      <c r="D9747">
        <v>107.62</v>
      </c>
      <c r="E9747">
        <v>107.61</v>
      </c>
      <c r="F9747">
        <v>0.01</v>
      </c>
    </row>
    <row r="9748" spans="1:6" x14ac:dyDescent="0.3">
      <c r="A9748" t="str">
        <f>HYPERLINK("https://us2.cloudbeds.com/connect/10074733072513#/reservations/31693595349135?display=MHYZR3BNQ&amp;reservation_id=31693595349135", "MHYZR3BNQ")</f>
        <v>MHYZR3BNQ</v>
      </c>
      <c r="B9748" t="s">
        <v>1504</v>
      </c>
      <c r="C9748">
        <v>73</v>
      </c>
      <c r="D9748">
        <v>79.36</v>
      </c>
      <c r="E9748">
        <v>79.349999999999994</v>
      </c>
      <c r="F9748">
        <v>0.01</v>
      </c>
    </row>
    <row r="9749" spans="1:6" x14ac:dyDescent="0.3">
      <c r="A9749" t="str">
        <f>HYPERLINK("https://us2.cloudbeds.com/connect/10074733072513#/reservations/31690026131682?display=MHXWKEKD5&amp;reservation_id=31690026131682", "MHXWKEKD5")</f>
        <v>MHXWKEKD5</v>
      </c>
      <c r="B9749" t="s">
        <v>1453</v>
      </c>
      <c r="C9749">
        <v>338</v>
      </c>
      <c r="D9749">
        <v>367.42</v>
      </c>
      <c r="E9749">
        <v>367.41</v>
      </c>
      <c r="F9749">
        <v>0.01</v>
      </c>
    </row>
    <row r="9750" spans="1:6" x14ac:dyDescent="0.3">
      <c r="A9750" t="str">
        <f>HYPERLINK("https://us2.cloudbeds.com/connect/10074733072513#/reservations/31689893179631?display=MHXT7B114&amp;reservation_id=31689893179631", "MHXT7B114")</f>
        <v>MHXT7B114</v>
      </c>
      <c r="B9750" t="s">
        <v>1477</v>
      </c>
      <c r="C9750">
        <v>109</v>
      </c>
      <c r="D9750">
        <v>118.49</v>
      </c>
      <c r="E9750">
        <v>118.48</v>
      </c>
      <c r="F9750">
        <v>0.01</v>
      </c>
    </row>
    <row r="9751" spans="1:6" x14ac:dyDescent="0.3">
      <c r="A9751" t="str">
        <f>HYPERLINK("https://us2.cloudbeds.com/connect/10074733072513#/reservations/31690473304244?display=MHJB1GS5S&amp;reservation_id=31690473304244", "MHJB1GS5S")</f>
        <v>MHJB1GS5S</v>
      </c>
      <c r="B9751" t="s">
        <v>1477</v>
      </c>
      <c r="C9751">
        <v>150</v>
      </c>
      <c r="D9751">
        <v>163.06</v>
      </c>
      <c r="E9751">
        <v>163.05000000000001</v>
      </c>
      <c r="F9751">
        <v>0.01</v>
      </c>
    </row>
    <row r="9752" spans="1:6" x14ac:dyDescent="0.3">
      <c r="A9752" t="str">
        <f>HYPERLINK("https://us2.cloudbeds.com/connect/10074733072513#/reservations/31690481725650?display=MHJB8K6AW&amp;reservation_id=31690481725650", "MHJB8K6AW")</f>
        <v>MHJB8K6AW</v>
      </c>
      <c r="B9752" t="s">
        <v>1477</v>
      </c>
      <c r="C9752">
        <v>150</v>
      </c>
      <c r="D9752">
        <v>163.06</v>
      </c>
      <c r="E9752">
        <v>163.05000000000001</v>
      </c>
      <c r="F9752">
        <v>0.01</v>
      </c>
    </row>
    <row r="9753" spans="1:6" x14ac:dyDescent="0.3">
      <c r="A9753" t="str">
        <f>HYPERLINK("https://us2.cloudbeds.com/connect/10074733072513#/reservations/31695108960423?display=MHMUGDR2H&amp;reservation_id=31695108960423", "MHMUGDR2H")</f>
        <v>MHMUGDR2H</v>
      </c>
      <c r="B9753" t="s">
        <v>1327</v>
      </c>
      <c r="C9753">
        <v>169</v>
      </c>
      <c r="D9753">
        <v>183.71</v>
      </c>
      <c r="E9753">
        <v>183.7</v>
      </c>
      <c r="F9753">
        <v>0.01</v>
      </c>
    </row>
    <row r="9754" spans="1:6" x14ac:dyDescent="0.3">
      <c r="A9754" t="str">
        <f>HYPERLINK("https://us2.cloudbeds.com/connect/10074733072513#/reservations/31694960496844?display=MHMQN7JT6&amp;reservation_id=31694960496844", "MHMQN7JT6")</f>
        <v>MHMQN7JT6</v>
      </c>
      <c r="B9754" t="s">
        <v>1488</v>
      </c>
      <c r="C9754">
        <v>102.58</v>
      </c>
      <c r="D9754">
        <v>111.51</v>
      </c>
      <c r="E9754">
        <v>111.5</v>
      </c>
      <c r="F9754">
        <v>0.01</v>
      </c>
    </row>
    <row r="9755" spans="1:6" x14ac:dyDescent="0.3">
      <c r="A9755" t="str">
        <f>HYPERLINK("https://us2.cloudbeds.com/connect/10074733072513#/reservations/31688792883417?display=MHX13HM0K&amp;reservation_id=31688792883417", "MHX13HM0K")</f>
        <v>MHX13HM0K</v>
      </c>
      <c r="B9755" t="s">
        <v>1500</v>
      </c>
      <c r="C9755">
        <v>150</v>
      </c>
      <c r="D9755">
        <v>163.06</v>
      </c>
      <c r="E9755">
        <v>163.05000000000001</v>
      </c>
      <c r="F9755">
        <v>0.01</v>
      </c>
    </row>
    <row r="9756" spans="1:6" x14ac:dyDescent="0.3">
      <c r="A9756" t="str">
        <f>HYPERLINK("https://us2.cloudbeds.com/connect/10074733072513#/reservations/31734693249248?display=MXKXVV09A&amp;reservation_id=31734693249248", "MXKXVV09A")</f>
        <v>MXKXVV09A</v>
      </c>
      <c r="B9756" t="s">
        <v>1344</v>
      </c>
      <c r="C9756">
        <v>418</v>
      </c>
      <c r="D9756">
        <v>454.38</v>
      </c>
      <c r="E9756">
        <v>454.37</v>
      </c>
      <c r="F9756">
        <v>0.01</v>
      </c>
    </row>
    <row r="9757" spans="1:6" x14ac:dyDescent="0.3">
      <c r="A9757" t="str">
        <f>HYPERLINK("https://us2.cloudbeds.com/connect/10074733072513#/reservations/31690677629058?display=MHJG8QG8T&amp;reservation_id=31690677629058", "MHJG8QG8T")</f>
        <v>MHJG8QG8T</v>
      </c>
      <c r="B9757" t="s">
        <v>1477</v>
      </c>
      <c r="C9757">
        <v>218</v>
      </c>
      <c r="D9757">
        <v>236.98</v>
      </c>
      <c r="E9757">
        <v>236.97</v>
      </c>
      <c r="F9757">
        <v>0.01</v>
      </c>
    </row>
    <row r="9758" spans="1:6" x14ac:dyDescent="0.3">
      <c r="A9758" t="str">
        <f>HYPERLINK("https://us2.cloudbeds.com/connect/10074733072513#/reservations/31688394539164?display=MHHNUY4WY&amp;reservation_id=31688394539164", "MHHNUY4WY")</f>
        <v>MHHNUY4WY</v>
      </c>
      <c r="B9758" t="s">
        <v>1500</v>
      </c>
      <c r="C9758">
        <v>238</v>
      </c>
      <c r="D9758">
        <v>258.72000000000003</v>
      </c>
      <c r="E9758">
        <v>258.70999999999998</v>
      </c>
      <c r="F9758">
        <v>0.01</v>
      </c>
    </row>
    <row r="9759" spans="1:6" x14ac:dyDescent="0.3">
      <c r="A9759" t="str">
        <f>HYPERLINK("https://us2.cloudbeds.com/connect/10074733072513#/reservations/31686958641378?display=MHGK7S5TH&amp;reservation_id=31686958641378", "MHGK7S5TH")</f>
        <v>MHGK7S5TH</v>
      </c>
      <c r="B9759" t="s">
        <v>1502</v>
      </c>
      <c r="C9759">
        <v>218</v>
      </c>
      <c r="D9759">
        <v>236.98</v>
      </c>
      <c r="E9759">
        <v>236.97</v>
      </c>
      <c r="F9759">
        <v>0.01</v>
      </c>
    </row>
    <row r="9760" spans="1:6" x14ac:dyDescent="0.3">
      <c r="A9760" t="str">
        <f>HYPERLINK("https://us2.cloudbeds.com/connect/10074733072513#/reservations/31694264230126?display=MHM8U3VGZ&amp;reservation_id=31694264230126", "MHM8U3VGZ")</f>
        <v>MHM8U3VGZ</v>
      </c>
      <c r="B9760" t="s">
        <v>1470</v>
      </c>
      <c r="C9760">
        <v>308</v>
      </c>
      <c r="D9760">
        <v>334.81</v>
      </c>
      <c r="E9760">
        <v>334.8</v>
      </c>
      <c r="F9760">
        <v>0.01</v>
      </c>
    </row>
    <row r="9761" spans="1:6" x14ac:dyDescent="0.3">
      <c r="A9761" t="str">
        <f>HYPERLINK("https://us2.cloudbeds.com/connect/10074733072513#/reservations/31686924710035?display=MHGJC7WY0&amp;reservation_id=31686924710035", "MHGJC7WY0")</f>
        <v>MHGJC7WY0</v>
      </c>
      <c r="B9761" t="s">
        <v>1502</v>
      </c>
      <c r="C9761">
        <v>179</v>
      </c>
      <c r="D9761">
        <v>194.58</v>
      </c>
      <c r="E9761">
        <v>194.57</v>
      </c>
      <c r="F9761">
        <v>0.01</v>
      </c>
    </row>
    <row r="9762" spans="1:6" x14ac:dyDescent="0.3">
      <c r="A9762" t="str">
        <f>HYPERLINK("https://us2.cloudbeds.com/connect/10074733072513#/reservations/31728094228683?display=MXFFBFHK5&amp;reservation_id=31728094228683", "MXFFBFHK5")</f>
        <v>MXFFBFHK5</v>
      </c>
      <c r="B9762" t="s">
        <v>1322</v>
      </c>
      <c r="C9762">
        <v>318</v>
      </c>
      <c r="D9762">
        <v>345.68</v>
      </c>
      <c r="E9762">
        <v>345.67</v>
      </c>
      <c r="F9762">
        <v>0.01</v>
      </c>
    </row>
    <row r="9763" spans="1:6" x14ac:dyDescent="0.3">
      <c r="A9763" t="str">
        <f>HYPERLINK("https://us2.cloudbeds.com/connect/10074733072513#/reservations/31695270924492?display=MHN1KWNDK&amp;reservation_id=31695270924492", "MHN1KWNDK")</f>
        <v>MHN1KWNDK</v>
      </c>
      <c r="B9763" t="s">
        <v>1505</v>
      </c>
      <c r="C9763">
        <v>318</v>
      </c>
      <c r="D9763">
        <v>345.68</v>
      </c>
      <c r="E9763">
        <v>345.67</v>
      </c>
      <c r="F9763">
        <v>0.01</v>
      </c>
    </row>
    <row r="9764" spans="1:6" x14ac:dyDescent="0.3">
      <c r="A9764" t="str">
        <f>HYPERLINK("https://us2.cloudbeds.com/connect/10074733072513#/reservations/31693163409634?display=MHYDPT020&amp;reservation_id=31693163409634", "MHYDPT020")</f>
        <v>MHYDPT020</v>
      </c>
      <c r="B9764" t="s">
        <v>1506</v>
      </c>
      <c r="C9764">
        <v>169</v>
      </c>
      <c r="D9764">
        <v>183.71</v>
      </c>
      <c r="E9764">
        <v>183.7</v>
      </c>
      <c r="F9764">
        <v>0.01</v>
      </c>
    </row>
    <row r="9765" spans="1:6" x14ac:dyDescent="0.3">
      <c r="A9765" t="str">
        <f>HYPERLINK("https://us2.cloudbeds.com/connect/10074733072513#/reservations/31684393984212?display=MHEKN8QQN&amp;reservation_id=31684393984212", "MHEKN8QQN")</f>
        <v>MHEKN8QQN</v>
      </c>
      <c r="B9765" t="s">
        <v>1429</v>
      </c>
      <c r="C9765">
        <v>159</v>
      </c>
      <c r="D9765">
        <v>172.84</v>
      </c>
      <c r="E9765">
        <v>172.83</v>
      </c>
      <c r="F9765">
        <v>0.01</v>
      </c>
    </row>
    <row r="9766" spans="1:6" x14ac:dyDescent="0.3">
      <c r="A9766" t="str">
        <f>HYPERLINK("https://us2.cloudbeds.com/connect/10074733072513#/reservations/31686932451505?display=MHGJXPDE0&amp;reservation_id=31686932451505", "MHGJXPDE0")</f>
        <v>MHGJXPDE0</v>
      </c>
      <c r="B9766" t="s">
        <v>1502</v>
      </c>
      <c r="C9766">
        <v>159</v>
      </c>
      <c r="D9766">
        <v>172.84</v>
      </c>
      <c r="E9766">
        <v>172.83</v>
      </c>
      <c r="F9766">
        <v>0.01</v>
      </c>
    </row>
    <row r="9767" spans="1:6" x14ac:dyDescent="0.3">
      <c r="A9767" t="str">
        <f>HYPERLINK("https://us2.cloudbeds.com/connect/10074733072513#/reservations/31691245531351?display=MHJUPM6W9&amp;reservation_id=31691245531351", "MHJUPM6W9")</f>
        <v>MHJUPM6W9</v>
      </c>
      <c r="B9767" t="s">
        <v>1305</v>
      </c>
      <c r="C9767">
        <v>269.04000000000002</v>
      </c>
      <c r="D9767">
        <v>292.45999999999998</v>
      </c>
      <c r="E9767">
        <v>292.45</v>
      </c>
      <c r="F9767">
        <v>0.01</v>
      </c>
    </row>
    <row r="9768" spans="1:6" x14ac:dyDescent="0.3">
      <c r="A9768" t="str">
        <f>HYPERLINK("https://us2.cloudbeds.com/connect/10074733072513#/reservations/31693797433549?display=MHYTWGYGU&amp;reservation_id=31693797433549", "MHYTWGYGU")</f>
        <v>MHYTWGYGU</v>
      </c>
      <c r="B9768" t="s">
        <v>1495</v>
      </c>
      <c r="C9768">
        <v>89</v>
      </c>
      <c r="D9768">
        <v>96.75</v>
      </c>
      <c r="E9768">
        <v>96.74</v>
      </c>
      <c r="F9768">
        <v>0.01</v>
      </c>
    </row>
    <row r="9769" spans="1:6" x14ac:dyDescent="0.3">
      <c r="A9769" t="str">
        <f>HYPERLINK("https://us2.cloudbeds.com/connect/10074733072513#/reservations/31696137195685?display=MHNNPEWDR&amp;reservation_id=31696137195685", "MHNNPEWDR")</f>
        <v>MHNNPEWDR</v>
      </c>
      <c r="B9769" t="s">
        <v>1508</v>
      </c>
      <c r="C9769">
        <v>239</v>
      </c>
      <c r="D9769">
        <v>259.8</v>
      </c>
      <c r="E9769">
        <v>259.79000000000002</v>
      </c>
      <c r="F9769">
        <v>0.01</v>
      </c>
    </row>
    <row r="9770" spans="1:6" x14ac:dyDescent="0.3">
      <c r="A9770" t="str">
        <f>HYPERLINK("https://us2.cloudbeds.com/connect/10074733072513#/reservations/31692252975336?display=MHKNH5R7T&amp;reservation_id=31692252975336", "MHKNH5R7T")</f>
        <v>MHKNH5R7T</v>
      </c>
      <c r="B9770" t="s">
        <v>1453</v>
      </c>
      <c r="C9770">
        <v>150</v>
      </c>
      <c r="D9770">
        <v>163.06</v>
      </c>
      <c r="E9770">
        <v>163.05000000000001</v>
      </c>
      <c r="F9770">
        <v>0.01</v>
      </c>
    </row>
    <row r="9771" spans="1:6" x14ac:dyDescent="0.3">
      <c r="A9771" t="str">
        <f>HYPERLINK("https://us2.cloudbeds.com/connect/10074733072513#/reservations/31689769025730?display=MHXQ1Y8PN&amp;reservation_id=31689769025730", "MHXQ1Y8PN")</f>
        <v>MHXQ1Y8PN</v>
      </c>
      <c r="B9771" t="s">
        <v>1483</v>
      </c>
      <c r="C9771">
        <v>149</v>
      </c>
      <c r="D9771">
        <v>161.97</v>
      </c>
      <c r="E9771">
        <v>161.96</v>
      </c>
      <c r="F9771">
        <v>0.01</v>
      </c>
    </row>
    <row r="9772" spans="1:6" x14ac:dyDescent="0.3">
      <c r="A9772" t="str">
        <f>HYPERLINK("https://us2.cloudbeds.com/connect/10074733072513#/reservations/31684730237072?display=MHET9QHVA&amp;reservation_id=31684730237072", "MHET9QHVA")</f>
        <v>MHET9QHVA</v>
      </c>
      <c r="B9772" t="s">
        <v>1509</v>
      </c>
      <c r="C9772">
        <v>109</v>
      </c>
      <c r="D9772">
        <v>118.49</v>
      </c>
      <c r="E9772">
        <v>118.48</v>
      </c>
      <c r="F9772">
        <v>0.01</v>
      </c>
    </row>
    <row r="9773" spans="1:6" x14ac:dyDescent="0.3">
      <c r="A9773" t="str">
        <f>HYPERLINK("https://us2.cloudbeds.com/connect/10074733072513#/reservations/31694931779729?display=MHMPW0GNJ&amp;reservation_id=31694931779729", "MHMPW0GNJ")</f>
        <v>MHMPW0GNJ</v>
      </c>
      <c r="B9773" t="s">
        <v>1486</v>
      </c>
      <c r="C9773">
        <v>225</v>
      </c>
      <c r="D9773">
        <v>244.59</v>
      </c>
      <c r="E9773">
        <v>244.58</v>
      </c>
      <c r="F9773">
        <v>0.01</v>
      </c>
    </row>
    <row r="9774" spans="1:6" x14ac:dyDescent="0.3">
      <c r="A9774" t="str">
        <f>HYPERLINK("https://us2.cloudbeds.com/connect/10074733072513#/reservations/31690858561724?display=MHJKTC6VV&amp;reservation_id=31690858561724", "MHJKTC6VV")</f>
        <v>MHJKTC6VV</v>
      </c>
      <c r="B9774" t="s">
        <v>1509</v>
      </c>
      <c r="C9774">
        <v>109</v>
      </c>
      <c r="D9774">
        <v>118.49</v>
      </c>
      <c r="E9774">
        <v>118.48</v>
      </c>
      <c r="F9774">
        <v>0.01</v>
      </c>
    </row>
    <row r="9775" spans="1:6" x14ac:dyDescent="0.3">
      <c r="A9775" t="str">
        <f>HYPERLINK("https://us2.cloudbeds.com/connect/10074733072513#/reservations/31725676900499?display=MXDJJ3QRV&amp;reservation_id=31725676900499", "MXDJJ3QRV")</f>
        <v>MXDJJ3QRV</v>
      </c>
      <c r="B9775" t="s">
        <v>1511</v>
      </c>
      <c r="C9775">
        <v>73</v>
      </c>
      <c r="D9775">
        <v>79.36</v>
      </c>
      <c r="E9775">
        <v>79.349999999999994</v>
      </c>
      <c r="F9775">
        <v>0.01</v>
      </c>
    </row>
    <row r="9776" spans="1:6" x14ac:dyDescent="0.3">
      <c r="A9776" t="str">
        <f>HYPERLINK("https://us2.cloudbeds.com/connect/10074733072513#/reservations/31695371370659?display=MHN46MPFS&amp;reservation_id=31695371370659", "MHN46MPFS")</f>
        <v>MHN46MPFS</v>
      </c>
      <c r="B9776" t="s">
        <v>1503</v>
      </c>
      <c r="C9776">
        <v>73</v>
      </c>
      <c r="D9776">
        <v>79.36</v>
      </c>
      <c r="E9776">
        <v>79.349999999999994</v>
      </c>
      <c r="F9776">
        <v>0.01</v>
      </c>
    </row>
    <row r="9777" spans="1:6" x14ac:dyDescent="0.3">
      <c r="A9777" t="str">
        <f>HYPERLINK("https://us2.cloudbeds.com/connect/10074733072513#/reservations/31695424266368?display=MHN5ANCX1&amp;reservation_id=31695424266368", "MHN5ANCX1")</f>
        <v>MHN5ANCX1</v>
      </c>
      <c r="B9777" t="s">
        <v>1512</v>
      </c>
      <c r="C9777">
        <v>73</v>
      </c>
      <c r="D9777">
        <v>79.36</v>
      </c>
      <c r="E9777">
        <v>79.349999999999994</v>
      </c>
      <c r="F9777">
        <v>0.01</v>
      </c>
    </row>
    <row r="9778" spans="1:6" x14ac:dyDescent="0.3">
      <c r="A9778" t="str">
        <f>HYPERLINK("https://us2.cloudbeds.com/connect/10074733072513#/reservations/31690548183292?display=MHJCVYFKU&amp;reservation_id=31690548183292", "MHJCVYFKU")</f>
        <v>MHJCVYFKU</v>
      </c>
      <c r="B9778" t="s">
        <v>1513</v>
      </c>
      <c r="C9778">
        <v>73</v>
      </c>
      <c r="D9778">
        <v>79.36</v>
      </c>
      <c r="E9778">
        <v>79.349999999999994</v>
      </c>
      <c r="F9778">
        <v>0.01</v>
      </c>
    </row>
    <row r="9779" spans="1:6" x14ac:dyDescent="0.3">
      <c r="A9779" t="str">
        <f>HYPERLINK("https://us2.cloudbeds.com/connect/10074733072513#/reservations/31692395937966?display=MHKR5NW1Q&amp;reservation_id=31692395937966", "MHKR5NW1Q")</f>
        <v>MHKR5NW1Q</v>
      </c>
      <c r="B9779" t="s">
        <v>1515</v>
      </c>
      <c r="C9779">
        <v>97.74</v>
      </c>
      <c r="D9779">
        <v>106.25</v>
      </c>
      <c r="E9779">
        <v>106.24</v>
      </c>
      <c r="F9779">
        <v>0.01</v>
      </c>
    </row>
    <row r="9780" spans="1:6" x14ac:dyDescent="0.3">
      <c r="A9780" t="str">
        <f>HYPERLINK("https://us2.cloudbeds.com/connect/10074733072513#/reservations/31689870295174?display=MHXSY17RZ&amp;reservation_id=31689870295174", "MHXSY17RZ")</f>
        <v>MHXSY17RZ</v>
      </c>
      <c r="B9780" t="s">
        <v>1453</v>
      </c>
      <c r="C9780">
        <v>318</v>
      </c>
      <c r="D9780">
        <v>345.68</v>
      </c>
      <c r="E9780">
        <v>345.67</v>
      </c>
      <c r="F9780">
        <v>0.01</v>
      </c>
    </row>
    <row r="9781" spans="1:6" x14ac:dyDescent="0.3">
      <c r="A9781" t="str">
        <f>HYPERLINK("https://us2.cloudbeds.com/connect/10074733072513#/reservations/31694973333657?display=MHMR11QJH&amp;reservation_id=31694973333657", "MHMR11QJH")</f>
        <v>MHMR11QJH</v>
      </c>
      <c r="B9781" t="s">
        <v>1516</v>
      </c>
      <c r="C9781">
        <v>73</v>
      </c>
      <c r="D9781">
        <v>79.36</v>
      </c>
      <c r="E9781">
        <v>79.349999999999994</v>
      </c>
      <c r="F9781">
        <v>0.01</v>
      </c>
    </row>
    <row r="9782" spans="1:6" x14ac:dyDescent="0.3">
      <c r="A9782" t="str">
        <f>HYPERLINK("https://us2.cloudbeds.com/connect/10074733072513#/reservations/31695228481743?display=MHN0X6MBN&amp;reservation_id=31695228481743", "MHN0X6MBN")</f>
        <v>MHN0X6MBN</v>
      </c>
      <c r="B9782" t="s">
        <v>1518</v>
      </c>
      <c r="C9782">
        <v>73</v>
      </c>
      <c r="D9782">
        <v>79.36</v>
      </c>
      <c r="E9782">
        <v>79.349999999999994</v>
      </c>
      <c r="F9782">
        <v>0.01</v>
      </c>
    </row>
    <row r="9783" spans="1:6" x14ac:dyDescent="0.3">
      <c r="A9783" t="str">
        <f>HYPERLINK("https://us2.cloudbeds.com/connect/10074733072513#/reservations/31692532932779?display=MHKUM81PP&amp;reservation_id=31692532932779", "MHKUM81PP")</f>
        <v>MHKUM81PP</v>
      </c>
      <c r="B9783" t="s">
        <v>1486</v>
      </c>
      <c r="C9783">
        <v>218</v>
      </c>
      <c r="D9783">
        <v>236.98</v>
      </c>
      <c r="E9783">
        <v>236.97</v>
      </c>
      <c r="F9783">
        <v>0.01</v>
      </c>
    </row>
    <row r="9784" spans="1:6" x14ac:dyDescent="0.3">
      <c r="A9784" t="str">
        <f>HYPERLINK("https://us2.cloudbeds.com/connect/10074733072513#/reservations/31730419642578?display=MXH8PAJTT&amp;reservation_id=31730419642578", "MXH8PAJTT")</f>
        <v>MXH8PAJTT</v>
      </c>
      <c r="B9784" t="s">
        <v>1519</v>
      </c>
      <c r="C9784">
        <v>378</v>
      </c>
      <c r="D9784">
        <v>410.9</v>
      </c>
      <c r="E9784">
        <v>410.89</v>
      </c>
      <c r="F9784">
        <v>0.01</v>
      </c>
    </row>
    <row r="9785" spans="1:6" x14ac:dyDescent="0.3">
      <c r="A9785" t="str">
        <f>HYPERLINK("https://us2.cloudbeds.com/connect/10074733072513#/reservations/31692490653844?display=MHKTJJJ4U&amp;reservation_id=31692490653844", "MHKTJJJ4U")</f>
        <v>MHKTJJJ4U</v>
      </c>
      <c r="B9785" t="s">
        <v>1476</v>
      </c>
      <c r="C9785">
        <v>129</v>
      </c>
      <c r="D9785">
        <v>140.22999999999999</v>
      </c>
      <c r="E9785">
        <v>140.22</v>
      </c>
      <c r="F9785">
        <v>0.01</v>
      </c>
    </row>
    <row r="9786" spans="1:6" x14ac:dyDescent="0.3">
      <c r="A9786" t="str">
        <f>HYPERLINK("https://us2.cloudbeds.com/connect/10074733072513#/reservations/31692499407079?display=MHKTQW50F&amp;reservation_id=31692499407079", "MHKTQW50F")</f>
        <v>MHKTQW50F</v>
      </c>
      <c r="B9786" t="s">
        <v>1476</v>
      </c>
      <c r="C9786">
        <v>109</v>
      </c>
      <c r="D9786">
        <v>118.49</v>
      </c>
      <c r="E9786">
        <v>118.48</v>
      </c>
      <c r="F9786">
        <v>0.01</v>
      </c>
    </row>
    <row r="9787" spans="1:6" x14ac:dyDescent="0.3">
      <c r="A9787" t="str">
        <f>HYPERLINK("https://us2.cloudbeds.com/connect/10074733072513#/reservations/31692507136185?display=MHKU0G7EQ&amp;reservation_id=31692507136185", "MHKU0G7EQ")</f>
        <v>MHKU0G7EQ</v>
      </c>
      <c r="B9787" t="s">
        <v>1476</v>
      </c>
      <c r="C9787">
        <v>73</v>
      </c>
      <c r="D9787">
        <v>79.36</v>
      </c>
      <c r="E9787">
        <v>79.349999999999994</v>
      </c>
      <c r="F9787">
        <v>0.01</v>
      </c>
    </row>
    <row r="9788" spans="1:6" x14ac:dyDescent="0.3">
      <c r="A9788" t="str">
        <f>HYPERLINK("https://us2.cloudbeds.com/connect/10074733072513#/reservations/31690784674009?display=MHJJ025R9&amp;reservation_id=31690784674009", "MHJJ025R9")</f>
        <v>MHJJ025R9</v>
      </c>
      <c r="B9788" t="s">
        <v>1515</v>
      </c>
      <c r="C9788">
        <v>393.3</v>
      </c>
      <c r="D9788">
        <v>427.53</v>
      </c>
      <c r="E9788">
        <v>427.52</v>
      </c>
      <c r="F9788">
        <v>0.01</v>
      </c>
    </row>
    <row r="9789" spans="1:6" x14ac:dyDescent="0.3">
      <c r="A9789" t="str">
        <f>HYPERLINK("https://us2.cloudbeds.com/connect/10074733072513#/reservations/31688921632896?display=MHX4D36XQ&amp;reservation_id=31688921632896", "MHX4D36XQ")</f>
        <v>MHX4D36XQ</v>
      </c>
      <c r="B9789" t="s">
        <v>1476</v>
      </c>
      <c r="C9789">
        <v>73</v>
      </c>
      <c r="D9789">
        <v>79.36</v>
      </c>
      <c r="E9789">
        <v>79.349999999999994</v>
      </c>
      <c r="F9789">
        <v>0.01</v>
      </c>
    </row>
    <row r="9790" spans="1:6" x14ac:dyDescent="0.3">
      <c r="A9790" t="str">
        <f>HYPERLINK("https://us2.cloudbeds.com/connect/10074733072513#/reservations/31694882296004?display=MHMZN9X3P&amp;reservation_id=31694882296004", "MHMZN9X3P")</f>
        <v>MHMZN9X3P</v>
      </c>
      <c r="B9790" t="s">
        <v>1486</v>
      </c>
      <c r="C9790">
        <v>109</v>
      </c>
      <c r="D9790">
        <v>118.49</v>
      </c>
      <c r="E9790">
        <v>118.48</v>
      </c>
      <c r="F9790">
        <v>0.01</v>
      </c>
    </row>
    <row r="9791" spans="1:6" x14ac:dyDescent="0.3">
      <c r="A9791" t="str">
        <f>HYPERLINK("https://us2.cloudbeds.com/connect/10074733072513#/reservations/31690899075304?display=MHJYUHXH6&amp;reservation_id=31690899075304", "MHJYUHXH6")</f>
        <v>MHJYUHXH6</v>
      </c>
      <c r="B9791" t="s">
        <v>1476</v>
      </c>
      <c r="C9791">
        <v>109</v>
      </c>
      <c r="D9791">
        <v>118.49</v>
      </c>
      <c r="E9791">
        <v>118.48</v>
      </c>
      <c r="F9791">
        <v>0.01</v>
      </c>
    </row>
    <row r="9792" spans="1:6" x14ac:dyDescent="0.3">
      <c r="A9792" t="str">
        <f>HYPERLINK("https://us2.cloudbeds.com/connect/10074733072513#/reservations/31695877148915?display=MHNH45QAM&amp;reservation_id=31695877148915", "MHNH45QAM")</f>
        <v>MHNH45QAM</v>
      </c>
      <c r="B9792" t="s">
        <v>1520</v>
      </c>
      <c r="C9792">
        <v>159</v>
      </c>
      <c r="D9792">
        <v>172.84</v>
      </c>
      <c r="E9792">
        <v>172.83</v>
      </c>
      <c r="F9792">
        <v>0.01</v>
      </c>
    </row>
    <row r="9793" spans="1:6" x14ac:dyDescent="0.3">
      <c r="A9793" t="str">
        <f>HYPERLINK("https://us2.cloudbeds.com/connect/10074733072513#/reservations/31695429505241?display=MHN5MNEUS&amp;reservation_id=31695429505241", "MHN5MNEUS")</f>
        <v>MHN5MNEUS</v>
      </c>
      <c r="B9793" t="s">
        <v>1512</v>
      </c>
      <c r="C9793">
        <v>119</v>
      </c>
      <c r="D9793">
        <v>129.36000000000001</v>
      </c>
      <c r="E9793">
        <v>129.35</v>
      </c>
      <c r="F9793">
        <v>0.01</v>
      </c>
    </row>
    <row r="9794" spans="1:6" x14ac:dyDescent="0.3">
      <c r="A9794" t="str">
        <f>HYPERLINK("https://us2.cloudbeds.com/connect/10074733072513#/reservations/31694900211952?display=MHMP5D2S9&amp;reservation_id=31694900211952", "MHMP5D2S9")</f>
        <v>MHMP5D2S9</v>
      </c>
      <c r="B9794" t="s">
        <v>1486</v>
      </c>
      <c r="C9794">
        <v>119</v>
      </c>
      <c r="D9794">
        <v>129.36000000000001</v>
      </c>
      <c r="E9794">
        <v>129.35</v>
      </c>
      <c r="F9794">
        <v>0.01</v>
      </c>
    </row>
    <row r="9795" spans="1:6" x14ac:dyDescent="0.3">
      <c r="A9795" t="str">
        <f>HYPERLINK("https://us2.cloudbeds.com/connect/10074733072513#/reservations/31695357133006?display=MHN3RMJDR&amp;reservation_id=31695357133006", "MHN3RMJDR")</f>
        <v>MHN3RMJDR</v>
      </c>
      <c r="B9795" t="s">
        <v>1305</v>
      </c>
      <c r="C9795">
        <v>129</v>
      </c>
      <c r="D9795">
        <v>140.22999999999999</v>
      </c>
      <c r="E9795">
        <v>140.22</v>
      </c>
      <c r="F9795">
        <v>0.01</v>
      </c>
    </row>
    <row r="9796" spans="1:6" x14ac:dyDescent="0.3">
      <c r="A9796" t="str">
        <f>HYPERLINK("https://us2.cloudbeds.com/connect/10074733072513#/reservations/31695446417545?display=MHN63W21U&amp;reservation_id=31695446417545", "MHN63W21U")</f>
        <v>MHN63W21U</v>
      </c>
      <c r="B9796" t="s">
        <v>1512</v>
      </c>
      <c r="C9796">
        <v>79</v>
      </c>
      <c r="D9796">
        <v>85.88</v>
      </c>
      <c r="E9796">
        <v>85.87</v>
      </c>
      <c r="F9796">
        <v>0.01</v>
      </c>
    </row>
    <row r="9797" spans="1:6" x14ac:dyDescent="0.3">
      <c r="A9797" t="str">
        <f>HYPERLINK("https://us2.cloudbeds.com/connect/10074733072513#/reservations/31693415969008?display=MHYK7RRMC&amp;reservation_id=31693415969008", "MHYK7RRMC")</f>
        <v>MHYK7RRMC</v>
      </c>
      <c r="B9797" t="s">
        <v>1429</v>
      </c>
      <c r="C9797">
        <v>159</v>
      </c>
      <c r="D9797">
        <v>172.84</v>
      </c>
      <c r="E9797">
        <v>172.83</v>
      </c>
      <c r="F9797">
        <v>0.01</v>
      </c>
    </row>
    <row r="9798" spans="1:6" x14ac:dyDescent="0.3">
      <c r="A9798" t="str">
        <f>HYPERLINK("https://us2.cloudbeds.com/connect/10074733072513#/reservations/31688168640726?display=MHHX556DE&amp;reservation_id=31688168640726", "MHHX556DE")</f>
        <v>MHHX556DE</v>
      </c>
      <c r="B9798" t="s">
        <v>1514</v>
      </c>
      <c r="C9798">
        <v>238</v>
      </c>
      <c r="D9798">
        <v>258.72000000000003</v>
      </c>
      <c r="E9798">
        <v>258.70999999999998</v>
      </c>
      <c r="F9798">
        <v>0.01</v>
      </c>
    </row>
    <row r="9799" spans="1:6" x14ac:dyDescent="0.3">
      <c r="A9799" t="str">
        <f>HYPERLINK("https://us2.cloudbeds.com/connect/10074733072513#/reservations/31690070921375?display=MHJ0P6VJJ&amp;reservation_id=31690070921375", "MHJ0P6VJJ")</f>
        <v>MHJ0P6VJJ</v>
      </c>
      <c r="B9799" t="s">
        <v>1499</v>
      </c>
      <c r="C9799">
        <v>189</v>
      </c>
      <c r="D9799">
        <v>205.45</v>
      </c>
      <c r="E9799">
        <v>205.44</v>
      </c>
      <c r="F9799">
        <v>0.01</v>
      </c>
    </row>
    <row r="9800" spans="1:6" x14ac:dyDescent="0.3">
      <c r="A9800" t="str">
        <f>HYPERLINK("https://us2.cloudbeds.com/connect/10074733072513#/reservations/31694264328326?display=MHM8U6MMG&amp;reservation_id=31694264328326", "MHM8U6MMG")</f>
        <v>MHM8U6MMG</v>
      </c>
      <c r="B9800" t="s">
        <v>1429</v>
      </c>
      <c r="C9800">
        <v>159</v>
      </c>
      <c r="D9800">
        <v>172.84</v>
      </c>
      <c r="E9800">
        <v>172.83</v>
      </c>
      <c r="F9800">
        <v>0.01</v>
      </c>
    </row>
    <row r="9801" spans="1:6" x14ac:dyDescent="0.3">
      <c r="A9801" t="str">
        <f>HYPERLINK("https://us2.cloudbeds.com/connect/10074733072513#/reservations/31688165888181?display=MHHX2RJQW&amp;reservation_id=31688165888181", "MHHX2RJQW")</f>
        <v>MHHX2RJQW</v>
      </c>
      <c r="B9801" t="s">
        <v>1514</v>
      </c>
      <c r="C9801">
        <v>167.06</v>
      </c>
      <c r="D9801">
        <v>181.6</v>
      </c>
      <c r="E9801">
        <v>181.59</v>
      </c>
      <c r="F9801">
        <v>0.01</v>
      </c>
    </row>
    <row r="9802" spans="1:6" x14ac:dyDescent="0.3">
      <c r="A9802" t="str">
        <f>HYPERLINK("https://us2.cloudbeds.com/connect/10074733072513#/reservations/31692376821975?display=MHKQMK1BB&amp;reservation_id=31692376821975", "MHKQMK1BB")</f>
        <v>MHKQMK1BB</v>
      </c>
      <c r="B9802" t="s">
        <v>1497</v>
      </c>
      <c r="C9802">
        <v>119</v>
      </c>
      <c r="D9802">
        <v>129.36000000000001</v>
      </c>
      <c r="E9802">
        <v>129.35</v>
      </c>
      <c r="F9802">
        <v>0.01</v>
      </c>
    </row>
    <row r="9803" spans="1:6" x14ac:dyDescent="0.3">
      <c r="A9803" t="str">
        <f>HYPERLINK("https://us2.cloudbeds.com/connect/10074733072513#/reservations/31691126874320?display=MHJRZKDBM&amp;reservation_id=31691126874320", "MHJRZKDBM")</f>
        <v>MHJRZKDBM</v>
      </c>
      <c r="B9803" t="s">
        <v>1497</v>
      </c>
      <c r="C9803">
        <v>169</v>
      </c>
      <c r="D9803">
        <v>183.71</v>
      </c>
      <c r="E9803">
        <v>183.7</v>
      </c>
      <c r="F9803">
        <v>0.01</v>
      </c>
    </row>
    <row r="9804" spans="1:6" x14ac:dyDescent="0.3">
      <c r="A9804" t="str">
        <f>HYPERLINK("https://us2.cloudbeds.com/connect/10074733072513#/reservations/31695429501147?display=MHN5MNB5Q&amp;reservation_id=31695429501147", "MHN5MNB5Q")</f>
        <v>MHN5MNB5Q</v>
      </c>
      <c r="B9804" t="s">
        <v>1512</v>
      </c>
      <c r="C9804">
        <v>73</v>
      </c>
      <c r="D9804">
        <v>79.36</v>
      </c>
      <c r="E9804">
        <v>79.349999999999994</v>
      </c>
      <c r="F9804">
        <v>0.01</v>
      </c>
    </row>
    <row r="9805" spans="1:6" x14ac:dyDescent="0.3">
      <c r="A9805" t="str">
        <f>HYPERLINK("https://us2.cloudbeds.com/connect/10074733072513#/reservations/31692301820061?display=MHKZPC022&amp;reservation_id=31692301820061", "MHKZPC022")</f>
        <v>MHKZPC022</v>
      </c>
      <c r="B9805" t="s">
        <v>1499</v>
      </c>
      <c r="C9805">
        <v>129</v>
      </c>
      <c r="D9805">
        <v>140.22999999999999</v>
      </c>
      <c r="E9805">
        <v>140.22</v>
      </c>
      <c r="F9805">
        <v>0.01</v>
      </c>
    </row>
    <row r="9806" spans="1:6" x14ac:dyDescent="0.3">
      <c r="A9806" t="str">
        <f>HYPERLINK("https://us2.cloudbeds.com/connect/10074733072513#/reservations/31693431783590?display=MHYKY5TQ4&amp;reservation_id=31693431783590", "MHYKY5TQ4")</f>
        <v>MHYKY5TQ4</v>
      </c>
      <c r="B9806" t="s">
        <v>1512</v>
      </c>
      <c r="C9806">
        <v>119</v>
      </c>
      <c r="D9806">
        <v>129.36000000000001</v>
      </c>
      <c r="E9806">
        <v>129.35</v>
      </c>
      <c r="F9806">
        <v>0.01</v>
      </c>
    </row>
    <row r="9807" spans="1:6" x14ac:dyDescent="0.3">
      <c r="A9807" t="str">
        <f>HYPERLINK("https://us2.cloudbeds.com/connect/10074733072513#/reservations/31688157475033?display=MHHHSZG83&amp;reservation_id=31688157475033", "MHHHSZG83")</f>
        <v>MHHHSZG83</v>
      </c>
      <c r="B9807" t="s">
        <v>1514</v>
      </c>
      <c r="C9807">
        <v>73</v>
      </c>
      <c r="D9807">
        <v>79.36</v>
      </c>
      <c r="E9807">
        <v>79.349999999999994</v>
      </c>
      <c r="F9807">
        <v>0.01</v>
      </c>
    </row>
    <row r="9808" spans="1:6" x14ac:dyDescent="0.3">
      <c r="A9808" t="str">
        <f>HYPERLINK("https://us2.cloudbeds.com/connect/10074733072513#/reservations/31690086363325?display=MHJ157YHF&amp;reservation_id=31690086363325", "MHJ157YHF")</f>
        <v>MHJ157YHF</v>
      </c>
      <c r="B9808" t="s">
        <v>1499</v>
      </c>
      <c r="C9808">
        <v>129</v>
      </c>
      <c r="D9808">
        <v>140.22999999999999</v>
      </c>
      <c r="E9808">
        <v>140.22</v>
      </c>
      <c r="F9808">
        <v>0.01</v>
      </c>
    </row>
    <row r="9809" spans="1:6" x14ac:dyDescent="0.3">
      <c r="A9809" t="str">
        <f>HYPERLINK("https://us2.cloudbeds.com/connect/10074733072513#/reservations/31695472832706?display=MHN6Q83DB&amp;reservation_id=31695472832706", "MHN6Q83DB")</f>
        <v>MHN6Q83DB</v>
      </c>
      <c r="B9809" t="s">
        <v>1514</v>
      </c>
      <c r="C9809">
        <v>119</v>
      </c>
      <c r="D9809">
        <v>129.36000000000001</v>
      </c>
      <c r="E9809">
        <v>129.35</v>
      </c>
      <c r="F9809">
        <v>0.01</v>
      </c>
    </row>
    <row r="9810" spans="1:6" x14ac:dyDescent="0.3">
      <c r="A9810" t="str">
        <f>HYPERLINK("https://us2.cloudbeds.com/connect/10074733072513#/reservations/31690832445654?display=MHJK7BG8T&amp;reservation_id=31690832445654", "MHJK7BG8T")</f>
        <v>MHJK7BG8T</v>
      </c>
      <c r="B9810" t="s">
        <v>1515</v>
      </c>
      <c r="C9810">
        <v>159</v>
      </c>
      <c r="D9810">
        <v>172.84</v>
      </c>
      <c r="E9810">
        <v>172.83</v>
      </c>
      <c r="F9810">
        <v>0.01</v>
      </c>
    </row>
    <row r="9811" spans="1:6" x14ac:dyDescent="0.3">
      <c r="A9811" t="str">
        <f>HYPERLINK("https://us2.cloudbeds.com/connect/10074733072513#/reservations/31694844330188?display=MHMNZ933G&amp;reservation_id=31694844330188", "MHMNZ933G")</f>
        <v>MHMNZ933G</v>
      </c>
      <c r="B9811" t="s">
        <v>1497</v>
      </c>
      <c r="C9811">
        <v>298</v>
      </c>
      <c r="D9811">
        <v>323.94</v>
      </c>
      <c r="E9811">
        <v>323.93</v>
      </c>
      <c r="F9811">
        <v>0.01</v>
      </c>
    </row>
    <row r="9812" spans="1:6" x14ac:dyDescent="0.3">
      <c r="A9812" t="str">
        <f>HYPERLINK("https://us2.cloudbeds.com/connect/10074733072513#/reservations/31688226439390?display=MHHJKTHD3&amp;reservation_id=31688226439390", "MHHJKTHD3")</f>
        <v>MHHJKTHD3</v>
      </c>
      <c r="B9812" t="s">
        <v>1514</v>
      </c>
      <c r="C9812">
        <v>109</v>
      </c>
      <c r="D9812">
        <v>118.49</v>
      </c>
      <c r="E9812">
        <v>118.48</v>
      </c>
      <c r="F9812">
        <v>0.01</v>
      </c>
    </row>
    <row r="9813" spans="1:6" x14ac:dyDescent="0.3">
      <c r="A9813" t="str">
        <f>HYPERLINK("https://us2.cloudbeds.com/connect/10074733072513#/reservations/31689280655596?display=MHXDXRYBZ&amp;reservation_id=31689280655596", "MHXDXRYBZ")</f>
        <v>MHXDXRYBZ</v>
      </c>
      <c r="B9813" t="s">
        <v>1410</v>
      </c>
      <c r="C9813">
        <v>218</v>
      </c>
      <c r="D9813">
        <v>236.98</v>
      </c>
      <c r="E9813">
        <v>236.97</v>
      </c>
      <c r="F9813">
        <v>0.01</v>
      </c>
    </row>
    <row r="9814" spans="1:6" x14ac:dyDescent="0.3">
      <c r="A9814" t="str">
        <f>HYPERLINK("https://us2.cloudbeds.com/connect/10074733072513#/reservations/31695317418230?display=MHN2R6FCP&amp;reservation_id=31695317418230", "MHN2R6FCP")</f>
        <v>MHN2R6FCP</v>
      </c>
      <c r="B9814" t="s">
        <v>1305</v>
      </c>
      <c r="C9814">
        <v>258</v>
      </c>
      <c r="D9814">
        <v>280.45999999999998</v>
      </c>
      <c r="E9814">
        <v>280.45</v>
      </c>
      <c r="F9814">
        <v>0.01</v>
      </c>
    </row>
    <row r="9815" spans="1:6" x14ac:dyDescent="0.3">
      <c r="A9815" t="str">
        <f>HYPERLINK("https://us2.cloudbeds.com/connect/10074733072513#/reservations/31688667295905?display=MHHUTY0AE&amp;reservation_id=31688667295905", "MHHUTY0AE")</f>
        <v>MHHUTY0AE</v>
      </c>
      <c r="B9815" t="s">
        <v>1410</v>
      </c>
      <c r="C9815">
        <v>99</v>
      </c>
      <c r="D9815">
        <v>107.62</v>
      </c>
      <c r="E9815">
        <v>107.61</v>
      </c>
      <c r="F9815">
        <v>0.01</v>
      </c>
    </row>
    <row r="9816" spans="1:6" x14ac:dyDescent="0.3">
      <c r="A9816" t="str">
        <f>HYPERLINK("https://us2.cloudbeds.com/connect/10074733072513#/reservations/31689819410624?display=MHXRB466G&amp;reservation_id=31689819410624", "MHXRB466G")</f>
        <v>MHXRB466G</v>
      </c>
      <c r="B9816" t="s">
        <v>1499</v>
      </c>
      <c r="C9816">
        <v>298</v>
      </c>
      <c r="D9816">
        <v>323.94</v>
      </c>
      <c r="E9816">
        <v>323.93</v>
      </c>
      <c r="F9816">
        <v>0.01</v>
      </c>
    </row>
    <row r="9817" spans="1:6" x14ac:dyDescent="0.3">
      <c r="A9817" t="str">
        <f>HYPERLINK("https://us2.cloudbeds.com/connect/10074733072513#/reservations/31695840174315?display=MHNG5WUH8&amp;reservation_id=31695840174315", "MHNG5WUH8")</f>
        <v>MHNG5WUH8</v>
      </c>
      <c r="B9817" t="s">
        <v>1305</v>
      </c>
      <c r="C9817">
        <v>258</v>
      </c>
      <c r="D9817">
        <v>280.45999999999998</v>
      </c>
      <c r="E9817">
        <v>280.45</v>
      </c>
      <c r="F9817">
        <v>0.01</v>
      </c>
    </row>
    <row r="9818" spans="1:6" x14ac:dyDescent="0.3">
      <c r="A9818" t="str">
        <f>HYPERLINK("https://us2.cloudbeds.com/connect/10074733072513#/reservations/31691186483353?display=MHJT8T3ZW&amp;reservation_id=31691186483353", "MHJT8T3ZW")</f>
        <v>MHJT8T3ZW</v>
      </c>
      <c r="B9818" t="s">
        <v>1523</v>
      </c>
      <c r="C9818">
        <v>109</v>
      </c>
      <c r="D9818">
        <v>118.49</v>
      </c>
      <c r="E9818">
        <v>118.48</v>
      </c>
      <c r="F9818">
        <v>0.01</v>
      </c>
    </row>
    <row r="9819" spans="1:6" x14ac:dyDescent="0.3">
      <c r="A9819" t="str">
        <f>HYPERLINK("https://us2.cloudbeds.com/connect/10074733072513#/reservations/31690784669914?display=MHJJ02226&amp;reservation_id=31690784669914", "MHJJ02226")</f>
        <v>MHJJ02226</v>
      </c>
      <c r="B9819" t="s">
        <v>1515</v>
      </c>
      <c r="C9819">
        <v>110.86</v>
      </c>
      <c r="D9819">
        <v>120.51</v>
      </c>
      <c r="E9819">
        <v>120.5</v>
      </c>
      <c r="F9819">
        <v>0.01</v>
      </c>
    </row>
    <row r="9820" spans="1:6" x14ac:dyDescent="0.3">
      <c r="A9820" t="str">
        <f>HYPERLINK("https://us2.cloudbeds.com/connect/10074733072513#/reservations/31688896467072?display=MHX3XQYW6&amp;reservation_id=31688896467072", "MHX3XQYW6")</f>
        <v>MHX3XQYW6</v>
      </c>
      <c r="B9820" t="s">
        <v>1410</v>
      </c>
      <c r="C9820">
        <v>150</v>
      </c>
      <c r="D9820">
        <v>163.06</v>
      </c>
      <c r="E9820">
        <v>163.05000000000001</v>
      </c>
      <c r="F9820">
        <v>0.01</v>
      </c>
    </row>
    <row r="9821" spans="1:6" x14ac:dyDescent="0.3">
      <c r="A9821" t="str">
        <f>HYPERLINK("https://us2.cloudbeds.com/connect/10074733072513#/reservations/31689364914333?display=MHXFNT8UQ&amp;reservation_id=31689364914333", "MHXFNT8UQ")</f>
        <v>MHXFNT8UQ</v>
      </c>
      <c r="B9821" t="s">
        <v>1513</v>
      </c>
      <c r="C9821">
        <v>119</v>
      </c>
      <c r="D9821">
        <v>129.36000000000001</v>
      </c>
      <c r="E9821">
        <v>129.35</v>
      </c>
      <c r="F9821">
        <v>0.01</v>
      </c>
    </row>
    <row r="9822" spans="1:6" x14ac:dyDescent="0.3">
      <c r="A9822" t="str">
        <f>HYPERLINK("https://us2.cloudbeds.com/connect/10074733072513#/reservations/31693700739266?display=MHYRGVWN4&amp;reservation_id=31693700739266", "MHYRGVWN4")</f>
        <v>MHYRGVWN4</v>
      </c>
      <c r="B9822" t="s">
        <v>1524</v>
      </c>
      <c r="C9822">
        <v>150</v>
      </c>
      <c r="D9822">
        <v>163.06</v>
      </c>
      <c r="E9822">
        <v>163.05000000000001</v>
      </c>
      <c r="F9822">
        <v>0.01</v>
      </c>
    </row>
    <row r="9823" spans="1:6" x14ac:dyDescent="0.3">
      <c r="A9823" t="str">
        <f>HYPERLINK("https://us2.cloudbeds.com/connect/10074733072513#/reservations/31690572333267?display=MHJDJ0FUB&amp;reservation_id=31690572333267", "MHJDJ0FUB")</f>
        <v>MHJDJ0FUB</v>
      </c>
      <c r="B9823" t="s">
        <v>1483</v>
      </c>
      <c r="C9823">
        <v>298</v>
      </c>
      <c r="D9823">
        <v>323.94</v>
      </c>
      <c r="E9823">
        <v>323.93</v>
      </c>
      <c r="F9823">
        <v>0.01</v>
      </c>
    </row>
    <row r="9824" spans="1:6" x14ac:dyDescent="0.3">
      <c r="A9824" t="str">
        <f>HYPERLINK("https://us2.cloudbeds.com/connect/10074733072513#/reservations/31689801203965?display=MHXQSPM6Z&amp;reservation_id=31689801203965", "MHXQSPM6Z")</f>
        <v>MHXQSPM6Z</v>
      </c>
      <c r="B9824" t="s">
        <v>1499</v>
      </c>
      <c r="C9824">
        <v>119</v>
      </c>
      <c r="D9824">
        <v>129.36000000000001</v>
      </c>
      <c r="E9824">
        <v>129.35</v>
      </c>
      <c r="F9824">
        <v>0.01</v>
      </c>
    </row>
    <row r="9825" spans="1:6" x14ac:dyDescent="0.3">
      <c r="A9825" t="str">
        <f>HYPERLINK("https://us2.cloudbeds.com/connect/10074733072513#/reservations/31688905662668?display=MHX3WKU7M&amp;reservation_id=31688905662668", "MHX3WKU7M")</f>
        <v>MHX3WKU7M</v>
      </c>
      <c r="B9825" t="s">
        <v>1410</v>
      </c>
      <c r="C9825">
        <v>129</v>
      </c>
      <c r="D9825">
        <v>140.22999999999999</v>
      </c>
      <c r="E9825">
        <v>140.22</v>
      </c>
      <c r="F9825">
        <v>0.01</v>
      </c>
    </row>
    <row r="9826" spans="1:6" x14ac:dyDescent="0.3">
      <c r="A9826" t="str">
        <f>HYPERLINK("https://us2.cloudbeds.com/connect/10074733072513#/reservations/31731865854135?display=MXXCNQXSH&amp;reservation_id=31731865854135", "MXXCNQXSH")</f>
        <v>MXXCNQXSH</v>
      </c>
      <c r="B9826" t="s">
        <v>1344</v>
      </c>
      <c r="C9826">
        <v>318</v>
      </c>
      <c r="D9826">
        <v>345.68</v>
      </c>
      <c r="E9826">
        <v>345.67</v>
      </c>
      <c r="F9826">
        <v>0.01</v>
      </c>
    </row>
    <row r="9827" spans="1:6" x14ac:dyDescent="0.3">
      <c r="A9827" t="str">
        <f>HYPERLINK("https://us2.cloudbeds.com/connect/10074733072513#/reservations/31734064967907?display=MXK2U552Q&amp;reservation_id=31734064967907", "MXK2U552Q")</f>
        <v>MXK2U552Q</v>
      </c>
      <c r="B9827" t="s">
        <v>1344</v>
      </c>
      <c r="C9827">
        <v>318</v>
      </c>
      <c r="D9827">
        <v>345.68</v>
      </c>
      <c r="E9827">
        <v>345.67</v>
      </c>
      <c r="F9827">
        <v>0.01</v>
      </c>
    </row>
    <row r="9828" spans="1:6" x14ac:dyDescent="0.3">
      <c r="A9828" t="str">
        <f>HYPERLINK("https://us2.cloudbeds.com/connect/10074733072513#/reservations/31689353904329?display=MHXFEJTZA&amp;reservation_id=31689353904329", "MHXFEJTZA")</f>
        <v>MHXFEJTZA</v>
      </c>
      <c r="B9828" t="s">
        <v>1513</v>
      </c>
      <c r="C9828">
        <v>139</v>
      </c>
      <c r="D9828">
        <v>151.1</v>
      </c>
      <c r="E9828">
        <v>151.09</v>
      </c>
      <c r="F9828">
        <v>0.01</v>
      </c>
    </row>
    <row r="9829" spans="1:6" x14ac:dyDescent="0.3">
      <c r="A9829" t="str">
        <f>HYPERLINK("https://us2.cloudbeds.com/connect/10074733072513#/reservations/31690531983604?display=MHJCHWMT9&amp;reservation_id=31690531983604", "MHJCHWMT9")</f>
        <v>MHJCHWMT9</v>
      </c>
      <c r="B9829" t="s">
        <v>1513</v>
      </c>
      <c r="C9829">
        <v>109</v>
      </c>
      <c r="D9829">
        <v>118.49</v>
      </c>
      <c r="E9829">
        <v>118.48</v>
      </c>
      <c r="F9829">
        <v>0.01</v>
      </c>
    </row>
    <row r="9830" spans="1:6" x14ac:dyDescent="0.3">
      <c r="A9830" t="str">
        <f>HYPERLINK("https://us2.cloudbeds.com/connect/10074733072513#/reservations/31690070925467?display=MHJ0P72BJ&amp;reservation_id=31690070925467", "MHJ0P72BJ")</f>
        <v>MHJ0P72BJ</v>
      </c>
      <c r="B9830" t="s">
        <v>1499</v>
      </c>
      <c r="C9830">
        <v>252</v>
      </c>
      <c r="D9830">
        <v>273.93</v>
      </c>
      <c r="E9830">
        <v>273.92</v>
      </c>
      <c r="F9830">
        <v>0.01</v>
      </c>
    </row>
    <row r="9831" spans="1:6" x14ac:dyDescent="0.3">
      <c r="A9831" t="str">
        <f>HYPERLINK("https://us2.cloudbeds.com/connect/10074733072513#/reservations/31689339543693?display=MHXF2G9ZH&amp;reservation_id=31689339543693", "MHXF2G9ZH")</f>
        <v>MHXF2G9ZH</v>
      </c>
      <c r="B9831" t="s">
        <v>1410</v>
      </c>
      <c r="C9831">
        <v>119</v>
      </c>
      <c r="D9831">
        <v>129.36000000000001</v>
      </c>
      <c r="E9831">
        <v>129.35</v>
      </c>
      <c r="F9831">
        <v>0.01</v>
      </c>
    </row>
    <row r="9832" spans="1:6" x14ac:dyDescent="0.3">
      <c r="A9832" t="str">
        <f>HYPERLINK("https://us2.cloudbeds.com/connect/10074733072513#/reservations/31693046517961?display=MHYAQAAH3&amp;reservation_id=31693046517961", "MHYAQAAH3")</f>
        <v>MHYAQAAH3</v>
      </c>
      <c r="B9832" t="s">
        <v>1453</v>
      </c>
      <c r="C9832">
        <v>358</v>
      </c>
      <c r="D9832">
        <v>389.16</v>
      </c>
      <c r="E9832">
        <v>389.15</v>
      </c>
      <c r="F9832">
        <v>0.01</v>
      </c>
    </row>
    <row r="9833" spans="1:6" x14ac:dyDescent="0.3">
      <c r="A9833" t="str">
        <f>HYPERLINK("https://us2.cloudbeds.com/connect/10074733072513#/reservations/31688563613890?display=MHHS86TS5&amp;reservation_id=31688563613890", "MHHS86TS5")</f>
        <v>MHHS86TS5</v>
      </c>
      <c r="B9833" t="s">
        <v>1526</v>
      </c>
      <c r="C9833">
        <v>89</v>
      </c>
      <c r="D9833">
        <v>96.75</v>
      </c>
      <c r="E9833">
        <v>96.74</v>
      </c>
      <c r="F9833">
        <v>0.01</v>
      </c>
    </row>
    <row r="9834" spans="1:6" x14ac:dyDescent="0.3">
      <c r="A9834" t="str">
        <f>HYPERLINK("https://us2.cloudbeds.com/connect/10074733072513#/reservations/31688571658389?display=MHHSEWZTT&amp;reservation_id=31688571658389", "MHHSEWZTT")</f>
        <v>MHHSEWZTT</v>
      </c>
      <c r="B9834" t="s">
        <v>1526</v>
      </c>
      <c r="C9834">
        <v>89</v>
      </c>
      <c r="D9834">
        <v>96.75</v>
      </c>
      <c r="E9834">
        <v>96.74</v>
      </c>
      <c r="F9834">
        <v>0.01</v>
      </c>
    </row>
    <row r="9835" spans="1:6" x14ac:dyDescent="0.3">
      <c r="A9835" t="str">
        <f>HYPERLINK("https://us2.cloudbeds.com/connect/10074733072513#/reservations/31688585388243?display=MHHSQXQM2&amp;reservation_id=31688585388243", "MHHSQXQM2")</f>
        <v>MHHSQXQM2</v>
      </c>
      <c r="B9835" t="s">
        <v>1526</v>
      </c>
      <c r="C9835">
        <v>89</v>
      </c>
      <c r="D9835">
        <v>96.75</v>
      </c>
      <c r="E9835">
        <v>96.74</v>
      </c>
      <c r="F9835">
        <v>0.01</v>
      </c>
    </row>
    <row r="9836" spans="1:6" x14ac:dyDescent="0.3">
      <c r="A9836" t="str">
        <f>HYPERLINK("https://us2.cloudbeds.com/connect/10074733072513#/reservations/31693046522063?display=MHYAQAE9D&amp;reservation_id=31693046522063", "MHYAQAE9D")</f>
        <v>MHYAQAE9D</v>
      </c>
      <c r="B9836" t="s">
        <v>1453</v>
      </c>
      <c r="C9836">
        <v>358</v>
      </c>
      <c r="D9836">
        <v>389.16</v>
      </c>
      <c r="E9836">
        <v>389.15</v>
      </c>
      <c r="F9836">
        <v>0.01</v>
      </c>
    </row>
    <row r="9837" spans="1:6" x14ac:dyDescent="0.3">
      <c r="A9837" t="str">
        <f>HYPERLINK("https://us2.cloudbeds.com/connect/10074733072513#/reservations/31691558686942?display=MHK5PZ7GY&amp;reservation_id=31691558686942", "MHK5PZ7GY")</f>
        <v>MHK5PZ7GY</v>
      </c>
      <c r="B9837" t="s">
        <v>1305</v>
      </c>
      <c r="C9837">
        <v>129</v>
      </c>
      <c r="D9837">
        <v>140.22999999999999</v>
      </c>
      <c r="E9837">
        <v>140.22</v>
      </c>
      <c r="F9837">
        <v>0.01</v>
      </c>
    </row>
    <row r="9838" spans="1:6" x14ac:dyDescent="0.3">
      <c r="A9838" t="str">
        <f>HYPERLINK("https://us2.cloudbeds.com/connect/10074733072513#/reservations/31695364411544?display=MHN40R43J&amp;reservation_id=31695364411544", "MHN40R43J")</f>
        <v>MHN40R43J</v>
      </c>
      <c r="B9838" t="s">
        <v>1305</v>
      </c>
      <c r="C9838">
        <v>129</v>
      </c>
      <c r="D9838">
        <v>140.22999999999999</v>
      </c>
      <c r="E9838">
        <v>140.22</v>
      </c>
      <c r="F9838">
        <v>0.01</v>
      </c>
    </row>
    <row r="9839" spans="1:6" x14ac:dyDescent="0.3">
      <c r="A9839" t="str">
        <f>HYPERLINK("https://us2.cloudbeds.com/connect/10074733072513#/reservations/31694786883795?display=MHMM8RXJN&amp;reservation_id=31694786883795", "MHMM8RXJN")</f>
        <v>MHMM8RXJN</v>
      </c>
      <c r="B9839" t="s">
        <v>1497</v>
      </c>
      <c r="C9839">
        <v>422</v>
      </c>
      <c r="D9839">
        <v>458.72</v>
      </c>
      <c r="E9839">
        <v>458.71</v>
      </c>
      <c r="F9839">
        <v>0.01</v>
      </c>
    </row>
    <row r="9840" spans="1:6" x14ac:dyDescent="0.3">
      <c r="A9840" t="str">
        <f>HYPERLINK("https://us2.cloudbeds.com/connect/10074733072513#/reservations/31689364910236?display=MHXFNT55Y&amp;reservation_id=31689364910236", "MHXFNT55Y")</f>
        <v>MHXFNT55Y</v>
      </c>
      <c r="B9840" t="s">
        <v>1513</v>
      </c>
      <c r="C9840">
        <v>119</v>
      </c>
      <c r="D9840">
        <v>129.36000000000001</v>
      </c>
      <c r="E9840">
        <v>129.35</v>
      </c>
      <c r="F9840">
        <v>0.01</v>
      </c>
    </row>
    <row r="9841" spans="1:6" x14ac:dyDescent="0.3">
      <c r="A9841" t="str">
        <f>HYPERLINK("https://us2.cloudbeds.com/connect/10074733072513#/reservations/31692182040775?display=MHKYNBVTZ&amp;reservation_id=31692182040775", "MHKYNBVTZ")</f>
        <v>MHKYNBVTZ</v>
      </c>
      <c r="B9841" t="s">
        <v>1453</v>
      </c>
      <c r="C9841">
        <v>437</v>
      </c>
      <c r="D9841">
        <v>475.03</v>
      </c>
      <c r="E9841">
        <v>475.02</v>
      </c>
      <c r="F9841">
        <v>0.01</v>
      </c>
    </row>
    <row r="9842" spans="1:6" x14ac:dyDescent="0.3">
      <c r="A9842" t="str">
        <f>HYPERLINK("https://us2.cloudbeds.com/connect/10074733072513#/reservations/31730173956291?display=MXH2G50YT&amp;reservation_id=31730173956291", "MXH2G50YT")</f>
        <v>MXH2G50YT</v>
      </c>
      <c r="B9842" t="s">
        <v>1322</v>
      </c>
      <c r="C9842">
        <v>209</v>
      </c>
      <c r="D9842">
        <v>227.19</v>
      </c>
      <c r="E9842">
        <v>227.18</v>
      </c>
      <c r="F9842">
        <v>0.01</v>
      </c>
    </row>
    <row r="9843" spans="1:6" x14ac:dyDescent="0.3">
      <c r="A9843" t="str">
        <f>HYPERLINK("https://us2.cloudbeds.com/connect/10074733072513#/reservations/31695231828171?display=MHN0Y0Q9K&amp;reservation_id=31695231828171", "MHN0Y0Q9K")</f>
        <v>MHN0Y0Q9K</v>
      </c>
      <c r="B9843" t="s">
        <v>1315</v>
      </c>
      <c r="C9843">
        <v>278</v>
      </c>
      <c r="D9843">
        <v>302.2</v>
      </c>
      <c r="E9843">
        <v>302.19</v>
      </c>
      <c r="F9843">
        <v>0.01</v>
      </c>
    </row>
    <row r="9844" spans="1:6" x14ac:dyDescent="0.3">
      <c r="A9844" t="str">
        <f>HYPERLINK("https://us2.cloudbeds.com/connect/10074733072513#/reservations/31691263156439?display=MHJV7HYKS&amp;reservation_id=31691263156439", "MHJV7HYKS")</f>
        <v>MHJV7HYKS</v>
      </c>
      <c r="B9844" t="s">
        <v>1527</v>
      </c>
      <c r="C9844">
        <v>159</v>
      </c>
      <c r="D9844">
        <v>172.84</v>
      </c>
      <c r="E9844">
        <v>172.83</v>
      </c>
      <c r="F9844">
        <v>0.01</v>
      </c>
    </row>
    <row r="9845" spans="1:6" x14ac:dyDescent="0.3">
      <c r="A9845" t="str">
        <f>HYPERLINK("https://us2.cloudbeds.com/connect/10074733072513#/reservations/31689744621740?display=MHXPE267S&amp;reservation_id=31689744621740", "MHXPE267S")</f>
        <v>MHXPE267S</v>
      </c>
      <c r="B9845" t="s">
        <v>1483</v>
      </c>
      <c r="C9845">
        <v>119</v>
      </c>
      <c r="D9845">
        <v>129.36000000000001</v>
      </c>
      <c r="E9845">
        <v>129.35</v>
      </c>
      <c r="F9845">
        <v>0.01</v>
      </c>
    </row>
    <row r="9846" spans="1:6" x14ac:dyDescent="0.3">
      <c r="A9846" t="str">
        <f>HYPERLINK("https://us2.cloudbeds.com/connect/10074733072513#/reservations/31689785360584?display=MHXQFDQY9&amp;reservation_id=31689785360584", "MHXQFDQY9")</f>
        <v>MHXQFDQY9</v>
      </c>
      <c r="B9846" t="s">
        <v>1499</v>
      </c>
      <c r="C9846">
        <v>149</v>
      </c>
      <c r="D9846">
        <v>161.97</v>
      </c>
      <c r="E9846">
        <v>161.96</v>
      </c>
      <c r="F9846">
        <v>0.01</v>
      </c>
    </row>
    <row r="9847" spans="1:6" x14ac:dyDescent="0.3">
      <c r="A9847" t="str">
        <f>HYPERLINK("https://us2.cloudbeds.com/connect/10074733072513#/reservations/31689751933122?display=MHXPK7Y2T&amp;reservation_id=31689751933122", "MHXPK7Y2T")</f>
        <v>MHXPK7Y2T</v>
      </c>
      <c r="B9847" t="s">
        <v>1483</v>
      </c>
      <c r="C9847">
        <v>129</v>
      </c>
      <c r="D9847">
        <v>140.22999999999999</v>
      </c>
      <c r="E9847">
        <v>140.22</v>
      </c>
      <c r="F9847">
        <v>0.01</v>
      </c>
    </row>
    <row r="9848" spans="1:6" x14ac:dyDescent="0.3">
      <c r="A9848" t="str">
        <f>HYPERLINK("https://us2.cloudbeds.com/connect/10074733072513#/reservations/31693804679321?display=MHYU5K93P&amp;reservation_id=31693804679321", "MHYU5K93P")</f>
        <v>MHYU5K93P</v>
      </c>
      <c r="B9848" t="s">
        <v>1529</v>
      </c>
      <c r="C9848">
        <v>129</v>
      </c>
      <c r="D9848">
        <v>140.22999999999999</v>
      </c>
      <c r="E9848">
        <v>140.22</v>
      </c>
      <c r="F9848">
        <v>0.01</v>
      </c>
    </row>
    <row r="9849" spans="1:6" x14ac:dyDescent="0.3">
      <c r="A9849" t="str">
        <f>HYPERLINK("https://us2.cloudbeds.com/connect/10074733072513#/reservations/31693781536902?display=MHYTJ3A1B&amp;reservation_id=31693781536902", "MHYTJ3A1B")</f>
        <v>MHYTJ3A1B</v>
      </c>
      <c r="B9849" t="s">
        <v>1529</v>
      </c>
      <c r="C9849">
        <v>258</v>
      </c>
      <c r="D9849">
        <v>280.45999999999998</v>
      </c>
      <c r="E9849">
        <v>280.45</v>
      </c>
      <c r="F9849">
        <v>0.01</v>
      </c>
    </row>
    <row r="9850" spans="1:6" x14ac:dyDescent="0.3">
      <c r="A9850" t="str">
        <f>HYPERLINK("https://us2.cloudbeds.com/connect/10074733072513#/reservations/31692430946460?display=MHKS284E8&amp;reservation_id=31692430946460", "MHKS284E8")</f>
        <v>MHKS284E8</v>
      </c>
      <c r="B9850" t="s">
        <v>1515</v>
      </c>
      <c r="C9850">
        <v>179</v>
      </c>
      <c r="D9850">
        <v>194.58</v>
      </c>
      <c r="E9850">
        <v>194.57</v>
      </c>
      <c r="F9850">
        <v>0.01</v>
      </c>
    </row>
    <row r="9851" spans="1:6" x14ac:dyDescent="0.3">
      <c r="A9851" t="str">
        <f>HYPERLINK("https://us2.cloudbeds.com/connect/10074733072513#/reservations/31690032570584?display=MHXWPSQ2D&amp;reservation_id=31690032570584", "MHXWPSQ2D")</f>
        <v>MHXWPSQ2D</v>
      </c>
      <c r="B9851" t="s">
        <v>1499</v>
      </c>
      <c r="C9851">
        <v>97.74</v>
      </c>
      <c r="D9851">
        <v>106.25</v>
      </c>
      <c r="E9851">
        <v>106.24</v>
      </c>
      <c r="F9851">
        <v>0.01</v>
      </c>
    </row>
    <row r="9852" spans="1:6" x14ac:dyDescent="0.3">
      <c r="A9852" t="str">
        <f>HYPERLINK("https://us2.cloudbeds.com/connect/10074733072513#/reservations/31694772793498?display=MHMYTVFS0&amp;reservation_id=31694772793498", "MHMYTVFS0")</f>
        <v>MHMYTVFS0</v>
      </c>
      <c r="B9852" t="s">
        <v>1497</v>
      </c>
      <c r="C9852">
        <v>159</v>
      </c>
      <c r="D9852">
        <v>172.84</v>
      </c>
      <c r="E9852">
        <v>172.83</v>
      </c>
      <c r="F9852">
        <v>0.01</v>
      </c>
    </row>
    <row r="9853" spans="1:6" x14ac:dyDescent="0.3">
      <c r="A9853" t="str">
        <f>HYPERLINK("https://us2.cloudbeds.com/connect/10074733072513#/reservations/31695683469466?display=MHNC5SCJF&amp;reservation_id=31695683469466", "MHNC5SCJF")</f>
        <v>MHNC5SCJF</v>
      </c>
      <c r="B9853" t="s">
        <v>1527</v>
      </c>
      <c r="C9853">
        <v>272.10000000000002</v>
      </c>
      <c r="D9853">
        <v>295.77999999999997</v>
      </c>
      <c r="E9853">
        <v>295.77</v>
      </c>
      <c r="F9853">
        <v>0.01</v>
      </c>
    </row>
    <row r="9854" spans="1:6" x14ac:dyDescent="0.3">
      <c r="A9854" t="str">
        <f>HYPERLINK("https://us2.cloudbeds.com/connect/10074733072513#/reservations/31690047135948?display=MHJ055322&amp;reservation_id=31690047135948", "MHJ055322")</f>
        <v>MHJ055322</v>
      </c>
      <c r="B9854" t="s">
        <v>1499</v>
      </c>
      <c r="C9854">
        <v>149</v>
      </c>
      <c r="D9854">
        <v>161.97</v>
      </c>
      <c r="E9854">
        <v>161.96</v>
      </c>
      <c r="F9854">
        <v>0.01</v>
      </c>
    </row>
    <row r="9855" spans="1:6" x14ac:dyDescent="0.3">
      <c r="A9855" t="str">
        <f>HYPERLINK("https://us2.cloudbeds.com/connect/10074733072513#/reservations/31692438307056?display=MHKS8EVFK&amp;reservation_id=31692438307056", "MHKS8EVFK")</f>
        <v>MHKS8EVFK</v>
      </c>
      <c r="B9855" t="s">
        <v>1515</v>
      </c>
      <c r="C9855">
        <v>179</v>
      </c>
      <c r="D9855">
        <v>194.58</v>
      </c>
      <c r="E9855">
        <v>194.57</v>
      </c>
      <c r="F9855">
        <v>0.01</v>
      </c>
    </row>
    <row r="9856" spans="1:6" x14ac:dyDescent="0.3">
      <c r="A9856" t="str">
        <f>HYPERLINK("https://us2.cloudbeds.com/connect/10074733072513#/reservations/31689808871574?display=MHXR2815H&amp;reservation_id=31689808871574", "MHXR2815H")</f>
        <v>MHXR2815H</v>
      </c>
      <c r="B9856" t="s">
        <v>1499</v>
      </c>
      <c r="C9856">
        <v>149</v>
      </c>
      <c r="D9856">
        <v>161.97</v>
      </c>
      <c r="E9856">
        <v>161.96</v>
      </c>
      <c r="F9856">
        <v>0.01</v>
      </c>
    </row>
    <row r="9857" spans="1:6" x14ac:dyDescent="0.3">
      <c r="A9857" t="str">
        <f>HYPERLINK("https://us2.cloudbeds.com/connect/10074733072513#/reservations/31693801447552?display=MHYTSAVV6&amp;reservation_id=31693801447552", "MHYTSAVV6")</f>
        <v>MHYTSAVV6</v>
      </c>
      <c r="B9857" t="s">
        <v>1529</v>
      </c>
      <c r="C9857">
        <v>258</v>
      </c>
      <c r="D9857">
        <v>280.45999999999998</v>
      </c>
      <c r="E9857">
        <v>280.45</v>
      </c>
      <c r="F9857">
        <v>0.01</v>
      </c>
    </row>
    <row r="9858" spans="1:6" x14ac:dyDescent="0.3">
      <c r="A9858" t="str">
        <f>HYPERLINK("https://us2.cloudbeds.com/connect/10074733072513#/reservations/31693158113408?display=MHYDAZTGB&amp;reservation_id=31693158113408", "MHYDAZTGB")</f>
        <v>MHYDAZTGB</v>
      </c>
      <c r="B9858" t="s">
        <v>1457</v>
      </c>
      <c r="C9858">
        <v>149</v>
      </c>
      <c r="D9858">
        <v>161.97</v>
      </c>
      <c r="E9858">
        <v>161.96</v>
      </c>
      <c r="F9858">
        <v>0.01</v>
      </c>
    </row>
    <row r="9859" spans="1:6" x14ac:dyDescent="0.3">
      <c r="A9859" t="str">
        <f>HYPERLINK("https://us2.cloudbeds.com/connect/10074733072513#/reservations/31690725630176?display=MHJHG96E7&amp;reservation_id=31690725630176", "MHJHG96E7")</f>
        <v>MHJHG96E7</v>
      </c>
      <c r="B9859" t="s">
        <v>1493</v>
      </c>
      <c r="C9859">
        <v>159</v>
      </c>
      <c r="D9859">
        <v>172.84</v>
      </c>
      <c r="E9859">
        <v>172.83</v>
      </c>
      <c r="F9859">
        <v>0.01</v>
      </c>
    </row>
    <row r="9860" spans="1:6" x14ac:dyDescent="0.3">
      <c r="A9860" t="str">
        <f>HYPERLINK("https://us2.cloudbeds.com/connect/10074733072513#/reservations/31689657381005?display=MHXN6GJC7&amp;reservation_id=31689657381005", "MHXN6GJC7")</f>
        <v>MHXN6GJC7</v>
      </c>
      <c r="B9860" t="s">
        <v>1523</v>
      </c>
      <c r="C9860">
        <v>119</v>
      </c>
      <c r="D9860">
        <v>129.36000000000001</v>
      </c>
      <c r="E9860">
        <v>129.35</v>
      </c>
      <c r="F9860">
        <v>0.01</v>
      </c>
    </row>
    <row r="9861" spans="1:6" x14ac:dyDescent="0.3">
      <c r="A9861" t="str">
        <f>HYPERLINK("https://us2.cloudbeds.com/connect/10074733072513#/reservations/31693088633001?display=MHYBSR7YE&amp;reservation_id=31693088633001", "MHYBSR7YE")</f>
        <v>MHYBSR7YE</v>
      </c>
      <c r="B9861" t="s">
        <v>1457</v>
      </c>
      <c r="C9861">
        <v>298</v>
      </c>
      <c r="D9861">
        <v>323.94</v>
      </c>
      <c r="E9861">
        <v>323.93</v>
      </c>
      <c r="F9861">
        <v>0.01</v>
      </c>
    </row>
    <row r="9862" spans="1:6" x14ac:dyDescent="0.3">
      <c r="A9862" t="str">
        <f>HYPERLINK("https://us2.cloudbeds.com/connect/10074733072513#/reservations/31688520417479?display=MHHR4PTZ1&amp;reservation_id=31688520417479", "MHHR4PTZ1")</f>
        <v>MHHR4PTZ1</v>
      </c>
      <c r="B9862" t="s">
        <v>1526</v>
      </c>
      <c r="C9862">
        <v>109</v>
      </c>
      <c r="D9862">
        <v>118.49</v>
      </c>
      <c r="E9862">
        <v>118.48</v>
      </c>
      <c r="F9862">
        <v>0.01</v>
      </c>
    </row>
    <row r="9863" spans="1:6" x14ac:dyDescent="0.3">
      <c r="A9863" t="str">
        <f>HYPERLINK("https://us2.cloudbeds.com/connect/10074733072513#/reservations/31688536219842?display=MHHRX3KKH&amp;reservation_id=31688536219842", "MHHRX3KKH")</f>
        <v>MHHRX3KKH</v>
      </c>
      <c r="B9863" t="s">
        <v>1526</v>
      </c>
      <c r="C9863">
        <v>79</v>
      </c>
      <c r="D9863">
        <v>85.88</v>
      </c>
      <c r="E9863">
        <v>85.87</v>
      </c>
      <c r="F9863">
        <v>0.01</v>
      </c>
    </row>
    <row r="9864" spans="1:6" x14ac:dyDescent="0.3">
      <c r="A9864" t="str">
        <f>HYPERLINK("https://us2.cloudbeds.com/connect/10074733072513#/reservations/31688539357387?display=MHHRKZUZY&amp;reservation_id=31688539357387", "MHHRKZUZY")</f>
        <v>MHHRKZUZY</v>
      </c>
      <c r="B9864" t="s">
        <v>1524</v>
      </c>
      <c r="C9864">
        <v>258</v>
      </c>
      <c r="D9864">
        <v>280.45999999999998</v>
      </c>
      <c r="E9864">
        <v>280.45</v>
      </c>
      <c r="F9864">
        <v>0.01</v>
      </c>
    </row>
    <row r="9865" spans="1:6" x14ac:dyDescent="0.3">
      <c r="A9865" t="str">
        <f>HYPERLINK("https://us2.cloudbeds.com/connect/10074733072513#/reservations/31688605982921?display=MHHTAUT77&amp;reservation_id=31688605982921", "MHHTAUT77")</f>
        <v>MHHTAUT77</v>
      </c>
      <c r="B9865" t="s">
        <v>1526</v>
      </c>
      <c r="C9865">
        <v>73</v>
      </c>
      <c r="D9865">
        <v>79.36</v>
      </c>
      <c r="E9865">
        <v>79.349999999999994</v>
      </c>
      <c r="F9865">
        <v>0.01</v>
      </c>
    </row>
    <row r="9866" spans="1:6" x14ac:dyDescent="0.3">
      <c r="A9866" t="str">
        <f>HYPERLINK("https://us2.cloudbeds.com/connect/10074733072513#/reservations/31691884986564?display=MHKE3SWRW&amp;reservation_id=31691884986564", "MHKE3SWRW")</f>
        <v>MHKE3SWRW</v>
      </c>
      <c r="B9866" t="s">
        <v>1530</v>
      </c>
      <c r="C9866">
        <v>195.48</v>
      </c>
      <c r="D9866">
        <v>212.5</v>
      </c>
      <c r="E9866">
        <v>212.49</v>
      </c>
      <c r="F9866">
        <v>0.01</v>
      </c>
    </row>
    <row r="9867" spans="1:6" x14ac:dyDescent="0.3">
      <c r="A9867" t="str">
        <f>HYPERLINK("https://us2.cloudbeds.com/connect/10074733072513#/reservations/31693750108415?display=MHYSPJP2V&amp;reservation_id=31693750108415", "MHYSPJP2V")</f>
        <v>MHYSPJP2V</v>
      </c>
      <c r="B9867" t="s">
        <v>1524</v>
      </c>
      <c r="C9867">
        <v>89</v>
      </c>
      <c r="D9867">
        <v>96.75</v>
      </c>
      <c r="E9867">
        <v>96.74</v>
      </c>
      <c r="F9867">
        <v>0.01</v>
      </c>
    </row>
    <row r="9868" spans="1:6" x14ac:dyDescent="0.3">
      <c r="A9868" t="str">
        <f>HYPERLINK("https://us2.cloudbeds.com/connect/10074733072513#/reservations/31688558715072?display=MHHRTDPUF&amp;reservation_id=31688558715072", "MHHRTDPUF")</f>
        <v>MHHRTDPUF</v>
      </c>
      <c r="B9868" t="s">
        <v>1524</v>
      </c>
      <c r="C9868">
        <v>99</v>
      </c>
      <c r="D9868">
        <v>107.62</v>
      </c>
      <c r="E9868">
        <v>107.61</v>
      </c>
      <c r="F9868">
        <v>0.01</v>
      </c>
    </row>
    <row r="9869" spans="1:6" x14ac:dyDescent="0.3">
      <c r="A9869" t="str">
        <f>HYPERLINK("https://us2.cloudbeds.com/connect/10074733072513#/reservations/31693726236864?display=MHYRRAMTK&amp;reservation_id=31693726236864", "MHYRRAMTK")</f>
        <v>MHYRRAMTK</v>
      </c>
      <c r="B9869" t="s">
        <v>1524</v>
      </c>
      <c r="C9869">
        <v>119</v>
      </c>
      <c r="D9869">
        <v>129.36000000000001</v>
      </c>
      <c r="E9869">
        <v>129.35</v>
      </c>
      <c r="F9869">
        <v>0.01</v>
      </c>
    </row>
    <row r="9870" spans="1:6" x14ac:dyDescent="0.3">
      <c r="A9870" t="str">
        <f>HYPERLINK("https://us2.cloudbeds.com/connect/10074733072513#/reservations/31693739421866?display=MHYSGJCU4&amp;reservation_id=31693739421866", "MHYSGJCU4")</f>
        <v>MHYSGJCU4</v>
      </c>
      <c r="B9870" t="s">
        <v>1524</v>
      </c>
      <c r="C9870">
        <v>99</v>
      </c>
      <c r="D9870">
        <v>107.62</v>
      </c>
      <c r="E9870">
        <v>107.61</v>
      </c>
      <c r="F9870">
        <v>0.01</v>
      </c>
    </row>
    <row r="9871" spans="1:6" x14ac:dyDescent="0.3">
      <c r="A9871" t="str">
        <f>HYPERLINK("https://us2.cloudbeds.com/connect/10074733072513#/reservations/31688576106632?display=MHHSXZHK4&amp;reservation_id=31688576106632", "MHHSXZHK4")</f>
        <v>MHHSXZHK4</v>
      </c>
      <c r="B9871" t="s">
        <v>1524</v>
      </c>
      <c r="C9871">
        <v>150</v>
      </c>
      <c r="D9871">
        <v>163.06</v>
      </c>
      <c r="E9871">
        <v>163.05000000000001</v>
      </c>
      <c r="F9871">
        <v>0.01</v>
      </c>
    </row>
    <row r="9872" spans="1:6" x14ac:dyDescent="0.3">
      <c r="A9872" t="str">
        <f>HYPERLINK("https://us2.cloudbeds.com/connect/10074733072513#/reservations/31693690966191?display=MHYR8Z1BB&amp;reservation_id=31693690966191", "MHYR8Z1BB")</f>
        <v>MHYR8Z1BB</v>
      </c>
      <c r="B9872" t="s">
        <v>1524</v>
      </c>
      <c r="C9872">
        <v>149</v>
      </c>
      <c r="D9872">
        <v>161.97</v>
      </c>
      <c r="E9872">
        <v>161.96</v>
      </c>
      <c r="F9872">
        <v>0.01</v>
      </c>
    </row>
    <row r="9873" spans="1:6" x14ac:dyDescent="0.3">
      <c r="A9873" t="str">
        <f>HYPERLINK("https://us2.cloudbeds.com/connect/10074733072513#/reservations/31694882296061?display=MHMZN9X5G&amp;reservation_id=31694882296061", "MHMZN9X5G")</f>
        <v>MHMZN9X5G</v>
      </c>
      <c r="B9873" t="s">
        <v>1496</v>
      </c>
      <c r="C9873">
        <v>378</v>
      </c>
      <c r="D9873">
        <v>410.9</v>
      </c>
      <c r="E9873">
        <v>410.89</v>
      </c>
      <c r="F9873">
        <v>0.01</v>
      </c>
    </row>
    <row r="9874" spans="1:6" x14ac:dyDescent="0.3">
      <c r="A9874" t="str">
        <f>HYPERLINK("https://us2.cloudbeds.com/connect/10074733072513#/reservations/31692670673057?display=MHY16CT1J&amp;reservation_id=31692670673057", "MHY16CT1J")</f>
        <v>MHY16CT1J</v>
      </c>
      <c r="B9874" t="s">
        <v>1482</v>
      </c>
      <c r="C9874">
        <v>405.45</v>
      </c>
      <c r="D9874">
        <v>440.73</v>
      </c>
      <c r="E9874">
        <v>440.72</v>
      </c>
      <c r="F9874">
        <v>0.01</v>
      </c>
    </row>
    <row r="9875" spans="1:6" x14ac:dyDescent="0.3">
      <c r="A9875" t="str">
        <f>HYPERLINK("https://us2.cloudbeds.com/connect/10074733072513#/reservations/31688510460114?display=MHHQTCR4N&amp;reservation_id=31688510460114", "MHHQTCR4N")</f>
        <v>MHHQTCR4N</v>
      </c>
      <c r="B9875" t="s">
        <v>1526</v>
      </c>
      <c r="C9875">
        <v>119</v>
      </c>
      <c r="D9875">
        <v>129.36000000000001</v>
      </c>
      <c r="E9875">
        <v>129.35</v>
      </c>
      <c r="F9875">
        <v>0.01</v>
      </c>
    </row>
    <row r="9876" spans="1:6" x14ac:dyDescent="0.3">
      <c r="A9876" t="str">
        <f>HYPERLINK("https://us2.cloudbeds.com/connect/10074733072513#/reservations/31728256499956?display=MXFJG9W1F&amp;reservation_id=31728256499956", "MXFJG9W1F")</f>
        <v>MXFJG9W1F</v>
      </c>
      <c r="B9876" t="s">
        <v>1531</v>
      </c>
      <c r="C9876">
        <v>139</v>
      </c>
      <c r="D9876">
        <v>151.1</v>
      </c>
      <c r="E9876">
        <v>151.09</v>
      </c>
      <c r="F9876">
        <v>0.01</v>
      </c>
    </row>
    <row r="9877" spans="1:6" x14ac:dyDescent="0.3">
      <c r="A9877" t="str">
        <f>HYPERLINK("https://us2.cloudbeds.com/connect/10074733072513#/reservations/31694534119588?display=MHMFQN0T9&amp;reservation_id=31694534119588", "MHMFQN0T9")</f>
        <v>MHMFQN0T9</v>
      </c>
      <c r="B9877" t="s">
        <v>1515</v>
      </c>
      <c r="C9877">
        <v>179</v>
      </c>
      <c r="D9877">
        <v>194.58</v>
      </c>
      <c r="E9877">
        <v>194.57</v>
      </c>
      <c r="F9877">
        <v>0.01</v>
      </c>
    </row>
    <row r="9878" spans="1:6" x14ac:dyDescent="0.3">
      <c r="A9878" t="str">
        <f>HYPERLINK("https://us2.cloudbeds.com/connect/10074733072513#/reservations/31690287796465?display=MHJ6A2R90&amp;reservation_id=31690287796465", "MHJ6A2R90")</f>
        <v>MHJ6A2R90</v>
      </c>
      <c r="B9878" t="s">
        <v>1493</v>
      </c>
      <c r="C9878">
        <v>169</v>
      </c>
      <c r="D9878">
        <v>183.71</v>
      </c>
      <c r="E9878">
        <v>183.7</v>
      </c>
      <c r="F9878">
        <v>0.01</v>
      </c>
    </row>
    <row r="9879" spans="1:6" x14ac:dyDescent="0.3">
      <c r="A9879" t="str">
        <f>HYPERLINK("https://us2.cloudbeds.com/connect/10074733072513#/reservations/31691213119648?display=MHJTVBA5F&amp;reservation_id=31691213119648", "MHJTVBA5F")</f>
        <v>MHJTVBA5F</v>
      </c>
      <c r="B9879" t="s">
        <v>1305</v>
      </c>
      <c r="C9879">
        <v>278</v>
      </c>
      <c r="D9879">
        <v>302.2</v>
      </c>
      <c r="E9879">
        <v>302.19</v>
      </c>
      <c r="F9879">
        <v>0.01</v>
      </c>
    </row>
    <row r="9880" spans="1:6" x14ac:dyDescent="0.3">
      <c r="A9880" t="str">
        <f>HYPERLINK("https://us2.cloudbeds.com/connect/10074733072513#/reservations/31693755605139?display=MHYSU7NJB&amp;reservation_id=31693755605139", "MHYSU7NJB")</f>
        <v>MHYSU7NJB</v>
      </c>
      <c r="B9880" t="s">
        <v>1516</v>
      </c>
      <c r="C9880">
        <v>73</v>
      </c>
      <c r="D9880">
        <v>79.36</v>
      </c>
      <c r="E9880">
        <v>79.349999999999994</v>
      </c>
      <c r="F9880">
        <v>0.01</v>
      </c>
    </row>
    <row r="9881" spans="1:6" x14ac:dyDescent="0.3">
      <c r="A9881" t="str">
        <f>HYPERLINK("https://us2.cloudbeds.com/connect/10074733072513#/reservations/31692756152530?display=MHY3CFFJY&amp;reservation_id=31692756152530", "MHY3CFFJY")</f>
        <v>MHY3CFFJY</v>
      </c>
      <c r="B9881" t="s">
        <v>1533</v>
      </c>
      <c r="C9881">
        <v>198</v>
      </c>
      <c r="D9881">
        <v>215.24</v>
      </c>
      <c r="E9881">
        <v>215.23</v>
      </c>
      <c r="F9881">
        <v>0.01</v>
      </c>
    </row>
    <row r="9882" spans="1:6" x14ac:dyDescent="0.3">
      <c r="A9882" t="str">
        <f>HYPERLINK("https://us2.cloudbeds.com/connect/10074733072513#/reservations/31695038156984?display=MHMSMNK4P&amp;reservation_id=31695038156984", "MHMSMNK4P")</f>
        <v>MHMSMNK4P</v>
      </c>
      <c r="B9882" t="s">
        <v>1482</v>
      </c>
      <c r="C9882">
        <v>119</v>
      </c>
      <c r="D9882">
        <v>129.36000000000001</v>
      </c>
      <c r="E9882">
        <v>129.35</v>
      </c>
      <c r="F9882">
        <v>0.01</v>
      </c>
    </row>
    <row r="9883" spans="1:6" x14ac:dyDescent="0.3">
      <c r="A9883" t="str">
        <f>HYPERLINK("https://us2.cloudbeds.com/connect/10074733072513#/reservations/31693774852225?display=MHYTDF9MC&amp;reservation_id=31693774852225", "MHYTDF9MC")</f>
        <v>MHYTDF9MC</v>
      </c>
      <c r="B9883" t="s">
        <v>1516</v>
      </c>
      <c r="C9883">
        <v>119</v>
      </c>
      <c r="D9883">
        <v>129.36000000000001</v>
      </c>
      <c r="E9883">
        <v>129.35</v>
      </c>
      <c r="F9883">
        <v>0.01</v>
      </c>
    </row>
    <row r="9884" spans="1:6" x14ac:dyDescent="0.3">
      <c r="A9884" t="str">
        <f>HYPERLINK("https://us2.cloudbeds.com/connect/10074733072513#/reservations/31691417837793?display=MHK25VTEK&amp;reservation_id=31691417837793", "MHK25VTEK")</f>
        <v>MHK25VTEK</v>
      </c>
      <c r="B9884" t="s">
        <v>1515</v>
      </c>
      <c r="C9884">
        <v>159</v>
      </c>
      <c r="D9884">
        <v>172.84</v>
      </c>
      <c r="E9884">
        <v>172.83</v>
      </c>
      <c r="F9884">
        <v>0.01</v>
      </c>
    </row>
    <row r="9885" spans="1:6" x14ac:dyDescent="0.3">
      <c r="A9885" t="str">
        <f>HYPERLINK("https://us2.cloudbeds.com/connect/10074733072513#/reservations/31693781483737?display=MHYTJ1R79&amp;reservation_id=31693781483737", "MHYTJ1R79")</f>
        <v>MHYTJ1R79</v>
      </c>
      <c r="B9885" t="s">
        <v>1516</v>
      </c>
      <c r="C9885">
        <v>119</v>
      </c>
      <c r="D9885">
        <v>129.36000000000001</v>
      </c>
      <c r="E9885">
        <v>129.35</v>
      </c>
      <c r="F9885">
        <v>0.01</v>
      </c>
    </row>
    <row r="9886" spans="1:6" x14ac:dyDescent="0.3">
      <c r="A9886" t="str">
        <f>HYPERLINK("https://us2.cloudbeds.com/connect/10074733072513#/reservations/31695554998479?display=MHN8THG28&amp;reservation_id=31695554998479", "MHN8THG28")</f>
        <v>MHN8THG28</v>
      </c>
      <c r="B9886" t="s">
        <v>1481</v>
      </c>
      <c r="C9886">
        <v>535.5</v>
      </c>
      <c r="D9886">
        <v>582.1</v>
      </c>
      <c r="E9886">
        <v>582.09</v>
      </c>
      <c r="F9886">
        <v>0.01</v>
      </c>
    </row>
    <row r="9887" spans="1:6" x14ac:dyDescent="0.3">
      <c r="A9887" t="str">
        <f>HYPERLINK("https://us2.cloudbeds.com/connect/10074733072513#/reservations/31692333596809?display=MHKPJ57QR&amp;reservation_id=31692333596809", "MHKPJ57QR")</f>
        <v>MHKPJ57QR</v>
      </c>
      <c r="B9887" t="s">
        <v>1482</v>
      </c>
      <c r="C9887">
        <v>119</v>
      </c>
      <c r="D9887">
        <v>129.36000000000001</v>
      </c>
      <c r="E9887">
        <v>129.35</v>
      </c>
      <c r="F9887">
        <v>0.01</v>
      </c>
    </row>
    <row r="9888" spans="1:6" x14ac:dyDescent="0.3">
      <c r="A9888" t="str">
        <f>HYPERLINK("https://us2.cloudbeds.com/connect/10074733072513#/reservations/31692361322657?display=MHKQ9HZZ1&amp;reservation_id=31692361322657", "MHKQ9HZZ1")</f>
        <v>MHKQ9HZZ1</v>
      </c>
      <c r="B9888" t="s">
        <v>1482</v>
      </c>
      <c r="C9888">
        <v>119</v>
      </c>
      <c r="D9888">
        <v>129.36000000000001</v>
      </c>
      <c r="E9888">
        <v>129.35</v>
      </c>
      <c r="F9888">
        <v>0.01</v>
      </c>
    </row>
    <row r="9889" spans="1:6" x14ac:dyDescent="0.3">
      <c r="A9889" t="str">
        <f>HYPERLINK("https://us2.cloudbeds.com/connect/10074733072513#/reservations/31692389404870?display=MHKR075T6&amp;reservation_id=31692389404870", "MHKR075T6")</f>
        <v>MHKR075T6</v>
      </c>
      <c r="B9889" t="s">
        <v>1515</v>
      </c>
      <c r="C9889">
        <v>329.88</v>
      </c>
      <c r="D9889">
        <v>358.59</v>
      </c>
      <c r="E9889">
        <v>358.58</v>
      </c>
      <c r="F9889">
        <v>0.01</v>
      </c>
    </row>
    <row r="9890" spans="1:6" x14ac:dyDescent="0.3">
      <c r="A9890" t="str">
        <f>HYPERLINK("https://us2.cloudbeds.com/connect/10074733072513#/reservations/31688268824729?display=MHHKNKVZA&amp;reservation_id=31688268824729", "MHHKNKVZA")</f>
        <v>MHHKNKVZA</v>
      </c>
      <c r="B9890" t="s">
        <v>1533</v>
      </c>
      <c r="C9890">
        <v>99</v>
      </c>
      <c r="D9890">
        <v>107.62</v>
      </c>
      <c r="E9890">
        <v>107.61</v>
      </c>
      <c r="F9890">
        <v>0.01</v>
      </c>
    </row>
    <row r="9891" spans="1:6" x14ac:dyDescent="0.3">
      <c r="A9891" t="str">
        <f>HYPERLINK("https://us2.cloudbeds.com/connect/10074733072513#/reservations/31691366838461?display=MHK0SVP3A&amp;reservation_id=31691366838461", "MHK0SVP3A")</f>
        <v>MHK0SVP3A</v>
      </c>
      <c r="B9891" t="s">
        <v>1533</v>
      </c>
      <c r="C9891">
        <v>179</v>
      </c>
      <c r="D9891">
        <v>194.58</v>
      </c>
      <c r="E9891">
        <v>194.57</v>
      </c>
      <c r="F9891">
        <v>0.01</v>
      </c>
    </row>
    <row r="9892" spans="1:6" x14ac:dyDescent="0.3">
      <c r="A9892" t="str">
        <f>HYPERLINK("https://us2.cloudbeds.com/connect/10074733072513#/reservations/31692715176115?display=MHY2AU813&amp;reservation_id=31692715176115", "MHY2AU813")</f>
        <v>MHY2AU813</v>
      </c>
      <c r="B9892" t="s">
        <v>1533</v>
      </c>
      <c r="C9892">
        <v>178</v>
      </c>
      <c r="D9892">
        <v>193.5</v>
      </c>
      <c r="E9892">
        <v>193.49</v>
      </c>
      <c r="F9892">
        <v>0.01</v>
      </c>
    </row>
    <row r="9893" spans="1:6" x14ac:dyDescent="0.3">
      <c r="A9893" t="str">
        <f>HYPERLINK("https://us2.cloudbeds.com/connect/10074733072513#/reservations/31688315351196?display=MHHYTSKP8&amp;reservation_id=31688315351196", "MHHYTSKP8")</f>
        <v>MHHYTSKP8</v>
      </c>
      <c r="B9893" t="s">
        <v>1533</v>
      </c>
      <c r="C9893">
        <v>196</v>
      </c>
      <c r="D9893">
        <v>213.06</v>
      </c>
      <c r="E9893">
        <v>213.05</v>
      </c>
      <c r="F9893">
        <v>0.01</v>
      </c>
    </row>
    <row r="9894" spans="1:6" x14ac:dyDescent="0.3">
      <c r="A9894" t="str">
        <f>HYPERLINK("https://us2.cloudbeds.com/connect/10074733072513#/reservations/31691372540101?display=MHK10PDP9&amp;reservation_id=31691372540101", "MHK10PDP9")</f>
        <v>MHK10PDP9</v>
      </c>
      <c r="B9894" t="s">
        <v>1533</v>
      </c>
      <c r="C9894">
        <v>139</v>
      </c>
      <c r="D9894">
        <v>151.1</v>
      </c>
      <c r="E9894">
        <v>151.09</v>
      </c>
      <c r="F9894">
        <v>0.01</v>
      </c>
    </row>
    <row r="9895" spans="1:6" x14ac:dyDescent="0.3">
      <c r="A9895" t="str">
        <f>HYPERLINK("https://us2.cloudbeds.com/connect/10074733072513#/reservations/31688357466305?display=MHHMWCHVM&amp;reservation_id=31688357466305", "MHHMWCHVM")</f>
        <v>MHHMWCHVM</v>
      </c>
      <c r="B9895" t="s">
        <v>1533</v>
      </c>
      <c r="C9895">
        <v>139</v>
      </c>
      <c r="D9895">
        <v>151.1</v>
      </c>
      <c r="E9895">
        <v>151.09</v>
      </c>
      <c r="F9895">
        <v>0.01</v>
      </c>
    </row>
    <row r="9896" spans="1:6" x14ac:dyDescent="0.3">
      <c r="A9896" t="str">
        <f>HYPERLINK("https://us2.cloudbeds.com/connect/10074733072513#/reservations/31692422267026?display=MHKRRUKB3&amp;reservation_id=31692422267026", "MHKRRUKB3")</f>
        <v>MHKRRUKB3</v>
      </c>
      <c r="B9896" t="s">
        <v>1482</v>
      </c>
      <c r="C9896">
        <v>119</v>
      </c>
      <c r="D9896">
        <v>129.36000000000001</v>
      </c>
      <c r="E9896">
        <v>129.35</v>
      </c>
      <c r="F9896">
        <v>0.01</v>
      </c>
    </row>
    <row r="9897" spans="1:6" x14ac:dyDescent="0.3">
      <c r="A9897" t="str">
        <f>HYPERLINK("https://us2.cloudbeds.com/connect/10074733072513#/reservations/31695499841667?display=MHN7G0M0N&amp;reservation_id=31695499841667", "MHN7G0M0N")</f>
        <v>MHN7G0M0N</v>
      </c>
      <c r="B9897" t="s">
        <v>1503</v>
      </c>
      <c r="C9897">
        <v>218</v>
      </c>
      <c r="D9897">
        <v>236.98</v>
      </c>
      <c r="E9897">
        <v>236.97</v>
      </c>
      <c r="F9897">
        <v>0.01</v>
      </c>
    </row>
    <row r="9898" spans="1:6" x14ac:dyDescent="0.3">
      <c r="A9898" t="str">
        <f>HYPERLINK("https://us2.cloudbeds.com/connect/10074733072513#/reservations/31694534123680?display=MHMFQN4Y9&amp;reservation_id=31694534123680", "MHMFQN4Y9")</f>
        <v>MHMFQN4Y9</v>
      </c>
      <c r="B9898" t="s">
        <v>1515</v>
      </c>
      <c r="C9898">
        <v>169</v>
      </c>
      <c r="D9898">
        <v>183.71</v>
      </c>
      <c r="E9898">
        <v>183.7</v>
      </c>
      <c r="F9898">
        <v>0.01</v>
      </c>
    </row>
    <row r="9899" spans="1:6" x14ac:dyDescent="0.3">
      <c r="A9899" t="str">
        <f>HYPERLINK("https://us2.cloudbeds.com/connect/10074733072513#/reservations/31694569615505?display=MHMGNKZS4&amp;reservation_id=31694569615505", "MHMGNKZS4")</f>
        <v>MHMGNKZS4</v>
      </c>
      <c r="B9899" t="s">
        <v>1515</v>
      </c>
      <c r="C9899">
        <v>129</v>
      </c>
      <c r="D9899">
        <v>140.22999999999999</v>
      </c>
      <c r="E9899">
        <v>140.22</v>
      </c>
      <c r="F9899">
        <v>0.01</v>
      </c>
    </row>
    <row r="9900" spans="1:6" x14ac:dyDescent="0.3">
      <c r="A9900" t="str">
        <f>HYPERLINK("https://us2.cloudbeds.com/connect/10074733072513#/reservations/31690864701588?display=MHJY1X21E&amp;reservation_id=31690864701588", "MHJY1X21E")</f>
        <v>MHJY1X21E</v>
      </c>
      <c r="B9900" t="s">
        <v>1515</v>
      </c>
      <c r="C9900">
        <v>139</v>
      </c>
      <c r="D9900">
        <v>151.1</v>
      </c>
      <c r="E9900">
        <v>151.09</v>
      </c>
      <c r="F9900">
        <v>0.01</v>
      </c>
    </row>
    <row r="9901" spans="1:6" x14ac:dyDescent="0.3">
      <c r="A9901" t="str">
        <f>HYPERLINK("https://us2.cloudbeds.com/connect/10074733072513#/reservations/31688333861071?display=MHHMCFMTX&amp;reservation_id=31688333861071", "MHHMCFMTX")</f>
        <v>MHHMCFMTX</v>
      </c>
      <c r="B9901" t="s">
        <v>1533</v>
      </c>
      <c r="C9901">
        <v>139</v>
      </c>
      <c r="D9901">
        <v>151.1</v>
      </c>
      <c r="E9901">
        <v>151.09</v>
      </c>
      <c r="F9901">
        <v>0.01</v>
      </c>
    </row>
    <row r="9902" spans="1:6" x14ac:dyDescent="0.3">
      <c r="A9902" t="str">
        <f>HYPERLINK("https://us2.cloudbeds.com/connect/10074733072513#/reservations/31691333398686?display=MHK00P87Q&amp;reservation_id=31691333398686", "MHK00P87Q")</f>
        <v>MHK00P87Q</v>
      </c>
      <c r="B9902" t="s">
        <v>1533</v>
      </c>
      <c r="C9902">
        <v>139</v>
      </c>
      <c r="D9902">
        <v>151.1</v>
      </c>
      <c r="E9902">
        <v>151.09</v>
      </c>
      <c r="F9902">
        <v>0.01</v>
      </c>
    </row>
    <row r="9903" spans="1:6" x14ac:dyDescent="0.3">
      <c r="A9903" t="str">
        <f>HYPERLINK("https://us2.cloudbeds.com/connect/10074733072513#/reservations/31691872297154?display=MHKDQ5TGD&amp;reservation_id=31691872297154", "MHKDQ5TGD")</f>
        <v>MHKDQ5TGD</v>
      </c>
      <c r="B9903" t="s">
        <v>1442</v>
      </c>
      <c r="C9903">
        <v>642.6</v>
      </c>
      <c r="D9903">
        <v>698.52</v>
      </c>
      <c r="E9903">
        <v>698.51</v>
      </c>
      <c r="F9903">
        <v>0.01</v>
      </c>
    </row>
    <row r="9904" spans="1:6" x14ac:dyDescent="0.3">
      <c r="A9904" t="str">
        <f>HYPERLINK("https://us2.cloudbeds.com/connect/10074733072513#/reservations/31688786391225?display=MHX0V20DH&amp;reservation_id=31688786391225", "MHX0V20DH")</f>
        <v>MHX0V20DH</v>
      </c>
      <c r="B9904" t="s">
        <v>1536</v>
      </c>
      <c r="C9904">
        <v>79</v>
      </c>
      <c r="D9904">
        <v>85.88</v>
      </c>
      <c r="E9904">
        <v>85.87</v>
      </c>
      <c r="F9904">
        <v>0.01</v>
      </c>
    </row>
    <row r="9905" spans="1:6" x14ac:dyDescent="0.3">
      <c r="A9905" t="str">
        <f>HYPERLINK("https://us2.cloudbeds.com/connect/10074733072513#/reservations/31688749940882?display=MHX00AZ0M&amp;reservation_id=31688749940882", "MHX00AZ0M")</f>
        <v>MHX00AZ0M</v>
      </c>
      <c r="B9905" t="s">
        <v>1536</v>
      </c>
      <c r="C9905">
        <v>198</v>
      </c>
      <c r="D9905">
        <v>215.24</v>
      </c>
      <c r="E9905">
        <v>215.23</v>
      </c>
      <c r="F9905">
        <v>0.01</v>
      </c>
    </row>
    <row r="9906" spans="1:6" x14ac:dyDescent="0.3">
      <c r="A9906" t="str">
        <f>HYPERLINK("https://us2.cloudbeds.com/connect/10074733072513#/reservations/31691296383159?display=MHJW2X7S5&amp;reservation_id=31691296383159", "MHJW2X7S5")</f>
        <v>MHJW2X7S5</v>
      </c>
      <c r="B9906" t="s">
        <v>1534</v>
      </c>
      <c r="C9906">
        <v>99</v>
      </c>
      <c r="D9906">
        <v>107.62</v>
      </c>
      <c r="E9906">
        <v>107.61</v>
      </c>
      <c r="F9906">
        <v>0.01</v>
      </c>
    </row>
    <row r="9907" spans="1:6" x14ac:dyDescent="0.3">
      <c r="A9907" t="str">
        <f>HYPERLINK("https://us2.cloudbeds.com/connect/10074733072513#/reservations/31694213267668?display=MHM7K4S0R&amp;reservation_id=31694213267668", "MHM7K4S0R")</f>
        <v>MHM7K4S0R</v>
      </c>
      <c r="B9907" t="s">
        <v>1315</v>
      </c>
      <c r="C9907">
        <v>179</v>
      </c>
      <c r="D9907">
        <v>194.58</v>
      </c>
      <c r="E9907">
        <v>194.57</v>
      </c>
      <c r="F9907">
        <v>0.01</v>
      </c>
    </row>
    <row r="9908" spans="1:6" x14ac:dyDescent="0.3">
      <c r="A9908" t="str">
        <f>HYPERLINK("https://us2.cloudbeds.com/connect/10074733072513#/reservations/31695410319529?display=MHN56HJ6Y&amp;reservation_id=31695410319529", "MHN56HJ6Y")</f>
        <v>MHN56HJ6Y</v>
      </c>
      <c r="B9908" t="s">
        <v>1442</v>
      </c>
      <c r="C9908">
        <v>159</v>
      </c>
      <c r="D9908">
        <v>172.84</v>
      </c>
      <c r="E9908">
        <v>172.83</v>
      </c>
      <c r="F9908">
        <v>0.01</v>
      </c>
    </row>
    <row r="9909" spans="1:6" x14ac:dyDescent="0.3">
      <c r="A9909" t="str">
        <f>HYPERLINK("https://us2.cloudbeds.com/connect/10074733072513#/reservations/31730184708257?display=MXH2P76U1&amp;reservation_id=31730184708257", "MXH2P76U1")</f>
        <v>MXH2P76U1</v>
      </c>
      <c r="B9909" t="s">
        <v>1322</v>
      </c>
      <c r="C9909">
        <v>278</v>
      </c>
      <c r="D9909">
        <v>302.2</v>
      </c>
      <c r="E9909">
        <v>302.19</v>
      </c>
      <c r="F9909">
        <v>0.01</v>
      </c>
    </row>
    <row r="9910" spans="1:6" x14ac:dyDescent="0.3">
      <c r="A9910" t="str">
        <f>HYPERLINK("https://us2.cloudbeds.com/connect/10074733072513#/reservations/31694580994179?display=MHMH07CJE&amp;reservation_id=31694580994179", "MHMH07CJE")</f>
        <v>MHMH07CJE</v>
      </c>
      <c r="B9910" t="s">
        <v>1496</v>
      </c>
      <c r="C9910">
        <v>119</v>
      </c>
      <c r="D9910">
        <v>129.36000000000001</v>
      </c>
      <c r="E9910">
        <v>129.35</v>
      </c>
      <c r="F9910">
        <v>0.01</v>
      </c>
    </row>
    <row r="9911" spans="1:6" x14ac:dyDescent="0.3">
      <c r="A9911" t="str">
        <f>HYPERLINK("https://us2.cloudbeds.com/connect/10074733072513#/reservations/31730204414169?display=MXH38RXAT&amp;reservation_id=31730204414169", "MXH38RXAT")</f>
        <v>MXH38RXAT</v>
      </c>
      <c r="B9911" t="s">
        <v>1322</v>
      </c>
      <c r="C9911">
        <v>278</v>
      </c>
      <c r="D9911">
        <v>302.2</v>
      </c>
      <c r="E9911">
        <v>302.19</v>
      </c>
      <c r="F9911">
        <v>0.01</v>
      </c>
    </row>
    <row r="9912" spans="1:6" x14ac:dyDescent="0.3">
      <c r="A9912" t="str">
        <f>HYPERLINK("https://us2.cloudbeds.com/connect/10074733072513#/reservations/31692278132903?display=MHKZ5CSPD&amp;reservation_id=31692278132903", "MHKZ5CSPD")</f>
        <v>MHKZ5CSPD</v>
      </c>
      <c r="B9912" t="s">
        <v>1493</v>
      </c>
      <c r="C9912">
        <v>159</v>
      </c>
      <c r="D9912">
        <v>172.84</v>
      </c>
      <c r="E9912">
        <v>172.83</v>
      </c>
      <c r="F9912">
        <v>0.01</v>
      </c>
    </row>
    <row r="9913" spans="1:6" x14ac:dyDescent="0.3">
      <c r="A9913" t="str">
        <f>HYPERLINK("https://us2.cloudbeds.com/connect/10074733072513#/reservations/31695336358074?display=MHN3A5GBE&amp;reservation_id=31695336358074", "MHN3A5GBE")</f>
        <v>MHN3A5GBE</v>
      </c>
      <c r="B9913" t="s">
        <v>1503</v>
      </c>
      <c r="C9913">
        <v>150</v>
      </c>
      <c r="D9913">
        <v>163.06</v>
      </c>
      <c r="E9913">
        <v>163.05000000000001</v>
      </c>
      <c r="F9913">
        <v>0.01</v>
      </c>
    </row>
    <row r="9914" spans="1:6" x14ac:dyDescent="0.3">
      <c r="A9914" t="str">
        <f>HYPERLINK("https://us2.cloudbeds.com/connect/10074733072513#/reservations/31695144030431?display=MHMVCWMV1&amp;reservation_id=31695144030431", "MHMVCWMV1")</f>
        <v>MHMVCWMV1</v>
      </c>
      <c r="B9914" t="s">
        <v>1457</v>
      </c>
      <c r="C9914">
        <v>298</v>
      </c>
      <c r="D9914">
        <v>323.94</v>
      </c>
      <c r="E9914">
        <v>323.93</v>
      </c>
      <c r="F9914">
        <v>0.01</v>
      </c>
    </row>
    <row r="9915" spans="1:6" x14ac:dyDescent="0.3">
      <c r="A9915" t="str">
        <f>HYPERLINK("https://us2.cloudbeds.com/connect/10074733072513#/reservations/31695941878007?display=MHNXPZWBA&amp;reservation_id=31695941878007", "MHNXPZWBA")</f>
        <v>MHNXPZWBA</v>
      </c>
      <c r="B9915" t="s">
        <v>1457</v>
      </c>
      <c r="C9915">
        <v>149</v>
      </c>
      <c r="D9915">
        <v>161.97</v>
      </c>
      <c r="E9915">
        <v>161.96</v>
      </c>
      <c r="F9915">
        <v>0.01</v>
      </c>
    </row>
    <row r="9916" spans="1:6" x14ac:dyDescent="0.3">
      <c r="A9916" t="str">
        <f>HYPERLINK("https://us2.cloudbeds.com/connect/10074733072513#/reservations/31694328410310?display=MHMAX7SFQ&amp;reservation_id=31694328410310", "MHMAX7SFQ")</f>
        <v>MHMAX7SFQ</v>
      </c>
      <c r="B9916" t="s">
        <v>1538</v>
      </c>
      <c r="C9916">
        <v>139</v>
      </c>
      <c r="D9916">
        <v>151.1</v>
      </c>
      <c r="E9916">
        <v>151.09</v>
      </c>
      <c r="F9916">
        <v>0.01</v>
      </c>
    </row>
    <row r="9917" spans="1:6" x14ac:dyDescent="0.3">
      <c r="A9917" t="str">
        <f>HYPERLINK("https://us2.cloudbeds.com/connect/10074733072513#/reservations/31695293087932?display=MHN26MEH0&amp;reservation_id=31695293087932", "MHN26MEH0")</f>
        <v>MHN26MEH0</v>
      </c>
      <c r="B9917" t="s">
        <v>1536</v>
      </c>
      <c r="C9917">
        <v>87.82</v>
      </c>
      <c r="D9917">
        <v>95.47</v>
      </c>
      <c r="E9917">
        <v>95.46</v>
      </c>
      <c r="F9917">
        <v>0.01</v>
      </c>
    </row>
    <row r="9918" spans="1:6" x14ac:dyDescent="0.3">
      <c r="A9918" t="str">
        <f>HYPERLINK("https://us2.cloudbeds.com/connect/10074733072513#/reservations/31711404994713?display=MX2HTYWTE&amp;reservation_id=31711404994713", "MX2HTYWTE")</f>
        <v>MX2HTYWTE</v>
      </c>
      <c r="B9918" t="s">
        <v>1539</v>
      </c>
      <c r="C9918">
        <v>358</v>
      </c>
      <c r="D9918">
        <v>389.16</v>
      </c>
      <c r="E9918">
        <v>389.15</v>
      </c>
      <c r="F9918">
        <v>0.01</v>
      </c>
    </row>
    <row r="9919" spans="1:6" x14ac:dyDescent="0.3">
      <c r="A9919" t="str">
        <f>HYPERLINK("https://us2.cloudbeds.com/connect/10074733072513#/reservations/31736036880583?display=MXYK9UHHC&amp;reservation_id=31736036880583", "MXYK9UHHC")</f>
        <v>MXYK9UHHC</v>
      </c>
      <c r="B9919" t="s">
        <v>1322</v>
      </c>
      <c r="C9919">
        <v>139</v>
      </c>
      <c r="D9919">
        <v>151.1</v>
      </c>
      <c r="E9919">
        <v>151.09</v>
      </c>
      <c r="F9919">
        <v>0.01</v>
      </c>
    </row>
    <row r="9920" spans="1:6" x14ac:dyDescent="0.3">
      <c r="A9920" t="str">
        <f>HYPERLINK("https://us2.cloudbeds.com/connect/10074733072513#/reservations/31690947748045?display=MHJN5XVDN&amp;reservation_id=31690947748045", "MHJN5XVDN")</f>
        <v>MHJN5XVDN</v>
      </c>
      <c r="B9920" t="s">
        <v>1377</v>
      </c>
      <c r="C9920">
        <v>179</v>
      </c>
      <c r="D9920">
        <v>194.58</v>
      </c>
      <c r="E9920">
        <v>194.57</v>
      </c>
      <c r="F9920">
        <v>0.01</v>
      </c>
    </row>
    <row r="9921" spans="1:6" x14ac:dyDescent="0.3">
      <c r="A9921" t="str">
        <f>HYPERLINK("https://us2.cloudbeds.com/connect/10074733072513#/reservations/31695507935453?display=MHN7MRTAV&amp;reservation_id=31695507935453", "MHN7MRTAV")</f>
        <v>MHN7MRTAV</v>
      </c>
      <c r="B9921" t="s">
        <v>1503</v>
      </c>
      <c r="C9921">
        <v>198</v>
      </c>
      <c r="D9921">
        <v>215.24</v>
      </c>
      <c r="E9921">
        <v>215.23</v>
      </c>
      <c r="F9921">
        <v>0.01</v>
      </c>
    </row>
    <row r="9922" spans="1:6" x14ac:dyDescent="0.3">
      <c r="A9922" t="str">
        <f>HYPERLINK("https://us2.cloudbeds.com/connect/10074733072513#/reservations/31691496956100?display=MHK46MFN2&amp;reservation_id=31691496956100", "MHK46MFN2")</f>
        <v>MHK46MFN2</v>
      </c>
      <c r="B9922" t="s">
        <v>1305</v>
      </c>
      <c r="C9922">
        <v>358</v>
      </c>
      <c r="D9922">
        <v>389.16</v>
      </c>
      <c r="E9922">
        <v>389.15</v>
      </c>
      <c r="F9922">
        <v>0.01</v>
      </c>
    </row>
    <row r="9923" spans="1:6" x14ac:dyDescent="0.3">
      <c r="A9923" t="str">
        <f>HYPERLINK("https://us2.cloudbeds.com/connect/10074733072513#/reservations/31734583763116?display=MXKG5KD1Z&amp;reservation_id=31734583763116", "MXKG5KD1Z")</f>
        <v>MXKG5KD1Z</v>
      </c>
      <c r="B9923" t="s">
        <v>1510</v>
      </c>
      <c r="C9923">
        <v>278</v>
      </c>
      <c r="D9923">
        <v>302.2</v>
      </c>
      <c r="E9923">
        <v>302.19</v>
      </c>
      <c r="F9923">
        <v>0.01</v>
      </c>
    </row>
    <row r="9924" spans="1:6" x14ac:dyDescent="0.3">
      <c r="A9924" t="str">
        <f>HYPERLINK("https://us2.cloudbeds.com/connect/10074733072513#/reservations/31695018950836?display=MHMS6H5Y9&amp;reservation_id=31695018950836", "MHMS6H5Y9")</f>
        <v>MHMS6H5Y9</v>
      </c>
      <c r="B9924" t="s">
        <v>1540</v>
      </c>
      <c r="C9924">
        <v>159</v>
      </c>
      <c r="D9924">
        <v>172.84</v>
      </c>
      <c r="E9924">
        <v>172.83</v>
      </c>
      <c r="F9924">
        <v>0.01</v>
      </c>
    </row>
    <row r="9925" spans="1:6" x14ac:dyDescent="0.3">
      <c r="A9925" t="str">
        <f>HYPERLINK("https://us2.cloudbeds.com/connect/10074733072513#/reservations/31695529201846?display=MHN87PYN3&amp;reservation_id=31695529201846", "MHN87PYN3")</f>
        <v>MHN87PYN3</v>
      </c>
      <c r="B9925" t="s">
        <v>1503</v>
      </c>
      <c r="C9925">
        <v>73</v>
      </c>
      <c r="D9925">
        <v>79.36</v>
      </c>
      <c r="E9925">
        <v>79.349999999999994</v>
      </c>
      <c r="F9925">
        <v>0.01</v>
      </c>
    </row>
    <row r="9926" spans="1:6" x14ac:dyDescent="0.3">
      <c r="A9926" t="str">
        <f>HYPERLINK("https://us2.cloudbeds.com/connect/10074733072513#/reservations/31691273212140?display=MHJVG0FH2&amp;reservation_id=31691273212140", "MHJVG0FH2")</f>
        <v>MHJVG0FH2</v>
      </c>
      <c r="B9926" t="s">
        <v>1527</v>
      </c>
      <c r="C9926">
        <v>159</v>
      </c>
      <c r="D9926">
        <v>172.84</v>
      </c>
      <c r="E9926">
        <v>172.83</v>
      </c>
      <c r="F9926">
        <v>0.01</v>
      </c>
    </row>
    <row r="9927" spans="1:6" x14ac:dyDescent="0.3">
      <c r="A9927" t="str">
        <f>HYPERLINK("https://us2.cloudbeds.com/connect/10074733072513#/reservations/31728246853773?display=MXFJ85X6T&amp;reservation_id=31728246853773", "MXFJ85X6T")</f>
        <v>MXFJ85X6T</v>
      </c>
      <c r="B9927" t="s">
        <v>1531</v>
      </c>
      <c r="C9927">
        <v>179</v>
      </c>
      <c r="D9927">
        <v>194.58</v>
      </c>
      <c r="E9927">
        <v>194.57</v>
      </c>
      <c r="F9927">
        <v>0.01</v>
      </c>
    </row>
    <row r="9928" spans="1:6" x14ac:dyDescent="0.3">
      <c r="A9928" t="str">
        <f>HYPERLINK("https://us2.cloudbeds.com/connect/10074733072513#/reservations/31688711237840?display=MHHW0MP17&amp;reservation_id=31688711237840", "MHHW0MP17")</f>
        <v>MHHW0MP17</v>
      </c>
      <c r="B9928" t="s">
        <v>1536</v>
      </c>
      <c r="C9928">
        <v>119</v>
      </c>
      <c r="D9928">
        <v>129.36000000000001</v>
      </c>
      <c r="E9928">
        <v>129.35</v>
      </c>
      <c r="F9928">
        <v>0.01</v>
      </c>
    </row>
    <row r="9929" spans="1:6" x14ac:dyDescent="0.3">
      <c r="A9929" t="str">
        <f>HYPERLINK("https://us2.cloudbeds.com/connect/10074733072513#/reservations/31690525974722?display=MHJCCUG2V&amp;reservation_id=31690525974722", "MHJCCUG2V")</f>
        <v>MHJCCUG2V</v>
      </c>
      <c r="B9929" t="s">
        <v>1481</v>
      </c>
      <c r="C9929">
        <v>119</v>
      </c>
      <c r="D9929">
        <v>129.36000000000001</v>
      </c>
      <c r="E9929">
        <v>129.35</v>
      </c>
      <c r="F9929">
        <v>0.01</v>
      </c>
    </row>
    <row r="9930" spans="1:6" x14ac:dyDescent="0.3">
      <c r="A9930" t="str">
        <f>HYPERLINK("https://us2.cloudbeds.com/connect/10074733072513#/reservations/31695297863889?display=MHN2ANB4W&amp;reservation_id=31695297863889", "MHN2ANB4W")</f>
        <v>MHN2ANB4W</v>
      </c>
      <c r="B9930" t="s">
        <v>1503</v>
      </c>
      <c r="C9930">
        <v>119</v>
      </c>
      <c r="D9930">
        <v>129.36000000000001</v>
      </c>
      <c r="E9930">
        <v>129.35</v>
      </c>
      <c r="F9930">
        <v>0.01</v>
      </c>
    </row>
    <row r="9931" spans="1:6" x14ac:dyDescent="0.3">
      <c r="A9931" t="str">
        <f>HYPERLINK("https://us2.cloudbeds.com/connect/10074733072513#/reservations/31695316746375?display=MHN2QKPEH&amp;reservation_id=31695316746375", "MHN2QKPEH")</f>
        <v>MHN2QKPEH</v>
      </c>
      <c r="B9931" t="s">
        <v>1503</v>
      </c>
      <c r="C9931">
        <v>87.82</v>
      </c>
      <c r="D9931">
        <v>95.47</v>
      </c>
      <c r="E9931">
        <v>95.46</v>
      </c>
      <c r="F9931">
        <v>0.01</v>
      </c>
    </row>
    <row r="9932" spans="1:6" x14ac:dyDescent="0.3">
      <c r="A9932" t="str">
        <f>HYPERLINK("https://us2.cloudbeds.com/connect/10074733072513#/reservations/31690010509454?display=MHXW78TUA&amp;reservation_id=31690010509454", "MHXW78TUA")</f>
        <v>MHXW78TUA</v>
      </c>
      <c r="B9932" t="s">
        <v>1469</v>
      </c>
      <c r="C9932">
        <v>318</v>
      </c>
      <c r="D9932">
        <v>345.68</v>
      </c>
      <c r="E9932">
        <v>345.67</v>
      </c>
      <c r="F9932">
        <v>0.01</v>
      </c>
    </row>
    <row r="9933" spans="1:6" x14ac:dyDescent="0.3">
      <c r="A9933" t="str">
        <f>HYPERLINK("https://us2.cloudbeds.com/connect/10074733072513#/reservations/31691911827690?display=MHKEQGTBE&amp;reservation_id=31691911827690", "MHKEQGTBE")</f>
        <v>MHKEQGTBE</v>
      </c>
      <c r="B9933" t="s">
        <v>1530</v>
      </c>
      <c r="C9933">
        <v>278</v>
      </c>
      <c r="D9933">
        <v>302.2</v>
      </c>
      <c r="E9933">
        <v>302.19</v>
      </c>
      <c r="F9933">
        <v>0.01</v>
      </c>
    </row>
    <row r="9934" spans="1:6" x14ac:dyDescent="0.3">
      <c r="A9934" t="str">
        <f>HYPERLINK("https://us2.cloudbeds.com/connect/10074733072513#/reservations/31695208956118?display=MHN01ZBG3&amp;reservation_id=31695208956118", "MHN01ZBG3")</f>
        <v>MHN01ZBG3</v>
      </c>
      <c r="B9934" t="s">
        <v>1518</v>
      </c>
      <c r="C9934">
        <v>428.4</v>
      </c>
      <c r="D9934">
        <v>465.68</v>
      </c>
      <c r="E9934">
        <v>465.67</v>
      </c>
      <c r="F9934">
        <v>0.01</v>
      </c>
    </row>
    <row r="9935" spans="1:6" x14ac:dyDescent="0.3">
      <c r="A9935" t="str">
        <f>HYPERLINK("https://us2.cloudbeds.com/connect/10074733072513#/reservations/31690491748510?display=MHJBH2320&amp;reservation_id=31690491748510", "MHJBH2320")</f>
        <v>MHJBH2320</v>
      </c>
      <c r="B9935" t="s">
        <v>1481</v>
      </c>
      <c r="C9935">
        <v>238</v>
      </c>
      <c r="D9935">
        <v>258.72000000000003</v>
      </c>
      <c r="E9935">
        <v>258.70999999999998</v>
      </c>
      <c r="F9935">
        <v>0.01</v>
      </c>
    </row>
    <row r="9936" spans="1:6" x14ac:dyDescent="0.3">
      <c r="A9936" t="str">
        <f>HYPERLINK("https://us2.cloudbeds.com/connect/10074733072513#/reservations/31695236272290?display=MHN0ZPF6T&amp;reservation_id=31695236272290", "MHN0ZPF6T")</f>
        <v>MHN0ZPF6T</v>
      </c>
      <c r="B9936" t="s">
        <v>1518</v>
      </c>
      <c r="C9936">
        <v>225</v>
      </c>
      <c r="D9936">
        <v>244.59</v>
      </c>
      <c r="E9936">
        <v>244.58</v>
      </c>
      <c r="F9936">
        <v>0.01</v>
      </c>
    </row>
    <row r="9937" spans="1:6" x14ac:dyDescent="0.3">
      <c r="A9937" t="str">
        <f>HYPERLINK("https://us2.cloudbeds.com/connect/10074733072513#/reservations/31689486508190?display=MHXXRDQC4&amp;reservation_id=31689486508190", "MHXXRDQC4")</f>
        <v>MHXXRDQC4</v>
      </c>
      <c r="B9937" t="s">
        <v>1442</v>
      </c>
      <c r="C9937">
        <v>159</v>
      </c>
      <c r="D9937">
        <v>172.84</v>
      </c>
      <c r="E9937">
        <v>172.83</v>
      </c>
      <c r="F9937">
        <v>0.01</v>
      </c>
    </row>
    <row r="9938" spans="1:6" x14ac:dyDescent="0.3">
      <c r="A9938" t="str">
        <f>HYPERLINK("https://us2.cloudbeds.com/connect/10074733072513#/reservations/31692279972054?display=MHKZ6V1K8&amp;reservation_id=31692279972054", "MHKZ6V1K8")</f>
        <v>MHKZ6V1K8</v>
      </c>
      <c r="B9938" t="s">
        <v>1493</v>
      </c>
      <c r="C9938">
        <v>159</v>
      </c>
      <c r="D9938">
        <v>172.84</v>
      </c>
      <c r="E9938">
        <v>172.83</v>
      </c>
      <c r="F9938">
        <v>0.01</v>
      </c>
    </row>
    <row r="9939" spans="1:6" x14ac:dyDescent="0.3">
      <c r="A9939" t="str">
        <f>HYPERLINK("https://us2.cloudbeds.com/connect/10074733072513#/reservations/31692913189066?display=MHY7CT83X&amp;reservation_id=31692913189066", "MHY7CT83X")</f>
        <v>MHY7CT83X</v>
      </c>
      <c r="B9939" t="s">
        <v>1518</v>
      </c>
      <c r="C9939">
        <v>238</v>
      </c>
      <c r="D9939">
        <v>258.72000000000003</v>
      </c>
      <c r="E9939">
        <v>258.70999999999998</v>
      </c>
      <c r="F9939">
        <v>0.01</v>
      </c>
    </row>
    <row r="9940" spans="1:6" x14ac:dyDescent="0.3">
      <c r="A9940" t="str">
        <f>HYPERLINK("https://us2.cloudbeds.com/connect/10074733072513#/reservations/31692931850432?display=MHY7KJSN6&amp;reservation_id=31692931850432", "MHY7KJSN6")</f>
        <v>MHY7KJSN6</v>
      </c>
      <c r="B9940" t="s">
        <v>1518</v>
      </c>
      <c r="C9940">
        <v>87.82</v>
      </c>
      <c r="D9940">
        <v>95.47</v>
      </c>
      <c r="E9940">
        <v>95.46</v>
      </c>
      <c r="F9940">
        <v>0.01</v>
      </c>
    </row>
    <row r="9941" spans="1:6" x14ac:dyDescent="0.3">
      <c r="A9941" t="str">
        <f>HYPERLINK("https://us2.cloudbeds.com/connect/10074733072513#/reservations/31691185258739?display=MHJT7S17G&amp;reservation_id=31691185258739", "MHJT7S17G")</f>
        <v>MHJT7S17G</v>
      </c>
      <c r="B9941" t="s">
        <v>1305</v>
      </c>
      <c r="C9941">
        <v>129</v>
      </c>
      <c r="D9941">
        <v>140.22999999999999</v>
      </c>
      <c r="E9941">
        <v>140.22</v>
      </c>
      <c r="F9941">
        <v>0.01</v>
      </c>
    </row>
    <row r="9942" spans="1:6" x14ac:dyDescent="0.3">
      <c r="A9942" t="str">
        <f>HYPERLINK("https://us2.cloudbeds.com/connect/10074733072513#/reservations/31694471995643?display=MHME7AB3G&amp;reservation_id=31694471995643", "MHME7AB3G")</f>
        <v>MHME7AB3G</v>
      </c>
      <c r="B9942" t="s">
        <v>1535</v>
      </c>
      <c r="C9942">
        <v>119</v>
      </c>
      <c r="D9942">
        <v>129.36000000000001</v>
      </c>
      <c r="E9942">
        <v>129.35</v>
      </c>
      <c r="F9942">
        <v>0.01</v>
      </c>
    </row>
    <row r="9943" spans="1:6" x14ac:dyDescent="0.3">
      <c r="A9943" t="str">
        <f>HYPERLINK("https://us2.cloudbeds.com/connect/10074733072513#/reservations/31695487221905?display=MHN75CGKM&amp;reservation_id=31695487221905", "MHN75CGKM")</f>
        <v>MHN75CGKM</v>
      </c>
      <c r="B9943" t="s">
        <v>1442</v>
      </c>
      <c r="C9943">
        <v>159</v>
      </c>
      <c r="D9943">
        <v>172.84</v>
      </c>
      <c r="E9943">
        <v>172.83</v>
      </c>
      <c r="F9943">
        <v>0.01</v>
      </c>
    </row>
    <row r="9944" spans="1:6" x14ac:dyDescent="0.3">
      <c r="A9944" t="str">
        <f>HYPERLINK("https://us2.cloudbeds.com/connect/10074733072513#/reservations/31693999055089?display=MHM24H28X&amp;reservation_id=31693999055089", "MHM24H28X")</f>
        <v>MHM24H28X</v>
      </c>
      <c r="B9944" t="s">
        <v>1542</v>
      </c>
      <c r="C9944">
        <v>199</v>
      </c>
      <c r="D9944">
        <v>216.32</v>
      </c>
      <c r="E9944">
        <v>216.31</v>
      </c>
      <c r="F9944">
        <v>0.01</v>
      </c>
    </row>
    <row r="9945" spans="1:6" x14ac:dyDescent="0.3">
      <c r="A9945" t="str">
        <f>HYPERLINK("https://us2.cloudbeds.com/connect/10074733072513#/reservations/31691937579168?display=MHKFF7F88&amp;reservation_id=31691937579168", "MHKFF7F88")</f>
        <v>MHKFF7F88</v>
      </c>
      <c r="B9945" t="s">
        <v>1442</v>
      </c>
      <c r="C9945">
        <v>169</v>
      </c>
      <c r="D9945">
        <v>183.71</v>
      </c>
      <c r="E9945">
        <v>183.7</v>
      </c>
      <c r="F9945">
        <v>0.01</v>
      </c>
    </row>
    <row r="9946" spans="1:6" x14ac:dyDescent="0.3">
      <c r="A9946" t="str">
        <f>HYPERLINK("https://us2.cloudbeds.com/connect/10074733072513#/reservations/31695247732983?display=MHN11EC8K&amp;reservation_id=31695247732983", "MHN11EC8K")</f>
        <v>MHN11EC8K</v>
      </c>
      <c r="B9946" t="s">
        <v>1518</v>
      </c>
      <c r="C9946">
        <v>428.4</v>
      </c>
      <c r="D9946">
        <v>465.68</v>
      </c>
      <c r="E9946">
        <v>465.67</v>
      </c>
      <c r="F9946">
        <v>0.01</v>
      </c>
    </row>
    <row r="9947" spans="1:6" x14ac:dyDescent="0.3">
      <c r="A9947" t="str">
        <f>HYPERLINK("https://us2.cloudbeds.com/connect/10074733072513#/reservations/31694420861102?display=MHMCU6EJV&amp;reservation_id=31694420861102", "MHMCU6EJV")</f>
        <v>MHMCU6EJV</v>
      </c>
      <c r="B9947" t="s">
        <v>1541</v>
      </c>
      <c r="C9947">
        <v>119</v>
      </c>
      <c r="D9947">
        <v>129.36000000000001</v>
      </c>
      <c r="E9947">
        <v>129.35</v>
      </c>
      <c r="F9947">
        <v>0.01</v>
      </c>
    </row>
    <row r="9948" spans="1:6" x14ac:dyDescent="0.3">
      <c r="A9948" t="str">
        <f>HYPERLINK("https://us2.cloudbeds.com/connect/10074733072513#/reservations/31696038719709?display=MHNY8DZHB&amp;reservation_id=31696038719709", "MHNY8DZHB")</f>
        <v>MHNY8DZHB</v>
      </c>
      <c r="B9948" t="s">
        <v>1315</v>
      </c>
      <c r="C9948">
        <v>418</v>
      </c>
      <c r="D9948">
        <v>454.38</v>
      </c>
      <c r="E9948">
        <v>454.37</v>
      </c>
      <c r="F9948">
        <v>0.01</v>
      </c>
    </row>
    <row r="9949" spans="1:6" x14ac:dyDescent="0.3">
      <c r="A9949" t="str">
        <f>HYPERLINK("https://us2.cloudbeds.com/connect/10074733072513#/reservations/31694462570664?display=MHMDWC2D2&amp;reservation_id=31694462570664", "MHMDWC2D2")</f>
        <v>MHMDWC2D2</v>
      </c>
      <c r="B9949" t="s">
        <v>1541</v>
      </c>
      <c r="C9949">
        <v>119</v>
      </c>
      <c r="D9949">
        <v>129.36000000000001</v>
      </c>
      <c r="E9949">
        <v>129.35</v>
      </c>
      <c r="F9949">
        <v>0.01</v>
      </c>
    </row>
    <row r="9950" spans="1:6" x14ac:dyDescent="0.3">
      <c r="A9950" t="str">
        <f>HYPERLINK("https://us2.cloudbeds.com/connect/10074733072513#/reservations/31694662926496?display=MHMJ3A8SU&amp;reservation_id=31694662926496", "MHMJ3A8SU")</f>
        <v>MHMJ3A8SU</v>
      </c>
      <c r="B9950" t="s">
        <v>1535</v>
      </c>
      <c r="C9950">
        <v>119</v>
      </c>
      <c r="D9950">
        <v>129.36000000000001</v>
      </c>
      <c r="E9950">
        <v>129.35</v>
      </c>
      <c r="F9950">
        <v>0.01</v>
      </c>
    </row>
    <row r="9951" spans="1:6" x14ac:dyDescent="0.3">
      <c r="A9951" t="str">
        <f>HYPERLINK("https://us2.cloudbeds.com/connect/10074733072513#/reservations/31695166984336?display=MHMVWBDTU&amp;reservation_id=31695166984336", "MHMVWBDTU")</f>
        <v>MHMVWBDTU</v>
      </c>
      <c r="B9951" t="s">
        <v>1543</v>
      </c>
      <c r="C9951">
        <v>119</v>
      </c>
      <c r="D9951">
        <v>129.36000000000001</v>
      </c>
      <c r="E9951">
        <v>129.35</v>
      </c>
      <c r="F9951">
        <v>0.01</v>
      </c>
    </row>
    <row r="9952" spans="1:6" x14ac:dyDescent="0.3">
      <c r="A9952" t="str">
        <f>HYPERLINK("https://us2.cloudbeds.com/connect/10074733072513#/reservations/31695190638720?display=MHMW9PDE9&amp;reservation_id=31695190638720", "MHMW9PDE9")</f>
        <v>MHMW9PDE9</v>
      </c>
      <c r="B9952" t="s">
        <v>1543</v>
      </c>
      <c r="C9952">
        <v>119</v>
      </c>
      <c r="D9952">
        <v>129.36000000000001</v>
      </c>
      <c r="E9952">
        <v>129.35</v>
      </c>
      <c r="F9952">
        <v>0.01</v>
      </c>
    </row>
    <row r="9953" spans="1:6" x14ac:dyDescent="0.3">
      <c r="A9953" t="str">
        <f>HYPERLINK("https://us2.cloudbeds.com/connect/10074733072513#/reservations/31736104255702?display=MXYM0ZBAY&amp;reservation_id=31736104255702", "MXYM0ZBAY")</f>
        <v>MXYM0ZBAY</v>
      </c>
      <c r="B9953" t="s">
        <v>1322</v>
      </c>
      <c r="C9953">
        <v>458</v>
      </c>
      <c r="D9953">
        <v>497.86</v>
      </c>
      <c r="E9953">
        <v>497.85</v>
      </c>
      <c r="F9953">
        <v>0.01</v>
      </c>
    </row>
    <row r="9954" spans="1:6" x14ac:dyDescent="0.3">
      <c r="A9954" t="str">
        <f>HYPERLINK("https://us2.cloudbeds.com/connect/10074733072513#/reservations/31694427541701?display=MHMD2RB7B&amp;reservation_id=31694427541701", "MHMD2RB7B")</f>
        <v>MHMD2RB7B</v>
      </c>
      <c r="B9954" t="s">
        <v>1541</v>
      </c>
      <c r="C9954">
        <v>119</v>
      </c>
      <c r="D9954">
        <v>129.36000000000001</v>
      </c>
      <c r="E9954">
        <v>129.35</v>
      </c>
      <c r="F9954">
        <v>0.01</v>
      </c>
    </row>
    <row r="9955" spans="1:6" x14ac:dyDescent="0.3">
      <c r="A9955" t="str">
        <f>HYPERLINK("https://us2.cloudbeds.com/connect/10074733072513#/reservations/31695251464324?display=MHN14J6YX&amp;reservation_id=31695251464324", "MHN14J6YX")</f>
        <v>MHN14J6YX</v>
      </c>
      <c r="B9955" t="s">
        <v>1518</v>
      </c>
      <c r="C9955">
        <v>321.3</v>
      </c>
      <c r="D9955">
        <v>349.26</v>
      </c>
      <c r="E9955">
        <v>349.25</v>
      </c>
      <c r="F9955">
        <v>0.01</v>
      </c>
    </row>
    <row r="9956" spans="1:6" x14ac:dyDescent="0.3">
      <c r="A9956" t="str">
        <f>HYPERLINK("https://us2.cloudbeds.com/connect/10074733072513#/reservations/31694723129541?display=MHMKY2GZK&amp;reservation_id=31694723129541", "MHMKY2GZK")</f>
        <v>MHMKY2GZK</v>
      </c>
      <c r="B9956" t="s">
        <v>1535</v>
      </c>
      <c r="C9956">
        <v>119</v>
      </c>
      <c r="D9956">
        <v>129.36000000000001</v>
      </c>
      <c r="E9956">
        <v>129.35</v>
      </c>
      <c r="F9956">
        <v>0.01</v>
      </c>
    </row>
    <row r="9957" spans="1:6" x14ac:dyDescent="0.3">
      <c r="A9957" t="str">
        <f>HYPERLINK("https://us2.cloudbeds.com/connect/10074733072513#/reservations/31690106093715?display=MHJ1YSME2&amp;reservation_id=31690106093715", "MHJ1YSME2")</f>
        <v>MHJ1YSME2</v>
      </c>
      <c r="B9957" t="s">
        <v>1377</v>
      </c>
      <c r="C9957">
        <v>322.2</v>
      </c>
      <c r="D9957">
        <v>350.24</v>
      </c>
      <c r="E9957">
        <v>350.23</v>
      </c>
      <c r="F9957">
        <v>0.01</v>
      </c>
    </row>
    <row r="9958" spans="1:6" x14ac:dyDescent="0.3">
      <c r="A9958" t="str">
        <f>HYPERLINK("https://us2.cloudbeds.com/connect/10074733072513#/reservations/31689720086724?display=MHXZQCFCH&amp;reservation_id=31689720086724", "MHXZQCFCH")</f>
        <v>MHXZQCFCH</v>
      </c>
      <c r="B9958" t="s">
        <v>1543</v>
      </c>
      <c r="C9958">
        <v>129</v>
      </c>
      <c r="D9958">
        <v>140.22999999999999</v>
      </c>
      <c r="E9958">
        <v>140.22</v>
      </c>
      <c r="F9958">
        <v>0.01</v>
      </c>
    </row>
    <row r="9959" spans="1:6" x14ac:dyDescent="0.3">
      <c r="A9959" t="str">
        <f>HYPERLINK("https://us2.cloudbeds.com/connect/10074733072513#/reservations/31688222568642?display=MHHJHKQWN&amp;reservation_id=31688222568642", "MHHJHKQWN")</f>
        <v>MHHJHKQWN</v>
      </c>
      <c r="B9959" t="s">
        <v>1527</v>
      </c>
      <c r="C9959">
        <v>318</v>
      </c>
      <c r="D9959">
        <v>345.68</v>
      </c>
      <c r="E9959">
        <v>345.67</v>
      </c>
      <c r="F9959">
        <v>0.01</v>
      </c>
    </row>
    <row r="9960" spans="1:6" x14ac:dyDescent="0.3">
      <c r="A9960" t="str">
        <f>HYPERLINK("https://us2.cloudbeds.com/connect/10074733072513#/reservations/31690913759461?display=MHJM9U5JY&amp;reservation_id=31690913759461", "MHJM9U5JY")</f>
        <v>MHJM9U5JY</v>
      </c>
      <c r="B9960" t="s">
        <v>1543</v>
      </c>
      <c r="C9960">
        <v>129</v>
      </c>
      <c r="D9960">
        <v>140.22999999999999</v>
      </c>
      <c r="E9960">
        <v>140.22</v>
      </c>
      <c r="F9960">
        <v>0.01</v>
      </c>
    </row>
    <row r="9961" spans="1:6" x14ac:dyDescent="0.3">
      <c r="A9961" t="str">
        <f>HYPERLINK("https://us2.cloudbeds.com/connect/10074733072513#/reservations/31694672232693?display=MHMJB57GT&amp;reservation_id=31694672232693", "MHMJB57GT")</f>
        <v>MHMJB57GT</v>
      </c>
      <c r="B9961" t="s">
        <v>1535</v>
      </c>
      <c r="C9961">
        <v>119</v>
      </c>
      <c r="D9961">
        <v>129.36000000000001</v>
      </c>
      <c r="E9961">
        <v>129.35</v>
      </c>
      <c r="F9961">
        <v>0.01</v>
      </c>
    </row>
    <row r="9962" spans="1:6" x14ac:dyDescent="0.3">
      <c r="A9962" t="str">
        <f>HYPERLINK("https://us2.cloudbeds.com/connect/10074733072513#/reservations/31695193039059?display=MHMWYAE8W&amp;reservation_id=31695193039059", "MHMWYAE8W")</f>
        <v>MHMWYAE8W</v>
      </c>
      <c r="B9962" t="s">
        <v>1543</v>
      </c>
      <c r="C9962">
        <v>73</v>
      </c>
      <c r="D9962">
        <v>79.36</v>
      </c>
      <c r="E9962">
        <v>79.349999999999994</v>
      </c>
      <c r="F9962">
        <v>0.01</v>
      </c>
    </row>
    <row r="9963" spans="1:6" x14ac:dyDescent="0.3">
      <c r="A9963" t="str">
        <f>HYPERLINK("https://us2.cloudbeds.com/connect/10074733072513#/reservations/31695697297627?display=MHNCHH5KY&amp;reservation_id=31695697297627", "MHNCHH5KY")</f>
        <v>MHNCHH5KY</v>
      </c>
      <c r="B9963" t="s">
        <v>1527</v>
      </c>
      <c r="C9963">
        <v>179</v>
      </c>
      <c r="D9963">
        <v>194.58</v>
      </c>
      <c r="E9963">
        <v>194.57</v>
      </c>
      <c r="F9963">
        <v>0.01</v>
      </c>
    </row>
    <row r="9964" spans="1:6" x14ac:dyDescent="0.3">
      <c r="A9964" t="str">
        <f>HYPERLINK("https://us2.cloudbeds.com/connect/10074733072513#/reservations/31689729310877?display=MHXP154MA&amp;reservation_id=31689729310877", "MHXP154MA")</f>
        <v>MHXP154MA</v>
      </c>
      <c r="B9964" t="s">
        <v>1543</v>
      </c>
      <c r="C9964">
        <v>119</v>
      </c>
      <c r="D9964">
        <v>129.36000000000001</v>
      </c>
      <c r="E9964">
        <v>129.35</v>
      </c>
      <c r="F9964">
        <v>0.01</v>
      </c>
    </row>
    <row r="9965" spans="1:6" x14ac:dyDescent="0.3">
      <c r="A9965" t="str">
        <f>HYPERLINK("https://us2.cloudbeds.com/connect/10074733072513#/reservations/31695695212729?display=MHNCFP53U&amp;reservation_id=31695695212729", "MHNCFP53U")</f>
        <v>MHNCFP53U</v>
      </c>
      <c r="B9965" t="s">
        <v>1527</v>
      </c>
      <c r="C9965">
        <v>198</v>
      </c>
      <c r="D9965">
        <v>215.24</v>
      </c>
      <c r="E9965">
        <v>215.23</v>
      </c>
      <c r="F9965">
        <v>0.01</v>
      </c>
    </row>
    <row r="9966" spans="1:6" x14ac:dyDescent="0.3">
      <c r="A9966" t="str">
        <f>HYPERLINK("https://us2.cloudbeds.com/connect/10074733072513#/reservations/31692468879565?display=MHKT17MD9&amp;reservation_id=31692468879565", "MHKT17MD9")</f>
        <v>MHKT17MD9</v>
      </c>
      <c r="B9966" t="s">
        <v>1423</v>
      </c>
      <c r="C9966">
        <v>73</v>
      </c>
      <c r="D9966">
        <v>79.36</v>
      </c>
      <c r="E9966">
        <v>79.349999999999994</v>
      </c>
      <c r="F9966">
        <v>0.01</v>
      </c>
    </row>
    <row r="9967" spans="1:6" x14ac:dyDescent="0.3">
      <c r="A9967" t="str">
        <f>HYPERLINK("https://us2.cloudbeds.com/connect/10074733072513#/reservations/31691327463617?display=MHJWSP377&amp;reservation_id=31691327463617", "MHJWSP377")</f>
        <v>MHJWSP377</v>
      </c>
      <c r="B9967" t="s">
        <v>1377</v>
      </c>
      <c r="C9967">
        <v>250</v>
      </c>
      <c r="D9967">
        <v>271.76</v>
      </c>
      <c r="E9967">
        <v>271.75</v>
      </c>
      <c r="F9967">
        <v>0.01</v>
      </c>
    </row>
    <row r="9968" spans="1:6" x14ac:dyDescent="0.3">
      <c r="A9968" t="str">
        <f>HYPERLINK("https://us2.cloudbeds.com/connect/10074733072513#/reservations/31690287657152?display=MHJ69VRY7&amp;reservation_id=31690287657152", "MHJ69VRY7")</f>
        <v>MHJ69VRY7</v>
      </c>
      <c r="B9968" t="s">
        <v>1505</v>
      </c>
      <c r="C9968">
        <v>195.48</v>
      </c>
      <c r="D9968">
        <v>212.5</v>
      </c>
      <c r="E9968">
        <v>212.49</v>
      </c>
      <c r="F9968">
        <v>0.01</v>
      </c>
    </row>
    <row r="9969" spans="1:6" x14ac:dyDescent="0.3">
      <c r="A9969" t="str">
        <f>HYPERLINK("https://us2.cloudbeds.com/connect/10074733072513#/reservations/31688163049669?display=MHHX0EK9F&amp;reservation_id=31688163049669", "MHHX0EK9F")</f>
        <v>MHHX0EK9F</v>
      </c>
      <c r="B9969" t="s">
        <v>1423</v>
      </c>
      <c r="C9969">
        <v>119</v>
      </c>
      <c r="D9969">
        <v>129.36000000000001</v>
      </c>
      <c r="E9969">
        <v>129.35</v>
      </c>
      <c r="F9969">
        <v>0.01</v>
      </c>
    </row>
    <row r="9970" spans="1:6" x14ac:dyDescent="0.3">
      <c r="A9970" t="str">
        <f>HYPERLINK("https://us2.cloudbeds.com/connect/10074733072513#/reservations/31692950859937?display=MHY8BYG93&amp;reservation_id=31692950859937", "MHY8BYG93")</f>
        <v>MHY8BYG93</v>
      </c>
      <c r="B9970" t="s">
        <v>1518</v>
      </c>
      <c r="C9970">
        <v>308</v>
      </c>
      <c r="D9970">
        <v>334.81</v>
      </c>
      <c r="E9970">
        <v>334.8</v>
      </c>
      <c r="F9970">
        <v>0.01</v>
      </c>
    </row>
    <row r="9971" spans="1:6" x14ac:dyDescent="0.3">
      <c r="A9971" t="str">
        <f>HYPERLINK("https://us2.cloudbeds.com/connect/10074733072513#/reservations/31692978372835?display=MHY91S2Y9&amp;reservation_id=31692978372835", "MHY91S2Y9")</f>
        <v>MHY91S2Y9</v>
      </c>
      <c r="B9971" t="s">
        <v>1518</v>
      </c>
      <c r="C9971">
        <v>97.74</v>
      </c>
      <c r="D9971">
        <v>106.25</v>
      </c>
      <c r="E9971">
        <v>106.24</v>
      </c>
      <c r="F9971">
        <v>0.01</v>
      </c>
    </row>
    <row r="9972" spans="1:6" x14ac:dyDescent="0.3">
      <c r="A9972" t="str">
        <f>HYPERLINK("https://us2.cloudbeds.com/connect/10074733072513#/reservations/31692980867256?display=MHY93VG6Q&amp;reservation_id=31692980867256", "MHY93VG6Q")</f>
        <v>MHY93VG6Q</v>
      </c>
      <c r="B9972" t="s">
        <v>1518</v>
      </c>
      <c r="C9972">
        <v>89</v>
      </c>
      <c r="D9972">
        <v>96.75</v>
      </c>
      <c r="E9972">
        <v>96.74</v>
      </c>
      <c r="F9972">
        <v>0.01</v>
      </c>
    </row>
    <row r="9973" spans="1:6" x14ac:dyDescent="0.3">
      <c r="A9973" t="str">
        <f>HYPERLINK("https://us2.cloudbeds.com/connect/10074733072513#/reservations/31692986810602?display=MHY98VSR6&amp;reservation_id=31692986810602", "MHY98VSR6")</f>
        <v>MHY98VSR6</v>
      </c>
      <c r="B9973" t="s">
        <v>1518</v>
      </c>
      <c r="C9973">
        <v>149</v>
      </c>
      <c r="D9973">
        <v>161.97</v>
      </c>
      <c r="E9973">
        <v>161.96</v>
      </c>
      <c r="F9973">
        <v>0.01</v>
      </c>
    </row>
    <row r="9974" spans="1:6" x14ac:dyDescent="0.3">
      <c r="A9974" t="str">
        <f>HYPERLINK("https://us2.cloudbeds.com/connect/10074733072513#/reservations/31692998021251?display=MHY9XDR8R&amp;reservation_id=31692998021251", "MHY9XDR8R")</f>
        <v>MHY9XDR8R</v>
      </c>
      <c r="B9974" t="s">
        <v>1518</v>
      </c>
      <c r="C9974">
        <v>97.74</v>
      </c>
      <c r="D9974">
        <v>106.25</v>
      </c>
      <c r="E9974">
        <v>106.24</v>
      </c>
      <c r="F9974">
        <v>0.01</v>
      </c>
    </row>
    <row r="9975" spans="1:6" x14ac:dyDescent="0.3">
      <c r="A9975" t="str">
        <f>HYPERLINK("https://us2.cloudbeds.com/connect/10074733072513#/reservations/31695720493254?display=MHND42KXE&amp;reservation_id=31695720493254", "MHND42KXE")</f>
        <v>MHND42KXE</v>
      </c>
      <c r="B9975" t="s">
        <v>1457</v>
      </c>
      <c r="C9975">
        <v>322.2</v>
      </c>
      <c r="D9975">
        <v>350.24</v>
      </c>
      <c r="E9975">
        <v>350.23</v>
      </c>
      <c r="F9975">
        <v>0.01</v>
      </c>
    </row>
    <row r="9976" spans="1:6" x14ac:dyDescent="0.3">
      <c r="A9976" t="str">
        <f>HYPERLINK("https://us2.cloudbeds.com/connect/10074733072513#/reservations/31690894676207?display=MHJYQR4V7&amp;reservation_id=31690894676207", "MHJYQR4V7")</f>
        <v>MHJYQR4V7</v>
      </c>
      <c r="B9976" t="s">
        <v>1543</v>
      </c>
      <c r="C9976">
        <v>87.82</v>
      </c>
      <c r="D9976">
        <v>95.47</v>
      </c>
      <c r="E9976">
        <v>95.46</v>
      </c>
      <c r="F9976">
        <v>0.01</v>
      </c>
    </row>
    <row r="9977" spans="1:6" x14ac:dyDescent="0.3">
      <c r="A9977" t="str">
        <f>HYPERLINK("https://us2.cloudbeds.com/connect/10074733072513#/reservations/31689748508812?display=MHXPHBBKU&amp;reservation_id=31689748508812", "MHXPHBBKU")</f>
        <v>MHXPHBBKU</v>
      </c>
      <c r="B9977" t="s">
        <v>1543</v>
      </c>
      <c r="C9977">
        <v>119</v>
      </c>
      <c r="D9977">
        <v>129.36000000000001</v>
      </c>
      <c r="E9977">
        <v>129.35</v>
      </c>
      <c r="F9977">
        <v>0.01</v>
      </c>
    </row>
    <row r="9978" spans="1:6" x14ac:dyDescent="0.3">
      <c r="A9978" t="str">
        <f>HYPERLINK("https://us2.cloudbeds.com/connect/10074733072513#/reservations/31695210152146?display=MHN02ZKPC&amp;reservation_id=31695210152146", "MHN02ZKPC")</f>
        <v>MHN02ZKPC</v>
      </c>
      <c r="B9978" t="s">
        <v>1518</v>
      </c>
      <c r="C9978">
        <v>149</v>
      </c>
      <c r="D9978">
        <v>161.97</v>
      </c>
      <c r="E9978">
        <v>161.96</v>
      </c>
      <c r="F9978">
        <v>0.01</v>
      </c>
    </row>
    <row r="9979" spans="1:6" x14ac:dyDescent="0.3">
      <c r="A9979" t="str">
        <f>HYPERLINK("https://us2.cloudbeds.com/connect/10074733072513#/reservations/31691403329749?display=MHK1QZ62U&amp;reservation_id=31691403329749", "MHK1QZ62U")</f>
        <v>MHK1QZ62U</v>
      </c>
      <c r="B9979" t="s">
        <v>1544</v>
      </c>
      <c r="C9979">
        <v>656</v>
      </c>
      <c r="D9979">
        <v>713.08</v>
      </c>
      <c r="E9979">
        <v>713.07</v>
      </c>
      <c r="F9979">
        <v>0.01</v>
      </c>
    </row>
    <row r="9980" spans="1:6" x14ac:dyDescent="0.3">
      <c r="A9980" t="str">
        <f>HYPERLINK("https://us2.cloudbeds.com/connect/10074733072513#/reservations/31692414234839?display=MHKRY53JG&amp;reservation_id=31692414234839", "MHKRY53JG")</f>
        <v>MHKRY53JG</v>
      </c>
      <c r="B9980" t="s">
        <v>1518</v>
      </c>
      <c r="C9980">
        <v>149</v>
      </c>
      <c r="D9980">
        <v>161.97</v>
      </c>
      <c r="E9980">
        <v>161.96</v>
      </c>
      <c r="F9980">
        <v>0.01</v>
      </c>
    </row>
    <row r="9981" spans="1:6" x14ac:dyDescent="0.3">
      <c r="A9981" t="str">
        <f>HYPERLINK("https://us2.cloudbeds.com/connect/10074733072513#/reservations/31691256393913?display=MHJV1RFPR&amp;reservation_id=31691256393913", "MHJV1RFPR")</f>
        <v>MHJV1RFPR</v>
      </c>
      <c r="B9981" t="s">
        <v>1527</v>
      </c>
      <c r="C9981">
        <v>338</v>
      </c>
      <c r="D9981">
        <v>367.42</v>
      </c>
      <c r="E9981">
        <v>367.41</v>
      </c>
      <c r="F9981">
        <v>0.01</v>
      </c>
    </row>
    <row r="9982" spans="1:6" x14ac:dyDescent="0.3">
      <c r="A9982" t="str">
        <f>HYPERLINK("https://us2.cloudbeds.com/connect/10074733072513#/reservations/31692446269568?display=MHKS8F27B&amp;reservation_id=31692446269568", "MHKS8F27B")</f>
        <v>MHKS8F27B</v>
      </c>
      <c r="B9982" t="s">
        <v>1518</v>
      </c>
      <c r="C9982">
        <v>179</v>
      </c>
      <c r="D9982">
        <v>194.58</v>
      </c>
      <c r="E9982">
        <v>194.57</v>
      </c>
      <c r="F9982">
        <v>0.01</v>
      </c>
    </row>
    <row r="9983" spans="1:6" x14ac:dyDescent="0.3">
      <c r="A9983" t="str">
        <f>HYPERLINK("https://us2.cloudbeds.com/connect/10074733072513#/reservations/31692421886118?display=MHKRRK0XD&amp;reservation_id=31692421886118", "MHKRRK0XD")</f>
        <v>MHKRRK0XD</v>
      </c>
      <c r="B9983" t="s">
        <v>1518</v>
      </c>
      <c r="C9983">
        <v>179</v>
      </c>
      <c r="D9983">
        <v>194.58</v>
      </c>
      <c r="E9983">
        <v>194.57</v>
      </c>
      <c r="F9983">
        <v>0.01</v>
      </c>
    </row>
    <row r="9984" spans="1:6" x14ac:dyDescent="0.3">
      <c r="A9984" t="str">
        <f>HYPERLINK("https://us2.cloudbeds.com/connect/10074733072513#/reservations/31690228863118?display=MHJ4QCUB0&amp;reservation_id=31690228863118", "MHJ4QCUB0")</f>
        <v>MHJ4QCUB0</v>
      </c>
      <c r="B9984" t="s">
        <v>1520</v>
      </c>
      <c r="C9984">
        <v>322.2</v>
      </c>
      <c r="D9984">
        <v>350.24</v>
      </c>
      <c r="E9984">
        <v>350.23</v>
      </c>
      <c r="F9984">
        <v>0.01</v>
      </c>
    </row>
    <row r="9985" spans="1:6" x14ac:dyDescent="0.3">
      <c r="A9985" t="str">
        <f>HYPERLINK("https://us2.cloudbeds.com/connect/10074733072513#/reservations/31692446273671?display=MHKSF5Y06&amp;reservation_id=31692446273671", "MHKSF5Y06")</f>
        <v>MHKSF5Y06</v>
      </c>
      <c r="B9985" t="s">
        <v>1518</v>
      </c>
      <c r="C9985">
        <v>149</v>
      </c>
      <c r="D9985">
        <v>161.97</v>
      </c>
      <c r="E9985">
        <v>161.96</v>
      </c>
      <c r="F9985">
        <v>0.01</v>
      </c>
    </row>
    <row r="9986" spans="1:6" x14ac:dyDescent="0.3">
      <c r="A9986" t="str">
        <f>HYPERLINK("https://us2.cloudbeds.com/connect/10074733072513#/reservations/31692430950543?display=MHKS2885V&amp;reservation_id=31692430950543", "MHKS2885V")</f>
        <v>MHKS2885V</v>
      </c>
      <c r="B9986" t="s">
        <v>1518</v>
      </c>
      <c r="C9986">
        <v>149</v>
      </c>
      <c r="D9986">
        <v>161.97</v>
      </c>
      <c r="E9986">
        <v>161.96</v>
      </c>
      <c r="F9986">
        <v>0.01</v>
      </c>
    </row>
    <row r="9987" spans="1:6" x14ac:dyDescent="0.3">
      <c r="A9987" t="str">
        <f>HYPERLINK("https://us2.cloudbeds.com/connect/10074733072513#/reservations/31688172769424?display=MHHX8Y2MF&amp;reservation_id=31688172769424", "MHHX8Y2MF")</f>
        <v>MHHX8Y2MF</v>
      </c>
      <c r="B9987" t="s">
        <v>1423</v>
      </c>
      <c r="C9987">
        <v>149</v>
      </c>
      <c r="D9987">
        <v>161.97</v>
      </c>
      <c r="E9987">
        <v>161.96</v>
      </c>
      <c r="F9987">
        <v>0.01</v>
      </c>
    </row>
    <row r="9988" spans="1:6" x14ac:dyDescent="0.3">
      <c r="A9988" t="str">
        <f>HYPERLINK("https://us2.cloudbeds.com/connect/10074733072513#/reservations/31695732084896?display=MHNDDS5S9&amp;reservation_id=31695732084896", "MHNDDS5S9")</f>
        <v>MHNDDS5S9</v>
      </c>
      <c r="B9988" t="s">
        <v>1457</v>
      </c>
      <c r="C9988">
        <v>199</v>
      </c>
      <c r="D9988">
        <v>216.32</v>
      </c>
      <c r="E9988">
        <v>216.31</v>
      </c>
      <c r="F9988">
        <v>0.01</v>
      </c>
    </row>
    <row r="9989" spans="1:6" x14ac:dyDescent="0.3">
      <c r="A9989" t="str">
        <f>HYPERLINK("https://us2.cloudbeds.com/connect/10074733072513#/reservations/31692424634619?display=MHKRTUGEB&amp;reservation_id=31692424634619", "MHKRTUGEB")</f>
        <v>MHKRTUGEB</v>
      </c>
      <c r="B9989" t="s">
        <v>1518</v>
      </c>
      <c r="C9989">
        <v>169</v>
      </c>
      <c r="D9989">
        <v>183.71</v>
      </c>
      <c r="E9989">
        <v>183.7</v>
      </c>
      <c r="F9989">
        <v>0.01</v>
      </c>
    </row>
    <row r="9990" spans="1:6" x14ac:dyDescent="0.3">
      <c r="A9990" t="str">
        <f>HYPERLINK("https://us2.cloudbeds.com/connect/10074733072513#/reservations/31691735113870?display=MHKA9GXN6&amp;reservation_id=31691735113870", "MHKA9GXN6")</f>
        <v>MHKA9GXN6</v>
      </c>
      <c r="B9990" t="s">
        <v>1545</v>
      </c>
      <c r="C9990">
        <v>73</v>
      </c>
      <c r="D9990">
        <v>79.36</v>
      </c>
      <c r="E9990">
        <v>79.349999999999994</v>
      </c>
      <c r="F9990">
        <v>0.01</v>
      </c>
    </row>
    <row r="9991" spans="1:6" x14ac:dyDescent="0.3">
      <c r="A9991" t="str">
        <f>HYPERLINK("https://us2.cloudbeds.com/connect/10074733072513#/reservations/31691403944167?display=MHK1R899Y&amp;reservation_id=31691403944167", "MHK1R899Y")</f>
        <v>MHK1R899Y</v>
      </c>
      <c r="B9991" t="s">
        <v>1377</v>
      </c>
      <c r="C9991">
        <v>219</v>
      </c>
      <c r="D9991">
        <v>238.06</v>
      </c>
      <c r="E9991">
        <v>238.05</v>
      </c>
      <c r="F9991">
        <v>0.01</v>
      </c>
    </row>
    <row r="9992" spans="1:6" x14ac:dyDescent="0.3">
      <c r="A9992" t="str">
        <f>HYPERLINK("https://us2.cloudbeds.com/connect/10074733072513#/reservations/31691051835619?display=MHJPRBB9Y&amp;reservation_id=31691051835619", "MHJPRBB9Y")</f>
        <v>MHJPRBB9Y</v>
      </c>
      <c r="B9992" t="s">
        <v>1423</v>
      </c>
      <c r="C9992">
        <v>139</v>
      </c>
      <c r="D9992">
        <v>151.1</v>
      </c>
      <c r="E9992">
        <v>151.09</v>
      </c>
      <c r="F9992">
        <v>0.01</v>
      </c>
    </row>
    <row r="9993" spans="1:6" x14ac:dyDescent="0.3">
      <c r="A9993" t="str">
        <f>HYPERLINK("https://us2.cloudbeds.com/connect/10074733072513#/reservations/31692468875463?display=MHKT17XKW&amp;reservation_id=31692468875463", "MHKT17XKW")</f>
        <v>MHKT17XKW</v>
      </c>
      <c r="B9993" t="s">
        <v>1423</v>
      </c>
      <c r="C9993">
        <v>139</v>
      </c>
      <c r="D9993">
        <v>151.1</v>
      </c>
      <c r="E9993">
        <v>151.09</v>
      </c>
      <c r="F9993">
        <v>0.01</v>
      </c>
    </row>
    <row r="9994" spans="1:6" x14ac:dyDescent="0.3">
      <c r="A9994" t="str">
        <f>HYPERLINK("https://us2.cloudbeds.com/connect/10074733072513#/reservations/31694372081806?display=MHMBM22SF&amp;reservation_id=31694372081806", "MHMBM22SF")</f>
        <v>MHMBM22SF</v>
      </c>
      <c r="B9994" t="s">
        <v>1538</v>
      </c>
      <c r="C9994">
        <v>258</v>
      </c>
      <c r="D9994">
        <v>280.45999999999998</v>
      </c>
      <c r="E9994">
        <v>280.45</v>
      </c>
      <c r="F9994">
        <v>0.01</v>
      </c>
    </row>
    <row r="9995" spans="1:6" x14ac:dyDescent="0.3">
      <c r="A9995" t="str">
        <f>HYPERLINK("https://us2.cloudbeds.com/connect/10074733072513#/reservations/31690182791318?display=MHJ3KHTQS&amp;reservation_id=31690182791318", "MHJ3KHTQS")</f>
        <v>MHJ3KHTQS</v>
      </c>
      <c r="B9995" t="s">
        <v>1546</v>
      </c>
      <c r="C9995">
        <v>97.74</v>
      </c>
      <c r="D9995">
        <v>106.25</v>
      </c>
      <c r="E9995">
        <v>106.24</v>
      </c>
      <c r="F9995">
        <v>0.01</v>
      </c>
    </row>
    <row r="9996" spans="1:6" x14ac:dyDescent="0.3">
      <c r="A9996" t="str">
        <f>HYPERLINK("https://us2.cloudbeds.com/connect/10074733072513#/reservations/31691450536071?display=MHK30HPDH&amp;reservation_id=31691450536071", "MHK30HPDH")</f>
        <v>MHK30HPDH</v>
      </c>
      <c r="B9996" t="s">
        <v>1377</v>
      </c>
      <c r="C9996">
        <v>189</v>
      </c>
      <c r="D9996">
        <v>205.45</v>
      </c>
      <c r="E9996">
        <v>205.44</v>
      </c>
      <c r="F9996">
        <v>0.01</v>
      </c>
    </row>
    <row r="9997" spans="1:6" x14ac:dyDescent="0.3">
      <c r="A9997" t="str">
        <f>HYPERLINK("https://us2.cloudbeds.com/connect/10074733072513#/reservations/31690811777169?display=MHJJMUBV5&amp;reservation_id=31690811777169", "MHJJMUBV5")</f>
        <v>MHJJMUBV5</v>
      </c>
      <c r="B9997" t="s">
        <v>1423</v>
      </c>
      <c r="C9997">
        <v>79</v>
      </c>
      <c r="D9997">
        <v>85.88</v>
      </c>
      <c r="E9997">
        <v>85.87</v>
      </c>
      <c r="F9997">
        <v>0.01</v>
      </c>
    </row>
    <row r="9998" spans="1:6" x14ac:dyDescent="0.3">
      <c r="A9998" t="str">
        <f>HYPERLINK("https://us2.cloudbeds.com/connect/10074733072513#/reservations/31691852955803?display=MHKD9SMRS&amp;reservation_id=31691852955803", "MHKD9SMRS")</f>
        <v>MHKD9SMRS</v>
      </c>
      <c r="B9998" t="s">
        <v>1377</v>
      </c>
      <c r="C9998">
        <v>179</v>
      </c>
      <c r="D9998">
        <v>194.58</v>
      </c>
      <c r="E9998">
        <v>194.57</v>
      </c>
      <c r="F9998">
        <v>0.01</v>
      </c>
    </row>
    <row r="9999" spans="1:6" x14ac:dyDescent="0.3">
      <c r="A9999" t="str">
        <f>HYPERLINK("https://us2.cloudbeds.com/connect/10074733072513#/reservations/31695740747927?display=MHNDY57TD&amp;reservation_id=31695740747927", "MHNDY57TD")</f>
        <v>MHNDY57TD</v>
      </c>
      <c r="B9999" t="s">
        <v>1527</v>
      </c>
      <c r="C9999">
        <v>153</v>
      </c>
      <c r="D9999">
        <v>166.32</v>
      </c>
      <c r="E9999">
        <v>166.31</v>
      </c>
      <c r="F9999">
        <v>0.01</v>
      </c>
    </row>
    <row r="10000" spans="1:6" x14ac:dyDescent="0.3">
      <c r="A10000" t="str">
        <f>HYPERLINK("https://us2.cloudbeds.com/connect/10074733072513#/reservations/31690178543866?display=MHJ3GVNG6&amp;reservation_id=31690178543866", "MHJ3GVNG6")</f>
        <v>MHJ3GVNG6</v>
      </c>
      <c r="B10000" t="s">
        <v>1377</v>
      </c>
      <c r="C10000">
        <v>418</v>
      </c>
      <c r="D10000">
        <v>454.38</v>
      </c>
      <c r="E10000">
        <v>454.37</v>
      </c>
      <c r="F10000">
        <v>0.01</v>
      </c>
    </row>
    <row r="10001" spans="1:6" x14ac:dyDescent="0.3">
      <c r="A10001" t="str">
        <f>HYPERLINK("https://us2.cloudbeds.com/connect/10074733072513#/reservations/31733979328764?display=MXK0NV3U8&amp;reservation_id=31733979328764", "MXK0NV3U8")</f>
        <v>MXK0NV3U8</v>
      </c>
      <c r="B10001" t="s">
        <v>1344</v>
      </c>
      <c r="C10001">
        <v>159</v>
      </c>
      <c r="D10001">
        <v>172.84</v>
      </c>
      <c r="E10001">
        <v>172.83</v>
      </c>
      <c r="F10001">
        <v>0.01</v>
      </c>
    </row>
    <row r="10002" spans="1:6" x14ac:dyDescent="0.3">
      <c r="A10002" t="str">
        <f>HYPERLINK("https://us2.cloudbeds.com/connect/10074733072513#/reservations/31689997795542?display=MHXVTX428&amp;reservation_id=31689997795542", "MHXVTX428")</f>
        <v>MHXVTX428</v>
      </c>
      <c r="B10002" t="s">
        <v>1469</v>
      </c>
      <c r="C10002">
        <v>258</v>
      </c>
      <c r="D10002">
        <v>280.45999999999998</v>
      </c>
      <c r="E10002">
        <v>280.45</v>
      </c>
      <c r="F10002">
        <v>0.01</v>
      </c>
    </row>
    <row r="10003" spans="1:6" x14ac:dyDescent="0.3">
      <c r="A10003" t="str">
        <f>HYPERLINK("https://us2.cloudbeds.com/connect/10074733072513#/reservations/31693678940407?display=MHYQVJDCJ&amp;reservation_id=31693678940407", "MHYQVJDCJ")</f>
        <v>MHYQVJDCJ</v>
      </c>
      <c r="B10003" t="s">
        <v>1469</v>
      </c>
      <c r="C10003">
        <v>338</v>
      </c>
      <c r="D10003">
        <v>367.42</v>
      </c>
      <c r="E10003">
        <v>367.41</v>
      </c>
      <c r="F10003">
        <v>0.01</v>
      </c>
    </row>
    <row r="10004" spans="1:6" x14ac:dyDescent="0.3">
      <c r="A10004" t="str">
        <f>HYPERLINK("https://us2.cloudbeds.com/connect/10074733072513#/reservations/31736008593561?display=MXYJJ2D9T&amp;reservation_id=31736008593561", "MXYJJ2D9T")</f>
        <v>MXYJJ2D9T</v>
      </c>
      <c r="B10004" t="s">
        <v>1322</v>
      </c>
      <c r="C10004">
        <v>318</v>
      </c>
      <c r="D10004">
        <v>345.68</v>
      </c>
      <c r="E10004">
        <v>345.67</v>
      </c>
      <c r="F10004">
        <v>0.01</v>
      </c>
    </row>
    <row r="10005" spans="1:6" x14ac:dyDescent="0.3">
      <c r="A10005" t="str">
        <f>HYPERLINK("https://us2.cloudbeds.com/connect/10074733072513#/reservations/31695424266427?display=MHN5X9M8U&amp;reservation_id=31695424266427", "MHN5X9M8U")</f>
        <v>MHN5X9M8U</v>
      </c>
      <c r="B10005" t="s">
        <v>1491</v>
      </c>
      <c r="C10005">
        <v>321.3</v>
      </c>
      <c r="D10005">
        <v>349.26</v>
      </c>
      <c r="E10005">
        <v>349.25</v>
      </c>
      <c r="F10005">
        <v>0.01</v>
      </c>
    </row>
    <row r="10006" spans="1:6" x14ac:dyDescent="0.3">
      <c r="A10006" t="str">
        <f>HYPERLINK("https://us2.cloudbeds.com/connect/10074733072513#/reservations/31735988682900?display=MXYJ29BSH&amp;reservation_id=31735988682900", "MXYJ29BSH")</f>
        <v>MXYJ29BSH</v>
      </c>
      <c r="B10006" t="s">
        <v>1322</v>
      </c>
      <c r="C10006">
        <v>318</v>
      </c>
      <c r="D10006">
        <v>345.68</v>
      </c>
      <c r="E10006">
        <v>345.67</v>
      </c>
      <c r="F10006">
        <v>0.01</v>
      </c>
    </row>
    <row r="10007" spans="1:6" x14ac:dyDescent="0.3">
      <c r="A10007" t="str">
        <f>HYPERLINK("https://us2.cloudbeds.com/connect/10074733072513#/reservations/31735998284022?display=MXYJACHAK&amp;reservation_id=31735998284022", "MXYJACHAK")</f>
        <v>MXYJACHAK</v>
      </c>
      <c r="B10007" t="s">
        <v>1322</v>
      </c>
      <c r="C10007">
        <v>318</v>
      </c>
      <c r="D10007">
        <v>345.68</v>
      </c>
      <c r="E10007">
        <v>345.67</v>
      </c>
      <c r="F10007">
        <v>0.01</v>
      </c>
    </row>
    <row r="10008" spans="1:6" x14ac:dyDescent="0.3">
      <c r="A10008" t="str">
        <f>HYPERLINK("https://us2.cloudbeds.com/connect/10074733072513#/reservations/31691708747976?display=MHK9K8TJN&amp;reservation_id=31691708747976", "MHK9K8TJN")</f>
        <v>MHK9K8TJN</v>
      </c>
      <c r="B10008" t="s">
        <v>1545</v>
      </c>
      <c r="C10008">
        <v>321.3</v>
      </c>
      <c r="D10008">
        <v>349.26</v>
      </c>
      <c r="E10008">
        <v>349.25</v>
      </c>
      <c r="F10008">
        <v>0.01</v>
      </c>
    </row>
    <row r="10009" spans="1:6" x14ac:dyDescent="0.3">
      <c r="A10009" t="str">
        <f>HYPERLINK("https://us2.cloudbeds.com/connect/10074733072513#/reservations/31691695726761?display=MHK999XXE&amp;reservation_id=31691695726761", "MHK999XXE")</f>
        <v>MHK999XXE</v>
      </c>
      <c r="B10009" t="s">
        <v>1545</v>
      </c>
      <c r="C10009">
        <v>225</v>
      </c>
      <c r="D10009">
        <v>244.59</v>
      </c>
      <c r="E10009">
        <v>244.58</v>
      </c>
      <c r="F10009">
        <v>0.01</v>
      </c>
    </row>
    <row r="10010" spans="1:6" x14ac:dyDescent="0.3">
      <c r="A10010" t="str">
        <f>HYPERLINK("https://us2.cloudbeds.com/connect/10074733072513#/reservations/31695359914190?display=MHN3U0WA4&amp;reservation_id=31695359914190", "MHN3U0WA4")</f>
        <v>MHN3U0WA4</v>
      </c>
      <c r="B10010" t="s">
        <v>1505</v>
      </c>
      <c r="C10010">
        <v>139</v>
      </c>
      <c r="D10010">
        <v>151.1</v>
      </c>
      <c r="E10010">
        <v>151.09</v>
      </c>
      <c r="F10010">
        <v>0.01</v>
      </c>
    </row>
    <row r="10011" spans="1:6" x14ac:dyDescent="0.3">
      <c r="A10011" t="str">
        <f>HYPERLINK("https://us2.cloudbeds.com/connect/10074733072513#/reservations/31731815112926?display=MXXBE0KX4&amp;reservation_id=31731815112926", "MXXBE0KX4")</f>
        <v>MXXBE0KX4</v>
      </c>
      <c r="B10011" t="s">
        <v>1344</v>
      </c>
      <c r="C10011">
        <v>189</v>
      </c>
      <c r="D10011">
        <v>205.45</v>
      </c>
      <c r="E10011">
        <v>205.44</v>
      </c>
      <c r="F10011">
        <v>0.01</v>
      </c>
    </row>
    <row r="10012" spans="1:6" x14ac:dyDescent="0.3">
      <c r="A10012" t="str">
        <f>HYPERLINK("https://us2.cloudbeds.com/connect/10074733072513#/reservations/31731812171905?display=MXXBBHPT9&amp;reservation_id=31731812171905", "MXXBBHPT9")</f>
        <v>MXXBBHPT9</v>
      </c>
      <c r="B10012" t="s">
        <v>1344</v>
      </c>
      <c r="C10012">
        <v>159</v>
      </c>
      <c r="D10012">
        <v>172.84</v>
      </c>
      <c r="E10012">
        <v>172.83</v>
      </c>
      <c r="F10012">
        <v>0.01</v>
      </c>
    </row>
    <row r="10013" spans="1:6" x14ac:dyDescent="0.3">
      <c r="A10013" t="str">
        <f>HYPERLINK("https://us2.cloudbeds.com/connect/10074733072513#/reservations/31691008250046?display=MHJZNJGQN&amp;reservation_id=31691008250046", "MHJZNJGQN")</f>
        <v>MHJZNJGQN</v>
      </c>
      <c r="B10013" t="s">
        <v>1548</v>
      </c>
      <c r="C10013">
        <v>119</v>
      </c>
      <c r="D10013">
        <v>129.36000000000001</v>
      </c>
      <c r="E10013">
        <v>129.35</v>
      </c>
      <c r="F10013">
        <v>0.01</v>
      </c>
    </row>
    <row r="10014" spans="1:6" x14ac:dyDescent="0.3">
      <c r="A10014" t="str">
        <f>HYPERLINK("https://us2.cloudbeds.com/connect/10074733072513#/reservations/31690228244680?display=MHJ4PSNEF&amp;reservation_id=31690228244680", "MHJ4PSNEF")</f>
        <v>MHJ4PSNEF</v>
      </c>
      <c r="B10014" t="s">
        <v>1549</v>
      </c>
      <c r="C10014">
        <v>119</v>
      </c>
      <c r="D10014">
        <v>129.36000000000001</v>
      </c>
      <c r="E10014">
        <v>129.35</v>
      </c>
      <c r="F10014">
        <v>0.01</v>
      </c>
    </row>
    <row r="10015" spans="1:6" x14ac:dyDescent="0.3">
      <c r="A10015" t="str">
        <f>HYPERLINK("https://us2.cloudbeds.com/connect/10074733072513#/reservations/31690203578501?display=MHJ452B4G&amp;reservation_id=31690203578501", "MHJ452B4G")</f>
        <v>MHJ452B4G</v>
      </c>
      <c r="B10015" t="s">
        <v>1549</v>
      </c>
      <c r="C10015">
        <v>129</v>
      </c>
      <c r="D10015">
        <v>140.22999999999999</v>
      </c>
      <c r="E10015">
        <v>140.22</v>
      </c>
      <c r="F10015">
        <v>0.01</v>
      </c>
    </row>
    <row r="10016" spans="1:6" x14ac:dyDescent="0.3">
      <c r="A10016" t="str">
        <f>HYPERLINK("https://us2.cloudbeds.com/connect/10074733072513#/reservations/31696038715625?display=MHNY8DKPJ&amp;reservation_id=31696038715625", "MHNY8DKPJ")</f>
        <v>MHNY8DKPJ</v>
      </c>
      <c r="B10016" t="s">
        <v>1540</v>
      </c>
      <c r="C10016">
        <v>189</v>
      </c>
      <c r="D10016">
        <v>205.45</v>
      </c>
      <c r="E10016">
        <v>205.44</v>
      </c>
      <c r="F10016">
        <v>0.01</v>
      </c>
    </row>
    <row r="10017" spans="1:6" x14ac:dyDescent="0.3">
      <c r="A10017" t="str">
        <f>HYPERLINK("https://us2.cloudbeds.com/connect/10074733072513#/reservations/31695297859800?display=MHN2AN7D2&amp;reservation_id=31695297859800", "MHN2AN7D2")</f>
        <v>MHN2AN7D2</v>
      </c>
      <c r="B10017" t="s">
        <v>1505</v>
      </c>
      <c r="C10017">
        <v>139</v>
      </c>
      <c r="D10017">
        <v>151.1</v>
      </c>
      <c r="E10017">
        <v>151.09</v>
      </c>
      <c r="F10017">
        <v>0.01</v>
      </c>
    </row>
    <row r="10018" spans="1:6" x14ac:dyDescent="0.3">
      <c r="A10018" t="str">
        <f>HYPERLINK("https://us2.cloudbeds.com/connect/10074733072513#/reservations/31695322046673?display=MHN2V38XK&amp;reservation_id=31695322046673", "MHN2V38XK")</f>
        <v>MHN2V38XK</v>
      </c>
      <c r="B10018" t="s">
        <v>1305</v>
      </c>
      <c r="C10018">
        <v>258</v>
      </c>
      <c r="D10018">
        <v>280.45999999999998</v>
      </c>
      <c r="E10018">
        <v>280.45</v>
      </c>
      <c r="F10018">
        <v>0.01</v>
      </c>
    </row>
    <row r="10019" spans="1:6" x14ac:dyDescent="0.3">
      <c r="A10019" t="str">
        <f>HYPERLINK("https://us2.cloudbeds.com/connect/10074733072513#/reservations/31695750090975?display=MHNDT17C2&amp;reservation_id=31695750090975", "MHNDT17C2")</f>
        <v>MHNDT17C2</v>
      </c>
      <c r="B10019" t="s">
        <v>1305</v>
      </c>
      <c r="C10019">
        <v>159</v>
      </c>
      <c r="D10019">
        <v>172.84</v>
      </c>
      <c r="E10019">
        <v>172.83</v>
      </c>
      <c r="F10019">
        <v>0.01</v>
      </c>
    </row>
    <row r="10020" spans="1:6" x14ac:dyDescent="0.3">
      <c r="A10020" t="str">
        <f>HYPERLINK("https://us2.cloudbeds.com/connect/10074733072513#/reservations/31692546728141?display=MHKV0SUN1&amp;reservation_id=31692546728141", "MHKV0SUN1")</f>
        <v>MHKV0SUN1</v>
      </c>
      <c r="B10020" t="s">
        <v>1550</v>
      </c>
      <c r="C10020">
        <v>428.4</v>
      </c>
      <c r="D10020">
        <v>465.68</v>
      </c>
      <c r="E10020">
        <v>465.67</v>
      </c>
      <c r="F10020">
        <v>0.01</v>
      </c>
    </row>
    <row r="10021" spans="1:6" x14ac:dyDescent="0.3">
      <c r="A10021" t="str">
        <f>HYPERLINK("https://us2.cloudbeds.com/connect/10074733072513#/reservations/31736022687891?display=MXYJUVJZQ&amp;reservation_id=31736022687891", "MXYJUVJZQ")</f>
        <v>MXYJUVJZQ</v>
      </c>
      <c r="B10021" t="s">
        <v>1322</v>
      </c>
      <c r="C10021">
        <v>318</v>
      </c>
      <c r="D10021">
        <v>345.68</v>
      </c>
      <c r="E10021">
        <v>345.67</v>
      </c>
      <c r="F10021">
        <v>0.01</v>
      </c>
    </row>
    <row r="10022" spans="1:6" x14ac:dyDescent="0.3">
      <c r="A10022" t="str">
        <f>HYPERLINK("https://us2.cloudbeds.com/connect/10074733072513#/reservations/31694400106687?display=MHMCCMUC9&amp;reservation_id=31694400106687", "MHMCCMUC9")</f>
        <v>MHMCCMUC9</v>
      </c>
      <c r="B10022" t="s">
        <v>1505</v>
      </c>
      <c r="C10022">
        <v>159</v>
      </c>
      <c r="D10022">
        <v>172.84</v>
      </c>
      <c r="E10022">
        <v>172.83</v>
      </c>
      <c r="F10022">
        <v>0.01</v>
      </c>
    </row>
    <row r="10023" spans="1:6" x14ac:dyDescent="0.3">
      <c r="A10023" t="str">
        <f>HYPERLINK("https://us2.cloudbeds.com/connect/10074733072513#/reservations/31694461526257?display=MHMDVG0BC&amp;reservation_id=31694461526257", "MHMDVG0BC")</f>
        <v>MHMDVG0BC</v>
      </c>
      <c r="B10023" t="s">
        <v>1315</v>
      </c>
      <c r="C10023">
        <v>139</v>
      </c>
      <c r="D10023">
        <v>151.1</v>
      </c>
      <c r="E10023">
        <v>151.09</v>
      </c>
      <c r="F10023">
        <v>0.01</v>
      </c>
    </row>
    <row r="10024" spans="1:6" x14ac:dyDescent="0.3">
      <c r="A10024" t="str">
        <f>HYPERLINK("https://us2.cloudbeds.com/connect/10074733072513#/reservations/31694359482514?display=MHMBBEG8Z&amp;reservation_id=31694359482514", "MHMBBEG8Z")</f>
        <v>MHMBBEG8Z</v>
      </c>
      <c r="B10024" t="s">
        <v>1538</v>
      </c>
      <c r="C10024">
        <v>139</v>
      </c>
      <c r="D10024">
        <v>151.1</v>
      </c>
      <c r="E10024">
        <v>151.09</v>
      </c>
      <c r="F10024">
        <v>0.01</v>
      </c>
    </row>
    <row r="10025" spans="1:6" x14ac:dyDescent="0.3">
      <c r="A10025" t="str">
        <f>HYPERLINK("https://us2.cloudbeds.com/connect/10074733072513#/reservations/31691728376042?display=MHKA3R2HJ&amp;reservation_id=31691728376042", "MHKA3R2HJ")</f>
        <v>MHKA3R2HJ</v>
      </c>
      <c r="B10025" t="s">
        <v>1545</v>
      </c>
      <c r="C10025">
        <v>238</v>
      </c>
      <c r="D10025">
        <v>258.72000000000003</v>
      </c>
      <c r="E10025">
        <v>258.70999999999998</v>
      </c>
      <c r="F10025">
        <v>0.01</v>
      </c>
    </row>
    <row r="10026" spans="1:6" x14ac:dyDescent="0.3">
      <c r="A10026" t="str">
        <f>HYPERLINK("https://us2.cloudbeds.com/connect/10074733072513#/reservations/31694452318397?display=MHMDNNQ0A&amp;reservation_id=31694452318397", "MHMDNNQ0A")</f>
        <v>MHMDNNQ0A</v>
      </c>
      <c r="B10026" t="s">
        <v>1315</v>
      </c>
      <c r="C10026">
        <v>169</v>
      </c>
      <c r="D10026">
        <v>183.71</v>
      </c>
      <c r="E10026">
        <v>183.7</v>
      </c>
      <c r="F10026">
        <v>0.01</v>
      </c>
    </row>
    <row r="10027" spans="1:6" x14ac:dyDescent="0.3">
      <c r="A10027" t="str">
        <f>HYPERLINK("https://us2.cloudbeds.com/connect/10074733072513#/reservations/31692174700781?display=MHKYH5NPM&amp;reservation_id=31692174700781", "MHKYH5NPM")</f>
        <v>MHKYH5NPM</v>
      </c>
      <c r="B10027" t="s">
        <v>1453</v>
      </c>
      <c r="C10027">
        <v>322.2</v>
      </c>
      <c r="D10027">
        <v>350.24</v>
      </c>
      <c r="E10027">
        <v>350.23</v>
      </c>
      <c r="F10027">
        <v>0.01</v>
      </c>
    </row>
    <row r="10028" spans="1:6" x14ac:dyDescent="0.3">
      <c r="A10028" t="str">
        <f>HYPERLINK("https://us2.cloudbeds.com/connect/10074733072513#/reservations/31695647600817?display=MHNB8K9BN&amp;reservation_id=31695647600817", "MHNB8K9BN")</f>
        <v>MHNB8K9BN</v>
      </c>
      <c r="B10028" t="s">
        <v>1491</v>
      </c>
      <c r="C10028">
        <v>87.82</v>
      </c>
      <c r="D10028">
        <v>95.47</v>
      </c>
      <c r="E10028">
        <v>95.46</v>
      </c>
      <c r="F10028">
        <v>0.01</v>
      </c>
    </row>
    <row r="10029" spans="1:6" x14ac:dyDescent="0.3">
      <c r="A10029" t="str">
        <f>HYPERLINK("https://us2.cloudbeds.com/connect/10074733072513#/reservations/31695454683285?display=MHN6AV28T&amp;reservation_id=31695454683285", "MHN6AV28T")</f>
        <v>MHN6AV28T</v>
      </c>
      <c r="B10029" t="s">
        <v>1491</v>
      </c>
      <c r="C10029">
        <v>119</v>
      </c>
      <c r="D10029">
        <v>129.36000000000001</v>
      </c>
      <c r="E10029">
        <v>129.35</v>
      </c>
      <c r="F10029">
        <v>0.01</v>
      </c>
    </row>
    <row r="10030" spans="1:6" x14ac:dyDescent="0.3">
      <c r="A10030" t="str">
        <f>HYPERLINK("https://us2.cloudbeds.com/connect/10074733072513#/reservations/31691231883402?display=MHJUE5EE2&amp;reservation_id=31691231883402", "MHJUE5EE2")</f>
        <v>MHJUE5EE2</v>
      </c>
      <c r="B10030" t="s">
        <v>1305</v>
      </c>
      <c r="C10030">
        <v>169</v>
      </c>
      <c r="D10030">
        <v>183.71</v>
      </c>
      <c r="E10030">
        <v>183.7</v>
      </c>
      <c r="F10030">
        <v>0.01</v>
      </c>
    </row>
    <row r="10031" spans="1:6" x14ac:dyDescent="0.3">
      <c r="A10031" t="str">
        <f>HYPERLINK("https://us2.cloudbeds.com/connect/10074733072513#/reservations/31692147257549?display=MHKKR12CJ&amp;reservation_id=31692147257549", "MHKKR12CJ")</f>
        <v>MHKKR12CJ</v>
      </c>
      <c r="B10031" t="s">
        <v>1521</v>
      </c>
      <c r="C10031">
        <v>198</v>
      </c>
      <c r="D10031">
        <v>215.24</v>
      </c>
      <c r="E10031">
        <v>215.23</v>
      </c>
      <c r="F10031">
        <v>0.01</v>
      </c>
    </row>
    <row r="10032" spans="1:6" x14ac:dyDescent="0.3">
      <c r="A10032" t="str">
        <f>HYPERLINK("https://us2.cloudbeds.com/connect/10074733072513#/reservations/31695479836824?display=MHN6W503B&amp;reservation_id=31695479836824", "MHN6W503B")</f>
        <v>MHN6W503B</v>
      </c>
      <c r="B10032" t="s">
        <v>1491</v>
      </c>
      <c r="C10032">
        <v>119</v>
      </c>
      <c r="D10032">
        <v>129.36000000000001</v>
      </c>
      <c r="E10032">
        <v>129.35</v>
      </c>
      <c r="F10032">
        <v>0.01</v>
      </c>
    </row>
    <row r="10033" spans="1:6" x14ac:dyDescent="0.3">
      <c r="A10033" t="str">
        <f>HYPERLINK("https://us2.cloudbeds.com/connect/10074733072513#/reservations/31695443124456?display=MHN616E3B&amp;reservation_id=31695443124456", "MHN616E3B")</f>
        <v>MHN616E3B</v>
      </c>
      <c r="B10033" t="s">
        <v>1491</v>
      </c>
      <c r="C10033">
        <v>73</v>
      </c>
      <c r="D10033">
        <v>79.36</v>
      </c>
      <c r="E10033">
        <v>79.349999999999994</v>
      </c>
      <c r="F10033">
        <v>0.01</v>
      </c>
    </row>
    <row r="10034" spans="1:6" x14ac:dyDescent="0.3">
      <c r="A10034" t="str">
        <f>HYPERLINK("https://us2.cloudbeds.com/connect/10074733072513#/reservations/31735677292766?display=MXYB3NFGS&amp;reservation_id=31735677292766", "MXYB3NFGS")</f>
        <v>MXYB3NFGS</v>
      </c>
      <c r="B10034" t="s">
        <v>1551</v>
      </c>
      <c r="C10034">
        <v>591.29999999999995</v>
      </c>
      <c r="D10034">
        <v>642.75</v>
      </c>
      <c r="E10034">
        <v>642.74</v>
      </c>
      <c r="F10034">
        <v>0.01</v>
      </c>
    </row>
    <row r="10035" spans="1:6" x14ac:dyDescent="0.3">
      <c r="A10035" t="str">
        <f>HYPERLINK("https://us2.cloudbeds.com/connect/10074733072513#/reservations/31695593525446?display=MHN9T0XC3&amp;reservation_id=31695593525446", "MHN9T0XC3")</f>
        <v>MHN9T0XC3</v>
      </c>
      <c r="B10035" t="s">
        <v>1491</v>
      </c>
      <c r="C10035">
        <v>119</v>
      </c>
      <c r="D10035">
        <v>129.36000000000001</v>
      </c>
      <c r="E10035">
        <v>129.35</v>
      </c>
      <c r="F10035">
        <v>0.01</v>
      </c>
    </row>
    <row r="10036" spans="1:6" x14ac:dyDescent="0.3">
      <c r="A10036" t="str">
        <f>HYPERLINK("https://us2.cloudbeds.com/connect/10074733072513#/reservations/31695659536584?display=MHNBXMDYK&amp;reservation_id=31695659536584", "MHNBXMDYK")</f>
        <v>MHNBXMDYK</v>
      </c>
      <c r="B10036" t="s">
        <v>1491</v>
      </c>
      <c r="C10036">
        <v>139</v>
      </c>
      <c r="D10036">
        <v>151.1</v>
      </c>
      <c r="E10036">
        <v>151.09</v>
      </c>
      <c r="F10036">
        <v>0.01</v>
      </c>
    </row>
    <row r="10037" spans="1:6" x14ac:dyDescent="0.3">
      <c r="A10037" t="str">
        <f>HYPERLINK("https://us2.cloudbeds.com/connect/10074733072513#/reservations/31695472828612?display=MHN6Q7WY9&amp;reservation_id=31695472828612", "MHN6Q7WY9")</f>
        <v>MHN6Q7WY9</v>
      </c>
      <c r="B10037" t="s">
        <v>1491</v>
      </c>
      <c r="C10037">
        <v>119</v>
      </c>
      <c r="D10037">
        <v>129.36000000000001</v>
      </c>
      <c r="E10037">
        <v>129.35</v>
      </c>
      <c r="F10037">
        <v>0.01</v>
      </c>
    </row>
    <row r="10038" spans="1:6" x14ac:dyDescent="0.3">
      <c r="A10038" t="str">
        <f>HYPERLINK("https://us2.cloudbeds.com/connect/10074733072513#/reservations/31692899180695?display=MHY712EJF&amp;reservation_id=31692899180695", "MHY712EJF")</f>
        <v>MHY712EJF</v>
      </c>
      <c r="B10038" t="s">
        <v>1506</v>
      </c>
      <c r="C10038">
        <v>238</v>
      </c>
      <c r="D10038">
        <v>258.72000000000003</v>
      </c>
      <c r="E10038">
        <v>258.70999999999998</v>
      </c>
      <c r="F10038">
        <v>0.01</v>
      </c>
    </row>
    <row r="10039" spans="1:6" x14ac:dyDescent="0.3">
      <c r="A10039" t="str">
        <f>HYPERLINK("https://us2.cloudbeds.com/connect/10074733072513#/reservations/31695479840921?display=MHN6W53SG&amp;reservation_id=31695479840921", "MHN6W53SG")</f>
        <v>MHN6W53SG</v>
      </c>
      <c r="B10039" t="s">
        <v>1491</v>
      </c>
      <c r="C10039">
        <v>119</v>
      </c>
      <c r="D10039">
        <v>129.36000000000001</v>
      </c>
      <c r="E10039">
        <v>129.35</v>
      </c>
      <c r="F10039">
        <v>0.01</v>
      </c>
    </row>
    <row r="10040" spans="1:6" x14ac:dyDescent="0.3">
      <c r="A10040" t="str">
        <f>HYPERLINK("https://us2.cloudbeds.com/connect/10074733072513#/reservations/31694306549958?display=MHM9WQXMT&amp;reservation_id=31694306549958", "MHM9WQXMT")</f>
        <v>MHM9WQXMT</v>
      </c>
      <c r="B10040" t="s">
        <v>1538</v>
      </c>
      <c r="C10040">
        <v>139</v>
      </c>
      <c r="D10040">
        <v>151.1</v>
      </c>
      <c r="E10040">
        <v>151.09</v>
      </c>
      <c r="F10040">
        <v>0.01</v>
      </c>
    </row>
    <row r="10041" spans="1:6" x14ac:dyDescent="0.3">
      <c r="A10041" t="str">
        <f>HYPERLINK("https://us2.cloudbeds.com/connect/10074733072513#/reservations/31692640088265?display=MHY0DJQRN&amp;reservation_id=31692640088265", "MHY0DJQRN")</f>
        <v>MHY0DJQRN</v>
      </c>
      <c r="B10041" t="s">
        <v>1552</v>
      </c>
      <c r="C10041">
        <v>87.82</v>
      </c>
      <c r="D10041">
        <v>95.47</v>
      </c>
      <c r="E10041">
        <v>95.46</v>
      </c>
      <c r="F10041">
        <v>0.01</v>
      </c>
    </row>
    <row r="10042" spans="1:6" x14ac:dyDescent="0.3">
      <c r="A10042" t="str">
        <f>HYPERLINK("https://us2.cloudbeds.com/connect/10074733072513#/reservations/31692660883635?display=MHY0V4FME&amp;reservation_id=31692660883635", "MHY0V4FME")</f>
        <v>MHY0V4FME</v>
      </c>
      <c r="B10042" t="s">
        <v>1552</v>
      </c>
      <c r="C10042">
        <v>119</v>
      </c>
      <c r="D10042">
        <v>129.36000000000001</v>
      </c>
      <c r="E10042">
        <v>129.35</v>
      </c>
      <c r="F10042">
        <v>0.01</v>
      </c>
    </row>
    <row r="10043" spans="1:6" x14ac:dyDescent="0.3">
      <c r="A10043" t="str">
        <f>HYPERLINK("https://us2.cloudbeds.com/connect/10074733072513#/reservations/31693649293562?display=MHYQ6JEFD&amp;reservation_id=31693649293562", "MHYQ6JEFD")</f>
        <v>MHYQ6JEFD</v>
      </c>
      <c r="B10043" t="s">
        <v>1525</v>
      </c>
      <c r="C10043">
        <v>338</v>
      </c>
      <c r="D10043">
        <v>367.42</v>
      </c>
      <c r="E10043">
        <v>367.41</v>
      </c>
      <c r="F10043">
        <v>0.01</v>
      </c>
    </row>
    <row r="10044" spans="1:6" x14ac:dyDescent="0.3">
      <c r="A10044" t="str">
        <f>HYPERLINK("https://us2.cloudbeds.com/connect/10074733072513#/reservations/31692619468961?display=MHKWT71MA&amp;reservation_id=31692619468961", "MHKWT71MA")</f>
        <v>MHKWT71MA</v>
      </c>
      <c r="B10044" t="s">
        <v>1552</v>
      </c>
      <c r="C10044">
        <v>338</v>
      </c>
      <c r="D10044">
        <v>367.42</v>
      </c>
      <c r="E10044">
        <v>367.41</v>
      </c>
      <c r="F10044">
        <v>0.01</v>
      </c>
    </row>
    <row r="10045" spans="1:6" x14ac:dyDescent="0.3">
      <c r="A10045" t="str">
        <f>HYPERLINK("https://us2.cloudbeds.com/connect/10074733072513#/reservations/31694346473672?display=MHMB0FGJD&amp;reservation_id=31694346473672", "MHMB0FGJD")</f>
        <v>MHMB0FGJD</v>
      </c>
      <c r="B10045" t="s">
        <v>1538</v>
      </c>
      <c r="C10045">
        <v>102.58</v>
      </c>
      <c r="D10045">
        <v>111.51</v>
      </c>
      <c r="E10045">
        <v>111.5</v>
      </c>
      <c r="F10045">
        <v>0.01</v>
      </c>
    </row>
    <row r="10046" spans="1:6" x14ac:dyDescent="0.3">
      <c r="A10046" t="str">
        <f>HYPERLINK("https://us2.cloudbeds.com/connect/10074733072513#/reservations/31692593598656?display=MHKW7D1VG&amp;reservation_id=31692593598656", "MHKW7D1VG")</f>
        <v>MHKW7D1VG</v>
      </c>
      <c r="B10046" t="s">
        <v>1552</v>
      </c>
      <c r="C10046">
        <v>254.4</v>
      </c>
      <c r="D10046">
        <v>276.54000000000002</v>
      </c>
      <c r="E10046">
        <v>276.52999999999997</v>
      </c>
      <c r="F10046">
        <v>0.01</v>
      </c>
    </row>
    <row r="10047" spans="1:6" x14ac:dyDescent="0.3">
      <c r="A10047" t="str">
        <f>HYPERLINK("https://us2.cloudbeds.com/connect/10074733072513#/reservations/31695270920395?display=MHN1KWJYF&amp;reservation_id=31695270920395", "MHN1KWJYF")</f>
        <v>MHN1KWJYF</v>
      </c>
      <c r="B10047" t="s">
        <v>1505</v>
      </c>
      <c r="C10047">
        <v>139</v>
      </c>
      <c r="D10047">
        <v>151.1</v>
      </c>
      <c r="E10047">
        <v>151.09</v>
      </c>
      <c r="F10047">
        <v>0.01</v>
      </c>
    </row>
    <row r="10048" spans="1:6" x14ac:dyDescent="0.3">
      <c r="A10048" t="str">
        <f>HYPERLINK("https://us2.cloudbeds.com/connect/10074733072513#/reservations/31732258476165?display=MXXMZSSAQ&amp;reservation_id=31732258476165", "MXXMZSSAQ")</f>
        <v>MXXMZSSAQ</v>
      </c>
      <c r="B10048" t="s">
        <v>1553</v>
      </c>
      <c r="C10048">
        <v>358</v>
      </c>
      <c r="D10048">
        <v>389.16</v>
      </c>
      <c r="E10048">
        <v>389.15</v>
      </c>
      <c r="F10048">
        <v>0.01</v>
      </c>
    </row>
    <row r="10049" spans="1:6" x14ac:dyDescent="0.3">
      <c r="A10049" t="str">
        <f>HYPERLINK("https://us2.cloudbeds.com/connect/10074733072513#/reservations/31695357128911?display=MHN3RMFYZ&amp;reservation_id=31695357128911", "MHN3RMFYZ")</f>
        <v>MHN3RMFYZ</v>
      </c>
      <c r="B10049" t="s">
        <v>1554</v>
      </c>
      <c r="C10049">
        <v>258</v>
      </c>
      <c r="D10049">
        <v>280.45999999999998</v>
      </c>
      <c r="E10049">
        <v>280.45</v>
      </c>
      <c r="F10049">
        <v>0.01</v>
      </c>
    </row>
    <row r="10050" spans="1:6" x14ac:dyDescent="0.3">
      <c r="A10050" t="str">
        <f>HYPERLINK("https://us2.cloudbeds.com/connect/10074733072513#/reservations/31694084227202?display=MHM4AB3XM&amp;reservation_id=31694084227202", "MHM4AB3XM")</f>
        <v>MHM4AB3XM</v>
      </c>
      <c r="B10050" t="s">
        <v>1542</v>
      </c>
      <c r="C10050">
        <v>139</v>
      </c>
      <c r="D10050">
        <v>151.1</v>
      </c>
      <c r="E10050">
        <v>151.09</v>
      </c>
      <c r="F10050">
        <v>0.01</v>
      </c>
    </row>
    <row r="10051" spans="1:6" x14ac:dyDescent="0.3">
      <c r="A10051" t="str">
        <f>HYPERLINK("https://us2.cloudbeds.com/connect/10074733072513#/reservations/31694188265674?display=MHM6W24BY&amp;reservation_id=31694188265674", "MHM6W24BY")</f>
        <v>MHM6W24BY</v>
      </c>
      <c r="B10051" t="s">
        <v>1542</v>
      </c>
      <c r="C10051">
        <v>139</v>
      </c>
      <c r="D10051">
        <v>151.1</v>
      </c>
      <c r="E10051">
        <v>151.09</v>
      </c>
      <c r="F10051">
        <v>0.01</v>
      </c>
    </row>
    <row r="10052" spans="1:6" x14ac:dyDescent="0.3">
      <c r="A10052" t="str">
        <f>HYPERLINK("https://us2.cloudbeds.com/connect/10074733072513#/reservations/31695087313062?display=MHMTV5EST&amp;reservation_id=31695087313062", "MHMTV5EST")</f>
        <v>MHMTV5EST</v>
      </c>
      <c r="B10052" t="s">
        <v>1490</v>
      </c>
      <c r="C10052">
        <v>336</v>
      </c>
      <c r="D10052">
        <v>365.24</v>
      </c>
      <c r="E10052">
        <v>365.23</v>
      </c>
      <c r="F10052">
        <v>0.01</v>
      </c>
    </row>
    <row r="10053" spans="1:6" x14ac:dyDescent="0.3">
      <c r="A10053" t="str">
        <f>HYPERLINK("https://us2.cloudbeds.com/connect/10074733072513#/reservations/31695036657829?display=MHMSYETGR&amp;reservation_id=31695036657829", "MHMSYETGR")</f>
        <v>MHMSYETGR</v>
      </c>
      <c r="B10053" t="s">
        <v>1554</v>
      </c>
      <c r="C10053">
        <v>119</v>
      </c>
      <c r="D10053">
        <v>129.36000000000001</v>
      </c>
      <c r="E10053">
        <v>129.35</v>
      </c>
      <c r="F10053">
        <v>0.01</v>
      </c>
    </row>
    <row r="10054" spans="1:6" x14ac:dyDescent="0.3">
      <c r="A10054" t="str">
        <f>HYPERLINK("https://us2.cloudbeds.com/connect/10074733072513#/reservations/31696019337378?display=MHNKP2D7W&amp;reservation_id=31696019337378", "MHNKP2D7W")</f>
        <v>MHNKP2D7W</v>
      </c>
      <c r="B10054" t="s">
        <v>1540</v>
      </c>
      <c r="C10054">
        <v>368</v>
      </c>
      <c r="D10054">
        <v>400.03</v>
      </c>
      <c r="E10054">
        <v>400.02</v>
      </c>
      <c r="F10054">
        <v>0.01</v>
      </c>
    </row>
    <row r="10055" spans="1:6" x14ac:dyDescent="0.3">
      <c r="A10055" t="str">
        <f>HYPERLINK("https://us2.cloudbeds.com/connect/10074733072513#/reservations/31730215420084?display=MXH3X3QPF&amp;reservation_id=31730215420084", "MXH3X3QPF")</f>
        <v>MXH3X3QPF</v>
      </c>
      <c r="B10055" t="s">
        <v>1322</v>
      </c>
      <c r="C10055">
        <v>219</v>
      </c>
      <c r="D10055">
        <v>238.06</v>
      </c>
      <c r="E10055">
        <v>238.05</v>
      </c>
      <c r="F10055">
        <v>0.01</v>
      </c>
    </row>
    <row r="10056" spans="1:6" x14ac:dyDescent="0.3">
      <c r="A10056" t="str">
        <f>HYPERLINK("https://us2.cloudbeds.com/connect/10074733072513#/reservations/31695322042579?display=MHN2V34QX&amp;reservation_id=31695322042579", "MHN2V34QX")</f>
        <v>MHN2V34QX</v>
      </c>
      <c r="B10056" t="s">
        <v>1554</v>
      </c>
      <c r="C10056">
        <v>278</v>
      </c>
      <c r="D10056">
        <v>302.2</v>
      </c>
      <c r="E10056">
        <v>302.19</v>
      </c>
      <c r="F10056">
        <v>0.01</v>
      </c>
    </row>
    <row r="10057" spans="1:6" x14ac:dyDescent="0.3">
      <c r="A10057" t="str">
        <f>HYPERLINK("https://us2.cloudbeds.com/connect/10074733072513#/reservations/31695309709532?display=MHN2KMVMS&amp;reservation_id=31695309709532", "MHN2KMVMS")</f>
        <v>MHN2KMVMS</v>
      </c>
      <c r="B10057" t="s">
        <v>1554</v>
      </c>
      <c r="C10057">
        <v>119</v>
      </c>
      <c r="D10057">
        <v>129.36000000000001</v>
      </c>
      <c r="E10057">
        <v>129.35</v>
      </c>
      <c r="F10057">
        <v>0.01</v>
      </c>
    </row>
    <row r="10058" spans="1:6" x14ac:dyDescent="0.3">
      <c r="A10058" t="str">
        <f>HYPERLINK("https://us2.cloudbeds.com/connect/10074733072513#/reservations/31693112262879?display=MHYCFZPBB&amp;reservation_id=31693112262879", "MHYCFZPBB")</f>
        <v>MHYCFZPBB</v>
      </c>
      <c r="B10058" t="s">
        <v>1506</v>
      </c>
      <c r="C10058">
        <v>642.6</v>
      </c>
      <c r="D10058">
        <v>698.52</v>
      </c>
      <c r="E10058">
        <v>698.51</v>
      </c>
      <c r="F10058">
        <v>0.01</v>
      </c>
    </row>
    <row r="10059" spans="1:6" x14ac:dyDescent="0.3">
      <c r="A10059" t="str">
        <f>HYPERLINK("https://us2.cloudbeds.com/connect/10074733072513#/reservations/31695816220864?display=MHNFA643V&amp;reservation_id=31695816220864", "MHNFA643V")</f>
        <v>MHNFA643V</v>
      </c>
      <c r="B10059" t="s">
        <v>1520</v>
      </c>
      <c r="C10059">
        <v>322.2</v>
      </c>
      <c r="D10059">
        <v>350.24</v>
      </c>
      <c r="E10059">
        <v>350.23</v>
      </c>
      <c r="F10059">
        <v>0.01</v>
      </c>
    </row>
    <row r="10060" spans="1:6" x14ac:dyDescent="0.3">
      <c r="A10060" t="str">
        <f>HYPERLINK("https://us2.cloudbeds.com/connect/10074733072513#/reservations/31692870746299?display=MHY6A3713&amp;reservation_id=31692870746299", "MHY6A3713")</f>
        <v>MHY6A3713</v>
      </c>
      <c r="B10060" t="s">
        <v>1555</v>
      </c>
      <c r="C10060">
        <v>150</v>
      </c>
      <c r="D10060">
        <v>163.06</v>
      </c>
      <c r="E10060">
        <v>163.05000000000001</v>
      </c>
      <c r="F10060">
        <v>0.01</v>
      </c>
    </row>
    <row r="10061" spans="1:6" x14ac:dyDescent="0.3">
      <c r="A10061" t="str">
        <f>HYPERLINK("https://us2.cloudbeds.com/connect/10074733072513#/reservations/31728186011846?display=MXFHMSHM4&amp;reservation_id=31728186011846", "MXFHMSHM4")</f>
        <v>MXFHMSHM4</v>
      </c>
      <c r="B10061" t="s">
        <v>1322</v>
      </c>
      <c r="C10061">
        <v>229</v>
      </c>
      <c r="D10061">
        <v>248.93</v>
      </c>
      <c r="E10061">
        <v>248.92</v>
      </c>
      <c r="F10061">
        <v>0.01</v>
      </c>
    </row>
    <row r="10062" spans="1:6" x14ac:dyDescent="0.3">
      <c r="A10062" t="str">
        <f>HYPERLINK("https://us2.cloudbeds.com/connect/10074733072513#/reservations/31728140079303?display=MXFGH4D0T&amp;reservation_id=31728140079303", "MXFGH4D0T")</f>
        <v>MXFGH4D0T</v>
      </c>
      <c r="B10062" t="s">
        <v>1322</v>
      </c>
      <c r="C10062">
        <v>318</v>
      </c>
      <c r="D10062">
        <v>345.68</v>
      </c>
      <c r="E10062">
        <v>345.67</v>
      </c>
      <c r="F10062">
        <v>0.01</v>
      </c>
    </row>
    <row r="10063" spans="1:6" x14ac:dyDescent="0.3">
      <c r="A10063" t="str">
        <f>HYPERLINK("https://us2.cloudbeds.com/connect/10074733072513#/reservations/31693967282359?display=MHM1ANV6X&amp;reservation_id=31693967282359", "MHM1ANV6X")</f>
        <v>MHM1ANV6X</v>
      </c>
      <c r="B10063" t="s">
        <v>1556</v>
      </c>
      <c r="C10063">
        <v>73</v>
      </c>
      <c r="D10063">
        <v>79.36</v>
      </c>
      <c r="E10063">
        <v>79.349999999999994</v>
      </c>
      <c r="F10063">
        <v>0.01</v>
      </c>
    </row>
    <row r="10064" spans="1:6" x14ac:dyDescent="0.3">
      <c r="A10064" t="str">
        <f>HYPERLINK("https://us2.cloudbeds.com/connect/10074733072513#/reservations/31693190275246?display=MHYEFHJ1F&amp;reservation_id=31693190275246", "MHYEFHJ1F")</f>
        <v>MHYEFHJ1F</v>
      </c>
      <c r="B10064" t="s">
        <v>1506</v>
      </c>
      <c r="C10064">
        <v>73</v>
      </c>
      <c r="D10064">
        <v>79.36</v>
      </c>
      <c r="E10064">
        <v>79.349999999999994</v>
      </c>
      <c r="F10064">
        <v>0.01</v>
      </c>
    </row>
    <row r="10065" spans="1:6" x14ac:dyDescent="0.3">
      <c r="A10065" t="str">
        <f>HYPERLINK("https://us2.cloudbeds.com/connect/10074733072513#/reservations/31691347308724?display=MHK0CGAF3&amp;reservation_id=31691347308724", "MHK0CGAF3")</f>
        <v>MHK0CGAF3</v>
      </c>
      <c r="B10065" t="s">
        <v>1484</v>
      </c>
      <c r="C10065">
        <v>73</v>
      </c>
      <c r="D10065">
        <v>79.36</v>
      </c>
      <c r="E10065">
        <v>79.349999999999994</v>
      </c>
      <c r="F10065">
        <v>0.01</v>
      </c>
    </row>
    <row r="10066" spans="1:6" x14ac:dyDescent="0.3">
      <c r="A10066" t="str">
        <f>HYPERLINK("https://us2.cloudbeds.com/connect/10074733072513#/reservations/31695851360390?display=MHNGFE6D7&amp;reservation_id=31695851360390", "MHNGFE6D7")</f>
        <v>MHNGFE6D7</v>
      </c>
      <c r="B10066" t="s">
        <v>1305</v>
      </c>
      <c r="C10066">
        <v>139</v>
      </c>
      <c r="D10066">
        <v>151.1</v>
      </c>
      <c r="E10066">
        <v>151.09</v>
      </c>
      <c r="F10066">
        <v>0.01</v>
      </c>
    </row>
    <row r="10067" spans="1:6" x14ac:dyDescent="0.3">
      <c r="A10067" t="str">
        <f>HYPERLINK("https://us2.cloudbeds.com/connect/10074733072513#/reservations/31691976765581?display=MHKGF8T3A&amp;reservation_id=31691976765581", "MHKGF8T3A")</f>
        <v>MHKGF8T3A</v>
      </c>
      <c r="B10067" t="s">
        <v>1557</v>
      </c>
      <c r="C10067">
        <v>73</v>
      </c>
      <c r="D10067">
        <v>79.36</v>
      </c>
      <c r="E10067">
        <v>79.349999999999994</v>
      </c>
      <c r="F10067">
        <v>0.01</v>
      </c>
    </row>
    <row r="10068" spans="1:6" x14ac:dyDescent="0.3">
      <c r="A10068" t="str">
        <f>HYPERLINK("https://us2.cloudbeds.com/connect/10074733072513#/reservations/31692834111679?display=MHY5C6QE3&amp;reservation_id=31692834111679", "MHY5C6QE3")</f>
        <v>MHY5C6QE3</v>
      </c>
      <c r="B10068" t="s">
        <v>1555</v>
      </c>
      <c r="C10068">
        <v>129</v>
      </c>
      <c r="D10068">
        <v>140.22999999999999</v>
      </c>
      <c r="E10068">
        <v>140.22</v>
      </c>
      <c r="F10068">
        <v>0.01</v>
      </c>
    </row>
    <row r="10069" spans="1:6" x14ac:dyDescent="0.3">
      <c r="A10069" t="str">
        <f>HYPERLINK("https://us2.cloudbeds.com/connect/10074733072513#/reservations/31735931048087?display=MXYHJMJB1&amp;reservation_id=31735931048087", "MXYHJMJB1")</f>
        <v>MXYHJMJB1</v>
      </c>
      <c r="B10069" t="s">
        <v>1449</v>
      </c>
      <c r="C10069">
        <v>73</v>
      </c>
      <c r="D10069">
        <v>79.36</v>
      </c>
      <c r="E10069">
        <v>79.349999999999994</v>
      </c>
      <c r="F10069">
        <v>0.01</v>
      </c>
    </row>
    <row r="10070" spans="1:6" x14ac:dyDescent="0.3">
      <c r="A10070" t="str">
        <f>HYPERLINK("https://us2.cloudbeds.com/connect/10074733072513#/reservations/31691645534419?display=MHK7WVT8C&amp;reservation_id=31691645534419", "MHK7WVT8C")</f>
        <v>MHK7WVT8C</v>
      </c>
      <c r="B10070" t="s">
        <v>1558</v>
      </c>
      <c r="C10070">
        <v>73</v>
      </c>
      <c r="D10070">
        <v>79.36</v>
      </c>
      <c r="E10070">
        <v>79.349999999999994</v>
      </c>
      <c r="F10070">
        <v>0.01</v>
      </c>
    </row>
    <row r="10071" spans="1:6" x14ac:dyDescent="0.3">
      <c r="A10071" t="str">
        <f>HYPERLINK("https://us2.cloudbeds.com/connect/10074733072513#/reservations/31694104490137?display=MHM4RDVG0&amp;reservation_id=31694104490137", "MHM4RDVG0")</f>
        <v>MHM4RDVG0</v>
      </c>
      <c r="B10071" t="s">
        <v>1490</v>
      </c>
      <c r="C10071">
        <v>428.4</v>
      </c>
      <c r="D10071">
        <v>465.68</v>
      </c>
      <c r="E10071">
        <v>465.67</v>
      </c>
      <c r="F10071">
        <v>0.01</v>
      </c>
    </row>
    <row r="10072" spans="1:6" x14ac:dyDescent="0.3">
      <c r="A10072" t="str">
        <f>HYPERLINK("https://us2.cloudbeds.com/connect/10074733072513#/reservations/31692891754629?display=MHY6RQQE5&amp;reservation_id=31692891754629", "MHY6RQQE5")</f>
        <v>MHY6RQQE5</v>
      </c>
      <c r="B10072" t="s">
        <v>1555</v>
      </c>
      <c r="C10072">
        <v>149</v>
      </c>
      <c r="D10072">
        <v>161.97</v>
      </c>
      <c r="E10072">
        <v>161.96</v>
      </c>
      <c r="F10072">
        <v>0.01</v>
      </c>
    </row>
    <row r="10073" spans="1:6" x14ac:dyDescent="0.3">
      <c r="A10073" t="str">
        <f>HYPERLINK("https://us2.cloudbeds.com/connect/10074733072513#/reservations/31694662930586?display=MHMJ3ACKS&amp;reservation_id=31694662930586", "MHMJ3ACKS")</f>
        <v>MHMJ3ACKS</v>
      </c>
      <c r="B10073" t="s">
        <v>1559</v>
      </c>
      <c r="C10073">
        <v>73</v>
      </c>
      <c r="D10073">
        <v>79.36</v>
      </c>
      <c r="E10073">
        <v>79.349999999999994</v>
      </c>
      <c r="F10073">
        <v>0.01</v>
      </c>
    </row>
    <row r="10074" spans="1:6" x14ac:dyDescent="0.3">
      <c r="A10074" t="str">
        <f>HYPERLINK("https://us2.cloudbeds.com/connect/10074733072513#/reservations/31695136841866?display=MHMV6UYSZ&amp;reservation_id=31695136841866", "MHMV6UYSZ")</f>
        <v>MHMV6UYSZ</v>
      </c>
      <c r="B10074" t="s">
        <v>1457</v>
      </c>
      <c r="C10074">
        <v>169</v>
      </c>
      <c r="D10074">
        <v>183.71</v>
      </c>
      <c r="E10074">
        <v>183.7</v>
      </c>
      <c r="F10074">
        <v>0.01</v>
      </c>
    </row>
    <row r="10075" spans="1:6" x14ac:dyDescent="0.3">
      <c r="A10075" t="str">
        <f>HYPERLINK("https://us2.cloudbeds.com/connect/10074733072513#/reservations/31734953758924?display=MXKPKK2EU&amp;reservation_id=31734953758924", "MXKPKK2EU")</f>
        <v>MXKPKK2EU</v>
      </c>
      <c r="B10075" t="s">
        <v>1344</v>
      </c>
      <c r="C10075">
        <v>159</v>
      </c>
      <c r="D10075">
        <v>172.84</v>
      </c>
      <c r="E10075">
        <v>172.83</v>
      </c>
      <c r="F10075">
        <v>0.01</v>
      </c>
    </row>
    <row r="10076" spans="1:6" x14ac:dyDescent="0.3">
      <c r="A10076" t="str">
        <f>HYPERLINK("https://us2.cloudbeds.com/connect/10074733072513#/reservations/31693163405540?display=MHYDPST9V&amp;reservation_id=31693163405540", "MHYDPST9V")</f>
        <v>MHYDPST9V</v>
      </c>
      <c r="B10076" t="s">
        <v>1506</v>
      </c>
      <c r="C10076">
        <v>99</v>
      </c>
      <c r="D10076">
        <v>107.62</v>
      </c>
      <c r="E10076">
        <v>107.61</v>
      </c>
      <c r="F10076">
        <v>0.01</v>
      </c>
    </row>
    <row r="10077" spans="1:6" x14ac:dyDescent="0.3">
      <c r="A10077" t="str">
        <f>HYPERLINK("https://us2.cloudbeds.com/connect/10074733072513#/reservations/31691548164230?display=MHK5GSDPJ&amp;reservation_id=31691548164230", "MHK5GSDPJ")</f>
        <v>MHK5GSDPJ</v>
      </c>
      <c r="B10077" t="s">
        <v>1305</v>
      </c>
      <c r="C10077">
        <v>129</v>
      </c>
      <c r="D10077">
        <v>140.22999999999999</v>
      </c>
      <c r="E10077">
        <v>140.22</v>
      </c>
      <c r="F10077">
        <v>0.01</v>
      </c>
    </row>
    <row r="10078" spans="1:6" x14ac:dyDescent="0.3">
      <c r="A10078" t="str">
        <f>HYPERLINK("https://us2.cloudbeds.com/connect/10074733072513#/reservations/31734975451377?display=MXKQ5TN1W&amp;reservation_id=31734975451377", "MXKQ5TN1W")</f>
        <v>MXKQ5TN1W</v>
      </c>
      <c r="B10078" t="s">
        <v>1344</v>
      </c>
      <c r="C10078">
        <v>388</v>
      </c>
      <c r="D10078">
        <v>421.77</v>
      </c>
      <c r="E10078">
        <v>421.76</v>
      </c>
      <c r="F10078">
        <v>0.01</v>
      </c>
    </row>
    <row r="10079" spans="1:6" x14ac:dyDescent="0.3">
      <c r="A10079" t="str">
        <f>HYPERLINK("https://us2.cloudbeds.com/connect/10074733072513#/reservations/31695110926579?display=MHMUX2HX0&amp;reservation_id=31695110926579", "MHMUX2HX0")</f>
        <v>MHMUX2HX0</v>
      </c>
      <c r="B10079" t="s">
        <v>1490</v>
      </c>
      <c r="C10079">
        <v>278</v>
      </c>
      <c r="D10079">
        <v>302.2</v>
      </c>
      <c r="E10079">
        <v>302.19</v>
      </c>
      <c r="F10079">
        <v>0.01</v>
      </c>
    </row>
    <row r="10080" spans="1:6" x14ac:dyDescent="0.3">
      <c r="A10080" t="str">
        <f>HYPERLINK("https://us2.cloudbeds.com/connect/10074733072513#/reservations/31693195964609?display=MHYEKATED&amp;reservation_id=31693195964609", "MHYEKATED")</f>
        <v>MHYEKATED</v>
      </c>
      <c r="B10080" t="s">
        <v>1506</v>
      </c>
      <c r="C10080">
        <v>149</v>
      </c>
      <c r="D10080">
        <v>161.97</v>
      </c>
      <c r="E10080">
        <v>161.96</v>
      </c>
      <c r="F10080">
        <v>0.01</v>
      </c>
    </row>
    <row r="10081" spans="1:6" x14ac:dyDescent="0.3">
      <c r="A10081" t="str">
        <f>HYPERLINK("https://us2.cloudbeds.com/connect/10074733072513#/reservations/31694079828163?display=MHM46KN1F&amp;reservation_id=31694079828163", "MHM46KN1F")</f>
        <v>MHM46KN1F</v>
      </c>
      <c r="B10081" t="s">
        <v>1506</v>
      </c>
      <c r="C10081">
        <v>89</v>
      </c>
      <c r="D10081">
        <v>96.75</v>
      </c>
      <c r="E10081">
        <v>96.74</v>
      </c>
      <c r="F10081">
        <v>0.01</v>
      </c>
    </row>
    <row r="10082" spans="1:6" x14ac:dyDescent="0.3">
      <c r="A10082" t="str">
        <f>HYPERLINK("https://us2.cloudbeds.com/connect/10074733072513#/reservations/31690136490158?display=MHJ2EGGMD&amp;reservation_id=31690136490158", "MHJ2EGGMD")</f>
        <v>MHJ2EGGMD</v>
      </c>
      <c r="B10082" t="s">
        <v>1561</v>
      </c>
      <c r="C10082">
        <v>150</v>
      </c>
      <c r="D10082">
        <v>163.06</v>
      </c>
      <c r="E10082">
        <v>163.05000000000001</v>
      </c>
      <c r="F10082">
        <v>0.01</v>
      </c>
    </row>
    <row r="10083" spans="1:6" x14ac:dyDescent="0.3">
      <c r="A10083" t="str">
        <f>HYPERLINK("https://us2.cloudbeds.com/connect/10074733072513#/reservations/31690795045063?display=MHJJ8QP9Y&amp;reservation_id=31690795045063", "MHJJ8QP9Y")</f>
        <v>MHJJ8QP9Y</v>
      </c>
      <c r="B10083" t="s">
        <v>1548</v>
      </c>
      <c r="C10083">
        <v>195.48</v>
      </c>
      <c r="D10083">
        <v>212.5</v>
      </c>
      <c r="E10083">
        <v>212.49</v>
      </c>
      <c r="F10083">
        <v>0.01</v>
      </c>
    </row>
    <row r="10084" spans="1:6" x14ac:dyDescent="0.3">
      <c r="A10084" t="str">
        <f>HYPERLINK("https://us2.cloudbeds.com/connect/10074733072513#/reservations/31694141071569?display=MHM5P8T88&amp;reservation_id=31694141071569", "MHM5P8T88")</f>
        <v>MHM5P8T88</v>
      </c>
      <c r="B10084" t="s">
        <v>1490</v>
      </c>
      <c r="C10084">
        <v>150</v>
      </c>
      <c r="D10084">
        <v>163.06</v>
      </c>
      <c r="E10084">
        <v>163.05000000000001</v>
      </c>
      <c r="F10084">
        <v>0.01</v>
      </c>
    </row>
    <row r="10085" spans="1:6" x14ac:dyDescent="0.3">
      <c r="A10085" t="str">
        <f>HYPERLINK("https://us2.cloudbeds.com/connect/10074733072513#/reservations/31695519752437?display=MHN7WQNXC&amp;reservation_id=31695519752437", "MHN7WQNXC")</f>
        <v>MHN7WQNXC</v>
      </c>
      <c r="B10085" t="s">
        <v>1562</v>
      </c>
      <c r="C10085">
        <v>238</v>
      </c>
      <c r="D10085">
        <v>258.72000000000003</v>
      </c>
      <c r="E10085">
        <v>258.70999999999998</v>
      </c>
      <c r="F10085">
        <v>0.01</v>
      </c>
    </row>
    <row r="10086" spans="1:6" x14ac:dyDescent="0.3">
      <c r="A10086" t="str">
        <f>HYPERLINK("https://us2.cloudbeds.com/connect/10074733072513#/reservations/31695117267089?display=MHMUNDVSM&amp;reservation_id=31695117267089", "MHMUNDVSM")</f>
        <v>MHMUNDVSM</v>
      </c>
      <c r="B10086" t="s">
        <v>1490</v>
      </c>
      <c r="C10086">
        <v>159</v>
      </c>
      <c r="D10086">
        <v>172.84</v>
      </c>
      <c r="E10086">
        <v>172.83</v>
      </c>
      <c r="F10086">
        <v>0.01</v>
      </c>
    </row>
    <row r="10087" spans="1:6" x14ac:dyDescent="0.3">
      <c r="A10087" t="str">
        <f>HYPERLINK("https://us2.cloudbeds.com/connect/10074733072513#/reservations/31694087786654?display=MHM4DB53S&amp;reservation_id=31694087786654", "MHM4DB53S")</f>
        <v>MHM4DB53S</v>
      </c>
      <c r="B10087" t="s">
        <v>1490</v>
      </c>
      <c r="C10087">
        <v>149</v>
      </c>
      <c r="D10087">
        <v>161.97</v>
      </c>
      <c r="E10087">
        <v>161.96</v>
      </c>
      <c r="F10087">
        <v>0.01</v>
      </c>
    </row>
    <row r="10088" spans="1:6" x14ac:dyDescent="0.3">
      <c r="A10088" t="str">
        <f>HYPERLINK("https://us2.cloudbeds.com/connect/10074733072513#/reservations/31727715090581?display=MXF5YPF2P&amp;reservation_id=31727715090581", "MXF5YPF2P")</f>
        <v>MXF5YPF2P</v>
      </c>
      <c r="B10088" t="s">
        <v>1531</v>
      </c>
      <c r="C10088">
        <v>258</v>
      </c>
      <c r="D10088">
        <v>280.45999999999998</v>
      </c>
      <c r="E10088">
        <v>280.45</v>
      </c>
      <c r="F10088">
        <v>0.01</v>
      </c>
    </row>
    <row r="10089" spans="1:6" x14ac:dyDescent="0.3">
      <c r="A10089" t="str">
        <f>HYPERLINK("https://us2.cloudbeds.com/connect/10074733072513#/reservations/31693114466553?display=MHYCHK2UB&amp;reservation_id=31693114466553", "MHYCHK2UB")</f>
        <v>MHYCHK2UB</v>
      </c>
      <c r="B10089" t="s">
        <v>1453</v>
      </c>
      <c r="C10089">
        <v>199</v>
      </c>
      <c r="D10089">
        <v>216.32</v>
      </c>
      <c r="E10089">
        <v>216.31</v>
      </c>
      <c r="F10089">
        <v>0.01</v>
      </c>
    </row>
    <row r="10090" spans="1:6" x14ac:dyDescent="0.3">
      <c r="A10090" t="str">
        <f>HYPERLINK("https://us2.cloudbeds.com/connect/10074733072513#/reservations/31727726518494?display=MXF5VDB9P&amp;reservation_id=31727726518494", "MXF5VDB9P")</f>
        <v>MXF5VDB9P</v>
      </c>
      <c r="B10090" t="s">
        <v>1531</v>
      </c>
      <c r="C10090">
        <v>338</v>
      </c>
      <c r="D10090">
        <v>367.42</v>
      </c>
      <c r="E10090">
        <v>367.41</v>
      </c>
      <c r="F10090">
        <v>0.01</v>
      </c>
    </row>
    <row r="10091" spans="1:6" x14ac:dyDescent="0.3">
      <c r="A10091" t="str">
        <f>HYPERLINK("https://us2.cloudbeds.com/connect/10074733072513#/reservations/31689913487574?display=MHXTZF49B&amp;reservation_id=31689913487574", "MHXTZF49B")</f>
        <v>MHXTZF49B</v>
      </c>
      <c r="B10091" t="s">
        <v>1453</v>
      </c>
      <c r="C10091">
        <v>209</v>
      </c>
      <c r="D10091">
        <v>227.19</v>
      </c>
      <c r="E10091">
        <v>227.18</v>
      </c>
      <c r="F10091">
        <v>0.01</v>
      </c>
    </row>
    <row r="10092" spans="1:6" x14ac:dyDescent="0.3">
      <c r="A10092" t="str">
        <f>HYPERLINK("https://us2.cloudbeds.com/connect/10074733072513#/reservations/31695865471137?display=MHNGRARUK&amp;reservation_id=31695865471137", "MHNGRARUK")</f>
        <v>MHNGRARUK</v>
      </c>
      <c r="B10092" t="s">
        <v>1532</v>
      </c>
      <c r="C10092">
        <v>198</v>
      </c>
      <c r="D10092">
        <v>215.24</v>
      </c>
      <c r="E10092">
        <v>215.23</v>
      </c>
      <c r="F10092">
        <v>0.01</v>
      </c>
    </row>
    <row r="10093" spans="1:6" x14ac:dyDescent="0.3">
      <c r="A10093" t="str">
        <f>HYPERLINK("https://us2.cloudbeds.com/connect/10074733072513#/reservations/31735140413659?display=MXKUD00XW&amp;reservation_id=31735140413659", "MXKUD00XW")</f>
        <v>MXKUD00XW</v>
      </c>
      <c r="B10093" t="s">
        <v>1565</v>
      </c>
      <c r="C10093">
        <v>239</v>
      </c>
      <c r="D10093">
        <v>259.8</v>
      </c>
      <c r="E10093">
        <v>259.79000000000002</v>
      </c>
      <c r="F10093">
        <v>0.01</v>
      </c>
    </row>
    <row r="10094" spans="1:6" x14ac:dyDescent="0.3">
      <c r="A10094" t="str">
        <f>HYPERLINK("https://us2.cloudbeds.com/connect/10074733072513#/reservations/31693668184264?display=MHYQMH39U&amp;reservation_id=31693668184264", "MHYQMH39U")</f>
        <v>MHYQMH39U</v>
      </c>
      <c r="B10094" t="s">
        <v>1469</v>
      </c>
      <c r="C10094">
        <v>139</v>
      </c>
      <c r="D10094">
        <v>151.1</v>
      </c>
      <c r="E10094">
        <v>151.09</v>
      </c>
      <c r="F10094">
        <v>0.01</v>
      </c>
    </row>
    <row r="10095" spans="1:6" x14ac:dyDescent="0.3">
      <c r="A10095" t="str">
        <f>HYPERLINK("https://us2.cloudbeds.com/connect/10074733072513#/reservations/31693844455600?display=MHYV653KX&amp;reservation_id=31693844455600", "MHYV653KX")</f>
        <v>MHYV653KX</v>
      </c>
      <c r="B10095" t="s">
        <v>1520</v>
      </c>
      <c r="C10095">
        <v>278</v>
      </c>
      <c r="D10095">
        <v>302.2</v>
      </c>
      <c r="E10095">
        <v>302.19</v>
      </c>
      <c r="F10095">
        <v>0.01</v>
      </c>
    </row>
    <row r="10096" spans="1:6" x14ac:dyDescent="0.3">
      <c r="A10096" t="str">
        <f>HYPERLINK("https://us2.cloudbeds.com/connect/10074733072513#/reservations/31695574958299?display=MHN9DBTY9&amp;reservation_id=31695574958299", "MHN9DBTY9")</f>
        <v>MHN9DBTY9</v>
      </c>
      <c r="B10096" t="s">
        <v>1562</v>
      </c>
      <c r="C10096">
        <v>238</v>
      </c>
      <c r="D10096">
        <v>258.72000000000003</v>
      </c>
      <c r="E10096">
        <v>258.70999999999998</v>
      </c>
      <c r="F10096">
        <v>0.01</v>
      </c>
    </row>
    <row r="10097" spans="1:6" x14ac:dyDescent="0.3">
      <c r="A10097" t="str">
        <f>HYPERLINK("https://us2.cloudbeds.com/connect/10074733072513#/reservations/31733665886361?display=MXJPNY40J&amp;reservation_id=31733665886361", "MXJPNY40J")</f>
        <v>MXJPNY40J</v>
      </c>
      <c r="B10097" t="s">
        <v>1322</v>
      </c>
      <c r="C10097">
        <v>318</v>
      </c>
      <c r="D10097">
        <v>345.68</v>
      </c>
      <c r="E10097">
        <v>345.67</v>
      </c>
      <c r="F10097">
        <v>0.01</v>
      </c>
    </row>
    <row r="10098" spans="1:6" x14ac:dyDescent="0.3">
      <c r="A10098" t="str">
        <f>HYPERLINK("https://us2.cloudbeds.com/connect/10074733072513#/reservations/31693838790846?display=MHYV1CFRB&amp;reservation_id=31693838790846", "MHYV1CFRB")</f>
        <v>MHYV1CFRB</v>
      </c>
      <c r="B10098" t="s">
        <v>1529</v>
      </c>
      <c r="C10098">
        <v>396</v>
      </c>
      <c r="D10098">
        <v>430.46</v>
      </c>
      <c r="E10098">
        <v>430.45</v>
      </c>
      <c r="F10098">
        <v>0.01</v>
      </c>
    </row>
    <row r="10099" spans="1:6" x14ac:dyDescent="0.3">
      <c r="A10099" t="str">
        <f>HYPERLINK("https://us2.cloudbeds.com/connect/10074733072513#/reservations/31729514545375?display=MXGXY3UWU&amp;reservation_id=31729514545375", "MXGXY3UWU")</f>
        <v>MXGXY3UWU</v>
      </c>
      <c r="B10099" t="s">
        <v>1566</v>
      </c>
      <c r="C10099">
        <v>159</v>
      </c>
      <c r="D10099">
        <v>172.84</v>
      </c>
      <c r="E10099">
        <v>172.83</v>
      </c>
      <c r="F10099">
        <v>0.01</v>
      </c>
    </row>
    <row r="10100" spans="1:6" x14ac:dyDescent="0.3">
      <c r="A10100" t="str">
        <f>HYPERLINK("https://us2.cloudbeds.com/connect/10074733072513#/reservations/31695493345456?display=MHN7AHTNR&amp;reservation_id=31695493345456", "MHN7AHTNR")</f>
        <v>MHN7AHTNR</v>
      </c>
      <c r="B10100" t="s">
        <v>1562</v>
      </c>
      <c r="C10100">
        <v>87.82</v>
      </c>
      <c r="D10100">
        <v>95.47</v>
      </c>
      <c r="E10100">
        <v>95.46</v>
      </c>
      <c r="F10100">
        <v>0.01</v>
      </c>
    </row>
    <row r="10101" spans="1:6" x14ac:dyDescent="0.3">
      <c r="A10101" t="str">
        <f>HYPERLINK("https://us2.cloudbeds.com/connect/10074733072513#/reservations/31690771009738?display=MHJXYHV9F&amp;reservation_id=31690771009738", "MHJXYHV9F")</f>
        <v>MHJXYHV9F</v>
      </c>
      <c r="B10101" t="s">
        <v>1548</v>
      </c>
      <c r="C10101">
        <v>222</v>
      </c>
      <c r="D10101">
        <v>241.32</v>
      </c>
      <c r="E10101">
        <v>241.31</v>
      </c>
      <c r="F10101">
        <v>0.01</v>
      </c>
    </row>
    <row r="10102" spans="1:6" x14ac:dyDescent="0.3">
      <c r="A10102" t="str">
        <f>HYPERLINK("https://us2.cloudbeds.com/connect/10074733072513#/reservations/31695562133718?display=MHN92X15K&amp;reservation_id=31695562133718", "MHN92X15K")</f>
        <v>MHN92X15K</v>
      </c>
      <c r="B10102" t="s">
        <v>1562</v>
      </c>
      <c r="C10102">
        <v>73</v>
      </c>
      <c r="D10102">
        <v>79.36</v>
      </c>
      <c r="E10102">
        <v>79.349999999999994</v>
      </c>
      <c r="F10102">
        <v>0.01</v>
      </c>
    </row>
    <row r="10103" spans="1:6" x14ac:dyDescent="0.3">
      <c r="A10103" t="str">
        <f>HYPERLINK("https://us2.cloudbeds.com/connect/10074733072513#/reservations/31693843067101?display=MHYV4WFJR&amp;reservation_id=31693843067101", "MHYV4WFJR")</f>
        <v>MHYV4WFJR</v>
      </c>
      <c r="B10103" t="s">
        <v>1529</v>
      </c>
      <c r="C10103">
        <v>396</v>
      </c>
      <c r="D10103">
        <v>430.46</v>
      </c>
      <c r="E10103">
        <v>430.45</v>
      </c>
      <c r="F10103">
        <v>0.01</v>
      </c>
    </row>
    <row r="10104" spans="1:6" x14ac:dyDescent="0.3">
      <c r="A10104" t="str">
        <f>HYPERLINK("https://us2.cloudbeds.com/connect/10074733072513#/reservations/31693341114521?display=MHYXANTPJ&amp;reservation_id=31693341114521", "MHYXANTPJ")</f>
        <v>MHYXANTPJ</v>
      </c>
      <c r="B10104" t="s">
        <v>1448</v>
      </c>
      <c r="C10104">
        <v>119</v>
      </c>
      <c r="D10104">
        <v>129.36000000000001</v>
      </c>
      <c r="E10104">
        <v>129.35</v>
      </c>
      <c r="F10104">
        <v>0.01</v>
      </c>
    </row>
    <row r="10105" spans="1:6" x14ac:dyDescent="0.3">
      <c r="A10105" t="str">
        <f>HYPERLINK("https://us2.cloudbeds.com/connect/10074733072513#/reservations/31728564572337?display=MXFRC2HQ5&amp;reservation_id=31728564572337", "MXFRC2HQ5")</f>
        <v>MXFRC2HQ5</v>
      </c>
      <c r="B10105" t="s">
        <v>1519</v>
      </c>
      <c r="C10105">
        <v>189</v>
      </c>
      <c r="D10105">
        <v>205.45</v>
      </c>
      <c r="E10105">
        <v>205.44</v>
      </c>
      <c r="F10105">
        <v>0.01</v>
      </c>
    </row>
    <row r="10106" spans="1:6" x14ac:dyDescent="0.3">
      <c r="A10106" t="str">
        <f>HYPERLINK("https://us2.cloudbeds.com/connect/10074733072513#/reservations/31695542046960?display=MHN8XK30W&amp;reservation_id=31695542046960", "MHN8XK30W")</f>
        <v>MHN8XK30W</v>
      </c>
      <c r="B10106" t="s">
        <v>1562</v>
      </c>
      <c r="C10106">
        <v>298</v>
      </c>
      <c r="D10106">
        <v>323.94</v>
      </c>
      <c r="E10106">
        <v>323.93</v>
      </c>
      <c r="F10106">
        <v>0.01</v>
      </c>
    </row>
    <row r="10107" spans="1:6" x14ac:dyDescent="0.3">
      <c r="A10107" t="str">
        <f>HYPERLINK("https://us2.cloudbeds.com/connect/10074733072513#/reservations/31695531647119?display=MHN89RN49&amp;reservation_id=31695531647119", "MHN89RN49")</f>
        <v>MHN89RN49</v>
      </c>
      <c r="B10107" t="s">
        <v>1562</v>
      </c>
      <c r="C10107">
        <v>298</v>
      </c>
      <c r="D10107">
        <v>323.94</v>
      </c>
      <c r="E10107">
        <v>323.93</v>
      </c>
      <c r="F10107">
        <v>0.01</v>
      </c>
    </row>
    <row r="10108" spans="1:6" x14ac:dyDescent="0.3">
      <c r="A10108" t="str">
        <f>HYPERLINK("https://us2.cloudbeds.com/connect/10074733072513#/reservations/31695500615879?display=MHN7GM6VM&amp;reservation_id=31695500615879", "MHN7GM6VM")</f>
        <v>MHN7GM6VM</v>
      </c>
      <c r="B10108" t="s">
        <v>1562</v>
      </c>
      <c r="C10108">
        <v>189</v>
      </c>
      <c r="D10108">
        <v>205.45</v>
      </c>
      <c r="E10108">
        <v>205.44</v>
      </c>
      <c r="F10108">
        <v>0.01</v>
      </c>
    </row>
    <row r="10109" spans="1:6" x14ac:dyDescent="0.3">
      <c r="A10109" t="str">
        <f>HYPERLINK("https://us2.cloudbeds.com/connect/10074733072513#/reservations/31693354234095?display=MHYXYPW4E&amp;reservation_id=31693354234095", "MHYXYPW4E")</f>
        <v>MHYXYPW4E</v>
      </c>
      <c r="B10109" t="s">
        <v>1448</v>
      </c>
      <c r="C10109">
        <v>119</v>
      </c>
      <c r="D10109">
        <v>129.36000000000001</v>
      </c>
      <c r="E10109">
        <v>129.35</v>
      </c>
      <c r="F10109">
        <v>0.01</v>
      </c>
    </row>
    <row r="10110" spans="1:6" x14ac:dyDescent="0.3">
      <c r="A10110" t="str">
        <f>HYPERLINK("https://us2.cloudbeds.com/connect/10074733072513#/reservations/31733993808027?display=MXK1350RQ&amp;reservation_id=31733993808027", "MXK1350RQ")</f>
        <v>MXK1350RQ</v>
      </c>
      <c r="B10110" t="s">
        <v>1344</v>
      </c>
      <c r="C10110">
        <v>159</v>
      </c>
      <c r="D10110">
        <v>172.84</v>
      </c>
      <c r="E10110">
        <v>172.83</v>
      </c>
      <c r="F10110">
        <v>0.01</v>
      </c>
    </row>
    <row r="10111" spans="1:6" x14ac:dyDescent="0.3">
      <c r="A10111" t="str">
        <f>HYPERLINK("https://us2.cloudbeds.com/connect/10074733072513#/reservations/31695594627280?display=MHN9TV750&amp;reservation_id=31695594627280", "MHN9TV750")</f>
        <v>MHN9TV750</v>
      </c>
      <c r="B10111" t="s">
        <v>1562</v>
      </c>
      <c r="C10111">
        <v>149</v>
      </c>
      <c r="D10111">
        <v>161.97</v>
      </c>
      <c r="E10111">
        <v>161.96</v>
      </c>
      <c r="F10111">
        <v>0.01</v>
      </c>
    </row>
    <row r="10112" spans="1:6" x14ac:dyDescent="0.3">
      <c r="A10112" t="str">
        <f>HYPERLINK("https://us2.cloudbeds.com/connect/10074733072513#/reservations/31695604945065?display=MHNA5YAN5&amp;reservation_id=31695604945065", "MHNA5YAN5")</f>
        <v>MHNA5YAN5</v>
      </c>
      <c r="B10112" t="s">
        <v>1561</v>
      </c>
      <c r="C10112">
        <v>376</v>
      </c>
      <c r="D10112">
        <v>408.72</v>
      </c>
      <c r="E10112">
        <v>408.71</v>
      </c>
      <c r="F10112">
        <v>0.01</v>
      </c>
    </row>
    <row r="10113" spans="1:6" x14ac:dyDescent="0.3">
      <c r="A10113" t="str">
        <f>HYPERLINK("https://us2.cloudbeds.com/connect/10074733072513#/reservations/31695100473548?display=MHMU98YQG&amp;reservation_id=31695100473548", "MHMU98YQG")</f>
        <v>MHMU98YQG</v>
      </c>
      <c r="B10113" t="s">
        <v>1457</v>
      </c>
      <c r="C10113">
        <v>338</v>
      </c>
      <c r="D10113">
        <v>367.42</v>
      </c>
      <c r="E10113">
        <v>367.41</v>
      </c>
      <c r="F10113">
        <v>0.01</v>
      </c>
    </row>
    <row r="10114" spans="1:6" x14ac:dyDescent="0.3">
      <c r="A10114" t="str">
        <f>HYPERLINK("https://us2.cloudbeds.com/connect/10074733072513#/reservations/31691119698175?display=MHJRXXNMZ&amp;reservation_id=31691119698175", "MHJRXXNMZ")</f>
        <v>MHJRXXNMZ</v>
      </c>
      <c r="B10114" t="s">
        <v>1507</v>
      </c>
      <c r="C10114">
        <v>129</v>
      </c>
      <c r="D10114">
        <v>140.22999999999999</v>
      </c>
      <c r="E10114">
        <v>140.22</v>
      </c>
      <c r="F10114">
        <v>0.01</v>
      </c>
    </row>
    <row r="10115" spans="1:6" x14ac:dyDescent="0.3">
      <c r="A10115" t="str">
        <f>HYPERLINK("https://us2.cloudbeds.com/connect/10074733072513#/reservations/31693173461234?display=MHYE1BN5V&amp;reservation_id=31693173461234", "MHYE1BN5V")</f>
        <v>MHYE1BN5V</v>
      </c>
      <c r="B10115" t="s">
        <v>1457</v>
      </c>
      <c r="C10115">
        <v>159</v>
      </c>
      <c r="D10115">
        <v>172.84</v>
      </c>
      <c r="E10115">
        <v>172.83</v>
      </c>
      <c r="F10115">
        <v>0.01</v>
      </c>
    </row>
    <row r="10116" spans="1:6" x14ac:dyDescent="0.3">
      <c r="A10116" t="str">
        <f>HYPERLINK("https://us2.cloudbeds.com/connect/10074733072513#/reservations/31693894074516?display=MHYWEWRC2&amp;reservation_id=31693894074516", "MHYWEWRC2")</f>
        <v>MHYWEWRC2</v>
      </c>
      <c r="B10116" t="s">
        <v>1520</v>
      </c>
      <c r="C10116">
        <v>219.92</v>
      </c>
      <c r="D10116">
        <v>239.06</v>
      </c>
      <c r="E10116">
        <v>239.05</v>
      </c>
      <c r="F10116">
        <v>0.01</v>
      </c>
    </row>
    <row r="10117" spans="1:6" x14ac:dyDescent="0.3">
      <c r="A10117" t="str">
        <f>HYPERLINK("https://us2.cloudbeds.com/connect/10074733072513#/reservations/31736017977496?display=MXYJQWHAX&amp;reservation_id=31736017977496", "MXYJQWHAX")</f>
        <v>MXYJQWHAX</v>
      </c>
      <c r="B10117" t="s">
        <v>1322</v>
      </c>
      <c r="C10117">
        <v>159</v>
      </c>
      <c r="D10117">
        <v>172.84</v>
      </c>
      <c r="E10117">
        <v>172.83</v>
      </c>
      <c r="F10117">
        <v>0.01</v>
      </c>
    </row>
    <row r="10118" spans="1:6" x14ac:dyDescent="0.3">
      <c r="A10118" t="str">
        <f>HYPERLINK("https://us2.cloudbeds.com/connect/10074733072513#/reservations/31693904142574?display=MHYWNFWJZ&amp;reservation_id=31693904142574", "MHYWNFWJZ")</f>
        <v>MHYWNFWJZ</v>
      </c>
      <c r="B10118" t="s">
        <v>1520</v>
      </c>
      <c r="C10118">
        <v>219.92</v>
      </c>
      <c r="D10118">
        <v>239.06</v>
      </c>
      <c r="E10118">
        <v>239.05</v>
      </c>
      <c r="F10118">
        <v>0.01</v>
      </c>
    </row>
    <row r="10119" spans="1:6" x14ac:dyDescent="0.3">
      <c r="A10119" t="str">
        <f>HYPERLINK("https://us2.cloudbeds.com/connect/10074733072513#/reservations/31692012785854?display=MHKHCY6XZ&amp;reservation_id=31692012785854", "MHKHCY6XZ")</f>
        <v>MHKHCY6XZ</v>
      </c>
      <c r="B10119" t="s">
        <v>1561</v>
      </c>
      <c r="C10119">
        <v>149</v>
      </c>
      <c r="D10119">
        <v>161.97</v>
      </c>
      <c r="E10119">
        <v>161.96</v>
      </c>
      <c r="F10119">
        <v>0.01</v>
      </c>
    </row>
    <row r="10120" spans="1:6" x14ac:dyDescent="0.3">
      <c r="A10120" t="str">
        <f>HYPERLINK("https://us2.cloudbeds.com/connect/10074733072513#/reservations/31690163765393?display=MHJ34GFQM&amp;reservation_id=31690163765393", "MHJ34GFQM")</f>
        <v>MHJ34GFQM</v>
      </c>
      <c r="B10120" t="s">
        <v>1561</v>
      </c>
      <c r="C10120">
        <v>149</v>
      </c>
      <c r="D10120">
        <v>161.97</v>
      </c>
      <c r="E10120">
        <v>161.96</v>
      </c>
      <c r="F10120">
        <v>0.01</v>
      </c>
    </row>
    <row r="10121" spans="1:6" x14ac:dyDescent="0.3">
      <c r="A10121" t="str">
        <f>HYPERLINK("https://us2.cloudbeds.com/connect/10074733072513#/reservations/31735921107163?display=MXYHB9VRU&amp;reservation_id=31735921107163", "MXYHB9VRU")</f>
        <v>MXYHB9VRU</v>
      </c>
      <c r="B10121" t="s">
        <v>1401</v>
      </c>
      <c r="C10121">
        <v>159</v>
      </c>
      <c r="D10121">
        <v>172.84</v>
      </c>
      <c r="E10121">
        <v>172.83</v>
      </c>
      <c r="F10121">
        <v>0.01</v>
      </c>
    </row>
    <row r="10122" spans="1:6" x14ac:dyDescent="0.3">
      <c r="A10122" t="str">
        <f>HYPERLINK("https://us2.cloudbeds.com/connect/10074733072513#/reservations/31690163761287?display=MHJ34GC17&amp;reservation_id=31690163761287", "MHJ34GC17")</f>
        <v>MHJ34GC17</v>
      </c>
      <c r="B10122" t="s">
        <v>1561</v>
      </c>
      <c r="C10122">
        <v>149</v>
      </c>
      <c r="D10122">
        <v>161.97</v>
      </c>
      <c r="E10122">
        <v>161.96</v>
      </c>
      <c r="F10122">
        <v>0.01</v>
      </c>
    </row>
    <row r="10123" spans="1:6" x14ac:dyDescent="0.3">
      <c r="A10123" t="str">
        <f>HYPERLINK("https://us2.cloudbeds.com/connect/10074733072513#/reservations/31692004724970?display=MHKH5RTFH&amp;reservation_id=31692004724970", "MHKH5RTFH")</f>
        <v>MHKH5RTFH</v>
      </c>
      <c r="B10123" t="s">
        <v>1561</v>
      </c>
      <c r="C10123">
        <v>149</v>
      </c>
      <c r="D10123">
        <v>161.97</v>
      </c>
      <c r="E10123">
        <v>161.96</v>
      </c>
      <c r="F10123">
        <v>0.01</v>
      </c>
    </row>
    <row r="10124" spans="1:6" x14ac:dyDescent="0.3">
      <c r="A10124" t="str">
        <f>HYPERLINK("https://us2.cloudbeds.com/connect/10074733072513#/reservations/31694244716736?display=MHM8DYS5N&amp;reservation_id=31694244716736", "MHM8DYS5N")</f>
        <v>MHM8DYS5N</v>
      </c>
      <c r="B10124" t="s">
        <v>1315</v>
      </c>
      <c r="C10124">
        <v>209</v>
      </c>
      <c r="D10124">
        <v>227.19</v>
      </c>
      <c r="E10124">
        <v>227.18</v>
      </c>
      <c r="F10124">
        <v>0.01</v>
      </c>
    </row>
    <row r="10125" spans="1:6" x14ac:dyDescent="0.3">
      <c r="A10125" t="str">
        <f>HYPERLINK("https://us2.cloudbeds.com/connect/10074733072513#/reservations/31736033542381?display=MXYK73Y4Z&amp;reservation_id=31736033542381", "MXYK73Y4Z")</f>
        <v>MXYK73Y4Z</v>
      </c>
      <c r="B10125" t="s">
        <v>1322</v>
      </c>
      <c r="C10125">
        <v>278</v>
      </c>
      <c r="D10125">
        <v>302.2</v>
      </c>
      <c r="E10125">
        <v>302.19</v>
      </c>
      <c r="F10125">
        <v>0.01</v>
      </c>
    </row>
    <row r="10126" spans="1:6" x14ac:dyDescent="0.3">
      <c r="A10126" t="str">
        <f>HYPERLINK("https://us2.cloudbeds.com/connect/10074733072513#/reservations/31691334979742?display=MHK02382J&amp;reservation_id=31691334979742", "MHK02382J")</f>
        <v>MHK02382J</v>
      </c>
      <c r="B10126" t="s">
        <v>1469</v>
      </c>
      <c r="C10126">
        <v>169</v>
      </c>
      <c r="D10126">
        <v>183.71</v>
      </c>
      <c r="E10126">
        <v>183.7</v>
      </c>
      <c r="F10126">
        <v>0.01</v>
      </c>
    </row>
    <row r="10127" spans="1:6" x14ac:dyDescent="0.3">
      <c r="A10127" t="str">
        <f>HYPERLINK("https://us2.cloudbeds.com/connect/10074733072513#/reservations/31690950811811?display=MHJN856Q4&amp;reservation_id=31690950811811", "MHJN856Q4")</f>
        <v>MHJN856Q4</v>
      </c>
      <c r="B10127" t="s">
        <v>1548</v>
      </c>
      <c r="C10127">
        <v>119</v>
      </c>
      <c r="D10127">
        <v>129.36000000000001</v>
      </c>
      <c r="E10127">
        <v>129.35</v>
      </c>
      <c r="F10127">
        <v>0.01</v>
      </c>
    </row>
    <row r="10128" spans="1:6" x14ac:dyDescent="0.3">
      <c r="A10128" t="str">
        <f>HYPERLINK("https://us2.cloudbeds.com/connect/10074733072513#/reservations/31691036573846?display=MHJPEFYQM&amp;reservation_id=31691036573846", "MHJPEFYQM")</f>
        <v>MHJPEFYQM</v>
      </c>
      <c r="B10128" t="s">
        <v>1548</v>
      </c>
      <c r="C10128">
        <v>73</v>
      </c>
      <c r="D10128">
        <v>79.36</v>
      </c>
      <c r="E10128">
        <v>79.349999999999994</v>
      </c>
      <c r="F10128">
        <v>0.01</v>
      </c>
    </row>
    <row r="10129" spans="1:6" x14ac:dyDescent="0.3">
      <c r="A10129" t="str">
        <f>HYPERLINK("https://us2.cloudbeds.com/connect/10074733072513#/reservations/31695873429634?display=MHNH11A06&amp;reservation_id=31695873429634", "MHNH11A06")</f>
        <v>MHNH11A06</v>
      </c>
      <c r="B10129" t="s">
        <v>1532</v>
      </c>
      <c r="C10129">
        <v>195.48</v>
      </c>
      <c r="D10129">
        <v>212.5</v>
      </c>
      <c r="E10129">
        <v>212.49</v>
      </c>
      <c r="F10129">
        <v>0.01</v>
      </c>
    </row>
    <row r="10130" spans="1:6" x14ac:dyDescent="0.3">
      <c r="A10130" t="str">
        <f>HYPERLINK("https://us2.cloudbeds.com/connect/10074733072513#/reservations/31695616196754?display=MHNAF4DRE&amp;reservation_id=31695616196754", "MHNAF4DRE")</f>
        <v>MHNAF4DRE</v>
      </c>
      <c r="B10130" t="s">
        <v>1561</v>
      </c>
      <c r="C10130">
        <v>97.74</v>
      </c>
      <c r="D10130">
        <v>106.25</v>
      </c>
      <c r="E10130">
        <v>106.24</v>
      </c>
      <c r="F10130">
        <v>0.01</v>
      </c>
    </row>
    <row r="10131" spans="1:6" x14ac:dyDescent="0.3">
      <c r="A10131" t="str">
        <f>HYPERLINK("https://us2.cloudbeds.com/connect/10074733072513#/reservations/31736040480915?display=MXYKCVNKB&amp;reservation_id=31736040480915", "MXYKCVNKB")</f>
        <v>MXYKCVNKB</v>
      </c>
      <c r="B10131" t="s">
        <v>1322</v>
      </c>
      <c r="C10131">
        <v>318</v>
      </c>
      <c r="D10131">
        <v>345.68</v>
      </c>
      <c r="E10131">
        <v>345.67</v>
      </c>
      <c r="F10131">
        <v>0.01</v>
      </c>
    </row>
    <row r="10132" spans="1:6" x14ac:dyDescent="0.3">
      <c r="A10132" t="str">
        <f>HYPERLINK("https://us2.cloudbeds.com/connect/10074733072513#/reservations/31695781761235?display=MHNEMZGAU&amp;reservation_id=31695781761235", "MHNEMZGAU")</f>
        <v>MHNEMZGAU</v>
      </c>
      <c r="B10132" t="s">
        <v>1520</v>
      </c>
      <c r="C10132">
        <v>149</v>
      </c>
      <c r="D10132">
        <v>161.97</v>
      </c>
      <c r="E10132">
        <v>161.96</v>
      </c>
      <c r="F10132">
        <v>0.01</v>
      </c>
    </row>
    <row r="10133" spans="1:6" x14ac:dyDescent="0.3">
      <c r="A10133" t="str">
        <f>HYPERLINK("https://us2.cloudbeds.com/connect/10074733072513#/reservations/31695114875074?display=MHMUYDDBC&amp;reservation_id=31695114875074", "MHMUYDDBC")</f>
        <v>MHMUYDDBC</v>
      </c>
      <c r="B10133" t="s">
        <v>1457</v>
      </c>
      <c r="C10133">
        <v>221.72</v>
      </c>
      <c r="D10133">
        <v>241.02</v>
      </c>
      <c r="E10133">
        <v>241.01</v>
      </c>
      <c r="F10133">
        <v>0.01</v>
      </c>
    </row>
    <row r="10134" spans="1:6" x14ac:dyDescent="0.3">
      <c r="A10134" t="str">
        <f>HYPERLINK("https://us2.cloudbeds.com/connect/10074733072513#/reservations/31695686217888?display=MHNC85SCW&amp;reservation_id=31695686217888", "MHNC85SCW")</f>
        <v>MHNC85SCW</v>
      </c>
      <c r="B10134" t="s">
        <v>1532</v>
      </c>
      <c r="C10134">
        <v>338</v>
      </c>
      <c r="D10134">
        <v>367.42</v>
      </c>
      <c r="E10134">
        <v>367.41</v>
      </c>
      <c r="F10134">
        <v>0.01</v>
      </c>
    </row>
    <row r="10135" spans="1:6" x14ac:dyDescent="0.3">
      <c r="A10135" t="str">
        <f>HYPERLINK("https://us2.cloudbeds.com/connect/10074733072513#/reservations/31693102923907?display=MHYC7STK6&amp;reservation_id=31693102923907", "MHYC7STK6")</f>
        <v>MHYC7STK6</v>
      </c>
      <c r="B10135" t="s">
        <v>1457</v>
      </c>
      <c r="C10135">
        <v>318</v>
      </c>
      <c r="D10135">
        <v>345.68</v>
      </c>
      <c r="E10135">
        <v>345.67</v>
      </c>
      <c r="F10135">
        <v>0.01</v>
      </c>
    </row>
    <row r="10136" spans="1:6" x14ac:dyDescent="0.3">
      <c r="A10136" t="str">
        <f>HYPERLINK("https://us2.cloudbeds.com/connect/10074733072513#/reservations/31691101683966?display=MHJR3CENK&amp;reservation_id=31691101683966", "MHJR3CENK")</f>
        <v>MHJR3CENK</v>
      </c>
      <c r="B10136" t="s">
        <v>1485</v>
      </c>
      <c r="C10136">
        <v>99</v>
      </c>
      <c r="D10136">
        <v>107.62</v>
      </c>
      <c r="E10136">
        <v>107.61</v>
      </c>
      <c r="F10136">
        <v>0.01</v>
      </c>
    </row>
    <row r="10137" spans="1:6" x14ac:dyDescent="0.3">
      <c r="A10137" t="str">
        <f>HYPERLINK("https://us2.cloudbeds.com/connect/10074733072513#/reservations/31693377765535?display=MHYJ8KPEC&amp;reservation_id=31693377765535", "MHYJ8KPEC")</f>
        <v>MHYJ8KPEC</v>
      </c>
      <c r="B10137" t="s">
        <v>1480</v>
      </c>
      <c r="C10137">
        <v>238</v>
      </c>
      <c r="D10137">
        <v>258.72000000000003</v>
      </c>
      <c r="E10137">
        <v>258.70999999999998</v>
      </c>
      <c r="F10137">
        <v>0.01</v>
      </c>
    </row>
    <row r="10138" spans="1:6" x14ac:dyDescent="0.3">
      <c r="A10138" t="str">
        <f>HYPERLINK("https://us2.cloudbeds.com/connect/10074733072513#/reservations/31695897149671?display=MHNHY1BG6&amp;reservation_id=31695897149671", "MHNHY1BG6")</f>
        <v>MHNHY1BG6</v>
      </c>
      <c r="B10138" t="s">
        <v>1532</v>
      </c>
      <c r="C10138">
        <v>179</v>
      </c>
      <c r="D10138">
        <v>194.58</v>
      </c>
      <c r="E10138">
        <v>194.57</v>
      </c>
      <c r="F10138">
        <v>0.01</v>
      </c>
    </row>
    <row r="10139" spans="1:6" x14ac:dyDescent="0.3">
      <c r="A10139" t="str">
        <f>HYPERLINK("https://us2.cloudbeds.com/connect/10074733072513#/reservations/31695929139392?display=MHNX8CEYS&amp;reservation_id=31695929139392", "MHNX8CEYS")</f>
        <v>MHNX8CEYS</v>
      </c>
      <c r="B10139" t="s">
        <v>1457</v>
      </c>
      <c r="C10139">
        <v>150</v>
      </c>
      <c r="D10139">
        <v>163.06</v>
      </c>
      <c r="E10139">
        <v>163.05000000000001</v>
      </c>
      <c r="F10139">
        <v>0.01</v>
      </c>
    </row>
    <row r="10140" spans="1:6" x14ac:dyDescent="0.3">
      <c r="A10140" t="str">
        <f>HYPERLINK("https://us2.cloudbeds.com/connect/10074733072513#/reservations/31693629935827?display=MHYPN8PPC&amp;reservation_id=31693629935827", "MHYPN8PPC")</f>
        <v>MHYPN8PPC</v>
      </c>
      <c r="B10140" t="s">
        <v>1525</v>
      </c>
      <c r="C10140">
        <v>99</v>
      </c>
      <c r="D10140">
        <v>107.62</v>
      </c>
      <c r="E10140">
        <v>107.61</v>
      </c>
      <c r="F10140">
        <v>0.01</v>
      </c>
    </row>
    <row r="10141" spans="1:6" x14ac:dyDescent="0.3">
      <c r="A10141" t="str">
        <f>HYPERLINK("https://us2.cloudbeds.com/connect/10074733072513#/reservations/31695085015256?display=MHMTT7GSD&amp;reservation_id=31695085015256", "MHMTT7GSD")</f>
        <v>MHMTT7GSD</v>
      </c>
      <c r="B10141" t="s">
        <v>1457</v>
      </c>
      <c r="C10141">
        <v>110.86</v>
      </c>
      <c r="D10141">
        <v>120.51</v>
      </c>
      <c r="E10141">
        <v>120.5</v>
      </c>
      <c r="F10141">
        <v>0.01</v>
      </c>
    </row>
    <row r="10142" spans="1:6" x14ac:dyDescent="0.3">
      <c r="A10142" t="str">
        <f>HYPERLINK("https://us2.cloudbeds.com/connect/10074733072513#/reservations/31695165993096?display=MHMVVGRMB&amp;reservation_id=31695165993096", "MHMVVGRMB")</f>
        <v>MHMVVGRMB</v>
      </c>
      <c r="B10142" t="s">
        <v>1457</v>
      </c>
      <c r="C10142">
        <v>221.52</v>
      </c>
      <c r="D10142">
        <v>240.8</v>
      </c>
      <c r="E10142">
        <v>240.79</v>
      </c>
      <c r="F10142">
        <v>0.01</v>
      </c>
    </row>
    <row r="10143" spans="1:6" x14ac:dyDescent="0.3">
      <c r="A10143" t="str">
        <f>HYPERLINK("https://us2.cloudbeds.com/connect/10074733072513#/reservations/31695616192659?display=MHNAF4A2B&amp;reservation_id=31695616192659", "MHNAF4A2B")</f>
        <v>MHNAF4A2B</v>
      </c>
      <c r="B10143" t="s">
        <v>1532</v>
      </c>
      <c r="C10143">
        <v>179</v>
      </c>
      <c r="D10143">
        <v>194.58</v>
      </c>
      <c r="E10143">
        <v>194.57</v>
      </c>
      <c r="F10143">
        <v>0.01</v>
      </c>
    </row>
    <row r="10144" spans="1:6" x14ac:dyDescent="0.3">
      <c r="A10144" t="str">
        <f>HYPERLINK("https://us2.cloudbeds.com/connect/10074733072513#/reservations/31693015290095?display=MHY9WWBQ4&amp;reservation_id=31693015290095", "MHY9WWBQ4")</f>
        <v>MHY9WWBQ4</v>
      </c>
      <c r="B10144" t="s">
        <v>1480</v>
      </c>
      <c r="C10144">
        <v>119</v>
      </c>
      <c r="D10144">
        <v>129.36000000000001</v>
      </c>
      <c r="E10144">
        <v>129.35</v>
      </c>
      <c r="F10144">
        <v>0.01</v>
      </c>
    </row>
    <row r="10145" spans="1:6" x14ac:dyDescent="0.3">
      <c r="A10145" t="str">
        <f>HYPERLINK("https://us2.cloudbeds.com/connect/10074733072513#/reservations/31695094804657?display=MHMU4FU6U&amp;reservation_id=31695094804657", "MHMU4FU6U")</f>
        <v>MHMU4FU6U</v>
      </c>
      <c r="B10145" t="s">
        <v>1457</v>
      </c>
      <c r="C10145">
        <v>221.72</v>
      </c>
      <c r="D10145">
        <v>241.02</v>
      </c>
      <c r="E10145">
        <v>241.01</v>
      </c>
      <c r="F10145">
        <v>0.01</v>
      </c>
    </row>
    <row r="10146" spans="1:6" x14ac:dyDescent="0.3">
      <c r="A10146" t="str">
        <f>HYPERLINK("https://us2.cloudbeds.com/connect/10074733072513#/reservations/31692206776464?display=MHKMB7912&amp;reservation_id=31692206776464", "MHKMB7912")</f>
        <v>MHKMB7912</v>
      </c>
      <c r="B10146" t="s">
        <v>1568</v>
      </c>
      <c r="C10146">
        <v>258</v>
      </c>
      <c r="D10146">
        <v>280.45999999999998</v>
      </c>
      <c r="E10146">
        <v>280.45</v>
      </c>
      <c r="F10146">
        <v>0.01</v>
      </c>
    </row>
    <row r="10147" spans="1:6" x14ac:dyDescent="0.3">
      <c r="A10147" t="str">
        <f>HYPERLINK("https://us2.cloudbeds.com/connect/10074733072513#/reservations/31695678369989?display=MHNC1XFSS&amp;reservation_id=31695678369989", "MHNC1XFSS")</f>
        <v>MHNC1XFSS</v>
      </c>
      <c r="B10147" t="s">
        <v>1457</v>
      </c>
      <c r="C10147">
        <v>221.72</v>
      </c>
      <c r="D10147">
        <v>241.02</v>
      </c>
      <c r="E10147">
        <v>241.01</v>
      </c>
      <c r="F10147">
        <v>0.01</v>
      </c>
    </row>
    <row r="10148" spans="1:6" x14ac:dyDescent="0.3">
      <c r="A10148" t="str">
        <f>HYPERLINK("https://us2.cloudbeds.com/connect/10074733072513#/reservations/31695629148392?display=MHNAQ1QWA&amp;reservation_id=31695629148392", "MHNAQ1QWA")</f>
        <v>MHNAQ1QWA</v>
      </c>
      <c r="B10148" t="s">
        <v>1532</v>
      </c>
      <c r="C10148">
        <v>189</v>
      </c>
      <c r="D10148">
        <v>205.45</v>
      </c>
      <c r="E10148">
        <v>205.44</v>
      </c>
      <c r="F10148">
        <v>0.01</v>
      </c>
    </row>
    <row r="10149" spans="1:6" x14ac:dyDescent="0.3">
      <c r="A10149" t="str">
        <f>HYPERLINK("https://us2.cloudbeds.com/connect/10074733072513#/reservations/31694311137408?display=MHM9T49ZR&amp;reservation_id=31694311137408", "MHM9T49ZR")</f>
        <v>MHM9T49ZR</v>
      </c>
      <c r="B10149" t="s">
        <v>1441</v>
      </c>
      <c r="C10149">
        <v>129</v>
      </c>
      <c r="D10149">
        <v>140.22999999999999</v>
      </c>
      <c r="E10149">
        <v>140.22</v>
      </c>
      <c r="F10149">
        <v>0.01</v>
      </c>
    </row>
    <row r="10150" spans="1:6" x14ac:dyDescent="0.3">
      <c r="A10150" t="str">
        <f>HYPERLINK("https://us2.cloudbeds.com/connect/10074733072513#/reservations/31693310582985?display=MHYHHWAFH&amp;reservation_id=31693310582985", "MHYHHWAFH")</f>
        <v>MHYHHWAFH</v>
      </c>
      <c r="B10150" t="s">
        <v>1480</v>
      </c>
      <c r="C10150">
        <v>129</v>
      </c>
      <c r="D10150">
        <v>140.22999999999999</v>
      </c>
      <c r="E10150">
        <v>140.22</v>
      </c>
      <c r="F10150">
        <v>0.01</v>
      </c>
    </row>
    <row r="10151" spans="1:6" x14ac:dyDescent="0.3">
      <c r="A10151" t="str">
        <f>HYPERLINK("https://us2.cloudbeds.com/connect/10074733072513#/reservations/31695913050320?display=MHNX1EQY1&amp;reservation_id=31695913050320", "MHNX1EQY1")</f>
        <v>MHNX1EQY1</v>
      </c>
      <c r="B10151" t="s">
        <v>1532</v>
      </c>
      <c r="C10151">
        <v>189</v>
      </c>
      <c r="D10151">
        <v>205.45</v>
      </c>
      <c r="E10151">
        <v>205.44</v>
      </c>
      <c r="F10151">
        <v>0.01</v>
      </c>
    </row>
    <row r="10152" spans="1:6" x14ac:dyDescent="0.3">
      <c r="A10152" t="str">
        <f>HYPERLINK("https://us2.cloudbeds.com/connect/10074733072513#/reservations/31692914086083?display=MHY7DY6QT&amp;reservation_id=31692914086083", "MHY7DY6QT")</f>
        <v>MHY7DY6QT</v>
      </c>
      <c r="B10152" t="s">
        <v>1571</v>
      </c>
      <c r="C10152">
        <v>252</v>
      </c>
      <c r="D10152">
        <v>273.93</v>
      </c>
      <c r="E10152">
        <v>273.92</v>
      </c>
      <c r="F10152">
        <v>0.01</v>
      </c>
    </row>
    <row r="10153" spans="1:6" x14ac:dyDescent="0.3">
      <c r="A10153" t="str">
        <f>HYPERLINK("https://us2.cloudbeds.com/connect/10074733072513#/reservations/31695907877051?display=MHNHU2S5A&amp;reservation_id=31695907877051", "MHNHU2S5A")</f>
        <v>MHNHU2S5A</v>
      </c>
      <c r="B10153" t="s">
        <v>1532</v>
      </c>
      <c r="C10153">
        <v>169</v>
      </c>
      <c r="D10153">
        <v>183.71</v>
      </c>
      <c r="E10153">
        <v>183.7</v>
      </c>
      <c r="F10153">
        <v>0.01</v>
      </c>
    </row>
    <row r="10154" spans="1:6" x14ac:dyDescent="0.3">
      <c r="A10154" t="str">
        <f>HYPERLINK("https://us2.cloudbeds.com/connect/10074733072513#/reservations/31693573959896?display=MHYZ925X1&amp;reservation_id=31693573959896", "MHYZ925X1")</f>
        <v>MHYZ925X1</v>
      </c>
      <c r="B10154" t="s">
        <v>1457</v>
      </c>
      <c r="C10154">
        <v>110.86</v>
      </c>
      <c r="D10154">
        <v>120.51</v>
      </c>
      <c r="E10154">
        <v>120.5</v>
      </c>
      <c r="F10154">
        <v>0.01</v>
      </c>
    </row>
    <row r="10155" spans="1:6" x14ac:dyDescent="0.3">
      <c r="A10155" t="str">
        <f>HYPERLINK("https://us2.cloudbeds.com/connect/10074733072513#/reservations/31693970260182?display=MHM1D7QYK&amp;reservation_id=31693970260182", "MHM1D7QYK")</f>
        <v>MHM1D7QYK</v>
      </c>
      <c r="B10155" t="s">
        <v>1522</v>
      </c>
      <c r="C10155">
        <v>351.6</v>
      </c>
      <c r="D10155">
        <v>382.2</v>
      </c>
      <c r="E10155">
        <v>382.19</v>
      </c>
      <c r="F10155">
        <v>0.01</v>
      </c>
    </row>
    <row r="10156" spans="1:6" x14ac:dyDescent="0.3">
      <c r="A10156" t="str">
        <f>HYPERLINK("https://us2.cloudbeds.com/connect/10074733072513#/reservations/31695573717142?display=MHN9CABUF&amp;reservation_id=31695573717142", "MHN9CABUF")</f>
        <v>MHN9CABUF</v>
      </c>
      <c r="B10156" t="s">
        <v>1520</v>
      </c>
      <c r="C10156">
        <v>139</v>
      </c>
      <c r="D10156">
        <v>151.1</v>
      </c>
      <c r="E10156">
        <v>151.09</v>
      </c>
      <c r="F10156">
        <v>0.01</v>
      </c>
    </row>
    <row r="10157" spans="1:6" x14ac:dyDescent="0.3">
      <c r="A10157" t="str">
        <f>HYPERLINK("https://us2.cloudbeds.com/connect/10074733072513#/reservations/31691008249989?display=MHJZNJGZW&amp;reservation_id=31691008249989", "MHJZNJGZW")</f>
        <v>MHJZNJGZW</v>
      </c>
      <c r="B10157" t="s">
        <v>1469</v>
      </c>
      <c r="C10157">
        <v>169</v>
      </c>
      <c r="D10157">
        <v>183.71</v>
      </c>
      <c r="E10157">
        <v>183.7</v>
      </c>
      <c r="F10157">
        <v>0.01</v>
      </c>
    </row>
    <row r="10158" spans="1:6" x14ac:dyDescent="0.3">
      <c r="A10158" t="str">
        <f>HYPERLINK("https://us2.cloudbeds.com/connect/10074733072513#/reservations/31694229037196?display=MHM80EYPA&amp;reservation_id=31694229037196", "MHM80EYPA")</f>
        <v>MHM80EYPA</v>
      </c>
      <c r="B10158" t="s">
        <v>1315</v>
      </c>
      <c r="C10158">
        <v>139</v>
      </c>
      <c r="D10158">
        <v>151.1</v>
      </c>
      <c r="E10158">
        <v>151.09</v>
      </c>
      <c r="F10158">
        <v>0.01</v>
      </c>
    </row>
    <row r="10159" spans="1:6" x14ac:dyDescent="0.3">
      <c r="A10159" t="str">
        <f>HYPERLINK("https://us2.cloudbeds.com/connect/10074733072513#/reservations/31693606252769?display=MHYP39P7V&amp;reservation_id=31693606252769", "MHYP39P7V")</f>
        <v>MHYP39P7V</v>
      </c>
      <c r="B10159" t="s">
        <v>1525</v>
      </c>
      <c r="C10159">
        <v>119</v>
      </c>
      <c r="D10159">
        <v>129.36000000000001</v>
      </c>
      <c r="E10159">
        <v>129.35</v>
      </c>
      <c r="F10159">
        <v>0.01</v>
      </c>
    </row>
    <row r="10160" spans="1:6" x14ac:dyDescent="0.3">
      <c r="A10160" t="str">
        <f>HYPERLINK("https://us2.cloudbeds.com/connect/10074733072513#/reservations/31692846903438?display=MHY5MWZP5&amp;reservation_id=31692846903438", "MHY5MWZP5")</f>
        <v>MHY5MWZP5</v>
      </c>
      <c r="B10160" t="s">
        <v>1571</v>
      </c>
      <c r="C10160">
        <v>119</v>
      </c>
      <c r="D10160">
        <v>129.36000000000001</v>
      </c>
      <c r="E10160">
        <v>129.35</v>
      </c>
      <c r="F10160">
        <v>0.01</v>
      </c>
    </row>
    <row r="10161" spans="1:6" x14ac:dyDescent="0.3">
      <c r="A10161" t="str">
        <f>HYPERLINK("https://us2.cloudbeds.com/connect/10074733072513#/reservations/31730755301549?display=MXHHBBQMS&amp;reservation_id=31730755301549", "MXHHBBQMS")</f>
        <v>MXHHBBQMS</v>
      </c>
      <c r="B10161" t="s">
        <v>1572</v>
      </c>
      <c r="C10161">
        <v>358</v>
      </c>
      <c r="D10161">
        <v>389.16</v>
      </c>
      <c r="E10161">
        <v>389.15</v>
      </c>
      <c r="F10161">
        <v>0.01</v>
      </c>
    </row>
    <row r="10162" spans="1:6" x14ac:dyDescent="0.3">
      <c r="A10162" t="str">
        <f>HYPERLINK("https://us2.cloudbeds.com/connect/10074733072513#/reservations/31733676556536?display=MXJPWY158&amp;reservation_id=31733676556536", "MXJPWY158")</f>
        <v>MXJPWY158</v>
      </c>
      <c r="B10162" t="s">
        <v>1322</v>
      </c>
      <c r="C10162">
        <v>159</v>
      </c>
      <c r="D10162">
        <v>172.84</v>
      </c>
      <c r="E10162">
        <v>172.83</v>
      </c>
      <c r="F10162">
        <v>0.01</v>
      </c>
    </row>
    <row r="10163" spans="1:6" x14ac:dyDescent="0.3">
      <c r="A10163" t="str">
        <f>HYPERLINK("https://us2.cloudbeds.com/connect/10074733072513#/reservations/31730617385172?display=MXHDR22NN&amp;reservation_id=31730617385172", "MXHDR22NN")</f>
        <v>MXHDR22NN</v>
      </c>
      <c r="B10163" t="s">
        <v>1573</v>
      </c>
      <c r="C10163">
        <v>209</v>
      </c>
      <c r="D10163">
        <v>227.19</v>
      </c>
      <c r="E10163">
        <v>227.18</v>
      </c>
      <c r="F10163">
        <v>0.01</v>
      </c>
    </row>
    <row r="10164" spans="1:6" x14ac:dyDescent="0.3">
      <c r="A10164" t="str">
        <f>HYPERLINK("https://us2.cloudbeds.com/connect/10074733072513#/reservations/31734226333948?display=MXK717D8R&amp;reservation_id=31734226333948", "MXK717D8R")</f>
        <v>MXK717D8R</v>
      </c>
      <c r="B10164" t="s">
        <v>1573</v>
      </c>
      <c r="C10164">
        <v>209</v>
      </c>
      <c r="D10164">
        <v>227.19</v>
      </c>
      <c r="E10164">
        <v>227.18</v>
      </c>
      <c r="F10164">
        <v>0.01</v>
      </c>
    </row>
    <row r="10165" spans="1:6" x14ac:dyDescent="0.3">
      <c r="A10165" t="str">
        <f>HYPERLINK("https://us2.cloudbeds.com/connect/10074733072513#/reservations/31695929860244?display=MHNXFKXZM&amp;reservation_id=31695929860244", "MHNXFKXZM")</f>
        <v>MHNXFKXZM</v>
      </c>
      <c r="B10165" t="s">
        <v>1520</v>
      </c>
      <c r="C10165">
        <v>97.74</v>
      </c>
      <c r="D10165">
        <v>106.25</v>
      </c>
      <c r="E10165">
        <v>106.24</v>
      </c>
      <c r="F10165">
        <v>0.01</v>
      </c>
    </row>
    <row r="10166" spans="1:6" x14ac:dyDescent="0.3">
      <c r="A10166" t="str">
        <f>HYPERLINK("https://us2.cloudbeds.com/connect/10074733072513#/reservations/31692590022859?display=MHKW4CM36&amp;reservation_id=31692590022859", "MHKW4CM36")</f>
        <v>MHKW4CM36</v>
      </c>
      <c r="B10166" t="s">
        <v>1522</v>
      </c>
      <c r="C10166">
        <v>298</v>
      </c>
      <c r="D10166">
        <v>323.94</v>
      </c>
      <c r="E10166">
        <v>323.93</v>
      </c>
      <c r="F10166">
        <v>0.01</v>
      </c>
    </row>
    <row r="10167" spans="1:6" x14ac:dyDescent="0.3">
      <c r="A10167" t="str">
        <f>HYPERLINK("https://us2.cloudbeds.com/connect/10074733072513#/reservations/31695940788452?display=MHNXZRYRG&amp;reservation_id=31695940788452", "MHNXZRYRG")</f>
        <v>MHNXZRYRG</v>
      </c>
      <c r="B10167" t="s">
        <v>1520</v>
      </c>
      <c r="C10167">
        <v>139</v>
      </c>
      <c r="D10167">
        <v>151.1</v>
      </c>
      <c r="E10167">
        <v>151.09</v>
      </c>
      <c r="F10167">
        <v>0.01</v>
      </c>
    </row>
    <row r="10168" spans="1:6" x14ac:dyDescent="0.3">
      <c r="A10168" t="str">
        <f>HYPERLINK("https://us2.cloudbeds.com/connect/10074733072513#/reservations/31691134677195?display=MHJRV6HHE&amp;reservation_id=31691134677195", "MHJRV6HHE")</f>
        <v>MHJRV6HHE</v>
      </c>
      <c r="B10168" t="s">
        <v>1507</v>
      </c>
      <c r="C10168">
        <v>209</v>
      </c>
      <c r="D10168">
        <v>227.19</v>
      </c>
      <c r="E10168">
        <v>227.18</v>
      </c>
      <c r="F10168">
        <v>0.01</v>
      </c>
    </row>
    <row r="10169" spans="1:6" x14ac:dyDescent="0.3">
      <c r="A10169" t="str">
        <f>HYPERLINK("https://us2.cloudbeds.com/connect/10074733072513#/reservations/31693912260809?display=MHYWUATBS&amp;reservation_id=31693912260809", "MHYWUATBS")</f>
        <v>MHYWUATBS</v>
      </c>
      <c r="B10169" t="s">
        <v>1520</v>
      </c>
      <c r="C10169">
        <v>338</v>
      </c>
      <c r="D10169">
        <v>367.42</v>
      </c>
      <c r="E10169">
        <v>367.41</v>
      </c>
      <c r="F10169">
        <v>0.01</v>
      </c>
    </row>
    <row r="10170" spans="1:6" x14ac:dyDescent="0.3">
      <c r="A10170" t="str">
        <f>HYPERLINK("https://us2.cloudbeds.com/connect/10074733072513#/reservations/31692490657935?display=MHKTJJMTT&amp;reservation_id=31692490657935", "MHKTJJMTT")</f>
        <v>MHKTJJMTT</v>
      </c>
      <c r="B10170" t="s">
        <v>1469</v>
      </c>
      <c r="C10170">
        <v>179</v>
      </c>
      <c r="D10170">
        <v>194.58</v>
      </c>
      <c r="E10170">
        <v>194.57</v>
      </c>
      <c r="F10170">
        <v>0.01</v>
      </c>
    </row>
    <row r="10171" spans="1:6" x14ac:dyDescent="0.3">
      <c r="A10171" t="str">
        <f>HYPERLINK("https://us2.cloudbeds.com/connect/10074733072513#/reservations/31692487954617?display=MHKTHAFH5&amp;reservation_id=31692487954617", "MHKTHAFH5")</f>
        <v>MHKTHAFH5</v>
      </c>
      <c r="B10171" t="s">
        <v>1469</v>
      </c>
      <c r="C10171">
        <v>159</v>
      </c>
      <c r="D10171">
        <v>172.84</v>
      </c>
      <c r="E10171">
        <v>172.83</v>
      </c>
      <c r="F10171">
        <v>0.01</v>
      </c>
    </row>
    <row r="10172" spans="1:6" x14ac:dyDescent="0.3">
      <c r="A10172" t="str">
        <f>HYPERLINK("https://us2.cloudbeds.com/connect/10074733072513#/reservations/31690225340585?display=MHJ4NDTMJ&amp;reservation_id=31690225340585", "MHJ4NDTMJ")</f>
        <v>MHJ4NDTMJ</v>
      </c>
      <c r="B10172" t="s">
        <v>1520</v>
      </c>
      <c r="C10172">
        <v>358</v>
      </c>
      <c r="D10172">
        <v>389.16</v>
      </c>
      <c r="E10172">
        <v>389.15</v>
      </c>
      <c r="F10172">
        <v>0.01</v>
      </c>
    </row>
    <row r="10173" spans="1:6" x14ac:dyDescent="0.3">
      <c r="A10173" t="str">
        <f>HYPERLINK("https://us2.cloudbeds.com/connect/10074733072513#/reservations/31690259099854?display=MHJ5XT9UZ&amp;reservation_id=31690259099854", "MHJ5XT9UZ")</f>
        <v>MHJ5XT9UZ</v>
      </c>
      <c r="B10173" t="s">
        <v>1520</v>
      </c>
      <c r="C10173">
        <v>139</v>
      </c>
      <c r="D10173">
        <v>151.1</v>
      </c>
      <c r="E10173">
        <v>151.09</v>
      </c>
      <c r="F10173">
        <v>0.01</v>
      </c>
    </row>
    <row r="10174" spans="1:6" x14ac:dyDescent="0.3">
      <c r="A10174" t="str">
        <f>HYPERLINK("https://us2.cloudbeds.com/connect/10074733072513#/reservations/31693970931875?display=MHM1DQGEV&amp;reservation_id=31693970931875", "MHM1DQGEV")</f>
        <v>MHM1DQGEV</v>
      </c>
      <c r="B10174" t="s">
        <v>1542</v>
      </c>
      <c r="C10174">
        <v>209</v>
      </c>
      <c r="D10174">
        <v>227.19</v>
      </c>
      <c r="E10174">
        <v>227.18</v>
      </c>
      <c r="F10174">
        <v>0.01</v>
      </c>
    </row>
    <row r="10175" spans="1:6" x14ac:dyDescent="0.3">
      <c r="A10175" t="str">
        <f>HYPERLINK("https://us2.cloudbeds.com/connect/10074733072513#/reservations/31693812162723?display=MHYUBUGUB&amp;reservation_id=31693812162723", "MHYUBUGUB")</f>
        <v>MHYUBUGUB</v>
      </c>
      <c r="B10175" t="s">
        <v>1520</v>
      </c>
      <c r="C10175">
        <v>139</v>
      </c>
      <c r="D10175">
        <v>151.1</v>
      </c>
      <c r="E10175">
        <v>151.09</v>
      </c>
      <c r="F10175">
        <v>0.01</v>
      </c>
    </row>
    <row r="10176" spans="1:6" x14ac:dyDescent="0.3">
      <c r="A10176" t="str">
        <f>HYPERLINK("https://us2.cloudbeds.com/connect/10074733072513#/reservations/31692889342207?display=MHY6PPM5F&amp;reservation_id=31692889342207", "MHY6PPM5F")</f>
        <v>MHY6PPM5F</v>
      </c>
      <c r="B10176" t="s">
        <v>1571</v>
      </c>
      <c r="C10176">
        <v>119</v>
      </c>
      <c r="D10176">
        <v>129.36000000000001</v>
      </c>
      <c r="E10176">
        <v>129.35</v>
      </c>
      <c r="F10176">
        <v>0.01</v>
      </c>
    </row>
    <row r="10177" spans="1:6" x14ac:dyDescent="0.3">
      <c r="A10177" t="str">
        <f>HYPERLINK("https://us2.cloudbeds.com/connect/10074733072513#/reservations/31693858816149?display=MHYVX8NHN&amp;reservation_id=31693858816149", "MHYVX8NHN")</f>
        <v>MHYVX8NHN</v>
      </c>
      <c r="B10177" t="s">
        <v>1520</v>
      </c>
      <c r="C10177">
        <v>139</v>
      </c>
      <c r="D10177">
        <v>151.1</v>
      </c>
      <c r="E10177">
        <v>151.09</v>
      </c>
      <c r="F10177">
        <v>0.01</v>
      </c>
    </row>
    <row r="10178" spans="1:6" x14ac:dyDescent="0.3">
      <c r="A10178" t="str">
        <f>HYPERLINK("https://us2.cloudbeds.com/connect/10074733072513#/reservations/31692836692219?display=MHY5ECK29&amp;reservation_id=31692836692219", "MHY5ECK29")</f>
        <v>MHY5ECK29</v>
      </c>
      <c r="B10178" t="s">
        <v>1567</v>
      </c>
      <c r="C10178">
        <v>119</v>
      </c>
      <c r="D10178">
        <v>129.36000000000001</v>
      </c>
      <c r="E10178">
        <v>129.35</v>
      </c>
      <c r="F10178">
        <v>0.01</v>
      </c>
    </row>
    <row r="10179" spans="1:6" x14ac:dyDescent="0.3">
      <c r="A10179" t="str">
        <f>HYPERLINK("https://us2.cloudbeds.com/connect/10074733072513#/reservations/31693565980807?display=MHYZ2B4XF&amp;reservation_id=31693565980807", "MHYZ2B4XF")</f>
        <v>MHYZ2B4XF</v>
      </c>
      <c r="B10179" t="s">
        <v>1571</v>
      </c>
      <c r="C10179">
        <v>119</v>
      </c>
      <c r="D10179">
        <v>129.36000000000001</v>
      </c>
      <c r="E10179">
        <v>129.35</v>
      </c>
      <c r="F10179">
        <v>0.01</v>
      </c>
    </row>
    <row r="10180" spans="1:6" x14ac:dyDescent="0.3">
      <c r="A10180" t="str">
        <f>HYPERLINK("https://us2.cloudbeds.com/connect/10074733072513#/reservations/31734988648694?display=MXKQH0UQM&amp;reservation_id=31734988648694", "MXKQH0UQM")</f>
        <v>MXKQH0UQM</v>
      </c>
      <c r="B10180" t="s">
        <v>1344</v>
      </c>
      <c r="C10180">
        <v>159</v>
      </c>
      <c r="D10180">
        <v>172.84</v>
      </c>
      <c r="E10180">
        <v>172.83</v>
      </c>
      <c r="F10180">
        <v>0.01</v>
      </c>
    </row>
    <row r="10181" spans="1:6" x14ac:dyDescent="0.3">
      <c r="A10181" t="str">
        <f>HYPERLINK("https://us2.cloudbeds.com/connect/10074733072513#/reservations/31734997946506?display=MXKQZSYZX&amp;reservation_id=31734997946506", "MXKQZSYZX")</f>
        <v>MXKQZSYZX</v>
      </c>
      <c r="B10181" t="s">
        <v>1344</v>
      </c>
      <c r="C10181">
        <v>209</v>
      </c>
      <c r="D10181">
        <v>227.19</v>
      </c>
      <c r="E10181">
        <v>227.18</v>
      </c>
      <c r="F10181">
        <v>0.01</v>
      </c>
    </row>
    <row r="10182" spans="1:6" x14ac:dyDescent="0.3">
      <c r="A10182" t="str">
        <f>HYPERLINK("https://us2.cloudbeds.com/connect/10074733072513#/reservations/31693698044124?display=MHYREMWR5&amp;reservation_id=31693698044124", "MHYREMWR5")</f>
        <v>MHYREMWR5</v>
      </c>
      <c r="B10182" t="s">
        <v>1469</v>
      </c>
      <c r="C10182">
        <v>322.2</v>
      </c>
      <c r="D10182">
        <v>350.24</v>
      </c>
      <c r="E10182">
        <v>350.23</v>
      </c>
      <c r="F10182">
        <v>0.01</v>
      </c>
    </row>
    <row r="10183" spans="1:6" x14ac:dyDescent="0.3">
      <c r="A10183" t="str">
        <f>HYPERLINK("https://us2.cloudbeds.com/connect/10074733072513#/reservations/31730576994483?display=MXHCQ050E&amp;reservation_id=31730576994483", "MXHCQ050E")</f>
        <v>MXHCQ050E</v>
      </c>
      <c r="B10183" t="s">
        <v>1573</v>
      </c>
      <c r="C10183">
        <v>702</v>
      </c>
      <c r="D10183">
        <v>763.08</v>
      </c>
      <c r="E10183">
        <v>763.07</v>
      </c>
      <c r="F10183">
        <v>0.01</v>
      </c>
    </row>
    <row r="10184" spans="1:6" x14ac:dyDescent="0.3">
      <c r="A10184" t="str">
        <f>HYPERLINK("https://us2.cloudbeds.com/connect/10074733072513#/reservations/31690630136036?display=MHJF1ZUMD&amp;reservation_id=31690630136036", "MHJF1ZUMD")</f>
        <v>MHJF1ZUMD</v>
      </c>
      <c r="B10184" t="s">
        <v>1559</v>
      </c>
      <c r="C10184">
        <v>129</v>
      </c>
      <c r="D10184">
        <v>140.22999999999999</v>
      </c>
      <c r="E10184">
        <v>140.22</v>
      </c>
      <c r="F10184">
        <v>0.01</v>
      </c>
    </row>
    <row r="10185" spans="1:6" x14ac:dyDescent="0.3">
      <c r="A10185" t="str">
        <f>HYPERLINK("https://us2.cloudbeds.com/connect/10074733072513#/reservations/31695715532936?display=MHNCWTJKP&amp;reservation_id=31695715532936", "MHNCWTJKP")</f>
        <v>MHNCWTJKP</v>
      </c>
      <c r="B10185" t="s">
        <v>1485</v>
      </c>
      <c r="C10185">
        <v>129</v>
      </c>
      <c r="D10185">
        <v>140.22999999999999</v>
      </c>
      <c r="E10185">
        <v>140.22</v>
      </c>
      <c r="F10185">
        <v>0.01</v>
      </c>
    </row>
    <row r="10186" spans="1:6" x14ac:dyDescent="0.3">
      <c r="A10186" t="str">
        <f>HYPERLINK("https://us2.cloudbeds.com/connect/10074733072513#/reservations/31734976954521?display=MXKQ75HBQ&amp;reservation_id=31734976954521", "MXKQ75HBQ")</f>
        <v>MXKQ75HBQ</v>
      </c>
      <c r="B10186" t="s">
        <v>1344</v>
      </c>
      <c r="C10186">
        <v>159</v>
      </c>
      <c r="D10186">
        <v>172.84</v>
      </c>
      <c r="E10186">
        <v>172.83</v>
      </c>
      <c r="F10186">
        <v>0.01</v>
      </c>
    </row>
    <row r="10187" spans="1:6" x14ac:dyDescent="0.3">
      <c r="A10187" t="str">
        <f>HYPERLINK("https://us2.cloudbeds.com/connect/10074733072513#/reservations/31730593595586?display=MXHD703C5&amp;reservation_id=31730593595586", "MXHD703C5")</f>
        <v>MXHD703C5</v>
      </c>
      <c r="B10187" t="s">
        <v>1573</v>
      </c>
      <c r="C10187">
        <v>498</v>
      </c>
      <c r="D10187">
        <v>541.34</v>
      </c>
      <c r="E10187">
        <v>541.33000000000004</v>
      </c>
      <c r="F10187">
        <v>0.01</v>
      </c>
    </row>
    <row r="10188" spans="1:6" x14ac:dyDescent="0.3">
      <c r="A10188" t="str">
        <f>HYPERLINK("https://us2.cloudbeds.com/connect/10074733072513#/reservations/31691036569764?display=MHJPEFX1W&amp;reservation_id=31691036569764", "MHJPEFX1W")</f>
        <v>MHJPEFX1W</v>
      </c>
      <c r="B10188" t="s">
        <v>1485</v>
      </c>
      <c r="C10188">
        <v>73</v>
      </c>
      <c r="D10188">
        <v>79.36</v>
      </c>
      <c r="E10188">
        <v>79.349999999999994</v>
      </c>
      <c r="F10188">
        <v>0.01</v>
      </c>
    </row>
    <row r="10189" spans="1:6" x14ac:dyDescent="0.3">
      <c r="A10189" t="str">
        <f>HYPERLINK("https://us2.cloudbeds.com/connect/10074733072513#/reservations/31690244407429?display=MHJ56GF8Z&amp;reservation_id=31690244407429", "MHJ56GF8Z")</f>
        <v>MHJ56GF8Z</v>
      </c>
      <c r="B10189" t="s">
        <v>1520</v>
      </c>
      <c r="C10189">
        <v>169</v>
      </c>
      <c r="D10189">
        <v>183.71</v>
      </c>
      <c r="E10189">
        <v>183.7</v>
      </c>
      <c r="F10189">
        <v>0.01</v>
      </c>
    </row>
    <row r="10190" spans="1:6" x14ac:dyDescent="0.3">
      <c r="A10190" t="str">
        <f>HYPERLINK("https://us2.cloudbeds.com/connect/10074733072513#/reservations/31695769104561?display=MHNEC2A1B&amp;reservation_id=31695769104561", "MHNEC2A1B")</f>
        <v>MHNEC2A1B</v>
      </c>
      <c r="B10190" t="s">
        <v>1485</v>
      </c>
      <c r="C10190">
        <v>129</v>
      </c>
      <c r="D10190">
        <v>140.22999999999999</v>
      </c>
      <c r="E10190">
        <v>140.22</v>
      </c>
      <c r="F10190">
        <v>0.01</v>
      </c>
    </row>
    <row r="10191" spans="1:6" x14ac:dyDescent="0.3">
      <c r="A10191" t="str">
        <f>HYPERLINK("https://us2.cloudbeds.com/connect/10074733072513#/reservations/31735993524449?display=MXYJ6C2Z4&amp;reservation_id=31735993524449", "MXYJ6C2Z4")</f>
        <v>MXYJ6C2Z4</v>
      </c>
      <c r="B10191" t="s">
        <v>1322</v>
      </c>
      <c r="C10191">
        <v>338</v>
      </c>
      <c r="D10191">
        <v>367.42</v>
      </c>
      <c r="E10191">
        <v>367.41</v>
      </c>
      <c r="F10191">
        <v>0.01</v>
      </c>
    </row>
    <row r="10192" spans="1:6" x14ac:dyDescent="0.3">
      <c r="A10192" t="str">
        <f>HYPERLINK("https://us2.cloudbeds.com/connect/10074733072513#/reservations/31735006154976?display=MXKQVQ2C2&amp;reservation_id=31735006154976", "MXKQVQ2C2")</f>
        <v>MXKQVQ2C2</v>
      </c>
      <c r="B10192" t="s">
        <v>1344</v>
      </c>
      <c r="C10192">
        <v>318</v>
      </c>
      <c r="D10192">
        <v>345.68</v>
      </c>
      <c r="E10192">
        <v>345.67</v>
      </c>
      <c r="F10192">
        <v>0.01</v>
      </c>
    </row>
    <row r="10193" spans="1:6" x14ac:dyDescent="0.3">
      <c r="A10193" t="str">
        <f>HYPERLINK("https://us2.cloudbeds.com/connect/10074733072513#/reservations/31729448673422?display=MXGGVXVH4&amp;reservation_id=31729448673422", "MXGGVXVH4")</f>
        <v>MXGGVXVH4</v>
      </c>
      <c r="B10193" t="s">
        <v>1566</v>
      </c>
      <c r="C10193">
        <v>258</v>
      </c>
      <c r="D10193">
        <v>280.45999999999998</v>
      </c>
      <c r="E10193">
        <v>280.45</v>
      </c>
      <c r="F10193">
        <v>0.01</v>
      </c>
    </row>
    <row r="10194" spans="1:6" x14ac:dyDescent="0.3">
      <c r="A10194" t="str">
        <f>HYPERLINK("https://us2.cloudbeds.com/connect/10074733072513#/reservations/31726142312690?display=MXDVFXJJM&amp;reservation_id=31726142312690", "MXDVFXJJM")</f>
        <v>MXDVFXJJM</v>
      </c>
      <c r="B10194" t="s">
        <v>1566</v>
      </c>
      <c r="C10194">
        <v>258</v>
      </c>
      <c r="D10194">
        <v>280.45999999999998</v>
      </c>
      <c r="E10194">
        <v>280.45</v>
      </c>
      <c r="F10194">
        <v>0.01</v>
      </c>
    </row>
    <row r="10195" spans="1:6" x14ac:dyDescent="0.3">
      <c r="A10195" t="str">
        <f>HYPERLINK("https://us2.cloudbeds.com/connect/10074733072513#/reservations/31694688805075?display=MHMJP4CG4&amp;reservation_id=31694688805075", "MHMJP4CG4")</f>
        <v>MHMJP4CG4</v>
      </c>
      <c r="B10195" t="s">
        <v>1576</v>
      </c>
      <c r="C10195">
        <v>338</v>
      </c>
      <c r="D10195">
        <v>367.42</v>
      </c>
      <c r="E10195">
        <v>367.41</v>
      </c>
      <c r="F10195">
        <v>0.01</v>
      </c>
    </row>
    <row r="10196" spans="1:6" x14ac:dyDescent="0.3">
      <c r="A10196" t="str">
        <f>HYPERLINK("https://us2.cloudbeds.com/connect/10074733072513#/reservations/31729532096722?display=MXGJ2UAUU&amp;reservation_id=31729532096722", "MXGJ2UAUU")</f>
        <v>MXGJ2UAUU</v>
      </c>
      <c r="B10196" t="s">
        <v>1566</v>
      </c>
      <c r="C10196">
        <v>258</v>
      </c>
      <c r="D10196">
        <v>280.45999999999998</v>
      </c>
      <c r="E10196">
        <v>280.45</v>
      </c>
      <c r="F10196">
        <v>0.01</v>
      </c>
    </row>
    <row r="10197" spans="1:6" x14ac:dyDescent="0.3">
      <c r="A10197" t="str">
        <f>HYPERLINK("https://us2.cloudbeds.com/connect/10074733072513#/reservations/31691111149749?display=MHJRBBRTH&amp;reservation_id=31691111149749", "MHJRBBRTH")</f>
        <v>MHJRBBRTH</v>
      </c>
      <c r="B10197" t="s">
        <v>1485</v>
      </c>
      <c r="C10197">
        <v>129</v>
      </c>
      <c r="D10197">
        <v>140.22999999999999</v>
      </c>
      <c r="E10197">
        <v>140.22</v>
      </c>
      <c r="F10197">
        <v>0.01</v>
      </c>
    </row>
    <row r="10198" spans="1:6" x14ac:dyDescent="0.3">
      <c r="A10198" t="str">
        <f>HYPERLINK("https://us2.cloudbeds.com/connect/10074733072513#/reservations/31725922693306?display=MXDPSCBTR&amp;reservation_id=31725922693306", "MXDPSCBTR")</f>
        <v>MXDPSCBTR</v>
      </c>
      <c r="B10198" t="s">
        <v>1566</v>
      </c>
      <c r="C10198">
        <v>129</v>
      </c>
      <c r="D10198">
        <v>140.22999999999999</v>
      </c>
      <c r="E10198">
        <v>140.22</v>
      </c>
      <c r="F10198">
        <v>0.01</v>
      </c>
    </row>
    <row r="10199" spans="1:6" x14ac:dyDescent="0.3">
      <c r="A10199" t="str">
        <f>HYPERLINK("https://us2.cloudbeds.com/connect/10074733072513#/reservations/31728204501174?display=MXFX5F0UZ&amp;reservation_id=31728204501174", "MXFX5F0UZ")</f>
        <v>MXFX5F0UZ</v>
      </c>
      <c r="B10199" t="s">
        <v>1322</v>
      </c>
      <c r="C10199">
        <v>209</v>
      </c>
      <c r="D10199">
        <v>227.19</v>
      </c>
      <c r="E10199">
        <v>227.18</v>
      </c>
      <c r="F10199">
        <v>0.01</v>
      </c>
    </row>
    <row r="10200" spans="1:6" x14ac:dyDescent="0.3">
      <c r="A10200" t="str">
        <f>HYPERLINK("https://us2.cloudbeds.com/connect/10074733072513#/reservations/31725971112091?display=MXDR36MJZ&amp;reservation_id=31725971112091", "MXDR36MJZ")</f>
        <v>MXDR36MJZ</v>
      </c>
      <c r="B10200" t="s">
        <v>1566</v>
      </c>
      <c r="C10200">
        <v>258</v>
      </c>
      <c r="D10200">
        <v>280.45999999999998</v>
      </c>
      <c r="E10200">
        <v>280.45</v>
      </c>
      <c r="F10200">
        <v>0.01</v>
      </c>
    </row>
    <row r="10201" spans="1:6" x14ac:dyDescent="0.3">
      <c r="A10201" t="str">
        <f>HYPERLINK("https://us2.cloudbeds.com/connect/10074733072513#/reservations/31693717426361?display=MHYRV1B0M&amp;reservation_id=31693717426361", "MHYRV1B0M")</f>
        <v>MHYRV1B0M</v>
      </c>
      <c r="B10201" t="s">
        <v>1469</v>
      </c>
      <c r="C10201">
        <v>109</v>
      </c>
      <c r="D10201">
        <v>118.49</v>
      </c>
      <c r="E10201">
        <v>118.48</v>
      </c>
      <c r="F10201">
        <v>0.01</v>
      </c>
    </row>
    <row r="10202" spans="1:6" x14ac:dyDescent="0.3">
      <c r="A10202" t="str">
        <f>HYPERLINK("https://us2.cloudbeds.com/connect/10074733072513#/reservations/31725913473254?display=MXDPKJQCA&amp;reservation_id=31725913473254", "MXDPKJQCA")</f>
        <v>MXDPKJQCA</v>
      </c>
      <c r="B10202" t="s">
        <v>1566</v>
      </c>
      <c r="C10202">
        <v>129</v>
      </c>
      <c r="D10202">
        <v>140.22999999999999</v>
      </c>
      <c r="E10202">
        <v>140.22</v>
      </c>
      <c r="F10202">
        <v>0.01</v>
      </c>
    </row>
    <row r="10203" spans="1:6" x14ac:dyDescent="0.3">
      <c r="A10203" t="str">
        <f>HYPERLINK("https://us2.cloudbeds.com/connect/10074733072513#/reservations/31695573721240?display=MHN9CAFMY&amp;reservation_id=31695573721240", "MHN9CAFMY")</f>
        <v>MHN9CAFMY</v>
      </c>
      <c r="B10203" t="s">
        <v>1520</v>
      </c>
      <c r="C10203">
        <v>179</v>
      </c>
      <c r="D10203">
        <v>194.58</v>
      </c>
      <c r="E10203">
        <v>194.57</v>
      </c>
      <c r="F10203">
        <v>0.01</v>
      </c>
    </row>
    <row r="10204" spans="1:6" x14ac:dyDescent="0.3">
      <c r="A10204" t="str">
        <f>HYPERLINK("https://us2.cloudbeds.com/connect/10074733072513#/reservations/31692532367582?display=MHKUYPAPJ&amp;reservation_id=31692532367582", "MHKUYPAPJ")</f>
        <v>MHKUYPAPJ</v>
      </c>
      <c r="B10204" t="s">
        <v>1550</v>
      </c>
      <c r="C10204">
        <v>73</v>
      </c>
      <c r="D10204">
        <v>79.36</v>
      </c>
      <c r="E10204">
        <v>79.349999999999994</v>
      </c>
      <c r="F10204">
        <v>0.01</v>
      </c>
    </row>
    <row r="10205" spans="1:6" x14ac:dyDescent="0.3">
      <c r="A10205" t="str">
        <f>HYPERLINK("https://us2.cloudbeds.com/connect/10074733072513#/reservations/31692611236034?display=MHKWM8VJM&amp;reservation_id=31692611236034", "MHKWM8VJM")</f>
        <v>MHKWM8VJM</v>
      </c>
      <c r="B10205" t="s">
        <v>1522</v>
      </c>
      <c r="C10205">
        <v>150</v>
      </c>
      <c r="D10205">
        <v>163.06</v>
      </c>
      <c r="E10205">
        <v>163.05000000000001</v>
      </c>
      <c r="F10205">
        <v>0.01</v>
      </c>
    </row>
    <row r="10206" spans="1:6" x14ac:dyDescent="0.3">
      <c r="A10206" t="str">
        <f>HYPERLINK("https://us2.cloudbeds.com/connect/10074733072513#/reservations/31692538659020?display=MHKUR2D17&amp;reservation_id=31692538659020", "MHKUR2D17")</f>
        <v>MHKUR2D17</v>
      </c>
      <c r="B10206" t="s">
        <v>1550</v>
      </c>
      <c r="C10206">
        <v>97.74</v>
      </c>
      <c r="D10206">
        <v>106.25</v>
      </c>
      <c r="E10206">
        <v>106.24</v>
      </c>
      <c r="F10206">
        <v>0.01</v>
      </c>
    </row>
    <row r="10207" spans="1:6" x14ac:dyDescent="0.3">
      <c r="A10207" t="str">
        <f>HYPERLINK("https://us2.cloudbeds.com/connect/10074733072513#/reservations/31731789000914?display=MXXAP00J1&amp;reservation_id=31731789000914", "MXXAP00J1")</f>
        <v>MXXAP00J1</v>
      </c>
      <c r="B10207" t="s">
        <v>1344</v>
      </c>
      <c r="C10207">
        <v>179</v>
      </c>
      <c r="D10207">
        <v>194.58</v>
      </c>
      <c r="E10207">
        <v>194.57</v>
      </c>
      <c r="F10207">
        <v>0.01</v>
      </c>
    </row>
    <row r="10208" spans="1:6" x14ac:dyDescent="0.3">
      <c r="A10208" t="str">
        <f>HYPERLINK("https://us2.cloudbeds.com/connect/10074733072513#/reservations/31729457557736?display=MXGH625ZP&amp;reservation_id=31729457557736", "MXGH625ZP")</f>
        <v>MXGH625ZP</v>
      </c>
      <c r="B10208" t="s">
        <v>1566</v>
      </c>
      <c r="C10208">
        <v>258</v>
      </c>
      <c r="D10208">
        <v>280.45999999999998</v>
      </c>
      <c r="E10208">
        <v>280.45</v>
      </c>
      <c r="F10208">
        <v>0.01</v>
      </c>
    </row>
    <row r="10209" spans="1:6" x14ac:dyDescent="0.3">
      <c r="A10209" t="str">
        <f>HYPERLINK("https://us2.cloudbeds.com/connect/10074733072513#/reservations/31695179342056?display=MHMW9P9M9&amp;reservation_id=31695179342056", "MHMW9P9M9")</f>
        <v>MHMW9P9M9</v>
      </c>
      <c r="B10209" t="s">
        <v>1315</v>
      </c>
      <c r="C10209">
        <v>229</v>
      </c>
      <c r="D10209">
        <v>248.93</v>
      </c>
      <c r="E10209">
        <v>248.92</v>
      </c>
      <c r="F10209">
        <v>0.01</v>
      </c>
    </row>
    <row r="10210" spans="1:6" x14ac:dyDescent="0.3">
      <c r="A10210" t="str">
        <f>HYPERLINK("https://us2.cloudbeds.com/connect/10074733072513#/reservations/31734052044985?display=MXK2J8XA3&amp;reservation_id=31734052044985", "MXK2J8XA3")</f>
        <v>MXK2J8XA3</v>
      </c>
      <c r="B10210" t="s">
        <v>1344</v>
      </c>
      <c r="C10210">
        <v>179</v>
      </c>
      <c r="D10210">
        <v>194.58</v>
      </c>
      <c r="E10210">
        <v>194.57</v>
      </c>
      <c r="F10210">
        <v>0.01</v>
      </c>
    </row>
    <row r="10211" spans="1:6" x14ac:dyDescent="0.3">
      <c r="A10211" t="str">
        <f>HYPERLINK("https://us2.cloudbeds.com/connect/10074733072513#/reservations/31694271865055?display=MHM93XDF7&amp;reservation_id=31694271865055", "MHM93XDF7")</f>
        <v>MHM93XDF7</v>
      </c>
      <c r="B10211" t="s">
        <v>1315</v>
      </c>
      <c r="C10211">
        <v>576</v>
      </c>
      <c r="D10211">
        <v>626.12</v>
      </c>
      <c r="E10211">
        <v>626.11</v>
      </c>
      <c r="F10211">
        <v>0.01</v>
      </c>
    </row>
    <row r="10212" spans="1:6" x14ac:dyDescent="0.3">
      <c r="A10212" t="str">
        <f>HYPERLINK("https://us2.cloudbeds.com/connect/10074733072513#/reservations/31733864485020?display=MXJUQ3DUQ&amp;reservation_id=31733864485020", "MXJUQ3DUQ")</f>
        <v>MXJUQ3DUQ</v>
      </c>
      <c r="B10212" t="s">
        <v>1401</v>
      </c>
      <c r="C10212">
        <v>189</v>
      </c>
      <c r="D10212">
        <v>205.45</v>
      </c>
      <c r="E10212">
        <v>205.44</v>
      </c>
      <c r="F10212">
        <v>0.01</v>
      </c>
    </row>
    <row r="10213" spans="1:6" x14ac:dyDescent="0.3">
      <c r="A10213" t="str">
        <f>HYPERLINK("https://us2.cloudbeds.com/connect/10074733072513#/reservations/31693993451728?display=MHM1WQ4RZ&amp;reservation_id=31693993451728", "MHM1WQ4RZ")</f>
        <v>MHM1WQ4RZ</v>
      </c>
      <c r="B10213" t="s">
        <v>1522</v>
      </c>
      <c r="C10213">
        <v>358</v>
      </c>
      <c r="D10213">
        <v>389.16</v>
      </c>
      <c r="E10213">
        <v>389.15</v>
      </c>
      <c r="F10213">
        <v>0.01</v>
      </c>
    </row>
    <row r="10214" spans="1:6" x14ac:dyDescent="0.3">
      <c r="A10214" t="str">
        <f>HYPERLINK("https://us2.cloudbeds.com/connect/10074733072513#/reservations/31694041174163?display=MHM371334&amp;reservation_id=31694041174163", "MHM371334")</f>
        <v>MHM371334</v>
      </c>
      <c r="B10214" t="s">
        <v>1522</v>
      </c>
      <c r="C10214">
        <v>149</v>
      </c>
      <c r="D10214">
        <v>161.97</v>
      </c>
      <c r="E10214">
        <v>161.96</v>
      </c>
      <c r="F10214">
        <v>0.01</v>
      </c>
    </row>
    <row r="10215" spans="1:6" x14ac:dyDescent="0.3">
      <c r="A10215" t="str">
        <f>HYPERLINK("https://us2.cloudbeds.com/connect/10074733072513#/reservations/31692275892457?display=MHKZ3GHE3&amp;reservation_id=31692275892457", "MHKZ3GHE3")</f>
        <v>MHKZ3GHE3</v>
      </c>
      <c r="B10215" t="s">
        <v>1568</v>
      </c>
      <c r="C10215">
        <v>379.2</v>
      </c>
      <c r="D10215">
        <v>412.2</v>
      </c>
      <c r="E10215">
        <v>412.19</v>
      </c>
      <c r="F10215">
        <v>0.01</v>
      </c>
    </row>
    <row r="10216" spans="1:6" x14ac:dyDescent="0.3">
      <c r="A10216" t="str">
        <f>HYPERLINK("https://us2.cloudbeds.com/connect/10074733072513#/reservations/31692525592786?display=MHKUG1QYZ&amp;reservation_id=31692525592786", "MHKUG1QYZ")</f>
        <v>MHKUG1QYZ</v>
      </c>
      <c r="B10216" t="s">
        <v>1550</v>
      </c>
      <c r="C10216">
        <v>149</v>
      </c>
      <c r="D10216">
        <v>161.97</v>
      </c>
      <c r="E10216">
        <v>161.96</v>
      </c>
      <c r="F10216">
        <v>0.01</v>
      </c>
    </row>
    <row r="10217" spans="1:6" x14ac:dyDescent="0.3">
      <c r="A10217" t="str">
        <f>HYPERLINK("https://us2.cloudbeds.com/connect/10074733072513#/reservations/31728281989256?display=MXFK4Q86G&amp;reservation_id=31728281989256", "MXFK4Q86G")</f>
        <v>MXFK4Q86G</v>
      </c>
      <c r="B10217" t="s">
        <v>1531</v>
      </c>
      <c r="C10217">
        <v>179</v>
      </c>
      <c r="D10217">
        <v>194.58</v>
      </c>
      <c r="E10217">
        <v>194.57</v>
      </c>
      <c r="F10217">
        <v>0.01</v>
      </c>
    </row>
    <row r="10218" spans="1:6" x14ac:dyDescent="0.3">
      <c r="A10218" t="str">
        <f>HYPERLINK("https://us2.cloudbeds.com/connect/10074733072513#/reservations/31692165152943?display=MHKY94188&amp;reservation_id=31692165152943", "MHKY94188")</f>
        <v>MHKY94188</v>
      </c>
      <c r="B10218" t="s">
        <v>1570</v>
      </c>
      <c r="C10218">
        <v>179</v>
      </c>
      <c r="D10218">
        <v>194.58</v>
      </c>
      <c r="E10218">
        <v>194.57</v>
      </c>
      <c r="F10218">
        <v>0.01</v>
      </c>
    </row>
    <row r="10219" spans="1:6" x14ac:dyDescent="0.3">
      <c r="A10219" t="str">
        <f>HYPERLINK("https://us2.cloudbeds.com/connect/10074733072513#/reservations/31692137111691?display=MHKKXFZNB&amp;reservation_id=31692137111691", "MHKKXFZNB")</f>
        <v>MHKKXFZNB</v>
      </c>
      <c r="B10219" t="s">
        <v>1570</v>
      </c>
      <c r="C10219">
        <v>73</v>
      </c>
      <c r="D10219">
        <v>79.36</v>
      </c>
      <c r="E10219">
        <v>79.349999999999994</v>
      </c>
      <c r="F10219">
        <v>0.01</v>
      </c>
    </row>
    <row r="10220" spans="1:6" x14ac:dyDescent="0.3">
      <c r="A10220" t="str">
        <f>HYPERLINK("https://us2.cloudbeds.com/connect/10074733072513#/reservations/31729542918324?display=MXGJC1F48&amp;reservation_id=31729542918324", "MXGJC1F48")</f>
        <v>MXGJC1F48</v>
      </c>
      <c r="B10220" t="s">
        <v>1566</v>
      </c>
      <c r="C10220">
        <v>129</v>
      </c>
      <c r="D10220">
        <v>140.22999999999999</v>
      </c>
      <c r="E10220">
        <v>140.22</v>
      </c>
      <c r="F10220">
        <v>0.01</v>
      </c>
    </row>
    <row r="10221" spans="1:6" x14ac:dyDescent="0.3">
      <c r="A10221" t="str">
        <f>HYPERLINK("https://us2.cloudbeds.com/connect/10074733072513#/reservations/31691231887508?display=MHJUE5X6G&amp;reservation_id=31691231887508", "MHJUE5X6G")</f>
        <v>MHJUE5X6G</v>
      </c>
      <c r="B10221" t="s">
        <v>1570</v>
      </c>
      <c r="C10221">
        <v>149</v>
      </c>
      <c r="D10221">
        <v>161.97</v>
      </c>
      <c r="E10221">
        <v>161.96</v>
      </c>
      <c r="F10221">
        <v>0.01</v>
      </c>
    </row>
    <row r="10222" spans="1:6" x14ac:dyDescent="0.3">
      <c r="A10222" t="str">
        <f>HYPERLINK("https://us2.cloudbeds.com/connect/10074733072513#/reservations/31691193372802?display=MHJTEMR56&amp;reservation_id=31691193372802", "MHJTEMR56")</f>
        <v>MHJTEMR56</v>
      </c>
      <c r="B10222" t="s">
        <v>1570</v>
      </c>
      <c r="C10222">
        <v>97.74</v>
      </c>
      <c r="D10222">
        <v>106.25</v>
      </c>
      <c r="E10222">
        <v>106.24</v>
      </c>
      <c r="F10222">
        <v>0.01</v>
      </c>
    </row>
    <row r="10223" spans="1:6" x14ac:dyDescent="0.3">
      <c r="A10223" t="str">
        <f>HYPERLINK("https://us2.cloudbeds.com/connect/10074733072513#/reservations/31691165774051?display=MHJSZDRVD&amp;reservation_id=31691165774051", "MHJSZDRVD")</f>
        <v>MHJSZDRVD</v>
      </c>
      <c r="B10223" t="s">
        <v>1570</v>
      </c>
      <c r="C10223">
        <v>169</v>
      </c>
      <c r="D10223">
        <v>183.71</v>
      </c>
      <c r="E10223">
        <v>183.7</v>
      </c>
      <c r="F10223">
        <v>0.01</v>
      </c>
    </row>
    <row r="10224" spans="1:6" x14ac:dyDescent="0.3">
      <c r="A10224" t="str">
        <f>HYPERLINK("https://us2.cloudbeds.com/connect/10074733072513#/reservations/31734090850461?display=MXK3XWCBK&amp;reservation_id=31734090850461", "MXK3XWCBK")</f>
        <v>MXK3XWCBK</v>
      </c>
      <c r="B10224" t="s">
        <v>1344</v>
      </c>
      <c r="C10224">
        <v>189</v>
      </c>
      <c r="D10224">
        <v>205.45</v>
      </c>
      <c r="E10224">
        <v>205.44</v>
      </c>
      <c r="F10224">
        <v>0.01</v>
      </c>
    </row>
    <row r="10225" spans="1:6" x14ac:dyDescent="0.3">
      <c r="A10225" t="str">
        <f>HYPERLINK("https://us2.cloudbeds.com/connect/10074733072513#/reservations/31695593521350?display=MHN9T0EJW&amp;reservation_id=31695593521350", "MHN9T0EJW")</f>
        <v>MHN9T0EJW</v>
      </c>
      <c r="B10225" t="s">
        <v>1520</v>
      </c>
      <c r="C10225">
        <v>159</v>
      </c>
      <c r="D10225">
        <v>172.84</v>
      </c>
      <c r="E10225">
        <v>172.83</v>
      </c>
      <c r="F10225">
        <v>0.01</v>
      </c>
    </row>
    <row r="10226" spans="1:6" x14ac:dyDescent="0.3">
      <c r="A10226" t="str">
        <f>HYPERLINK("https://us2.cloudbeds.com/connect/10074733072513#/reservations/31695943463120?display=MHNXR32U1&amp;reservation_id=31695943463120", "MHNXR32U1")</f>
        <v>MHNXR32U1</v>
      </c>
      <c r="B10226" t="s">
        <v>1520</v>
      </c>
      <c r="C10226">
        <v>322.2</v>
      </c>
      <c r="D10226">
        <v>350.24</v>
      </c>
      <c r="E10226">
        <v>350.23</v>
      </c>
      <c r="F10226">
        <v>0.01</v>
      </c>
    </row>
    <row r="10227" spans="1:6" x14ac:dyDescent="0.3">
      <c r="A10227" t="str">
        <f>HYPERLINK("https://us2.cloudbeds.com/connect/10074733072513#/reservations/31696268300499?display=MHNR405GW&amp;reservation_id=31696268300499", "MHNR405GW")</f>
        <v>MHNR405GW</v>
      </c>
      <c r="B10227" t="s">
        <v>1529</v>
      </c>
      <c r="C10227">
        <v>587</v>
      </c>
      <c r="D10227">
        <v>638.08000000000004</v>
      </c>
      <c r="E10227">
        <v>638.07000000000005</v>
      </c>
      <c r="F10227">
        <v>0.01</v>
      </c>
    </row>
    <row r="10228" spans="1:6" x14ac:dyDescent="0.3">
      <c r="A10228" t="str">
        <f>HYPERLINK("https://us2.cloudbeds.com/connect/10074733072513#/reservations/31694696386734?display=MHMJVHBHH&amp;reservation_id=31694696386734", "MHMJVHBHH")</f>
        <v>MHMJVHBHH</v>
      </c>
      <c r="B10228" t="s">
        <v>1576</v>
      </c>
      <c r="C10228">
        <v>102.58</v>
      </c>
      <c r="D10228">
        <v>111.51</v>
      </c>
      <c r="E10228">
        <v>111.5</v>
      </c>
      <c r="F10228">
        <v>0.01</v>
      </c>
    </row>
    <row r="10229" spans="1:6" x14ac:dyDescent="0.3">
      <c r="A10229" t="str">
        <f>HYPERLINK("https://us2.cloudbeds.com/connect/10074733072513#/reservations/31692333592715?display=MHKPJ541P&amp;reservation_id=31692333592715", "MHKPJ541P")</f>
        <v>MHKPJ541P</v>
      </c>
      <c r="B10229" t="s">
        <v>1568</v>
      </c>
      <c r="C10229">
        <v>149</v>
      </c>
      <c r="D10229">
        <v>161.97</v>
      </c>
      <c r="E10229">
        <v>161.96</v>
      </c>
      <c r="F10229">
        <v>0.01</v>
      </c>
    </row>
    <row r="10230" spans="1:6" x14ac:dyDescent="0.3">
      <c r="A10230" t="str">
        <f>HYPERLINK("https://us2.cloudbeds.com/connect/10074733072513#/reservations/31736057360537?display=MXYKR6DZ1&amp;reservation_id=31736057360537", "MXYKR6DZ1")</f>
        <v>MXYKR6DZ1</v>
      </c>
      <c r="B10230" t="s">
        <v>1322</v>
      </c>
      <c r="C10230">
        <v>318</v>
      </c>
      <c r="D10230">
        <v>345.68</v>
      </c>
      <c r="E10230">
        <v>345.67</v>
      </c>
      <c r="F10230">
        <v>0.01</v>
      </c>
    </row>
    <row r="10231" spans="1:6" x14ac:dyDescent="0.3">
      <c r="A10231" t="str">
        <f>HYPERLINK("https://us2.cloudbeds.com/connect/10074733072513#/reservations/31692166365425?display=MHKYA4PY4&amp;reservation_id=31692166365425", "MHKYA4PY4")</f>
        <v>MHKYA4PY4</v>
      </c>
      <c r="B10231" t="s">
        <v>1568</v>
      </c>
      <c r="C10231">
        <v>159</v>
      </c>
      <c r="D10231">
        <v>172.84</v>
      </c>
      <c r="E10231">
        <v>172.83</v>
      </c>
      <c r="F10231">
        <v>0.01</v>
      </c>
    </row>
    <row r="10232" spans="1:6" x14ac:dyDescent="0.3">
      <c r="A10232" t="str">
        <f>HYPERLINK("https://us2.cloudbeds.com/connect/10074733072513#/reservations/31732990234790?display=MXJ8EU3WJ&amp;reservation_id=31732990234790", "MXJ8EU3WJ")</f>
        <v>MXJ8EU3WJ</v>
      </c>
      <c r="B10232" t="s">
        <v>1579</v>
      </c>
      <c r="C10232">
        <v>209</v>
      </c>
      <c r="D10232">
        <v>227.19</v>
      </c>
      <c r="E10232">
        <v>227.18</v>
      </c>
      <c r="F10232">
        <v>0.01</v>
      </c>
    </row>
    <row r="10233" spans="1:6" x14ac:dyDescent="0.3">
      <c r="A10233" t="str">
        <f>HYPERLINK("https://us2.cloudbeds.com/connect/10074733072513#/reservations/31732869017769?display=MXJ5BN2JH&amp;reservation_id=31732869017769", "MXJ5BN2JH")</f>
        <v>MXJ5BN2JH</v>
      </c>
      <c r="B10233" t="s">
        <v>1580</v>
      </c>
      <c r="C10233">
        <v>318</v>
      </c>
      <c r="D10233">
        <v>345.68</v>
      </c>
      <c r="E10233">
        <v>345.67</v>
      </c>
      <c r="F10233">
        <v>0.01</v>
      </c>
    </row>
    <row r="10234" spans="1:6" x14ac:dyDescent="0.3">
      <c r="A10234" t="str">
        <f>HYPERLINK("https://us2.cloudbeds.com/connect/10074733072513#/reservations/31690244411524?display=MHJ56GJ0R&amp;reservation_id=31690244411524", "MHJ56GJ0R")</f>
        <v>MHJ56GJ0R</v>
      </c>
      <c r="B10234" t="s">
        <v>1520</v>
      </c>
      <c r="C10234">
        <v>209</v>
      </c>
      <c r="D10234">
        <v>227.19</v>
      </c>
      <c r="E10234">
        <v>227.18</v>
      </c>
      <c r="F10234">
        <v>0.01</v>
      </c>
    </row>
    <row r="10235" spans="1:6" x14ac:dyDescent="0.3">
      <c r="A10235" t="str">
        <f>HYPERLINK("https://us2.cloudbeds.com/connect/10074733072513#/reservations/31689264058552?display=MHXD4RQZ0&amp;reservation_id=31689264058552", "MHXD4RQZ0")</f>
        <v>MHXD4RQZ0</v>
      </c>
      <c r="B10235" t="s">
        <v>1568</v>
      </c>
      <c r="C10235">
        <v>149</v>
      </c>
      <c r="D10235">
        <v>161.97</v>
      </c>
      <c r="E10235">
        <v>161.96</v>
      </c>
      <c r="F10235">
        <v>0.01</v>
      </c>
    </row>
    <row r="10236" spans="1:6" x14ac:dyDescent="0.3">
      <c r="A10236" t="str">
        <f>HYPERLINK("https://us2.cloudbeds.com/connect/10074733072513#/reservations/31689272049812?display=MHXDBJ5TD&amp;reservation_id=31689272049812", "MHXDBJ5TD")</f>
        <v>MHXDBJ5TD</v>
      </c>
      <c r="B10236" t="s">
        <v>1484</v>
      </c>
      <c r="C10236">
        <v>149</v>
      </c>
      <c r="D10236">
        <v>161.97</v>
      </c>
      <c r="E10236">
        <v>161.96</v>
      </c>
      <c r="F10236">
        <v>0.01</v>
      </c>
    </row>
    <row r="10237" spans="1:6" x14ac:dyDescent="0.3">
      <c r="A10237" t="str">
        <f>HYPERLINK("https://us2.cloudbeds.com/connect/10074733072513#/reservations/31689288306826?display=MHXDP9X96&amp;reservation_id=31689288306826", "MHXDP9X96")</f>
        <v>MHXDP9X96</v>
      </c>
      <c r="B10237" t="s">
        <v>1484</v>
      </c>
      <c r="C10237">
        <v>129</v>
      </c>
      <c r="D10237">
        <v>140.22999999999999</v>
      </c>
      <c r="E10237">
        <v>140.22</v>
      </c>
      <c r="F10237">
        <v>0.01</v>
      </c>
    </row>
    <row r="10238" spans="1:6" x14ac:dyDescent="0.3">
      <c r="A10238" t="str">
        <f>HYPERLINK("https://us2.cloudbeds.com/connect/10074733072513#/reservations/31693856542866?display=MHYVGBF1B&amp;reservation_id=31693856542866", "MHYVGBF1B")</f>
        <v>MHYVGBF1B</v>
      </c>
      <c r="B10238" t="s">
        <v>1529</v>
      </c>
      <c r="C10238">
        <v>418</v>
      </c>
      <c r="D10238">
        <v>454.38</v>
      </c>
      <c r="E10238">
        <v>454.37</v>
      </c>
      <c r="F10238">
        <v>0.01</v>
      </c>
    </row>
    <row r="10239" spans="1:6" x14ac:dyDescent="0.3">
      <c r="A10239" t="str">
        <f>HYPERLINK("https://us2.cloudbeds.com/connect/10074733072513#/reservations/31693921697960?display=MHM059G84&amp;reservation_id=31693921697960", "MHM059G84")</f>
        <v>MHM059G84</v>
      </c>
      <c r="B10239" t="s">
        <v>1484</v>
      </c>
      <c r="C10239">
        <v>169</v>
      </c>
      <c r="D10239">
        <v>183.71</v>
      </c>
      <c r="E10239">
        <v>183.7</v>
      </c>
      <c r="F10239">
        <v>0.01</v>
      </c>
    </row>
    <row r="10240" spans="1:6" x14ac:dyDescent="0.3">
      <c r="A10240" t="str">
        <f>HYPERLINK("https://us2.cloudbeds.com/connect/10074733072513#/reservations/31733309378770?display=MXJGK0PG9&amp;reservation_id=31733309378770", "MXJGK0PG9")</f>
        <v>MXJGK0PG9</v>
      </c>
      <c r="B10240" t="s">
        <v>1572</v>
      </c>
      <c r="C10240">
        <v>617</v>
      </c>
      <c r="D10240">
        <v>670.69</v>
      </c>
      <c r="E10240">
        <v>670.68</v>
      </c>
      <c r="F10240">
        <v>0.01</v>
      </c>
    </row>
    <row r="10241" spans="1:6" x14ac:dyDescent="0.3">
      <c r="A10241" t="str">
        <f>HYPERLINK("https://us2.cloudbeds.com/connect/10074733072513#/reservations/31735816208530?display=MXYEYS06F&amp;reservation_id=31735816208530", "MXYEYS06F")</f>
        <v>MXYEYS06F</v>
      </c>
      <c r="B10241" t="s">
        <v>1565</v>
      </c>
      <c r="C10241">
        <v>209</v>
      </c>
      <c r="D10241">
        <v>227.19</v>
      </c>
      <c r="E10241">
        <v>227.18</v>
      </c>
      <c r="F10241">
        <v>0.01</v>
      </c>
    </row>
    <row r="10242" spans="1:6" x14ac:dyDescent="0.3">
      <c r="A10242" t="str">
        <f>HYPERLINK("https://us2.cloudbeds.com/connect/10074733072513#/reservations/31695964885181?display=MHNJC567D&amp;reservation_id=31695964885181", "MHNJC567D")</f>
        <v>MHNJC567D</v>
      </c>
      <c r="B10242" t="s">
        <v>1540</v>
      </c>
      <c r="C10242">
        <v>331.2</v>
      </c>
      <c r="D10242">
        <v>360.02</v>
      </c>
      <c r="E10242">
        <v>360.01</v>
      </c>
      <c r="F10242">
        <v>0.01</v>
      </c>
    </row>
    <row r="10243" spans="1:6" x14ac:dyDescent="0.3">
      <c r="A10243" t="str">
        <f>HYPERLINK("https://us2.cloudbeds.com/connect/10074733072513#/reservations/31734836670692?display=MXKMKSUDM&amp;reservation_id=31734836670692", "MXKMKSUDM")</f>
        <v>MXKMKSUDM</v>
      </c>
      <c r="B10243" t="s">
        <v>1581</v>
      </c>
      <c r="C10243">
        <v>189</v>
      </c>
      <c r="D10243">
        <v>205.45</v>
      </c>
      <c r="E10243">
        <v>205.44</v>
      </c>
      <c r="F10243">
        <v>0.01</v>
      </c>
    </row>
    <row r="10244" spans="1:6" x14ac:dyDescent="0.3">
      <c r="A10244" t="str">
        <f>HYPERLINK("https://us2.cloudbeds.com/connect/10074733072513#/reservations/31695600652507?display=MHNA20SVY&amp;reservation_id=31695600652507", "MHNA20SVY")</f>
        <v>MHNA20SVY</v>
      </c>
      <c r="B10244" t="s">
        <v>1520</v>
      </c>
      <c r="C10244">
        <v>229</v>
      </c>
      <c r="D10244">
        <v>248.93</v>
      </c>
      <c r="E10244">
        <v>248.92</v>
      </c>
      <c r="F10244">
        <v>0.01</v>
      </c>
    </row>
    <row r="10245" spans="1:6" x14ac:dyDescent="0.3">
      <c r="A10245" t="str">
        <f>HYPERLINK("https://us2.cloudbeds.com/connect/10074733072513#/reservations/31695613030550?display=MHNACFACS&amp;reservation_id=31695613030550", "MHNACFACS")</f>
        <v>MHNACFACS</v>
      </c>
      <c r="B10245" t="s">
        <v>1520</v>
      </c>
      <c r="C10245">
        <v>169</v>
      </c>
      <c r="D10245">
        <v>183.71</v>
      </c>
      <c r="E10245">
        <v>183.7</v>
      </c>
      <c r="F10245">
        <v>0.01</v>
      </c>
    </row>
    <row r="10246" spans="1:6" x14ac:dyDescent="0.3">
      <c r="A10246" t="str">
        <f>HYPERLINK("https://us2.cloudbeds.com/connect/10074733072513#/reservations/31692624871620?display=MHY00PCQ8&amp;reservation_id=31692624871620", "MHY00PCQ8")</f>
        <v>MHY00PCQ8</v>
      </c>
      <c r="B10246" t="s">
        <v>1582</v>
      </c>
      <c r="C10246">
        <v>102.58</v>
      </c>
      <c r="D10246">
        <v>111.51</v>
      </c>
      <c r="E10246">
        <v>111.5</v>
      </c>
      <c r="F10246">
        <v>0.01</v>
      </c>
    </row>
    <row r="10247" spans="1:6" x14ac:dyDescent="0.3">
      <c r="A10247" t="str">
        <f>HYPERLINK("https://us2.cloudbeds.com/connect/10074733072513#/reservations/31695190638777?display=MHMWJ9Y55&amp;reservation_id=31695190638777", "MHMWJ9Y55")</f>
        <v>MHMWJ9Y55</v>
      </c>
      <c r="B10247" t="s">
        <v>1315</v>
      </c>
      <c r="C10247">
        <v>149</v>
      </c>
      <c r="D10247">
        <v>161.97</v>
      </c>
      <c r="E10247">
        <v>161.96</v>
      </c>
      <c r="F10247">
        <v>0.01</v>
      </c>
    </row>
    <row r="10248" spans="1:6" x14ac:dyDescent="0.3">
      <c r="A10248" t="str">
        <f>HYPERLINK("https://us2.cloudbeds.com/connect/10074733072513#/reservations/31695624839305?display=MHNAMDU1U&amp;reservation_id=31695624839305", "MHNAMDU1U")</f>
        <v>MHNAMDU1U</v>
      </c>
      <c r="B10248" t="s">
        <v>1585</v>
      </c>
      <c r="C10248">
        <v>129</v>
      </c>
      <c r="D10248">
        <v>140.22999999999999</v>
      </c>
      <c r="E10248">
        <v>140.22</v>
      </c>
      <c r="F10248">
        <v>0.01</v>
      </c>
    </row>
    <row r="10249" spans="1:6" x14ac:dyDescent="0.3">
      <c r="A10249" t="str">
        <f>HYPERLINK("https://us2.cloudbeds.com/connect/10074733072513#/reservations/31695816671360?display=MHNFBGYW6&amp;reservation_id=31695816671360", "MHNFBGYW6")</f>
        <v>MHNFBGYW6</v>
      </c>
      <c r="B10249" t="s">
        <v>1587</v>
      </c>
      <c r="C10249">
        <v>129</v>
      </c>
      <c r="D10249">
        <v>140.22999999999999</v>
      </c>
      <c r="E10249">
        <v>140.22</v>
      </c>
      <c r="F10249">
        <v>0.01</v>
      </c>
    </row>
    <row r="10250" spans="1:6" x14ac:dyDescent="0.3">
      <c r="A10250" t="str">
        <f>HYPERLINK("https://us2.cloudbeds.com/connect/10074733072513#/reservations/31695954002073?display=MHNJ2WBX8&amp;reservation_id=31695954002073", "MHNJ2WBX8")</f>
        <v>MHNJ2WBX8</v>
      </c>
      <c r="B10250" t="s">
        <v>1520</v>
      </c>
      <c r="C10250">
        <v>169</v>
      </c>
      <c r="D10250">
        <v>183.71</v>
      </c>
      <c r="E10250">
        <v>183.7</v>
      </c>
      <c r="F10250">
        <v>0.01</v>
      </c>
    </row>
    <row r="10251" spans="1:6" x14ac:dyDescent="0.3">
      <c r="A10251" t="str">
        <f>HYPERLINK("https://us2.cloudbeds.com/connect/10074733072513#/reservations/31693214531812?display=MHYF2WX6U&amp;reservation_id=31693214531812", "MHYF2WX6U")</f>
        <v>MHYF2WX6U</v>
      </c>
      <c r="B10251" t="s">
        <v>1441</v>
      </c>
      <c r="C10251">
        <v>696</v>
      </c>
      <c r="D10251">
        <v>756.56</v>
      </c>
      <c r="E10251">
        <v>756.55</v>
      </c>
      <c r="F10251">
        <v>0.01</v>
      </c>
    </row>
    <row r="10252" spans="1:6" x14ac:dyDescent="0.3">
      <c r="A10252" t="str">
        <f>HYPERLINK("https://us2.cloudbeds.com/connect/10074733072513#/reservations/31734936457437?display=MXKP60KVE&amp;reservation_id=31734936457437", "MXKP60KVE")</f>
        <v>MXKP60KVE</v>
      </c>
      <c r="B10252" t="s">
        <v>1344</v>
      </c>
      <c r="C10252">
        <v>179</v>
      </c>
      <c r="D10252">
        <v>194.58</v>
      </c>
      <c r="E10252">
        <v>194.57</v>
      </c>
      <c r="F10252">
        <v>0.01</v>
      </c>
    </row>
    <row r="10253" spans="1:6" x14ac:dyDescent="0.3">
      <c r="A10253" t="str">
        <f>HYPERLINK("https://us2.cloudbeds.com/connect/10074733072513#/reservations/31693091635425?display=MHYBVBPMW&amp;reservation_id=31693091635425", "MHYBVBPMW")</f>
        <v>MHYBVBPMW</v>
      </c>
      <c r="B10253" t="s">
        <v>1578</v>
      </c>
      <c r="C10253">
        <v>278</v>
      </c>
      <c r="D10253">
        <v>302.2</v>
      </c>
      <c r="E10253">
        <v>302.19</v>
      </c>
      <c r="F10253">
        <v>0.01</v>
      </c>
    </row>
    <row r="10254" spans="1:6" x14ac:dyDescent="0.3">
      <c r="A10254" t="str">
        <f>HYPERLINK("https://us2.cloudbeds.com/connect/10074733072513#/reservations/31732300062868?display=MXXNQV29U&amp;reservation_id=31732300062868", "MXXNQV29U")</f>
        <v>MXXNQV29U</v>
      </c>
      <c r="B10254" t="s">
        <v>1371</v>
      </c>
      <c r="C10254">
        <v>179</v>
      </c>
      <c r="D10254">
        <v>194.58</v>
      </c>
      <c r="E10254">
        <v>194.57</v>
      </c>
      <c r="F10254">
        <v>0.01</v>
      </c>
    </row>
    <row r="10255" spans="1:6" x14ac:dyDescent="0.3">
      <c r="A10255" t="str">
        <f>HYPERLINK("https://us2.cloudbeds.com/connect/10074733072513#/reservations/31693180494039?display=MHYE79D78&amp;reservation_id=31693180494039", "MHYE79D78")</f>
        <v>MHYE79D78</v>
      </c>
      <c r="B10255" t="s">
        <v>1578</v>
      </c>
      <c r="C10255">
        <v>129</v>
      </c>
      <c r="D10255">
        <v>140.22999999999999</v>
      </c>
      <c r="E10255">
        <v>140.22</v>
      </c>
      <c r="F10255">
        <v>0.01</v>
      </c>
    </row>
    <row r="10256" spans="1:6" x14ac:dyDescent="0.3">
      <c r="A10256" t="str">
        <f>HYPERLINK("https://us2.cloudbeds.com/connect/10074733072513#/reservations/31736099487989?display=MXYYTNM8G&amp;reservation_id=31736099487989", "MXYYTNM8G")</f>
        <v>MXYYTNM8G</v>
      </c>
      <c r="B10256" t="s">
        <v>1579</v>
      </c>
      <c r="C10256">
        <v>498</v>
      </c>
      <c r="D10256">
        <v>541.34</v>
      </c>
      <c r="E10256">
        <v>541.33000000000004</v>
      </c>
      <c r="F10256">
        <v>0.01</v>
      </c>
    </row>
    <row r="10257" spans="1:6" x14ac:dyDescent="0.3">
      <c r="A10257" t="str">
        <f>HYPERLINK("https://us2.cloudbeds.com/connect/10074733072513#/reservations/31693904171236?display=MHYWNGPU8&amp;reservation_id=31693904171236", "MHYWNGPU8")</f>
        <v>MHYWNGPU8</v>
      </c>
      <c r="B10257" t="s">
        <v>1578</v>
      </c>
      <c r="C10257">
        <v>129</v>
      </c>
      <c r="D10257">
        <v>140.22999999999999</v>
      </c>
      <c r="E10257">
        <v>140.22</v>
      </c>
      <c r="F10257">
        <v>0.01</v>
      </c>
    </row>
    <row r="10258" spans="1:6" x14ac:dyDescent="0.3">
      <c r="A10258" t="str">
        <f>HYPERLINK("https://us2.cloudbeds.com/connect/10074733072513#/reservations/31695878598877?display=MHNH5D4PU&amp;reservation_id=31695878598877", "MHNH5D4PU")</f>
        <v>MHNH5D4PU</v>
      </c>
      <c r="B10258" t="s">
        <v>1578</v>
      </c>
      <c r="C10258">
        <v>129</v>
      </c>
      <c r="D10258">
        <v>140.22999999999999</v>
      </c>
      <c r="E10258">
        <v>140.22</v>
      </c>
      <c r="F10258">
        <v>0.01</v>
      </c>
    </row>
    <row r="10259" spans="1:6" x14ac:dyDescent="0.3">
      <c r="A10259" t="str">
        <f>HYPERLINK("https://us2.cloudbeds.com/connect/10074733072513#/reservations/31693160153303?display=MHYDN4CSA&amp;reservation_id=31693160153303", "MHYDN4CSA")</f>
        <v>MHYDN4CSA</v>
      </c>
      <c r="B10259" t="s">
        <v>1556</v>
      </c>
      <c r="C10259">
        <v>258</v>
      </c>
      <c r="D10259">
        <v>280.45999999999998</v>
      </c>
      <c r="E10259">
        <v>280.45</v>
      </c>
      <c r="F10259">
        <v>0.01</v>
      </c>
    </row>
    <row r="10260" spans="1:6" x14ac:dyDescent="0.3">
      <c r="A10260" t="str">
        <f>HYPERLINK("https://us2.cloudbeds.com/connect/10074733072513#/reservations/31730845958339?display=MXHJYQFEA&amp;reservation_id=31730845958339", "MXHJYQFEA")</f>
        <v>MXHJYQFEA</v>
      </c>
      <c r="B10260" t="s">
        <v>1537</v>
      </c>
      <c r="C10260">
        <v>189</v>
      </c>
      <c r="D10260">
        <v>205.45</v>
      </c>
      <c r="E10260">
        <v>205.44</v>
      </c>
      <c r="F10260">
        <v>0.01</v>
      </c>
    </row>
    <row r="10261" spans="1:6" x14ac:dyDescent="0.3">
      <c r="A10261" t="str">
        <f>HYPERLINK("https://us2.cloudbeds.com/connect/10074733072513#/reservations/31693957988581?display=MHM12TAVU&amp;reservation_id=31693957988581", "MHM12TAVU")</f>
        <v>MHM12TAVU</v>
      </c>
      <c r="B10261" t="s">
        <v>1556</v>
      </c>
      <c r="C10261">
        <v>73</v>
      </c>
      <c r="D10261">
        <v>79.36</v>
      </c>
      <c r="E10261">
        <v>79.349999999999994</v>
      </c>
      <c r="F10261">
        <v>0.01</v>
      </c>
    </row>
    <row r="10262" spans="1:6" x14ac:dyDescent="0.3">
      <c r="A10262" t="str">
        <f>HYPERLINK("https://us2.cloudbeds.com/connect/10074733072513#/reservations/31693203542249?display=MHYEQNZPS&amp;reservation_id=31693203542249", "MHYEQNZPS")</f>
        <v>MHYEQNZPS</v>
      </c>
      <c r="B10262" t="s">
        <v>1556</v>
      </c>
      <c r="C10262">
        <v>73</v>
      </c>
      <c r="D10262">
        <v>79.36</v>
      </c>
      <c r="E10262">
        <v>79.349999999999994</v>
      </c>
      <c r="F10262">
        <v>0.01</v>
      </c>
    </row>
    <row r="10263" spans="1:6" x14ac:dyDescent="0.3">
      <c r="A10263" t="str">
        <f>HYPERLINK("https://us2.cloudbeds.com/connect/10074733072513#/reservations/31694968344744?display=MHMQTRWDB&amp;reservation_id=31694968344744", "MHMQTRWDB")</f>
        <v>MHMQTRWDB</v>
      </c>
      <c r="B10263" t="s">
        <v>1441</v>
      </c>
      <c r="C10263">
        <v>258</v>
      </c>
      <c r="D10263">
        <v>280.45999999999998</v>
      </c>
      <c r="E10263">
        <v>280.45</v>
      </c>
      <c r="F10263">
        <v>0.01</v>
      </c>
    </row>
    <row r="10264" spans="1:6" x14ac:dyDescent="0.3">
      <c r="A10264" t="str">
        <f>HYPERLINK("https://us2.cloudbeds.com/connect/10074733072513#/reservations/31734122340490?display=MXK4CHKQU&amp;reservation_id=31734122340490", "MXK4CHKQU")</f>
        <v>MXK4CHKQU</v>
      </c>
      <c r="B10264" t="s">
        <v>1401</v>
      </c>
      <c r="C10264">
        <v>189</v>
      </c>
      <c r="D10264">
        <v>205.45</v>
      </c>
      <c r="E10264">
        <v>205.44</v>
      </c>
      <c r="F10264">
        <v>0.01</v>
      </c>
    </row>
    <row r="10265" spans="1:6" x14ac:dyDescent="0.3">
      <c r="A10265" t="str">
        <f>HYPERLINK("https://us2.cloudbeds.com/connect/10074733072513#/reservations/31729885544677?display=MXGS3VHT0&amp;reservation_id=31729885544677", "MXGS3VHT0")</f>
        <v>MXGS3VHT0</v>
      </c>
      <c r="B10265" t="s">
        <v>1572</v>
      </c>
      <c r="C10265">
        <v>189</v>
      </c>
      <c r="D10265">
        <v>205.45</v>
      </c>
      <c r="E10265">
        <v>205.44</v>
      </c>
      <c r="F10265">
        <v>0.01</v>
      </c>
    </row>
    <row r="10266" spans="1:6" x14ac:dyDescent="0.3">
      <c r="A10266" t="str">
        <f>HYPERLINK("https://us2.cloudbeds.com/connect/10074733072513#/reservations/31693929853121?display=MHM0C5DU7&amp;reservation_id=31693929853121", "MHM0C5DU7")</f>
        <v>MHM0C5DU7</v>
      </c>
      <c r="B10266" t="s">
        <v>1556</v>
      </c>
      <c r="C10266">
        <v>129</v>
      </c>
      <c r="D10266">
        <v>140.22999999999999</v>
      </c>
      <c r="E10266">
        <v>140.22</v>
      </c>
      <c r="F10266">
        <v>0.01</v>
      </c>
    </row>
    <row r="10267" spans="1:6" x14ac:dyDescent="0.3">
      <c r="A10267" t="str">
        <f>HYPERLINK("https://us2.cloudbeds.com/connect/10074733072513#/reservations/31734705451225?display=MXKJ97X16&amp;reservation_id=31734705451225", "MXKJ97X16")</f>
        <v>MXKJ97X16</v>
      </c>
      <c r="B10267" t="s">
        <v>1580</v>
      </c>
      <c r="C10267">
        <v>398</v>
      </c>
      <c r="D10267">
        <v>432.64</v>
      </c>
      <c r="E10267">
        <v>432.63</v>
      </c>
      <c r="F10267">
        <v>0.01</v>
      </c>
    </row>
    <row r="10268" spans="1:6" x14ac:dyDescent="0.3">
      <c r="A10268" t="str">
        <f>HYPERLINK("https://us2.cloudbeds.com/connect/10074733072513#/reservations/31694989205719?display=MHMREEFFV&amp;reservation_id=31694989205719", "MHMREEFFV")</f>
        <v>MHMREEFFV</v>
      </c>
      <c r="B10268" t="s">
        <v>1441</v>
      </c>
      <c r="C10268">
        <v>97.74</v>
      </c>
      <c r="D10268">
        <v>106.25</v>
      </c>
      <c r="E10268">
        <v>106.24</v>
      </c>
      <c r="F10268">
        <v>0.01</v>
      </c>
    </row>
    <row r="10269" spans="1:6" x14ac:dyDescent="0.3">
      <c r="A10269" t="str">
        <f>HYPERLINK("https://us2.cloudbeds.com/connect/10074733072513#/reservations/31734110413003?display=MXK42FZ3U&amp;reservation_id=31734110413003", "MXK42FZ3U")</f>
        <v>MXK42FZ3U</v>
      </c>
      <c r="B10269" t="s">
        <v>1401</v>
      </c>
      <c r="C10269">
        <v>749.78</v>
      </c>
      <c r="D10269">
        <v>815.02</v>
      </c>
      <c r="E10269">
        <v>815.01</v>
      </c>
      <c r="F10269">
        <v>0.01</v>
      </c>
    </row>
    <row r="10270" spans="1:6" x14ac:dyDescent="0.3">
      <c r="A10270" t="str">
        <f>HYPERLINK("https://us2.cloudbeds.com/connect/10074733072513#/reservations/31732879372424?display=MXJ5KE6WV&amp;reservation_id=31732879372424", "MXJ5KE6WV")</f>
        <v>MXJ5KE6WV</v>
      </c>
      <c r="B10270" t="s">
        <v>1580</v>
      </c>
      <c r="C10270">
        <v>398</v>
      </c>
      <c r="D10270">
        <v>432.64</v>
      </c>
      <c r="E10270">
        <v>432.63</v>
      </c>
      <c r="F10270">
        <v>0.01</v>
      </c>
    </row>
    <row r="10271" spans="1:6" x14ac:dyDescent="0.3">
      <c r="A10271" t="str">
        <f>HYPERLINK("https://us2.cloudbeds.com/connect/10074733072513#/reservations/31733313863882?display=MXJGNQJ1P&amp;reservation_id=31733313863882", "MXJGNQJ1P")</f>
        <v>MXJGNQJ1P</v>
      </c>
      <c r="B10271" t="s">
        <v>1589</v>
      </c>
      <c r="C10271">
        <v>139</v>
      </c>
      <c r="D10271">
        <v>151.1</v>
      </c>
      <c r="E10271">
        <v>151.09</v>
      </c>
      <c r="F10271">
        <v>0.01</v>
      </c>
    </row>
    <row r="10272" spans="1:6" x14ac:dyDescent="0.3">
      <c r="A10272" t="str">
        <f>HYPERLINK("https://us2.cloudbeds.com/connect/10074733072513#/reservations/31734674763945?display=MXKXGBKNK&amp;reservation_id=31734674763945", "MXKXGBKNK")</f>
        <v>MXKXGBKNK</v>
      </c>
      <c r="B10272" t="s">
        <v>1580</v>
      </c>
      <c r="C10272">
        <v>398</v>
      </c>
      <c r="D10272">
        <v>432.64</v>
      </c>
      <c r="E10272">
        <v>432.63</v>
      </c>
      <c r="F10272">
        <v>0.01</v>
      </c>
    </row>
    <row r="10273" spans="1:6" x14ac:dyDescent="0.3">
      <c r="A10273" t="str">
        <f>HYPERLINK("https://us2.cloudbeds.com/connect/10074733072513#/reservations/31730431783051?display=MXH92XE60&amp;reservation_id=31730431783051", "MXH92XE60")</f>
        <v>MXH92XE60</v>
      </c>
      <c r="B10273" t="s">
        <v>1519</v>
      </c>
      <c r="C10273">
        <v>179</v>
      </c>
      <c r="D10273">
        <v>194.58</v>
      </c>
      <c r="E10273">
        <v>194.57</v>
      </c>
      <c r="F10273">
        <v>0.01</v>
      </c>
    </row>
    <row r="10274" spans="1:6" x14ac:dyDescent="0.3">
      <c r="A10274" t="str">
        <f>HYPERLINK("https://us2.cloudbeds.com/connect/10074733072513#/reservations/31693922099372?display=MHM05KYS4&amp;reservation_id=31693922099372", "MHM05KYS4")</f>
        <v>MHM05KYS4</v>
      </c>
      <c r="B10274" t="s">
        <v>1556</v>
      </c>
      <c r="C10274">
        <v>129</v>
      </c>
      <c r="D10274">
        <v>140.22999999999999</v>
      </c>
      <c r="E10274">
        <v>140.22</v>
      </c>
      <c r="F10274">
        <v>0.01</v>
      </c>
    </row>
    <row r="10275" spans="1:6" x14ac:dyDescent="0.3">
      <c r="A10275" t="str">
        <f>HYPERLINK("https://us2.cloudbeds.com/connect/10074733072513#/reservations/31734683828419?display=MXKXNWSCY&amp;reservation_id=31734683828419", "MXKXNWSCY")</f>
        <v>MXKXNWSCY</v>
      </c>
      <c r="B10275" t="s">
        <v>1580</v>
      </c>
      <c r="C10275">
        <v>615</v>
      </c>
      <c r="D10275">
        <v>668.52</v>
      </c>
      <c r="E10275">
        <v>668.51</v>
      </c>
      <c r="F10275">
        <v>0.01</v>
      </c>
    </row>
    <row r="10276" spans="1:6" x14ac:dyDescent="0.3">
      <c r="A10276" t="str">
        <f>HYPERLINK("https://us2.cloudbeds.com/connect/10074733072513#/reservations/31695781765346?display=MHNEMZK3G&amp;reservation_id=31695781765346", "MHNEMZK3G")</f>
        <v>MHNEMZK3G</v>
      </c>
      <c r="B10276" t="s">
        <v>1305</v>
      </c>
      <c r="C10276">
        <v>179</v>
      </c>
      <c r="D10276">
        <v>194.58</v>
      </c>
      <c r="E10276">
        <v>194.57</v>
      </c>
      <c r="F10276">
        <v>0.01</v>
      </c>
    </row>
    <row r="10277" spans="1:6" x14ac:dyDescent="0.3">
      <c r="A10277" t="str">
        <f>HYPERLINK("https://us2.cloudbeds.com/connect/10074733072513#/reservations/31728115720338?display=MXFFTJXRE&amp;reservation_id=31728115720338", "MXFFTJXRE")</f>
        <v>MXFFTJXRE</v>
      </c>
      <c r="B10277" t="s">
        <v>1322</v>
      </c>
      <c r="C10277">
        <v>159</v>
      </c>
      <c r="D10277">
        <v>172.84</v>
      </c>
      <c r="E10277">
        <v>172.83</v>
      </c>
      <c r="F10277">
        <v>0.01</v>
      </c>
    </row>
    <row r="10278" spans="1:6" x14ac:dyDescent="0.3">
      <c r="A10278" t="str">
        <f>HYPERLINK("https://us2.cloudbeds.com/connect/10074733072513#/reservations/31694498844885?display=MHMETVF1T&amp;reservation_id=31694498844885", "MHMETVF1T")</f>
        <v>MHMETVF1T</v>
      </c>
      <c r="B10278" t="s">
        <v>1592</v>
      </c>
      <c r="C10278">
        <v>139</v>
      </c>
      <c r="D10278">
        <v>151.1</v>
      </c>
      <c r="E10278">
        <v>151.09</v>
      </c>
      <c r="F10278">
        <v>0.01</v>
      </c>
    </row>
    <row r="10279" spans="1:6" x14ac:dyDescent="0.3">
      <c r="A10279" t="str">
        <f>HYPERLINK("https://us2.cloudbeds.com/connect/10074733072513#/reservations/31692600029354?display=MHKWCR3QA&amp;reservation_id=31692600029354", "MHKWCR3QA")</f>
        <v>MHKWCR3QA</v>
      </c>
      <c r="B10279" t="s">
        <v>1582</v>
      </c>
      <c r="C10279">
        <v>110.86</v>
      </c>
      <c r="D10279">
        <v>120.51</v>
      </c>
      <c r="E10279">
        <v>120.5</v>
      </c>
      <c r="F10279">
        <v>0.01</v>
      </c>
    </row>
    <row r="10280" spans="1:6" x14ac:dyDescent="0.3">
      <c r="A10280" t="str">
        <f>HYPERLINK("https://us2.cloudbeds.com/connect/10074733072513#/reservations/31732278497512?display=MXXN8ZWD9&amp;reservation_id=31732278497512", "MXXN8ZWD9")</f>
        <v>MXXN8ZWD9</v>
      </c>
      <c r="B10280" t="s">
        <v>1553</v>
      </c>
      <c r="C10280">
        <v>497</v>
      </c>
      <c r="D10280">
        <v>540.25</v>
      </c>
      <c r="E10280">
        <v>540.24</v>
      </c>
      <c r="F10280">
        <v>0.01</v>
      </c>
    </row>
    <row r="10281" spans="1:6" x14ac:dyDescent="0.3">
      <c r="A10281" t="str">
        <f>HYPERLINK("https://us2.cloudbeds.com/connect/10074733072513#/reservations/31692684669143?display=MHY1X6B9D&amp;reservation_id=31692684669143", "MHY1X6B9D")</f>
        <v>MHY1X6B9D</v>
      </c>
      <c r="B10281" t="s">
        <v>1582</v>
      </c>
      <c r="C10281">
        <v>139</v>
      </c>
      <c r="D10281">
        <v>151.1</v>
      </c>
      <c r="E10281">
        <v>151.09</v>
      </c>
      <c r="F10281">
        <v>0.01</v>
      </c>
    </row>
    <row r="10282" spans="1:6" x14ac:dyDescent="0.3">
      <c r="A10282" t="str">
        <f>HYPERLINK("https://us2.cloudbeds.com/connect/10074733072513#/reservations/31692645937393?display=MHY0XHXV0&amp;reservation_id=31692645937393", "MHY0XHXV0")</f>
        <v>MHY0XHXV0</v>
      </c>
      <c r="B10282" t="s">
        <v>1582</v>
      </c>
      <c r="C10282">
        <v>149</v>
      </c>
      <c r="D10282">
        <v>161.97</v>
      </c>
      <c r="E10282">
        <v>161.96</v>
      </c>
      <c r="F10282">
        <v>0.01</v>
      </c>
    </row>
    <row r="10283" spans="1:6" x14ac:dyDescent="0.3">
      <c r="A10283" t="str">
        <f>HYPERLINK("https://us2.cloudbeds.com/connect/10074733072513#/reservations/31692611240130?display=MHKWM92BQ&amp;reservation_id=31692611240130", "MHKWM92BQ")</f>
        <v>MHKWM92BQ</v>
      </c>
      <c r="B10283" t="s">
        <v>1582</v>
      </c>
      <c r="C10283">
        <v>139</v>
      </c>
      <c r="D10283">
        <v>151.1</v>
      </c>
      <c r="E10283">
        <v>151.09</v>
      </c>
      <c r="F10283">
        <v>0.01</v>
      </c>
    </row>
    <row r="10284" spans="1:6" x14ac:dyDescent="0.3">
      <c r="A10284" t="str">
        <f>HYPERLINK("https://us2.cloudbeds.com/connect/10074733072513#/reservations/31726565793992?display=MXE99YJAD&amp;reservation_id=31726565793992", "MXE99YJAD")</f>
        <v>MXE99YJAD</v>
      </c>
      <c r="B10284" t="s">
        <v>1593</v>
      </c>
      <c r="C10284">
        <v>398</v>
      </c>
      <c r="D10284">
        <v>432.64</v>
      </c>
      <c r="E10284">
        <v>432.63</v>
      </c>
      <c r="F10284">
        <v>0.01</v>
      </c>
    </row>
    <row r="10285" spans="1:6" x14ac:dyDescent="0.3">
      <c r="A10285" t="str">
        <f>HYPERLINK("https://us2.cloudbeds.com/connect/10074733072513#/reservations/31694553497839?display=MHMGA18DW&amp;reservation_id=31694553497839", "MHMGA18DW")</f>
        <v>MHMGA18DW</v>
      </c>
      <c r="B10285" t="s">
        <v>1592</v>
      </c>
      <c r="C10285">
        <v>129</v>
      </c>
      <c r="D10285">
        <v>140.22999999999999</v>
      </c>
      <c r="E10285">
        <v>140.22</v>
      </c>
      <c r="F10285">
        <v>0.01</v>
      </c>
    </row>
    <row r="10286" spans="1:6" x14ac:dyDescent="0.3">
      <c r="A10286" t="str">
        <f>HYPERLINK("https://us2.cloudbeds.com/connect/10074733072513#/reservations/31692263858335?display=MHKNQBYQZ&amp;reservation_id=31692263858335", "MHKNQBYQZ")</f>
        <v>MHKNQBYQZ</v>
      </c>
      <c r="B10286" t="s">
        <v>1583</v>
      </c>
      <c r="C10286">
        <v>258</v>
      </c>
      <c r="D10286">
        <v>280.45999999999998</v>
      </c>
      <c r="E10286">
        <v>280.45</v>
      </c>
      <c r="F10286">
        <v>0.01</v>
      </c>
    </row>
    <row r="10287" spans="1:6" x14ac:dyDescent="0.3">
      <c r="A10287" t="str">
        <f>HYPERLINK("https://us2.cloudbeds.com/connect/10074733072513#/reservations/31694277775558?display=MHM98HSUC&amp;reservation_id=31694277775558", "MHM98HSUC")</f>
        <v>MHM98HSUC</v>
      </c>
      <c r="B10287" t="s">
        <v>1315</v>
      </c>
      <c r="C10287">
        <v>219</v>
      </c>
      <c r="D10287">
        <v>238.06</v>
      </c>
      <c r="E10287">
        <v>238.05</v>
      </c>
      <c r="F10287">
        <v>0.01</v>
      </c>
    </row>
    <row r="10288" spans="1:6" x14ac:dyDescent="0.3">
      <c r="A10288" t="str">
        <f>HYPERLINK("https://us2.cloudbeds.com/connect/10074733072513#/reservations/31695892058247?display=MHNHGZM5K&amp;reservation_id=31695892058247", "MHNHGZM5K")</f>
        <v>MHNHGZM5K</v>
      </c>
      <c r="B10288" t="s">
        <v>1594</v>
      </c>
      <c r="C10288">
        <v>258</v>
      </c>
      <c r="D10288">
        <v>280.45999999999998</v>
      </c>
      <c r="E10288">
        <v>280.45</v>
      </c>
      <c r="F10288">
        <v>0.01</v>
      </c>
    </row>
    <row r="10289" spans="1:6" x14ac:dyDescent="0.3">
      <c r="A10289" t="str">
        <f>HYPERLINK("https://us2.cloudbeds.com/connect/10074733072513#/reservations/31695994716333?display=MHNK4A9CN&amp;reservation_id=31695994716333", "MHNK4A9CN")</f>
        <v>MHNK4A9CN</v>
      </c>
      <c r="B10289" t="s">
        <v>1592</v>
      </c>
      <c r="C10289">
        <v>102.58</v>
      </c>
      <c r="D10289">
        <v>111.51</v>
      </c>
      <c r="E10289">
        <v>111.5</v>
      </c>
      <c r="F10289">
        <v>0.01</v>
      </c>
    </row>
    <row r="10290" spans="1:6" x14ac:dyDescent="0.3">
      <c r="A10290" t="str">
        <f>HYPERLINK("https://us2.cloudbeds.com/connect/10074733072513#/reservations/31696068284595?display=MHNM0BE5W&amp;reservation_id=31696068284595", "MHNM0BE5W")</f>
        <v>MHNM0BE5W</v>
      </c>
      <c r="B10290" t="s">
        <v>1594</v>
      </c>
      <c r="C10290">
        <v>231.58</v>
      </c>
      <c r="D10290">
        <v>251.74</v>
      </c>
      <c r="E10290">
        <v>251.73</v>
      </c>
      <c r="F10290">
        <v>0.01</v>
      </c>
    </row>
    <row r="10291" spans="1:6" x14ac:dyDescent="0.3">
      <c r="A10291" t="str">
        <f>HYPERLINK("https://us2.cloudbeds.com/connect/10074733072513#/reservations/31693774852286?display=MHYTDF9Z7&amp;reservation_id=31693774852286", "MHYTDF9Z7")</f>
        <v>MHYTDF9Z7</v>
      </c>
      <c r="B10291" t="s">
        <v>1558</v>
      </c>
      <c r="C10291">
        <v>178</v>
      </c>
      <c r="D10291">
        <v>193.5</v>
      </c>
      <c r="E10291">
        <v>193.49</v>
      </c>
      <c r="F10291">
        <v>0.01</v>
      </c>
    </row>
    <row r="10292" spans="1:6" x14ac:dyDescent="0.3">
      <c r="A10292" t="str">
        <f>HYPERLINK("https://us2.cloudbeds.com/connect/10074733072513#/reservations/31695975866564?display=MHNJYDP4J&amp;reservation_id=31695975866564", "MHNJYDP4J")</f>
        <v>MHNJYDP4J</v>
      </c>
      <c r="B10292" t="s">
        <v>1592</v>
      </c>
      <c r="C10292">
        <v>129</v>
      </c>
      <c r="D10292">
        <v>140.22999999999999</v>
      </c>
      <c r="E10292">
        <v>140.22</v>
      </c>
      <c r="F10292">
        <v>0.01</v>
      </c>
    </row>
    <row r="10293" spans="1:6" x14ac:dyDescent="0.3">
      <c r="A10293" t="str">
        <f>HYPERLINK("https://us2.cloudbeds.com/connect/10074733072513#/reservations/31696029987017?display=MHNY11ZHA&amp;reservation_id=31696029987017", "MHNY11ZHA")</f>
        <v>MHNY11ZHA</v>
      </c>
      <c r="B10293" t="s">
        <v>1594</v>
      </c>
      <c r="C10293">
        <v>258</v>
      </c>
      <c r="D10293">
        <v>280.45999999999998</v>
      </c>
      <c r="E10293">
        <v>280.45</v>
      </c>
      <c r="F10293">
        <v>0.01</v>
      </c>
    </row>
    <row r="10294" spans="1:6" x14ac:dyDescent="0.3">
      <c r="A10294" t="str">
        <f>HYPERLINK("https://us2.cloudbeds.com/connect/10074733072513#/reservations/31691638411419?display=MHK7QVMCS&amp;reservation_id=31691638411419", "MHK7QVMCS")</f>
        <v>MHK7QVMCS</v>
      </c>
      <c r="B10294" t="s">
        <v>1558</v>
      </c>
      <c r="C10294">
        <v>129</v>
      </c>
      <c r="D10294">
        <v>140.22999999999999</v>
      </c>
      <c r="E10294">
        <v>140.22</v>
      </c>
      <c r="F10294">
        <v>0.01</v>
      </c>
    </row>
    <row r="10295" spans="1:6" x14ac:dyDescent="0.3">
      <c r="A10295" t="str">
        <f>HYPERLINK("https://us2.cloudbeds.com/connect/10074733072513#/reservations/31733457637588?display=MXJKD19YZ&amp;reservation_id=31733457637588", "MXJKD19YZ")</f>
        <v>MXJKD19YZ</v>
      </c>
      <c r="B10295" t="s">
        <v>1579</v>
      </c>
      <c r="C10295">
        <v>209</v>
      </c>
      <c r="D10295">
        <v>227.19</v>
      </c>
      <c r="E10295">
        <v>227.18</v>
      </c>
      <c r="F10295">
        <v>0.01</v>
      </c>
    </row>
    <row r="10296" spans="1:6" x14ac:dyDescent="0.3">
      <c r="A10296" t="str">
        <f>HYPERLINK("https://us2.cloudbeds.com/connect/10074733072513#/reservations/31696003088519?display=MHNKBC8BA&amp;reservation_id=31696003088519", "MHNKBC8BA")</f>
        <v>MHNKBC8BA</v>
      </c>
      <c r="B10296" t="s">
        <v>1592</v>
      </c>
      <c r="C10296">
        <v>73</v>
      </c>
      <c r="D10296">
        <v>79.36</v>
      </c>
      <c r="E10296">
        <v>79.349999999999994</v>
      </c>
      <c r="F10296">
        <v>0.01</v>
      </c>
    </row>
    <row r="10297" spans="1:6" x14ac:dyDescent="0.3">
      <c r="A10297" t="str">
        <f>HYPERLINK("https://us2.cloudbeds.com/connect/10074733072513#/reservations/31692664627439?display=MHY119YH1&amp;reservation_id=31692664627439", "MHY119YH1")</f>
        <v>MHY119YH1</v>
      </c>
      <c r="B10297" t="s">
        <v>1583</v>
      </c>
      <c r="C10297">
        <v>225</v>
      </c>
      <c r="D10297">
        <v>244.59</v>
      </c>
      <c r="E10297">
        <v>244.58</v>
      </c>
      <c r="F10297">
        <v>0.01</v>
      </c>
    </row>
    <row r="10298" spans="1:6" x14ac:dyDescent="0.3">
      <c r="A10298" t="str">
        <f>HYPERLINK("https://us2.cloudbeds.com/connect/10074733072513#/reservations/31691685273804?display=MHK90FMT4&amp;reservation_id=31691685273804", "MHK90FMT4")</f>
        <v>MHK90FMT4</v>
      </c>
      <c r="B10298" t="s">
        <v>1558</v>
      </c>
      <c r="C10298">
        <v>178</v>
      </c>
      <c r="D10298">
        <v>193.5</v>
      </c>
      <c r="E10298">
        <v>193.49</v>
      </c>
      <c r="F10298">
        <v>0.01</v>
      </c>
    </row>
    <row r="10299" spans="1:6" x14ac:dyDescent="0.3">
      <c r="A10299" t="str">
        <f>HYPERLINK("https://us2.cloudbeds.com/connect/10074733072513#/reservations/31694542196951?display=MHMG0GQ3S&amp;reservation_id=31694542196951", "MHMG0GQ3S")</f>
        <v>MHMG0GQ3S</v>
      </c>
      <c r="B10299" t="s">
        <v>1592</v>
      </c>
      <c r="C10299">
        <v>89</v>
      </c>
      <c r="D10299">
        <v>96.75</v>
      </c>
      <c r="E10299">
        <v>96.74</v>
      </c>
      <c r="F10299">
        <v>0.01</v>
      </c>
    </row>
    <row r="10300" spans="1:6" x14ac:dyDescent="0.3">
      <c r="A10300" t="str">
        <f>HYPERLINK("https://us2.cloudbeds.com/connect/10074733072513#/reservations/31694075265267?display=MHM42PZ1T&amp;reservation_id=31694075265267", "MHM42PZ1T")</f>
        <v>MHM42PZ1T</v>
      </c>
      <c r="B10300" t="s">
        <v>1314</v>
      </c>
      <c r="C10300">
        <v>199</v>
      </c>
      <c r="D10300">
        <v>216.32</v>
      </c>
      <c r="E10300">
        <v>216.31</v>
      </c>
      <c r="F10300">
        <v>0.01</v>
      </c>
    </row>
    <row r="10301" spans="1:6" x14ac:dyDescent="0.3">
      <c r="A10301" t="str">
        <f>HYPERLINK("https://us2.cloudbeds.com/connect/10074733072513#/reservations/31691604058321?display=MHK6UWZRT&amp;reservation_id=31691604058321", "MHK6UWZRT")</f>
        <v>MHK6UWZRT</v>
      </c>
      <c r="B10301" t="s">
        <v>1558</v>
      </c>
      <c r="C10301">
        <v>159</v>
      </c>
      <c r="D10301">
        <v>172.84</v>
      </c>
      <c r="E10301">
        <v>172.83</v>
      </c>
      <c r="F10301">
        <v>0.01</v>
      </c>
    </row>
    <row r="10302" spans="1:6" x14ac:dyDescent="0.3">
      <c r="A10302" t="str">
        <f>HYPERLINK("https://us2.cloudbeds.com/connect/10074733072513#/reservations/31733937877186?display=MXJWYWM0R&amp;reservation_id=31733937877186", "MXJWYWM0R")</f>
        <v>MXJWYWM0R</v>
      </c>
      <c r="B10302" t="s">
        <v>1401</v>
      </c>
      <c r="C10302">
        <v>293.72000000000003</v>
      </c>
      <c r="D10302">
        <v>319.27999999999997</v>
      </c>
      <c r="E10302">
        <v>319.27</v>
      </c>
      <c r="F10302">
        <v>0.01</v>
      </c>
    </row>
    <row r="10303" spans="1:6" x14ac:dyDescent="0.3">
      <c r="A10303" t="str">
        <f>HYPERLINK("https://us2.cloudbeds.com/connect/10074733072513#/reservations/31694592782491?display=MHMHA5DG0&amp;reservation_id=31694592782491", "MHMHA5DG0")</f>
        <v>MHMHA5DG0</v>
      </c>
      <c r="B10303" t="s">
        <v>1544</v>
      </c>
      <c r="C10303">
        <v>178</v>
      </c>
      <c r="D10303">
        <v>193.5</v>
      </c>
      <c r="E10303">
        <v>193.49</v>
      </c>
      <c r="F10303">
        <v>0.01</v>
      </c>
    </row>
    <row r="10304" spans="1:6" x14ac:dyDescent="0.3">
      <c r="A10304" t="str">
        <f>HYPERLINK("https://us2.cloudbeds.com/connect/10074733072513#/reservations/31731165802670?display=MXHRRGK1P&amp;reservation_id=31731165802670", "MXHRRGK1P")</f>
        <v>MXHRRGK1P</v>
      </c>
      <c r="B10304" t="s">
        <v>1444</v>
      </c>
      <c r="C10304">
        <v>189</v>
      </c>
      <c r="D10304">
        <v>205.45</v>
      </c>
      <c r="E10304">
        <v>205.44</v>
      </c>
      <c r="F10304">
        <v>0.01</v>
      </c>
    </row>
    <row r="10305" spans="1:6" x14ac:dyDescent="0.3">
      <c r="A10305" t="str">
        <f>HYPERLINK("https://us2.cloudbeds.com/connect/10074733072513#/reservations/31693713014949?display=MHYRRAJ4H&amp;reservation_id=31693713014949", "MHYRRAJ4H")</f>
        <v>MHYRRAJ4H</v>
      </c>
      <c r="B10305" t="s">
        <v>1594</v>
      </c>
      <c r="C10305">
        <v>129</v>
      </c>
      <c r="D10305">
        <v>140.22999999999999</v>
      </c>
      <c r="E10305">
        <v>140.22</v>
      </c>
      <c r="F10305">
        <v>0.01</v>
      </c>
    </row>
    <row r="10306" spans="1:6" x14ac:dyDescent="0.3">
      <c r="A10306" t="str">
        <f>HYPERLINK("https://us2.cloudbeds.com/connect/10074733072513#/reservations/31692751048833?display=MHY385F05&amp;reservation_id=31692751048833", "MHY385F05")</f>
        <v>MHY385F05</v>
      </c>
      <c r="B10306" t="s">
        <v>1314</v>
      </c>
      <c r="C10306">
        <v>252</v>
      </c>
      <c r="D10306">
        <v>273.93</v>
      </c>
      <c r="E10306">
        <v>273.92</v>
      </c>
      <c r="F10306">
        <v>0.01</v>
      </c>
    </row>
    <row r="10307" spans="1:6" x14ac:dyDescent="0.3">
      <c r="A10307" t="str">
        <f>HYPERLINK("https://us2.cloudbeds.com/connect/10074733072513#/reservations/31695816671418?display=MHNFJ5UE8&amp;reservation_id=31695816671418", "MHNFJ5UE8")</f>
        <v>MHNFJ5UE8</v>
      </c>
      <c r="B10307" t="s">
        <v>1575</v>
      </c>
      <c r="C10307">
        <v>139</v>
      </c>
      <c r="D10307">
        <v>151.1</v>
      </c>
      <c r="E10307">
        <v>151.09</v>
      </c>
      <c r="F10307">
        <v>0.01</v>
      </c>
    </row>
    <row r="10308" spans="1:6" x14ac:dyDescent="0.3">
      <c r="A10308" t="str">
        <f>HYPERLINK("https://us2.cloudbeds.com/connect/10074733072513#/reservations/31696019333278?display=MHNKP29FZ&amp;reservation_id=31696019333278", "MHNKP29FZ")</f>
        <v>MHNKP29FZ</v>
      </c>
      <c r="B10308" t="s">
        <v>1315</v>
      </c>
      <c r="C10308">
        <v>398</v>
      </c>
      <c r="D10308">
        <v>432.64</v>
      </c>
      <c r="E10308">
        <v>432.63</v>
      </c>
      <c r="F10308">
        <v>0.01</v>
      </c>
    </row>
    <row r="10309" spans="1:6" x14ac:dyDescent="0.3">
      <c r="A10309" t="str">
        <f>HYPERLINK("https://us2.cloudbeds.com/connect/10074733072513#/reservations/31693797429451?display=MHYTWGHZZ&amp;reservation_id=31693797429451", "MHYTWGHZZ")</f>
        <v>MHYTWGHZZ</v>
      </c>
      <c r="B10309" t="s">
        <v>1558</v>
      </c>
      <c r="C10309">
        <v>298</v>
      </c>
      <c r="D10309">
        <v>323.94</v>
      </c>
      <c r="E10309">
        <v>323.93</v>
      </c>
      <c r="F10309">
        <v>0.01</v>
      </c>
    </row>
    <row r="10310" spans="1:6" x14ac:dyDescent="0.3">
      <c r="A10310" t="str">
        <f>HYPERLINK("https://us2.cloudbeds.com/connect/10074733072513#/reservations/31695217066116?display=MHN08J0MK&amp;reservation_id=31695217066116", "MHN08J0MK")</f>
        <v>MHN08J0MK</v>
      </c>
      <c r="B10310" t="s">
        <v>1575</v>
      </c>
      <c r="C10310">
        <v>139</v>
      </c>
      <c r="D10310">
        <v>151.1</v>
      </c>
      <c r="E10310">
        <v>151.09</v>
      </c>
      <c r="F10310">
        <v>0.01</v>
      </c>
    </row>
    <row r="10311" spans="1:6" x14ac:dyDescent="0.3">
      <c r="A10311" t="str">
        <f>HYPERLINK("https://us2.cloudbeds.com/connect/10074733072513#/reservations/31733437382784?display=MXJJY9DZX&amp;reservation_id=31733437382784", "MXJJY9DZX")</f>
        <v>MXJJY9DZX</v>
      </c>
      <c r="B10311" t="s">
        <v>1579</v>
      </c>
      <c r="C10311">
        <v>209</v>
      </c>
      <c r="D10311">
        <v>227.19</v>
      </c>
      <c r="E10311">
        <v>227.18</v>
      </c>
      <c r="F10311">
        <v>0.01</v>
      </c>
    </row>
    <row r="10312" spans="1:6" x14ac:dyDescent="0.3">
      <c r="A10312" t="str">
        <f>HYPERLINK("https://us2.cloudbeds.com/connect/10074733072513#/reservations/31735020273888?display=MXKRAMVCT&amp;reservation_id=31735020273888", "MXKRAMVCT")</f>
        <v>MXKRAMVCT</v>
      </c>
      <c r="B10312" t="s">
        <v>1599</v>
      </c>
      <c r="C10312">
        <v>149</v>
      </c>
      <c r="D10312">
        <v>161.97</v>
      </c>
      <c r="E10312">
        <v>161.96</v>
      </c>
      <c r="F10312">
        <v>0.01</v>
      </c>
    </row>
    <row r="10313" spans="1:6" x14ac:dyDescent="0.3">
      <c r="A10313" t="str">
        <f>HYPERLINK("https://us2.cloudbeds.com/connect/10074733072513#/reservations/31735972311203?display=MXYXYFQ5G&amp;reservation_id=31735972311203", "MXYXYFQ5G")</f>
        <v>MXYXYFQ5G</v>
      </c>
      <c r="B10313" t="s">
        <v>1449</v>
      </c>
      <c r="C10313">
        <v>139</v>
      </c>
      <c r="D10313">
        <v>151.1</v>
      </c>
      <c r="E10313">
        <v>151.09</v>
      </c>
      <c r="F10313">
        <v>0.01</v>
      </c>
    </row>
    <row r="10314" spans="1:6" x14ac:dyDescent="0.3">
      <c r="A10314" t="str">
        <f>HYPERLINK("https://us2.cloudbeds.com/connect/10074733072513#/reservations/31693781487833?display=MHYTJ1UWD&amp;reservation_id=31693781487833", "MHYTJ1UWD")</f>
        <v>MHYTJ1UWD</v>
      </c>
      <c r="B10314" t="s">
        <v>1558</v>
      </c>
      <c r="C10314">
        <v>129</v>
      </c>
      <c r="D10314">
        <v>140.22999999999999</v>
      </c>
      <c r="E10314">
        <v>140.22</v>
      </c>
      <c r="F10314">
        <v>0.01</v>
      </c>
    </row>
    <row r="10315" spans="1:6" x14ac:dyDescent="0.3">
      <c r="A10315" t="str">
        <f>HYPERLINK("https://us2.cloudbeds.com/connect/10074733072513#/reservations/31692727873735?display=MHY2YKXUF&amp;reservation_id=31692727873735", "MHY2YKXUF")</f>
        <v>MHY2YKXUF</v>
      </c>
      <c r="B10315" t="s">
        <v>1583</v>
      </c>
      <c r="C10315">
        <v>129</v>
      </c>
      <c r="D10315">
        <v>140.22999999999999</v>
      </c>
      <c r="E10315">
        <v>140.22</v>
      </c>
      <c r="F10315">
        <v>0.01</v>
      </c>
    </row>
    <row r="10316" spans="1:6" x14ac:dyDescent="0.3">
      <c r="A10316" t="str">
        <f>HYPERLINK("https://us2.cloudbeds.com/connect/10074733072513#/reservations/31694470193289?display=MHME5Q61N&amp;reservation_id=31694470193289", "MHME5Q61N")</f>
        <v>MHME5Q61N</v>
      </c>
      <c r="B10316" t="s">
        <v>1315</v>
      </c>
      <c r="C10316">
        <v>209</v>
      </c>
      <c r="D10316">
        <v>227.19</v>
      </c>
      <c r="E10316">
        <v>227.18</v>
      </c>
      <c r="F10316">
        <v>0.01</v>
      </c>
    </row>
    <row r="10317" spans="1:6" x14ac:dyDescent="0.3">
      <c r="A10317" t="str">
        <f>HYPERLINK("https://us2.cloudbeds.com/connect/10074733072513#/reservations/31729597010101?display=MXGKZYY60&amp;reservation_id=31729597010101", "MXGKZYY60")</f>
        <v>MXGKZYY60</v>
      </c>
      <c r="B10317" t="s">
        <v>1444</v>
      </c>
      <c r="C10317">
        <v>189</v>
      </c>
      <c r="D10317">
        <v>205.45</v>
      </c>
      <c r="E10317">
        <v>205.44</v>
      </c>
      <c r="F10317">
        <v>0.01</v>
      </c>
    </row>
    <row r="10318" spans="1:6" x14ac:dyDescent="0.3">
      <c r="A10318" t="str">
        <f>HYPERLINK("https://us2.cloudbeds.com/connect/10074733072513#/reservations/31692342542491?display=MHKPQN5D3&amp;reservation_id=31692342542491", "MHKPQN5D3")</f>
        <v>MHKPQN5D3</v>
      </c>
      <c r="B10318" t="s">
        <v>1583</v>
      </c>
      <c r="C10318">
        <v>102.58</v>
      </c>
      <c r="D10318">
        <v>111.51</v>
      </c>
      <c r="E10318">
        <v>111.5</v>
      </c>
      <c r="F10318">
        <v>0.01</v>
      </c>
    </row>
    <row r="10319" spans="1:6" x14ac:dyDescent="0.3">
      <c r="A10319" t="str">
        <f>HYPERLINK("https://us2.cloudbeds.com/connect/10074733072513#/reservations/31692690956416?display=MHY1NG60Y&amp;reservation_id=31692690956416", "MHY1NG60Y")</f>
        <v>MHY1NG60Y</v>
      </c>
      <c r="B10319" t="s">
        <v>1583</v>
      </c>
      <c r="C10319">
        <v>129</v>
      </c>
      <c r="D10319">
        <v>140.22999999999999</v>
      </c>
      <c r="E10319">
        <v>140.22</v>
      </c>
      <c r="F10319">
        <v>0.01</v>
      </c>
    </row>
    <row r="10320" spans="1:6" x14ac:dyDescent="0.3">
      <c r="A10320" t="str">
        <f>HYPERLINK("https://us2.cloudbeds.com/connect/10074733072513#/reservations/31729621504148?display=MXGYCA7DR&amp;reservation_id=31729621504148", "MXGYCA7DR")</f>
        <v>MXGYCA7DR</v>
      </c>
      <c r="B10320" t="s">
        <v>1444</v>
      </c>
      <c r="C10320">
        <v>189</v>
      </c>
      <c r="D10320">
        <v>205.45</v>
      </c>
      <c r="E10320">
        <v>205.44</v>
      </c>
      <c r="F10320">
        <v>0.01</v>
      </c>
    </row>
    <row r="10321" spans="1:6" x14ac:dyDescent="0.3">
      <c r="A10321" t="str">
        <f>HYPERLINK("https://us2.cloudbeds.com/connect/10074733072513#/reservations/31695166980244?display=MHMVWBA4U&amp;reservation_id=31695166980244", "MHMVWBA4U")</f>
        <v>MHMVWBA4U</v>
      </c>
      <c r="B10321" t="s">
        <v>1314</v>
      </c>
      <c r="C10321">
        <v>219</v>
      </c>
      <c r="D10321">
        <v>238.06</v>
      </c>
      <c r="E10321">
        <v>238.05</v>
      </c>
      <c r="F10321">
        <v>0.01</v>
      </c>
    </row>
    <row r="10322" spans="1:6" x14ac:dyDescent="0.3">
      <c r="A10322" t="str">
        <f>HYPERLINK("https://us2.cloudbeds.com/connect/10074733072513#/reservations/31695210156236?display=MHN02ZZHA&amp;reservation_id=31695210156236", "MHN02ZZHA")</f>
        <v>MHN02ZZHA</v>
      </c>
      <c r="B10322" t="s">
        <v>1315</v>
      </c>
      <c r="C10322">
        <v>158</v>
      </c>
      <c r="D10322">
        <v>171.76</v>
      </c>
      <c r="E10322">
        <v>171.75</v>
      </c>
      <c r="F10322">
        <v>0.01</v>
      </c>
    </row>
    <row r="10323" spans="1:6" x14ac:dyDescent="0.3">
      <c r="A10323" t="str">
        <f>HYPERLINK("https://us2.cloudbeds.com/connect/10074733072513#/reservations/31692636049566?display=MHY0A6E6T&amp;reservation_id=31692636049566", "MHY0A6E6T")</f>
        <v>MHY0A6E6T</v>
      </c>
      <c r="B10323" t="s">
        <v>1583</v>
      </c>
      <c r="C10323">
        <v>129</v>
      </c>
      <c r="D10323">
        <v>140.22999999999999</v>
      </c>
      <c r="E10323">
        <v>140.22</v>
      </c>
      <c r="F10323">
        <v>0.01</v>
      </c>
    </row>
    <row r="10324" spans="1:6" x14ac:dyDescent="0.3">
      <c r="A10324" t="str">
        <f>HYPERLINK("https://us2.cloudbeds.com/connect/10074733072513#/reservations/31692314956021?display=MHKP3EHFF&amp;reservation_id=31692314956021", "MHKP3EHFF")</f>
        <v>MHKP3EHFF</v>
      </c>
      <c r="B10324" t="s">
        <v>1314</v>
      </c>
      <c r="C10324">
        <v>378</v>
      </c>
      <c r="D10324">
        <v>410.9</v>
      </c>
      <c r="E10324">
        <v>410.89</v>
      </c>
      <c r="F10324">
        <v>0.01</v>
      </c>
    </row>
    <row r="10325" spans="1:6" x14ac:dyDescent="0.3">
      <c r="A10325" t="str">
        <f>HYPERLINK("https://us2.cloudbeds.com/connect/10074733072513#/reservations/31695149428966?display=MHMVHHU90&amp;reservation_id=31695149428966", "MHMVHHU90")</f>
        <v>MHMVHHU90</v>
      </c>
      <c r="B10325" t="s">
        <v>1314</v>
      </c>
      <c r="C10325">
        <v>73</v>
      </c>
      <c r="D10325">
        <v>79.36</v>
      </c>
      <c r="E10325">
        <v>79.349999999999994</v>
      </c>
      <c r="F10325">
        <v>0.01</v>
      </c>
    </row>
    <row r="10326" spans="1:6" x14ac:dyDescent="0.3">
      <c r="A10326" t="str">
        <f>HYPERLINK("https://us2.cloudbeds.com/connect/10074733072513#/reservations/31732278501618?display=MXXN8P35N&amp;reservation_id=31732278501618", "MXXN8P35N")</f>
        <v>MXXN8P35N</v>
      </c>
      <c r="B10326" t="s">
        <v>1371</v>
      </c>
      <c r="C10326">
        <v>229</v>
      </c>
      <c r="D10326">
        <v>248.93</v>
      </c>
      <c r="E10326">
        <v>248.92</v>
      </c>
      <c r="F10326">
        <v>0.01</v>
      </c>
    </row>
    <row r="10327" spans="1:6" x14ac:dyDescent="0.3">
      <c r="A10327" t="str">
        <f>HYPERLINK("https://us2.cloudbeds.com/connect/10074733072513#/reservations/31692279976146?display=MHKZ6V5C8&amp;reservation_id=31692279976146", "MHKZ6V5C8")</f>
        <v>MHKZ6V5C8</v>
      </c>
      <c r="B10327" t="s">
        <v>1314</v>
      </c>
      <c r="C10327">
        <v>378</v>
      </c>
      <c r="D10327">
        <v>410.9</v>
      </c>
      <c r="E10327">
        <v>410.89</v>
      </c>
      <c r="F10327">
        <v>0.01</v>
      </c>
    </row>
    <row r="10328" spans="1:6" x14ac:dyDescent="0.3">
      <c r="A10328" t="str">
        <f>HYPERLINK("https://us2.cloudbeds.com/connect/10074733072513#/reservations/31694011785377?display=MHM2F8A4S&amp;reservation_id=31694011785377", "MHM2F8A4S")</f>
        <v>MHM2F8A4S</v>
      </c>
      <c r="B10328" t="s">
        <v>1314</v>
      </c>
      <c r="C10328">
        <v>139</v>
      </c>
      <c r="D10328">
        <v>151.1</v>
      </c>
      <c r="E10328">
        <v>151.09</v>
      </c>
      <c r="F10328">
        <v>0.01</v>
      </c>
    </row>
    <row r="10329" spans="1:6" x14ac:dyDescent="0.3">
      <c r="A10329" t="str">
        <f>HYPERLINK("https://us2.cloudbeds.com/connect/10074733072513#/reservations/31694065979546?display=MHM3RVB7D&amp;reservation_id=31694065979546", "MHM3RVB7D")</f>
        <v>MHM3RVB7D</v>
      </c>
      <c r="B10329" t="s">
        <v>1314</v>
      </c>
      <c r="C10329">
        <v>229</v>
      </c>
      <c r="D10329">
        <v>248.93</v>
      </c>
      <c r="E10329">
        <v>248.92</v>
      </c>
      <c r="F10329">
        <v>0.01</v>
      </c>
    </row>
    <row r="10330" spans="1:6" x14ac:dyDescent="0.3">
      <c r="A10330" t="str">
        <f>HYPERLINK("https://us2.cloudbeds.com/connect/10074733072513#/reservations/31691604054243?display=MHK6UWY3B&amp;reservation_id=31691604054243", "MHK6UWY3B")</f>
        <v>MHK6UWY3B</v>
      </c>
      <c r="B10330" t="s">
        <v>1563</v>
      </c>
      <c r="C10330">
        <v>150</v>
      </c>
      <c r="D10330">
        <v>163.06</v>
      </c>
      <c r="E10330">
        <v>163.05000000000001</v>
      </c>
      <c r="F10330">
        <v>0.01</v>
      </c>
    </row>
    <row r="10331" spans="1:6" x14ac:dyDescent="0.3">
      <c r="A10331" t="str">
        <f>HYPERLINK("https://us2.cloudbeds.com/connect/10074733072513#/reservations/31695194448035?display=MHMWMGY37&amp;reservation_id=31695194448035", "MHMWMGY37")</f>
        <v>MHMWMGY37</v>
      </c>
      <c r="B10331" t="s">
        <v>1492</v>
      </c>
      <c r="C10331">
        <v>179</v>
      </c>
      <c r="D10331">
        <v>194.58</v>
      </c>
      <c r="E10331">
        <v>194.57</v>
      </c>
      <c r="F10331">
        <v>0.01</v>
      </c>
    </row>
    <row r="10332" spans="1:6" x14ac:dyDescent="0.3">
      <c r="A10332" t="str">
        <f>HYPERLINK("https://us2.cloudbeds.com/connect/10074733072513#/reservations/31735719473295?display=MXYC696PN&amp;reservation_id=31735719473295", "MXYC696PN")</f>
        <v>MXYC696PN</v>
      </c>
      <c r="B10332" t="s">
        <v>1579</v>
      </c>
      <c r="C10332">
        <v>562</v>
      </c>
      <c r="D10332">
        <v>610.9</v>
      </c>
      <c r="E10332">
        <v>610.89</v>
      </c>
      <c r="F10332">
        <v>0.01</v>
      </c>
    </row>
    <row r="10333" spans="1:6" x14ac:dyDescent="0.3">
      <c r="A10333" t="str">
        <f>HYPERLINK("https://us2.cloudbeds.com/connect/10074733072513#/reservations/31733408686329?display=MXJJ4P508&amp;reservation_id=31733408686329", "MXJJ4P508")</f>
        <v>MXJJ4P508</v>
      </c>
      <c r="B10333" t="s">
        <v>1579</v>
      </c>
      <c r="C10333">
        <v>169</v>
      </c>
      <c r="D10333">
        <v>183.71</v>
      </c>
      <c r="E10333">
        <v>183.7</v>
      </c>
      <c r="F10333">
        <v>0.01</v>
      </c>
    </row>
    <row r="10334" spans="1:6" x14ac:dyDescent="0.3">
      <c r="A10334" t="str">
        <f>HYPERLINK("https://us2.cloudbeds.com/connect/10074733072513#/reservations/31691889979545?display=MHKE82UPE&amp;reservation_id=31691889979545", "MHKE82UPE")</f>
        <v>MHKE82UPE</v>
      </c>
      <c r="B10334" t="s">
        <v>1508</v>
      </c>
      <c r="C10334">
        <v>358</v>
      </c>
      <c r="D10334">
        <v>389.16</v>
      </c>
      <c r="E10334">
        <v>389.15</v>
      </c>
      <c r="F10334">
        <v>0.01</v>
      </c>
    </row>
    <row r="10335" spans="1:6" x14ac:dyDescent="0.3">
      <c r="A10335" t="str">
        <f>HYPERLINK("https://us2.cloudbeds.com/connect/10074733072513#/reservations/31696129577100?display=MHNNJ0WFK&amp;reservation_id=31696129577100", "MHNNJ0WFK")</f>
        <v>MHNNJ0WFK</v>
      </c>
      <c r="B10335" t="s">
        <v>1508</v>
      </c>
      <c r="C10335">
        <v>229</v>
      </c>
      <c r="D10335">
        <v>248.93</v>
      </c>
      <c r="E10335">
        <v>248.92</v>
      </c>
      <c r="F10335">
        <v>0.01</v>
      </c>
    </row>
    <row r="10336" spans="1:6" x14ac:dyDescent="0.3">
      <c r="A10336" t="str">
        <f>HYPERLINK("https://us2.cloudbeds.com/connect/10074733072513#/reservations/31730528821400?display=MXHBXCYV1&amp;reservation_id=31730528821400", "MXHBXCYV1")</f>
        <v>MXHBXCYV1</v>
      </c>
      <c r="B10336" t="s">
        <v>1573</v>
      </c>
      <c r="C10336">
        <v>219</v>
      </c>
      <c r="D10336">
        <v>238.06</v>
      </c>
      <c r="E10336">
        <v>238.05</v>
      </c>
      <c r="F10336">
        <v>0.01</v>
      </c>
    </row>
    <row r="10337" spans="1:6" x14ac:dyDescent="0.3">
      <c r="A10337" t="str">
        <f>HYPERLINK("https://us2.cloudbeds.com/connect/10074733072513#/reservations/31691784134879?display=MHKBHRYDA&amp;reservation_id=31691784134879", "MHKBHRYDA")</f>
        <v>MHKBHRYDA</v>
      </c>
      <c r="B10337" t="s">
        <v>1557</v>
      </c>
      <c r="C10337">
        <v>139</v>
      </c>
      <c r="D10337">
        <v>151.1</v>
      </c>
      <c r="E10337">
        <v>151.09</v>
      </c>
      <c r="F10337">
        <v>0.01</v>
      </c>
    </row>
    <row r="10338" spans="1:6" x14ac:dyDescent="0.3">
      <c r="A10338" t="str">
        <f>HYPERLINK("https://us2.cloudbeds.com/connect/10074733072513#/reservations/31695807566055?display=MHNFBGX75&amp;reservation_id=31695807566055", "MHNFBGX75")</f>
        <v>MHNFBGX75</v>
      </c>
      <c r="B10338" t="s">
        <v>1575</v>
      </c>
      <c r="C10338">
        <v>129</v>
      </c>
      <c r="D10338">
        <v>140.22999999999999</v>
      </c>
      <c r="E10338">
        <v>140.22</v>
      </c>
      <c r="F10338">
        <v>0.01</v>
      </c>
    </row>
    <row r="10339" spans="1:6" x14ac:dyDescent="0.3">
      <c r="A10339" t="str">
        <f>HYPERLINK("https://us2.cloudbeds.com/connect/10074733072513#/reservations/31735788908735?display=MXYDVRBGV&amp;reservation_id=31735788908735", "MXYDVRBGV")</f>
        <v>MXYDVRBGV</v>
      </c>
      <c r="B10339" t="s">
        <v>1579</v>
      </c>
      <c r="C10339">
        <v>418</v>
      </c>
      <c r="D10339">
        <v>454.38</v>
      </c>
      <c r="E10339">
        <v>454.37</v>
      </c>
      <c r="F10339">
        <v>0.01</v>
      </c>
    </row>
    <row r="10340" spans="1:6" x14ac:dyDescent="0.3">
      <c r="A10340" t="str">
        <f>HYPERLINK("https://us2.cloudbeds.com/connect/10074733072513#/reservations/31694498312332?display=MHMETGY0U&amp;reservation_id=31694498312332", "MHMETGY0U")</f>
        <v>MHMETGY0U</v>
      </c>
      <c r="B10340" t="s">
        <v>1492</v>
      </c>
      <c r="C10340">
        <v>139</v>
      </c>
      <c r="D10340">
        <v>151.1</v>
      </c>
      <c r="E10340">
        <v>151.09</v>
      </c>
      <c r="F10340">
        <v>0.01</v>
      </c>
    </row>
    <row r="10341" spans="1:6" x14ac:dyDescent="0.3">
      <c r="A10341" t="str">
        <f>HYPERLINK("https://us2.cloudbeds.com/connect/10074733072513#/reservations/31736116576508?display=MXYMB466D&amp;reservation_id=31736116576508", "MXYMB466D")</f>
        <v>MXYMB466D</v>
      </c>
      <c r="B10341" t="s">
        <v>1579</v>
      </c>
      <c r="C10341">
        <v>221.72</v>
      </c>
      <c r="D10341">
        <v>241.02</v>
      </c>
      <c r="E10341">
        <v>241.01</v>
      </c>
      <c r="F10341">
        <v>0.01</v>
      </c>
    </row>
    <row r="10342" spans="1:6" x14ac:dyDescent="0.3">
      <c r="A10342" t="str">
        <f>HYPERLINK("https://us2.cloudbeds.com/connect/10074733072513#/reservations/31691776303235?display=MHKBB7NQP&amp;reservation_id=31691776303235", "MHKBB7NQP")</f>
        <v>MHKBB7NQP</v>
      </c>
      <c r="B10342" t="s">
        <v>1557</v>
      </c>
      <c r="C10342">
        <v>298</v>
      </c>
      <c r="D10342">
        <v>323.94</v>
      </c>
      <c r="E10342">
        <v>323.93</v>
      </c>
      <c r="F10342">
        <v>0.01</v>
      </c>
    </row>
    <row r="10343" spans="1:6" x14ac:dyDescent="0.3">
      <c r="A10343" t="str">
        <f>HYPERLINK("https://us2.cloudbeds.com/connect/10074733072513#/reservations/31695796457620?display=MHNF24EKU&amp;reservation_id=31695796457620", "MHNF24EKU")</f>
        <v>MHNF24EKU</v>
      </c>
      <c r="B10343" t="s">
        <v>1575</v>
      </c>
      <c r="C10343">
        <v>129</v>
      </c>
      <c r="D10343">
        <v>140.22999999999999</v>
      </c>
      <c r="E10343">
        <v>140.22</v>
      </c>
      <c r="F10343">
        <v>0.01</v>
      </c>
    </row>
    <row r="10344" spans="1:6" x14ac:dyDescent="0.3">
      <c r="A10344" t="str">
        <f>HYPERLINK("https://us2.cloudbeds.com/connect/10074733072513#/reservations/31735778050248?display=MXYDMM6ET&amp;reservation_id=31735778050248", "MXYDMM6ET")</f>
        <v>MXYDMM6ET</v>
      </c>
      <c r="B10344" t="s">
        <v>1579</v>
      </c>
      <c r="C10344">
        <v>418</v>
      </c>
      <c r="D10344">
        <v>454.38</v>
      </c>
      <c r="E10344">
        <v>454.37</v>
      </c>
      <c r="F10344">
        <v>0.01</v>
      </c>
    </row>
    <row r="10345" spans="1:6" x14ac:dyDescent="0.3">
      <c r="A10345" t="str">
        <f>HYPERLINK("https://us2.cloudbeds.com/connect/10074733072513#/reservations/31691594191050?display=MHK6MM5WN&amp;reservation_id=31691594191050", "MHK6MM5WN")</f>
        <v>MHK6MM5WN</v>
      </c>
      <c r="B10345" t="s">
        <v>1563</v>
      </c>
      <c r="C10345">
        <v>73</v>
      </c>
      <c r="D10345">
        <v>79.36</v>
      </c>
      <c r="E10345">
        <v>79.349999999999994</v>
      </c>
      <c r="F10345">
        <v>0.01</v>
      </c>
    </row>
    <row r="10346" spans="1:6" x14ac:dyDescent="0.3">
      <c r="A10346" t="str">
        <f>HYPERLINK("https://us2.cloudbeds.com/connect/10074733072513#/reservations/31733477494989?display=MXJKTPS65&amp;reservation_id=31733477494989", "MXJKTPS65")</f>
        <v>MXJKTPS65</v>
      </c>
      <c r="B10346" t="s">
        <v>1579</v>
      </c>
      <c r="C10346">
        <v>458</v>
      </c>
      <c r="D10346">
        <v>497.86</v>
      </c>
      <c r="E10346">
        <v>497.85</v>
      </c>
      <c r="F10346">
        <v>0.01</v>
      </c>
    </row>
    <row r="10347" spans="1:6" x14ac:dyDescent="0.3">
      <c r="A10347" t="str">
        <f>HYPERLINK("https://us2.cloudbeds.com/connect/10074733072513#/reservations/31691577114819?display=MHK6890B4&amp;reservation_id=31691577114819", "MHK6890B4")</f>
        <v>MHK6890B4</v>
      </c>
      <c r="B10347" t="s">
        <v>1563</v>
      </c>
      <c r="C10347">
        <v>129</v>
      </c>
      <c r="D10347">
        <v>140.22999999999999</v>
      </c>
      <c r="E10347">
        <v>140.22</v>
      </c>
      <c r="F10347">
        <v>0.01</v>
      </c>
    </row>
    <row r="10348" spans="1:6" x14ac:dyDescent="0.3">
      <c r="A10348" t="str">
        <f>HYPERLINK("https://us2.cloudbeds.com/connect/10074733072513#/reservations/31691574026409?display=MHK65M2AW&amp;reservation_id=31691574026409", "MHK65M2AW")</f>
        <v>MHK65M2AW</v>
      </c>
      <c r="B10348" t="s">
        <v>1563</v>
      </c>
      <c r="C10348">
        <v>73</v>
      </c>
      <c r="D10348">
        <v>79.36</v>
      </c>
      <c r="E10348">
        <v>79.349999999999994</v>
      </c>
      <c r="F10348">
        <v>0.01</v>
      </c>
    </row>
    <row r="10349" spans="1:6" x14ac:dyDescent="0.3">
      <c r="A10349" t="str">
        <f>HYPERLINK("https://us2.cloudbeds.com/connect/10074733072513#/reservations/31695793598647?display=MHNEWNTAC&amp;reservation_id=31695793598647", "MHNEWNTAC")</f>
        <v>MHNEWNTAC</v>
      </c>
      <c r="B10349" t="s">
        <v>1575</v>
      </c>
      <c r="C10349">
        <v>129</v>
      </c>
      <c r="D10349">
        <v>140.22999999999999</v>
      </c>
      <c r="E10349">
        <v>140.22</v>
      </c>
      <c r="F10349">
        <v>0.01</v>
      </c>
    </row>
    <row r="10350" spans="1:6" x14ac:dyDescent="0.3">
      <c r="A10350" t="str">
        <f>HYPERLINK("https://us2.cloudbeds.com/connect/10074733072513#/reservations/31691657380014?display=MHK89VGZQ&amp;reservation_id=31691657380014", "MHK89VGZQ")</f>
        <v>MHK89VGZQ</v>
      </c>
      <c r="B10350" t="s">
        <v>1557</v>
      </c>
      <c r="C10350">
        <v>149</v>
      </c>
      <c r="D10350">
        <v>161.97</v>
      </c>
      <c r="E10350">
        <v>161.96</v>
      </c>
      <c r="F10350">
        <v>0.01</v>
      </c>
    </row>
    <row r="10351" spans="1:6" x14ac:dyDescent="0.3">
      <c r="A10351" t="str">
        <f>HYPERLINK("https://us2.cloudbeds.com/connect/10074733072513#/reservations/31691795255547?display=MHKBR7378&amp;reservation_id=31691795255547", "MHKBR7378")</f>
        <v>MHKBR7378</v>
      </c>
      <c r="B10351" t="s">
        <v>1557</v>
      </c>
      <c r="C10351">
        <v>169</v>
      </c>
      <c r="D10351">
        <v>183.71</v>
      </c>
      <c r="E10351">
        <v>183.7</v>
      </c>
      <c r="F10351">
        <v>0.01</v>
      </c>
    </row>
    <row r="10352" spans="1:6" x14ac:dyDescent="0.3">
      <c r="A10352" t="str">
        <f>HYPERLINK("https://us2.cloudbeds.com/connect/10074733072513#/reservations/31695237701856?display=MHN0PW7V2&amp;reservation_id=31695237701856", "MHN0PW7V2")</f>
        <v>MHN0PW7V2</v>
      </c>
      <c r="B10352" t="s">
        <v>1575</v>
      </c>
      <c r="C10352">
        <v>258</v>
      </c>
      <c r="D10352">
        <v>280.45999999999998</v>
      </c>
      <c r="E10352">
        <v>280.45</v>
      </c>
      <c r="F10352">
        <v>0.01</v>
      </c>
    </row>
    <row r="10353" spans="1:6" x14ac:dyDescent="0.3">
      <c r="A10353" t="str">
        <f>HYPERLINK("https://us2.cloudbeds.com/connect/10074733072513#/reservations/31691502657692?display=MHK4BG4AJ&amp;reservation_id=31691502657692", "MHK4BG4AJ")</f>
        <v>MHK4BG4AJ</v>
      </c>
      <c r="B10353" t="s">
        <v>1563</v>
      </c>
      <c r="C10353">
        <v>129</v>
      </c>
      <c r="D10353">
        <v>140.22999999999999</v>
      </c>
      <c r="E10353">
        <v>140.22</v>
      </c>
      <c r="F10353">
        <v>0.01</v>
      </c>
    </row>
    <row r="10354" spans="1:6" x14ac:dyDescent="0.3">
      <c r="A10354" t="str">
        <f>HYPERLINK("https://us2.cloudbeds.com/connect/10074733072513#/reservations/31695835058376?display=MHNG1MXMQ&amp;reservation_id=31695835058376", "MHNG1MXMQ")</f>
        <v>MHNG1MXMQ</v>
      </c>
      <c r="B10354" t="s">
        <v>1575</v>
      </c>
      <c r="C10354">
        <v>73</v>
      </c>
      <c r="D10354">
        <v>79.36</v>
      </c>
      <c r="E10354">
        <v>79.349999999999994</v>
      </c>
      <c r="F10354">
        <v>0.01</v>
      </c>
    </row>
    <row r="10355" spans="1:6" x14ac:dyDescent="0.3">
      <c r="A10355" t="str">
        <f>HYPERLINK("https://us2.cloudbeds.com/connect/10074733072513#/reservations/31733468201134?display=MXJKYV7T6&amp;reservation_id=31733468201134", "MXJKYV7T6")</f>
        <v>MXJKYV7T6</v>
      </c>
      <c r="B10355" t="s">
        <v>1579</v>
      </c>
      <c r="C10355">
        <v>338</v>
      </c>
      <c r="D10355">
        <v>367.42</v>
      </c>
      <c r="E10355">
        <v>367.41</v>
      </c>
      <c r="F10355">
        <v>0.01</v>
      </c>
    </row>
    <row r="10356" spans="1:6" x14ac:dyDescent="0.3">
      <c r="A10356" t="str">
        <f>HYPERLINK("https://us2.cloudbeds.com/connect/10074733072513#/reservations/31691548168323?display=MHK5GSHHK&amp;reservation_id=31691548168323", "MHK5GSHHK")</f>
        <v>MHK5GSHHK</v>
      </c>
      <c r="B10356" t="s">
        <v>1563</v>
      </c>
      <c r="C10356">
        <v>129</v>
      </c>
      <c r="D10356">
        <v>140.22999999999999</v>
      </c>
      <c r="E10356">
        <v>140.22</v>
      </c>
      <c r="F10356">
        <v>0.01</v>
      </c>
    </row>
    <row r="10357" spans="1:6" x14ac:dyDescent="0.3">
      <c r="A10357" t="str">
        <f>HYPERLINK("https://us2.cloudbeds.com/connect/10074733072513#/reservations/31691460063453?display=MHK38XT52&amp;reservation_id=31691460063453", "MHK38XT52")</f>
        <v>MHK38XT52</v>
      </c>
      <c r="B10357" t="s">
        <v>1563</v>
      </c>
      <c r="C10357">
        <v>129</v>
      </c>
      <c r="D10357">
        <v>140.22999999999999</v>
      </c>
      <c r="E10357">
        <v>140.22</v>
      </c>
      <c r="F10357">
        <v>0.01</v>
      </c>
    </row>
    <row r="10358" spans="1:6" x14ac:dyDescent="0.3">
      <c r="A10358" t="str">
        <f>HYPERLINK("https://us2.cloudbeds.com/connect/10074733072513#/reservations/31694766481602?display=MHMYZKRQE&amp;reservation_id=31694766481602", "MHMYZKRQE")</f>
        <v>MHMYZKRQE</v>
      </c>
      <c r="B10358" t="s">
        <v>1467</v>
      </c>
      <c r="C10358">
        <v>149</v>
      </c>
      <c r="D10358">
        <v>161.97</v>
      </c>
      <c r="E10358">
        <v>161.96</v>
      </c>
      <c r="F10358">
        <v>0.01</v>
      </c>
    </row>
    <row r="10359" spans="1:6" x14ac:dyDescent="0.3">
      <c r="A10359" t="str">
        <f>HYPERLINK("https://us2.cloudbeds.com/connect/10074733072513#/reservations/31691496960194?display=MHK46MJF4&amp;reservation_id=31691496960194", "MHK46MJF4")</f>
        <v>MHK46MJF4</v>
      </c>
      <c r="B10359" t="s">
        <v>1563</v>
      </c>
      <c r="C10359">
        <v>129</v>
      </c>
      <c r="D10359">
        <v>140.22999999999999</v>
      </c>
      <c r="E10359">
        <v>140.22</v>
      </c>
      <c r="F10359">
        <v>0.01</v>
      </c>
    </row>
    <row r="10360" spans="1:6" x14ac:dyDescent="0.3">
      <c r="A10360" t="str">
        <f>HYPERLINK("https://us2.cloudbeds.com/connect/10074733072513#/reservations/31691645530330?display=MHK7WVPGF&amp;reservation_id=31691645530330", "MHK7WVPGF")</f>
        <v>MHK7WVPGF</v>
      </c>
      <c r="B10360" t="s">
        <v>1563</v>
      </c>
      <c r="C10360">
        <v>73</v>
      </c>
      <c r="D10360">
        <v>79.36</v>
      </c>
      <c r="E10360">
        <v>79.349999999999994</v>
      </c>
      <c r="F10360">
        <v>0.01</v>
      </c>
    </row>
    <row r="10361" spans="1:6" x14ac:dyDescent="0.3">
      <c r="A10361" t="str">
        <f>HYPERLINK("https://us2.cloudbeds.com/connect/10074733072513#/reservations/31691814523117?display=MHKCAF840&amp;reservation_id=31691814523117", "MHKCAF840")</f>
        <v>MHKCAF840</v>
      </c>
      <c r="B10361" t="s">
        <v>1598</v>
      </c>
      <c r="C10361">
        <v>398</v>
      </c>
      <c r="D10361">
        <v>432.64</v>
      </c>
      <c r="E10361">
        <v>432.63</v>
      </c>
      <c r="F10361">
        <v>0.01</v>
      </c>
    </row>
    <row r="10362" spans="1:6" x14ac:dyDescent="0.3">
      <c r="A10362" t="str">
        <f>HYPERLINK("https://us2.cloudbeds.com/connect/10074733072513#/reservations/31731720290463?display=MXX9021J5&amp;reservation_id=31731720290463", "MXX9021J5")</f>
        <v>MXX9021J5</v>
      </c>
      <c r="B10362" t="s">
        <v>1573</v>
      </c>
      <c r="C10362">
        <v>293.72000000000003</v>
      </c>
      <c r="D10362">
        <v>319.27999999999997</v>
      </c>
      <c r="E10362">
        <v>319.27</v>
      </c>
      <c r="F10362">
        <v>0.01</v>
      </c>
    </row>
    <row r="10363" spans="1:6" x14ac:dyDescent="0.3">
      <c r="A10363" t="str">
        <f>HYPERLINK("https://us2.cloudbeds.com/connect/10074733072513#/reservations/31691638407303?display=MHK7QVXK5&amp;reservation_id=31691638407303", "MHK7QVXK5")</f>
        <v>MHK7QVXK5</v>
      </c>
      <c r="B10363" t="s">
        <v>1563</v>
      </c>
      <c r="C10363">
        <v>149</v>
      </c>
      <c r="D10363">
        <v>161.97</v>
      </c>
      <c r="E10363">
        <v>161.96</v>
      </c>
      <c r="F10363">
        <v>0.01</v>
      </c>
    </row>
    <row r="10364" spans="1:6" x14ac:dyDescent="0.3">
      <c r="A10364" t="str">
        <f>HYPERLINK("https://us2.cloudbeds.com/connect/10074733072513#/reservations/31733358133382?display=MXJHS4EXZ&amp;reservation_id=31733358133382", "MXJHS4EXZ")</f>
        <v>MXJHS4EXZ</v>
      </c>
      <c r="B10364" t="s">
        <v>1602</v>
      </c>
      <c r="C10364">
        <v>331.2</v>
      </c>
      <c r="D10364">
        <v>360.02</v>
      </c>
      <c r="E10364">
        <v>360.01</v>
      </c>
      <c r="F10364">
        <v>0.01</v>
      </c>
    </row>
    <row r="10365" spans="1:6" x14ac:dyDescent="0.3">
      <c r="A10365" t="str">
        <f>HYPERLINK("https://us2.cloudbeds.com/connect/10074733072513#/reservations/31691768881328?display=MHKB4W6FG&amp;reservation_id=31691768881328", "MHKB4W6FG")</f>
        <v>MHKB4W6FG</v>
      </c>
      <c r="B10365" t="s">
        <v>1557</v>
      </c>
      <c r="C10365">
        <v>149</v>
      </c>
      <c r="D10365">
        <v>161.97</v>
      </c>
      <c r="E10365">
        <v>161.96</v>
      </c>
      <c r="F10365">
        <v>0.01</v>
      </c>
    </row>
    <row r="10366" spans="1:6" x14ac:dyDescent="0.3">
      <c r="A10366" t="str">
        <f>HYPERLINK("https://us2.cloudbeds.com/connect/10074733072513#/reservations/31691993252026?display=MHKGT5Y5X&amp;reservation_id=31691993252026", "MHKGT5Y5X")</f>
        <v>MHKGT5Y5X</v>
      </c>
      <c r="B10366" t="s">
        <v>1557</v>
      </c>
      <c r="C10366">
        <v>149</v>
      </c>
      <c r="D10366">
        <v>161.97</v>
      </c>
      <c r="E10366">
        <v>161.96</v>
      </c>
      <c r="F10366">
        <v>0.01</v>
      </c>
    </row>
    <row r="10367" spans="1:6" x14ac:dyDescent="0.3">
      <c r="A10367" t="str">
        <f>HYPERLINK("https://us2.cloudbeds.com/connect/10074733072513#/reservations/31691996950671?display=MHKGW9XHN&amp;reservation_id=31691996950671", "MHKGW9XHN")</f>
        <v>MHKGW9XHN</v>
      </c>
      <c r="B10367" t="s">
        <v>1557</v>
      </c>
      <c r="C10367">
        <v>73</v>
      </c>
      <c r="D10367">
        <v>79.36</v>
      </c>
      <c r="E10367">
        <v>79.349999999999994</v>
      </c>
      <c r="F10367">
        <v>0.01</v>
      </c>
    </row>
    <row r="10368" spans="1:6" x14ac:dyDescent="0.3">
      <c r="A10368" t="str">
        <f>HYPERLINK("https://us2.cloudbeds.com/connect/10074733072513#/reservations/31691521687681?display=MHK4RHM1U&amp;reservation_id=31691521687681", "MHK4RHM1U")</f>
        <v>MHK4RHM1U</v>
      </c>
      <c r="B10368" t="s">
        <v>1563</v>
      </c>
      <c r="C10368">
        <v>129</v>
      </c>
      <c r="D10368">
        <v>140.22999999999999</v>
      </c>
      <c r="E10368">
        <v>140.22</v>
      </c>
      <c r="F10368">
        <v>0.01</v>
      </c>
    </row>
    <row r="10369" spans="1:6" x14ac:dyDescent="0.3">
      <c r="A10369" t="str">
        <f>HYPERLINK("https://us2.cloudbeds.com/connect/10074733072513#/reservations/31696056213713?display=MHNYN5HQM&amp;reservation_id=31696056213713", "MHNYN5HQM")</f>
        <v>MHNYN5HQM</v>
      </c>
      <c r="B10369" t="s">
        <v>1508</v>
      </c>
      <c r="C10369">
        <v>183.76</v>
      </c>
      <c r="D10369">
        <v>199.76</v>
      </c>
      <c r="E10369">
        <v>199.75</v>
      </c>
      <c r="F10369">
        <v>0.01</v>
      </c>
    </row>
    <row r="10370" spans="1:6" x14ac:dyDescent="0.3">
      <c r="A10370" t="str">
        <f>HYPERLINK("https://us2.cloudbeds.com/connect/10074733072513#/reservations/31687755083921?display=MHH7JEC31&amp;reservation_id=31687755083921", "MHH7JEC31")</f>
        <v>MHH7JEC31</v>
      </c>
      <c r="B10370" t="s">
        <v>1598</v>
      </c>
      <c r="C10370">
        <v>209</v>
      </c>
      <c r="D10370">
        <v>227.19</v>
      </c>
      <c r="E10370">
        <v>227.18</v>
      </c>
      <c r="F10370">
        <v>0.01</v>
      </c>
    </row>
    <row r="10371" spans="1:6" x14ac:dyDescent="0.3">
      <c r="A10371" t="str">
        <f>HYPERLINK("https://us2.cloudbeds.com/connect/10074733072513#/reservations/31691756077255?display=MHKAR5TR9&amp;reservation_id=31691756077255", "MHKAR5TR9")</f>
        <v>MHKAR5TR9</v>
      </c>
      <c r="B10371" t="s">
        <v>1557</v>
      </c>
      <c r="C10371">
        <v>298</v>
      </c>
      <c r="D10371">
        <v>323.94</v>
      </c>
      <c r="E10371">
        <v>323.93</v>
      </c>
      <c r="F10371">
        <v>0.01</v>
      </c>
    </row>
    <row r="10372" spans="1:6" x14ac:dyDescent="0.3">
      <c r="A10372" t="str">
        <f>HYPERLINK("https://us2.cloudbeds.com/connect/10074733072513#/reservations/31691840221427?display=MHKCW4B6M&amp;reservation_id=31691840221427", "MHKCW4B6M")</f>
        <v>MHKCW4B6M</v>
      </c>
      <c r="B10372" t="s">
        <v>1557</v>
      </c>
      <c r="C10372">
        <v>179</v>
      </c>
      <c r="D10372">
        <v>194.58</v>
      </c>
      <c r="E10372">
        <v>194.57</v>
      </c>
      <c r="F10372">
        <v>0.01</v>
      </c>
    </row>
    <row r="10373" spans="1:6" x14ac:dyDescent="0.3">
      <c r="A10373" t="str">
        <f>HYPERLINK("https://us2.cloudbeds.com/connect/10074733072513#/reservations/31691821564105?display=MHKCGD5M9&amp;reservation_id=31691821564105", "MHKCGD5M9")</f>
        <v>MHKCGD5M9</v>
      </c>
      <c r="B10373" t="s">
        <v>1598</v>
      </c>
      <c r="C10373">
        <v>73</v>
      </c>
      <c r="D10373">
        <v>79.36</v>
      </c>
      <c r="E10373">
        <v>79.349999999999994</v>
      </c>
      <c r="F10373">
        <v>0.01</v>
      </c>
    </row>
    <row r="10374" spans="1:6" x14ac:dyDescent="0.3">
      <c r="A10374" t="str">
        <f>HYPERLINK("https://us2.cloudbeds.com/connect/10074733072513#/reservations/31691860058263?display=MHKDFSARU&amp;reservation_id=31691860058263", "MHKDFSARU")</f>
        <v>MHKDFSARU</v>
      </c>
      <c r="B10374" t="s">
        <v>1508</v>
      </c>
      <c r="C10374">
        <v>169</v>
      </c>
      <c r="D10374">
        <v>183.71</v>
      </c>
      <c r="E10374">
        <v>183.7</v>
      </c>
      <c r="F10374">
        <v>0.01</v>
      </c>
    </row>
    <row r="10375" spans="1:6" x14ac:dyDescent="0.3">
      <c r="A10375" t="str">
        <f>HYPERLINK("https://us2.cloudbeds.com/connect/10074733072513#/reservations/31687775772822?display=MHH83T25E&amp;reservation_id=31687775772822", "MHH83T25E")</f>
        <v>MHH83T25E</v>
      </c>
      <c r="B10375" t="s">
        <v>1598</v>
      </c>
      <c r="C10375">
        <v>139</v>
      </c>
      <c r="D10375">
        <v>151.1</v>
      </c>
      <c r="E10375">
        <v>151.09</v>
      </c>
      <c r="F10375">
        <v>0.01</v>
      </c>
    </row>
    <row r="10376" spans="1:6" x14ac:dyDescent="0.3">
      <c r="A10376" t="str">
        <f>HYPERLINK("https://us2.cloudbeds.com/connect/10074733072513#/reservations/31693864739069?display=MHYVN8HD4&amp;reservation_id=31693864739069", "MHYVN8HD4")</f>
        <v>MHYVN8HD4</v>
      </c>
      <c r="B10376" t="s">
        <v>1529</v>
      </c>
      <c r="C10376">
        <v>396</v>
      </c>
      <c r="D10376">
        <v>430.46</v>
      </c>
      <c r="E10376">
        <v>430.45</v>
      </c>
      <c r="F10376">
        <v>0.01</v>
      </c>
    </row>
    <row r="10377" spans="1:6" x14ac:dyDescent="0.3">
      <c r="A10377" t="str">
        <f>HYPERLINK("https://us2.cloudbeds.com/connect/10074733072513#/reservations/31691702886628?display=MHK9FAQ93&amp;reservation_id=31691702886628", "MHK9FAQ93")</f>
        <v>MHK9FAQ93</v>
      </c>
      <c r="B10377" t="s">
        <v>1576</v>
      </c>
      <c r="C10377">
        <v>483.3</v>
      </c>
      <c r="D10377">
        <v>525.36</v>
      </c>
      <c r="E10377">
        <v>525.35</v>
      </c>
      <c r="F10377">
        <v>0.01</v>
      </c>
    </row>
    <row r="10378" spans="1:6" x14ac:dyDescent="0.3">
      <c r="A10378" t="str">
        <f>HYPERLINK("https://us2.cloudbeds.com/connect/10074733072513#/reservations/31731631276281?display=MXX6Z036N&amp;reservation_id=31731631276281", "MXX6Z036N")</f>
        <v>MXX6Z036N</v>
      </c>
      <c r="B10378" t="s">
        <v>1510</v>
      </c>
      <c r="C10378">
        <v>139</v>
      </c>
      <c r="D10378">
        <v>151.1</v>
      </c>
      <c r="E10378">
        <v>151.09</v>
      </c>
      <c r="F10378">
        <v>0.01</v>
      </c>
    </row>
    <row r="10379" spans="1:6" x14ac:dyDescent="0.3">
      <c r="A10379" t="str">
        <f>HYPERLINK("https://us2.cloudbeds.com/connect/10074733072513#/reservations/31691860062370?display=MHKDFSEKC&amp;reservation_id=31691860062370", "MHKDFSEKC")</f>
        <v>MHKDFSEKC</v>
      </c>
      <c r="B10379" t="s">
        <v>1508</v>
      </c>
      <c r="C10379">
        <v>209</v>
      </c>
      <c r="D10379">
        <v>227.19</v>
      </c>
      <c r="E10379">
        <v>227.18</v>
      </c>
      <c r="F10379">
        <v>0.01</v>
      </c>
    </row>
    <row r="10380" spans="1:6" x14ac:dyDescent="0.3">
      <c r="A10380" t="str">
        <f>HYPERLINK("https://us2.cloudbeds.com/connect/10074733072513#/reservations/31691872293075?display=MHKDQ5PZQ&amp;reservation_id=31691872293075", "MHKDQ5PZQ")</f>
        <v>MHKDQ5PZQ</v>
      </c>
      <c r="B10380" t="s">
        <v>1508</v>
      </c>
      <c r="C10380">
        <v>169</v>
      </c>
      <c r="D10380">
        <v>183.71</v>
      </c>
      <c r="E10380">
        <v>183.7</v>
      </c>
      <c r="F10380">
        <v>0.01</v>
      </c>
    </row>
    <row r="10381" spans="1:6" x14ac:dyDescent="0.3">
      <c r="A10381" t="str">
        <f>HYPERLINK("https://us2.cloudbeds.com/connect/10074733072513#/reservations/31731836661904?display=MXXBW68DF&amp;reservation_id=31731836661904", "MXXBW68DF")</f>
        <v>MXXBW68DF</v>
      </c>
      <c r="B10381" t="s">
        <v>1344</v>
      </c>
      <c r="C10381">
        <v>398</v>
      </c>
      <c r="D10381">
        <v>432.64</v>
      </c>
      <c r="E10381">
        <v>432.63</v>
      </c>
      <c r="F10381">
        <v>0.01</v>
      </c>
    </row>
    <row r="10382" spans="1:6" x14ac:dyDescent="0.3">
      <c r="A10382" t="str">
        <f>HYPERLINK("https://us2.cloudbeds.com/connect/10074733072513#/reservations/31693831082215?display=MHYURSW6F&amp;reservation_id=31693831082215", "MHYURSW6F")</f>
        <v>MHYURSW6F</v>
      </c>
      <c r="B10382" t="s">
        <v>1529</v>
      </c>
      <c r="C10382">
        <v>189</v>
      </c>
      <c r="D10382">
        <v>205.45</v>
      </c>
      <c r="E10382">
        <v>205.44</v>
      </c>
      <c r="F10382">
        <v>0.01</v>
      </c>
    </row>
    <row r="10383" spans="1:6" x14ac:dyDescent="0.3">
      <c r="A10383" t="str">
        <f>HYPERLINK("https://us2.cloudbeds.com/connect/10074733072513#/reservations/31691715825831?display=MHK9Q7S05&amp;reservation_id=31691715825831", "MHK9Q7S05")</f>
        <v>MHK9Q7S05</v>
      </c>
      <c r="B10383" t="s">
        <v>1576</v>
      </c>
      <c r="C10383">
        <v>102.58</v>
      </c>
      <c r="D10383">
        <v>111.51</v>
      </c>
      <c r="E10383">
        <v>111.5</v>
      </c>
      <c r="F10383">
        <v>0.01</v>
      </c>
    </row>
    <row r="10384" spans="1:6" x14ac:dyDescent="0.3">
      <c r="A10384" t="str">
        <f>HYPERLINK("https://us2.cloudbeds.com/connect/10074733072513#/reservations/31694742556841?display=MHMY4F3AM&amp;reservation_id=31694742556841", "MHMY4F3AM")</f>
        <v>MHMY4F3AM</v>
      </c>
      <c r="B10384" t="s">
        <v>1576</v>
      </c>
      <c r="C10384">
        <v>139</v>
      </c>
      <c r="D10384">
        <v>151.1</v>
      </c>
      <c r="E10384">
        <v>151.09</v>
      </c>
      <c r="F10384">
        <v>0.01</v>
      </c>
    </row>
    <row r="10385" spans="1:6" x14ac:dyDescent="0.3">
      <c r="A10385" t="str">
        <f>HYPERLINK("https://us2.cloudbeds.com/connect/10074733072513#/reservations/31691693580421?display=MHK97FRKR&amp;reservation_id=31691693580421", "MHK97FRKR")</f>
        <v>MHK97FRKR</v>
      </c>
      <c r="B10385" t="s">
        <v>1529</v>
      </c>
      <c r="C10385">
        <v>229</v>
      </c>
      <c r="D10385">
        <v>248.93</v>
      </c>
      <c r="E10385">
        <v>248.92</v>
      </c>
      <c r="F10385">
        <v>0.01</v>
      </c>
    </row>
    <row r="10386" spans="1:6" x14ac:dyDescent="0.3">
      <c r="A10386" t="str">
        <f>HYPERLINK("https://us2.cloudbeds.com/connect/10074733072513#/reservations/31695943467203?display=MHNXR36YP&amp;reservation_id=31695943467203", "MHNXR36YP")</f>
        <v>MHNXR36YP</v>
      </c>
      <c r="B10386" t="s">
        <v>1467</v>
      </c>
      <c r="C10386">
        <v>149</v>
      </c>
      <c r="D10386">
        <v>161.97</v>
      </c>
      <c r="E10386">
        <v>161.96</v>
      </c>
      <c r="F10386">
        <v>0.01</v>
      </c>
    </row>
    <row r="10387" spans="1:6" x14ac:dyDescent="0.3">
      <c r="A10387" t="str">
        <f>HYPERLINK("https://us2.cloudbeds.com/connect/10074733072513#/reservations/31694663422154?display=MHMJ3Z20S&amp;reservation_id=31694663422154", "MHMJ3Z20S")</f>
        <v>MHMJ3Z20S</v>
      </c>
      <c r="B10387" t="s">
        <v>1544</v>
      </c>
      <c r="C10387">
        <v>139</v>
      </c>
      <c r="D10387">
        <v>151.1</v>
      </c>
      <c r="E10387">
        <v>151.09</v>
      </c>
      <c r="F10387">
        <v>0.01</v>
      </c>
    </row>
    <row r="10388" spans="1:6" x14ac:dyDescent="0.3">
      <c r="A10388" t="str">
        <f>HYPERLINK("https://us2.cloudbeds.com/connect/10074733072513#/reservations/31735623151820?display=MXY9Z1UA3&amp;reservation_id=31735623151820", "MXY9Z1UA3")</f>
        <v>MXY9Z1UA3</v>
      </c>
      <c r="B10388" t="s">
        <v>1551</v>
      </c>
      <c r="C10388">
        <v>647</v>
      </c>
      <c r="D10388">
        <v>703.3</v>
      </c>
      <c r="E10388">
        <v>703.29</v>
      </c>
      <c r="F10388">
        <v>0.01</v>
      </c>
    </row>
    <row r="10389" spans="1:6" x14ac:dyDescent="0.3">
      <c r="A10389" t="str">
        <f>HYPERLINK("https://us2.cloudbeds.com/connect/10074733072513#/reservations/31734718529780?display=MXKJK8FZ1&amp;reservation_id=31734718529780", "MXKJK8FZ1")</f>
        <v>MXKJK8FZ1</v>
      </c>
      <c r="B10389" t="s">
        <v>1580</v>
      </c>
      <c r="C10389">
        <v>209</v>
      </c>
      <c r="D10389">
        <v>227.19</v>
      </c>
      <c r="E10389">
        <v>227.18</v>
      </c>
      <c r="F10389">
        <v>0.01</v>
      </c>
    </row>
    <row r="10390" spans="1:6" x14ac:dyDescent="0.3">
      <c r="A10390" t="str">
        <f>HYPERLINK("https://us2.cloudbeds.com/connect/10074733072513#/reservations/31734886432963?display=MXKNTRKQ9&amp;reservation_id=31734886432963", "MXKNTRKQ9")</f>
        <v>MXKNTRKQ9</v>
      </c>
      <c r="B10390" t="s">
        <v>1401</v>
      </c>
      <c r="C10390">
        <v>189</v>
      </c>
      <c r="D10390">
        <v>205.45</v>
      </c>
      <c r="E10390">
        <v>205.44</v>
      </c>
      <c r="F10390">
        <v>0.01</v>
      </c>
    </row>
    <row r="10391" spans="1:6" x14ac:dyDescent="0.3">
      <c r="A10391" t="str">
        <f>HYPERLINK("https://us2.cloudbeds.com/connect/10074733072513#/reservations/31695881658511?display=MHNH7W9C3&amp;reservation_id=31695881658511", "MHNH7W9C3")</f>
        <v>MHNH7W9C3</v>
      </c>
      <c r="B10391" t="s">
        <v>1467</v>
      </c>
      <c r="C10391">
        <v>139</v>
      </c>
      <c r="D10391">
        <v>151.1</v>
      </c>
      <c r="E10391">
        <v>151.09</v>
      </c>
      <c r="F10391">
        <v>0.01</v>
      </c>
    </row>
    <row r="10392" spans="1:6" x14ac:dyDescent="0.3">
      <c r="A10392" t="str">
        <f>HYPERLINK("https://us2.cloudbeds.com/connect/10074733072513#/reservations/31732983181523?display=MXJ88VS57&amp;reservation_id=31732983181523", "MXJ88VS57")</f>
        <v>MXJ88VS57</v>
      </c>
      <c r="B10392" t="s">
        <v>1606</v>
      </c>
      <c r="C10392">
        <v>149</v>
      </c>
      <c r="D10392">
        <v>161.97</v>
      </c>
      <c r="E10392">
        <v>161.96</v>
      </c>
      <c r="F10392">
        <v>0.01</v>
      </c>
    </row>
    <row r="10393" spans="1:6" x14ac:dyDescent="0.3">
      <c r="A10393" t="str">
        <f>HYPERLINK("https://us2.cloudbeds.com/connect/10074733072513#/reservations/31729495953565?display=MXGX5EJKZ&amp;reservation_id=31729495953565", "MXGX5EJKZ")</f>
        <v>MXGX5EJKZ</v>
      </c>
      <c r="B10393" t="s">
        <v>1566</v>
      </c>
      <c r="C10393">
        <v>318</v>
      </c>
      <c r="D10393">
        <v>345.68</v>
      </c>
      <c r="E10393">
        <v>345.67</v>
      </c>
      <c r="F10393">
        <v>0.01</v>
      </c>
    </row>
    <row r="10394" spans="1:6" x14ac:dyDescent="0.3">
      <c r="A10394" t="str">
        <f>HYPERLINK("https://us2.cloudbeds.com/connect/10074733072513#/reservations/31691370959061?display=MHK0WEDUW&amp;reservation_id=31691370959061", "MHK0WEDUW")</f>
        <v>MHK0WEDUW</v>
      </c>
      <c r="B10394" t="s">
        <v>1544</v>
      </c>
      <c r="C10394">
        <v>139</v>
      </c>
      <c r="D10394">
        <v>151.1</v>
      </c>
      <c r="E10394">
        <v>151.09</v>
      </c>
      <c r="F10394">
        <v>0.01</v>
      </c>
    </row>
    <row r="10395" spans="1:6" x14ac:dyDescent="0.3">
      <c r="A10395" t="str">
        <f>HYPERLINK("https://us2.cloudbeds.com/connect/10074733072513#/reservations/31736146481342?display=MXYN3BB0F&amp;reservation_id=31736146481342", "MXYN3BB0F")</f>
        <v>MXYN3BB0F</v>
      </c>
      <c r="B10395" t="s">
        <v>1579</v>
      </c>
      <c r="C10395">
        <v>438</v>
      </c>
      <c r="D10395">
        <v>476.12</v>
      </c>
      <c r="E10395">
        <v>476.11</v>
      </c>
      <c r="F10395">
        <v>0.01</v>
      </c>
    </row>
    <row r="10396" spans="1:6" x14ac:dyDescent="0.3">
      <c r="A10396" t="str">
        <f>HYPERLINK("https://us2.cloudbeds.com/connect/10074733072513#/reservations/31729803628740?display=MXGQ0T3KT&amp;reservation_id=31729803628740", "MXGQ0T3KT")</f>
        <v>MXGQ0T3KT</v>
      </c>
      <c r="B10396" t="s">
        <v>1601</v>
      </c>
      <c r="C10396">
        <v>278</v>
      </c>
      <c r="D10396">
        <v>302.2</v>
      </c>
      <c r="E10396">
        <v>302.19</v>
      </c>
      <c r="F10396">
        <v>0.01</v>
      </c>
    </row>
    <row r="10397" spans="1:6" x14ac:dyDescent="0.3">
      <c r="A10397" t="str">
        <f>HYPERLINK("https://us2.cloudbeds.com/connect/10074733072513#/reservations/31733724786824?display=MXJR7A3P4&amp;reservation_id=31733724786824", "MXJR7A3P4")</f>
        <v>MXJR7A3P4</v>
      </c>
      <c r="B10397" t="s">
        <v>1510</v>
      </c>
      <c r="C10397">
        <v>469.36</v>
      </c>
      <c r="D10397">
        <v>510.2</v>
      </c>
      <c r="E10397">
        <v>510.19</v>
      </c>
      <c r="F10397">
        <v>0.01</v>
      </c>
    </row>
    <row r="10398" spans="1:6" x14ac:dyDescent="0.3">
      <c r="A10398" t="str">
        <f>HYPERLINK("https://us2.cloudbeds.com/connect/10074733072513#/reservations/31691430473940?display=MHK2GKGT5&amp;reservation_id=31691430473940", "MHK2GKGT5")</f>
        <v>MHK2GKGT5</v>
      </c>
      <c r="B10398" t="s">
        <v>1544</v>
      </c>
      <c r="C10398">
        <v>139</v>
      </c>
      <c r="D10398">
        <v>151.1</v>
      </c>
      <c r="E10398">
        <v>151.09</v>
      </c>
      <c r="F10398">
        <v>0.01</v>
      </c>
    </row>
    <row r="10399" spans="1:6" x14ac:dyDescent="0.3">
      <c r="A10399" t="str">
        <f>HYPERLINK("https://us2.cloudbeds.com/connect/10074733072513#/reservations/31694634762459?display=MHMXCXXJ8&amp;reservation_id=31694634762459", "MHMXCXXJ8")</f>
        <v>MHMXCXXJ8</v>
      </c>
      <c r="B10399" t="s">
        <v>1544</v>
      </c>
      <c r="C10399">
        <v>73</v>
      </c>
      <c r="D10399">
        <v>79.36</v>
      </c>
      <c r="E10399">
        <v>79.349999999999994</v>
      </c>
      <c r="F10399">
        <v>0.01</v>
      </c>
    </row>
    <row r="10400" spans="1:6" x14ac:dyDescent="0.3">
      <c r="A10400" t="str">
        <f>HYPERLINK("https://us2.cloudbeds.com/connect/10074733072513#/reservations/31734015586467?display=MXK1YH1DH&amp;reservation_id=31734015586467", "MXK1YH1DH")</f>
        <v>MXK1YH1DH</v>
      </c>
      <c r="B10400" t="s">
        <v>1344</v>
      </c>
      <c r="C10400">
        <v>209</v>
      </c>
      <c r="D10400">
        <v>227.19</v>
      </c>
      <c r="E10400">
        <v>227.18</v>
      </c>
      <c r="F10400">
        <v>0.01</v>
      </c>
    </row>
    <row r="10401" spans="1:6" x14ac:dyDescent="0.3">
      <c r="A10401" t="str">
        <f>HYPERLINK("https://us2.cloudbeds.com/connect/10074733072513#/reservations/31734374985859?display=MXKARXSD6&amp;reservation_id=31734374985859", "MXKARXSD6")</f>
        <v>MXKARXSD6</v>
      </c>
      <c r="B10401" t="s">
        <v>1608</v>
      </c>
      <c r="C10401">
        <v>209</v>
      </c>
      <c r="D10401">
        <v>227.19</v>
      </c>
      <c r="E10401">
        <v>227.18</v>
      </c>
      <c r="F10401">
        <v>0.01</v>
      </c>
    </row>
    <row r="10402" spans="1:6" x14ac:dyDescent="0.3">
      <c r="A10402" t="str">
        <f>HYPERLINK("https://us2.cloudbeds.com/connect/10074733072513#/reservations/31735383183511?display=MXY3JNEZ6&amp;reservation_id=31735383183511", "MXY3JNEZ6")</f>
        <v>MXY3JNEZ6</v>
      </c>
      <c r="B10402" t="s">
        <v>1603</v>
      </c>
      <c r="C10402">
        <v>149</v>
      </c>
      <c r="D10402">
        <v>161.97</v>
      </c>
      <c r="E10402">
        <v>161.96</v>
      </c>
      <c r="F10402">
        <v>0.01</v>
      </c>
    </row>
    <row r="10403" spans="1:6" x14ac:dyDescent="0.3">
      <c r="A10403" t="str">
        <f>HYPERLINK("https://us2.cloudbeds.com/connect/10074733072513#/reservations/31725458051235?display=MXDDWJ0B2&amp;reservation_id=31725458051235", "MXDDWJ0B2")</f>
        <v>MXDDWJ0B2</v>
      </c>
      <c r="B10403" t="s">
        <v>1609</v>
      </c>
      <c r="C10403">
        <v>258</v>
      </c>
      <c r="D10403">
        <v>280.45999999999998</v>
      </c>
      <c r="E10403">
        <v>280.45</v>
      </c>
      <c r="F10403">
        <v>0.01</v>
      </c>
    </row>
    <row r="10404" spans="1:6" x14ac:dyDescent="0.3">
      <c r="A10404" t="str">
        <f>HYPERLINK("https://us2.cloudbeds.com/connect/10074733072513#/reservations/31694615994591?display=MHMHTZAHW&amp;reservation_id=31694615994591", "MHMHTZAHW")</f>
        <v>MHMHTZAHW</v>
      </c>
      <c r="B10404" t="s">
        <v>1544</v>
      </c>
      <c r="C10404">
        <v>288</v>
      </c>
      <c r="D10404">
        <v>313.07</v>
      </c>
      <c r="E10404">
        <v>313.06</v>
      </c>
      <c r="F10404">
        <v>0.01</v>
      </c>
    </row>
    <row r="10405" spans="1:6" x14ac:dyDescent="0.3">
      <c r="A10405" t="str">
        <f>HYPERLINK("https://us2.cloudbeds.com/connect/10074733072513#/reservations/31694625456268?display=MHMX4NJVF&amp;reservation_id=31694625456268", "MHMX4NJVF")</f>
        <v>MHMX4NJVF</v>
      </c>
      <c r="B10405" t="s">
        <v>1544</v>
      </c>
      <c r="C10405">
        <v>288</v>
      </c>
      <c r="D10405">
        <v>313.07</v>
      </c>
      <c r="E10405">
        <v>313.06</v>
      </c>
      <c r="F10405">
        <v>0.01</v>
      </c>
    </row>
    <row r="10406" spans="1:6" x14ac:dyDescent="0.3">
      <c r="A10406" t="str">
        <f>HYPERLINK("https://us2.cloudbeds.com/connect/10074733072513#/reservations/31734173368461?display=MXK5MXXF1&amp;reservation_id=31734173368461", "MXK5MXXF1")</f>
        <v>MXK5MXXF1</v>
      </c>
      <c r="B10406" t="s">
        <v>1601</v>
      </c>
      <c r="C10406">
        <v>219.92</v>
      </c>
      <c r="D10406">
        <v>239.06</v>
      </c>
      <c r="E10406">
        <v>239.05</v>
      </c>
      <c r="F10406">
        <v>0.01</v>
      </c>
    </row>
    <row r="10407" spans="1:6" x14ac:dyDescent="0.3">
      <c r="A10407" t="str">
        <f>HYPERLINK("https://us2.cloudbeds.com/connect/10074733072513#/reservations/31732800082055?display=MXJ3JXRZG&amp;reservation_id=31732800082055", "MXJ3JXRZG")</f>
        <v>MXJ3JXRZG</v>
      </c>
      <c r="B10407" t="s">
        <v>1580</v>
      </c>
      <c r="C10407">
        <v>318</v>
      </c>
      <c r="D10407">
        <v>345.68</v>
      </c>
      <c r="E10407">
        <v>345.67</v>
      </c>
      <c r="F10407">
        <v>0.01</v>
      </c>
    </row>
    <row r="10408" spans="1:6" x14ac:dyDescent="0.3">
      <c r="A10408" t="str">
        <f>HYPERLINK("https://us2.cloudbeds.com/connect/10074733072513#/reservations/31691403325660?display=MHK1QZ2B0&amp;reservation_id=31691403325660", "MHK1QZ2B0")</f>
        <v>MHK1QZ2B0</v>
      </c>
      <c r="B10408" t="s">
        <v>1601</v>
      </c>
      <c r="C10408">
        <v>99</v>
      </c>
      <c r="D10408">
        <v>107.62</v>
      </c>
      <c r="E10408">
        <v>107.61</v>
      </c>
      <c r="F10408">
        <v>0.01</v>
      </c>
    </row>
    <row r="10409" spans="1:6" x14ac:dyDescent="0.3">
      <c r="A10409" t="str">
        <f>HYPERLINK("https://us2.cloudbeds.com/connect/10074733072513#/reservations/31735549935792?display=MXY7SAXVK&amp;reservation_id=31735549935792", "MXY7SAXVK")</f>
        <v>MXY7SAXVK</v>
      </c>
      <c r="B10409" t="s">
        <v>1551</v>
      </c>
      <c r="C10409">
        <v>271.58</v>
      </c>
      <c r="D10409">
        <v>295.22000000000003</v>
      </c>
      <c r="E10409">
        <v>295.20999999999998</v>
      </c>
      <c r="F10409">
        <v>0.01</v>
      </c>
    </row>
    <row r="10410" spans="1:6" x14ac:dyDescent="0.3">
      <c r="A10410" t="str">
        <f>HYPERLINK("https://us2.cloudbeds.com/connect/10074733072513#/reservations/31729754620047?display=MXGZPXC7W&amp;reservation_id=31729754620047", "MXGZPXC7W")</f>
        <v>MXGZPXC7W</v>
      </c>
      <c r="B10410" t="s">
        <v>1601</v>
      </c>
      <c r="C10410">
        <v>129</v>
      </c>
      <c r="D10410">
        <v>140.22999999999999</v>
      </c>
      <c r="E10410">
        <v>140.22</v>
      </c>
      <c r="F10410">
        <v>0.01</v>
      </c>
    </row>
    <row r="10411" spans="1:6" x14ac:dyDescent="0.3">
      <c r="A10411" t="str">
        <f>HYPERLINK("https://us2.cloudbeds.com/connect/10074733072513#/reservations/31729778135169?display=MXGPCCNXE&amp;reservation_id=31729778135169", "MXGPCCNXE")</f>
        <v>MXGPCCNXE</v>
      </c>
      <c r="B10411" t="s">
        <v>1601</v>
      </c>
      <c r="C10411">
        <v>129</v>
      </c>
      <c r="D10411">
        <v>140.22999999999999</v>
      </c>
      <c r="E10411">
        <v>140.22</v>
      </c>
      <c r="F10411">
        <v>0.01</v>
      </c>
    </row>
    <row r="10412" spans="1:6" x14ac:dyDescent="0.3">
      <c r="A10412" t="str">
        <f>HYPERLINK("https://us2.cloudbeds.com/connect/10074733072513#/reservations/31729787080851?display=MXGPJUY4N&amp;reservation_id=31729787080851", "MXGPJUY4N")</f>
        <v>MXGPJUY4N</v>
      </c>
      <c r="B10412" t="s">
        <v>1601</v>
      </c>
      <c r="C10412">
        <v>129</v>
      </c>
      <c r="D10412">
        <v>140.22999999999999</v>
      </c>
      <c r="E10412">
        <v>140.22</v>
      </c>
      <c r="F10412">
        <v>0.01</v>
      </c>
    </row>
    <row r="10413" spans="1:6" x14ac:dyDescent="0.3">
      <c r="A10413" t="str">
        <f>HYPERLINK("https://us2.cloudbeds.com/connect/10074733072513#/reservations/31735319355531?display=MXY1VTB5W&amp;reservation_id=31735319355531", "MXY1VTB5W")</f>
        <v>MXY1VTB5W</v>
      </c>
      <c r="B10413" t="s">
        <v>1603</v>
      </c>
      <c r="C10413">
        <v>139</v>
      </c>
      <c r="D10413">
        <v>151.1</v>
      </c>
      <c r="E10413">
        <v>151.09</v>
      </c>
      <c r="F10413">
        <v>0.01</v>
      </c>
    </row>
    <row r="10414" spans="1:6" x14ac:dyDescent="0.3">
      <c r="A10414" t="str">
        <f>HYPERLINK("https://us2.cloudbeds.com/connect/10074733072513#/reservations/31735308308703?display=MXY1MXV5K&amp;reservation_id=31735308308703", "MXY1MXV5K")</f>
        <v>MXY1MXV5K</v>
      </c>
      <c r="B10414" t="s">
        <v>1603</v>
      </c>
      <c r="C10414">
        <v>278</v>
      </c>
      <c r="D10414">
        <v>302.2</v>
      </c>
      <c r="E10414">
        <v>302.19</v>
      </c>
      <c r="F10414">
        <v>0.01</v>
      </c>
    </row>
    <row r="10415" spans="1:6" x14ac:dyDescent="0.3">
      <c r="A10415" t="str">
        <f>HYPERLINK("https://us2.cloudbeds.com/connect/10074733072513#/reservations/31735226564745?display=MXKWJY9RW&amp;reservation_id=31735226564745", "MXKWJY9RW")</f>
        <v>MXKWJY9RW</v>
      </c>
      <c r="B10415" t="s">
        <v>1478</v>
      </c>
      <c r="C10415">
        <v>336</v>
      </c>
      <c r="D10415">
        <v>365.24</v>
      </c>
      <c r="E10415">
        <v>365.23</v>
      </c>
      <c r="F10415">
        <v>0.01</v>
      </c>
    </row>
    <row r="10416" spans="1:6" x14ac:dyDescent="0.3">
      <c r="A10416" t="str">
        <f>HYPERLINK("https://us2.cloudbeds.com/connect/10074733072513#/reservations/31734843584643?display=MXKMQNAAB&amp;reservation_id=31734843584643", "MXKMQNAAB")</f>
        <v>MXKMQNAAB</v>
      </c>
      <c r="B10416" t="s">
        <v>1610</v>
      </c>
      <c r="C10416">
        <v>258</v>
      </c>
      <c r="D10416">
        <v>280.45999999999998</v>
      </c>
      <c r="E10416">
        <v>280.45</v>
      </c>
      <c r="F10416">
        <v>0.01</v>
      </c>
    </row>
    <row r="10417" spans="1:6" x14ac:dyDescent="0.3">
      <c r="A10417" t="str">
        <f>HYPERLINK("https://us2.cloudbeds.com/connect/10074733072513#/reservations/31734819291274?display=MXKM67ABY&amp;reservation_id=31734819291274", "MXKM67ABY")</f>
        <v>MXKM67ABY</v>
      </c>
      <c r="B10417" t="s">
        <v>1610</v>
      </c>
      <c r="C10417">
        <v>129</v>
      </c>
      <c r="D10417">
        <v>140.22999999999999</v>
      </c>
      <c r="E10417">
        <v>140.22</v>
      </c>
      <c r="F10417">
        <v>0.01</v>
      </c>
    </row>
    <row r="10418" spans="1:6" x14ac:dyDescent="0.3">
      <c r="A10418" t="str">
        <f>HYPERLINK("https://us2.cloudbeds.com/connect/10074733072513#/reservations/31695985291473?display=MHNJTC0PT&amp;reservation_id=31695985291473", "MHNJTC0PT")</f>
        <v>MHNJTC0PT</v>
      </c>
      <c r="B10418" t="s">
        <v>1544</v>
      </c>
      <c r="C10418">
        <v>139</v>
      </c>
      <c r="D10418">
        <v>151.1</v>
      </c>
      <c r="E10418">
        <v>151.09</v>
      </c>
      <c r="F10418">
        <v>0.01</v>
      </c>
    </row>
    <row r="10419" spans="1:6" x14ac:dyDescent="0.3">
      <c r="A10419" t="str">
        <f>HYPERLINK("https://us2.cloudbeds.com/connect/10074733072513#/reservations/31731858849994?display=MXXCHTM4Q&amp;reservation_id=31731858849994", "MXXCHTM4Q")</f>
        <v>MXXCHTM4Q</v>
      </c>
      <c r="B10419" t="s">
        <v>1344</v>
      </c>
      <c r="C10419">
        <v>398</v>
      </c>
      <c r="D10419">
        <v>432.64</v>
      </c>
      <c r="E10419">
        <v>432.63</v>
      </c>
      <c r="F10419">
        <v>0.01</v>
      </c>
    </row>
    <row r="10420" spans="1:6" x14ac:dyDescent="0.3">
      <c r="A10420" t="str">
        <f>HYPERLINK("https://us2.cloudbeds.com/connect/10074733072513#/reservations/31733690212597?display=MXJQB5159&amp;reservation_id=31733690212597", "MXJQB5159")</f>
        <v>MXJQB5159</v>
      </c>
      <c r="B10420" t="s">
        <v>1537</v>
      </c>
      <c r="C10420">
        <v>189</v>
      </c>
      <c r="D10420">
        <v>205.45</v>
      </c>
      <c r="E10420">
        <v>205.44</v>
      </c>
      <c r="F10420">
        <v>0.01</v>
      </c>
    </row>
    <row r="10421" spans="1:6" x14ac:dyDescent="0.3">
      <c r="A10421" t="str">
        <f>HYPERLINK("https://us2.cloudbeds.com/connect/10074733072513#/reservations/31734226333891?display=MXK717D73&amp;reservation_id=31734226333891", "MXK717D73")</f>
        <v>MXK717D73</v>
      </c>
      <c r="B10421" t="s">
        <v>1601</v>
      </c>
      <c r="C10421">
        <v>73</v>
      </c>
      <c r="D10421">
        <v>79.36</v>
      </c>
      <c r="E10421">
        <v>79.349999999999994</v>
      </c>
      <c r="F10421">
        <v>0.01</v>
      </c>
    </row>
    <row r="10422" spans="1:6" x14ac:dyDescent="0.3">
      <c r="A10422" t="str">
        <f>HYPERLINK("https://us2.cloudbeds.com/connect/10074733072513#/reservations/31734164189432?display=MXK5ER4JY&amp;reservation_id=31734164189432", "MXK5ER4JY")</f>
        <v>MXK5ER4JY</v>
      </c>
      <c r="B10422" t="s">
        <v>1601</v>
      </c>
      <c r="C10422">
        <v>102.58</v>
      </c>
      <c r="D10422">
        <v>111.51</v>
      </c>
      <c r="E10422">
        <v>111.5</v>
      </c>
      <c r="F10422">
        <v>0.01</v>
      </c>
    </row>
    <row r="10423" spans="1:6" x14ac:dyDescent="0.3">
      <c r="A10423" t="str">
        <f>HYPERLINK("https://us2.cloudbeds.com/connect/10074733072513#/reservations/31734149697744?display=MXK52JT8J&amp;reservation_id=31734149697744", "MXK52JT8J")</f>
        <v>MXK52JT8J</v>
      </c>
      <c r="B10423" t="s">
        <v>1601</v>
      </c>
      <c r="C10423">
        <v>105.78</v>
      </c>
      <c r="D10423">
        <v>114.99</v>
      </c>
      <c r="E10423">
        <v>114.98</v>
      </c>
      <c r="F10423">
        <v>0.01</v>
      </c>
    </row>
    <row r="10424" spans="1:6" x14ac:dyDescent="0.3">
      <c r="A10424" t="str">
        <f>HYPERLINK("https://us2.cloudbeds.com/connect/10074733072513#/reservations/31694670012648?display=MHMJ99ETQ&amp;reservation_id=31694670012648", "MHMJ99ETQ")</f>
        <v>MHMJ99ETQ</v>
      </c>
      <c r="B10424" t="s">
        <v>1601</v>
      </c>
      <c r="C10424">
        <v>102.58</v>
      </c>
      <c r="D10424">
        <v>111.51</v>
      </c>
      <c r="E10424">
        <v>111.5</v>
      </c>
      <c r="F10424">
        <v>0.01</v>
      </c>
    </row>
    <row r="10425" spans="1:6" x14ac:dyDescent="0.3">
      <c r="A10425" t="str">
        <f>HYPERLINK("https://us2.cloudbeds.com/connect/10074733072513#/reservations/31734081691782?display=MXK3B8H5T&amp;reservation_id=31734081691782", "MXK3B8H5T")</f>
        <v>MXK3B8H5T</v>
      </c>
      <c r="B10425" t="s">
        <v>1601</v>
      </c>
      <c r="C10425">
        <v>129</v>
      </c>
      <c r="D10425">
        <v>140.22999999999999</v>
      </c>
      <c r="E10425">
        <v>140.22</v>
      </c>
      <c r="F10425">
        <v>0.01</v>
      </c>
    </row>
    <row r="10426" spans="1:6" x14ac:dyDescent="0.3">
      <c r="A10426" t="str">
        <f>HYPERLINK("https://us2.cloudbeds.com/connect/10074733072513#/reservations/31730117726396?display=MXH11ZB7M&amp;reservation_id=31730117726396", "MXH11ZB7M")</f>
        <v>MXH11ZB7M</v>
      </c>
      <c r="B10426" t="s">
        <v>1564</v>
      </c>
      <c r="C10426">
        <v>129</v>
      </c>
      <c r="D10426">
        <v>140.22999999999999</v>
      </c>
      <c r="E10426">
        <v>140.22</v>
      </c>
      <c r="F10426">
        <v>0.01</v>
      </c>
    </row>
    <row r="10427" spans="1:6" x14ac:dyDescent="0.3">
      <c r="A10427" t="str">
        <f>HYPERLINK("https://us2.cloudbeds.com/connect/10074733072513#/reservations/31735336370384?display=MXY2D7QFJ&amp;reservation_id=31735336370384", "MXY2D7QFJ")</f>
        <v>MXY2D7QFJ</v>
      </c>
      <c r="B10427" t="s">
        <v>1603</v>
      </c>
      <c r="C10427">
        <v>258</v>
      </c>
      <c r="D10427">
        <v>280.45999999999998</v>
      </c>
      <c r="E10427">
        <v>280.45</v>
      </c>
      <c r="F10427">
        <v>0.01</v>
      </c>
    </row>
    <row r="10428" spans="1:6" x14ac:dyDescent="0.3">
      <c r="A10428" t="str">
        <f>HYPERLINK("https://us2.cloudbeds.com/connect/10074733072513#/reservations/31730196885704?display=MXH32G24J&amp;reservation_id=31730196885704", "MXH32G24J")</f>
        <v>MXH32G24J</v>
      </c>
      <c r="B10428" t="s">
        <v>1547</v>
      </c>
      <c r="C10428">
        <v>552</v>
      </c>
      <c r="D10428">
        <v>600.03</v>
      </c>
      <c r="E10428">
        <v>600.02</v>
      </c>
      <c r="F10428">
        <v>0.01</v>
      </c>
    </row>
    <row r="10429" spans="1:6" x14ac:dyDescent="0.3">
      <c r="A10429" t="str">
        <f>HYPERLINK("https://us2.cloudbeds.com/connect/10074733072513#/reservations/31729885548770?display=MXGS3VYY1&amp;reservation_id=31729885548770", "MXGS3VYY1")</f>
        <v>MXGS3VYY1</v>
      </c>
      <c r="B10429" t="s">
        <v>1572</v>
      </c>
      <c r="C10429">
        <v>189</v>
      </c>
      <c r="D10429">
        <v>205.45</v>
      </c>
      <c r="E10429">
        <v>205.44</v>
      </c>
      <c r="F10429">
        <v>0.01</v>
      </c>
    </row>
    <row r="10430" spans="1:6" x14ac:dyDescent="0.3">
      <c r="A10430" t="str">
        <f>HYPERLINK("https://us2.cloudbeds.com/connect/10074733072513#/reservations/31729904230610?display=MXGSJNGMD&amp;reservation_id=31729904230610", "MXGSJNGMD")</f>
        <v>MXGSJNGMD</v>
      </c>
      <c r="B10430" t="s">
        <v>1572</v>
      </c>
      <c r="C10430">
        <v>189</v>
      </c>
      <c r="D10430">
        <v>205.45</v>
      </c>
      <c r="E10430">
        <v>205.44</v>
      </c>
      <c r="F10430">
        <v>0.01</v>
      </c>
    </row>
    <row r="10431" spans="1:6" x14ac:dyDescent="0.3">
      <c r="A10431" t="str">
        <f>HYPERLINK("https://us2.cloudbeds.com/connect/10074733072513#/reservations/31735307129025?display=MXY1YJ3TQ&amp;reservation_id=31735307129025", "MXY1YJ3TQ")</f>
        <v>MXY1YJ3TQ</v>
      </c>
      <c r="B10431" t="s">
        <v>1603</v>
      </c>
      <c r="C10431">
        <v>129</v>
      </c>
      <c r="D10431">
        <v>140.22999999999999</v>
      </c>
      <c r="E10431">
        <v>140.22</v>
      </c>
      <c r="F10431">
        <v>0.01</v>
      </c>
    </row>
    <row r="10432" spans="1:6" x14ac:dyDescent="0.3">
      <c r="A10432" t="str">
        <f>HYPERLINK("https://us2.cloudbeds.com/connect/10074733072513#/reservations/31733898371319?display=MXJVYMBRA&amp;reservation_id=31733898371319", "MXJVYMBRA")</f>
        <v>MXJVYMBRA</v>
      </c>
      <c r="B10432" t="s">
        <v>1401</v>
      </c>
      <c r="C10432">
        <v>617</v>
      </c>
      <c r="D10432">
        <v>670.69</v>
      </c>
      <c r="E10432">
        <v>670.68</v>
      </c>
      <c r="F10432">
        <v>0.01</v>
      </c>
    </row>
    <row r="10433" spans="1:6" x14ac:dyDescent="0.3">
      <c r="A10433" t="str">
        <f>HYPERLINK("https://us2.cloudbeds.com/connect/10074733072513#/reservations/31733905391790?display=MXJVRJNHT&amp;reservation_id=31733905391790", "MXJVRJNHT")</f>
        <v>MXJVRJNHT</v>
      </c>
      <c r="B10433" t="s">
        <v>1401</v>
      </c>
      <c r="C10433">
        <v>458</v>
      </c>
      <c r="D10433">
        <v>497.86</v>
      </c>
      <c r="E10433">
        <v>497.85</v>
      </c>
      <c r="F10433">
        <v>0.01</v>
      </c>
    </row>
    <row r="10434" spans="1:6" x14ac:dyDescent="0.3">
      <c r="A10434" t="str">
        <f>HYPERLINK("https://us2.cloudbeds.com/connect/10074733072513#/reservations/31734512840877?display=MXKEBQT0W&amp;reservation_id=31734512840877", "MXKEBQT0W")</f>
        <v>MXKEBQT0W</v>
      </c>
      <c r="B10434" t="s">
        <v>1510</v>
      </c>
      <c r="C10434">
        <v>209</v>
      </c>
      <c r="D10434">
        <v>227.19</v>
      </c>
      <c r="E10434">
        <v>227.18</v>
      </c>
      <c r="F10434">
        <v>0.01</v>
      </c>
    </row>
    <row r="10435" spans="1:6" x14ac:dyDescent="0.3">
      <c r="A10435" t="str">
        <f>HYPERLINK("https://us2.cloudbeds.com/connect/10074733072513#/reservations/31731207110844?display=MXHSTB28K&amp;reservation_id=31731207110844", "MXHSTB28K")</f>
        <v>MXHSTB28K</v>
      </c>
      <c r="B10435" t="s">
        <v>1444</v>
      </c>
      <c r="C10435">
        <v>554</v>
      </c>
      <c r="D10435">
        <v>602.21</v>
      </c>
      <c r="E10435">
        <v>602.20000000000005</v>
      </c>
      <c r="F10435">
        <v>0.01</v>
      </c>
    </row>
    <row r="10436" spans="1:6" x14ac:dyDescent="0.3">
      <c r="A10436" t="str">
        <f>HYPERLINK("https://us2.cloudbeds.com/connect/10074733072513#/reservations/31735839842512?display=MXYF8PYYZ&amp;reservation_id=31735839842512", "MXYF8PYYZ")</f>
        <v>MXYF8PYYZ</v>
      </c>
      <c r="B10436" t="s">
        <v>1565</v>
      </c>
      <c r="C10436">
        <v>189</v>
      </c>
      <c r="D10436">
        <v>205.45</v>
      </c>
      <c r="E10436">
        <v>205.44</v>
      </c>
      <c r="F10436">
        <v>0.01</v>
      </c>
    </row>
    <row r="10437" spans="1:6" x14ac:dyDescent="0.3">
      <c r="A10437" t="str">
        <f>HYPERLINK("https://us2.cloudbeds.com/connect/10074733072513#/reservations/31732613402834?display=MXXVR574D&amp;reservation_id=31732613402834", "MXXVR574D")</f>
        <v>MXXVR574D</v>
      </c>
      <c r="B10437" t="s">
        <v>1590</v>
      </c>
      <c r="C10437">
        <v>129</v>
      </c>
      <c r="D10437">
        <v>140.22999999999999</v>
      </c>
      <c r="E10437">
        <v>140.22</v>
      </c>
      <c r="F10437">
        <v>0.01</v>
      </c>
    </row>
    <row r="10438" spans="1:6" x14ac:dyDescent="0.3">
      <c r="A10438" t="str">
        <f>HYPERLINK("https://us2.cloudbeds.com/connect/10074733072513#/reservations/31732790472895?display=MXJ3BFETR&amp;reservation_id=31732790472895", "MXJ3BFETR")</f>
        <v>MXJ3BFETR</v>
      </c>
      <c r="B10438" t="s">
        <v>1600</v>
      </c>
      <c r="C10438">
        <v>209</v>
      </c>
      <c r="D10438">
        <v>227.19</v>
      </c>
      <c r="E10438">
        <v>227.18</v>
      </c>
      <c r="F10438">
        <v>0.01</v>
      </c>
    </row>
    <row r="10439" spans="1:6" x14ac:dyDescent="0.3">
      <c r="A10439" t="str">
        <f>HYPERLINK("https://us2.cloudbeds.com/connect/10074733072513#/reservations/31735778046168?display=MXYDMM2N8&amp;reservation_id=31735778046168", "MXYDMM2N8")</f>
        <v>MXYDMM2N8</v>
      </c>
      <c r="B10439" t="s">
        <v>1565</v>
      </c>
      <c r="C10439">
        <v>378</v>
      </c>
      <c r="D10439">
        <v>410.9</v>
      </c>
      <c r="E10439">
        <v>410.89</v>
      </c>
      <c r="F10439">
        <v>0.01</v>
      </c>
    </row>
    <row r="10440" spans="1:6" x14ac:dyDescent="0.3">
      <c r="A10440" t="str">
        <f>HYPERLINK("https://us2.cloudbeds.com/connect/10074733072513#/reservations/31733685231831?display=MXJQ6VEEW&amp;reservation_id=31733685231831", "MXJQ6VEEW")</f>
        <v>MXJQ6VEEW</v>
      </c>
      <c r="B10440" t="s">
        <v>1322</v>
      </c>
      <c r="C10440">
        <v>219</v>
      </c>
      <c r="D10440">
        <v>238.06</v>
      </c>
      <c r="E10440">
        <v>238.05</v>
      </c>
      <c r="F10440">
        <v>0.01</v>
      </c>
    </row>
    <row r="10441" spans="1:6" x14ac:dyDescent="0.3">
      <c r="A10441" t="str">
        <f>HYPERLINK("https://us2.cloudbeds.com/connect/10074733072513#/reservations/31727549366406?display=MXF1E0UV2&amp;reservation_id=31727549366406", "MXF1E0UV2")</f>
        <v>MXF1E0UV2</v>
      </c>
      <c r="B10441" t="s">
        <v>1564</v>
      </c>
      <c r="C10441">
        <v>129</v>
      </c>
      <c r="D10441">
        <v>140.22999999999999</v>
      </c>
      <c r="E10441">
        <v>140.22</v>
      </c>
      <c r="F10441">
        <v>0.01</v>
      </c>
    </row>
    <row r="10442" spans="1:6" x14ac:dyDescent="0.3">
      <c r="A10442" t="str">
        <f>HYPERLINK("https://us2.cloudbeds.com/connect/10074733072513#/reservations/31727574147280?display=MXF21UGXY&amp;reservation_id=31727574147280", "MXF21UGXY")</f>
        <v>MXF21UGXY</v>
      </c>
      <c r="B10442" t="s">
        <v>1564</v>
      </c>
      <c r="C10442">
        <v>129</v>
      </c>
      <c r="D10442">
        <v>140.22999999999999</v>
      </c>
      <c r="E10442">
        <v>140.22</v>
      </c>
      <c r="F10442">
        <v>0.01</v>
      </c>
    </row>
    <row r="10443" spans="1:6" x14ac:dyDescent="0.3">
      <c r="A10443" t="str">
        <f>HYPERLINK("https://us2.cloudbeds.com/connect/10074733072513#/reservations/31726171058304?display=MXDW6QC7N&amp;reservation_id=31726171058304", "MXDW6QC7N")</f>
        <v>MXDW6QC7N</v>
      </c>
      <c r="B10443" t="s">
        <v>1566</v>
      </c>
      <c r="C10443">
        <v>438</v>
      </c>
      <c r="D10443">
        <v>476.12</v>
      </c>
      <c r="E10443">
        <v>476.11</v>
      </c>
      <c r="F10443">
        <v>0.01</v>
      </c>
    </row>
    <row r="10444" spans="1:6" x14ac:dyDescent="0.3">
      <c r="A10444" t="str">
        <f>HYPERLINK("https://us2.cloudbeds.com/connect/10074733072513#/reservations/31727621103818?display=MXF38H4H0&amp;reservation_id=31727621103818", "MXF38H4H0")</f>
        <v>MXF38H4H0</v>
      </c>
      <c r="B10444" t="s">
        <v>1564</v>
      </c>
      <c r="C10444">
        <v>129</v>
      </c>
      <c r="D10444">
        <v>140.22999999999999</v>
      </c>
      <c r="E10444">
        <v>140.22</v>
      </c>
      <c r="F10444">
        <v>0.01</v>
      </c>
    </row>
    <row r="10445" spans="1:6" x14ac:dyDescent="0.3">
      <c r="A10445" t="str">
        <f>HYPERLINK("https://us2.cloudbeds.com/connect/10074733072513#/reservations/31734400692475?display=MXKBG863X&amp;reservation_id=31734400692475", "MXKBG863X")</f>
        <v>MXKBG863X</v>
      </c>
      <c r="B10445" t="s">
        <v>1612</v>
      </c>
      <c r="C10445">
        <v>252</v>
      </c>
      <c r="D10445">
        <v>273.93</v>
      </c>
      <c r="E10445">
        <v>273.92</v>
      </c>
      <c r="F10445">
        <v>0.01</v>
      </c>
    </row>
    <row r="10446" spans="1:6" x14ac:dyDescent="0.3">
      <c r="A10446" t="str">
        <f>HYPERLINK("https://us2.cloudbeds.com/connect/10074733072513#/reservations/31726154772689?display=MXDVQ2A9D&amp;reservation_id=31726154772689", "MXDVQ2A9D")</f>
        <v>MXDVQ2A9D</v>
      </c>
      <c r="B10446" t="s">
        <v>1566</v>
      </c>
      <c r="C10446">
        <v>438</v>
      </c>
      <c r="D10446">
        <v>476.12</v>
      </c>
      <c r="E10446">
        <v>476.11</v>
      </c>
      <c r="F10446">
        <v>0.01</v>
      </c>
    </row>
    <row r="10447" spans="1:6" x14ac:dyDescent="0.3">
      <c r="A10447" t="str">
        <f>HYPERLINK("https://us2.cloudbeds.com/connect/10074733072513#/reservations/31734422335631?display=MXKC1GEEP&amp;reservation_id=31734422335631", "MXKC1GEEP")</f>
        <v>MXKC1GEEP</v>
      </c>
      <c r="B10447" t="s">
        <v>1612</v>
      </c>
      <c r="C10447">
        <v>252</v>
      </c>
      <c r="D10447">
        <v>273.93</v>
      </c>
      <c r="E10447">
        <v>273.92</v>
      </c>
      <c r="F10447">
        <v>0.01</v>
      </c>
    </row>
    <row r="10448" spans="1:6" x14ac:dyDescent="0.3">
      <c r="A10448" t="str">
        <f>HYPERLINK("https://us2.cloudbeds.com/connect/10074733072513#/reservations/31734764281999?display=MXKKPRJPU&amp;reservation_id=31734764281999", "MXKKPRJPU")</f>
        <v>MXKKPRJPU</v>
      </c>
      <c r="B10448" t="s">
        <v>1615</v>
      </c>
      <c r="C10448">
        <v>129</v>
      </c>
      <c r="D10448">
        <v>140.22999999999999</v>
      </c>
      <c r="E10448">
        <v>140.22</v>
      </c>
      <c r="F10448">
        <v>0.01</v>
      </c>
    </row>
    <row r="10449" spans="1:6" x14ac:dyDescent="0.3">
      <c r="A10449" t="str">
        <f>HYPERLINK("https://us2.cloudbeds.com/connect/10074733072513#/reservations/31734419890350?display=MXKBWED0B&amp;reservation_id=31734419890350", "MXKBWED0B")</f>
        <v>MXKBWED0B</v>
      </c>
      <c r="B10449" t="s">
        <v>1612</v>
      </c>
      <c r="C10449">
        <v>252</v>
      </c>
      <c r="D10449">
        <v>273.93</v>
      </c>
      <c r="E10449">
        <v>273.92</v>
      </c>
      <c r="F10449">
        <v>0.01</v>
      </c>
    </row>
    <row r="10450" spans="1:6" x14ac:dyDescent="0.3">
      <c r="A10450" t="str">
        <f>HYPERLINK("https://us2.cloudbeds.com/connect/10074733072513#/reservations/31727612846272?display=MXF2RDE0K&amp;reservation_id=31727612846272", "MXF2RDE0K")</f>
        <v>MXF2RDE0K</v>
      </c>
      <c r="B10450" t="s">
        <v>1564</v>
      </c>
      <c r="C10450">
        <v>129</v>
      </c>
      <c r="D10450">
        <v>140.22999999999999</v>
      </c>
      <c r="E10450">
        <v>140.22</v>
      </c>
      <c r="F10450">
        <v>0.01</v>
      </c>
    </row>
    <row r="10451" spans="1:6" x14ac:dyDescent="0.3">
      <c r="A10451" t="str">
        <f>HYPERLINK("https://us2.cloudbeds.com/connect/10074733072513#/reservations/31727595720913?display=MXF2K3R23&amp;reservation_id=31727595720913", "MXF2K3R23")</f>
        <v>MXF2K3R23</v>
      </c>
      <c r="B10451" t="s">
        <v>1564</v>
      </c>
      <c r="C10451">
        <v>129</v>
      </c>
      <c r="D10451">
        <v>140.22999999999999</v>
      </c>
      <c r="E10451">
        <v>140.22</v>
      </c>
      <c r="F10451">
        <v>0.01</v>
      </c>
    </row>
    <row r="10452" spans="1:6" x14ac:dyDescent="0.3">
      <c r="A10452" t="str">
        <f>HYPERLINK("https://us2.cloudbeds.com/connect/10074733072513#/reservations/31730863517942?display=MXHK3K2VG&amp;reservation_id=31730863517942", "MXHK3K2VG")</f>
        <v>MXHK3K2VG</v>
      </c>
      <c r="B10452" t="s">
        <v>1537</v>
      </c>
      <c r="C10452">
        <v>356</v>
      </c>
      <c r="D10452">
        <v>386.98</v>
      </c>
      <c r="E10452">
        <v>386.97</v>
      </c>
      <c r="F10452">
        <v>0.01</v>
      </c>
    </row>
    <row r="10453" spans="1:6" x14ac:dyDescent="0.3">
      <c r="A10453" t="str">
        <f>HYPERLINK("https://us2.cloudbeds.com/connect/10074733072513#/reservations/31736131223686?display=MXYMNFPA9&amp;reservation_id=31736131223686", "MXYMNFPA9")</f>
        <v>MXYMNFPA9</v>
      </c>
      <c r="B10453" t="s">
        <v>1606</v>
      </c>
      <c r="C10453">
        <v>278</v>
      </c>
      <c r="D10453">
        <v>302.2</v>
      </c>
      <c r="E10453">
        <v>302.19</v>
      </c>
      <c r="F10453">
        <v>0.01</v>
      </c>
    </row>
    <row r="10454" spans="1:6" x14ac:dyDescent="0.3">
      <c r="A10454" t="str">
        <f>HYPERLINK("https://us2.cloudbeds.com/connect/10074733072513#/reservations/31732108554447?display=MXXXUF25E&amp;reservation_id=31732108554447", "MXXXUF25E")</f>
        <v>MXXXUF25E</v>
      </c>
      <c r="B10454" t="s">
        <v>1612</v>
      </c>
      <c r="C10454">
        <v>299.7</v>
      </c>
      <c r="D10454">
        <v>325.77999999999997</v>
      </c>
      <c r="E10454">
        <v>325.77</v>
      </c>
      <c r="F10454">
        <v>0.01</v>
      </c>
    </row>
    <row r="10455" spans="1:6" x14ac:dyDescent="0.3">
      <c r="A10455" t="str">
        <f>HYPERLINK("https://us2.cloudbeds.com/connect/10074733072513#/reservations/31736231039154?display=MXYP8Y97E&amp;reservation_id=31736231039154", "MXYP8Y97E")</f>
        <v>MXYP8Y97E</v>
      </c>
      <c r="B10455" t="s">
        <v>1564</v>
      </c>
      <c r="C10455">
        <v>129</v>
      </c>
      <c r="D10455">
        <v>140.22999999999999</v>
      </c>
      <c r="E10455">
        <v>140.22</v>
      </c>
      <c r="F10455">
        <v>0.01</v>
      </c>
    </row>
    <row r="10456" spans="1:6" x14ac:dyDescent="0.3">
      <c r="A10456" t="str">
        <f>HYPERLINK("https://us2.cloudbeds.com/connect/10074733072513#/reservations/31727522656452?display=MXF0ZGMTH&amp;reservation_id=31727522656452", "MXF0ZGMTH")</f>
        <v>MXF0ZGMTH</v>
      </c>
      <c r="B10456" t="s">
        <v>1564</v>
      </c>
      <c r="C10456">
        <v>105.78</v>
      </c>
      <c r="D10456">
        <v>114.99</v>
      </c>
      <c r="E10456">
        <v>114.98</v>
      </c>
      <c r="F10456">
        <v>0.01</v>
      </c>
    </row>
    <row r="10457" spans="1:6" x14ac:dyDescent="0.3">
      <c r="A10457" t="str">
        <f>HYPERLINK("https://us2.cloudbeds.com/connect/10074733072513#/reservations/31735150620841?display=MXKUYK1XX&amp;reservation_id=31735150620841", "MXKUYK1XX")</f>
        <v>MXKUYK1XX</v>
      </c>
      <c r="B10457" t="s">
        <v>1565</v>
      </c>
      <c r="C10457">
        <v>528.05999999999995</v>
      </c>
      <c r="D10457">
        <v>574.01</v>
      </c>
      <c r="E10457">
        <v>574</v>
      </c>
      <c r="F10457">
        <v>0.01</v>
      </c>
    </row>
    <row r="10458" spans="1:6" x14ac:dyDescent="0.3">
      <c r="A10458" t="str">
        <f>HYPERLINK("https://us2.cloudbeds.com/connect/10074733072513#/reservations/31736008589456?display=MXYJJ29HG&amp;reservation_id=31736008589456", "MXYJJ29HG")</f>
        <v>MXYJJ29HG</v>
      </c>
      <c r="B10458" t="s">
        <v>1449</v>
      </c>
      <c r="C10458">
        <v>252</v>
      </c>
      <c r="D10458">
        <v>273.93</v>
      </c>
      <c r="E10458">
        <v>273.92</v>
      </c>
      <c r="F10458">
        <v>0.01</v>
      </c>
    </row>
    <row r="10459" spans="1:6" x14ac:dyDescent="0.3">
      <c r="A10459" t="str">
        <f>HYPERLINK("https://us2.cloudbeds.com/connect/10074733072513#/reservations/31733721235607?display=MXJR4A9PG&amp;reservation_id=31733721235607", "MXJR4A9PG")</f>
        <v>MXJR4A9PG</v>
      </c>
      <c r="B10459" t="s">
        <v>1537</v>
      </c>
      <c r="C10459">
        <v>356</v>
      </c>
      <c r="D10459">
        <v>386.98</v>
      </c>
      <c r="E10459">
        <v>386.97</v>
      </c>
      <c r="F10459">
        <v>0.01</v>
      </c>
    </row>
    <row r="10460" spans="1:6" x14ac:dyDescent="0.3">
      <c r="A10460" t="str">
        <f>HYPERLINK("https://us2.cloudbeds.com/connect/10074733072513#/reservations/31733440233626?display=MXJJVC01V&amp;reservation_id=31733440233626", "MXJJVC01V")</f>
        <v>MXJJVC01V</v>
      </c>
      <c r="B10460" t="s">
        <v>1449</v>
      </c>
      <c r="C10460">
        <v>402</v>
      </c>
      <c r="D10460">
        <v>436.98</v>
      </c>
      <c r="E10460">
        <v>436.97</v>
      </c>
      <c r="F10460">
        <v>0.01</v>
      </c>
    </row>
    <row r="10461" spans="1:6" x14ac:dyDescent="0.3">
      <c r="A10461" t="str">
        <f>HYPERLINK("https://us2.cloudbeds.com/connect/10074733072513#/reservations/31733021257929?display=MXJ982CNN&amp;reservation_id=31733021257929", "MXJ982CNN")</f>
        <v>MXJ982CNN</v>
      </c>
      <c r="B10461" t="s">
        <v>1606</v>
      </c>
      <c r="C10461">
        <v>129</v>
      </c>
      <c r="D10461">
        <v>140.22999999999999</v>
      </c>
      <c r="E10461">
        <v>140.22</v>
      </c>
      <c r="F10461">
        <v>0.01</v>
      </c>
    </row>
    <row r="10462" spans="1:6" x14ac:dyDescent="0.3">
      <c r="A10462" t="str">
        <f>HYPERLINK("https://us2.cloudbeds.com/connect/10074733072513#/reservations/31734784393421?display=MXKY9Q7XV&amp;reservation_id=31734784393421", "MXKY9Q7XV")</f>
        <v>MXKY9Q7XV</v>
      </c>
      <c r="B10462" t="s">
        <v>1615</v>
      </c>
      <c r="C10462">
        <v>258</v>
      </c>
      <c r="D10462">
        <v>280.45999999999998</v>
      </c>
      <c r="E10462">
        <v>280.45</v>
      </c>
      <c r="F10462">
        <v>0.01</v>
      </c>
    </row>
    <row r="10463" spans="1:6" x14ac:dyDescent="0.3">
      <c r="A10463" t="str">
        <f>HYPERLINK("https://us2.cloudbeds.com/connect/10074733072513#/reservations/31734910922883?display=MXKZHG382&amp;reservation_id=31734910922883", "MXKZHG382")</f>
        <v>MXKZHG382</v>
      </c>
      <c r="B10463" t="s">
        <v>1401</v>
      </c>
      <c r="C10463">
        <v>522.16</v>
      </c>
      <c r="D10463">
        <v>567.6</v>
      </c>
      <c r="E10463">
        <v>567.59</v>
      </c>
      <c r="F10463">
        <v>0.01</v>
      </c>
    </row>
    <row r="10464" spans="1:6" x14ac:dyDescent="0.3">
      <c r="A10464" t="str">
        <f>HYPERLINK("https://us2.cloudbeds.com/connect/10074733072513#/reservations/31732094337183?display=MXXXXFER8&amp;reservation_id=31732094337183", "MXXXXFER8")</f>
        <v>MXXXXFER8</v>
      </c>
      <c r="B10464" t="s">
        <v>1612</v>
      </c>
      <c r="C10464">
        <v>73</v>
      </c>
      <c r="D10464">
        <v>79.36</v>
      </c>
      <c r="E10464">
        <v>79.349999999999994</v>
      </c>
      <c r="F10464">
        <v>0.01</v>
      </c>
    </row>
    <row r="10465" spans="1:6" x14ac:dyDescent="0.3">
      <c r="A10465" t="str">
        <f>HYPERLINK("https://us2.cloudbeds.com/connect/10074733072513#/reservations/31732148740291?display=MXXJVB9P8&amp;reservation_id=31732148740291", "MXXJVB9P8")</f>
        <v>MXXJVB9P8</v>
      </c>
      <c r="B10465" t="s">
        <v>1612</v>
      </c>
      <c r="C10465">
        <v>102.58</v>
      </c>
      <c r="D10465">
        <v>111.51</v>
      </c>
      <c r="E10465">
        <v>111.5</v>
      </c>
      <c r="F10465">
        <v>0.01</v>
      </c>
    </row>
    <row r="10466" spans="1:6" x14ac:dyDescent="0.3">
      <c r="A10466" t="str">
        <f>HYPERLINK("https://us2.cloudbeds.com/connect/10074733072513#/reservations/31732157522084?display=MXXK5ZYS7&amp;reservation_id=31732157522084", "MXXK5ZYS7")</f>
        <v>MXXK5ZYS7</v>
      </c>
      <c r="B10466" t="s">
        <v>1612</v>
      </c>
      <c r="C10466">
        <v>278</v>
      </c>
      <c r="D10466">
        <v>302.2</v>
      </c>
      <c r="E10466">
        <v>302.19</v>
      </c>
      <c r="F10466">
        <v>0.01</v>
      </c>
    </row>
    <row r="10467" spans="1:6" x14ac:dyDescent="0.3">
      <c r="A10467" t="str">
        <f>HYPERLINK("https://us2.cloudbeds.com/connect/10074733072513#/reservations/31732191359173?display=MXXY197XX&amp;reservation_id=31732191359173", "MXXY197XX")</f>
        <v>MXXY197XX</v>
      </c>
      <c r="B10467" t="s">
        <v>1612</v>
      </c>
      <c r="C10467">
        <v>149</v>
      </c>
      <c r="D10467">
        <v>161.97</v>
      </c>
      <c r="E10467">
        <v>161.96</v>
      </c>
      <c r="F10467">
        <v>0.01</v>
      </c>
    </row>
    <row r="10468" spans="1:6" x14ac:dyDescent="0.3">
      <c r="A10468" t="str">
        <f>HYPERLINK("https://us2.cloudbeds.com/connect/10074733072513#/reservations/31735208874205?display=MXKW4Z130&amp;reservation_id=31735208874205", "MXKW4Z130")</f>
        <v>MXKW4Z130</v>
      </c>
      <c r="B10468" t="s">
        <v>1478</v>
      </c>
      <c r="C10468">
        <v>129</v>
      </c>
      <c r="D10468">
        <v>140.22999999999999</v>
      </c>
      <c r="E10468">
        <v>140.22</v>
      </c>
      <c r="F10468">
        <v>0.01</v>
      </c>
    </row>
    <row r="10469" spans="1:6" x14ac:dyDescent="0.3">
      <c r="A10469" t="str">
        <f>HYPERLINK("https://us2.cloudbeds.com/connect/10074733072513#/reservations/31732701802688?display=MXJ0R2FHB&amp;reservation_id=31732701802688", "MXJ0R2FHB")</f>
        <v>MXJ0R2FHB</v>
      </c>
      <c r="B10469" t="s">
        <v>1589</v>
      </c>
      <c r="C10469">
        <v>258</v>
      </c>
      <c r="D10469">
        <v>280.45999999999998</v>
      </c>
      <c r="E10469">
        <v>280.45</v>
      </c>
      <c r="F10469">
        <v>0.01</v>
      </c>
    </row>
    <row r="10470" spans="1:6" x14ac:dyDescent="0.3">
      <c r="A10470" t="str">
        <f>HYPERLINK("https://us2.cloudbeds.com/connect/10074733072513#/reservations/31732710645978?display=MXJ1A54VB&amp;reservation_id=31732710645978", "MXJ1A54VB")</f>
        <v>MXJ1A54VB</v>
      </c>
      <c r="B10470" t="s">
        <v>1589</v>
      </c>
      <c r="C10470">
        <v>258</v>
      </c>
      <c r="D10470">
        <v>280.45999999999998</v>
      </c>
      <c r="E10470">
        <v>280.45</v>
      </c>
      <c r="F10470">
        <v>0.01</v>
      </c>
    </row>
    <row r="10471" spans="1:6" x14ac:dyDescent="0.3">
      <c r="A10471" t="str">
        <f>HYPERLINK("https://us2.cloudbeds.com/connect/10074733072513#/reservations/31734389657768?display=MXKB6V47G&amp;reservation_id=31734389657768", "MXKB6V47G")</f>
        <v>MXKB6V47G</v>
      </c>
      <c r="B10471" t="s">
        <v>1612</v>
      </c>
      <c r="C10471">
        <v>73</v>
      </c>
      <c r="D10471">
        <v>79.36</v>
      </c>
      <c r="E10471">
        <v>79.349999999999994</v>
      </c>
      <c r="F10471">
        <v>0.01</v>
      </c>
    </row>
    <row r="10472" spans="1:6" x14ac:dyDescent="0.3">
      <c r="A10472" t="str">
        <f>HYPERLINK("https://us2.cloudbeds.com/connect/10074733072513#/reservations/31734375969003?display=MXKASD76E&amp;reservation_id=31734375969003", "MXKASD76E")</f>
        <v>MXKASD76E</v>
      </c>
      <c r="B10472" t="s">
        <v>1478</v>
      </c>
      <c r="C10472">
        <v>252</v>
      </c>
      <c r="D10472">
        <v>273.93</v>
      </c>
      <c r="E10472">
        <v>273.92</v>
      </c>
      <c r="F10472">
        <v>0.01</v>
      </c>
    </row>
    <row r="10473" spans="1:6" x14ac:dyDescent="0.3">
      <c r="A10473" t="str">
        <f>HYPERLINK("https://us2.cloudbeds.com/connect/10074733072513#/reservations/31735351415028?display=MXY2PUEXT&amp;reservation_id=31735351415028", "MXY2PUEXT")</f>
        <v>MXY2PUEXT</v>
      </c>
      <c r="B10473" t="s">
        <v>1401</v>
      </c>
      <c r="C10473">
        <v>229</v>
      </c>
      <c r="D10473">
        <v>248.93</v>
      </c>
      <c r="E10473">
        <v>248.92</v>
      </c>
      <c r="F10473">
        <v>0.01</v>
      </c>
    </row>
    <row r="10474" spans="1:6" x14ac:dyDescent="0.3">
      <c r="A10474" t="str">
        <f>HYPERLINK("https://us2.cloudbeds.com/connect/10074733072513#/reservations/31734374981780?display=MXKARXZYJ&amp;reservation_id=31734374981780", "MXKARXZYJ")</f>
        <v>MXKARXZYJ</v>
      </c>
      <c r="B10474" t="s">
        <v>1612</v>
      </c>
      <c r="C10474">
        <v>139</v>
      </c>
      <c r="D10474">
        <v>151.1</v>
      </c>
      <c r="E10474">
        <v>151.09</v>
      </c>
      <c r="F10474">
        <v>0.01</v>
      </c>
    </row>
    <row r="10475" spans="1:6" x14ac:dyDescent="0.3">
      <c r="A10475" t="str">
        <f>HYPERLINK("https://us2.cloudbeds.com/connect/10074733072513#/reservations/31734321148129?display=MXK9F5ZKR&amp;reservation_id=31734321148129", "MXK9F5ZKR")</f>
        <v>MXK9F5ZKR</v>
      </c>
      <c r="B10475" t="s">
        <v>1478</v>
      </c>
      <c r="C10475">
        <v>129</v>
      </c>
      <c r="D10475">
        <v>140.22999999999999</v>
      </c>
      <c r="E10475">
        <v>140.22</v>
      </c>
      <c r="F10475">
        <v>0.01</v>
      </c>
    </row>
    <row r="10476" spans="1:6" x14ac:dyDescent="0.3">
      <c r="A10476" t="str">
        <f>HYPERLINK("https://us2.cloudbeds.com/connect/10074733072513#/reservations/31734311530636?display=MXK97244Y&amp;reservation_id=31734311530636", "MXK97244Y")</f>
        <v>MXK97244Y</v>
      </c>
      <c r="B10476" t="s">
        <v>1478</v>
      </c>
      <c r="C10476">
        <v>129</v>
      </c>
      <c r="D10476">
        <v>140.22999999999999</v>
      </c>
      <c r="E10476">
        <v>140.22</v>
      </c>
      <c r="F10476">
        <v>0.01</v>
      </c>
    </row>
    <row r="10477" spans="1:6" x14ac:dyDescent="0.3">
      <c r="A10477" t="str">
        <f>HYPERLINK("https://us2.cloudbeds.com/connect/10074733072513#/reservations/31733074383039?display=MXJAJSM3H&amp;reservation_id=31733074383039", "MXJAJSM3H")</f>
        <v>MXJAJSM3H</v>
      </c>
      <c r="B10477" t="s">
        <v>1606</v>
      </c>
      <c r="C10477">
        <v>99</v>
      </c>
      <c r="D10477">
        <v>107.62</v>
      </c>
      <c r="E10477">
        <v>107.61</v>
      </c>
      <c r="F10477">
        <v>0.01</v>
      </c>
    </row>
    <row r="10478" spans="1:6" x14ac:dyDescent="0.3">
      <c r="A10478" t="str">
        <f>HYPERLINK("https://us2.cloudbeds.com/connect/10074733072513#/reservations/31735719469204?display=MXYC6930Z&amp;reservation_id=31735719469204", "MXYC6930Z")</f>
        <v>MXYC6930Z</v>
      </c>
      <c r="B10478" t="s">
        <v>1617</v>
      </c>
      <c r="C10478">
        <v>129</v>
      </c>
      <c r="D10478">
        <v>140.22999999999999</v>
      </c>
      <c r="E10478">
        <v>140.22</v>
      </c>
      <c r="F10478">
        <v>0.01</v>
      </c>
    </row>
    <row r="10479" spans="1:6" x14ac:dyDescent="0.3">
      <c r="A10479" t="str">
        <f>HYPERLINK("https://us2.cloudbeds.com/connect/10074733072513#/reservations/31733457641678?display=MXJKD1DDM&amp;reservation_id=31733457641678", "MXJKD1DDM")</f>
        <v>MXJKD1DDM</v>
      </c>
      <c r="B10479" t="s">
        <v>1449</v>
      </c>
      <c r="C10479">
        <v>273</v>
      </c>
      <c r="D10479">
        <v>296.76</v>
      </c>
      <c r="E10479">
        <v>296.75</v>
      </c>
      <c r="F10479">
        <v>0.01</v>
      </c>
    </row>
    <row r="10480" spans="1:6" x14ac:dyDescent="0.3">
      <c r="A10480" t="str">
        <f>HYPERLINK("https://us2.cloudbeds.com/connect/10074733072513#/reservations/31735893262480?display=MXYGKR4QK&amp;reservation_id=31735893262480", "MXYGKR4QK")</f>
        <v>MXYGKR4QK</v>
      </c>
      <c r="B10480" t="s">
        <v>1401</v>
      </c>
      <c r="C10480">
        <v>522.16</v>
      </c>
      <c r="D10480">
        <v>567.6</v>
      </c>
      <c r="E10480">
        <v>567.59</v>
      </c>
      <c r="F10480">
        <v>0.01</v>
      </c>
    </row>
    <row r="10481" spans="1:6" x14ac:dyDescent="0.3">
      <c r="A10481" t="str">
        <f>HYPERLINK("https://us2.cloudbeds.com/connect/10074733072513#/reservations/31735553925277?display=MXY7VMJD3&amp;reservation_id=31735553925277", "MXY7VMJD3")</f>
        <v>MXY7VMJD3</v>
      </c>
      <c r="B10481" t="s">
        <v>1565</v>
      </c>
      <c r="C10481">
        <v>189</v>
      </c>
      <c r="D10481">
        <v>205.45</v>
      </c>
      <c r="E10481">
        <v>205.44</v>
      </c>
      <c r="F10481">
        <v>0.01</v>
      </c>
    </row>
    <row r="10482" spans="1:6" x14ac:dyDescent="0.3">
      <c r="A10482" t="str">
        <f>HYPERLINK("https://us2.cloudbeds.com/connect/10074733072513#/reservations/31726386950293?display=MXE4NRWSC&amp;reservation_id=31726386950293", "MXE4NRWSC")</f>
        <v>MXE4NRWSC</v>
      </c>
      <c r="B10482" t="s">
        <v>1566</v>
      </c>
      <c r="C10482">
        <v>258</v>
      </c>
      <c r="D10482">
        <v>280.45999999999998</v>
      </c>
      <c r="E10482">
        <v>280.45</v>
      </c>
      <c r="F10482">
        <v>0.01</v>
      </c>
    </row>
    <row r="10483" spans="1:6" x14ac:dyDescent="0.3">
      <c r="A10483" t="str">
        <f>HYPERLINK("https://us2.cloudbeds.com/connect/10074733072513#/reservations/31734917538029?display=MXKZN25P1&amp;reservation_id=31734917538029", "MXKZN25P1")</f>
        <v>MXKZN25P1</v>
      </c>
      <c r="B10483" t="s">
        <v>1581</v>
      </c>
      <c r="C10483">
        <v>189</v>
      </c>
      <c r="D10483">
        <v>205.45</v>
      </c>
      <c r="E10483">
        <v>205.44</v>
      </c>
      <c r="F10483">
        <v>0.01</v>
      </c>
    </row>
    <row r="10484" spans="1:6" x14ac:dyDescent="0.3">
      <c r="A10484" t="str">
        <f>HYPERLINK("https://us2.cloudbeds.com/connect/10074733072513#/reservations/31735840362700?display=MXYF974B0&amp;reservation_id=31735840362700", "MXYF974B0")</f>
        <v>MXYF974B0</v>
      </c>
      <c r="B10484" t="s">
        <v>1599</v>
      </c>
      <c r="C10484">
        <v>149</v>
      </c>
      <c r="D10484">
        <v>161.97</v>
      </c>
      <c r="E10484">
        <v>161.96</v>
      </c>
      <c r="F10484">
        <v>0.01</v>
      </c>
    </row>
    <row r="10485" spans="1:6" x14ac:dyDescent="0.3">
      <c r="A10485" t="str">
        <f>HYPERLINK("https://us2.cloudbeds.com/connect/10074733072513#/reservations/31725937963182?display=MXDQ888RB&amp;reservation_id=31725937963182", "MXDQ888RB")</f>
        <v>MXDQ888RB</v>
      </c>
      <c r="B10485" t="s">
        <v>1566</v>
      </c>
      <c r="C10485">
        <v>258</v>
      </c>
      <c r="D10485">
        <v>280.45999999999998</v>
      </c>
      <c r="E10485">
        <v>280.45</v>
      </c>
      <c r="F10485">
        <v>0.01</v>
      </c>
    </row>
    <row r="10486" spans="1:6" x14ac:dyDescent="0.3">
      <c r="A10486" t="str">
        <f>HYPERLINK("https://us2.cloudbeds.com/connect/10074733072513#/reservations/31734910926994?display=MXKZHG70Y&amp;reservation_id=31734910926994", "MXKZHG70Y")</f>
        <v>MXKZHG70Y</v>
      </c>
      <c r="B10486" t="s">
        <v>1581</v>
      </c>
      <c r="C10486">
        <v>189</v>
      </c>
      <c r="D10486">
        <v>205.45</v>
      </c>
      <c r="E10486">
        <v>205.44</v>
      </c>
      <c r="F10486">
        <v>0.01</v>
      </c>
    </row>
    <row r="10487" spans="1:6" x14ac:dyDescent="0.3">
      <c r="A10487" t="str">
        <f>HYPERLINK("https://us2.cloudbeds.com/connect/10074733072513#/reservations/31735161323721?display=MXKUUKSZ8&amp;reservation_id=31735161323721", "MXKUUKSZ8")</f>
        <v>MXKUUKSZ8</v>
      </c>
      <c r="B10487" t="s">
        <v>1565</v>
      </c>
      <c r="C10487">
        <v>415.8</v>
      </c>
      <c r="D10487">
        <v>451.98</v>
      </c>
      <c r="E10487">
        <v>451.97</v>
      </c>
      <c r="F10487">
        <v>0.01</v>
      </c>
    </row>
    <row r="10488" spans="1:6" x14ac:dyDescent="0.3">
      <c r="A10488" t="str">
        <f>HYPERLINK("https://us2.cloudbeds.com/connect/10074733072513#/reservations/31735161319638?display=MXKUUKZWH&amp;reservation_id=31735161319638", "MXKUUKZWH")</f>
        <v>MXKUUKZWH</v>
      </c>
      <c r="B10488" t="s">
        <v>1478</v>
      </c>
      <c r="C10488">
        <v>178</v>
      </c>
      <c r="D10488">
        <v>193.5</v>
      </c>
      <c r="E10488">
        <v>193.49</v>
      </c>
      <c r="F10488">
        <v>0.01</v>
      </c>
    </row>
    <row r="10489" spans="1:6" x14ac:dyDescent="0.3">
      <c r="A10489" t="str">
        <f>HYPERLINK("https://us2.cloudbeds.com/connect/10074733072513#/reservations/31733498716318?display=MXJYEMC5Z&amp;reservation_id=31733498716318", "MXJYEMC5Z")</f>
        <v>MXJYEMC5Z</v>
      </c>
      <c r="B10489" t="s">
        <v>1449</v>
      </c>
      <c r="C10489">
        <v>73</v>
      </c>
      <c r="D10489">
        <v>79.36</v>
      </c>
      <c r="E10489">
        <v>79.349999999999994</v>
      </c>
      <c r="F10489">
        <v>0.01</v>
      </c>
    </row>
    <row r="10490" spans="1:6" x14ac:dyDescent="0.3">
      <c r="A10490" t="str">
        <f>HYPERLINK("https://us2.cloudbeds.com/connect/10074733072513#/reservations/31731220889788?display=MXHT7VG3C&amp;reservation_id=31731220889788", "MXHT7VG3C")</f>
        <v>MXHT7VG3C</v>
      </c>
      <c r="B10490" t="s">
        <v>1444</v>
      </c>
      <c r="C10490">
        <v>378</v>
      </c>
      <c r="D10490">
        <v>410.9</v>
      </c>
      <c r="E10490">
        <v>410.89</v>
      </c>
      <c r="F10490">
        <v>0.01</v>
      </c>
    </row>
    <row r="10491" spans="1:6" x14ac:dyDescent="0.3">
      <c r="A10491" t="str">
        <f>HYPERLINK("https://us2.cloudbeds.com/connect/10074733072513#/reservations/31730375311541?display=MXH7KV0SR&amp;reservation_id=31730375311541", "MXH7KV0SR")</f>
        <v>MXH7KV0SR</v>
      </c>
      <c r="B10491" t="s">
        <v>1444</v>
      </c>
      <c r="C10491">
        <v>189</v>
      </c>
      <c r="D10491">
        <v>205.45</v>
      </c>
      <c r="E10491">
        <v>205.44</v>
      </c>
      <c r="F10491">
        <v>0.01</v>
      </c>
    </row>
    <row r="10492" spans="1:6" x14ac:dyDescent="0.3">
      <c r="A10492" t="str">
        <f>HYPERLINK("https://us2.cloudbeds.com/connect/10074733072513#/reservations/31734515278043?display=MXKEDSN0G&amp;reservation_id=31734515278043", "MXKEDSN0G")</f>
        <v>MXKEDSN0G</v>
      </c>
      <c r="B10492" t="s">
        <v>1616</v>
      </c>
      <c r="C10492">
        <v>219</v>
      </c>
      <c r="D10492">
        <v>238.06</v>
      </c>
      <c r="E10492">
        <v>238.05</v>
      </c>
      <c r="F10492">
        <v>0.01</v>
      </c>
    </row>
    <row r="10493" spans="1:6" x14ac:dyDescent="0.3">
      <c r="A10493" t="str">
        <f>HYPERLINK("https://us2.cloudbeds.com/connect/10074733072513#/reservations/31734807232728?display=MXKYT1PA5&amp;reservation_id=31734807232728", "MXKYT1PA5")</f>
        <v>MXKYT1PA5</v>
      </c>
      <c r="B10493" t="s">
        <v>1615</v>
      </c>
      <c r="C10493">
        <v>252</v>
      </c>
      <c r="D10493">
        <v>273.93</v>
      </c>
      <c r="E10493">
        <v>273.92</v>
      </c>
      <c r="F10493">
        <v>0.01</v>
      </c>
    </row>
    <row r="10494" spans="1:6" x14ac:dyDescent="0.3">
      <c r="A10494" t="str">
        <f>HYPERLINK("https://us2.cloudbeds.com/connect/10074733072513#/reservations/31734287581358?display=MXK8JSN4U&amp;reservation_id=31734287581358", "MXK8JSN4U")</f>
        <v>MXK8JSN4U</v>
      </c>
      <c r="B10494" t="s">
        <v>1478</v>
      </c>
      <c r="C10494">
        <v>129</v>
      </c>
      <c r="D10494">
        <v>140.22999999999999</v>
      </c>
      <c r="E10494">
        <v>140.22</v>
      </c>
      <c r="F10494">
        <v>0.01</v>
      </c>
    </row>
    <row r="10495" spans="1:6" x14ac:dyDescent="0.3">
      <c r="A10495" t="str">
        <f>HYPERLINK("https://us2.cloudbeds.com/connect/10074733072513#/reservations/31734288658589?display=MXK8KPMBA&amp;reservation_id=31734288658589", "MXK8KPMBA")</f>
        <v>MXK8KPMBA</v>
      </c>
      <c r="B10495" t="s">
        <v>1478</v>
      </c>
      <c r="C10495">
        <v>129</v>
      </c>
      <c r="D10495">
        <v>140.22999999999999</v>
      </c>
      <c r="E10495">
        <v>140.22</v>
      </c>
      <c r="F10495">
        <v>0.01</v>
      </c>
    </row>
    <row r="10496" spans="1:6" x14ac:dyDescent="0.3">
      <c r="A10496" t="str">
        <f>HYPERLINK("https://us2.cloudbeds.com/connect/10074733072513#/reservations/31732972413069?display=MXJ7WT6PE&amp;reservation_id=31732972413069", "MXJ7WT6PE")</f>
        <v>MXJ7WT6PE</v>
      </c>
      <c r="B10496" t="s">
        <v>1579</v>
      </c>
      <c r="C10496">
        <v>229</v>
      </c>
      <c r="D10496">
        <v>248.93</v>
      </c>
      <c r="E10496">
        <v>248.92</v>
      </c>
      <c r="F10496">
        <v>0.01</v>
      </c>
    </row>
    <row r="10497" spans="1:6" x14ac:dyDescent="0.3">
      <c r="A10497" t="str">
        <f>HYPERLINK("https://us2.cloudbeds.com/connect/10074733072513#/reservations/31735945724062?display=MXYHW1VTX&amp;reservation_id=31735945724062", "MXYHW1VTX")</f>
        <v>MXYHW1VTX</v>
      </c>
      <c r="B10497" t="s">
        <v>1478</v>
      </c>
      <c r="C10497">
        <v>89</v>
      </c>
      <c r="D10497">
        <v>96.75</v>
      </c>
      <c r="E10497">
        <v>96.74</v>
      </c>
      <c r="F10497">
        <v>0.01</v>
      </c>
    </row>
    <row r="10498" spans="1:6" x14ac:dyDescent="0.3">
      <c r="A10498" t="str">
        <f>HYPERLINK("https://us2.cloudbeds.com/connect/10074733072513#/reservations/31735902630095?display=MXYGSNQRP&amp;reservation_id=31735902630095", "MXYGSNQRP")</f>
        <v>MXYGSNQRP</v>
      </c>
      <c r="B10498" t="s">
        <v>1401</v>
      </c>
      <c r="C10498">
        <v>398</v>
      </c>
      <c r="D10498">
        <v>432.64</v>
      </c>
      <c r="E10498">
        <v>432.63</v>
      </c>
      <c r="F10498">
        <v>0.01</v>
      </c>
    </row>
    <row r="10499" spans="1:6" x14ac:dyDescent="0.3">
      <c r="A10499" t="str">
        <f>HYPERLINK("https://us2.cloudbeds.com/connect/10074733072513#/reservations/31734173814936?display=MXK5MUWEK&amp;reservation_id=31734173814936", "MXK5MUWEK")</f>
        <v>MXK5MUWEK</v>
      </c>
      <c r="B10499" t="s">
        <v>1498</v>
      </c>
      <c r="C10499">
        <v>462</v>
      </c>
      <c r="D10499">
        <v>502.2</v>
      </c>
      <c r="E10499">
        <v>502.19</v>
      </c>
      <c r="F10499">
        <v>0.01</v>
      </c>
    </row>
    <row r="10500" spans="1:6" x14ac:dyDescent="0.3">
      <c r="A10500" t="str">
        <f>HYPERLINK("https://us2.cloudbeds.com/connect/10074733072513#/reservations/31735102660857?display=MXKTE5G5N&amp;reservation_id=31735102660857", "MXKTE5G5N")</f>
        <v>MXKTE5G5N</v>
      </c>
      <c r="B10500" t="s">
        <v>1565</v>
      </c>
      <c r="C10500">
        <v>169</v>
      </c>
      <c r="D10500">
        <v>183.71</v>
      </c>
      <c r="E10500">
        <v>183.7</v>
      </c>
      <c r="F10500">
        <v>0.01</v>
      </c>
    </row>
    <row r="10501" spans="1:6" x14ac:dyDescent="0.3">
      <c r="A10501" t="str">
        <f>HYPERLINK("https://us2.cloudbeds.com/connect/10074733072513#/reservations/31735246897315?display=MXY03Q2NF&amp;reservation_id=31735246897315", "MXY03Q2NF")</f>
        <v>MXY03Q2NF</v>
      </c>
      <c r="B10501" t="s">
        <v>1478</v>
      </c>
      <c r="C10501">
        <v>258</v>
      </c>
      <c r="D10501">
        <v>280.45999999999998</v>
      </c>
      <c r="E10501">
        <v>280.45</v>
      </c>
      <c r="F10501">
        <v>0.01</v>
      </c>
    </row>
    <row r="10502" spans="1:6" x14ac:dyDescent="0.3">
      <c r="A10502" t="str">
        <f>HYPERLINK("https://us2.cloudbeds.com/connect/10074733072513#/reservations/31735199649927?display=MXKVTVBME&amp;reservation_id=31735199649927", "MXKVTVBME")</f>
        <v>MXKVTVBME</v>
      </c>
      <c r="B10502" t="s">
        <v>1478</v>
      </c>
      <c r="C10502">
        <v>129</v>
      </c>
      <c r="D10502">
        <v>140.22999999999999</v>
      </c>
      <c r="E10502">
        <v>140.22</v>
      </c>
      <c r="F10502">
        <v>0.01</v>
      </c>
    </row>
    <row r="10503" spans="1:6" x14ac:dyDescent="0.3">
      <c r="A10503" t="str">
        <f>HYPERLINK("https://us2.cloudbeds.com/connect/10074733072513#/reservations/31736149700826?display=MXYN61UCK&amp;reservation_id=31736149700826", "MXYN61UCK")</f>
        <v>MXYN61UCK</v>
      </c>
      <c r="B10503" t="s">
        <v>1620</v>
      </c>
      <c r="C10503">
        <v>129</v>
      </c>
      <c r="D10503">
        <v>140.22999999999999</v>
      </c>
      <c r="E10503">
        <v>140.22</v>
      </c>
      <c r="F10503">
        <v>0.01</v>
      </c>
    </row>
    <row r="10504" spans="1:6" x14ac:dyDescent="0.3">
      <c r="A10504" t="str">
        <f>HYPERLINK("https://us2.cloudbeds.com/connect/10074733072513#/reservations/31735362199720?display=MXY320HSZ&amp;reservation_id=31735362199720", "MXY320HSZ")</f>
        <v>MXY320HSZ</v>
      </c>
      <c r="B10504" t="s">
        <v>1401</v>
      </c>
      <c r="C10504">
        <v>209</v>
      </c>
      <c r="D10504">
        <v>227.19</v>
      </c>
      <c r="E10504">
        <v>227.18</v>
      </c>
      <c r="F10504">
        <v>0.01</v>
      </c>
    </row>
    <row r="10505" spans="1:6" x14ac:dyDescent="0.3">
      <c r="A10505" t="str">
        <f>HYPERLINK("https://us2.cloudbeds.com/connect/10074733072513#/reservations/31735021633685?display=MXKRBRQ1S&amp;reservation_id=31735021633685", "MXKRBRQ1S")</f>
        <v>MXKRBRQ1S</v>
      </c>
      <c r="B10505" t="s">
        <v>1344</v>
      </c>
      <c r="C10505">
        <v>209</v>
      </c>
      <c r="D10505">
        <v>227.19</v>
      </c>
      <c r="E10505">
        <v>227.18</v>
      </c>
      <c r="F10505">
        <v>0.01</v>
      </c>
    </row>
    <row r="10506" spans="1:6" x14ac:dyDescent="0.3">
      <c r="A10506" t="str">
        <f>HYPERLINK("https://us2.cloudbeds.com/connect/10074733072513#/reservations/31733037428951?display=MXJ9YNC4M&amp;reservation_id=31733037428951", "MXJ9YNC4M")</f>
        <v>MXJ9YNC4M</v>
      </c>
      <c r="B10506" t="s">
        <v>1595</v>
      </c>
      <c r="C10506">
        <v>189</v>
      </c>
      <c r="D10506">
        <v>205.45</v>
      </c>
      <c r="E10506">
        <v>205.44</v>
      </c>
      <c r="F10506">
        <v>0.01</v>
      </c>
    </row>
    <row r="10507" spans="1:6" x14ac:dyDescent="0.3">
      <c r="A10507" t="str">
        <f>HYPERLINK("https://us2.cloudbeds.com/connect/10074733072513#/reservations/31732214657168?display=MXXYKUHGD&amp;reservation_id=31732214657168", "MXXYKUHGD")</f>
        <v>MXXYKUHGD</v>
      </c>
      <c r="B10507" t="s">
        <v>1617</v>
      </c>
      <c r="C10507">
        <v>89</v>
      </c>
      <c r="D10507">
        <v>96.75</v>
      </c>
      <c r="E10507">
        <v>96.74</v>
      </c>
      <c r="F10507">
        <v>0.01</v>
      </c>
    </row>
    <row r="10508" spans="1:6" x14ac:dyDescent="0.3">
      <c r="A10508" t="str">
        <f>HYPERLINK("https://us2.cloudbeds.com/connect/10074733072513#/reservations/31736166506711?display=MXYNK7XPS&amp;reservation_id=31736166506711", "MXYNK7XPS")</f>
        <v>MXYNK7XPS</v>
      </c>
      <c r="B10508" t="s">
        <v>1590</v>
      </c>
      <c r="C10508">
        <v>258</v>
      </c>
      <c r="D10508">
        <v>280.45999999999998</v>
      </c>
      <c r="E10508">
        <v>280.45</v>
      </c>
      <c r="F10508">
        <v>0.01</v>
      </c>
    </row>
    <row r="10509" spans="1:6" x14ac:dyDescent="0.3">
      <c r="A10509" t="str">
        <f>HYPERLINK("https://us2.cloudbeds.com/connect/10074733072513#/reservations/31729426706655?display=MXGGD1N0H&amp;reservation_id=31729426706655", "MXGGD1N0H")</f>
        <v>MXGGD1N0H</v>
      </c>
      <c r="B10509" t="s">
        <v>1615</v>
      </c>
      <c r="C10509">
        <v>251.2</v>
      </c>
      <c r="D10509">
        <v>273.06</v>
      </c>
      <c r="E10509">
        <v>273.05</v>
      </c>
      <c r="F10509">
        <v>0.01</v>
      </c>
    </row>
    <row r="10510" spans="1:6" x14ac:dyDescent="0.3">
      <c r="A10510" t="str">
        <f>HYPERLINK("https://us2.cloudbeds.com/connect/10074733072513#/reservations/31735816954026?display=MXYEMFZP8&amp;reservation_id=31735816954026", "MXYEMFZP8")</f>
        <v>MXYEMFZP8</v>
      </c>
      <c r="B10510" t="s">
        <v>1401</v>
      </c>
      <c r="C10510">
        <v>249</v>
      </c>
      <c r="D10510">
        <v>270.67</v>
      </c>
      <c r="E10510">
        <v>270.66000000000003</v>
      </c>
      <c r="F10510">
        <v>0.01</v>
      </c>
    </row>
    <row r="10511" spans="1:6" x14ac:dyDescent="0.3">
      <c r="A10511" t="str">
        <f>HYPERLINK("https://us2.cloudbeds.com/connect/10074733072513#/reservations/31735455768780?display=MXY5EU7SQ&amp;reservation_id=31735455768780", "MXY5EU7SQ")</f>
        <v>MXY5EU7SQ</v>
      </c>
      <c r="B10511" t="s">
        <v>1617</v>
      </c>
      <c r="C10511">
        <v>129</v>
      </c>
      <c r="D10511">
        <v>140.22999999999999</v>
      </c>
      <c r="E10511">
        <v>140.22</v>
      </c>
      <c r="F10511">
        <v>0.01</v>
      </c>
    </row>
    <row r="10512" spans="1:6" x14ac:dyDescent="0.3">
      <c r="A10512" t="str">
        <f>HYPERLINK("https://us2.cloudbeds.com/connect/10074733072513#/reservations/31734646452446?display=MXKHPFR0D&amp;reservation_id=31734646452446", "MXKHPFR0D")</f>
        <v>MXKHPFR0D</v>
      </c>
      <c r="B10512" t="s">
        <v>1553</v>
      </c>
      <c r="C10512">
        <v>302</v>
      </c>
      <c r="D10512">
        <v>328.28</v>
      </c>
      <c r="E10512">
        <v>328.27</v>
      </c>
      <c r="F10512">
        <v>0.01</v>
      </c>
    </row>
    <row r="10513" spans="1:6" x14ac:dyDescent="0.3">
      <c r="A10513" t="str">
        <f>HYPERLINK("https://us2.cloudbeds.com/connect/10074733072513#/reservations/31728733339776?display=MXFV4ASPA&amp;reservation_id=31728733339776", "MXFV4ASPA")</f>
        <v>MXFV4ASPA</v>
      </c>
      <c r="B10513" t="s">
        <v>1588</v>
      </c>
      <c r="C10513">
        <v>266.10000000000002</v>
      </c>
      <c r="D10513">
        <v>289.26</v>
      </c>
      <c r="E10513">
        <v>289.25</v>
      </c>
      <c r="F10513">
        <v>0.01</v>
      </c>
    </row>
    <row r="10514" spans="1:6" x14ac:dyDescent="0.3">
      <c r="A10514" t="str">
        <f>HYPERLINK("https://us2.cloudbeds.com/connect/10074733072513#/reservations/31728467390604?display=MXFZT4AC5&amp;reservation_id=31728467390604", "MXFZT4AC5")</f>
        <v>MXFZT4AC5</v>
      </c>
      <c r="B10514" t="s">
        <v>1604</v>
      </c>
      <c r="C10514">
        <v>398</v>
      </c>
      <c r="D10514">
        <v>432.64</v>
      </c>
      <c r="E10514">
        <v>432.63</v>
      </c>
      <c r="F10514">
        <v>0.01</v>
      </c>
    </row>
    <row r="10515" spans="1:6" x14ac:dyDescent="0.3">
      <c r="A10515" t="str">
        <f>HYPERLINK("https://us2.cloudbeds.com/connect/10074733072513#/reservations/31728394100899?display=MXFN0AUC0&amp;reservation_id=31728394100899", "MXFN0AUC0")</f>
        <v>MXFN0AUC0</v>
      </c>
      <c r="B10515" t="s">
        <v>1604</v>
      </c>
      <c r="C10515">
        <v>378</v>
      </c>
      <c r="D10515">
        <v>410.9</v>
      </c>
      <c r="E10515">
        <v>410.89</v>
      </c>
      <c r="F10515">
        <v>0.01</v>
      </c>
    </row>
    <row r="10516" spans="1:6" x14ac:dyDescent="0.3">
      <c r="A10516" t="str">
        <f>HYPERLINK("https://us2.cloudbeds.com/connect/10074733072513#/reservations/31727712178393?display=MXF5JADTY&amp;reservation_id=31727712178393", "MXF5JADTY")</f>
        <v>MXF5JADTY</v>
      </c>
      <c r="B10516" t="s">
        <v>1588</v>
      </c>
      <c r="C10516">
        <v>266.10000000000002</v>
      </c>
      <c r="D10516">
        <v>289.26</v>
      </c>
      <c r="E10516">
        <v>289.25</v>
      </c>
      <c r="F10516">
        <v>0.01</v>
      </c>
    </row>
    <row r="10517" spans="1:6" x14ac:dyDescent="0.3">
      <c r="A10517" t="str">
        <f>HYPERLINK("https://us2.cloudbeds.com/connect/10074733072513#/reservations/31735688990851?display=MXYBDXWX9&amp;reservation_id=31735688990851", "MXYBDXWX9")</f>
        <v>MXYBDXWX9</v>
      </c>
      <c r="B10517" t="s">
        <v>1617</v>
      </c>
      <c r="C10517">
        <v>149</v>
      </c>
      <c r="D10517">
        <v>161.97</v>
      </c>
      <c r="E10517">
        <v>161.96</v>
      </c>
      <c r="F10517">
        <v>0.01</v>
      </c>
    </row>
    <row r="10518" spans="1:6" x14ac:dyDescent="0.3">
      <c r="A10518" t="str">
        <f>HYPERLINK("https://us2.cloudbeds.com/connect/10074733072513#/reservations/31730724712609?display=MXHGXXKM9&amp;reservation_id=31730724712609", "MXHGXXKM9")</f>
        <v>MXHGXXKM9</v>
      </c>
      <c r="B10518" t="s">
        <v>1572</v>
      </c>
      <c r="C10518">
        <v>542</v>
      </c>
      <c r="D10518">
        <v>589.16</v>
      </c>
      <c r="E10518">
        <v>589.15</v>
      </c>
      <c r="F10518">
        <v>0.01</v>
      </c>
    </row>
    <row r="10519" spans="1:6" x14ac:dyDescent="0.3">
      <c r="A10519" t="str">
        <f>HYPERLINK("https://us2.cloudbeds.com/connect/10074733072513#/reservations/31732234391684?display=MXXM4XM61&amp;reservation_id=31732234391684", "MXXM4XM61")</f>
        <v>MXXM4XM61</v>
      </c>
      <c r="B10519" t="s">
        <v>1617</v>
      </c>
      <c r="C10519">
        <v>129</v>
      </c>
      <c r="D10519">
        <v>140.22999999999999</v>
      </c>
      <c r="E10519">
        <v>140.22</v>
      </c>
      <c r="F10519">
        <v>0.01</v>
      </c>
    </row>
    <row r="10520" spans="1:6" x14ac:dyDescent="0.3">
      <c r="A10520" t="str">
        <f>HYPERLINK("https://us2.cloudbeds.com/connect/10074733072513#/reservations/31731240734947?display=MXHTZMNCR&amp;reservation_id=31731240734947", "MXHTZMNCR")</f>
        <v>MXHTZMNCR</v>
      </c>
      <c r="B10520" t="s">
        <v>1444</v>
      </c>
      <c r="C10520">
        <v>261.08</v>
      </c>
      <c r="D10520">
        <v>283.8</v>
      </c>
      <c r="E10520">
        <v>283.79000000000002</v>
      </c>
      <c r="F10520">
        <v>0.01</v>
      </c>
    </row>
    <row r="10521" spans="1:6" x14ac:dyDescent="0.3">
      <c r="A10521" t="str">
        <f>HYPERLINK("https://us2.cloudbeds.com/connect/10074733072513#/reservations/31734693245134?display=MXKXVUTGY&amp;reservation_id=31734693245134", "MXKXVUTGY")</f>
        <v>MXKXVUTGY</v>
      </c>
      <c r="B10521" t="s">
        <v>1344</v>
      </c>
      <c r="C10521">
        <v>189</v>
      </c>
      <c r="D10521">
        <v>205.45</v>
      </c>
      <c r="E10521">
        <v>205.44</v>
      </c>
      <c r="F10521">
        <v>0.01</v>
      </c>
    </row>
    <row r="10522" spans="1:6" x14ac:dyDescent="0.3">
      <c r="A10522" t="str">
        <f>HYPERLINK("https://us2.cloudbeds.com/connect/10074733072513#/reservations/31728384065782?display=MXFMZSMCX&amp;reservation_id=31728384065782", "MXFMZSMCX")</f>
        <v>MXFMZSMCX</v>
      </c>
      <c r="B10522" t="s">
        <v>1604</v>
      </c>
      <c r="C10522">
        <v>398</v>
      </c>
      <c r="D10522">
        <v>432.64</v>
      </c>
      <c r="E10522">
        <v>432.63</v>
      </c>
      <c r="F10522">
        <v>0.01</v>
      </c>
    </row>
    <row r="10523" spans="1:6" x14ac:dyDescent="0.3">
      <c r="A10523" t="str">
        <f>HYPERLINK("https://us2.cloudbeds.com/connect/10074733072513#/reservations/31727021203651?display=MXEKUM103&amp;reservation_id=31727021203651", "MXEKUM103")</f>
        <v>MXEKUM103</v>
      </c>
      <c r="B10523" t="s">
        <v>1622</v>
      </c>
      <c r="C10523">
        <v>333</v>
      </c>
      <c r="D10523">
        <v>361.98</v>
      </c>
      <c r="E10523">
        <v>361.97</v>
      </c>
      <c r="F10523">
        <v>0.01</v>
      </c>
    </row>
    <row r="10524" spans="1:6" x14ac:dyDescent="0.3">
      <c r="A10524" t="str">
        <f>HYPERLINK("https://us2.cloudbeds.com/connect/10074733072513#/reservations/31734615150752?display=MXKGW2QG7&amp;reservation_id=31734615150752", "MXKGW2QG7")</f>
        <v>MXKGW2QG7</v>
      </c>
      <c r="B10524" t="s">
        <v>1553</v>
      </c>
      <c r="C10524">
        <v>129</v>
      </c>
      <c r="D10524">
        <v>140.22999999999999</v>
      </c>
      <c r="E10524">
        <v>140.22</v>
      </c>
      <c r="F10524">
        <v>0.01</v>
      </c>
    </row>
    <row r="10525" spans="1:6" x14ac:dyDescent="0.3">
      <c r="A10525" t="str">
        <f>HYPERLINK("https://us2.cloudbeds.com/connect/10074733072513#/reservations/31733550432447?display=MXJMP9EZ5&amp;reservation_id=31733550432447", "MXJMP9EZ5")</f>
        <v>MXJMP9EZ5</v>
      </c>
      <c r="B10525" t="s">
        <v>1569</v>
      </c>
      <c r="C10525">
        <v>336</v>
      </c>
      <c r="D10525">
        <v>365.24</v>
      </c>
      <c r="E10525">
        <v>365.23</v>
      </c>
      <c r="F10525">
        <v>0.01</v>
      </c>
    </row>
    <row r="10526" spans="1:6" x14ac:dyDescent="0.3">
      <c r="A10526" t="str">
        <f>HYPERLINK("https://us2.cloudbeds.com/connect/10074733072513#/reservations/31728257265866?display=MXFJGV9BS&amp;reservation_id=31728257265866", "MXFJGV9BS")</f>
        <v>MXFJGV9BS</v>
      </c>
      <c r="B10526" t="s">
        <v>1604</v>
      </c>
      <c r="C10526">
        <v>562</v>
      </c>
      <c r="D10526">
        <v>610.9</v>
      </c>
      <c r="E10526">
        <v>610.89</v>
      </c>
      <c r="F10526">
        <v>0.01</v>
      </c>
    </row>
    <row r="10527" spans="1:6" x14ac:dyDescent="0.3">
      <c r="A10527" t="str">
        <f>HYPERLINK("https://us2.cloudbeds.com/connect/10074733072513#/reservations/31735737307375?display=MXYCYAFBC&amp;reservation_id=31735737307375", "MXYCYAFBC")</f>
        <v>MXYCYAFBC</v>
      </c>
      <c r="B10527" t="s">
        <v>1617</v>
      </c>
      <c r="C10527">
        <v>89</v>
      </c>
      <c r="D10527">
        <v>96.75</v>
      </c>
      <c r="E10527">
        <v>96.74</v>
      </c>
      <c r="F10527">
        <v>0.01</v>
      </c>
    </row>
    <row r="10528" spans="1:6" x14ac:dyDescent="0.3">
      <c r="A10528" t="str">
        <f>HYPERLINK("https://us2.cloudbeds.com/connect/10074733072513#/reservations/31734917542112?display=MXKZN29GP&amp;reservation_id=31734917542112", "MXKZN29GP")</f>
        <v>MXKZN29GP</v>
      </c>
      <c r="B10528" t="s">
        <v>1401</v>
      </c>
      <c r="C10528">
        <v>249</v>
      </c>
      <c r="D10528">
        <v>270.67</v>
      </c>
      <c r="E10528">
        <v>270.66000000000003</v>
      </c>
      <c r="F10528">
        <v>0.01</v>
      </c>
    </row>
    <row r="10529" spans="1:6" x14ac:dyDescent="0.3">
      <c r="A10529" t="str">
        <f>HYPERLINK("https://us2.cloudbeds.com/connect/10074733072513#/reservations/31735666557126?display=MXYARYZ8D&amp;reservation_id=31735666557126", "MXYARYZ8D")</f>
        <v>MXYARYZ8D</v>
      </c>
      <c r="B10529" t="s">
        <v>1617</v>
      </c>
      <c r="C10529">
        <v>129</v>
      </c>
      <c r="D10529">
        <v>140.22999999999999</v>
      </c>
      <c r="E10529">
        <v>140.22</v>
      </c>
      <c r="F10529">
        <v>0.01</v>
      </c>
    </row>
    <row r="10530" spans="1:6" x14ac:dyDescent="0.3">
      <c r="A10530" t="str">
        <f>HYPERLINK("https://us2.cloudbeds.com/connect/10074733072513#/reservations/31728017821886?display=MXFDD1D8M&amp;reservation_id=31728017821886", "MXFDD1D8M")</f>
        <v>MXFDD1D8M</v>
      </c>
      <c r="B10530" t="s">
        <v>1589</v>
      </c>
      <c r="C10530">
        <v>336</v>
      </c>
      <c r="D10530">
        <v>365.24</v>
      </c>
      <c r="E10530">
        <v>365.23</v>
      </c>
      <c r="F10530">
        <v>0.01</v>
      </c>
    </row>
    <row r="10531" spans="1:6" x14ac:dyDescent="0.3">
      <c r="A10531" t="str">
        <f>HYPERLINK("https://us2.cloudbeds.com/connect/10074733072513#/reservations/31736095539341?display=MXYYQCQAG&amp;reservation_id=31736095539341", "MXYYQCQAG")</f>
        <v>MXYYQCQAG</v>
      </c>
      <c r="B10531" t="s">
        <v>1590</v>
      </c>
      <c r="C10531">
        <v>105.78</v>
      </c>
      <c r="D10531">
        <v>114.99</v>
      </c>
      <c r="E10531">
        <v>114.98</v>
      </c>
      <c r="F10531">
        <v>0.01</v>
      </c>
    </row>
    <row r="10532" spans="1:6" x14ac:dyDescent="0.3">
      <c r="A10532" t="str">
        <f>HYPERLINK("https://us2.cloudbeds.com/connect/10074733072513#/reservations/31735450644657?display=MXY5AJYHB&amp;reservation_id=31735450644657", "MXY5AJYHB")</f>
        <v>MXY5AJYHB</v>
      </c>
      <c r="B10532" t="s">
        <v>1617</v>
      </c>
      <c r="C10532">
        <v>130.38</v>
      </c>
      <c r="D10532">
        <v>141.72999999999999</v>
      </c>
      <c r="E10532">
        <v>141.72</v>
      </c>
      <c r="F10532">
        <v>0.01</v>
      </c>
    </row>
    <row r="10533" spans="1:6" x14ac:dyDescent="0.3">
      <c r="A10533" t="str">
        <f>HYPERLINK("https://us2.cloudbeds.com/connect/10074733072513#/reservations/31735433326815?display=MXY4SWP08&amp;reservation_id=31735433326815", "MXY4SWP08")</f>
        <v>MXY4SWP08</v>
      </c>
      <c r="B10533" t="s">
        <v>1617</v>
      </c>
      <c r="C10533">
        <v>89</v>
      </c>
      <c r="D10533">
        <v>96.75</v>
      </c>
      <c r="E10533">
        <v>96.74</v>
      </c>
      <c r="F10533">
        <v>0.01</v>
      </c>
    </row>
    <row r="10534" spans="1:6" x14ac:dyDescent="0.3">
      <c r="A10534" t="str">
        <f>HYPERLINK("https://us2.cloudbeds.com/connect/10074733072513#/reservations/31735419425005?display=MXY4H8UB9&amp;reservation_id=31735419425005", "MXY4H8UB9")</f>
        <v>MXY4H8UB9</v>
      </c>
      <c r="B10534" t="s">
        <v>1617</v>
      </c>
      <c r="C10534">
        <v>159</v>
      </c>
      <c r="D10534">
        <v>172.84</v>
      </c>
      <c r="E10534">
        <v>172.83</v>
      </c>
      <c r="F10534">
        <v>0.01</v>
      </c>
    </row>
    <row r="10535" spans="1:6" x14ac:dyDescent="0.3">
      <c r="A10535" t="str">
        <f>HYPERLINK("https://us2.cloudbeds.com/connect/10074733072513#/reservations/31732575056045?display=MXXURR59G&amp;reservation_id=31732575056045", "MXXURR59G")</f>
        <v>MXXURR59G</v>
      </c>
      <c r="B10535" t="s">
        <v>1590</v>
      </c>
      <c r="C10535">
        <v>89</v>
      </c>
      <c r="D10535">
        <v>96.75</v>
      </c>
      <c r="E10535">
        <v>96.74</v>
      </c>
      <c r="F10535">
        <v>0.01</v>
      </c>
    </row>
    <row r="10536" spans="1:6" x14ac:dyDescent="0.3">
      <c r="A10536" t="str">
        <f>HYPERLINK("https://us2.cloudbeds.com/connect/10074733072513#/reservations/31736186245255?display=MXYZ3SR5X&amp;reservation_id=31736186245255", "MXYZ3SR5X")</f>
        <v>MXYZ3SR5X</v>
      </c>
      <c r="B10536" t="s">
        <v>1620</v>
      </c>
      <c r="C10536">
        <v>169</v>
      </c>
      <c r="D10536">
        <v>183.71</v>
      </c>
      <c r="E10536">
        <v>183.7</v>
      </c>
      <c r="F10536">
        <v>0.01</v>
      </c>
    </row>
    <row r="10537" spans="1:6" x14ac:dyDescent="0.3">
      <c r="A10537" t="str">
        <f>HYPERLINK("https://us2.cloudbeds.com/connect/10074733072513#/reservations/31735743680761?display=MXYCQMQS9&amp;reservation_id=31735743680761", "MXYCQMQS9")</f>
        <v>MXYCQMQS9</v>
      </c>
      <c r="B10537" t="s">
        <v>1579</v>
      </c>
      <c r="C10537">
        <v>209</v>
      </c>
      <c r="D10537">
        <v>227.19</v>
      </c>
      <c r="E10537">
        <v>227.18</v>
      </c>
      <c r="F10537">
        <v>0.01</v>
      </c>
    </row>
    <row r="10538" spans="1:6" x14ac:dyDescent="0.3">
      <c r="A10538" t="str">
        <f>HYPERLINK("https://us2.cloudbeds.com/connect/10074733072513#/reservations/31735213260968?display=MXKW8E3B7&amp;reservation_id=31735213260968", "MXKW8E3B7")</f>
        <v>MXKW8E3B7</v>
      </c>
      <c r="B10538" t="s">
        <v>1620</v>
      </c>
      <c r="C10538">
        <v>159</v>
      </c>
      <c r="D10538">
        <v>172.84</v>
      </c>
      <c r="E10538">
        <v>172.83</v>
      </c>
      <c r="F10538">
        <v>0.01</v>
      </c>
    </row>
    <row r="10539" spans="1:6" x14ac:dyDescent="0.3">
      <c r="A10539" t="str">
        <f>HYPERLINK("https://us2.cloudbeds.com/connect/10074733072513#/reservations/31735216586939?display=MXKWB7YG7&amp;reservation_id=31735216586939", "MXKWB7YG7")</f>
        <v>MXKWB7YG7</v>
      </c>
      <c r="B10539" t="s">
        <v>1620</v>
      </c>
      <c r="C10539">
        <v>139</v>
      </c>
      <c r="D10539">
        <v>151.1</v>
      </c>
      <c r="E10539">
        <v>151.09</v>
      </c>
      <c r="F10539">
        <v>0.01</v>
      </c>
    </row>
    <row r="10540" spans="1:6" x14ac:dyDescent="0.3">
      <c r="A10540" t="str">
        <f>HYPERLINK("https://us2.cloudbeds.com/connect/10074733072513#/reservations/31735225446610?display=MXKWXN633&amp;reservation_id=31735225446610", "MXKWXN633")</f>
        <v>MXKWXN633</v>
      </c>
      <c r="B10540" t="s">
        <v>1620</v>
      </c>
      <c r="C10540">
        <v>89</v>
      </c>
      <c r="D10540">
        <v>96.75</v>
      </c>
      <c r="E10540">
        <v>96.74</v>
      </c>
      <c r="F10540">
        <v>0.01</v>
      </c>
    </row>
    <row r="10541" spans="1:6" x14ac:dyDescent="0.3">
      <c r="A10541" t="str">
        <f>HYPERLINK("https://us2.cloudbeds.com/connect/10074733072513#/reservations/31735455764685?display=MXY5EU43N&amp;reservation_id=31735455764685", "MXY5EU43N")</f>
        <v>MXY5EU43N</v>
      </c>
      <c r="B10541" t="s">
        <v>1619</v>
      </c>
      <c r="C10541">
        <v>258</v>
      </c>
      <c r="D10541">
        <v>280.45999999999998</v>
      </c>
      <c r="E10541">
        <v>280.45</v>
      </c>
      <c r="F10541">
        <v>0.01</v>
      </c>
    </row>
    <row r="10542" spans="1:6" x14ac:dyDescent="0.3">
      <c r="A10542" t="str">
        <f>HYPERLINK("https://us2.cloudbeds.com/connect/10074733072513#/reservations/31735645069533?display=MXYA9HQP8&amp;reservation_id=31735645069533", "MXYA9HQP8")</f>
        <v>MXYA9HQP8</v>
      </c>
      <c r="B10542" t="s">
        <v>1617</v>
      </c>
      <c r="C10542">
        <v>169</v>
      </c>
      <c r="D10542">
        <v>183.71</v>
      </c>
      <c r="E10542">
        <v>183.7</v>
      </c>
      <c r="F10542">
        <v>0.01</v>
      </c>
    </row>
    <row r="10543" spans="1:6" x14ac:dyDescent="0.3">
      <c r="A10543" t="str">
        <f>HYPERLINK("https://us2.cloudbeds.com/connect/10074733072513#/reservations/31734456459477?display=MXKCU8WFN&amp;reservation_id=31734456459477", "MXKCU8WFN")</f>
        <v>MXKCU8WFN</v>
      </c>
      <c r="B10543" t="s">
        <v>1625</v>
      </c>
      <c r="C10543">
        <v>189</v>
      </c>
      <c r="D10543">
        <v>205.45</v>
      </c>
      <c r="E10543">
        <v>205.44</v>
      </c>
      <c r="F10543">
        <v>0.01</v>
      </c>
    </row>
    <row r="10544" spans="1:6" x14ac:dyDescent="0.3">
      <c r="A10544" t="str">
        <f>HYPERLINK("https://us2.cloudbeds.com/connect/10074733072513#/reservations/31735627686129?display=MXY9RT31E&amp;reservation_id=31735627686129", "MXY9RT31E")</f>
        <v>MXY9RT31E</v>
      </c>
      <c r="B10544" t="s">
        <v>1620</v>
      </c>
      <c r="C10544">
        <v>129</v>
      </c>
      <c r="D10544">
        <v>140.22999999999999</v>
      </c>
      <c r="E10544">
        <v>140.22</v>
      </c>
      <c r="F10544">
        <v>0.01</v>
      </c>
    </row>
    <row r="10545" spans="1:6" x14ac:dyDescent="0.3">
      <c r="A10545" t="str">
        <f>HYPERLINK("https://us2.cloudbeds.com/connect/10074733072513#/reservations/31735570968721?display=MXY8D1RV3&amp;reservation_id=31735570968721", "MXY8D1RV3")</f>
        <v>MXY8D1RV3</v>
      </c>
      <c r="B10545" t="s">
        <v>1620</v>
      </c>
      <c r="C10545">
        <v>102.58</v>
      </c>
      <c r="D10545">
        <v>111.51</v>
      </c>
      <c r="E10545">
        <v>111.5</v>
      </c>
      <c r="F10545">
        <v>0.01</v>
      </c>
    </row>
    <row r="10546" spans="1:6" x14ac:dyDescent="0.3">
      <c r="A10546" t="str">
        <f>HYPERLINK("https://us2.cloudbeds.com/connect/10074733072513#/reservations/31733074382977?display=MXJAJSM1Y&amp;reservation_id=31733074382977", "MXJAJSM1Y")</f>
        <v>MXJAJSM1Y</v>
      </c>
      <c r="B10546" t="s">
        <v>1537</v>
      </c>
      <c r="C10546">
        <v>378</v>
      </c>
      <c r="D10546">
        <v>410.9</v>
      </c>
      <c r="E10546">
        <v>410.89</v>
      </c>
      <c r="F10546">
        <v>0.01</v>
      </c>
    </row>
    <row r="10547" spans="1:6" x14ac:dyDescent="0.3">
      <c r="A10547" t="str">
        <f>HYPERLINK("https://us2.cloudbeds.com/connect/10074733072513#/reservations/31734881190070?display=MXKNPDZCZ&amp;reservation_id=31734881190070", "MXKNPDZCZ")</f>
        <v>MXKNPDZCZ</v>
      </c>
      <c r="B10547" t="s">
        <v>1581</v>
      </c>
      <c r="C10547">
        <v>209</v>
      </c>
      <c r="D10547">
        <v>227.19</v>
      </c>
      <c r="E10547">
        <v>227.18</v>
      </c>
      <c r="F10547">
        <v>0.01</v>
      </c>
    </row>
    <row r="10548" spans="1:6" x14ac:dyDescent="0.3">
      <c r="A10548" t="str">
        <f>HYPERLINK("https://us2.cloudbeds.com/connect/10074733072513#/reservations/31723174518986?display=MXBYY1BS4&amp;reservation_id=31723174518986", "MXBYY1BS4")</f>
        <v>MXBYY1BS4</v>
      </c>
      <c r="B10548" t="s">
        <v>1626</v>
      </c>
      <c r="C10548">
        <v>358</v>
      </c>
      <c r="D10548">
        <v>389.16</v>
      </c>
      <c r="E10548">
        <v>389.15</v>
      </c>
      <c r="F10548">
        <v>0.01</v>
      </c>
    </row>
    <row r="10549" spans="1:6" x14ac:dyDescent="0.3">
      <c r="A10549" t="str">
        <f>HYPERLINK("https://us2.cloudbeds.com/connect/10074733072513#/reservations/31733599723771?display=MXJZ0S1YY&amp;reservation_id=31733599723771", "MXJZ0S1YY")</f>
        <v>MXJZ0S1YY</v>
      </c>
      <c r="B10549" t="s">
        <v>1569</v>
      </c>
      <c r="C10549">
        <v>135.79</v>
      </c>
      <c r="D10549">
        <v>147.61000000000001</v>
      </c>
      <c r="E10549">
        <v>147.6</v>
      </c>
      <c r="F10549">
        <v>0.01</v>
      </c>
    </row>
    <row r="10550" spans="1:6" x14ac:dyDescent="0.3">
      <c r="A10550" t="str">
        <f>HYPERLINK("https://us2.cloudbeds.com/connect/10074733072513#/reservations/31724695277745?display=MXCRGCNHT&amp;reservation_id=31724695277745", "MXCRGCNHT")</f>
        <v>MXCRGCNHT</v>
      </c>
      <c r="B10550" t="s">
        <v>1627</v>
      </c>
      <c r="C10550">
        <v>378</v>
      </c>
      <c r="D10550">
        <v>410.9</v>
      </c>
      <c r="E10550">
        <v>410.89</v>
      </c>
      <c r="F10550">
        <v>0.01</v>
      </c>
    </row>
    <row r="10551" spans="1:6" x14ac:dyDescent="0.3">
      <c r="A10551" t="str">
        <f>HYPERLINK("https://us2.cloudbeds.com/connect/10074733072513#/reservations/31733414838462?display=MXJJ9VBBH&amp;reservation_id=31733414838462", "MXJJ9VBBH")</f>
        <v>MXJJ9VBBH</v>
      </c>
      <c r="B10551" t="s">
        <v>1608</v>
      </c>
      <c r="C10551">
        <v>239</v>
      </c>
      <c r="D10551">
        <v>259.8</v>
      </c>
      <c r="E10551">
        <v>259.79000000000002</v>
      </c>
      <c r="F10551">
        <v>0.01</v>
      </c>
    </row>
    <row r="10552" spans="1:6" x14ac:dyDescent="0.3">
      <c r="A10552" t="str">
        <f>HYPERLINK("https://us2.cloudbeds.com/connect/10074733072513#/reservations/31733155279020?display=MXJCM2NZT&amp;reservation_id=31733155279020", "MXJCM2NZT")</f>
        <v>MXJCM2NZT</v>
      </c>
      <c r="B10552" t="s">
        <v>1569</v>
      </c>
      <c r="C10552">
        <v>129</v>
      </c>
      <c r="D10552">
        <v>140.22999999999999</v>
      </c>
      <c r="E10552">
        <v>140.22</v>
      </c>
      <c r="F10552">
        <v>0.01</v>
      </c>
    </row>
    <row r="10553" spans="1:6" x14ac:dyDescent="0.3">
      <c r="A10553" t="str">
        <f>HYPERLINK("https://us2.cloudbeds.com/connect/10074733072513#/reservations/31735959986419?display=MXYXB2RY6&amp;reservation_id=31735959986419", "MXYXB2RY6")</f>
        <v>MXYXB2RY6</v>
      </c>
      <c r="B10553" t="s">
        <v>1615</v>
      </c>
      <c r="C10553">
        <v>89</v>
      </c>
      <c r="D10553">
        <v>96.75</v>
      </c>
      <c r="E10553">
        <v>96.74</v>
      </c>
      <c r="F10553">
        <v>0.01</v>
      </c>
    </row>
    <row r="10554" spans="1:6" x14ac:dyDescent="0.3">
      <c r="A10554" t="str">
        <f>HYPERLINK("https://us2.cloudbeds.com/connect/10074733072513#/reservations/31732779217119?display=MXJ31W80N&amp;reservation_id=31732779217119", "MXJ31W80N")</f>
        <v>MXJ31W80N</v>
      </c>
      <c r="B10554" t="s">
        <v>1589</v>
      </c>
      <c r="C10554">
        <v>258</v>
      </c>
      <c r="D10554">
        <v>280.45999999999998</v>
      </c>
      <c r="E10554">
        <v>280.45</v>
      </c>
      <c r="F10554">
        <v>0.01</v>
      </c>
    </row>
    <row r="10555" spans="1:6" x14ac:dyDescent="0.3">
      <c r="A10555" t="str">
        <f>HYPERLINK("https://us2.cloudbeds.com/connect/10074733072513#/reservations/31729605800169?display=MXGKW27SN&amp;reservation_id=31729605800169", "MXGKW27SN")</f>
        <v>MXGKW27SN</v>
      </c>
      <c r="B10555" t="s">
        <v>1444</v>
      </c>
      <c r="C10555">
        <v>189</v>
      </c>
      <c r="D10555">
        <v>205.45</v>
      </c>
      <c r="E10555">
        <v>205.44</v>
      </c>
      <c r="F10555">
        <v>0.01</v>
      </c>
    </row>
    <row r="10556" spans="1:6" x14ac:dyDescent="0.3">
      <c r="A10556" t="str">
        <f>HYPERLINK("https://us2.cloudbeds.com/connect/10074733072513#/reservations/31732800077956?display=MXJ3JXNW9&amp;reservation_id=31732800077956", "MXJ3JXNW9")</f>
        <v>MXJ3JXNW9</v>
      </c>
      <c r="B10556" t="s">
        <v>1537</v>
      </c>
      <c r="C10556">
        <v>398</v>
      </c>
      <c r="D10556">
        <v>432.64</v>
      </c>
      <c r="E10556">
        <v>432.63</v>
      </c>
      <c r="F10556">
        <v>0.01</v>
      </c>
    </row>
    <row r="10557" spans="1:6" x14ac:dyDescent="0.3">
      <c r="A10557" t="str">
        <f>HYPERLINK("https://us2.cloudbeds.com/connect/10074733072513#/reservations/31734258421982?display=MXK7S99SG&amp;reservation_id=31734258421982", "MXK7S99SG")</f>
        <v>MXK7S99SG</v>
      </c>
      <c r="B10557" t="s">
        <v>1498</v>
      </c>
      <c r="C10557">
        <v>273</v>
      </c>
      <c r="D10557">
        <v>296.76</v>
      </c>
      <c r="E10557">
        <v>296.75</v>
      </c>
      <c r="F10557">
        <v>0.01</v>
      </c>
    </row>
    <row r="10558" spans="1:6" x14ac:dyDescent="0.3">
      <c r="A10558" t="str">
        <f>HYPERLINK("https://us2.cloudbeds.com/connect/10074733072513#/reservations/31728777617560?display=MXFWQNRK0&amp;reservation_id=31728777617560", "MXFWQNRK0")</f>
        <v>MXFWQNRK0</v>
      </c>
      <c r="B10558" t="s">
        <v>1588</v>
      </c>
      <c r="C10558">
        <v>266.10000000000002</v>
      </c>
      <c r="D10558">
        <v>289.26</v>
      </c>
      <c r="E10558">
        <v>289.25</v>
      </c>
      <c r="F10558">
        <v>0.01</v>
      </c>
    </row>
    <row r="10559" spans="1:6" x14ac:dyDescent="0.3">
      <c r="A10559" t="str">
        <f>HYPERLINK("https://us2.cloudbeds.com/connect/10074733072513#/reservations/31733078008028?display=MXJAMUHRM&amp;reservation_id=31733078008028", "MXJAMUHRM")</f>
        <v>MXJAMUHRM</v>
      </c>
      <c r="B10559" t="s">
        <v>1537</v>
      </c>
      <c r="C10559">
        <v>398</v>
      </c>
      <c r="D10559">
        <v>432.64</v>
      </c>
      <c r="E10559">
        <v>432.63</v>
      </c>
      <c r="F10559">
        <v>0.01</v>
      </c>
    </row>
    <row r="10560" spans="1:6" x14ac:dyDescent="0.3">
      <c r="A10560" t="str">
        <f>HYPERLINK("https://us2.cloudbeds.com/connect/10074733072513#/reservations/31732169769191?display=MXXKG2F1M&amp;reservation_id=31732169769191", "MXXKG2F1M")</f>
        <v>MXXKG2F1M</v>
      </c>
      <c r="B10560" t="s">
        <v>1537</v>
      </c>
      <c r="C10560">
        <v>199</v>
      </c>
      <c r="D10560">
        <v>216.32</v>
      </c>
      <c r="E10560">
        <v>216.31</v>
      </c>
      <c r="F10560">
        <v>0.01</v>
      </c>
    </row>
    <row r="10561" spans="1:6" x14ac:dyDescent="0.3">
      <c r="A10561" t="str">
        <f>HYPERLINK("https://us2.cloudbeds.com/connect/10074733072513#/reservations/31732193538193?display=MXXY33SGF&amp;reservation_id=31732193538193", "MXXY33SGF")</f>
        <v>MXXY33SGF</v>
      </c>
      <c r="B10561" t="s">
        <v>1537</v>
      </c>
      <c r="C10561">
        <v>378</v>
      </c>
      <c r="D10561">
        <v>410.9</v>
      </c>
      <c r="E10561">
        <v>410.89</v>
      </c>
      <c r="F10561">
        <v>0.01</v>
      </c>
    </row>
    <row r="10562" spans="1:6" x14ac:dyDescent="0.3">
      <c r="A10562" t="str">
        <f>HYPERLINK("https://us2.cloudbeds.com/connect/10074733072513#/reservations/31732235325605?display=MXXM5BYPM&amp;reservation_id=31732235325605", "MXXM5BYPM")</f>
        <v>MXXM5BYPM</v>
      </c>
      <c r="B10562" t="s">
        <v>1537</v>
      </c>
      <c r="C10562">
        <v>378</v>
      </c>
      <c r="D10562">
        <v>410.9</v>
      </c>
      <c r="E10562">
        <v>410.89</v>
      </c>
      <c r="F10562">
        <v>0.01</v>
      </c>
    </row>
    <row r="10563" spans="1:6" x14ac:dyDescent="0.3">
      <c r="A10563" t="str">
        <f>HYPERLINK("https://us2.cloudbeds.com/connect/10074733072513#/reservations/31732241240258?display=MXXMAB81J&amp;reservation_id=31732241240258", "MXXMAB81J")</f>
        <v>MXXMAB81J</v>
      </c>
      <c r="B10563" t="s">
        <v>1537</v>
      </c>
      <c r="C10563">
        <v>378</v>
      </c>
      <c r="D10563">
        <v>410.9</v>
      </c>
      <c r="E10563">
        <v>410.89</v>
      </c>
      <c r="F10563">
        <v>0.01</v>
      </c>
    </row>
    <row r="10564" spans="1:6" x14ac:dyDescent="0.3">
      <c r="A10564" t="str">
        <f>HYPERLINK("https://us2.cloudbeds.com/connect/10074733072513#/reservations/31730903130242?display=MXHY40BT7&amp;reservation_id=31730903130242", "MXHY40BT7")</f>
        <v>MXHY40BT7</v>
      </c>
      <c r="B10564" t="s">
        <v>1537</v>
      </c>
      <c r="C10564">
        <v>378</v>
      </c>
      <c r="D10564">
        <v>410.9</v>
      </c>
      <c r="E10564">
        <v>410.89</v>
      </c>
      <c r="F10564">
        <v>0.01</v>
      </c>
    </row>
    <row r="10565" spans="1:6" x14ac:dyDescent="0.3">
      <c r="A10565" t="str">
        <f>HYPERLINK("https://us2.cloudbeds.com/connect/10074733072513#/reservations/31727979950238?display=MXFCE3XNW&amp;reservation_id=31727979950238", "MXFCE3XNW")</f>
        <v>MXFCE3XNW</v>
      </c>
      <c r="B10565" t="s">
        <v>1589</v>
      </c>
      <c r="C10565">
        <v>402</v>
      </c>
      <c r="D10565">
        <v>436.98</v>
      </c>
      <c r="E10565">
        <v>436.97</v>
      </c>
      <c r="F10565">
        <v>0.01</v>
      </c>
    </row>
    <row r="10566" spans="1:6" x14ac:dyDescent="0.3">
      <c r="A10566" t="str">
        <f>HYPERLINK("https://us2.cloudbeds.com/connect/10074733072513#/reservations/31733055906014?display=MXJA49H4Y&amp;reservation_id=31733055906014", "MXJA49H4Y")</f>
        <v>MXJA49H4Y</v>
      </c>
      <c r="B10566" t="s">
        <v>1595</v>
      </c>
      <c r="C10566">
        <v>318</v>
      </c>
      <c r="D10566">
        <v>345.68</v>
      </c>
      <c r="E10566">
        <v>345.67</v>
      </c>
      <c r="F10566">
        <v>0.01</v>
      </c>
    </row>
    <row r="10567" spans="1:6" x14ac:dyDescent="0.3">
      <c r="A10567" t="str">
        <f>HYPERLINK("https://us2.cloudbeds.com/connect/10074733072513#/reservations/31735771254985?display=MXYDGV3HR&amp;reservation_id=31735771254985", "MXYDGV3HR")</f>
        <v>MXYDGV3HR</v>
      </c>
      <c r="B10567" t="s">
        <v>1599</v>
      </c>
      <c r="C10567">
        <v>252</v>
      </c>
      <c r="D10567">
        <v>273.93</v>
      </c>
      <c r="E10567">
        <v>273.92</v>
      </c>
      <c r="F10567">
        <v>0.01</v>
      </c>
    </row>
    <row r="10568" spans="1:6" x14ac:dyDescent="0.3">
      <c r="A10568" t="str">
        <f>HYPERLINK("https://us2.cloudbeds.com/connect/10074733072513#/reservations/31734644641932?display=MXKHNVEFB&amp;reservation_id=31734644641932", "MXKHNVEFB")</f>
        <v>MXKHNVEFB</v>
      </c>
      <c r="B10568" t="s">
        <v>1498</v>
      </c>
      <c r="C10568">
        <v>921.6</v>
      </c>
      <c r="D10568">
        <v>1001.79</v>
      </c>
      <c r="E10568">
        <v>1001.78</v>
      </c>
      <c r="F10568">
        <v>0.01</v>
      </c>
    </row>
    <row r="10569" spans="1:6" x14ac:dyDescent="0.3">
      <c r="A10569" t="str">
        <f>HYPERLINK("https://us2.cloudbeds.com/connect/10074733072513#/reservations/31735697551579?display=MXYBKQ6Y9&amp;reservation_id=31735697551579", "MXYBKQ6Y9")</f>
        <v>MXYBKQ6Y9</v>
      </c>
      <c r="B10569" t="s">
        <v>1551</v>
      </c>
      <c r="C10569">
        <v>129</v>
      </c>
      <c r="D10569">
        <v>140.22999999999999</v>
      </c>
      <c r="E10569">
        <v>140.22</v>
      </c>
      <c r="F10569">
        <v>0.01</v>
      </c>
    </row>
    <row r="10570" spans="1:6" x14ac:dyDescent="0.3">
      <c r="A10570" t="str">
        <f>HYPERLINK("https://us2.cloudbeds.com/connect/10074733072513#/reservations/31732899225827?display=MXJ645YS7&amp;reservation_id=31732899225827", "MXJ645YS7")</f>
        <v>MXJ645YS7</v>
      </c>
      <c r="B10570" t="s">
        <v>1551</v>
      </c>
      <c r="C10570">
        <v>129</v>
      </c>
      <c r="D10570">
        <v>140.22999999999999</v>
      </c>
      <c r="E10570">
        <v>140.22</v>
      </c>
      <c r="F10570">
        <v>0.01</v>
      </c>
    </row>
    <row r="10571" spans="1:6" x14ac:dyDescent="0.3">
      <c r="A10571" t="str">
        <f>HYPERLINK("https://us2.cloudbeds.com/connect/10074733072513#/reservations/31735589073109?display=MXY8SAKNU&amp;reservation_id=31735589073109", "MXY8SAKNU")</f>
        <v>MXY8SAKNU</v>
      </c>
      <c r="B10571" t="s">
        <v>1551</v>
      </c>
      <c r="C10571">
        <v>102.58</v>
      </c>
      <c r="D10571">
        <v>111.51</v>
      </c>
      <c r="E10571">
        <v>111.5</v>
      </c>
      <c r="F10571">
        <v>0.01</v>
      </c>
    </row>
    <row r="10572" spans="1:6" x14ac:dyDescent="0.3">
      <c r="A10572" t="str">
        <f>HYPERLINK("https://us2.cloudbeds.com/connect/10074733072513#/reservations/31732927856891?display=MXJ6SAC07&amp;reservation_id=31732927856891", "MXJ6SAC07")</f>
        <v>MXJ6SAC07</v>
      </c>
      <c r="B10572" t="s">
        <v>1551</v>
      </c>
      <c r="C10572">
        <v>158</v>
      </c>
      <c r="D10572">
        <v>171.76</v>
      </c>
      <c r="E10572">
        <v>171.75</v>
      </c>
      <c r="F10572">
        <v>0.01</v>
      </c>
    </row>
    <row r="10573" spans="1:6" x14ac:dyDescent="0.3">
      <c r="A10573" t="str">
        <f>HYPERLINK("https://us2.cloudbeds.com/connect/10074733072513#/reservations/31735127527660?display=MXKU24EN6&amp;reservation_id=31735127527660", "MXKU24EN6")</f>
        <v>MXKU24EN6</v>
      </c>
      <c r="B10573" t="s">
        <v>1630</v>
      </c>
      <c r="C10573">
        <v>129</v>
      </c>
      <c r="D10573">
        <v>140.22999999999999</v>
      </c>
      <c r="E10573">
        <v>140.22</v>
      </c>
      <c r="F10573">
        <v>0.01</v>
      </c>
    </row>
    <row r="10574" spans="1:6" x14ac:dyDescent="0.3">
      <c r="A10574" t="str">
        <f>HYPERLINK("https://us2.cloudbeds.com/connect/10074733072513#/reservations/31733139181753?display=MXJC8GQ1U&amp;reservation_id=31733139181753", "MXJC8GQ1U")</f>
        <v>MXJC8GQ1U</v>
      </c>
      <c r="B10574" t="s">
        <v>1537</v>
      </c>
      <c r="C10574">
        <v>356</v>
      </c>
      <c r="D10574">
        <v>386.98</v>
      </c>
      <c r="E10574">
        <v>386.97</v>
      </c>
      <c r="F10574">
        <v>0.01</v>
      </c>
    </row>
    <row r="10575" spans="1:6" x14ac:dyDescent="0.3">
      <c r="A10575" t="str">
        <f>HYPERLINK("https://us2.cloudbeds.com/connect/10074733072513#/reservations/31735697555671?display=MXYBKQAD9&amp;reservation_id=31735697555671", "MXYBKQAD9")</f>
        <v>MXYBKQAD9</v>
      </c>
      <c r="B10575" t="s">
        <v>1551</v>
      </c>
      <c r="C10575">
        <v>129</v>
      </c>
      <c r="D10575">
        <v>140.22999999999999</v>
      </c>
      <c r="E10575">
        <v>140.22</v>
      </c>
      <c r="F10575">
        <v>0.01</v>
      </c>
    </row>
    <row r="10576" spans="1:6" x14ac:dyDescent="0.3">
      <c r="A10576" t="str">
        <f>HYPERLINK("https://us2.cloudbeds.com/connect/10074733072513#/reservations/31734861897923?display=MXKN94TU7&amp;reservation_id=31734861897923", "MXKN94TU7")</f>
        <v>MXKN94TU7</v>
      </c>
      <c r="B10576" t="s">
        <v>1630</v>
      </c>
      <c r="C10576">
        <v>73</v>
      </c>
      <c r="D10576">
        <v>79.36</v>
      </c>
      <c r="E10576">
        <v>79.349999999999994</v>
      </c>
      <c r="F10576">
        <v>0.01</v>
      </c>
    </row>
    <row r="10577" spans="1:6" x14ac:dyDescent="0.3">
      <c r="A10577" t="str">
        <f>HYPERLINK("https://us2.cloudbeds.com/connect/10074733072513#/reservations/31735109251284?display=MXKTJNSWK&amp;reservation_id=31735109251284", "MXKTJNSWK")</f>
        <v>MXKTJNSWK</v>
      </c>
      <c r="B10577" t="s">
        <v>1631</v>
      </c>
      <c r="C10577">
        <v>336</v>
      </c>
      <c r="D10577">
        <v>365.24</v>
      </c>
      <c r="E10577">
        <v>365.23</v>
      </c>
      <c r="F10577">
        <v>0.01</v>
      </c>
    </row>
    <row r="10578" spans="1:6" x14ac:dyDescent="0.3">
      <c r="A10578" t="str">
        <f>HYPERLINK("https://us2.cloudbeds.com/connect/10074733072513#/reservations/31735785009285?display=MXYDSHRZQ&amp;reservation_id=31735785009285", "MXYDSHRZQ")</f>
        <v>MXYDSHRZQ</v>
      </c>
      <c r="B10578" t="s">
        <v>1599</v>
      </c>
      <c r="C10578">
        <v>252</v>
      </c>
      <c r="D10578">
        <v>273.93</v>
      </c>
      <c r="E10578">
        <v>273.92</v>
      </c>
      <c r="F10578">
        <v>0.01</v>
      </c>
    </row>
    <row r="10579" spans="1:6" x14ac:dyDescent="0.3">
      <c r="A10579" t="str">
        <f>HYPERLINK("https://us2.cloudbeds.com/connect/10074733072513#/reservations/31735509680332?display=MXY6RCDE6&amp;reservation_id=31735509680332", "MXY6RCDE6")</f>
        <v>MXY6RCDE6</v>
      </c>
      <c r="B10579" t="s">
        <v>1630</v>
      </c>
      <c r="C10579">
        <v>129</v>
      </c>
      <c r="D10579">
        <v>140.22999999999999</v>
      </c>
      <c r="E10579">
        <v>140.22</v>
      </c>
      <c r="F10579">
        <v>0.01</v>
      </c>
    </row>
    <row r="10580" spans="1:6" x14ac:dyDescent="0.3">
      <c r="A10580" t="str">
        <f>HYPERLINK("https://us2.cloudbeds.com/connect/10074733072513#/reservations/31733852692722?display=MXJUG59CE&amp;reservation_id=31733852692722", "MXJUG59CE")</f>
        <v>MXJUG59CE</v>
      </c>
      <c r="B10580" t="s">
        <v>1599</v>
      </c>
      <c r="C10580">
        <v>102.58</v>
      </c>
      <c r="D10580">
        <v>111.51</v>
      </c>
      <c r="E10580">
        <v>111.5</v>
      </c>
      <c r="F10580">
        <v>0.01</v>
      </c>
    </row>
    <row r="10581" spans="1:6" x14ac:dyDescent="0.3">
      <c r="A10581" t="str">
        <f>HYPERLINK("https://us2.cloudbeds.com/connect/10074733072513#/reservations/31735489642685?display=MXY6AFRCP&amp;reservation_id=31735489642685", "MXY6AFRCP")</f>
        <v>MXY6AFRCP</v>
      </c>
      <c r="B10581" t="s">
        <v>1630</v>
      </c>
      <c r="C10581">
        <v>73</v>
      </c>
      <c r="D10581">
        <v>79.36</v>
      </c>
      <c r="E10581">
        <v>79.349999999999994</v>
      </c>
      <c r="F10581">
        <v>0.01</v>
      </c>
    </row>
    <row r="10582" spans="1:6" x14ac:dyDescent="0.3">
      <c r="A10582" t="str">
        <f>HYPERLINK("https://us2.cloudbeds.com/connect/10074733072513#/reservations/31727976104108?display=MXFCASHUJ&amp;reservation_id=31727976104108", "MXFCASHUJ")</f>
        <v>MXFCASHUJ</v>
      </c>
      <c r="B10582" t="s">
        <v>1589</v>
      </c>
      <c r="C10582">
        <v>432</v>
      </c>
      <c r="D10582">
        <v>469.59</v>
      </c>
      <c r="E10582">
        <v>469.58</v>
      </c>
      <c r="F10582">
        <v>0.01</v>
      </c>
    </row>
    <row r="10583" spans="1:6" x14ac:dyDescent="0.3">
      <c r="A10583" t="str">
        <f>HYPERLINK("https://us2.cloudbeds.com/connect/10074733072513#/reservations/31735109562565?display=MXKTJWHRC&amp;reservation_id=31735109562565", "MXKTJWHRC")</f>
        <v>MXKTJWHRC</v>
      </c>
      <c r="B10583" t="s">
        <v>1630</v>
      </c>
      <c r="C10583">
        <v>73</v>
      </c>
      <c r="D10583">
        <v>79.36</v>
      </c>
      <c r="E10583">
        <v>79.349999999999994</v>
      </c>
      <c r="F10583">
        <v>0.01</v>
      </c>
    </row>
    <row r="10584" spans="1:6" x14ac:dyDescent="0.3">
      <c r="A10584" t="str">
        <f>HYPERLINK("https://us2.cloudbeds.com/connect/10074733072513#/reservations/31732663767207?display=MXJ03KMDH&amp;reservation_id=31732663767207", "MXJ03KMDH")</f>
        <v>MXJ03KMDH</v>
      </c>
      <c r="B10584" t="s">
        <v>1589</v>
      </c>
      <c r="C10584">
        <v>696</v>
      </c>
      <c r="D10584">
        <v>756.56</v>
      </c>
      <c r="E10584">
        <v>756.55</v>
      </c>
      <c r="F10584">
        <v>0.01</v>
      </c>
    </row>
    <row r="10585" spans="1:6" x14ac:dyDescent="0.3">
      <c r="A10585" t="str">
        <f>HYPERLINK("https://us2.cloudbeds.com/connect/10074733072513#/reservations/31732182646973?display=MXXKQUQCG&amp;reservation_id=31732182646973", "MXXKQUQCG")</f>
        <v>MXXKQUQCG</v>
      </c>
      <c r="B10585" t="s">
        <v>1537</v>
      </c>
      <c r="C10585">
        <v>189</v>
      </c>
      <c r="D10585">
        <v>205.45</v>
      </c>
      <c r="E10585">
        <v>205.44</v>
      </c>
      <c r="F10585">
        <v>0.01</v>
      </c>
    </row>
    <row r="10586" spans="1:6" x14ac:dyDescent="0.3">
      <c r="A10586" t="str">
        <f>HYPERLINK("https://us2.cloudbeds.com/connect/10074733072513#/reservations/31735075451114?display=MXKSZ7B61&amp;reservation_id=31735075451114", "MXKSZ7B61")</f>
        <v>MXKSZ7B61</v>
      </c>
      <c r="B10586" t="s">
        <v>1631</v>
      </c>
      <c r="C10586">
        <v>149</v>
      </c>
      <c r="D10586">
        <v>161.97</v>
      </c>
      <c r="E10586">
        <v>161.96</v>
      </c>
      <c r="F10586">
        <v>0.01</v>
      </c>
    </row>
    <row r="10587" spans="1:6" x14ac:dyDescent="0.3">
      <c r="A10587" t="str">
        <f>HYPERLINK("https://us2.cloudbeds.com/connect/10074733072513#/reservations/31730931101834?display=MXHYRJNF7&amp;reservation_id=31730931101834", "MXHYRJNF7")</f>
        <v>MXHYRJNF7</v>
      </c>
      <c r="B10587" t="s">
        <v>1371</v>
      </c>
      <c r="C10587">
        <v>189</v>
      </c>
      <c r="D10587">
        <v>205.45</v>
      </c>
      <c r="E10587">
        <v>205.44</v>
      </c>
      <c r="F10587">
        <v>0.01</v>
      </c>
    </row>
    <row r="10588" spans="1:6" x14ac:dyDescent="0.3">
      <c r="A10588" t="str">
        <f>HYPERLINK("https://us2.cloudbeds.com/connect/10074733072513#/reservations/31732341629128?display=MXXZSWNGX&amp;reservation_id=31732341629128", "MXXZSWNGX")</f>
        <v>MXXZSWNGX</v>
      </c>
      <c r="B10588" t="s">
        <v>1371</v>
      </c>
      <c r="C10588">
        <v>189</v>
      </c>
      <c r="D10588">
        <v>205.45</v>
      </c>
      <c r="E10588">
        <v>205.44</v>
      </c>
      <c r="F10588">
        <v>0.01</v>
      </c>
    </row>
    <row r="10589" spans="1:6" x14ac:dyDescent="0.3">
      <c r="A10589" t="str">
        <f>HYPERLINK("https://us2.cloudbeds.com/connect/10074733072513#/reservations/31734408569049?display=MXKBMTBVK&amp;reservation_id=31734408569049", "MXKBMTBVK")</f>
        <v>MXKBMTBVK</v>
      </c>
      <c r="B10589" t="s">
        <v>1608</v>
      </c>
      <c r="C10589">
        <v>159</v>
      </c>
      <c r="D10589">
        <v>172.84</v>
      </c>
      <c r="E10589">
        <v>172.83</v>
      </c>
      <c r="F10589">
        <v>0.01</v>
      </c>
    </row>
    <row r="10590" spans="1:6" x14ac:dyDescent="0.3">
      <c r="A10590" t="str">
        <f>HYPERLINK("https://us2.cloudbeds.com/connect/10074733072513#/reservations/31735374745852?display=MXY3CJYYX&amp;reservation_id=31735374745852", "MXY3CJYYX")</f>
        <v>MXY3CJYYX</v>
      </c>
      <c r="B10590" t="s">
        <v>1581</v>
      </c>
      <c r="C10590">
        <v>229</v>
      </c>
      <c r="D10590">
        <v>248.93</v>
      </c>
      <c r="E10590">
        <v>248.92</v>
      </c>
      <c r="F10590">
        <v>0.01</v>
      </c>
    </row>
    <row r="10591" spans="1:6" x14ac:dyDescent="0.3">
      <c r="A10591" t="str">
        <f>HYPERLINK("https://us2.cloudbeds.com/connect/10074733072513#/reservations/31732762280128?display=MXJ25V14T&amp;reservation_id=31732762280128", "MXJ25V14T")</f>
        <v>MXJ25V14T</v>
      </c>
      <c r="B10591" t="s">
        <v>1633</v>
      </c>
      <c r="C10591">
        <v>97.74</v>
      </c>
      <c r="D10591">
        <v>106.25</v>
      </c>
      <c r="E10591">
        <v>106.24</v>
      </c>
      <c r="F10591">
        <v>0.01</v>
      </c>
    </row>
    <row r="10592" spans="1:6" x14ac:dyDescent="0.3">
      <c r="A10592" t="str">
        <f>HYPERLINK("https://us2.cloudbeds.com/connect/10074733072513#/reservations/31729336271009?display=MXGE2Q6BD&amp;reservation_id=31729336271009", "MXGE2Q6BD")</f>
        <v>MXGE2Q6BD</v>
      </c>
      <c r="B10592" t="s">
        <v>1615</v>
      </c>
      <c r="C10592">
        <v>73</v>
      </c>
      <c r="D10592">
        <v>79.36</v>
      </c>
      <c r="E10592">
        <v>79.349999999999994</v>
      </c>
      <c r="F10592">
        <v>0.01</v>
      </c>
    </row>
    <row r="10593" spans="1:6" x14ac:dyDescent="0.3">
      <c r="A10593" t="str">
        <f>HYPERLINK("https://us2.cloudbeds.com/connect/10074733072513#/reservations/31734816465081?display=MXKM3RM4D&amp;reservation_id=31734816465081", "MXKM3RM4D")</f>
        <v>MXKM3RM4D</v>
      </c>
      <c r="B10593" t="s">
        <v>1615</v>
      </c>
      <c r="C10593">
        <v>73</v>
      </c>
      <c r="D10593">
        <v>79.36</v>
      </c>
      <c r="E10593">
        <v>79.349999999999994</v>
      </c>
      <c r="F10593">
        <v>0.01</v>
      </c>
    </row>
    <row r="10594" spans="1:6" x14ac:dyDescent="0.3">
      <c r="A10594" t="str">
        <f>HYPERLINK("https://us2.cloudbeds.com/connect/10074733072513#/reservations/31734422331539?display=MXKC1GAMP&amp;reservation_id=31734422331539", "MXKC1GAMP")</f>
        <v>MXKC1GAMP</v>
      </c>
      <c r="B10594" t="s">
        <v>1608</v>
      </c>
      <c r="C10594">
        <v>159</v>
      </c>
      <c r="D10594">
        <v>172.84</v>
      </c>
      <c r="E10594">
        <v>172.83</v>
      </c>
      <c r="F10594">
        <v>0.01</v>
      </c>
    </row>
    <row r="10595" spans="1:6" x14ac:dyDescent="0.3">
      <c r="A10595" t="str">
        <f>HYPERLINK("https://us2.cloudbeds.com/connect/10074733072513#/reservations/31735993520344?display=MXYJ6BVVZ&amp;reservation_id=31735993520344", "MXYJ6BVVZ")</f>
        <v>MXYJ6BVVZ</v>
      </c>
      <c r="B10595" t="s">
        <v>1634</v>
      </c>
      <c r="C10595">
        <v>258</v>
      </c>
      <c r="D10595">
        <v>280.45999999999998</v>
      </c>
      <c r="E10595">
        <v>280.45</v>
      </c>
      <c r="F10595">
        <v>0.01</v>
      </c>
    </row>
    <row r="10596" spans="1:6" x14ac:dyDescent="0.3">
      <c r="A10596" t="str">
        <f>HYPERLINK("https://us2.cloudbeds.com/connect/10074733072513#/reservations/31735840366791?display=MXYF9782W&amp;reservation_id=31735840366791", "MXYF9782W")</f>
        <v>MXYF9782W</v>
      </c>
      <c r="B10596" t="s">
        <v>1599</v>
      </c>
      <c r="C10596">
        <v>73</v>
      </c>
      <c r="D10596">
        <v>79.36</v>
      </c>
      <c r="E10596">
        <v>79.349999999999994</v>
      </c>
      <c r="F10596">
        <v>0.01</v>
      </c>
    </row>
    <row r="10597" spans="1:6" x14ac:dyDescent="0.3">
      <c r="A10597" t="str">
        <f>HYPERLINK("https://us2.cloudbeds.com/connect/10074733072513#/reservations/31727815966946?display=MXF87RG6A&amp;reservation_id=31727815966946", "MXF87RG6A")</f>
        <v>MXF87RG6A</v>
      </c>
      <c r="B10597" t="s">
        <v>1573</v>
      </c>
      <c r="C10597">
        <v>352.76</v>
      </c>
      <c r="D10597">
        <v>383.46</v>
      </c>
      <c r="E10597">
        <v>383.45</v>
      </c>
      <c r="F10597">
        <v>0.01</v>
      </c>
    </row>
    <row r="10598" spans="1:6" x14ac:dyDescent="0.3">
      <c r="A10598" t="str">
        <f>HYPERLINK("https://us2.cloudbeds.com/connect/10074733072513#/reservations/31732721107127?display=MXJ1XW84S&amp;reservation_id=31732721107127", "MXJ1XW84S")</f>
        <v>MXJ1XW84S</v>
      </c>
      <c r="B10598" t="s">
        <v>1589</v>
      </c>
      <c r="C10598">
        <v>576</v>
      </c>
      <c r="D10598">
        <v>626.12</v>
      </c>
      <c r="E10598">
        <v>626.11</v>
      </c>
      <c r="F10598">
        <v>0.01</v>
      </c>
    </row>
    <row r="10599" spans="1:6" x14ac:dyDescent="0.3">
      <c r="A10599" t="str">
        <f>HYPERLINK("https://us2.cloudbeds.com/connect/10074733072513#/reservations/31735383187595?display=MXY3JNXFV&amp;reservation_id=31735383187595", "MXY3JNXFV")</f>
        <v>MXY3JNXFV</v>
      </c>
      <c r="B10599" t="s">
        <v>1581</v>
      </c>
      <c r="C10599">
        <v>252</v>
      </c>
      <c r="D10599">
        <v>273.93</v>
      </c>
      <c r="E10599">
        <v>273.92</v>
      </c>
      <c r="F10599">
        <v>0.01</v>
      </c>
    </row>
    <row r="10600" spans="1:6" x14ac:dyDescent="0.3">
      <c r="A10600" t="str">
        <f>HYPERLINK("https://us2.cloudbeds.com/connect/10074733072513#/reservations/31735039725781?display=MXKRR37X6&amp;reservation_id=31735039725781", "MXKRR37X6")</f>
        <v>MXKRR37X6</v>
      </c>
      <c r="B10600" t="s">
        <v>1599</v>
      </c>
      <c r="C10600">
        <v>89</v>
      </c>
      <c r="D10600">
        <v>96.75</v>
      </c>
      <c r="E10600">
        <v>96.74</v>
      </c>
      <c r="F10600">
        <v>0.01</v>
      </c>
    </row>
    <row r="10601" spans="1:6" x14ac:dyDescent="0.3">
      <c r="A10601" t="str">
        <f>HYPERLINK("https://us2.cloudbeds.com/connect/10074733072513#/reservations/31734897168619?display=MXKZ5TC26&amp;reservation_id=31734897168619", "MXKZ5TC26")</f>
        <v>MXKZ5TC26</v>
      </c>
      <c r="B10601" t="s">
        <v>1581</v>
      </c>
      <c r="C10601">
        <v>219</v>
      </c>
      <c r="D10601">
        <v>238.06</v>
      </c>
      <c r="E10601">
        <v>238.05</v>
      </c>
      <c r="F10601">
        <v>0.01</v>
      </c>
    </row>
    <row r="10602" spans="1:6" x14ac:dyDescent="0.3">
      <c r="A10602" t="str">
        <f>HYPERLINK("https://us2.cloudbeds.com/connect/10074733072513#/reservations/31734868107417?display=MXKNECMUN&amp;reservation_id=31734868107417", "MXKNECMUN")</f>
        <v>MXKNECMUN</v>
      </c>
      <c r="B10602" t="s">
        <v>1581</v>
      </c>
      <c r="C10602">
        <v>209</v>
      </c>
      <c r="D10602">
        <v>227.19</v>
      </c>
      <c r="E10602">
        <v>227.18</v>
      </c>
      <c r="F10602">
        <v>0.01</v>
      </c>
    </row>
    <row r="10603" spans="1:6" x14ac:dyDescent="0.3">
      <c r="A10603" t="str">
        <f>HYPERLINK("https://us2.cloudbeds.com/connect/10074733072513#/reservations/31731132858514?display=MXHQWNTA0&amp;reservation_id=31731132858514", "MXHQWNTA0")</f>
        <v>MXHQWNTA0</v>
      </c>
      <c r="B10603" t="s">
        <v>1600</v>
      </c>
      <c r="C10603">
        <v>169</v>
      </c>
      <c r="D10603">
        <v>183.71</v>
      </c>
      <c r="E10603">
        <v>183.7</v>
      </c>
      <c r="F10603">
        <v>0.01</v>
      </c>
    </row>
    <row r="10604" spans="1:6" x14ac:dyDescent="0.3">
      <c r="A10604" t="str">
        <f>HYPERLINK("https://us2.cloudbeds.com/connect/10074733072513#/reservations/31733344411859?display=MXJHGXKF1&amp;reservation_id=31733344411859", "MXJHGXKF1")</f>
        <v>MXJHGXKF1</v>
      </c>
      <c r="B10604" t="s">
        <v>1462</v>
      </c>
      <c r="C10604">
        <v>353</v>
      </c>
      <c r="D10604">
        <v>383.72</v>
      </c>
      <c r="E10604">
        <v>383.71</v>
      </c>
      <c r="F10604">
        <v>0.01</v>
      </c>
    </row>
    <row r="10605" spans="1:6" x14ac:dyDescent="0.3">
      <c r="A10605" t="str">
        <f>HYPERLINK("https://us2.cloudbeds.com/connect/10074733072513#/reservations/31735120126140?display=MXKTSTG2N&amp;reservation_id=31735120126140", "MXKTSTG2N")</f>
        <v>MXKTSTG2N</v>
      </c>
      <c r="B10605" t="s">
        <v>1631</v>
      </c>
      <c r="C10605">
        <v>129</v>
      </c>
      <c r="D10605">
        <v>140.22999999999999</v>
      </c>
      <c r="E10605">
        <v>140.22</v>
      </c>
      <c r="F10605">
        <v>0.01</v>
      </c>
    </row>
    <row r="10606" spans="1:6" x14ac:dyDescent="0.3">
      <c r="A10606" t="str">
        <f>HYPERLINK("https://us2.cloudbeds.com/connect/10074733072513#/reservations/31734408564954?display=MXKBMT86H&amp;reservation_id=31734408564954", "MXKBMT86H")</f>
        <v>MXKBMT86H</v>
      </c>
      <c r="B10606" t="s">
        <v>1608</v>
      </c>
      <c r="C10606">
        <v>159</v>
      </c>
      <c r="D10606">
        <v>172.84</v>
      </c>
      <c r="E10606">
        <v>172.83</v>
      </c>
      <c r="F10606">
        <v>0.01</v>
      </c>
    </row>
    <row r="10607" spans="1:6" x14ac:dyDescent="0.3">
      <c r="A10607" t="str">
        <f>HYPERLINK("https://us2.cloudbeds.com/connect/10074733072513#/reservations/31733905395873?display=MXJVRJR9K&amp;reservation_id=31733905395873", "MXJVRJR9K")</f>
        <v>MXJVRJR9K</v>
      </c>
      <c r="B10607" t="s">
        <v>1599</v>
      </c>
      <c r="C10607">
        <v>135.79</v>
      </c>
      <c r="D10607">
        <v>147.61000000000001</v>
      </c>
      <c r="E10607">
        <v>147.6</v>
      </c>
      <c r="F10607">
        <v>0.01</v>
      </c>
    </row>
    <row r="10608" spans="1:6" x14ac:dyDescent="0.3">
      <c r="A10608" t="str">
        <f>HYPERLINK("https://us2.cloudbeds.com/connect/10074733072513#/reservations/31733882859727?display=MXJV8JNV3&amp;reservation_id=31733882859727", "MXJV8JNV3")</f>
        <v>MXJV8JNV3</v>
      </c>
      <c r="B10608" t="s">
        <v>1401</v>
      </c>
      <c r="C10608">
        <v>229</v>
      </c>
      <c r="D10608">
        <v>248.93</v>
      </c>
      <c r="E10608">
        <v>248.92</v>
      </c>
      <c r="F10608">
        <v>0.01</v>
      </c>
    </row>
    <row r="10609" spans="1:6" x14ac:dyDescent="0.3">
      <c r="A10609" t="str">
        <f>HYPERLINK("https://us2.cloudbeds.com/connect/10074733072513#/reservations/31733287948434?display=MXJG1VEJ5&amp;reservation_id=31733287948434", "MXJG1VEJ5")</f>
        <v>MXJG1VEJ5</v>
      </c>
      <c r="B10609" t="s">
        <v>1572</v>
      </c>
      <c r="C10609">
        <v>418</v>
      </c>
      <c r="D10609">
        <v>454.38</v>
      </c>
      <c r="E10609">
        <v>454.37</v>
      </c>
      <c r="F10609">
        <v>0.01</v>
      </c>
    </row>
    <row r="10610" spans="1:6" x14ac:dyDescent="0.3">
      <c r="A10610" t="str">
        <f>HYPERLINK("https://us2.cloudbeds.com/connect/10074733072513#/reservations/31733376139436?display=MXJXAAG1P&amp;reservation_id=31733376139436", "MXJXAAG1P")</f>
        <v>MXJXAAG1P</v>
      </c>
      <c r="B10610" t="s">
        <v>1608</v>
      </c>
      <c r="C10610">
        <v>322.2</v>
      </c>
      <c r="D10610">
        <v>350.24</v>
      </c>
      <c r="E10610">
        <v>350.23</v>
      </c>
      <c r="F10610">
        <v>0.01</v>
      </c>
    </row>
    <row r="10611" spans="1:6" x14ac:dyDescent="0.3">
      <c r="A10611" t="str">
        <f>HYPERLINK("https://us2.cloudbeds.com/connect/10074733072513#/reservations/31733843538078?display=MXJU8EHTW&amp;reservation_id=31733843538078", "MXJU8EHTW")</f>
        <v>MXJU8EHTW</v>
      </c>
      <c r="B10611" t="s">
        <v>1589</v>
      </c>
      <c r="C10611">
        <v>73</v>
      </c>
      <c r="D10611">
        <v>79.36</v>
      </c>
      <c r="E10611">
        <v>79.349999999999994</v>
      </c>
      <c r="F10611">
        <v>0.01</v>
      </c>
    </row>
    <row r="10612" spans="1:6" x14ac:dyDescent="0.3">
      <c r="A10612" t="str">
        <f>HYPERLINK("https://us2.cloudbeds.com/connect/10074733072513#/reservations/31735723806917?display=MXYC9UQ7J&amp;reservation_id=31735723806917", "MXYC9UQ7J")</f>
        <v>MXYC9UQ7J</v>
      </c>
      <c r="B10612" t="s">
        <v>1608</v>
      </c>
      <c r="C10612">
        <v>322.2</v>
      </c>
      <c r="D10612">
        <v>350.24</v>
      </c>
      <c r="E10612">
        <v>350.23</v>
      </c>
      <c r="F10612">
        <v>0.01</v>
      </c>
    </row>
    <row r="10613" spans="1:6" x14ac:dyDescent="0.3">
      <c r="A10613" t="str">
        <f>HYPERLINK("https://us2.cloudbeds.com/connect/10074733072513#/reservations/31732128948367?display=MXXJEYXC0&amp;reservation_id=31732128948367", "MXXJEYXC0")</f>
        <v>MXXJEYXC0</v>
      </c>
      <c r="B10613" t="s">
        <v>1371</v>
      </c>
      <c r="C10613">
        <v>378</v>
      </c>
      <c r="D10613">
        <v>410.9</v>
      </c>
      <c r="E10613">
        <v>410.89</v>
      </c>
      <c r="F10613">
        <v>0.01</v>
      </c>
    </row>
    <row r="10614" spans="1:6" x14ac:dyDescent="0.3">
      <c r="A10614" t="str">
        <f>HYPERLINK("https://us2.cloudbeds.com/connect/10074733072513#/reservations/31735430471815?display=MXY4QJAB3&amp;reservation_id=31735430471815", "MXY4QJAB3")</f>
        <v>MXY4QJAB3</v>
      </c>
      <c r="B10614" t="s">
        <v>1401</v>
      </c>
      <c r="C10614">
        <v>183.76</v>
      </c>
      <c r="D10614">
        <v>199.76</v>
      </c>
      <c r="E10614">
        <v>199.75</v>
      </c>
      <c r="F10614">
        <v>0.01</v>
      </c>
    </row>
    <row r="10615" spans="1:6" x14ac:dyDescent="0.3">
      <c r="A10615" t="str">
        <f>HYPERLINK("https://us2.cloudbeds.com/connect/10074733072513#/reservations/31723860037782?display=MXC652UMW&amp;reservation_id=31723860037782", "MXC652UMW")</f>
        <v>MXC652UMW</v>
      </c>
      <c r="B10615" t="s">
        <v>1619</v>
      </c>
      <c r="C10615">
        <v>211.56</v>
      </c>
      <c r="D10615">
        <v>229.98</v>
      </c>
      <c r="E10615">
        <v>229.97</v>
      </c>
      <c r="F10615">
        <v>0.01</v>
      </c>
    </row>
    <row r="10616" spans="1:6" x14ac:dyDescent="0.3">
      <c r="A10616" t="str">
        <f>HYPERLINK("https://us2.cloudbeds.com/connect/10074733072513#/reservations/31730421850272?display=MXH8R615N&amp;reservation_id=31730421850272", "MXH8R615N")</f>
        <v>MXH8R615N</v>
      </c>
      <c r="B10616" t="s">
        <v>1635</v>
      </c>
      <c r="C10616">
        <v>209</v>
      </c>
      <c r="D10616">
        <v>227.19</v>
      </c>
      <c r="E10616">
        <v>227.18</v>
      </c>
      <c r="F10616">
        <v>0.01</v>
      </c>
    </row>
    <row r="10617" spans="1:6" x14ac:dyDescent="0.3">
      <c r="A10617" t="str">
        <f>HYPERLINK("https://us2.cloudbeds.com/connect/10074733072513#/reservations/31733349441687?display=MXJHKQJ70&amp;reservation_id=31733349441687", "MXJHKQJ70")</f>
        <v>MXJHKQJ70</v>
      </c>
      <c r="B10617" t="s">
        <v>1608</v>
      </c>
      <c r="C10617">
        <v>247.96</v>
      </c>
      <c r="D10617">
        <v>269.54000000000002</v>
      </c>
      <c r="E10617">
        <v>269.52999999999997</v>
      </c>
      <c r="F10617">
        <v>0.01</v>
      </c>
    </row>
    <row r="10618" spans="1:6" x14ac:dyDescent="0.3">
      <c r="A10618" t="str">
        <f>HYPERLINK("https://us2.cloudbeds.com/connect/10074733072513#/reservations/31732411134103?display=MXXQYJQ2U&amp;reservation_id=31732411134103", "MXXQYJQ2U")</f>
        <v>MXXQYJQ2U</v>
      </c>
      <c r="B10618" t="s">
        <v>1597</v>
      </c>
      <c r="C10618">
        <v>378</v>
      </c>
      <c r="D10618">
        <v>410.9</v>
      </c>
      <c r="E10618">
        <v>410.89</v>
      </c>
      <c r="F10618">
        <v>0.01</v>
      </c>
    </row>
    <row r="10619" spans="1:6" x14ac:dyDescent="0.3">
      <c r="A10619" t="str">
        <f>HYPERLINK("https://us2.cloudbeds.com/connect/10074733072513#/reservations/31735075455198?display=MXKSZ7EUQ&amp;reservation_id=31735075455198", "MXKSZ7EUQ")</f>
        <v>MXKSZ7EUQ</v>
      </c>
      <c r="B10619" t="s">
        <v>1596</v>
      </c>
      <c r="C10619">
        <v>129</v>
      </c>
      <c r="D10619">
        <v>140.22999999999999</v>
      </c>
      <c r="E10619">
        <v>140.22</v>
      </c>
      <c r="F10619">
        <v>0.01</v>
      </c>
    </row>
    <row r="10620" spans="1:6" x14ac:dyDescent="0.3">
      <c r="A10620" t="str">
        <f>HYPERLINK("https://us2.cloudbeds.com/connect/10074733072513#/reservations/31735093420173?display=MXKT6CBMW&amp;reservation_id=31735093420173", "MXKT6CBMW")</f>
        <v>MXKT6CBMW</v>
      </c>
      <c r="B10620" t="s">
        <v>1596</v>
      </c>
      <c r="C10620">
        <v>129</v>
      </c>
      <c r="D10620">
        <v>140.22999999999999</v>
      </c>
      <c r="E10620">
        <v>140.22</v>
      </c>
      <c r="F10620">
        <v>0.01</v>
      </c>
    </row>
    <row r="10621" spans="1:6" x14ac:dyDescent="0.3">
      <c r="A10621" t="str">
        <f>HYPERLINK("https://us2.cloudbeds.com/connect/10074733072513#/reservations/31734091530369?display=MXK3JX9MT&amp;reservation_id=31734091530369", "MXK3JX9MT")</f>
        <v>MXK3JX9MT</v>
      </c>
      <c r="B10621" t="s">
        <v>1596</v>
      </c>
      <c r="C10621">
        <v>129</v>
      </c>
      <c r="D10621">
        <v>140.22999999999999</v>
      </c>
      <c r="E10621">
        <v>140.22</v>
      </c>
      <c r="F10621">
        <v>0.01</v>
      </c>
    </row>
    <row r="10622" spans="1:6" x14ac:dyDescent="0.3">
      <c r="A10622" t="str">
        <f>HYPERLINK("https://us2.cloudbeds.com/connect/10074733072513#/reservations/31735222587632?display=MXKWG9KPD&amp;reservation_id=31735222587632", "MXKWG9KPD")</f>
        <v>MXKWG9KPD</v>
      </c>
      <c r="B10622" t="s">
        <v>1596</v>
      </c>
      <c r="C10622">
        <v>129</v>
      </c>
      <c r="D10622">
        <v>140.22999999999999</v>
      </c>
      <c r="E10622">
        <v>140.22</v>
      </c>
      <c r="F10622">
        <v>0.01</v>
      </c>
    </row>
    <row r="10623" spans="1:6" x14ac:dyDescent="0.3">
      <c r="A10623" t="str">
        <f>HYPERLINK("https://us2.cloudbeds.com/connect/10074733072513#/reservations/31734830297323?display=MXKMFGXU9&amp;reservation_id=31734830297323", "MXKMFGXU9")</f>
        <v>MXKMFGXU9</v>
      </c>
      <c r="B10623" t="s">
        <v>1608</v>
      </c>
      <c r="C10623">
        <v>159</v>
      </c>
      <c r="D10623">
        <v>172.84</v>
      </c>
      <c r="E10623">
        <v>172.83</v>
      </c>
      <c r="F10623">
        <v>0.01</v>
      </c>
    </row>
    <row r="10624" spans="1:6" x14ac:dyDescent="0.3">
      <c r="A10624" t="str">
        <f>HYPERLINK("https://us2.cloudbeds.com/connect/10074733072513#/reservations/31731919614082?display=MXXE34H6R&amp;reservation_id=31731919614082", "MXXE34H6R")</f>
        <v>MXXE34H6R</v>
      </c>
      <c r="B10624" t="s">
        <v>1619</v>
      </c>
      <c r="C10624">
        <v>129</v>
      </c>
      <c r="D10624">
        <v>140.22999999999999</v>
      </c>
      <c r="E10624">
        <v>140.22</v>
      </c>
      <c r="F10624">
        <v>0.01</v>
      </c>
    </row>
    <row r="10625" spans="1:6" x14ac:dyDescent="0.3">
      <c r="A10625" t="str">
        <f>HYPERLINK("https://us2.cloudbeds.com/connect/10074733072513#/reservations/31734540546261?display=MXKF25R52&amp;reservation_id=31734540546261", "MXKF25R52")</f>
        <v>MXKF25R52</v>
      </c>
      <c r="B10625" t="s">
        <v>1498</v>
      </c>
      <c r="C10625">
        <v>273</v>
      </c>
      <c r="D10625">
        <v>296.76</v>
      </c>
      <c r="E10625">
        <v>296.75</v>
      </c>
      <c r="F10625">
        <v>0.01</v>
      </c>
    </row>
    <row r="10626" spans="1:6" x14ac:dyDescent="0.3">
      <c r="A10626" t="str">
        <f>HYPERLINK("https://us2.cloudbeds.com/connect/10074733072513#/reservations/31735949476037?display=MXYX27C7P&amp;reservation_id=31735949476037", "MXYX27C7P")</f>
        <v>MXYX27C7P</v>
      </c>
      <c r="B10626" t="s">
        <v>1634</v>
      </c>
      <c r="C10626">
        <v>252</v>
      </c>
      <c r="D10626">
        <v>273.93</v>
      </c>
      <c r="E10626">
        <v>273.92</v>
      </c>
      <c r="F10626">
        <v>0.01</v>
      </c>
    </row>
    <row r="10627" spans="1:6" x14ac:dyDescent="0.3">
      <c r="A10627" t="str">
        <f>HYPERLINK("https://us2.cloudbeds.com/connect/10074733072513#/reservations/31735031730352?display=MXKRKBZXF&amp;reservation_id=31735031730352", "MXKRKBZXF")</f>
        <v>MXKRKBZXF</v>
      </c>
      <c r="B10627" t="s">
        <v>1596</v>
      </c>
      <c r="C10627">
        <v>129</v>
      </c>
      <c r="D10627">
        <v>140.22999999999999</v>
      </c>
      <c r="E10627">
        <v>140.22</v>
      </c>
      <c r="F10627">
        <v>0.01</v>
      </c>
    </row>
    <row r="10628" spans="1:6" x14ac:dyDescent="0.3">
      <c r="A10628" t="str">
        <f>HYPERLINK("https://us2.cloudbeds.com/connect/10074733072513#/reservations/31733640872095?display=MXJP2X22X&amp;reservation_id=31733640872095", "MXJP2X22X")</f>
        <v>MXJP2X22X</v>
      </c>
      <c r="B10628" t="s">
        <v>1636</v>
      </c>
      <c r="C10628">
        <v>129</v>
      </c>
      <c r="D10628">
        <v>140.22999999999999</v>
      </c>
      <c r="E10628">
        <v>140.22</v>
      </c>
      <c r="F10628">
        <v>0.01</v>
      </c>
    </row>
    <row r="10629" spans="1:6" x14ac:dyDescent="0.3">
      <c r="A10629" t="str">
        <f>HYPERLINK("https://us2.cloudbeds.com/connect/10074733072513#/reservations/31734449287332?display=MXKCZ7DFW&amp;reservation_id=31734449287332", "MXKCZ7DFW")</f>
        <v>MXKCZ7DFW</v>
      </c>
      <c r="B10629" t="s">
        <v>1608</v>
      </c>
      <c r="C10629">
        <v>159</v>
      </c>
      <c r="D10629">
        <v>172.84</v>
      </c>
      <c r="E10629">
        <v>172.83</v>
      </c>
      <c r="F10629">
        <v>0.01</v>
      </c>
    </row>
    <row r="10630" spans="1:6" x14ac:dyDescent="0.3">
      <c r="A10630" t="str">
        <f>HYPERLINK("https://us2.cloudbeds.com/connect/10074733072513#/reservations/31735640502468?display=MXYA5MNVB&amp;reservation_id=31735640502468", "MXYA5MNVB")</f>
        <v>MXYA5MNVB</v>
      </c>
      <c r="B10630" t="s">
        <v>1631</v>
      </c>
      <c r="C10630">
        <v>178</v>
      </c>
      <c r="D10630">
        <v>193.5</v>
      </c>
      <c r="E10630">
        <v>193.49</v>
      </c>
      <c r="F10630">
        <v>0.01</v>
      </c>
    </row>
    <row r="10631" spans="1:6" x14ac:dyDescent="0.3">
      <c r="A10631" t="str">
        <f>HYPERLINK("https://us2.cloudbeds.com/connect/10074733072513#/reservations/31734461808770?display=MXKD1PRJG&amp;reservation_id=31734461808770", "MXKD1PRJG")</f>
        <v>MXKD1PRJG</v>
      </c>
      <c r="B10631" t="s">
        <v>1608</v>
      </c>
      <c r="C10631">
        <v>159</v>
      </c>
      <c r="D10631">
        <v>172.84</v>
      </c>
      <c r="E10631">
        <v>172.83</v>
      </c>
      <c r="F10631">
        <v>0.01</v>
      </c>
    </row>
    <row r="10632" spans="1:6" x14ac:dyDescent="0.3">
      <c r="A10632" t="str">
        <f>HYPERLINK("https://us2.cloudbeds.com/connect/10074733072513#/reservations/31735961149624?display=MXYXC26PR&amp;reservation_id=31735961149624", "MXYXC26PR")</f>
        <v>MXYXC26PR</v>
      </c>
      <c r="B10632" t="s">
        <v>1634</v>
      </c>
      <c r="C10632">
        <v>252</v>
      </c>
      <c r="D10632">
        <v>273.93</v>
      </c>
      <c r="E10632">
        <v>273.92</v>
      </c>
      <c r="F10632">
        <v>0.01</v>
      </c>
    </row>
    <row r="10633" spans="1:6" x14ac:dyDescent="0.3">
      <c r="A10633" t="str">
        <f>HYPERLINK("https://us2.cloudbeds.com/connect/10074733072513#/reservations/31733562388624?display=MXJN2C4PX&amp;reservation_id=31733562388624", "MXJN2C4PX")</f>
        <v>MXJN2C4PX</v>
      </c>
      <c r="B10633" t="s">
        <v>1636</v>
      </c>
      <c r="C10633">
        <v>129</v>
      </c>
      <c r="D10633">
        <v>140.22999999999999</v>
      </c>
      <c r="E10633">
        <v>140.22</v>
      </c>
      <c r="F10633">
        <v>0.01</v>
      </c>
    </row>
    <row r="10634" spans="1:6" x14ac:dyDescent="0.3">
      <c r="A10634" t="str">
        <f>HYPERLINK("https://us2.cloudbeds.com/connect/10074733072513#/reservations/31734997942414?display=MXKQZSHWX&amp;reservation_id=31734997942414", "MXKQZSHWX")</f>
        <v>MXKQZSHWX</v>
      </c>
      <c r="B10634" t="s">
        <v>1636</v>
      </c>
      <c r="C10634">
        <v>102.58</v>
      </c>
      <c r="D10634">
        <v>111.51</v>
      </c>
      <c r="E10634">
        <v>111.5</v>
      </c>
      <c r="F10634">
        <v>0.01</v>
      </c>
    </row>
    <row r="10635" spans="1:6" x14ac:dyDescent="0.3">
      <c r="A10635" t="str">
        <f>HYPERLINK("https://us2.cloudbeds.com/connect/10074733072513#/reservations/31733584879748?display=MXJNYAWPZ&amp;reservation_id=31733584879748", "MXJNYAWPZ")</f>
        <v>MXJNYAWPZ</v>
      </c>
      <c r="B10635" t="s">
        <v>1636</v>
      </c>
      <c r="C10635">
        <v>102.58</v>
      </c>
      <c r="D10635">
        <v>111.51</v>
      </c>
      <c r="E10635">
        <v>111.5</v>
      </c>
      <c r="F10635">
        <v>0.01</v>
      </c>
    </row>
    <row r="10636" spans="1:6" x14ac:dyDescent="0.3">
      <c r="A10636" t="str">
        <f>HYPERLINK("https://us2.cloudbeds.com/connect/10074733072513#/reservations/31733613699209?display=MXJZCKUUP&amp;reservation_id=31733613699209", "MXJZCKUUP")</f>
        <v>MXJZCKUUP</v>
      </c>
      <c r="B10636" t="s">
        <v>1636</v>
      </c>
      <c r="C10636">
        <v>129</v>
      </c>
      <c r="D10636">
        <v>140.22999999999999</v>
      </c>
      <c r="E10636">
        <v>140.22</v>
      </c>
      <c r="F10636">
        <v>0.01</v>
      </c>
    </row>
    <row r="10637" spans="1:6" x14ac:dyDescent="0.3">
      <c r="A10637" t="str">
        <f>HYPERLINK("https://us2.cloudbeds.com/connect/10074733072513#/reservations/31731660837040?display=MXX7FUM29&amp;reservation_id=31731660837040", "MXX7FUM29")</f>
        <v>MXX7FUM29</v>
      </c>
      <c r="B10637" t="s">
        <v>1614</v>
      </c>
      <c r="C10637">
        <v>129</v>
      </c>
      <c r="D10637">
        <v>140.22999999999999</v>
      </c>
      <c r="E10637">
        <v>140.22</v>
      </c>
      <c r="F10637">
        <v>0.01</v>
      </c>
    </row>
    <row r="10638" spans="1:6" x14ac:dyDescent="0.3">
      <c r="A10638" t="str">
        <f>HYPERLINK("https://us2.cloudbeds.com/connect/10074733072513#/reservations/31734750945448?display=MXKKEJG60&amp;reservation_id=31734750945448", "MXKKEJG60")</f>
        <v>MXKKEJG60</v>
      </c>
      <c r="B10638" t="s">
        <v>1638</v>
      </c>
      <c r="C10638">
        <v>129</v>
      </c>
      <c r="D10638">
        <v>140.22999999999999</v>
      </c>
      <c r="E10638">
        <v>140.22</v>
      </c>
      <c r="F10638">
        <v>0.01</v>
      </c>
    </row>
    <row r="10639" spans="1:6" x14ac:dyDescent="0.3">
      <c r="A10639" t="str">
        <f>HYPERLINK("https://us2.cloudbeds.com/connect/10074733072513#/reservations/31733678792857?display=MXJQ1H8NX&amp;reservation_id=31733678792857", "MXJQ1H8NX")</f>
        <v>MXJQ1H8NX</v>
      </c>
      <c r="B10639" t="s">
        <v>1537</v>
      </c>
      <c r="C10639">
        <v>293.72000000000003</v>
      </c>
      <c r="D10639">
        <v>319.27999999999997</v>
      </c>
      <c r="E10639">
        <v>319.27</v>
      </c>
      <c r="F10639">
        <v>0.01</v>
      </c>
    </row>
    <row r="10640" spans="1:6" x14ac:dyDescent="0.3">
      <c r="A10640" t="str">
        <f>HYPERLINK("https://us2.cloudbeds.com/connect/10074733072513#/reservations/31731966185622?display=MXXF9DEKK&amp;reservation_id=31731966185622", "MXXF9DEKK")</f>
        <v>MXXF9DEKK</v>
      </c>
      <c r="B10640" t="s">
        <v>1619</v>
      </c>
      <c r="C10640">
        <v>432</v>
      </c>
      <c r="D10640">
        <v>469.59</v>
      </c>
      <c r="E10640">
        <v>469.58</v>
      </c>
      <c r="F10640">
        <v>0.01</v>
      </c>
    </row>
    <row r="10641" spans="1:6" x14ac:dyDescent="0.3">
      <c r="A10641" t="str">
        <f>HYPERLINK("https://us2.cloudbeds.com/connect/10074733072513#/reservations/31733096292488?display=MXJB5BAW7&amp;reservation_id=31733096292488", "MXJB5BAW7")</f>
        <v>MXJB5BAW7</v>
      </c>
      <c r="B10641" t="s">
        <v>1537</v>
      </c>
      <c r="C10641">
        <v>378</v>
      </c>
      <c r="D10641">
        <v>410.9</v>
      </c>
      <c r="E10641">
        <v>410.89</v>
      </c>
      <c r="F10641">
        <v>0.01</v>
      </c>
    </row>
    <row r="10642" spans="1:6" x14ac:dyDescent="0.3">
      <c r="A10642" t="str">
        <f>HYPERLINK("https://us2.cloudbeds.com/connect/10074733072513#/reservations/31723896508605?display=MXC72RPTE&amp;reservation_id=31723896508605", "MXC72RPTE")</f>
        <v>MXC72RPTE</v>
      </c>
      <c r="B10642" t="s">
        <v>1619</v>
      </c>
      <c r="C10642">
        <v>432</v>
      </c>
      <c r="D10642">
        <v>469.59</v>
      </c>
      <c r="E10642">
        <v>469.58</v>
      </c>
      <c r="F10642">
        <v>0.01</v>
      </c>
    </row>
    <row r="10643" spans="1:6" x14ac:dyDescent="0.3">
      <c r="A10643" t="str">
        <f>HYPERLINK("https://us2.cloudbeds.com/connect/10074733072513#/reservations/31735972233374?display=MXYXYDKN1&amp;reservation_id=31735972233374", "MXYXYDKN1")</f>
        <v>MXYXYDKN1</v>
      </c>
      <c r="B10643" t="s">
        <v>1634</v>
      </c>
      <c r="C10643">
        <v>273</v>
      </c>
      <c r="D10643">
        <v>296.76</v>
      </c>
      <c r="E10643">
        <v>296.75</v>
      </c>
      <c r="F10643">
        <v>0.01</v>
      </c>
    </row>
    <row r="10644" spans="1:6" x14ac:dyDescent="0.3">
      <c r="A10644" t="str">
        <f>HYPERLINK("https://us2.cloudbeds.com/connect/10074733072513#/reservations/31734843588741?display=MXKMQNE2H&amp;reservation_id=31734843588741", "MXKMQNE2H")</f>
        <v>MXKMQNE2H</v>
      </c>
      <c r="B10644" t="s">
        <v>1608</v>
      </c>
      <c r="C10644">
        <v>179</v>
      </c>
      <c r="D10644">
        <v>194.58</v>
      </c>
      <c r="E10644">
        <v>194.57</v>
      </c>
      <c r="F10644">
        <v>0.01</v>
      </c>
    </row>
    <row r="10645" spans="1:6" x14ac:dyDescent="0.3">
      <c r="A10645" t="str">
        <f>HYPERLINK("https://us2.cloudbeds.com/connect/10074733072513#/reservations/31734493905055?display=MXKDSRVP6&amp;reservation_id=31734493905055", "MXKDSRVP6")</f>
        <v>MXKDSRVP6</v>
      </c>
      <c r="B10645" t="s">
        <v>1616</v>
      </c>
      <c r="C10645">
        <v>398</v>
      </c>
      <c r="D10645">
        <v>432.64</v>
      </c>
      <c r="E10645">
        <v>432.63</v>
      </c>
      <c r="F10645">
        <v>0.01</v>
      </c>
    </row>
    <row r="10646" spans="1:6" x14ac:dyDescent="0.3">
      <c r="A10646" t="str">
        <f>HYPERLINK("https://us2.cloudbeds.com/connect/10074733072513#/reservations/31732876304603?display=MXJ5HRRTM&amp;reservation_id=31732876304603", "MXJ5HRRTM")</f>
        <v>MXJ5HRRTM</v>
      </c>
      <c r="B10646" t="s">
        <v>1632</v>
      </c>
      <c r="C10646">
        <v>139</v>
      </c>
      <c r="D10646">
        <v>151.1</v>
      </c>
      <c r="E10646">
        <v>151.09</v>
      </c>
      <c r="F10646">
        <v>0.01</v>
      </c>
    </row>
    <row r="10647" spans="1:6" x14ac:dyDescent="0.3">
      <c r="A10647" t="str">
        <f>HYPERLINK("https://us2.cloudbeds.com/connect/10074733072513#/reservations/31734794207400?display=MXKYX2AG8&amp;reservation_id=31734794207400", "MXKYX2AG8")</f>
        <v>MXKYX2AG8</v>
      </c>
      <c r="B10647" t="s">
        <v>1634</v>
      </c>
      <c r="C10647">
        <v>129</v>
      </c>
      <c r="D10647">
        <v>140.22999999999999</v>
      </c>
      <c r="E10647">
        <v>140.22</v>
      </c>
      <c r="F10647">
        <v>0.01</v>
      </c>
    </row>
    <row r="10648" spans="1:6" x14ac:dyDescent="0.3">
      <c r="A10648" t="str">
        <f>HYPERLINK("https://us2.cloudbeds.com/connect/10074733072513#/reservations/31735402311929?display=MXY42RNS7&amp;reservation_id=31735402311929", "MXY42RNS7")</f>
        <v>MXY42RNS7</v>
      </c>
      <c r="B10648" t="s">
        <v>1613</v>
      </c>
      <c r="C10648">
        <v>258</v>
      </c>
      <c r="D10648">
        <v>280.45999999999998</v>
      </c>
      <c r="E10648">
        <v>280.45</v>
      </c>
      <c r="F10648">
        <v>0.01</v>
      </c>
    </row>
    <row r="10649" spans="1:6" x14ac:dyDescent="0.3">
      <c r="A10649" t="str">
        <f>HYPERLINK("https://us2.cloudbeds.com/connect/10074733072513#/reservations/31730682409125?display=MXHFFTFGH&amp;reservation_id=31730682409125", "MXHFFTFGH")</f>
        <v>MXHFFTFGH</v>
      </c>
      <c r="B10649" t="s">
        <v>1572</v>
      </c>
      <c r="C10649">
        <v>169</v>
      </c>
      <c r="D10649">
        <v>183.71</v>
      </c>
      <c r="E10649">
        <v>183.7</v>
      </c>
      <c r="F10649">
        <v>0.01</v>
      </c>
    </row>
    <row r="10650" spans="1:6" x14ac:dyDescent="0.3">
      <c r="A10650" t="str">
        <f>HYPERLINK("https://us2.cloudbeds.com/connect/10074733072513#/reservations/31730692063482?display=MXHFZ13RQ&amp;reservation_id=31730692063482", "MXHFZ13RQ")</f>
        <v>MXHFZ13RQ</v>
      </c>
      <c r="B10650" t="s">
        <v>1572</v>
      </c>
      <c r="C10650">
        <v>169</v>
      </c>
      <c r="D10650">
        <v>183.71</v>
      </c>
      <c r="E10650">
        <v>183.7</v>
      </c>
      <c r="F10650">
        <v>0.01</v>
      </c>
    </row>
    <row r="10651" spans="1:6" x14ac:dyDescent="0.3">
      <c r="A10651" t="str">
        <f>HYPERLINK("https://us2.cloudbeds.com/connect/10074733072513#/reservations/31731151470746?display=MXHRFDQE1&amp;reservation_id=31731151470746", "MXHRFDQE1")</f>
        <v>MXHRFDQE1</v>
      </c>
      <c r="B10651" t="s">
        <v>1444</v>
      </c>
      <c r="C10651">
        <v>219</v>
      </c>
      <c r="D10651">
        <v>238.06</v>
      </c>
      <c r="E10651">
        <v>238.05</v>
      </c>
      <c r="F10651">
        <v>0.01</v>
      </c>
    </row>
    <row r="10652" spans="1:6" x14ac:dyDescent="0.3">
      <c r="A10652" t="str">
        <f>HYPERLINK("https://us2.cloudbeds.com/connect/10074733072513#/reservations/31732423291014?display=MXXQVS2F5&amp;reservation_id=31732423291014", "MXXQVS2F5")</f>
        <v>MXXQVS2F5</v>
      </c>
      <c r="B10652" t="s">
        <v>1597</v>
      </c>
      <c r="C10652">
        <v>438</v>
      </c>
      <c r="D10652">
        <v>476.12</v>
      </c>
      <c r="E10652">
        <v>476.11</v>
      </c>
      <c r="F10652">
        <v>0.01</v>
      </c>
    </row>
    <row r="10653" spans="1:6" x14ac:dyDescent="0.3">
      <c r="A10653" t="str">
        <f>HYPERLINK("https://us2.cloudbeds.com/connect/10074733072513#/reservations/31727787966594?display=MXF7H7B6Q&amp;reservation_id=31727787966594", "MXF7H7B6Q")</f>
        <v>MXF7H7B6Q</v>
      </c>
      <c r="B10653" t="s">
        <v>1573</v>
      </c>
      <c r="C10653">
        <v>438</v>
      </c>
      <c r="D10653">
        <v>476.12</v>
      </c>
      <c r="E10653">
        <v>476.11</v>
      </c>
      <c r="F10653">
        <v>0.01</v>
      </c>
    </row>
    <row r="10654" spans="1:6" x14ac:dyDescent="0.3">
      <c r="A10654" t="str">
        <f>HYPERLINK("https://us2.cloudbeds.com/connect/10074733072513#/reservations/31735888031876?display=MXYGGDJMG&amp;reservation_id=31735888031876", "MXYGGDJMG")</f>
        <v>MXYGGDJMG</v>
      </c>
      <c r="B10654" t="s">
        <v>1634</v>
      </c>
      <c r="C10654">
        <v>139</v>
      </c>
      <c r="D10654">
        <v>151.1</v>
      </c>
      <c r="E10654">
        <v>151.09</v>
      </c>
      <c r="F10654">
        <v>0.01</v>
      </c>
    </row>
    <row r="10655" spans="1:6" x14ac:dyDescent="0.3">
      <c r="A10655" t="str">
        <f>HYPERLINK("https://us2.cloudbeds.com/connect/10074733072513#/reservations/31735686873224?display=MXYBBQ1WP&amp;reservation_id=31735686873224", "MXYBBQ1WP")</f>
        <v>MXYBBQ1WP</v>
      </c>
      <c r="B10655" t="s">
        <v>1608</v>
      </c>
      <c r="C10655">
        <v>527</v>
      </c>
      <c r="D10655">
        <v>572.86</v>
      </c>
      <c r="E10655">
        <v>572.85</v>
      </c>
      <c r="F10655">
        <v>0.01</v>
      </c>
    </row>
    <row r="10656" spans="1:6" x14ac:dyDescent="0.3">
      <c r="A10656" t="str">
        <f>HYPERLINK("https://us2.cloudbeds.com/connect/10074733072513#/reservations/31731370352847?display=MXX01WH2W&amp;reservation_id=31731370352847", "MXX01WH2W")</f>
        <v>MXX01WH2W</v>
      </c>
      <c r="B10656" t="s">
        <v>1639</v>
      </c>
      <c r="C10656">
        <v>129</v>
      </c>
      <c r="D10656">
        <v>140.22999999999999</v>
      </c>
      <c r="E10656">
        <v>140.22</v>
      </c>
      <c r="F10656">
        <v>0.01</v>
      </c>
    </row>
    <row r="10657" spans="1:6" x14ac:dyDescent="0.3">
      <c r="A10657" t="str">
        <f>HYPERLINK("https://us2.cloudbeds.com/connect/10074733072513#/reservations/31735686869130?display=MXYBBPV7N&amp;reservation_id=31735686869130", "MXYBBPV7N")</f>
        <v>MXYBBPV7N</v>
      </c>
      <c r="B10657" t="s">
        <v>1631</v>
      </c>
      <c r="C10657">
        <v>273</v>
      </c>
      <c r="D10657">
        <v>296.76</v>
      </c>
      <c r="E10657">
        <v>296.75</v>
      </c>
      <c r="F10657">
        <v>0.01</v>
      </c>
    </row>
    <row r="10658" spans="1:6" x14ac:dyDescent="0.3">
      <c r="A10658" t="str">
        <f>HYPERLINK("https://us2.cloudbeds.com/connect/10074733072513#/reservations/31734504526009?display=MXKE4QGN9&amp;reservation_id=31734504526009", "MXKE4QGN9")</f>
        <v>MXKE4QGN9</v>
      </c>
      <c r="B10658" t="s">
        <v>1586</v>
      </c>
      <c r="C10658">
        <v>159</v>
      </c>
      <c r="D10658">
        <v>172.84</v>
      </c>
      <c r="E10658">
        <v>172.83</v>
      </c>
      <c r="F10658">
        <v>0.01</v>
      </c>
    </row>
    <row r="10659" spans="1:6" x14ac:dyDescent="0.3">
      <c r="A10659" t="str">
        <f>HYPERLINK("https://us2.cloudbeds.com/connect/10074733072513#/reservations/31734314078424?display=MXK9970NB&amp;reservation_id=31734314078424", "MXK9970NB")</f>
        <v>MXK9970NB</v>
      </c>
      <c r="B10659" t="s">
        <v>1616</v>
      </c>
      <c r="C10659">
        <v>229</v>
      </c>
      <c r="D10659">
        <v>248.93</v>
      </c>
      <c r="E10659">
        <v>248.92</v>
      </c>
      <c r="F10659">
        <v>0.01</v>
      </c>
    </row>
    <row r="10660" spans="1:6" x14ac:dyDescent="0.3">
      <c r="A10660" t="str">
        <f>HYPERLINK("https://us2.cloudbeds.com/connect/10074733072513#/reservations/31723842810025?display=MXC5NXHTZ&amp;reservation_id=31723842810025", "MXC5NXHTZ")</f>
        <v>MXC5NXHTZ</v>
      </c>
      <c r="B10660" t="s">
        <v>1634</v>
      </c>
      <c r="C10660">
        <v>149</v>
      </c>
      <c r="D10660">
        <v>161.97</v>
      </c>
      <c r="E10660">
        <v>161.96</v>
      </c>
      <c r="F10660">
        <v>0.01</v>
      </c>
    </row>
    <row r="10661" spans="1:6" x14ac:dyDescent="0.3">
      <c r="A10661" t="str">
        <f>HYPERLINK("https://us2.cloudbeds.com/connect/10074733072513#/reservations/31732894810248?display=MXJ60EQ4Q&amp;reservation_id=31732894810248", "MXJ60EQ4Q")</f>
        <v>MXJ60EQ4Q</v>
      </c>
      <c r="B10661" t="s">
        <v>1638</v>
      </c>
      <c r="C10661">
        <v>258</v>
      </c>
      <c r="D10661">
        <v>280.45999999999998</v>
      </c>
      <c r="E10661">
        <v>280.45</v>
      </c>
      <c r="F10661">
        <v>0.01</v>
      </c>
    </row>
    <row r="10662" spans="1:6" x14ac:dyDescent="0.3">
      <c r="A10662" t="str">
        <f>HYPERLINK("https://us2.cloudbeds.com/connect/10074733072513#/reservations/31732525564039?display=MXXTJ2W2Z&amp;reservation_id=31732525564039", "MXXTJ2W2Z")</f>
        <v>MXXTJ2W2Z</v>
      </c>
      <c r="B10662" t="s">
        <v>1614</v>
      </c>
      <c r="C10662">
        <v>258</v>
      </c>
      <c r="D10662">
        <v>280.45999999999998</v>
      </c>
      <c r="E10662">
        <v>280.45</v>
      </c>
      <c r="F10662">
        <v>0.01</v>
      </c>
    </row>
    <row r="10663" spans="1:6" x14ac:dyDescent="0.3">
      <c r="A10663" t="str">
        <f>HYPERLINK("https://us2.cloudbeds.com/connect/10074733072513#/reservations/31735279980701?display=MXY0VMMAA&amp;reservation_id=31735279980701", "MXY0VMMAA")</f>
        <v>MXY0VMMAA</v>
      </c>
      <c r="B10663" t="s">
        <v>1631</v>
      </c>
      <c r="C10663">
        <v>73</v>
      </c>
      <c r="D10663">
        <v>79.36</v>
      </c>
      <c r="E10663">
        <v>79.349999999999994</v>
      </c>
      <c r="F10663">
        <v>0.01</v>
      </c>
    </row>
    <row r="10664" spans="1:6" x14ac:dyDescent="0.3">
      <c r="A10664" t="str">
        <f>HYPERLINK("https://us2.cloudbeds.com/connect/10074733072513#/reservations/31733106499741?display=MXJBDVC0U&amp;reservation_id=31733106499741", "MXJBDVC0U")</f>
        <v>MXJBDVC0U</v>
      </c>
      <c r="B10664" t="s">
        <v>1631</v>
      </c>
      <c r="C10664">
        <v>135.79</v>
      </c>
      <c r="D10664">
        <v>147.61000000000001</v>
      </c>
      <c r="E10664">
        <v>147.6</v>
      </c>
      <c r="F10664">
        <v>0.01</v>
      </c>
    </row>
    <row r="10665" spans="1:6" x14ac:dyDescent="0.3">
      <c r="A10665" t="str">
        <f>HYPERLINK("https://us2.cloudbeds.com/connect/10074733072513#/reservations/31733128392932?display=MXJBWDXVV&amp;reservation_id=31733128392932", "MXJBWDXVV")</f>
        <v>MXJBWDXVV</v>
      </c>
      <c r="B10665" t="s">
        <v>1537</v>
      </c>
      <c r="C10665">
        <v>229</v>
      </c>
      <c r="D10665">
        <v>248.93</v>
      </c>
      <c r="E10665">
        <v>248.92</v>
      </c>
      <c r="F10665">
        <v>0.01</v>
      </c>
    </row>
    <row r="10666" spans="1:6" x14ac:dyDescent="0.3">
      <c r="A10666" t="str">
        <f>HYPERLINK("https://us2.cloudbeds.com/connect/10074733072513#/reservations/31733044814031?display=MXJ9RUSYW&amp;reservation_id=31733044814031", "MXJ9RUSYW")</f>
        <v>MXJ9RUSYW</v>
      </c>
      <c r="B10666" t="s">
        <v>1537</v>
      </c>
      <c r="C10666">
        <v>219</v>
      </c>
      <c r="D10666">
        <v>238.06</v>
      </c>
      <c r="E10666">
        <v>238.05</v>
      </c>
      <c r="F10666">
        <v>0.01</v>
      </c>
    </row>
    <row r="10667" spans="1:6" x14ac:dyDescent="0.3">
      <c r="A10667" t="str">
        <f>HYPERLINK("https://us2.cloudbeds.com/connect/10074733072513#/reservations/31734270693589?display=MXK85KPXC&amp;reservation_id=31734270693589", "MXK85KPXC")</f>
        <v>MXK85KPXC</v>
      </c>
      <c r="B10667" t="s">
        <v>1643</v>
      </c>
      <c r="C10667">
        <v>129</v>
      </c>
      <c r="D10667">
        <v>140.22999999999999</v>
      </c>
      <c r="E10667">
        <v>140.22</v>
      </c>
      <c r="F10667">
        <v>0.01</v>
      </c>
    </row>
    <row r="10668" spans="1:6" x14ac:dyDescent="0.3">
      <c r="A10668" t="str">
        <f>HYPERLINK("https://us2.cloudbeds.com/connect/10074733072513#/reservations/31727926730995?display=MXFB27YTY&amp;reservation_id=31727926730995", "MXFB27YTY")</f>
        <v>MXFB27YTY</v>
      </c>
      <c r="B10668" t="s">
        <v>1639</v>
      </c>
      <c r="C10668">
        <v>129</v>
      </c>
      <c r="D10668">
        <v>140.22999999999999</v>
      </c>
      <c r="E10668">
        <v>140.22</v>
      </c>
      <c r="F10668">
        <v>0.01</v>
      </c>
    </row>
    <row r="10669" spans="1:6" x14ac:dyDescent="0.3">
      <c r="A10669" t="str">
        <f>HYPERLINK("https://us2.cloudbeds.com/connect/10074733072513#/reservations/31727930499209?display=MXFB5DH4V&amp;reservation_id=31727930499209", "MXFB5DH4V")</f>
        <v>MXFB5DH4V</v>
      </c>
      <c r="B10669" t="s">
        <v>1639</v>
      </c>
      <c r="C10669">
        <v>258</v>
      </c>
      <c r="D10669">
        <v>280.45999999999998</v>
      </c>
      <c r="E10669">
        <v>280.45</v>
      </c>
      <c r="F10669">
        <v>0.01</v>
      </c>
    </row>
    <row r="10670" spans="1:6" x14ac:dyDescent="0.3">
      <c r="A10670" t="str">
        <f>HYPERLINK("https://us2.cloudbeds.com/connect/10074733072513#/reservations/31732969398408?display=MXJ7UBAG2&amp;reservation_id=31732969398408", "MXJ7UBAG2")</f>
        <v>MXJ7UBAG2</v>
      </c>
      <c r="B10670" t="s">
        <v>1498</v>
      </c>
      <c r="C10670">
        <v>542</v>
      </c>
      <c r="D10670">
        <v>589.16</v>
      </c>
      <c r="E10670">
        <v>589.15</v>
      </c>
      <c r="F10670">
        <v>0.01</v>
      </c>
    </row>
    <row r="10671" spans="1:6" x14ac:dyDescent="0.3">
      <c r="A10671" t="str">
        <f>HYPERLINK("https://us2.cloudbeds.com/connect/10074733072513#/reservations/31732851826896?display=MXJ4U6NYW&amp;reservation_id=31732851826896", "MXJ4U6NYW")</f>
        <v>MXJ4U6NYW</v>
      </c>
      <c r="B10671" t="s">
        <v>1580</v>
      </c>
      <c r="C10671">
        <v>209</v>
      </c>
      <c r="D10671">
        <v>227.19</v>
      </c>
      <c r="E10671">
        <v>227.18</v>
      </c>
      <c r="F10671">
        <v>0.01</v>
      </c>
    </row>
    <row r="10672" spans="1:6" x14ac:dyDescent="0.3">
      <c r="A10672" t="str">
        <f>HYPERLINK("https://us2.cloudbeds.com/connect/10074733072513#/reservations/31731065479362?display=MXHP8TVQH&amp;reservation_id=31731065479362", "MXHP8TVQH")</f>
        <v>MXHP8TVQH</v>
      </c>
      <c r="B10672" t="s">
        <v>1586</v>
      </c>
      <c r="C10672">
        <v>149</v>
      </c>
      <c r="D10672">
        <v>161.97</v>
      </c>
      <c r="E10672">
        <v>161.96</v>
      </c>
      <c r="F10672">
        <v>0.01</v>
      </c>
    </row>
    <row r="10673" spans="1:6" x14ac:dyDescent="0.3">
      <c r="A10673" t="str">
        <f>HYPERLINK("https://us2.cloudbeds.com/connect/10074733072513#/reservations/31734850613452?display=MXKMWKTMH&amp;reservation_id=31734850613452", "MXKMWKTMH")</f>
        <v>MXKMWKTMH</v>
      </c>
      <c r="B10673" t="s">
        <v>1608</v>
      </c>
      <c r="C10673">
        <v>89</v>
      </c>
      <c r="D10673">
        <v>96.75</v>
      </c>
      <c r="E10673">
        <v>96.74</v>
      </c>
      <c r="F10673">
        <v>0.01</v>
      </c>
    </row>
    <row r="10674" spans="1:6" x14ac:dyDescent="0.3">
      <c r="A10674" t="str">
        <f>HYPERLINK("https://us2.cloudbeds.com/connect/10074733072513#/reservations/31730663411948?display=MXHEWSRTG&amp;reservation_id=31730663411948", "MXHEWSRTG")</f>
        <v>MXHEWSRTG</v>
      </c>
      <c r="B10674" t="s">
        <v>1610</v>
      </c>
      <c r="C10674">
        <v>258</v>
      </c>
      <c r="D10674">
        <v>280.45999999999998</v>
      </c>
      <c r="E10674">
        <v>280.45</v>
      </c>
      <c r="F10674">
        <v>0.01</v>
      </c>
    </row>
    <row r="10675" spans="1:6" x14ac:dyDescent="0.3">
      <c r="A10675" t="str">
        <f>HYPERLINK("https://us2.cloudbeds.com/connect/10074733072513#/reservations/31731166900436?display=MXHRSE53D&amp;reservation_id=31731166900436", "MXHRSE53D")</f>
        <v>MXHRSE53D</v>
      </c>
      <c r="B10675" t="s">
        <v>1600</v>
      </c>
      <c r="C10675">
        <v>189</v>
      </c>
      <c r="D10675">
        <v>205.45</v>
      </c>
      <c r="E10675">
        <v>205.44</v>
      </c>
      <c r="F10675">
        <v>0.01</v>
      </c>
    </row>
    <row r="10676" spans="1:6" x14ac:dyDescent="0.3">
      <c r="A10676" t="str">
        <f>HYPERLINK("https://us2.cloudbeds.com/connect/10074733072513#/reservations/31732364353767?display=MXXPF51UW&amp;reservation_id=31732364353767", "MXXPF51UW")</f>
        <v>MXXPF51UW</v>
      </c>
      <c r="B10676" t="s">
        <v>1646</v>
      </c>
      <c r="C10676">
        <v>258</v>
      </c>
      <c r="D10676">
        <v>280.45999999999998</v>
      </c>
      <c r="E10676">
        <v>280.45</v>
      </c>
      <c r="F10676">
        <v>0.01</v>
      </c>
    </row>
    <row r="10677" spans="1:6" x14ac:dyDescent="0.3">
      <c r="A10677" t="str">
        <f>HYPERLINK("https://us2.cloudbeds.com/connect/10074733072513#/reservations/31732855689377?display=MXJ50F6FS&amp;reservation_id=31732855689377", "MXJ50F6FS")</f>
        <v>MXJ50F6FS</v>
      </c>
      <c r="B10677" t="s">
        <v>1638</v>
      </c>
      <c r="C10677">
        <v>258</v>
      </c>
      <c r="D10677">
        <v>280.45999999999998</v>
      </c>
      <c r="E10677">
        <v>280.45</v>
      </c>
      <c r="F10677">
        <v>0.01</v>
      </c>
    </row>
    <row r="10678" spans="1:6" x14ac:dyDescent="0.3">
      <c r="A10678" t="str">
        <f>HYPERLINK("https://us2.cloudbeds.com/connect/10074733072513#/reservations/31732871377086?display=MXJ5DMZ2W&amp;reservation_id=31732871377086", "MXJ5DMZ2W")</f>
        <v>MXJ5DMZ2W</v>
      </c>
      <c r="B10678" t="s">
        <v>1638</v>
      </c>
      <c r="C10678">
        <v>258</v>
      </c>
      <c r="D10678">
        <v>280.45999999999998</v>
      </c>
      <c r="E10678">
        <v>280.45</v>
      </c>
      <c r="F10678">
        <v>0.01</v>
      </c>
    </row>
    <row r="10679" spans="1:6" x14ac:dyDescent="0.3">
      <c r="A10679" t="str">
        <f>HYPERLINK("https://us2.cloudbeds.com/connect/10074733072513#/reservations/31732746658037?display=MXJ27H7SN&amp;reservation_id=31732746658037", "MXJ27H7SN")</f>
        <v>MXJ27H7SN</v>
      </c>
      <c r="B10679" t="s">
        <v>1600</v>
      </c>
      <c r="C10679">
        <v>398</v>
      </c>
      <c r="D10679">
        <v>432.64</v>
      </c>
      <c r="E10679">
        <v>432.63</v>
      </c>
      <c r="F10679">
        <v>0.01</v>
      </c>
    </row>
    <row r="10680" spans="1:6" x14ac:dyDescent="0.3">
      <c r="A10680" t="str">
        <f>HYPERLINK("https://us2.cloudbeds.com/connect/10074733072513#/reservations/31732748693716?display=MXJ297T63&amp;reservation_id=31732748693716", "MXJ297T63")</f>
        <v>MXJ297T63</v>
      </c>
      <c r="B10680" t="s">
        <v>1600</v>
      </c>
      <c r="C10680">
        <v>398</v>
      </c>
      <c r="D10680">
        <v>432.64</v>
      </c>
      <c r="E10680">
        <v>432.63</v>
      </c>
      <c r="F10680">
        <v>0.01</v>
      </c>
    </row>
    <row r="10681" spans="1:6" x14ac:dyDescent="0.3">
      <c r="A10681" t="str">
        <f>HYPERLINK("https://us2.cloudbeds.com/connect/10074733072513#/reservations/31734110417123?display=MXK42FRTP&amp;reservation_id=31734110417123", "MXK42FRTP")</f>
        <v>MXK42FRTP</v>
      </c>
      <c r="B10681" t="s">
        <v>1597</v>
      </c>
      <c r="C10681">
        <v>388</v>
      </c>
      <c r="D10681">
        <v>421.77</v>
      </c>
      <c r="E10681">
        <v>421.76</v>
      </c>
      <c r="F10681">
        <v>0.01</v>
      </c>
    </row>
    <row r="10682" spans="1:6" x14ac:dyDescent="0.3">
      <c r="A10682" t="str">
        <f>HYPERLINK("https://us2.cloudbeds.com/connect/10074733072513#/reservations/31734197678231?display=MXK6A1TZB&amp;reservation_id=31734197678231", "MXK6A1TZB")</f>
        <v>MXK6A1TZB</v>
      </c>
      <c r="B10682" t="s">
        <v>1498</v>
      </c>
      <c r="C10682">
        <v>129</v>
      </c>
      <c r="D10682">
        <v>140.22999999999999</v>
      </c>
      <c r="E10682">
        <v>140.22</v>
      </c>
      <c r="F10682">
        <v>0.01</v>
      </c>
    </row>
    <row r="10683" spans="1:6" x14ac:dyDescent="0.3">
      <c r="A10683" t="str">
        <f>HYPERLINK("https://us2.cloudbeds.com/connect/10074733072513#/reservations/31731065639051?display=MXHP91DEX&amp;reservation_id=31731065639051", "MXHP91DEX")</f>
        <v>MXHP91DEX</v>
      </c>
      <c r="B10683" t="s">
        <v>1600</v>
      </c>
      <c r="C10683">
        <v>252</v>
      </c>
      <c r="D10683">
        <v>273.93</v>
      </c>
      <c r="E10683">
        <v>273.92</v>
      </c>
      <c r="F10683">
        <v>0.01</v>
      </c>
    </row>
    <row r="10684" spans="1:6" x14ac:dyDescent="0.3">
      <c r="A10684" t="str">
        <f>HYPERLINK("https://us2.cloudbeds.com/connect/10074733072513#/reservations/31731177996525?display=MXHS4PUBH&amp;reservation_id=31731177996525", "MXHS4PUBH")</f>
        <v>MXHS4PUBH</v>
      </c>
      <c r="B10684" t="s">
        <v>1611</v>
      </c>
      <c r="C10684">
        <v>129</v>
      </c>
      <c r="D10684">
        <v>140.22999999999999</v>
      </c>
      <c r="E10684">
        <v>140.22</v>
      </c>
      <c r="F10684">
        <v>0.01</v>
      </c>
    </row>
    <row r="10685" spans="1:6" x14ac:dyDescent="0.3">
      <c r="A10685" t="str">
        <f>HYPERLINK("https://us2.cloudbeds.com/connect/10074733072513#/reservations/31732948193417?display=MXJ7CF8GJ&amp;reservation_id=31732948193417", "MXJ7CF8GJ")</f>
        <v>MXJ7CF8GJ</v>
      </c>
      <c r="B10685" t="s">
        <v>1498</v>
      </c>
      <c r="C10685">
        <v>129</v>
      </c>
      <c r="D10685">
        <v>140.22999999999999</v>
      </c>
      <c r="E10685">
        <v>140.22</v>
      </c>
      <c r="F10685">
        <v>0.01</v>
      </c>
    </row>
    <row r="10686" spans="1:6" x14ac:dyDescent="0.3">
      <c r="A10686" t="str">
        <f>HYPERLINK("https://us2.cloudbeds.com/connect/10074733072513#/reservations/31732317302981?display=MXXZ8FQEJ&amp;reservation_id=31732317302981", "MXXZ8FQEJ")</f>
        <v>MXXZ8FQEJ</v>
      </c>
      <c r="B10686" t="s">
        <v>1371</v>
      </c>
      <c r="C10686">
        <v>189</v>
      </c>
      <c r="D10686">
        <v>205.45</v>
      </c>
      <c r="E10686">
        <v>205.44</v>
      </c>
      <c r="F10686">
        <v>0.01</v>
      </c>
    </row>
    <row r="10687" spans="1:6" x14ac:dyDescent="0.3">
      <c r="A10687" t="str">
        <f>HYPERLINK("https://us2.cloudbeds.com/connect/10074733072513#/reservations/31731103322319?display=MXHQ7QWWQ&amp;reservation_id=31731103322319", "MXHQ7QWWQ")</f>
        <v>MXHQ7QWWQ</v>
      </c>
      <c r="B10687" t="s">
        <v>1586</v>
      </c>
      <c r="C10687">
        <v>129</v>
      </c>
      <c r="D10687">
        <v>140.22999999999999</v>
      </c>
      <c r="E10687">
        <v>140.22</v>
      </c>
      <c r="F10687">
        <v>0.01</v>
      </c>
    </row>
    <row r="10688" spans="1:6" x14ac:dyDescent="0.3">
      <c r="A10688" t="str">
        <f>HYPERLINK("https://us2.cloudbeds.com/connect/10074733072513#/reservations/31734206910657?display=MXK6HRUC8&amp;reservation_id=31734206910657", "MXK6HRUC8")</f>
        <v>MXK6HRUC8</v>
      </c>
      <c r="B10688" t="s">
        <v>1498</v>
      </c>
      <c r="C10688">
        <v>159</v>
      </c>
      <c r="D10688">
        <v>172.84</v>
      </c>
      <c r="E10688">
        <v>172.83</v>
      </c>
      <c r="F10688">
        <v>0.01</v>
      </c>
    </row>
    <row r="10689" spans="1:6" x14ac:dyDescent="0.3">
      <c r="A10689" t="str">
        <f>HYPERLINK("https://us2.cloudbeds.com/connect/10074733072513#/reservations/31732710650078?display=MXJ1A58NJ&amp;reservation_id=31732710650078", "MXJ1A58NJ")</f>
        <v>MXJ1A58NJ</v>
      </c>
      <c r="B10689" t="s">
        <v>1600</v>
      </c>
      <c r="C10689">
        <v>189</v>
      </c>
      <c r="D10689">
        <v>205.45</v>
      </c>
      <c r="E10689">
        <v>205.44</v>
      </c>
      <c r="F10689">
        <v>0.01</v>
      </c>
    </row>
    <row r="10690" spans="1:6" x14ac:dyDescent="0.3">
      <c r="A10690" t="str">
        <f>HYPERLINK("https://us2.cloudbeds.com/connect/10074733072513#/reservations/31732485681333?display=MXXSXF5RT&amp;reservation_id=31732485681333", "MXXSXF5RT")</f>
        <v>MXXSXF5RT</v>
      </c>
      <c r="B10690" t="s">
        <v>1647</v>
      </c>
      <c r="C10690">
        <v>258</v>
      </c>
      <c r="D10690">
        <v>280.45999999999998</v>
      </c>
      <c r="E10690">
        <v>280.45</v>
      </c>
      <c r="F10690">
        <v>0.01</v>
      </c>
    </row>
    <row r="10691" spans="1:6" x14ac:dyDescent="0.3">
      <c r="A10691" t="str">
        <f>HYPERLINK("https://us2.cloudbeds.com/connect/10074733072513#/reservations/31732094873808?display=MXXXXUCJK&amp;reservation_id=31732094873808", "MXXXXUCJK")</f>
        <v>MXXXXUCJK</v>
      </c>
      <c r="B10691" t="s">
        <v>1586</v>
      </c>
      <c r="C10691">
        <v>129</v>
      </c>
      <c r="D10691">
        <v>140.22999999999999</v>
      </c>
      <c r="E10691">
        <v>140.22</v>
      </c>
      <c r="F10691">
        <v>0.01</v>
      </c>
    </row>
    <row r="10692" spans="1:6" x14ac:dyDescent="0.3">
      <c r="A10692" t="str">
        <f>HYPERLINK("https://us2.cloudbeds.com/connect/10074733072513#/reservations/31732078551238?display=MXXX55609&amp;reservation_id=31732078551238", "MXXX55609")</f>
        <v>MXXX55609</v>
      </c>
      <c r="B10692" t="s">
        <v>1586</v>
      </c>
      <c r="C10692">
        <v>129</v>
      </c>
      <c r="D10692">
        <v>140.22999999999999</v>
      </c>
      <c r="E10692">
        <v>140.22</v>
      </c>
      <c r="F10692">
        <v>0.01</v>
      </c>
    </row>
    <row r="10693" spans="1:6" x14ac:dyDescent="0.3">
      <c r="A10693" t="str">
        <f>HYPERLINK("https://us2.cloudbeds.com/connect/10074733072513#/reservations/31732067991706?display=MXXHT8BFD&amp;reservation_id=31732067991706", "MXXHT8BFD")</f>
        <v>MXXHT8BFD</v>
      </c>
      <c r="B10693" t="s">
        <v>1586</v>
      </c>
      <c r="C10693">
        <v>139</v>
      </c>
      <c r="D10693">
        <v>151.1</v>
      </c>
      <c r="E10693">
        <v>151.09</v>
      </c>
      <c r="F10693">
        <v>0.01</v>
      </c>
    </row>
    <row r="10694" spans="1:6" x14ac:dyDescent="0.3">
      <c r="A10694" t="str">
        <f>HYPERLINK("https://us2.cloudbeds.com/connect/10074733072513#/reservations/31730707914980?display=MXHG4D6S7&amp;reservation_id=31730707914980", "MXHG4D6S7")</f>
        <v>MXHG4D6S7</v>
      </c>
      <c r="B10694" t="s">
        <v>1610</v>
      </c>
      <c r="C10694">
        <v>129</v>
      </c>
      <c r="D10694">
        <v>140.22999999999999</v>
      </c>
      <c r="E10694">
        <v>140.22</v>
      </c>
      <c r="F10694">
        <v>0.01</v>
      </c>
    </row>
    <row r="10695" spans="1:6" x14ac:dyDescent="0.3">
      <c r="A10695" t="str">
        <f>HYPERLINK("https://us2.cloudbeds.com/connect/10074733072513#/reservations/31730699120783?display=MXHFTWGCD&amp;reservation_id=31730699120783", "MXHFTWGCD")</f>
        <v>MXHFTWGCD</v>
      </c>
      <c r="B10695" t="s">
        <v>1610</v>
      </c>
      <c r="C10695">
        <v>159</v>
      </c>
      <c r="D10695">
        <v>172.84</v>
      </c>
      <c r="E10695">
        <v>172.83</v>
      </c>
      <c r="F10695">
        <v>0.01</v>
      </c>
    </row>
    <row r="10696" spans="1:6" x14ac:dyDescent="0.3">
      <c r="A10696" t="str">
        <f>HYPERLINK("https://us2.cloudbeds.com/connect/10074733072513#/reservations/31731696341239?display=MXX8CSKY3&amp;reservation_id=31731696341239", "MXX8CSKY3")</f>
        <v>MXX8CSKY3</v>
      </c>
      <c r="B10696" t="s">
        <v>1638</v>
      </c>
      <c r="C10696">
        <v>336</v>
      </c>
      <c r="D10696">
        <v>365.24</v>
      </c>
      <c r="E10696">
        <v>365.23</v>
      </c>
      <c r="F10696">
        <v>0.01</v>
      </c>
    </row>
    <row r="10697" spans="1:6" x14ac:dyDescent="0.3">
      <c r="A10697" t="str">
        <f>HYPERLINK("https://us2.cloudbeds.com/connect/10074733072513#/reservations/31730682413214?display=MXHFFTJ8E&amp;reservation_id=31730682413214", "MXHFFTJ8E")</f>
        <v>MXHFFTJ8E</v>
      </c>
      <c r="B10697" t="s">
        <v>1610</v>
      </c>
      <c r="C10697">
        <v>139</v>
      </c>
      <c r="D10697">
        <v>151.1</v>
      </c>
      <c r="E10697">
        <v>151.09</v>
      </c>
      <c r="F10697">
        <v>0.01</v>
      </c>
    </row>
    <row r="10698" spans="1:6" x14ac:dyDescent="0.3">
      <c r="A10698" t="str">
        <f>HYPERLINK("https://us2.cloudbeds.com/connect/10074733072513#/reservations/31713377996945?display=MX42ABMRS&amp;reservation_id=31713377996945", "MX42ABMRS")</f>
        <v>MX42ABMRS</v>
      </c>
      <c r="B10698" t="s">
        <v>1649</v>
      </c>
      <c r="C10698">
        <v>696</v>
      </c>
      <c r="D10698">
        <v>756.56</v>
      </c>
      <c r="E10698">
        <v>756.55</v>
      </c>
      <c r="F10698">
        <v>0.01</v>
      </c>
    </row>
    <row r="10699" spans="1:6" x14ac:dyDescent="0.3">
      <c r="A10699" t="str">
        <f>HYPERLINK("https://us2.cloudbeds.com/connect/10074733072513#/reservations/31734675439758?display=MXKXGUE9Q&amp;reservation_id=31734675439758", "MXKXGUE9Q")</f>
        <v>MXKXGUE9Q</v>
      </c>
      <c r="B10699" t="s">
        <v>1638</v>
      </c>
      <c r="C10699">
        <v>278</v>
      </c>
      <c r="D10699">
        <v>302.2</v>
      </c>
      <c r="E10699">
        <v>302.19</v>
      </c>
      <c r="F10699">
        <v>0.01</v>
      </c>
    </row>
    <row r="10700" spans="1:6" x14ac:dyDescent="0.3">
      <c r="A10700" t="str">
        <f>HYPERLINK("https://us2.cloudbeds.com/connect/10074733072513#/reservations/31733085065426?display=MXJASSUF7&amp;reservation_id=31733085065426", "MXJASSUF7")</f>
        <v>MXJASSUF7</v>
      </c>
      <c r="B10700" t="s">
        <v>1605</v>
      </c>
      <c r="C10700">
        <v>129</v>
      </c>
      <c r="D10700">
        <v>140.22999999999999</v>
      </c>
      <c r="E10700">
        <v>140.22</v>
      </c>
      <c r="F10700">
        <v>0.01</v>
      </c>
    </row>
    <row r="10701" spans="1:6" x14ac:dyDescent="0.3">
      <c r="A10701" t="str">
        <f>HYPERLINK("https://us2.cloudbeds.com/connect/10074733072513#/reservations/31734772924557?display=MXKY0430K&amp;reservation_id=31734772924557", "MXKY0430K")</f>
        <v>MXKY0430K</v>
      </c>
      <c r="B10701" t="s">
        <v>1610</v>
      </c>
      <c r="C10701">
        <v>129</v>
      </c>
      <c r="D10701">
        <v>140.22999999999999</v>
      </c>
      <c r="E10701">
        <v>140.22</v>
      </c>
      <c r="F10701">
        <v>0.01</v>
      </c>
    </row>
    <row r="10702" spans="1:6" x14ac:dyDescent="0.3">
      <c r="A10702" t="str">
        <f>HYPERLINK("https://us2.cloudbeds.com/connect/10074733072513#/reservations/31729577087108?display=MXGK7S8DV&amp;reservation_id=31729577087108", "MXGK7S8DV")</f>
        <v>MXGK7S8DV</v>
      </c>
      <c r="B10702" t="s">
        <v>1444</v>
      </c>
      <c r="C10702">
        <v>189</v>
      </c>
      <c r="D10702">
        <v>205.45</v>
      </c>
      <c r="E10702">
        <v>205.44</v>
      </c>
      <c r="F10702">
        <v>0.01</v>
      </c>
    </row>
    <row r="10703" spans="1:6" x14ac:dyDescent="0.3">
      <c r="A10703" t="str">
        <f>HYPERLINK("https://us2.cloudbeds.com/connect/10074733072513#/reservations/31730432299259?display=MXH92WQ6M&amp;reservation_id=31730432299259", "MXH92WQ6M")</f>
        <v>MXH92WQ6M</v>
      </c>
      <c r="B10703" t="s">
        <v>1635</v>
      </c>
      <c r="C10703">
        <v>497</v>
      </c>
      <c r="D10703">
        <v>540.25</v>
      </c>
      <c r="E10703">
        <v>540.24</v>
      </c>
      <c r="F10703">
        <v>0.01</v>
      </c>
    </row>
    <row r="10704" spans="1:6" x14ac:dyDescent="0.3">
      <c r="A10704" t="str">
        <f>HYPERLINK("https://us2.cloudbeds.com/connect/10074733072513#/reservations/31730403119329?display=MXH8BCR1C&amp;reservation_id=31730403119329", "MXH8BCR1C")</f>
        <v>MXH8BCR1C</v>
      </c>
      <c r="B10704" t="s">
        <v>1635</v>
      </c>
      <c r="C10704">
        <v>432</v>
      </c>
      <c r="D10704">
        <v>469.59</v>
      </c>
      <c r="E10704">
        <v>469.58</v>
      </c>
      <c r="F10704">
        <v>0.01</v>
      </c>
    </row>
    <row r="10705" spans="1:6" x14ac:dyDescent="0.3">
      <c r="A10705" t="str">
        <f>HYPERLINK("https://us2.cloudbeds.com/connect/10074733072513#/reservations/31734567645334?display=MXKFP0TH3&amp;reservation_id=31734567645334", "MXKFP0TH3")</f>
        <v>MXKFP0TH3</v>
      </c>
      <c r="B10705" t="s">
        <v>1613</v>
      </c>
      <c r="C10705">
        <v>129</v>
      </c>
      <c r="D10705">
        <v>140.22999999999999</v>
      </c>
      <c r="E10705">
        <v>140.22</v>
      </c>
      <c r="F10705">
        <v>0.01</v>
      </c>
    </row>
    <row r="10706" spans="1:6" x14ac:dyDescent="0.3">
      <c r="A10706" t="str">
        <f>HYPERLINK("https://us2.cloudbeds.com/connect/10074733072513#/reservations/31734850609375?display=MXKMWKPV0&amp;reservation_id=31734850609375", "MXKMWKPV0")</f>
        <v>MXKMWKPV0</v>
      </c>
      <c r="B10706" t="s">
        <v>1610</v>
      </c>
      <c r="C10706">
        <v>105.78</v>
      </c>
      <c r="D10706">
        <v>114.99</v>
      </c>
      <c r="E10706">
        <v>114.98</v>
      </c>
      <c r="F10706">
        <v>0.01</v>
      </c>
    </row>
    <row r="10707" spans="1:6" x14ac:dyDescent="0.3">
      <c r="A10707" t="str">
        <f>HYPERLINK("https://us2.cloudbeds.com/connect/10074733072513#/reservations/31728467386511?display=MXFZT46K4&amp;reservation_id=31728467386511", "MXFZT46K4")</f>
        <v>MXFZT46K4</v>
      </c>
      <c r="B10707" t="s">
        <v>1618</v>
      </c>
      <c r="C10707">
        <v>129</v>
      </c>
      <c r="D10707">
        <v>140.22999999999999</v>
      </c>
      <c r="E10707">
        <v>140.22</v>
      </c>
      <c r="F10707">
        <v>0.01</v>
      </c>
    </row>
    <row r="10708" spans="1:6" x14ac:dyDescent="0.3">
      <c r="A10708" t="str">
        <f>HYPERLINK("https://us2.cloudbeds.com/connect/10074733072513#/reservations/31727861305488?display=MXF9D23CH&amp;reservation_id=31727861305488", "MXF9D23CH")</f>
        <v>MXF9D23CH</v>
      </c>
      <c r="B10708" t="s">
        <v>1639</v>
      </c>
      <c r="C10708">
        <v>139</v>
      </c>
      <c r="D10708">
        <v>151.1</v>
      </c>
      <c r="E10708">
        <v>151.09</v>
      </c>
      <c r="F10708">
        <v>0.01</v>
      </c>
    </row>
    <row r="10709" spans="1:6" x14ac:dyDescent="0.3">
      <c r="A10709" t="str">
        <f>HYPERLINK("https://us2.cloudbeds.com/connect/10074733072513#/reservations/31731708919940?display=MXX8NFYAS&amp;reservation_id=31731708919940", "MXX8NFYAS")</f>
        <v>MXX8NFYAS</v>
      </c>
      <c r="B10709" t="s">
        <v>1638</v>
      </c>
      <c r="C10709">
        <v>258</v>
      </c>
      <c r="D10709">
        <v>280.45999999999998</v>
      </c>
      <c r="E10709">
        <v>280.45</v>
      </c>
      <c r="F10709">
        <v>0.01</v>
      </c>
    </row>
    <row r="10710" spans="1:6" x14ac:dyDescent="0.3">
      <c r="A10710" t="str">
        <f>HYPERLINK("https://us2.cloudbeds.com/connect/10074733072513#/reservations/31733106503826?display=MXJBDVFPM&amp;reservation_id=31733106503826", "MXJBDVFPM")</f>
        <v>MXJBDVFPM</v>
      </c>
      <c r="B10710" t="s">
        <v>1605</v>
      </c>
      <c r="C10710">
        <v>139</v>
      </c>
      <c r="D10710">
        <v>151.1</v>
      </c>
      <c r="E10710">
        <v>151.09</v>
      </c>
      <c r="F10710">
        <v>0.01</v>
      </c>
    </row>
    <row r="10711" spans="1:6" x14ac:dyDescent="0.3">
      <c r="A10711" t="str">
        <f>HYPERLINK("https://us2.cloudbeds.com/connect/10074733072513#/reservations/31731115311260?display=MXHQHUK41&amp;reservation_id=31731115311260", "MXHQHUK41")</f>
        <v>MXHQHUK41</v>
      </c>
      <c r="B10711" t="s">
        <v>1600</v>
      </c>
      <c r="C10711">
        <v>418</v>
      </c>
      <c r="D10711">
        <v>454.38</v>
      </c>
      <c r="E10711">
        <v>454.37</v>
      </c>
      <c r="F10711">
        <v>0.01</v>
      </c>
    </row>
    <row r="10712" spans="1:6" x14ac:dyDescent="0.3">
      <c r="A10712" t="str">
        <f>HYPERLINK("https://us2.cloudbeds.com/connect/10074733072513#/reservations/31735498232009?display=MXY6HNRZ9&amp;reservation_id=31735498232009", "MXY6HNRZ9")</f>
        <v>MXY6HNRZ9</v>
      </c>
      <c r="B10712" t="s">
        <v>1613</v>
      </c>
      <c r="C10712">
        <v>169</v>
      </c>
      <c r="D10712">
        <v>183.71</v>
      </c>
      <c r="E10712">
        <v>183.7</v>
      </c>
      <c r="F10712">
        <v>0.01</v>
      </c>
    </row>
    <row r="10713" spans="1:6" x14ac:dyDescent="0.3">
      <c r="A10713" t="str">
        <f>HYPERLINK("https://us2.cloudbeds.com/connect/10074733072513#/reservations/31732730933384?display=MXJ1R8MB5&amp;reservation_id=31732730933384", "MXJ1R8MB5")</f>
        <v>MXJ1R8MB5</v>
      </c>
      <c r="B10713" t="s">
        <v>1600</v>
      </c>
      <c r="C10713">
        <v>219</v>
      </c>
      <c r="D10713">
        <v>238.06</v>
      </c>
      <c r="E10713">
        <v>238.05</v>
      </c>
      <c r="F10713">
        <v>0.01</v>
      </c>
    </row>
    <row r="10714" spans="1:6" x14ac:dyDescent="0.3">
      <c r="A10714" t="str">
        <f>HYPERLINK("https://us2.cloudbeds.com/connect/10074733072513#/reservations/31732779221203?display=MXJ31WBPF&amp;reservation_id=31732779221203", "MXJ31WBPF")</f>
        <v>MXJ31WBPF</v>
      </c>
      <c r="B10714" t="s">
        <v>1600</v>
      </c>
      <c r="C10714">
        <v>221.72</v>
      </c>
      <c r="D10714">
        <v>241.02</v>
      </c>
      <c r="E10714">
        <v>241.01</v>
      </c>
      <c r="F10714">
        <v>0.01</v>
      </c>
    </row>
    <row r="10715" spans="1:6" x14ac:dyDescent="0.3">
      <c r="A10715" t="str">
        <f>HYPERLINK("https://us2.cloudbeds.com/connect/10074733072513#/reservations/31732831887523?display=MXJ4DCSSX&amp;reservation_id=31732831887523", "MXJ4DCSSX")</f>
        <v>MXJ4DCSSX</v>
      </c>
      <c r="B10715" t="s">
        <v>1638</v>
      </c>
      <c r="C10715">
        <v>129</v>
      </c>
      <c r="D10715">
        <v>140.22999999999999</v>
      </c>
      <c r="E10715">
        <v>140.22</v>
      </c>
      <c r="F10715">
        <v>0.01</v>
      </c>
    </row>
    <row r="10716" spans="1:6" x14ac:dyDescent="0.3">
      <c r="A10716" t="str">
        <f>HYPERLINK("https://us2.cloudbeds.com/connect/10074733072513#/reservations/31732831891616?display=MXJ4DCWKJ&amp;reservation_id=31732831891616", "MXJ4DCWKJ")</f>
        <v>MXJ4DCWKJ</v>
      </c>
      <c r="B10716" t="s">
        <v>1638</v>
      </c>
      <c r="C10716">
        <v>123</v>
      </c>
      <c r="D10716">
        <v>133.71</v>
      </c>
      <c r="E10716">
        <v>133.69999999999999</v>
      </c>
      <c r="F10716">
        <v>0.01</v>
      </c>
    </row>
    <row r="10717" spans="1:6" x14ac:dyDescent="0.3">
      <c r="A10717" t="str">
        <f>HYPERLINK("https://us2.cloudbeds.com/connect/10074733072513#/reservations/31733372109007?display=MXJX6UB0X&amp;reservation_id=31733372109007", "MXJX6UB0X")</f>
        <v>MXJX6UB0X</v>
      </c>
      <c r="B10717" t="s">
        <v>1608</v>
      </c>
      <c r="C10717">
        <v>169</v>
      </c>
      <c r="D10717">
        <v>183.71</v>
      </c>
      <c r="E10717">
        <v>183.7</v>
      </c>
      <c r="F10717">
        <v>0.01</v>
      </c>
    </row>
    <row r="10718" spans="1:6" x14ac:dyDescent="0.3">
      <c r="A10718" t="str">
        <f>HYPERLINK("https://us2.cloudbeds.com/connect/10074733072513#/reservations/31733485240509?display=MXJY3ACMT&amp;reservation_id=31733485240509", "MXJY3ACMT")</f>
        <v>MXJY3ACMT</v>
      </c>
      <c r="B10718" t="s">
        <v>1650</v>
      </c>
      <c r="C10718">
        <v>261.08</v>
      </c>
      <c r="D10718">
        <v>283.8</v>
      </c>
      <c r="E10718">
        <v>283.79000000000002</v>
      </c>
      <c r="F10718">
        <v>0.01</v>
      </c>
    </row>
    <row r="10719" spans="1:6" x14ac:dyDescent="0.3">
      <c r="A10719" t="str">
        <f>HYPERLINK("https://us2.cloudbeds.com/connect/10074733072513#/reservations/31733640876188?display=MXJP2X5RJ&amp;reservation_id=31733640876188", "MXJP2X5RJ")</f>
        <v>MXJP2X5RJ</v>
      </c>
      <c r="B10719" t="s">
        <v>1651</v>
      </c>
      <c r="C10719">
        <v>329.88</v>
      </c>
      <c r="D10719">
        <v>358.59</v>
      </c>
      <c r="E10719">
        <v>358.58</v>
      </c>
      <c r="F10719">
        <v>0.01</v>
      </c>
    </row>
    <row r="10720" spans="1:6" x14ac:dyDescent="0.3">
      <c r="A10720" t="str">
        <f>HYPERLINK("https://us2.cloudbeds.com/connect/10074733072513#/reservations/31730842525862?display=MXHJXTVFS&amp;reservation_id=31730842525862", "MXHJXTVFS")</f>
        <v>MXHJXTVFS</v>
      </c>
      <c r="B10720" t="s">
        <v>1537</v>
      </c>
      <c r="C10720">
        <v>418</v>
      </c>
      <c r="D10720">
        <v>454.38</v>
      </c>
      <c r="E10720">
        <v>454.37</v>
      </c>
      <c r="F10720">
        <v>0.01</v>
      </c>
    </row>
    <row r="10721" spans="1:6" x14ac:dyDescent="0.3">
      <c r="A10721" t="str">
        <f>HYPERLINK("https://us2.cloudbeds.com/connect/10074733072513#/reservations/31728415174807?display=MXFNX3AW9&amp;reservation_id=31728415174807", "MXFNX3AW9")</f>
        <v>MXFNX3AW9</v>
      </c>
      <c r="B10721" t="s">
        <v>1604</v>
      </c>
      <c r="C10721">
        <v>338</v>
      </c>
      <c r="D10721">
        <v>367.42</v>
      </c>
      <c r="E10721">
        <v>367.41</v>
      </c>
      <c r="F10721">
        <v>0.01</v>
      </c>
    </row>
    <row r="10722" spans="1:6" x14ac:dyDescent="0.3">
      <c r="A10722" t="str">
        <f>HYPERLINK("https://us2.cloudbeds.com/connect/10074733072513#/reservations/31734706680001?display=MXKJA8ZCR&amp;reservation_id=31734706680001", "MXKJA8ZCR")</f>
        <v>MXKJA8ZCR</v>
      </c>
      <c r="B10722" t="s">
        <v>1638</v>
      </c>
      <c r="C10722">
        <v>159</v>
      </c>
      <c r="D10722">
        <v>172.84</v>
      </c>
      <c r="E10722">
        <v>172.83</v>
      </c>
      <c r="F10722">
        <v>0.01</v>
      </c>
    </row>
    <row r="10723" spans="1:6" x14ac:dyDescent="0.3">
      <c r="A10723" t="str">
        <f>HYPERLINK("https://us2.cloudbeds.com/connect/10074733072513#/reservations/31724120014976?display=MXCCHXBWY&amp;reservation_id=31724120014976", "MXCCHXBWY")</f>
        <v>MXCCHXBWY</v>
      </c>
      <c r="B10723" t="s">
        <v>1652</v>
      </c>
      <c r="C10723">
        <v>179</v>
      </c>
      <c r="D10723">
        <v>194.58</v>
      </c>
      <c r="E10723">
        <v>194.57</v>
      </c>
      <c r="F10723">
        <v>0.01</v>
      </c>
    </row>
    <row r="10724" spans="1:6" x14ac:dyDescent="0.3">
      <c r="A10724" t="str">
        <f>HYPERLINK("https://us2.cloudbeds.com/connect/10074733072513#/reservations/31724158165218?display=MXCDPFP8N&amp;reservation_id=31724158165218", "MXCDPFP8N")</f>
        <v>MXCDPFP8N</v>
      </c>
      <c r="B10724" t="s">
        <v>1652</v>
      </c>
      <c r="C10724">
        <v>179</v>
      </c>
      <c r="D10724">
        <v>194.58</v>
      </c>
      <c r="E10724">
        <v>194.57</v>
      </c>
      <c r="F10724">
        <v>0.01</v>
      </c>
    </row>
    <row r="10725" spans="1:6" x14ac:dyDescent="0.3">
      <c r="A10725" t="str">
        <f>HYPERLINK("https://us2.cloudbeds.com/connect/10074733072513#/reservations/31732001313005?display=MXXG60U5P&amp;reservation_id=31732001313005", "MXXG60U5P")</f>
        <v>MXXG60U5P</v>
      </c>
      <c r="B10725" t="s">
        <v>1643</v>
      </c>
      <c r="C10725">
        <v>129</v>
      </c>
      <c r="D10725">
        <v>140.22999999999999</v>
      </c>
      <c r="E10725">
        <v>140.22</v>
      </c>
      <c r="F10725">
        <v>0.01</v>
      </c>
    </row>
    <row r="10726" spans="1:6" x14ac:dyDescent="0.3">
      <c r="A10726" t="str">
        <f>HYPERLINK("https://us2.cloudbeds.com/connect/10074733072513#/reservations/31733491077272?display=MXJY87QEG&amp;reservation_id=31733491077272", "MXJY87QEG")</f>
        <v>MXJY87QEG</v>
      </c>
      <c r="B10726" t="s">
        <v>1650</v>
      </c>
      <c r="C10726">
        <v>139</v>
      </c>
      <c r="D10726">
        <v>151.1</v>
      </c>
      <c r="E10726">
        <v>151.09</v>
      </c>
      <c r="F10726">
        <v>0.01</v>
      </c>
    </row>
    <row r="10727" spans="1:6" x14ac:dyDescent="0.3">
      <c r="A10727" t="str">
        <f>HYPERLINK("https://us2.cloudbeds.com/connect/10074733072513#/reservations/31726654685334?display=MXEBXK3TE&amp;reservation_id=31726654685334", "MXEBXK3TE")</f>
        <v>MXEBXK3TE</v>
      </c>
      <c r="B10727" t="s">
        <v>1653</v>
      </c>
      <c r="C10727">
        <v>199</v>
      </c>
      <c r="D10727">
        <v>216.32</v>
      </c>
      <c r="E10727">
        <v>216.31</v>
      </c>
      <c r="F10727">
        <v>0.01</v>
      </c>
    </row>
    <row r="10728" spans="1:6" x14ac:dyDescent="0.3">
      <c r="A10728" t="str">
        <f>HYPERLINK("https://us2.cloudbeds.com/connect/10074733072513#/reservations/31726937428184?display=MXEXQ0S6J&amp;reservation_id=31726937428184", "MXEXQ0S6J")</f>
        <v>MXEXQ0S6J</v>
      </c>
      <c r="B10728" t="s">
        <v>1647</v>
      </c>
      <c r="C10728">
        <v>129</v>
      </c>
      <c r="D10728">
        <v>140.22999999999999</v>
      </c>
      <c r="E10728">
        <v>140.22</v>
      </c>
      <c r="F10728">
        <v>0.01</v>
      </c>
    </row>
    <row r="10729" spans="1:6" x14ac:dyDescent="0.3">
      <c r="A10729" t="str">
        <f>HYPERLINK("https://us2.cloudbeds.com/connect/10074733072513#/reservations/31730641076385?display=MXHEE1AZ8&amp;reservation_id=31730641076385", "MXHEE1AZ8")</f>
        <v>MXHEE1AZ8</v>
      </c>
      <c r="B10729" t="s">
        <v>1638</v>
      </c>
      <c r="C10729">
        <v>129</v>
      </c>
      <c r="D10729">
        <v>140.22999999999999</v>
      </c>
      <c r="E10729">
        <v>140.22</v>
      </c>
      <c r="F10729">
        <v>0.01</v>
      </c>
    </row>
    <row r="10730" spans="1:6" x14ac:dyDescent="0.3">
      <c r="A10730" t="str">
        <f>HYPERLINK("https://us2.cloudbeds.com/connect/10074733072513#/reservations/31730654855313?display=MXHEPYZXH&amp;reservation_id=31730654855313", "MXHEPYZXH")</f>
        <v>MXHEPYZXH</v>
      </c>
      <c r="B10730" t="s">
        <v>1638</v>
      </c>
      <c r="C10730">
        <v>159</v>
      </c>
      <c r="D10730">
        <v>172.84</v>
      </c>
      <c r="E10730">
        <v>172.83</v>
      </c>
      <c r="F10730">
        <v>0.01</v>
      </c>
    </row>
    <row r="10731" spans="1:6" x14ac:dyDescent="0.3">
      <c r="A10731" t="str">
        <f>HYPERLINK("https://us2.cloudbeds.com/connect/10074733072513#/reservations/31733100507330?display=MXJB8TKBN&amp;reservation_id=31733100507330", "MXJB8TKBN")</f>
        <v>MXJB8TKBN</v>
      </c>
      <c r="B10731" t="s">
        <v>1605</v>
      </c>
      <c r="C10731">
        <v>278</v>
      </c>
      <c r="D10731">
        <v>302.2</v>
      </c>
      <c r="E10731">
        <v>302.19</v>
      </c>
      <c r="F10731">
        <v>0.01</v>
      </c>
    </row>
    <row r="10732" spans="1:6" x14ac:dyDescent="0.3">
      <c r="A10732" t="str">
        <f>HYPERLINK("https://us2.cloudbeds.com/connect/10074733072513#/reservations/31734456463567?display=MXKCU937Y&amp;reservation_id=31734456463567", "MXKCU937Y")</f>
        <v>MXKCU937Y</v>
      </c>
      <c r="B10732" t="s">
        <v>1600</v>
      </c>
      <c r="C10732">
        <v>498</v>
      </c>
      <c r="D10732">
        <v>541.34</v>
      </c>
      <c r="E10732">
        <v>541.33000000000004</v>
      </c>
      <c r="F10732">
        <v>0.01</v>
      </c>
    </row>
    <row r="10733" spans="1:6" x14ac:dyDescent="0.3">
      <c r="A10733" t="str">
        <f>HYPERLINK("https://us2.cloudbeds.com/connect/10074733072513#/reservations/31729273249969?display=MXGCFYHPU&amp;reservation_id=31729273249969", "MXGCFYHPU")</f>
        <v>MXGCFYHPU</v>
      </c>
      <c r="B10733" t="s">
        <v>1621</v>
      </c>
      <c r="C10733">
        <v>159</v>
      </c>
      <c r="D10733">
        <v>172.84</v>
      </c>
      <c r="E10733">
        <v>172.83</v>
      </c>
      <c r="F10733">
        <v>0.01</v>
      </c>
    </row>
    <row r="10734" spans="1:6" x14ac:dyDescent="0.3">
      <c r="A10734" t="str">
        <f>HYPERLINK("https://us2.cloudbeds.com/connect/10074733072513#/reservations/31733735968903?display=MXJRGZ8W0&amp;reservation_id=31733735968903", "MXJRGZ8W0")</f>
        <v>MXJRGZ8W0</v>
      </c>
      <c r="B10734" t="s">
        <v>1632</v>
      </c>
      <c r="C10734">
        <v>258</v>
      </c>
      <c r="D10734">
        <v>280.45999999999998</v>
      </c>
      <c r="E10734">
        <v>280.45</v>
      </c>
      <c r="F10734">
        <v>0.01</v>
      </c>
    </row>
    <row r="10735" spans="1:6" x14ac:dyDescent="0.3">
      <c r="A10735" t="str">
        <f>HYPERLINK("https://us2.cloudbeds.com/connect/10074733072513#/reservations/31732769358014?display=MXJ2QYTYV&amp;reservation_id=31732769358014", "MXJ2QYTYV")</f>
        <v>MXJ2QYTYV</v>
      </c>
      <c r="B10735" t="s">
        <v>1600</v>
      </c>
      <c r="C10735">
        <v>229</v>
      </c>
      <c r="D10735">
        <v>248.93</v>
      </c>
      <c r="E10735">
        <v>248.92</v>
      </c>
      <c r="F10735">
        <v>0.01</v>
      </c>
    </row>
    <row r="10736" spans="1:6" x14ac:dyDescent="0.3">
      <c r="A10736" t="str">
        <f>HYPERLINK("https://us2.cloudbeds.com/connect/10074733072513#/reservations/31733527216266?display=MXJM5NDUG&amp;reservation_id=31733527216266", "MXJM5NDUG")</f>
        <v>MXJM5NDUG</v>
      </c>
      <c r="B10736" t="s">
        <v>1650</v>
      </c>
      <c r="C10736">
        <v>129</v>
      </c>
      <c r="D10736">
        <v>140.22999999999999</v>
      </c>
      <c r="E10736">
        <v>140.22</v>
      </c>
      <c r="F10736">
        <v>0.01</v>
      </c>
    </row>
    <row r="10737" spans="1:6" x14ac:dyDescent="0.3">
      <c r="A10737" t="str">
        <f>HYPERLINK("https://us2.cloudbeds.com/connect/10074733072513#/reservations/31726930727101?display=MXEXKCCPF&amp;reservation_id=31726930727101", "MXEXKCCPF")</f>
        <v>MXEXKCCPF</v>
      </c>
      <c r="B10737" t="s">
        <v>1647</v>
      </c>
      <c r="C10737">
        <v>318</v>
      </c>
      <c r="D10737">
        <v>345.68</v>
      </c>
      <c r="E10737">
        <v>345.67</v>
      </c>
      <c r="F10737">
        <v>0.01</v>
      </c>
    </row>
    <row r="10738" spans="1:6" x14ac:dyDescent="0.3">
      <c r="A10738" t="str">
        <f>HYPERLINK("https://us2.cloudbeds.com/connect/10074733072513#/reservations/31726996041869?display=MXEK9ESJS&amp;reservation_id=31726996041869", "MXEK9ESJS")</f>
        <v>MXEK9ESJS</v>
      </c>
      <c r="B10738" t="s">
        <v>1650</v>
      </c>
      <c r="C10738">
        <v>129</v>
      </c>
      <c r="D10738">
        <v>140.22999999999999</v>
      </c>
      <c r="E10738">
        <v>140.22</v>
      </c>
      <c r="F10738">
        <v>0.01</v>
      </c>
    </row>
    <row r="10739" spans="1:6" x14ac:dyDescent="0.3">
      <c r="A10739" t="str">
        <f>HYPERLINK("https://us2.cloudbeds.com/connect/10074733072513#/reservations/31735742234756?display=MXYCPFJ0V&amp;reservation_id=31735742234756", "MXYCPFJ0V")</f>
        <v>MXYCPFJ0V</v>
      </c>
      <c r="B10739" t="s">
        <v>1608</v>
      </c>
      <c r="C10739">
        <v>249</v>
      </c>
      <c r="D10739">
        <v>270.67</v>
      </c>
      <c r="E10739">
        <v>270.66000000000003</v>
      </c>
      <c r="F10739">
        <v>0.01</v>
      </c>
    </row>
    <row r="10740" spans="1:6" x14ac:dyDescent="0.3">
      <c r="A10740" t="str">
        <f>HYPERLINK("https://us2.cloudbeds.com/connect/10074733072513#/reservations/31735732588718?display=MXYCHB5AP&amp;reservation_id=31735732588718", "MXYCHB5AP")</f>
        <v>MXYCHB5AP</v>
      </c>
      <c r="B10740" t="s">
        <v>1608</v>
      </c>
      <c r="C10740">
        <v>219</v>
      </c>
      <c r="D10740">
        <v>238.06</v>
      </c>
      <c r="E10740">
        <v>238.05</v>
      </c>
      <c r="F10740">
        <v>0.01</v>
      </c>
    </row>
    <row r="10741" spans="1:6" x14ac:dyDescent="0.3">
      <c r="A10741" t="str">
        <f>HYPERLINK("https://us2.cloudbeds.com/connect/10074733072513#/reservations/31731877425370?display=MXXD0XXE0&amp;reservation_id=31731877425370", "MXXD0XXE0")</f>
        <v>MXXD0XXE0</v>
      </c>
      <c r="B10741" t="s">
        <v>1577</v>
      </c>
      <c r="C10741">
        <v>159</v>
      </c>
      <c r="D10741">
        <v>172.84</v>
      </c>
      <c r="E10741">
        <v>172.83</v>
      </c>
      <c r="F10741">
        <v>0.01</v>
      </c>
    </row>
    <row r="10742" spans="1:6" x14ac:dyDescent="0.3">
      <c r="A10742" t="str">
        <f>HYPERLINK("https://us2.cloudbeds.com/connect/10074733072513#/reservations/31734567649430?display=MXKFP1097&amp;reservation_id=31734567649430", "MXKFP1097")</f>
        <v>MXKFP1097</v>
      </c>
      <c r="B10742" t="s">
        <v>1613</v>
      </c>
      <c r="C10742">
        <v>139</v>
      </c>
      <c r="D10742">
        <v>151.1</v>
      </c>
      <c r="E10742">
        <v>151.09</v>
      </c>
      <c r="F10742">
        <v>0.01</v>
      </c>
    </row>
    <row r="10743" spans="1:6" x14ac:dyDescent="0.3">
      <c r="A10743" t="str">
        <f>HYPERLINK("https://us2.cloudbeds.com/connect/10074733072513#/reservations/31724724236448?display=MXCS7QHXB&amp;reservation_id=31724724236448", "MXCS7QHXB")</f>
        <v>MXCS7QHXB</v>
      </c>
      <c r="B10743" t="s">
        <v>1654</v>
      </c>
      <c r="C10743">
        <v>159</v>
      </c>
      <c r="D10743">
        <v>172.84</v>
      </c>
      <c r="E10743">
        <v>172.83</v>
      </c>
      <c r="F10743">
        <v>0.01</v>
      </c>
    </row>
    <row r="10744" spans="1:6" x14ac:dyDescent="0.3">
      <c r="A10744" t="str">
        <f>HYPERLINK("https://us2.cloudbeds.com/connect/10074733072513#/reservations/31731669401740?display=MXX7N4WQY&amp;reservation_id=31731669401740", "MXX7N4WQY")</f>
        <v>MXX7N4WQY</v>
      </c>
      <c r="B10744" t="s">
        <v>1614</v>
      </c>
      <c r="C10744">
        <v>129</v>
      </c>
      <c r="D10744">
        <v>140.22999999999999</v>
      </c>
      <c r="E10744">
        <v>140.22</v>
      </c>
      <c r="F10744">
        <v>0.01</v>
      </c>
    </row>
    <row r="10745" spans="1:6" x14ac:dyDescent="0.3">
      <c r="A10745" t="str">
        <f>HYPERLINK("https://us2.cloudbeds.com/connect/10074733072513#/reservations/31733547712673?display=MXJMMWP7P&amp;reservation_id=31733547712673", "MXJMMWP7P")</f>
        <v>MXJMMWP7P</v>
      </c>
      <c r="B10745" t="s">
        <v>1650</v>
      </c>
      <c r="C10745">
        <v>129</v>
      </c>
      <c r="D10745">
        <v>140.22999999999999</v>
      </c>
      <c r="E10745">
        <v>140.22</v>
      </c>
      <c r="F10745">
        <v>0.01</v>
      </c>
    </row>
    <row r="10746" spans="1:6" x14ac:dyDescent="0.3">
      <c r="A10746" t="str">
        <f>HYPERLINK("https://us2.cloudbeds.com/connect/10074733072513#/reservations/31726132404358?display=MXDV76T15&amp;reservation_id=31726132404358", "MXDV76T15")</f>
        <v>MXDV76T15</v>
      </c>
      <c r="B10746" t="s">
        <v>1566</v>
      </c>
      <c r="C10746">
        <v>358</v>
      </c>
      <c r="D10746">
        <v>389.16</v>
      </c>
      <c r="E10746">
        <v>389.15</v>
      </c>
      <c r="F10746">
        <v>0.01</v>
      </c>
    </row>
    <row r="10747" spans="1:6" x14ac:dyDescent="0.3">
      <c r="A10747" t="str">
        <f>HYPERLINK("https://us2.cloudbeds.com/connect/10074733072513#/reservations/31728191496350?display=MXFHRG4V7&amp;reservation_id=31728191496350", "MXFHRG4V7")</f>
        <v>MXFHRG4V7</v>
      </c>
      <c r="B10747" t="s">
        <v>1655</v>
      </c>
      <c r="C10747">
        <v>129</v>
      </c>
      <c r="D10747">
        <v>140.22999999999999</v>
      </c>
      <c r="E10747">
        <v>140.22</v>
      </c>
      <c r="F10747">
        <v>0.01</v>
      </c>
    </row>
    <row r="10748" spans="1:6" x14ac:dyDescent="0.3">
      <c r="A10748" t="str">
        <f>HYPERLINK("https://us2.cloudbeds.com/connect/10074733072513#/reservations/31729240813776?display=MXGBY9VFW&amp;reservation_id=31729240813776", "MXGBY9VFW")</f>
        <v>MXGBY9VFW</v>
      </c>
      <c r="B10748" t="s">
        <v>1621</v>
      </c>
      <c r="C10748">
        <v>129</v>
      </c>
      <c r="D10748">
        <v>140.22999999999999</v>
      </c>
      <c r="E10748">
        <v>140.22</v>
      </c>
      <c r="F10748">
        <v>0.01</v>
      </c>
    </row>
    <row r="10749" spans="1:6" x14ac:dyDescent="0.3">
      <c r="A10749" t="str">
        <f>HYPERLINK("https://us2.cloudbeds.com/connect/10074733072513#/reservations/31731640635536?display=MXX6VTHXG&amp;reservation_id=31731640635536", "MXX6VTHXG")</f>
        <v>MXX6VTHXG</v>
      </c>
      <c r="B10749" t="s">
        <v>1614</v>
      </c>
      <c r="C10749">
        <v>129</v>
      </c>
      <c r="D10749">
        <v>140.22999999999999</v>
      </c>
      <c r="E10749">
        <v>140.22</v>
      </c>
      <c r="F10749">
        <v>0.01</v>
      </c>
    </row>
    <row r="10750" spans="1:6" x14ac:dyDescent="0.3">
      <c r="A10750" t="str">
        <f>HYPERLINK("https://us2.cloudbeds.com/connect/10074733072513#/reservations/31733491073179?display=MXJY87MMF&amp;reservation_id=31733491073179", "MXJY87MMF")</f>
        <v>MXJY87MMF</v>
      </c>
      <c r="B10750" t="s">
        <v>1650</v>
      </c>
      <c r="C10750">
        <v>129</v>
      </c>
      <c r="D10750">
        <v>140.22999999999999</v>
      </c>
      <c r="E10750">
        <v>140.22</v>
      </c>
      <c r="F10750">
        <v>0.01</v>
      </c>
    </row>
    <row r="10751" spans="1:6" x14ac:dyDescent="0.3">
      <c r="A10751" t="str">
        <f>HYPERLINK("https://us2.cloudbeds.com/connect/10074733072513#/reservations/31732871377025?display=MXJ5DMZ14&amp;reservation_id=31732871377025", "MXJ5DMZ14")</f>
        <v>MXJ5DMZ14</v>
      </c>
      <c r="B10751" t="s">
        <v>1632</v>
      </c>
      <c r="C10751">
        <v>189</v>
      </c>
      <c r="D10751">
        <v>205.45</v>
      </c>
      <c r="E10751">
        <v>205.44</v>
      </c>
      <c r="F10751">
        <v>0.01</v>
      </c>
    </row>
    <row r="10752" spans="1:6" x14ac:dyDescent="0.3">
      <c r="A10752" t="str">
        <f>HYPERLINK("https://us2.cloudbeds.com/connect/10074733072513#/reservations/31733513928945?display=MXJYRGMHE&amp;reservation_id=31733513928945", "MXJYRGMHE")</f>
        <v>MXJYRGMHE</v>
      </c>
      <c r="B10752" t="s">
        <v>1650</v>
      </c>
      <c r="C10752">
        <v>129</v>
      </c>
      <c r="D10752">
        <v>140.22999999999999</v>
      </c>
      <c r="E10752">
        <v>140.22</v>
      </c>
      <c r="F10752">
        <v>0.01</v>
      </c>
    </row>
    <row r="10753" spans="1:6" x14ac:dyDescent="0.3">
      <c r="A10753" t="str">
        <f>HYPERLINK("https://us2.cloudbeds.com/connect/10074733072513#/reservations/31731323203796?display=MXHVS7HBS&amp;reservation_id=31731323203796", "MXHVS7HBS")</f>
        <v>MXHVS7HBS</v>
      </c>
      <c r="B10753" t="s">
        <v>1577</v>
      </c>
      <c r="C10753">
        <v>252</v>
      </c>
      <c r="D10753">
        <v>273.93</v>
      </c>
      <c r="E10753">
        <v>273.92</v>
      </c>
      <c r="F10753">
        <v>0.01</v>
      </c>
    </row>
    <row r="10754" spans="1:6" x14ac:dyDescent="0.3">
      <c r="A10754" t="str">
        <f>HYPERLINK("https://us2.cloudbeds.com/connect/10074733072513#/reservations/31733806338300?display=MXJTA2DAW&amp;reservation_id=31733806338300", "MXJTA2DAW")</f>
        <v>MXJTA2DAW</v>
      </c>
      <c r="B10754" t="s">
        <v>1613</v>
      </c>
      <c r="C10754">
        <v>89</v>
      </c>
      <c r="D10754">
        <v>96.75</v>
      </c>
      <c r="E10754">
        <v>96.74</v>
      </c>
      <c r="F10754">
        <v>0.01</v>
      </c>
    </row>
    <row r="10755" spans="1:6" x14ac:dyDescent="0.3">
      <c r="A10755" t="str">
        <f>HYPERLINK("https://us2.cloudbeds.com/connect/10074733072513#/reservations/31731888251053?display=MXXD9MQC0&amp;reservation_id=31731888251053", "MXXD9MQC0")</f>
        <v>MXXD9MQC0</v>
      </c>
      <c r="B10755" t="s">
        <v>1577</v>
      </c>
      <c r="C10755">
        <v>129</v>
      </c>
      <c r="D10755">
        <v>140.22999999999999</v>
      </c>
      <c r="E10755">
        <v>140.22</v>
      </c>
      <c r="F10755">
        <v>0.01</v>
      </c>
    </row>
    <row r="10756" spans="1:6" x14ac:dyDescent="0.3">
      <c r="A10756" t="str">
        <f>HYPERLINK("https://us2.cloudbeds.com/connect/10074733072513#/reservations/31726905770187?display=MXEHWAUGB&amp;reservation_id=31726905770187", "MXEHWAUGB")</f>
        <v>MXEHWAUGB</v>
      </c>
      <c r="B10756" t="s">
        <v>1647</v>
      </c>
      <c r="C10756">
        <v>102.58</v>
      </c>
      <c r="D10756">
        <v>111.51</v>
      </c>
      <c r="E10756">
        <v>111.5</v>
      </c>
      <c r="F10756">
        <v>0.01</v>
      </c>
    </row>
    <row r="10757" spans="1:6" x14ac:dyDescent="0.3">
      <c r="A10757" t="str">
        <f>HYPERLINK("https://us2.cloudbeds.com/connect/10074733072513#/reservations/31731826245766?display=MXXBNDDHU&amp;reservation_id=31731826245766", "MXXBNDDHU")</f>
        <v>MXXBNDDHU</v>
      </c>
      <c r="B10757" t="s">
        <v>1614</v>
      </c>
      <c r="C10757">
        <v>338</v>
      </c>
      <c r="D10757">
        <v>367.42</v>
      </c>
      <c r="E10757">
        <v>367.41</v>
      </c>
      <c r="F10757">
        <v>0.01</v>
      </c>
    </row>
    <row r="10758" spans="1:6" x14ac:dyDescent="0.3">
      <c r="A10758" t="str">
        <f>HYPERLINK("https://us2.cloudbeds.com/connect/10074733072513#/reservations/31731834507481?display=MXXBUCA1U&amp;reservation_id=31731834507481", "MXXBUCA1U")</f>
        <v>MXXBUCA1U</v>
      </c>
      <c r="B10758" t="s">
        <v>1614</v>
      </c>
      <c r="C10758">
        <v>205.16</v>
      </c>
      <c r="D10758">
        <v>223.02</v>
      </c>
      <c r="E10758">
        <v>223.01</v>
      </c>
      <c r="F10758">
        <v>0.01</v>
      </c>
    </row>
    <row r="10759" spans="1:6" x14ac:dyDescent="0.3">
      <c r="A10759" t="str">
        <f>HYPERLINK("https://us2.cloudbeds.com/connect/10074733072513#/reservations/31733798887632?display=MXJT3Q2J4&amp;reservation_id=31733798887632", "MXJT3Q2J4")</f>
        <v>MXJT3Q2J4</v>
      </c>
      <c r="B10759" t="s">
        <v>1613</v>
      </c>
      <c r="C10759">
        <v>402</v>
      </c>
      <c r="D10759">
        <v>436.98</v>
      </c>
      <c r="E10759">
        <v>436.97</v>
      </c>
      <c r="F10759">
        <v>0.01</v>
      </c>
    </row>
    <row r="10760" spans="1:6" x14ac:dyDescent="0.3">
      <c r="A10760" t="str">
        <f>HYPERLINK("https://us2.cloudbeds.com/connect/10074733072513#/reservations/31731851788497?display=MXXCBV5P2&amp;reservation_id=31731851788497", "MXXCBV5P2")</f>
        <v>MXXCBV5P2</v>
      </c>
      <c r="B10760" t="s">
        <v>1614</v>
      </c>
      <c r="C10760">
        <v>205.16</v>
      </c>
      <c r="D10760">
        <v>223.02</v>
      </c>
      <c r="E10760">
        <v>223.01</v>
      </c>
      <c r="F10760">
        <v>0.01</v>
      </c>
    </row>
    <row r="10761" spans="1:6" x14ac:dyDescent="0.3">
      <c r="A10761" t="str">
        <f>HYPERLINK("https://us2.cloudbeds.com/connect/10074733072513#/reservations/31735520805020?display=MXY73ZVUV&amp;reservation_id=31735520805020", "MXY73ZVUV")</f>
        <v>MXY73ZVUV</v>
      </c>
      <c r="B10761" t="s">
        <v>1613</v>
      </c>
      <c r="C10761">
        <v>336</v>
      </c>
      <c r="D10761">
        <v>365.24</v>
      </c>
      <c r="E10761">
        <v>365.23</v>
      </c>
      <c r="F10761">
        <v>0.01</v>
      </c>
    </row>
    <row r="10762" spans="1:6" x14ac:dyDescent="0.3">
      <c r="A10762" t="str">
        <f>HYPERLINK("https://us2.cloudbeds.com/connect/10074733072513#/reservations/31735509684424?display=MXY6RCH66&amp;reservation_id=31735509684424", "MXY6RCH66")</f>
        <v>MXY6RCH66</v>
      </c>
      <c r="B10762" t="s">
        <v>1613</v>
      </c>
      <c r="C10762">
        <v>139</v>
      </c>
      <c r="D10762">
        <v>151.1</v>
      </c>
      <c r="E10762">
        <v>151.09</v>
      </c>
      <c r="F10762">
        <v>0.01</v>
      </c>
    </row>
    <row r="10763" spans="1:6" x14ac:dyDescent="0.3">
      <c r="A10763" t="str">
        <f>HYPERLINK("https://us2.cloudbeds.com/connect/10074733072513#/reservations/31733813432456?display=MXJTG1QND&amp;reservation_id=31733813432456", "MXJTG1QND")</f>
        <v>MXJTG1QND</v>
      </c>
      <c r="B10763" t="s">
        <v>1613</v>
      </c>
      <c r="C10763">
        <v>89</v>
      </c>
      <c r="D10763">
        <v>96.75</v>
      </c>
      <c r="E10763">
        <v>96.74</v>
      </c>
      <c r="F10763">
        <v>0.01</v>
      </c>
    </row>
    <row r="10764" spans="1:6" x14ac:dyDescent="0.3">
      <c r="A10764" t="str">
        <f>HYPERLINK("https://us2.cloudbeds.com/connect/10074733072513#/reservations/31726996037777?display=MXEK9EZRS&amp;reservation_id=31726996037777", "MXEK9EZRS")</f>
        <v>MXEK9EZRS</v>
      </c>
      <c r="B10764" t="s">
        <v>1650</v>
      </c>
      <c r="C10764">
        <v>139</v>
      </c>
      <c r="D10764">
        <v>151.1</v>
      </c>
      <c r="E10764">
        <v>151.09</v>
      </c>
      <c r="F10764">
        <v>0.01</v>
      </c>
    </row>
    <row r="10765" spans="1:6" x14ac:dyDescent="0.3">
      <c r="A10765" t="str">
        <f>HYPERLINK("https://us2.cloudbeds.com/connect/10074733072513#/reservations/31731697303715?display=MXX8DMDF1&amp;reservation_id=31731697303715", "MXX8DMDF1")</f>
        <v>MXX8DMDF1</v>
      </c>
      <c r="B10765" t="s">
        <v>1614</v>
      </c>
      <c r="C10765">
        <v>258</v>
      </c>
      <c r="D10765">
        <v>280.45999999999998</v>
      </c>
      <c r="E10765">
        <v>280.45</v>
      </c>
      <c r="F10765">
        <v>0.01</v>
      </c>
    </row>
    <row r="10766" spans="1:6" x14ac:dyDescent="0.3">
      <c r="A10766" t="str">
        <f>HYPERLINK("https://us2.cloudbeds.com/connect/10074733072513#/reservations/31732948189317?display=MXJ7CF4ZB&amp;reservation_id=31732948189317", "MXJ7CF4ZB")</f>
        <v>MXJ7CF4ZB</v>
      </c>
      <c r="B10766" t="s">
        <v>1632</v>
      </c>
      <c r="C10766">
        <v>260.76</v>
      </c>
      <c r="D10766">
        <v>283.45999999999998</v>
      </c>
      <c r="E10766">
        <v>283.45</v>
      </c>
      <c r="F10766">
        <v>0.01</v>
      </c>
    </row>
    <row r="10767" spans="1:6" x14ac:dyDescent="0.3">
      <c r="A10767" t="str">
        <f>HYPERLINK("https://us2.cloudbeds.com/connect/10074733072513#/reservations/31732234391741?display=MXXM4XM7P&amp;reservation_id=31732234391741", "MXXM4XM7P")</f>
        <v>MXXM4XM7P</v>
      </c>
      <c r="B10767" t="s">
        <v>1605</v>
      </c>
      <c r="C10767">
        <v>178</v>
      </c>
      <c r="D10767">
        <v>193.5</v>
      </c>
      <c r="E10767">
        <v>193.49</v>
      </c>
      <c r="F10767">
        <v>0.01</v>
      </c>
    </row>
    <row r="10768" spans="1:6" x14ac:dyDescent="0.3">
      <c r="A10768" t="str">
        <f>HYPERLINK("https://us2.cloudbeds.com/connect/10074733072513#/reservations/31732469350593?display=MXXS4MZZW&amp;reservation_id=31732469350593", "MXXS4MZZW")</f>
        <v>MXXS4MZZW</v>
      </c>
      <c r="B10768" t="s">
        <v>1647</v>
      </c>
      <c r="C10768">
        <v>149</v>
      </c>
      <c r="D10768">
        <v>161.97</v>
      </c>
      <c r="E10768">
        <v>161.96</v>
      </c>
      <c r="F10768">
        <v>0.01</v>
      </c>
    </row>
    <row r="10769" spans="1:6" x14ac:dyDescent="0.3">
      <c r="A10769" t="str">
        <f>HYPERLINK("https://us2.cloudbeds.com/connect/10074733072513#/reservations/31732504834198?display=MXXT1K4DZ&amp;reservation_id=31732504834198", "MXXT1K4DZ")</f>
        <v>MXXT1K4DZ</v>
      </c>
      <c r="B10769" t="s">
        <v>1614</v>
      </c>
      <c r="C10769">
        <v>73</v>
      </c>
      <c r="D10769">
        <v>79.36</v>
      </c>
      <c r="E10769">
        <v>79.349999999999994</v>
      </c>
      <c r="F10769">
        <v>0.01</v>
      </c>
    </row>
    <row r="10770" spans="1:6" x14ac:dyDescent="0.3">
      <c r="A10770" t="str">
        <f>HYPERLINK("https://us2.cloudbeds.com/connect/10074733072513#/reservations/31732547514592?display=MXXU4JPN0&amp;reservation_id=31732547514592", "MXXU4JPN0")</f>
        <v>MXXU4JPN0</v>
      </c>
      <c r="B10770" t="s">
        <v>1614</v>
      </c>
      <c r="C10770">
        <v>129</v>
      </c>
      <c r="D10770">
        <v>140.22999999999999</v>
      </c>
      <c r="E10770">
        <v>140.22</v>
      </c>
      <c r="F10770">
        <v>0.01</v>
      </c>
    </row>
    <row r="10771" spans="1:6" x14ac:dyDescent="0.3">
      <c r="A10771" t="str">
        <f>HYPERLINK("https://us2.cloudbeds.com/connect/10074733072513#/reservations/31732574523621?display=MXXURCBCE&amp;reservation_id=31732574523621", "MXXURCBCE")</f>
        <v>MXXURCBCE</v>
      </c>
      <c r="B10771" t="s">
        <v>1647</v>
      </c>
      <c r="C10771">
        <v>159</v>
      </c>
      <c r="D10771">
        <v>172.84</v>
      </c>
      <c r="E10771">
        <v>172.83</v>
      </c>
      <c r="F10771">
        <v>0.01</v>
      </c>
    </row>
    <row r="10772" spans="1:6" x14ac:dyDescent="0.3">
      <c r="A10772" t="str">
        <f>HYPERLINK("https://us2.cloudbeds.com/connect/10074733072513#/reservations/31728331075754?display=MXFYD6514&amp;reservation_id=31728331075754", "MXFYD6514")</f>
        <v>MXFYD6514</v>
      </c>
      <c r="B10772" t="s">
        <v>1604</v>
      </c>
      <c r="C10772">
        <v>258</v>
      </c>
      <c r="D10772">
        <v>280.45999999999998</v>
      </c>
      <c r="E10772">
        <v>280.45</v>
      </c>
      <c r="F10772">
        <v>0.01</v>
      </c>
    </row>
    <row r="10773" spans="1:6" x14ac:dyDescent="0.3">
      <c r="A10773" t="str">
        <f>HYPERLINK("https://us2.cloudbeds.com/connect/10074733072513#/reservations/31731640631444?display=MXX6VTDQG&amp;reservation_id=31731640631444", "MXX6VTDQG")</f>
        <v>MXX6VTDQG</v>
      </c>
      <c r="B10773" t="s">
        <v>1614</v>
      </c>
      <c r="C10773">
        <v>129</v>
      </c>
      <c r="D10773">
        <v>140.22999999999999</v>
      </c>
      <c r="E10773">
        <v>140.22</v>
      </c>
      <c r="F10773">
        <v>0.01</v>
      </c>
    </row>
    <row r="10774" spans="1:6" x14ac:dyDescent="0.3">
      <c r="A10774" t="str">
        <f>HYPERLINK("https://us2.cloudbeds.com/connect/10074733072513#/reservations/31731622326501?display=MXX6GF1S8&amp;reservation_id=31731622326501", "MXX6GF1S8")</f>
        <v>MXX6GF1S8</v>
      </c>
      <c r="B10774" t="s">
        <v>1614</v>
      </c>
      <c r="C10774">
        <v>149</v>
      </c>
      <c r="D10774">
        <v>161.97</v>
      </c>
      <c r="E10774">
        <v>161.96</v>
      </c>
      <c r="F10774">
        <v>0.01</v>
      </c>
    </row>
    <row r="10775" spans="1:6" x14ac:dyDescent="0.3">
      <c r="A10775" t="str">
        <f>HYPERLINK("https://us2.cloudbeds.com/connect/10074733072513#/reservations/31731609587964?display=MXX65NJCV&amp;reservation_id=31731609587964", "MXX65NJCV")</f>
        <v>MXX65NJCV</v>
      </c>
      <c r="B10775" t="s">
        <v>1614</v>
      </c>
      <c r="C10775">
        <v>129</v>
      </c>
      <c r="D10775">
        <v>140.22999999999999</v>
      </c>
      <c r="E10775">
        <v>140.22</v>
      </c>
      <c r="F10775">
        <v>0.01</v>
      </c>
    </row>
    <row r="10776" spans="1:6" x14ac:dyDescent="0.3">
      <c r="A10776" t="str">
        <f>HYPERLINK("https://us2.cloudbeds.com/connect/10074733072513#/reservations/31727775305949?display=MXF76X18T&amp;reservation_id=31727775305949", "MXF76X18T")</f>
        <v>MXF76X18T</v>
      </c>
      <c r="B10776" t="s">
        <v>1573</v>
      </c>
      <c r="C10776">
        <v>418</v>
      </c>
      <c r="D10776">
        <v>454.38</v>
      </c>
      <c r="E10776">
        <v>454.37</v>
      </c>
      <c r="F10776">
        <v>0.01</v>
      </c>
    </row>
    <row r="10777" spans="1:6" x14ac:dyDescent="0.3">
      <c r="A10777" t="str">
        <f>HYPERLINK("https://us2.cloudbeds.com/connect/10074733072513#/reservations/31730998939854?display=MXHNXQDAQ&amp;reservation_id=31730998939854", "MXHNXQDAQ")</f>
        <v>MXHNXQDAQ</v>
      </c>
      <c r="B10777" t="s">
        <v>1371</v>
      </c>
      <c r="C10777">
        <v>458</v>
      </c>
      <c r="D10777">
        <v>497.86</v>
      </c>
      <c r="E10777">
        <v>497.85</v>
      </c>
      <c r="F10777">
        <v>0.01</v>
      </c>
    </row>
    <row r="10778" spans="1:6" x14ac:dyDescent="0.3">
      <c r="A10778" t="str">
        <f>HYPERLINK("https://us2.cloudbeds.com/connect/10074733072513#/reservations/31731792478419?display=MXXARUPSV&amp;reservation_id=31731792478419", "MXXARUPSV")</f>
        <v>MXXARUPSV</v>
      </c>
      <c r="B10778" t="s">
        <v>1614</v>
      </c>
      <c r="C10778">
        <v>129</v>
      </c>
      <c r="D10778">
        <v>140.22999999999999</v>
      </c>
      <c r="E10778">
        <v>140.22</v>
      </c>
      <c r="F10778">
        <v>0.01</v>
      </c>
    </row>
    <row r="10779" spans="1:6" x14ac:dyDescent="0.3">
      <c r="A10779" t="str">
        <f>HYPERLINK("https://us2.cloudbeds.com/connect/10074733072513#/reservations/31729231171832?display=MXGBD5YHS&amp;reservation_id=31729231171832", "MXGBD5YHS")</f>
        <v>MXGBD5YHS</v>
      </c>
      <c r="B10779" t="s">
        <v>1621</v>
      </c>
      <c r="C10779">
        <v>89</v>
      </c>
      <c r="D10779">
        <v>96.75</v>
      </c>
      <c r="E10779">
        <v>96.74</v>
      </c>
      <c r="F10779">
        <v>0.01</v>
      </c>
    </row>
    <row r="10780" spans="1:6" x14ac:dyDescent="0.3">
      <c r="A10780" t="str">
        <f>HYPERLINK("https://us2.cloudbeds.com/connect/10074733072513#/reservations/31733125746908?display=MXJBU5V6C&amp;reservation_id=31733125746908", "MXJBU5V6C")</f>
        <v>MXJBU5V6C</v>
      </c>
      <c r="B10780" t="s">
        <v>1605</v>
      </c>
      <c r="C10780">
        <v>129</v>
      </c>
      <c r="D10780">
        <v>140.22999999999999</v>
      </c>
      <c r="E10780">
        <v>140.22</v>
      </c>
      <c r="F10780">
        <v>0.01</v>
      </c>
    </row>
    <row r="10781" spans="1:6" x14ac:dyDescent="0.3">
      <c r="A10781" t="str">
        <f>HYPERLINK("https://us2.cloudbeds.com/connect/10074733072513#/reservations/31734613385391?display=MXKGUJMDE&amp;reservation_id=31734613385391", "MXKGUJMDE")</f>
        <v>MXKGUJMDE</v>
      </c>
      <c r="B10781" t="s">
        <v>1613</v>
      </c>
      <c r="C10781">
        <v>178</v>
      </c>
      <c r="D10781">
        <v>193.5</v>
      </c>
      <c r="E10781">
        <v>193.49</v>
      </c>
      <c r="F10781">
        <v>0.01</v>
      </c>
    </row>
    <row r="10782" spans="1:6" x14ac:dyDescent="0.3">
      <c r="A10782" t="str">
        <f>HYPERLINK("https://us2.cloudbeds.com/connect/10074733072513#/reservations/31735336448183?display=MXY2D9VU4&amp;reservation_id=31735336448183", "MXY2D9VU4")</f>
        <v>MXY2D9VU4</v>
      </c>
      <c r="B10782" t="s">
        <v>1613</v>
      </c>
      <c r="C10782">
        <v>73</v>
      </c>
      <c r="D10782">
        <v>79.36</v>
      </c>
      <c r="E10782">
        <v>79.349999999999994</v>
      </c>
      <c r="F10782">
        <v>0.01</v>
      </c>
    </row>
    <row r="10783" spans="1:6" x14ac:dyDescent="0.3">
      <c r="A10783" t="str">
        <f>HYPERLINK("https://us2.cloudbeds.com/connect/10074733072513#/reservations/31733808267459?display=MXJTBN2RB&amp;reservation_id=31733808267459", "MXJTBN2RB")</f>
        <v>MXJTBN2RB</v>
      </c>
      <c r="B10783" t="s">
        <v>1577</v>
      </c>
      <c r="C10783">
        <v>190</v>
      </c>
      <c r="D10783">
        <v>206.54</v>
      </c>
      <c r="E10783">
        <v>206.53</v>
      </c>
      <c r="F10783">
        <v>0.01</v>
      </c>
    </row>
    <row r="10784" spans="1:6" x14ac:dyDescent="0.3">
      <c r="A10784" t="str">
        <f>HYPERLINK("https://us2.cloudbeds.com/connect/10074733072513#/reservations/31731396210828?display=MXX0NQ1Q5&amp;reservation_id=31731396210828", "MXX0NQ1Q5")</f>
        <v>MXX0NQ1Q5</v>
      </c>
      <c r="B10784" t="s">
        <v>1639</v>
      </c>
      <c r="C10784">
        <v>252</v>
      </c>
      <c r="D10784">
        <v>273.93</v>
      </c>
      <c r="E10784">
        <v>273.92</v>
      </c>
      <c r="F10784">
        <v>0.01</v>
      </c>
    </row>
    <row r="10785" spans="1:6" x14ac:dyDescent="0.3">
      <c r="A10785" t="str">
        <f>HYPERLINK("https://us2.cloudbeds.com/connect/10074733072513#/reservations/31734546665716?display=MXKF7B3G3&amp;reservation_id=31734546665716", "MXKF7B3G3")</f>
        <v>MXKF7B3G3</v>
      </c>
      <c r="B10785" t="s">
        <v>1613</v>
      </c>
      <c r="C10785">
        <v>73</v>
      </c>
      <c r="D10785">
        <v>79.36</v>
      </c>
      <c r="E10785">
        <v>79.349999999999994</v>
      </c>
      <c r="F10785">
        <v>0.01</v>
      </c>
    </row>
    <row r="10786" spans="1:6" x14ac:dyDescent="0.3">
      <c r="A10786" t="str">
        <f>HYPERLINK("https://us2.cloudbeds.com/connect/10074733072513#/reservations/31727239905456?display=MXEQH2Z3H&amp;reservation_id=31727239905456", "MXEQH2Z3H")</f>
        <v>MXEQH2Z3H</v>
      </c>
      <c r="B10786" t="s">
        <v>1652</v>
      </c>
      <c r="C10786">
        <v>358</v>
      </c>
      <c r="D10786">
        <v>389.16</v>
      </c>
      <c r="E10786">
        <v>389.15</v>
      </c>
      <c r="F10786">
        <v>0.01</v>
      </c>
    </row>
    <row r="10787" spans="1:6" x14ac:dyDescent="0.3">
      <c r="A10787" t="str">
        <f>HYPERLINK("https://us2.cloudbeds.com/connect/10074733072513#/reservations/31731522400404?display=MXX3V6FBM&amp;reservation_id=31731522400404", "MXX3V6FBM")</f>
        <v>MXX3V6FBM</v>
      </c>
      <c r="B10787" t="s">
        <v>1616</v>
      </c>
      <c r="C10787">
        <v>209</v>
      </c>
      <c r="D10787">
        <v>227.19</v>
      </c>
      <c r="E10787">
        <v>227.18</v>
      </c>
      <c r="F10787">
        <v>0.01</v>
      </c>
    </row>
    <row r="10788" spans="1:6" x14ac:dyDescent="0.3">
      <c r="A10788" t="str">
        <f>HYPERLINK("https://us2.cloudbeds.com/connect/10074733072513#/reservations/31732463972549?display=MXXS0537V&amp;reservation_id=31732463972549", "MXXS0537V")</f>
        <v>MXXS0537V</v>
      </c>
      <c r="B10788" t="s">
        <v>1597</v>
      </c>
      <c r="C10788">
        <v>458</v>
      </c>
      <c r="D10788">
        <v>497.86</v>
      </c>
      <c r="E10788">
        <v>497.85</v>
      </c>
      <c r="F10788">
        <v>0.01</v>
      </c>
    </row>
    <row r="10789" spans="1:6" x14ac:dyDescent="0.3">
      <c r="A10789" t="str">
        <f>HYPERLINK("https://us2.cloudbeds.com/connect/10074733072513#/reservations/31731587203264?display=MXX5ADHSV&amp;reservation_id=31731587203264", "MXX5ADHSV")</f>
        <v>MXX5ADHSV</v>
      </c>
      <c r="B10789" t="s">
        <v>1616</v>
      </c>
      <c r="C10789">
        <v>209</v>
      </c>
      <c r="D10789">
        <v>227.19</v>
      </c>
      <c r="E10789">
        <v>227.18</v>
      </c>
      <c r="F10789">
        <v>0.01</v>
      </c>
    </row>
    <row r="10790" spans="1:6" x14ac:dyDescent="0.3">
      <c r="A10790" t="str">
        <f>HYPERLINK("https://us2.cloudbeds.com/connect/10074733072513#/reservations/31727907500215?display=MXFAJ0HPZ&amp;reservation_id=31727907500215", "MXFAJ0HPZ")</f>
        <v>MXFAJ0HPZ</v>
      </c>
      <c r="B10790" t="s">
        <v>1639</v>
      </c>
      <c r="C10790">
        <v>336</v>
      </c>
      <c r="D10790">
        <v>365.24</v>
      </c>
      <c r="E10790">
        <v>365.23</v>
      </c>
      <c r="F10790">
        <v>0.01</v>
      </c>
    </row>
    <row r="10791" spans="1:6" x14ac:dyDescent="0.3">
      <c r="A10791" t="str">
        <f>HYPERLINK("https://us2.cloudbeds.com/connect/10074733072513#/reservations/31732914843900?display=MXJ6HB8H5&amp;reservation_id=31732914843900", "MXJ6HB8H5")</f>
        <v>MXJ6HB8H5</v>
      </c>
      <c r="B10791" t="s">
        <v>1632</v>
      </c>
      <c r="C10791">
        <v>189</v>
      </c>
      <c r="D10791">
        <v>205.45</v>
      </c>
      <c r="E10791">
        <v>205.44</v>
      </c>
      <c r="F10791">
        <v>0.01</v>
      </c>
    </row>
    <row r="10792" spans="1:6" x14ac:dyDescent="0.3">
      <c r="A10792" t="str">
        <f>HYPERLINK("https://us2.cloudbeds.com/connect/10074733072513#/reservations/31732278497497?display=MXXN8ZWCR&amp;reservation_id=31732278497497", "MXXN8ZWCR")</f>
        <v>MXXN8ZWCR</v>
      </c>
      <c r="B10792" t="s">
        <v>1537</v>
      </c>
      <c r="C10792">
        <v>219</v>
      </c>
      <c r="D10792">
        <v>238.06</v>
      </c>
      <c r="E10792">
        <v>238.05</v>
      </c>
      <c r="F10792">
        <v>0.01</v>
      </c>
    </row>
    <row r="10793" spans="1:6" x14ac:dyDescent="0.3">
      <c r="A10793" t="str">
        <f>HYPERLINK("https://us2.cloudbeds.com/connect/10074733072513#/reservations/31728257269970?display=MXFJGVD47&amp;reservation_id=31728257269970", "MXFJGVD47")</f>
        <v>MXFJGVD47</v>
      </c>
      <c r="B10793" t="s">
        <v>1604</v>
      </c>
      <c r="C10793">
        <v>501.3</v>
      </c>
      <c r="D10793">
        <v>544.91999999999996</v>
      </c>
      <c r="E10793">
        <v>544.91</v>
      </c>
      <c r="F10793">
        <v>0.01</v>
      </c>
    </row>
    <row r="10794" spans="1:6" x14ac:dyDescent="0.3">
      <c r="A10794" t="str">
        <f>HYPERLINK("https://us2.cloudbeds.com/connect/10074733072513#/reservations/31727830884504?display=MXF8KDJJH&amp;reservation_id=31727830884504", "MXF8KDJJH")</f>
        <v>MXF8KDJJH</v>
      </c>
      <c r="B10794" t="s">
        <v>1639</v>
      </c>
      <c r="C10794">
        <v>252</v>
      </c>
      <c r="D10794">
        <v>273.93</v>
      </c>
      <c r="E10794">
        <v>273.92</v>
      </c>
      <c r="F10794">
        <v>0.01</v>
      </c>
    </row>
    <row r="10795" spans="1:6" x14ac:dyDescent="0.3">
      <c r="A10795" t="str">
        <f>HYPERLINK("https://us2.cloudbeds.com/connect/10074733072513#/reservations/31732789330156?display=MXJ3AGYXC&amp;reservation_id=31732789330156", "MXJ3AGYXC")</f>
        <v>MXJ3AGYXC</v>
      </c>
      <c r="B10795" t="s">
        <v>1633</v>
      </c>
      <c r="C10795">
        <v>129</v>
      </c>
      <c r="D10795">
        <v>140.22999999999999</v>
      </c>
      <c r="E10795">
        <v>140.22</v>
      </c>
      <c r="F10795">
        <v>0.01</v>
      </c>
    </row>
    <row r="10796" spans="1:6" x14ac:dyDescent="0.3">
      <c r="A10796" t="str">
        <f>HYPERLINK("https://us2.cloudbeds.com/connect/10074733072513#/reservations/31732771057812?display=MXJ2S36HW&amp;reservation_id=31732771057812", "MXJ2S36HW")</f>
        <v>MXJ2S36HW</v>
      </c>
      <c r="B10796" t="s">
        <v>1633</v>
      </c>
      <c r="C10796">
        <v>129</v>
      </c>
      <c r="D10796">
        <v>140.22999999999999</v>
      </c>
      <c r="E10796">
        <v>140.22</v>
      </c>
      <c r="F10796">
        <v>0.01</v>
      </c>
    </row>
    <row r="10797" spans="1:6" x14ac:dyDescent="0.3">
      <c r="A10797" t="str">
        <f>HYPERLINK("https://us2.cloudbeds.com/connect/10074733072513#/reservations/31727410376918?display=MXEUSRBXD&amp;reservation_id=31727410376918", "MXEUSRBXD")</f>
        <v>MXEUSRBXD</v>
      </c>
      <c r="B10797" t="s">
        <v>1624</v>
      </c>
      <c r="C10797">
        <v>218</v>
      </c>
      <c r="D10797">
        <v>236.98</v>
      </c>
      <c r="E10797">
        <v>236.97</v>
      </c>
      <c r="F10797">
        <v>0.01</v>
      </c>
    </row>
    <row r="10798" spans="1:6" x14ac:dyDescent="0.3">
      <c r="A10798" t="str">
        <f>HYPERLINK("https://us2.cloudbeds.com/connect/10074733072513#/reservations/31733254267110?display=MXJF6X6TW&amp;reservation_id=31733254267110", "MXJF6X6TW")</f>
        <v>MXJF6X6TW</v>
      </c>
      <c r="B10798" t="s">
        <v>1572</v>
      </c>
      <c r="C10798">
        <v>358</v>
      </c>
      <c r="D10798">
        <v>389.16</v>
      </c>
      <c r="E10798">
        <v>389.15</v>
      </c>
      <c r="F10798">
        <v>0.01</v>
      </c>
    </row>
    <row r="10799" spans="1:6" x14ac:dyDescent="0.3">
      <c r="A10799" t="str">
        <f>HYPERLINK("https://us2.cloudbeds.com/connect/10074733072513#/reservations/31726613639387?display=MXEAGWVFS&amp;reservation_id=31726613639387", "MXEAGWVFS")</f>
        <v>MXEAGWVFS</v>
      </c>
      <c r="B10799" t="s">
        <v>1659</v>
      </c>
      <c r="C10799">
        <v>418</v>
      </c>
      <c r="D10799">
        <v>454.38</v>
      </c>
      <c r="E10799">
        <v>454.37</v>
      </c>
      <c r="F10799">
        <v>0.01</v>
      </c>
    </row>
    <row r="10800" spans="1:6" x14ac:dyDescent="0.3">
      <c r="A10800" t="str">
        <f>HYPERLINK("https://us2.cloudbeds.com/connect/10074733072513#/reservations/31729610871038?display=MXGY3BBAD&amp;reservation_id=31729610871038", "MXGY3BBAD")</f>
        <v>MXGY3BBAD</v>
      </c>
      <c r="B10800" t="s">
        <v>1444</v>
      </c>
      <c r="C10800">
        <v>458</v>
      </c>
      <c r="D10800">
        <v>497.86</v>
      </c>
      <c r="E10800">
        <v>497.85</v>
      </c>
      <c r="F10800">
        <v>0.01</v>
      </c>
    </row>
    <row r="10801" spans="1:6" x14ac:dyDescent="0.3">
      <c r="A10801" t="str">
        <f>HYPERLINK("https://us2.cloudbeds.com/connect/10074733072513#/reservations/31731366961324?display=MXHWW44ZX&amp;reservation_id=31731366961324", "MXHWW44ZX")</f>
        <v>MXHWW44ZX</v>
      </c>
      <c r="B10801" t="s">
        <v>1659</v>
      </c>
      <c r="C10801">
        <v>418</v>
      </c>
      <c r="D10801">
        <v>454.38</v>
      </c>
      <c r="E10801">
        <v>454.37</v>
      </c>
      <c r="F10801">
        <v>0.01</v>
      </c>
    </row>
    <row r="10802" spans="1:6" x14ac:dyDescent="0.3">
      <c r="A10802" t="str">
        <f>HYPERLINK("https://us2.cloudbeds.com/connect/10074733072513#/reservations/31732604289262?display=MXXVJFKCX&amp;reservation_id=31732604289262", "MXXVJFKCX")</f>
        <v>MXXVJFKCX</v>
      </c>
      <c r="B10802" t="s">
        <v>1660</v>
      </c>
      <c r="C10802">
        <v>336</v>
      </c>
      <c r="D10802">
        <v>365.24</v>
      </c>
      <c r="E10802">
        <v>365.23</v>
      </c>
      <c r="F10802">
        <v>0.01</v>
      </c>
    </row>
    <row r="10803" spans="1:6" x14ac:dyDescent="0.3">
      <c r="A10803" t="str">
        <f>HYPERLINK("https://us2.cloudbeds.com/connect/10074733072513#/reservations/31731579908265?display=MXX5DMNA5&amp;reservation_id=31731579908265", "MXX5DMNA5")</f>
        <v>MXX5DMNA5</v>
      </c>
      <c r="B10803" t="s">
        <v>1591</v>
      </c>
      <c r="C10803">
        <v>169</v>
      </c>
      <c r="D10803">
        <v>183.71</v>
      </c>
      <c r="E10803">
        <v>183.7</v>
      </c>
      <c r="F10803">
        <v>0.01</v>
      </c>
    </row>
    <row r="10804" spans="1:6" x14ac:dyDescent="0.3">
      <c r="A10804" t="str">
        <f>HYPERLINK("https://us2.cloudbeds.com/connect/10074733072513#/reservations/31730673201355?display=MXHF84886&amp;reservation_id=31730673201355", "MXHF84886")</f>
        <v>MXHF84886</v>
      </c>
      <c r="B10804" t="s">
        <v>1572</v>
      </c>
      <c r="C10804">
        <v>338</v>
      </c>
      <c r="D10804">
        <v>367.42</v>
      </c>
      <c r="E10804">
        <v>367.41</v>
      </c>
      <c r="F10804">
        <v>0.01</v>
      </c>
    </row>
    <row r="10805" spans="1:6" x14ac:dyDescent="0.3">
      <c r="A10805" t="str">
        <f>HYPERLINK("https://us2.cloudbeds.com/connect/10074733072513#/reservations/31729778135230?display=MXGPCCNK9&amp;reservation_id=31729778135230", "MXGPCCNK9")</f>
        <v>MXGPCCNK9</v>
      </c>
      <c r="B10805" t="s">
        <v>1624</v>
      </c>
      <c r="C10805">
        <v>129</v>
      </c>
      <c r="D10805">
        <v>140.22999999999999</v>
      </c>
      <c r="E10805">
        <v>140.22</v>
      </c>
      <c r="F10805">
        <v>0.01</v>
      </c>
    </row>
    <row r="10806" spans="1:6" x14ac:dyDescent="0.3">
      <c r="A10806" t="str">
        <f>HYPERLINK("https://us2.cloudbeds.com/connect/10074733072513#/reservations/31732006305991?display=MXXGA7S3C&amp;reservation_id=31732006305991", "MXXGA7S3C")</f>
        <v>MXXGA7S3C</v>
      </c>
      <c r="B10806" t="s">
        <v>1577</v>
      </c>
      <c r="C10806">
        <v>252</v>
      </c>
      <c r="D10806">
        <v>273.93</v>
      </c>
      <c r="E10806">
        <v>273.92</v>
      </c>
      <c r="F10806">
        <v>0.01</v>
      </c>
    </row>
    <row r="10807" spans="1:6" x14ac:dyDescent="0.3">
      <c r="A10807" t="str">
        <f>HYPERLINK("https://us2.cloudbeds.com/connect/10074733072513#/reservations/31731979419780?display=MXXFKXN6N&amp;reservation_id=31731979419780", "MXXFKXN6N")</f>
        <v>MXXFKXN6N</v>
      </c>
      <c r="B10807" t="s">
        <v>1621</v>
      </c>
      <c r="C10807">
        <v>169</v>
      </c>
      <c r="D10807">
        <v>183.71</v>
      </c>
      <c r="E10807">
        <v>183.7</v>
      </c>
      <c r="F10807">
        <v>0.01</v>
      </c>
    </row>
    <row r="10808" spans="1:6" x14ac:dyDescent="0.3">
      <c r="A10808" t="str">
        <f>HYPERLINK("https://us2.cloudbeds.com/connect/10074733072513#/reservations/31733625671916?display=MXJZMZ352&amp;reservation_id=31733625671916", "MXJZMZ352")</f>
        <v>MXJZMZ352</v>
      </c>
      <c r="B10808" t="s">
        <v>1651</v>
      </c>
      <c r="C10808">
        <v>299.7</v>
      </c>
      <c r="D10808">
        <v>325.77999999999997</v>
      </c>
      <c r="E10808">
        <v>325.77</v>
      </c>
      <c r="F10808">
        <v>0.01</v>
      </c>
    </row>
    <row r="10809" spans="1:6" x14ac:dyDescent="0.3">
      <c r="A10809" t="str">
        <f>HYPERLINK("https://us2.cloudbeds.com/connect/10074733072513#/reservations/31731930218709?display=MXXEC2K55&amp;reservation_id=31731930218709", "MXXEC2K55")</f>
        <v>MXXEC2K55</v>
      </c>
      <c r="B10809" t="s">
        <v>1577</v>
      </c>
      <c r="C10809">
        <v>393</v>
      </c>
      <c r="D10809">
        <v>427.2</v>
      </c>
      <c r="E10809">
        <v>427.19</v>
      </c>
      <c r="F10809">
        <v>0.01</v>
      </c>
    </row>
    <row r="10810" spans="1:6" x14ac:dyDescent="0.3">
      <c r="A10810" t="str">
        <f>HYPERLINK("https://us2.cloudbeds.com/connect/10074733072513#/reservations/31729217802368?display=MXGB1TH0D&amp;reservation_id=31729217802368", "MXGB1TH0D")</f>
        <v>MXGB1TH0D</v>
      </c>
      <c r="B10810" t="s">
        <v>1621</v>
      </c>
      <c r="C10810">
        <v>209</v>
      </c>
      <c r="D10810">
        <v>227.19</v>
      </c>
      <c r="E10810">
        <v>227.18</v>
      </c>
      <c r="F10810">
        <v>0.01</v>
      </c>
    </row>
    <row r="10811" spans="1:6" x14ac:dyDescent="0.3">
      <c r="A10811" t="str">
        <f>HYPERLINK("https://us2.cloudbeds.com/connect/10074733072513#/reservations/31713378001055?display=MX42ABQKD&amp;reservation_id=31713378001055", "MX42ABQKD")</f>
        <v>MX42ABQKD</v>
      </c>
      <c r="B10811" t="s">
        <v>1661</v>
      </c>
      <c r="C10811">
        <v>318</v>
      </c>
      <c r="D10811">
        <v>345.68</v>
      </c>
      <c r="E10811">
        <v>345.67</v>
      </c>
      <c r="F10811">
        <v>0.01</v>
      </c>
    </row>
    <row r="10812" spans="1:6" x14ac:dyDescent="0.3">
      <c r="A10812" t="str">
        <f>HYPERLINK("https://us2.cloudbeds.com/connect/10074733072513#/reservations/31731542749357?display=MXX4FBN8Y&amp;reservation_id=31731542749357", "MXX4FBN8Y")</f>
        <v>MXX4FBN8Y</v>
      </c>
      <c r="B10812" t="s">
        <v>1591</v>
      </c>
      <c r="C10812">
        <v>99</v>
      </c>
      <c r="D10812">
        <v>107.62</v>
      </c>
      <c r="E10812">
        <v>107.61</v>
      </c>
      <c r="F10812">
        <v>0.01</v>
      </c>
    </row>
    <row r="10813" spans="1:6" x14ac:dyDescent="0.3">
      <c r="A10813" t="str">
        <f>HYPERLINK("https://us2.cloudbeds.com/connect/10074733072513#/reservations/31734288662671?display=MXK8KPQ30&amp;reservation_id=31734288662671", "MXK8KPQ30")</f>
        <v>MXK8KPQ30</v>
      </c>
      <c r="B10813" t="s">
        <v>1625</v>
      </c>
      <c r="C10813">
        <v>229</v>
      </c>
      <c r="D10813">
        <v>248.93</v>
      </c>
      <c r="E10813">
        <v>248.92</v>
      </c>
      <c r="F10813">
        <v>0.01</v>
      </c>
    </row>
    <row r="10814" spans="1:6" x14ac:dyDescent="0.3">
      <c r="A10814" t="str">
        <f>HYPERLINK("https://us2.cloudbeds.com/connect/10074733072513#/reservations/31727948603574?display=MXFBKM9U2&amp;reservation_id=31727948603574", "MXFBKM9U2")</f>
        <v>MXFBKM9U2</v>
      </c>
      <c r="B10814" t="s">
        <v>1639</v>
      </c>
      <c r="C10814">
        <v>89</v>
      </c>
      <c r="D10814">
        <v>96.75</v>
      </c>
      <c r="E10814">
        <v>96.74</v>
      </c>
      <c r="F10814">
        <v>0.01</v>
      </c>
    </row>
    <row r="10815" spans="1:6" x14ac:dyDescent="0.3">
      <c r="A10815" t="str">
        <f>HYPERLINK("https://us2.cloudbeds.com/connect/10074733072513#/reservations/31726228934896?display=MXE0MJWG0&amp;reservation_id=31726228934896", "MXE0MJWG0")</f>
        <v>MXE0MJWG0</v>
      </c>
      <c r="B10815" t="s">
        <v>1662</v>
      </c>
      <c r="C10815">
        <v>105.78</v>
      </c>
      <c r="D10815">
        <v>114.99</v>
      </c>
      <c r="E10815">
        <v>114.98</v>
      </c>
      <c r="F10815">
        <v>0.01</v>
      </c>
    </row>
    <row r="10816" spans="1:6" x14ac:dyDescent="0.3">
      <c r="A10816" t="str">
        <f>HYPERLINK("https://us2.cloudbeds.com/connect/10074733072513#/reservations/31734017728732?display=MXK1NAYJY&amp;reservation_id=31734017728732", "MXK1NAYJY")</f>
        <v>MXK1NAYJY</v>
      </c>
      <c r="B10816" t="s">
        <v>1597</v>
      </c>
      <c r="C10816">
        <v>209</v>
      </c>
      <c r="D10816">
        <v>227.19</v>
      </c>
      <c r="E10816">
        <v>227.18</v>
      </c>
      <c r="F10816">
        <v>0.01</v>
      </c>
    </row>
    <row r="10817" spans="1:6" x14ac:dyDescent="0.3">
      <c r="A10817" t="str">
        <f>HYPERLINK("https://us2.cloudbeds.com/connect/10074733072513#/reservations/31734921789589?display=MXKZQYFS6&amp;reservation_id=31734921789589", "MXKZQYFS6")</f>
        <v>MXKZQYFS6</v>
      </c>
      <c r="B10817" t="s">
        <v>1632</v>
      </c>
      <c r="C10817">
        <v>158</v>
      </c>
      <c r="D10817">
        <v>171.76</v>
      </c>
      <c r="E10817">
        <v>171.75</v>
      </c>
      <c r="F10817">
        <v>0.01</v>
      </c>
    </row>
    <row r="10818" spans="1:6" x14ac:dyDescent="0.3">
      <c r="A10818" t="str">
        <f>HYPERLINK("https://us2.cloudbeds.com/connect/10074733072513#/reservations/31734992576645?display=MXKQKB7ZG&amp;reservation_id=31734992576645", "MXKQKB7ZG")</f>
        <v>MXKQKB7ZG</v>
      </c>
      <c r="B10818" t="s">
        <v>1632</v>
      </c>
      <c r="C10818">
        <v>189</v>
      </c>
      <c r="D10818">
        <v>205.45</v>
      </c>
      <c r="E10818">
        <v>205.44</v>
      </c>
      <c r="F10818">
        <v>0.01</v>
      </c>
    </row>
    <row r="10819" spans="1:6" x14ac:dyDescent="0.3">
      <c r="A10819" t="str">
        <f>HYPERLINK("https://us2.cloudbeds.com/connect/10074733072513#/reservations/31731910611124?display=MXXDSX00U&amp;reservation_id=31731910611124", "MXXDSX00U")</f>
        <v>MXXDSX00U</v>
      </c>
      <c r="B10819" t="s">
        <v>1577</v>
      </c>
      <c r="C10819">
        <v>156.6</v>
      </c>
      <c r="D10819">
        <v>170.23</v>
      </c>
      <c r="E10819">
        <v>170.22</v>
      </c>
      <c r="F10819">
        <v>0.01</v>
      </c>
    </row>
    <row r="10820" spans="1:6" x14ac:dyDescent="0.3">
      <c r="A10820" t="str">
        <f>HYPERLINK("https://us2.cloudbeds.com/connect/10074733072513#/reservations/31732013887645?display=MXXGGKR4F&amp;reservation_id=31732013887645", "MXXGGKR4F")</f>
        <v>MXXGGKR4F</v>
      </c>
      <c r="B10820" t="s">
        <v>1591</v>
      </c>
      <c r="C10820">
        <v>258</v>
      </c>
      <c r="D10820">
        <v>280.45999999999998</v>
      </c>
      <c r="E10820">
        <v>280.45</v>
      </c>
      <c r="F10820">
        <v>0.01</v>
      </c>
    </row>
    <row r="10821" spans="1:6" x14ac:dyDescent="0.3">
      <c r="A10821" t="str">
        <f>HYPERLINK("https://us2.cloudbeds.com/connect/10074733072513#/reservations/31731353075927?display=MXHWKDP4V&amp;reservation_id=31731353075927", "MXHWKDP4V")</f>
        <v>MXHWKDP4V</v>
      </c>
      <c r="B10821" t="s">
        <v>1639</v>
      </c>
      <c r="C10821">
        <v>189</v>
      </c>
      <c r="D10821">
        <v>205.45</v>
      </c>
      <c r="E10821">
        <v>205.44</v>
      </c>
      <c r="F10821">
        <v>0.01</v>
      </c>
    </row>
    <row r="10822" spans="1:6" x14ac:dyDescent="0.3">
      <c r="A10822" t="str">
        <f>HYPERLINK("https://us2.cloudbeds.com/connect/10074733072513#/reservations/31733962694813?display=MXK09U8D4&amp;reservation_id=31733962694813", "MXK09U8D4")</f>
        <v>MXK09U8D4</v>
      </c>
      <c r="B10822" t="s">
        <v>1663</v>
      </c>
      <c r="C10822">
        <v>252</v>
      </c>
      <c r="D10822">
        <v>273.93</v>
      </c>
      <c r="E10822">
        <v>273.92</v>
      </c>
      <c r="F10822">
        <v>0.01</v>
      </c>
    </row>
    <row r="10823" spans="1:6" x14ac:dyDescent="0.3">
      <c r="A10823" t="str">
        <f>HYPERLINK("https://us2.cloudbeds.com/connect/10074733072513#/reservations/31732821246157?display=MXJ44DP5U&amp;reservation_id=31732821246157", "MXJ44DP5U")</f>
        <v>MXJ44DP5U</v>
      </c>
      <c r="B10823" t="s">
        <v>1632</v>
      </c>
      <c r="C10823">
        <v>189</v>
      </c>
      <c r="D10823">
        <v>205.45</v>
      </c>
      <c r="E10823">
        <v>205.44</v>
      </c>
      <c r="F10823">
        <v>0.01</v>
      </c>
    </row>
    <row r="10824" spans="1:6" x14ac:dyDescent="0.3">
      <c r="A10824" t="str">
        <f>HYPERLINK("https://us2.cloudbeds.com/connect/10074733072513#/reservations/31734970675413?display=MXKQ1SQDQ&amp;reservation_id=31734970675413", "MXKQ1SQDQ")</f>
        <v>MXKQ1SQDQ</v>
      </c>
      <c r="B10824" t="s">
        <v>1651</v>
      </c>
      <c r="C10824">
        <v>353</v>
      </c>
      <c r="D10824">
        <v>383.72</v>
      </c>
      <c r="E10824">
        <v>383.71</v>
      </c>
      <c r="F10824">
        <v>0.01</v>
      </c>
    </row>
    <row r="10825" spans="1:6" x14ac:dyDescent="0.3">
      <c r="A10825" t="str">
        <f>HYPERLINK("https://us2.cloudbeds.com/connect/10074733072513#/reservations/31732378632410?display=MXXPR6CY4&amp;reservation_id=31732378632410", "MXXPR6CY4")</f>
        <v>MXXPR6CY4</v>
      </c>
      <c r="B10825" t="s">
        <v>1597</v>
      </c>
      <c r="C10825">
        <v>219</v>
      </c>
      <c r="D10825">
        <v>238.06</v>
      </c>
      <c r="E10825">
        <v>238.05</v>
      </c>
      <c r="F10825">
        <v>0.01</v>
      </c>
    </row>
    <row r="10826" spans="1:6" x14ac:dyDescent="0.3">
      <c r="A10826" t="str">
        <f>HYPERLINK("https://us2.cloudbeds.com/connect/10074733072513#/reservations/31735002161301?display=MXKQSDV2J&amp;reservation_id=31735002161301", "MXKQSDV2J")</f>
        <v>MXKQSDV2J</v>
      </c>
      <c r="B10826" t="s">
        <v>1651</v>
      </c>
      <c r="C10826">
        <v>209</v>
      </c>
      <c r="D10826">
        <v>227.19</v>
      </c>
      <c r="E10826">
        <v>227.18</v>
      </c>
      <c r="F10826">
        <v>0.01</v>
      </c>
    </row>
    <row r="10827" spans="1:6" x14ac:dyDescent="0.3">
      <c r="A10827" t="str">
        <f>HYPERLINK("https://us2.cloudbeds.com/connect/10074733072513#/reservations/31733731459313?display=MXJRCUPUP&amp;reservation_id=31733731459313", "MXJRCUPUP")</f>
        <v>MXJRCUPUP</v>
      </c>
      <c r="B10827" t="s">
        <v>1632</v>
      </c>
      <c r="C10827">
        <v>169</v>
      </c>
      <c r="D10827">
        <v>183.71</v>
      </c>
      <c r="E10827">
        <v>183.7</v>
      </c>
      <c r="F10827">
        <v>0.01</v>
      </c>
    </row>
    <row r="10828" spans="1:6" x14ac:dyDescent="0.3">
      <c r="A10828" t="str">
        <f>HYPERLINK("https://us2.cloudbeds.com/connect/10074733072513#/reservations/31730134380672?display=MXH1FPYNH&amp;reservation_id=31730134380672", "MXH1FPYNH")</f>
        <v>MXH1FPYNH</v>
      </c>
      <c r="B10828" t="s">
        <v>1611</v>
      </c>
      <c r="C10828">
        <v>129</v>
      </c>
      <c r="D10828">
        <v>140.22999999999999</v>
      </c>
      <c r="E10828">
        <v>140.22</v>
      </c>
      <c r="F10828">
        <v>0.01</v>
      </c>
    </row>
    <row r="10829" spans="1:6" x14ac:dyDescent="0.3">
      <c r="A10829" t="str">
        <f>HYPERLINK("https://us2.cloudbeds.com/connect/10074733072513#/reservations/31732888993968?display=MXJ5SHV6T&amp;reservation_id=31732888993968", "MXJ5SHV6T")</f>
        <v>MXJ5SHV6T</v>
      </c>
      <c r="B10829" t="s">
        <v>1632</v>
      </c>
      <c r="C10829">
        <v>229</v>
      </c>
      <c r="D10829">
        <v>248.93</v>
      </c>
      <c r="E10829">
        <v>248.92</v>
      </c>
      <c r="F10829">
        <v>0.01</v>
      </c>
    </row>
    <row r="10830" spans="1:6" x14ac:dyDescent="0.3">
      <c r="A10830" t="str">
        <f>HYPERLINK("https://us2.cloudbeds.com/connect/10074733072513#/reservations/31725663064291?display=MXDJ7EQDU&amp;reservation_id=31725663064291", "MXDJ7EQDU")</f>
        <v>MXDJ7EQDU</v>
      </c>
      <c r="B10830" t="s">
        <v>1652</v>
      </c>
      <c r="C10830">
        <v>322.2</v>
      </c>
      <c r="D10830">
        <v>350.24</v>
      </c>
      <c r="E10830">
        <v>350.23</v>
      </c>
      <c r="F10830">
        <v>0.01</v>
      </c>
    </row>
    <row r="10831" spans="1:6" x14ac:dyDescent="0.3">
      <c r="A10831" t="str">
        <f>HYPERLINK("https://us2.cloudbeds.com/connect/10074733072513#/reservations/31735368556771?display=MXY37CECY&amp;reservation_id=31735368556771", "MXY37CECY")</f>
        <v>MXY37CECY</v>
      </c>
      <c r="B10831" t="s">
        <v>1663</v>
      </c>
      <c r="C10831">
        <v>169</v>
      </c>
      <c r="D10831">
        <v>183.71</v>
      </c>
      <c r="E10831">
        <v>183.7</v>
      </c>
      <c r="F10831">
        <v>0.01</v>
      </c>
    </row>
    <row r="10832" spans="1:6" x14ac:dyDescent="0.3">
      <c r="A10832" t="str">
        <f>HYPERLINK("https://us2.cloudbeds.com/connect/10074733072513#/reservations/31734921793691?display=MXKZQYJKG&amp;reservation_id=31734921793691", "MXKZQYJKG")</f>
        <v>MXKZQYJKG</v>
      </c>
      <c r="B10832" t="s">
        <v>1632</v>
      </c>
      <c r="C10832">
        <v>189</v>
      </c>
      <c r="D10832">
        <v>205.45</v>
      </c>
      <c r="E10832">
        <v>205.44</v>
      </c>
      <c r="F10832">
        <v>0.01</v>
      </c>
    </row>
    <row r="10833" spans="1:6" x14ac:dyDescent="0.3">
      <c r="A10833" t="str">
        <f>HYPERLINK("https://us2.cloudbeds.com/connect/10074733072513#/reservations/31733703311584?display=MXJQM6HK9&amp;reservation_id=31733703311584", "MXJQM6HK9")</f>
        <v>MXJQM6HK9</v>
      </c>
      <c r="B10833" t="s">
        <v>1632</v>
      </c>
      <c r="C10833">
        <v>199</v>
      </c>
      <c r="D10833">
        <v>216.32</v>
      </c>
      <c r="E10833">
        <v>216.31</v>
      </c>
      <c r="F10833">
        <v>0.01</v>
      </c>
    </row>
    <row r="10834" spans="1:6" x14ac:dyDescent="0.3">
      <c r="A10834" t="str">
        <f>HYPERLINK("https://us2.cloudbeds.com/connect/10074733072513#/reservations/31732066934935?display=MXXHSBV23&amp;reservation_id=31732066934935", "MXXHSBV23")</f>
        <v>MXXHSBV23</v>
      </c>
      <c r="B10834" t="s">
        <v>1591</v>
      </c>
      <c r="C10834">
        <v>250</v>
      </c>
      <c r="D10834">
        <v>271.76</v>
      </c>
      <c r="E10834">
        <v>271.75</v>
      </c>
      <c r="F10834">
        <v>0.01</v>
      </c>
    </row>
    <row r="10835" spans="1:6" x14ac:dyDescent="0.3">
      <c r="A10835" t="str">
        <f>HYPERLINK("https://us2.cloudbeds.com/connect/10074733072513#/reservations/31730080612570?display=MXH03EJJ9&amp;reservation_id=31730080612570", "MXH03EJJ9")</f>
        <v>MXH03EJJ9</v>
      </c>
      <c r="B10835" t="s">
        <v>1611</v>
      </c>
      <c r="C10835">
        <v>418</v>
      </c>
      <c r="D10835">
        <v>454.38</v>
      </c>
      <c r="E10835">
        <v>454.37</v>
      </c>
      <c r="F10835">
        <v>0.01</v>
      </c>
    </row>
    <row r="10836" spans="1:6" x14ac:dyDescent="0.3">
      <c r="A10836" t="str">
        <f>HYPERLINK("https://us2.cloudbeds.com/connect/10074733072513#/reservations/31731099586804?display=MXHQ4M1PB&amp;reservation_id=31731099586804", "MXHQ4M1PB")</f>
        <v>MXHQ4M1PB</v>
      </c>
      <c r="B10836" t="s">
        <v>1658</v>
      </c>
      <c r="C10836">
        <v>110.86</v>
      </c>
      <c r="D10836">
        <v>120.51</v>
      </c>
      <c r="E10836">
        <v>120.5</v>
      </c>
      <c r="F10836">
        <v>0.01</v>
      </c>
    </row>
    <row r="10837" spans="1:6" x14ac:dyDescent="0.3">
      <c r="A10837" t="str">
        <f>HYPERLINK("https://us2.cloudbeds.com/connect/10074733072513#/reservations/31713393156319?display=MX42N4H9R&amp;reservation_id=31713393156319", "MX42N4H9R")</f>
        <v>MX42N4H9R</v>
      </c>
      <c r="B10837" t="s">
        <v>1661</v>
      </c>
      <c r="C10837">
        <v>318</v>
      </c>
      <c r="D10837">
        <v>345.68</v>
      </c>
      <c r="E10837">
        <v>345.67</v>
      </c>
      <c r="F10837">
        <v>0.01</v>
      </c>
    </row>
    <row r="10838" spans="1:6" x14ac:dyDescent="0.3">
      <c r="A10838" t="str">
        <f>HYPERLINK("https://us2.cloudbeds.com/connect/10074733072513#/reservations/31730161946802?display=MXH260RYW&amp;reservation_id=31730161946802", "MXH260RYW")</f>
        <v>MXH260RYW</v>
      </c>
      <c r="B10838" t="s">
        <v>1611</v>
      </c>
      <c r="C10838">
        <v>129</v>
      </c>
      <c r="D10838">
        <v>140.22999999999999</v>
      </c>
      <c r="E10838">
        <v>140.22</v>
      </c>
      <c r="F10838">
        <v>0.01</v>
      </c>
    </row>
    <row r="10839" spans="1:6" x14ac:dyDescent="0.3">
      <c r="A10839" t="str">
        <f>HYPERLINK("https://us2.cloudbeds.com/connect/10074733072513#/reservations/31731208675535?display=MXHSUYK2G&amp;reservation_id=31731208675535", "MXHSUYK2G")</f>
        <v>MXHSUYK2G</v>
      </c>
      <c r="B10839" t="s">
        <v>1611</v>
      </c>
      <c r="C10839">
        <v>139</v>
      </c>
      <c r="D10839">
        <v>151.1</v>
      </c>
      <c r="E10839">
        <v>151.09</v>
      </c>
      <c r="F10839">
        <v>0.01</v>
      </c>
    </row>
    <row r="10840" spans="1:6" x14ac:dyDescent="0.3">
      <c r="A10840" t="str">
        <f>HYPERLINK("https://us2.cloudbeds.com/connect/10074733072513#/reservations/31724006977763?display=MXC9TWZQM&amp;reservation_id=31724006977763", "MXC9TWZQM")</f>
        <v>MXC9TWZQM</v>
      </c>
      <c r="B10840" t="s">
        <v>1635</v>
      </c>
      <c r="C10840">
        <v>239</v>
      </c>
      <c r="D10840">
        <v>259.8</v>
      </c>
      <c r="E10840">
        <v>259.79000000000002</v>
      </c>
      <c r="F10840">
        <v>0.01</v>
      </c>
    </row>
    <row r="10841" spans="1:6" x14ac:dyDescent="0.3">
      <c r="A10841" t="str">
        <f>HYPERLINK("https://us2.cloudbeds.com/connect/10074733072513#/reservations/31734938226867?display=MXKP7GSPH&amp;reservation_id=31734938226867", "MXKP7GSPH")</f>
        <v>MXKP7GSPH</v>
      </c>
      <c r="B10841" t="s">
        <v>1651</v>
      </c>
      <c r="C10841">
        <v>378</v>
      </c>
      <c r="D10841">
        <v>410.9</v>
      </c>
      <c r="E10841">
        <v>410.89</v>
      </c>
      <c r="F10841">
        <v>0.01</v>
      </c>
    </row>
    <row r="10842" spans="1:6" x14ac:dyDescent="0.3">
      <c r="A10842" t="str">
        <f>HYPERLINK("https://us2.cloudbeds.com/connect/10074733072513#/reservations/31731532927189?display=MXX472CR6&amp;reservation_id=31731532927189", "MXX472CR6")</f>
        <v>MXX472CR6</v>
      </c>
      <c r="B10842" t="s">
        <v>1591</v>
      </c>
      <c r="C10842">
        <v>273</v>
      </c>
      <c r="D10842">
        <v>296.76</v>
      </c>
      <c r="E10842">
        <v>296.75</v>
      </c>
      <c r="F10842">
        <v>0.01</v>
      </c>
    </row>
    <row r="10843" spans="1:6" x14ac:dyDescent="0.3">
      <c r="A10843" t="str">
        <f>HYPERLINK("https://us2.cloudbeds.com/connect/10074733072513#/reservations/31730858045639?display=MXHJVWQT4&amp;reservation_id=31730858045639", "MXHJVWQT4")</f>
        <v>MXHJVWQT4</v>
      </c>
      <c r="B10843" t="s">
        <v>1660</v>
      </c>
      <c r="C10843">
        <v>705</v>
      </c>
      <c r="D10843">
        <v>766.35</v>
      </c>
      <c r="E10843">
        <v>766.34</v>
      </c>
      <c r="F10843">
        <v>0.01</v>
      </c>
    </row>
    <row r="10844" spans="1:6" x14ac:dyDescent="0.3">
      <c r="A10844" t="str">
        <f>HYPERLINK("https://us2.cloudbeds.com/connect/10074733072513#/reservations/31730580951257?display=MXHCTB8DM&amp;reservation_id=31730580951257", "MXHCTB8DM")</f>
        <v>MXHCTB8DM</v>
      </c>
      <c r="B10844" t="s">
        <v>1628</v>
      </c>
      <c r="C10844">
        <v>129</v>
      </c>
      <c r="D10844">
        <v>140.22999999999999</v>
      </c>
      <c r="E10844">
        <v>140.22</v>
      </c>
      <c r="F10844">
        <v>0.01</v>
      </c>
    </row>
    <row r="10845" spans="1:6" x14ac:dyDescent="0.3">
      <c r="A10845" t="str">
        <f>HYPERLINK("https://us2.cloudbeds.com/connect/10074733072513#/reservations/31730003161228?display=MXGV44D1U&amp;reservation_id=31730003161228", "MXGV44D1U")</f>
        <v>MXGV44D1U</v>
      </c>
      <c r="B10845" t="s">
        <v>1607</v>
      </c>
      <c r="C10845">
        <v>336</v>
      </c>
      <c r="D10845">
        <v>365.24</v>
      </c>
      <c r="E10845">
        <v>365.23</v>
      </c>
      <c r="F10845">
        <v>0.01</v>
      </c>
    </row>
    <row r="10846" spans="1:6" x14ac:dyDescent="0.3">
      <c r="A10846" t="str">
        <f>HYPERLINK("https://us2.cloudbeds.com/connect/10074733072513#/reservations/31728446075078?display=MXFZB55T4&amp;reservation_id=31728446075078", "MXFZB55T4")</f>
        <v>MXFZB55T4</v>
      </c>
      <c r="B10846" t="s">
        <v>1604</v>
      </c>
      <c r="C10846">
        <v>378</v>
      </c>
      <c r="D10846">
        <v>410.9</v>
      </c>
      <c r="E10846">
        <v>410.89</v>
      </c>
      <c r="F10846">
        <v>0.01</v>
      </c>
    </row>
    <row r="10847" spans="1:6" x14ac:dyDescent="0.3">
      <c r="A10847" t="str">
        <f>HYPERLINK("https://us2.cloudbeds.com/connect/10074733072513#/reservations/31728484806851?display=MXFPAQV87&amp;reservation_id=31728484806851", "MXFPAQV87")</f>
        <v>MXFPAQV87</v>
      </c>
      <c r="B10847" t="s">
        <v>1604</v>
      </c>
      <c r="C10847">
        <v>293.72000000000003</v>
      </c>
      <c r="D10847">
        <v>319.27999999999997</v>
      </c>
      <c r="E10847">
        <v>319.27</v>
      </c>
      <c r="F10847">
        <v>0.01</v>
      </c>
    </row>
    <row r="10848" spans="1:6" x14ac:dyDescent="0.3">
      <c r="A10848" t="str">
        <f>HYPERLINK("https://us2.cloudbeds.com/connect/10074733072513#/reservations/31732525568136?display=MXXTJ32RT&amp;reservation_id=31732525568136", "MXXTJ32RT")</f>
        <v>MXXTJ32RT</v>
      </c>
      <c r="B10848" t="s">
        <v>1604</v>
      </c>
      <c r="C10848">
        <v>378</v>
      </c>
      <c r="D10848">
        <v>410.9</v>
      </c>
      <c r="E10848">
        <v>410.89</v>
      </c>
      <c r="F10848">
        <v>0.01</v>
      </c>
    </row>
    <row r="10849" spans="1:6" x14ac:dyDescent="0.3">
      <c r="A10849" t="str">
        <f>HYPERLINK("https://us2.cloudbeds.com/connect/10074733072513#/reservations/31732030046422?display=MXXGU8FAC&amp;reservation_id=31732030046422", "MXXGU8FAC")</f>
        <v>MXXGU8FAC</v>
      </c>
      <c r="B10849" t="s">
        <v>1591</v>
      </c>
      <c r="C10849">
        <v>73</v>
      </c>
      <c r="D10849">
        <v>79.36</v>
      </c>
      <c r="E10849">
        <v>79.349999999999994</v>
      </c>
      <c r="F10849">
        <v>0.01</v>
      </c>
    </row>
    <row r="10850" spans="1:6" x14ac:dyDescent="0.3">
      <c r="A10850" t="str">
        <f>HYPERLINK("https://us2.cloudbeds.com/connect/10074733072513#/reservations/31731203371200?display=MXHS0WPE7&amp;reservation_id=31731203371200", "MXHS0WPE7")</f>
        <v>MXHS0WPE7</v>
      </c>
      <c r="B10850" t="s">
        <v>1658</v>
      </c>
      <c r="C10850">
        <v>221.72</v>
      </c>
      <c r="D10850">
        <v>241.02</v>
      </c>
      <c r="E10850">
        <v>241.01</v>
      </c>
      <c r="F10850">
        <v>0.01</v>
      </c>
    </row>
    <row r="10851" spans="1:6" x14ac:dyDescent="0.3">
      <c r="A10851" t="str">
        <f>HYPERLINK("https://us2.cloudbeds.com/connect/10074733072513#/reservations/31730144522454?display=MXH1ZAWBE&amp;reservation_id=31730144522454", "MXH1ZAWBE")</f>
        <v>MXH1ZAWBE</v>
      </c>
      <c r="B10851" t="s">
        <v>1611</v>
      </c>
      <c r="C10851">
        <v>129</v>
      </c>
      <c r="D10851">
        <v>140.22999999999999</v>
      </c>
      <c r="E10851">
        <v>140.22</v>
      </c>
      <c r="F10851">
        <v>0.01</v>
      </c>
    </row>
    <row r="10852" spans="1:6" x14ac:dyDescent="0.3">
      <c r="A10852" t="str">
        <f>HYPERLINK("https://us2.cloudbeds.com/connect/10074733072513#/reservations/31729335845082?display=MXGE2EB7H&amp;reservation_id=31729335845082", "MXGE2EB7H")</f>
        <v>MXGE2EB7H</v>
      </c>
      <c r="B10852" t="s">
        <v>1604</v>
      </c>
      <c r="C10852">
        <v>378</v>
      </c>
      <c r="D10852">
        <v>410.9</v>
      </c>
      <c r="E10852">
        <v>410.89</v>
      </c>
      <c r="F10852">
        <v>0.01</v>
      </c>
    </row>
    <row r="10853" spans="1:6" x14ac:dyDescent="0.3">
      <c r="A10853" t="str">
        <f>HYPERLINK("https://us2.cloudbeds.com/connect/10074733072513#/reservations/31734015582353?display=MXK1YGUKS&amp;reservation_id=31734015582353", "MXK1YGUKS")</f>
        <v>MXK1YGUKS</v>
      </c>
      <c r="B10853" t="s">
        <v>1663</v>
      </c>
      <c r="C10853">
        <v>169</v>
      </c>
      <c r="D10853">
        <v>183.71</v>
      </c>
      <c r="E10853">
        <v>183.7</v>
      </c>
      <c r="F10853">
        <v>0.01</v>
      </c>
    </row>
    <row r="10854" spans="1:6" x14ac:dyDescent="0.3">
      <c r="A10854" t="str">
        <f>HYPERLINK("https://us2.cloudbeds.com/connect/10074733072513#/reservations/31731486560392?display=MXX30W5DZ&amp;reservation_id=31731486560392", "MXX30W5DZ")</f>
        <v>MXX30W5DZ</v>
      </c>
      <c r="B10854" t="s">
        <v>1618</v>
      </c>
      <c r="C10854">
        <v>156.6</v>
      </c>
      <c r="D10854">
        <v>170.23</v>
      </c>
      <c r="E10854">
        <v>170.22</v>
      </c>
      <c r="F10854">
        <v>0.01</v>
      </c>
    </row>
    <row r="10855" spans="1:6" x14ac:dyDescent="0.3">
      <c r="A10855" t="str">
        <f>HYPERLINK("https://us2.cloudbeds.com/connect/10074733072513#/reservations/31729019043969?display=MXG5W9T3Q&amp;reservation_id=31729019043969", "MXG5W9T3Q")</f>
        <v>MXG5W9T3Q</v>
      </c>
      <c r="B10855" t="s">
        <v>1664</v>
      </c>
      <c r="C10855">
        <v>129</v>
      </c>
      <c r="D10855">
        <v>140.22999999999999</v>
      </c>
      <c r="E10855">
        <v>140.22</v>
      </c>
      <c r="F10855">
        <v>0.01</v>
      </c>
    </row>
    <row r="10856" spans="1:6" x14ac:dyDescent="0.3">
      <c r="A10856" t="str">
        <f>HYPERLINK("https://us2.cloudbeds.com/connect/10074733072513#/reservations/31729725661322?display=MXGZ14X6S&amp;reservation_id=31729725661322", "MXGZ14X6S")</f>
        <v>MXGZ14X6S</v>
      </c>
      <c r="B10856" t="s">
        <v>1371</v>
      </c>
      <c r="C10856">
        <v>89</v>
      </c>
      <c r="D10856">
        <v>96.75</v>
      </c>
      <c r="E10856">
        <v>96.74</v>
      </c>
      <c r="F10856">
        <v>0.01</v>
      </c>
    </row>
    <row r="10857" spans="1:6" x14ac:dyDescent="0.3">
      <c r="A10857" t="str">
        <f>HYPERLINK("https://us2.cloudbeds.com/connect/10074733072513#/reservations/31731370356940?display=MXX01WKS0&amp;reservation_id=31731370356940", "MXX01WKS0")</f>
        <v>MXX01WKS0</v>
      </c>
      <c r="B10857" t="s">
        <v>1659</v>
      </c>
      <c r="C10857">
        <v>189</v>
      </c>
      <c r="D10857">
        <v>205.45</v>
      </c>
      <c r="E10857">
        <v>205.44</v>
      </c>
      <c r="F10857">
        <v>0.01</v>
      </c>
    </row>
    <row r="10858" spans="1:6" x14ac:dyDescent="0.3">
      <c r="A10858" t="str">
        <f>HYPERLINK("https://us2.cloudbeds.com/connect/10074733072513#/reservations/31735293288659?display=MXY19TWYP&amp;reservation_id=31735293288659", "MXY19TWYP")</f>
        <v>MXY19TWYP</v>
      </c>
      <c r="B10858" t="s">
        <v>1663</v>
      </c>
      <c r="C10858">
        <v>313</v>
      </c>
      <c r="D10858">
        <v>340.24</v>
      </c>
      <c r="E10858">
        <v>340.23</v>
      </c>
      <c r="F10858">
        <v>0.01</v>
      </c>
    </row>
    <row r="10859" spans="1:6" x14ac:dyDescent="0.3">
      <c r="A10859" t="str">
        <f>HYPERLINK("https://us2.cloudbeds.com/connect/10074733072513#/reservations/31735290712299?display=MXY17Z9S8&amp;reservation_id=31735290712299", "MXY17Z9S8")</f>
        <v>MXY17Z9S8</v>
      </c>
      <c r="B10859" t="s">
        <v>1663</v>
      </c>
      <c r="C10859">
        <v>313</v>
      </c>
      <c r="D10859">
        <v>340.24</v>
      </c>
      <c r="E10859">
        <v>340.23</v>
      </c>
      <c r="F10859">
        <v>0.01</v>
      </c>
    </row>
    <row r="10860" spans="1:6" x14ac:dyDescent="0.3">
      <c r="A10860" t="str">
        <f>HYPERLINK("https://us2.cloudbeds.com/connect/10074733072513#/reservations/31728236835002?display=MXFXWNP7P&amp;reservation_id=31728236835002", "MXFXWNP7P")</f>
        <v>MXFXWNP7P</v>
      </c>
      <c r="B10860" t="s">
        <v>1604</v>
      </c>
      <c r="C10860">
        <v>378</v>
      </c>
      <c r="D10860">
        <v>410.9</v>
      </c>
      <c r="E10860">
        <v>410.89</v>
      </c>
      <c r="F10860">
        <v>0.01</v>
      </c>
    </row>
    <row r="10861" spans="1:6" x14ac:dyDescent="0.3">
      <c r="A10861" t="str">
        <f>HYPERLINK("https://us2.cloudbeds.com/connect/10074733072513#/reservations/31730984870042?display=MXHN6UTCS&amp;reservation_id=31730984870042", "MXHN6UTCS")</f>
        <v>MXHN6UTCS</v>
      </c>
      <c r="B10861" t="s">
        <v>1371</v>
      </c>
      <c r="C10861">
        <v>418</v>
      </c>
      <c r="D10861">
        <v>454.38</v>
      </c>
      <c r="E10861">
        <v>454.37</v>
      </c>
      <c r="F10861">
        <v>0.01</v>
      </c>
    </row>
    <row r="10862" spans="1:6" x14ac:dyDescent="0.3">
      <c r="A10862" t="str">
        <f>HYPERLINK("https://us2.cloudbeds.com/connect/10074733072513#/reservations/31730963243219?display=MXHMYN31J&amp;reservation_id=31730963243219", "MXHMYN31J")</f>
        <v>MXHMYN31J</v>
      </c>
      <c r="B10862" t="s">
        <v>1371</v>
      </c>
      <c r="C10862">
        <v>209</v>
      </c>
      <c r="D10862">
        <v>227.19</v>
      </c>
      <c r="E10862">
        <v>227.18</v>
      </c>
      <c r="F10862">
        <v>0.01</v>
      </c>
    </row>
    <row r="10863" spans="1:6" x14ac:dyDescent="0.3">
      <c r="A10863" t="str">
        <f>HYPERLINK("https://us2.cloudbeds.com/connect/10074733072513#/reservations/31730060128483?display=MXGWJ5JJC&amp;reservation_id=31730060128483", "MXGWJ5JJC")</f>
        <v>MXGWJ5JJC</v>
      </c>
      <c r="B10863" t="s">
        <v>1501</v>
      </c>
      <c r="C10863">
        <v>139</v>
      </c>
      <c r="D10863">
        <v>151.1</v>
      </c>
      <c r="E10863">
        <v>151.09</v>
      </c>
      <c r="F10863">
        <v>0.01</v>
      </c>
    </row>
    <row r="10864" spans="1:6" x14ac:dyDescent="0.3">
      <c r="A10864" t="str">
        <f>HYPERLINK("https://us2.cloudbeds.com/connect/10074733072513#/reservations/31726123561201?display=MXDUWZQJZ&amp;reservation_id=31726123561201", "MXDUWZQJZ")</f>
        <v>MXDUWZQJZ</v>
      </c>
      <c r="B10864" t="s">
        <v>1566</v>
      </c>
      <c r="C10864">
        <v>129</v>
      </c>
      <c r="D10864">
        <v>140.22999999999999</v>
      </c>
      <c r="E10864">
        <v>140.22</v>
      </c>
      <c r="F10864">
        <v>0.01</v>
      </c>
    </row>
    <row r="10865" spans="1:6" x14ac:dyDescent="0.3">
      <c r="A10865" t="str">
        <f>HYPERLINK("https://us2.cloudbeds.com/connect/10074733072513#/reservations/31731033321666?display=MXHZEQ47T&amp;reservation_id=31731033321666", "MXHZEQ47T")</f>
        <v>MXHZEQ47T</v>
      </c>
      <c r="B10865" t="s">
        <v>1412</v>
      </c>
      <c r="C10865">
        <v>438</v>
      </c>
      <c r="D10865">
        <v>476.12</v>
      </c>
      <c r="E10865">
        <v>476.11</v>
      </c>
      <c r="F10865">
        <v>0.01</v>
      </c>
    </row>
    <row r="10866" spans="1:6" x14ac:dyDescent="0.3">
      <c r="A10866" t="str">
        <f>HYPERLINK("https://us2.cloudbeds.com/connect/10074733072513#/reservations/31732657287418?display=MXXWV5C69&amp;reservation_id=31732657287418", "MXXWV5C69")</f>
        <v>MXXWV5C69</v>
      </c>
      <c r="B10866" t="s">
        <v>1660</v>
      </c>
      <c r="C10866">
        <v>282</v>
      </c>
      <c r="D10866">
        <v>306.54000000000002</v>
      </c>
      <c r="E10866">
        <v>306.52999999999997</v>
      </c>
      <c r="F10866">
        <v>0.01</v>
      </c>
    </row>
    <row r="10867" spans="1:6" x14ac:dyDescent="0.3">
      <c r="A10867" t="str">
        <f>HYPERLINK("https://us2.cloudbeds.com/connect/10074733072513#/reservations/31735308468466?display=MXY1MNCSU&amp;reservation_id=31735308468466", "MXY1MNCSU")</f>
        <v>MXY1MNCSU</v>
      </c>
      <c r="B10867" t="s">
        <v>1663</v>
      </c>
      <c r="C10867">
        <v>209</v>
      </c>
      <c r="D10867">
        <v>227.19</v>
      </c>
      <c r="E10867">
        <v>227.18</v>
      </c>
      <c r="F10867">
        <v>0.01</v>
      </c>
    </row>
    <row r="10868" spans="1:6" x14ac:dyDescent="0.3">
      <c r="A10868" t="str">
        <f>HYPERLINK("https://us2.cloudbeds.com/connect/10074733072513#/reservations/31735002165404?display=MXKQSE1RV&amp;reservation_id=31735002165404", "MXKQSE1RV")</f>
        <v>MXKQSE1RV</v>
      </c>
      <c r="B10868" t="s">
        <v>1651</v>
      </c>
      <c r="C10868">
        <v>353</v>
      </c>
      <c r="D10868">
        <v>383.72</v>
      </c>
      <c r="E10868">
        <v>383.71</v>
      </c>
      <c r="F10868">
        <v>0.01</v>
      </c>
    </row>
    <row r="10869" spans="1:6" x14ac:dyDescent="0.3">
      <c r="A10869" t="str">
        <f>HYPERLINK("https://us2.cloudbeds.com/connect/10074733072513#/reservations/31735020269788?display=MXKRAMRKY&amp;reservation_id=31735020269788", "MXKRAMRKY")</f>
        <v>MXKRAMRKY</v>
      </c>
      <c r="B10869" t="s">
        <v>1651</v>
      </c>
      <c r="C10869">
        <v>178</v>
      </c>
      <c r="D10869">
        <v>193.5</v>
      </c>
      <c r="E10869">
        <v>193.49</v>
      </c>
      <c r="F10869">
        <v>0.01</v>
      </c>
    </row>
    <row r="10870" spans="1:6" x14ac:dyDescent="0.3">
      <c r="A10870" t="str">
        <f>HYPERLINK("https://us2.cloudbeds.com/connect/10074733072513#/reservations/31730041176281?display=MXGW36797&amp;reservation_id=31730041176281", "MXGW36797")</f>
        <v>MXGW36797</v>
      </c>
      <c r="B10870" t="s">
        <v>1665</v>
      </c>
      <c r="C10870">
        <v>139</v>
      </c>
      <c r="D10870">
        <v>151.1</v>
      </c>
      <c r="E10870">
        <v>151.09</v>
      </c>
      <c r="F10870">
        <v>0.01</v>
      </c>
    </row>
    <row r="10871" spans="1:6" x14ac:dyDescent="0.3">
      <c r="A10871" t="str">
        <f>HYPERLINK("https://us2.cloudbeds.com/connect/10074733072513#/reservations/31730772390049?display=MXHHPPAK6&amp;reservation_id=31730772390049", "MXHHPPAK6")</f>
        <v>MXHHPPAK6</v>
      </c>
      <c r="B10871" t="s">
        <v>1651</v>
      </c>
      <c r="C10871">
        <v>89</v>
      </c>
      <c r="D10871">
        <v>96.75</v>
      </c>
      <c r="E10871">
        <v>96.74</v>
      </c>
      <c r="F10871">
        <v>0.01</v>
      </c>
    </row>
    <row r="10872" spans="1:6" x14ac:dyDescent="0.3">
      <c r="A10872" t="str">
        <f>HYPERLINK("https://us2.cloudbeds.com/connect/10074733072513#/reservations/31733912809711?display=MXJW0S47C&amp;reservation_id=31733912809711", "MXJW0S47C")</f>
        <v>MXJW0S47C</v>
      </c>
      <c r="B10872" t="s">
        <v>1660</v>
      </c>
      <c r="C10872">
        <v>137.97999999999999</v>
      </c>
      <c r="D10872">
        <v>149.99</v>
      </c>
      <c r="E10872">
        <v>149.97999999999999</v>
      </c>
      <c r="F10872">
        <v>0.01</v>
      </c>
    </row>
    <row r="10873" spans="1:6" x14ac:dyDescent="0.3">
      <c r="A10873" t="str">
        <f>HYPERLINK("https://us2.cloudbeds.com/connect/10074733072513#/reservations/31725793644761?display=MXDMXXD0R&amp;reservation_id=31725793644761", "MXDMXXD0R")</f>
        <v>MXDMXXD0R</v>
      </c>
      <c r="B10873" t="s">
        <v>1662</v>
      </c>
      <c r="C10873">
        <v>258</v>
      </c>
      <c r="D10873">
        <v>280.45999999999998</v>
      </c>
      <c r="E10873">
        <v>280.45</v>
      </c>
      <c r="F10873">
        <v>0.01</v>
      </c>
    </row>
    <row r="10874" spans="1:6" x14ac:dyDescent="0.3">
      <c r="A10874" t="str">
        <f>HYPERLINK("https://us2.cloudbeds.com/connect/10074733072513#/reservations/31733981741272?display=MXK0PW88H&amp;reservation_id=31733981741272", "MXK0PW88H")</f>
        <v>MXK0PW88H</v>
      </c>
      <c r="B10874" t="s">
        <v>1660</v>
      </c>
      <c r="C10874">
        <v>169</v>
      </c>
      <c r="D10874">
        <v>183.71</v>
      </c>
      <c r="E10874">
        <v>183.7</v>
      </c>
      <c r="F10874">
        <v>0.01</v>
      </c>
    </row>
    <row r="10875" spans="1:6" x14ac:dyDescent="0.3">
      <c r="A10875" t="str">
        <f>HYPERLINK("https://us2.cloudbeds.com/connect/10074733072513#/reservations/31732678578379?display=MXJ0G3R3U&amp;reservation_id=31732678578379", "MXJ0G3R3U")</f>
        <v>MXJ0G3R3U</v>
      </c>
      <c r="B10875" t="s">
        <v>1660</v>
      </c>
      <c r="C10875">
        <v>209</v>
      </c>
      <c r="D10875">
        <v>227.19</v>
      </c>
      <c r="E10875">
        <v>227.18</v>
      </c>
      <c r="F10875">
        <v>0.01</v>
      </c>
    </row>
    <row r="10876" spans="1:6" x14ac:dyDescent="0.3">
      <c r="A10876" t="str">
        <f>HYPERLINK("https://us2.cloudbeds.com/connect/10074733072513#/reservations/31731340771480?display=MXHWA1C9U&amp;reservation_id=31731340771480", "MXHWA1C9U")</f>
        <v>MXHWA1C9U</v>
      </c>
      <c r="B10876" t="s">
        <v>1659</v>
      </c>
      <c r="C10876">
        <v>169</v>
      </c>
      <c r="D10876">
        <v>183.71</v>
      </c>
      <c r="E10876">
        <v>183.7</v>
      </c>
      <c r="F10876">
        <v>0.01</v>
      </c>
    </row>
    <row r="10877" spans="1:6" x14ac:dyDescent="0.3">
      <c r="A10877" t="str">
        <f>HYPERLINK("https://us2.cloudbeds.com/connect/10074733072513#/reservations/31726481072318?display=MXE7472KV&amp;reservation_id=31726481072318", "MXE7472KV")</f>
        <v>MXE7472KV</v>
      </c>
      <c r="B10877" t="s">
        <v>1560</v>
      </c>
      <c r="C10877">
        <v>139</v>
      </c>
      <c r="D10877">
        <v>151.1</v>
      </c>
      <c r="E10877">
        <v>151.09</v>
      </c>
      <c r="F10877">
        <v>0.01</v>
      </c>
    </row>
    <row r="10878" spans="1:6" x14ac:dyDescent="0.3">
      <c r="A10878" t="str">
        <f>HYPERLINK("https://us2.cloudbeds.com/connect/10074733072513#/reservations/31731742851311?display=MXX9J2RK7&amp;reservation_id=31731742851311", "MXX9J2RK7")</f>
        <v>MXX9J2RK7</v>
      </c>
      <c r="B10878" t="s">
        <v>1573</v>
      </c>
      <c r="C10878">
        <v>458</v>
      </c>
      <c r="D10878">
        <v>497.86</v>
      </c>
      <c r="E10878">
        <v>497.85</v>
      </c>
      <c r="F10878">
        <v>0.01</v>
      </c>
    </row>
    <row r="10879" spans="1:6" x14ac:dyDescent="0.3">
      <c r="A10879" t="str">
        <f>HYPERLINK("https://us2.cloudbeds.com/connect/10074733072513#/reservations/31729554383052?display=MXGJYNFT8&amp;reservation_id=31729554383052", "MXGJYNFT8")</f>
        <v>MXGJYNFT8</v>
      </c>
      <c r="B10879" t="s">
        <v>1566</v>
      </c>
      <c r="C10879">
        <v>149</v>
      </c>
      <c r="D10879">
        <v>161.97</v>
      </c>
      <c r="E10879">
        <v>161.96</v>
      </c>
      <c r="F10879">
        <v>0.01</v>
      </c>
    </row>
    <row r="10880" spans="1:6" x14ac:dyDescent="0.3">
      <c r="A10880" t="str">
        <f>HYPERLINK("https://us2.cloudbeds.com/connect/10074733072513#/reservations/31723868545271?display=MXC6C8YTM&amp;reservation_id=31723868545271", "MXC6C8YTM")</f>
        <v>MXC6C8YTM</v>
      </c>
      <c r="B10880" t="s">
        <v>1626</v>
      </c>
      <c r="C10880">
        <v>236.7</v>
      </c>
      <c r="D10880">
        <v>257.3</v>
      </c>
      <c r="E10880">
        <v>257.29000000000002</v>
      </c>
      <c r="F10880">
        <v>0.01</v>
      </c>
    </row>
    <row r="10881" spans="1:6" x14ac:dyDescent="0.3">
      <c r="A10881" t="str">
        <f>HYPERLINK("https://us2.cloudbeds.com/connect/10074733072513#/reservations/31729754615952?display=MXGZPX8FT&amp;reservation_id=31729754615952", "MXGZPX8FT")</f>
        <v>MXGZPX8FT</v>
      </c>
      <c r="B10881" t="s">
        <v>1651</v>
      </c>
      <c r="C10881">
        <v>219</v>
      </c>
      <c r="D10881">
        <v>238.06</v>
      </c>
      <c r="E10881">
        <v>238.05</v>
      </c>
      <c r="F10881">
        <v>0.01</v>
      </c>
    </row>
    <row r="10882" spans="1:6" x14ac:dyDescent="0.3">
      <c r="A10882" t="str">
        <f>HYPERLINK("https://us2.cloudbeds.com/connect/10074733072513#/reservations/31734981099683?display=MXKQAYSZZ&amp;reservation_id=31734981099683", "MXKQAYSZZ")</f>
        <v>MXKQAYSZZ</v>
      </c>
      <c r="B10882" t="s">
        <v>1651</v>
      </c>
      <c r="C10882">
        <v>229</v>
      </c>
      <c r="D10882">
        <v>248.93</v>
      </c>
      <c r="E10882">
        <v>248.92</v>
      </c>
      <c r="F10882">
        <v>0.01</v>
      </c>
    </row>
    <row r="10883" spans="1:6" x14ac:dyDescent="0.3">
      <c r="A10883" t="str">
        <f>HYPERLINK("https://us2.cloudbeds.com/connect/10074733072513#/reservations/31729877205130?display=MXGRTUFTF&amp;reservation_id=31729877205130", "MXGRTUFTF")</f>
        <v>MXGRTUFTF</v>
      </c>
      <c r="B10883" t="s">
        <v>1667</v>
      </c>
      <c r="C10883">
        <v>159</v>
      </c>
      <c r="D10883">
        <v>172.84</v>
      </c>
      <c r="E10883">
        <v>172.83</v>
      </c>
      <c r="F10883">
        <v>0.01</v>
      </c>
    </row>
    <row r="10884" spans="1:6" x14ac:dyDescent="0.3">
      <c r="A10884" t="str">
        <f>HYPERLINK("https://us2.cloudbeds.com/connect/10074733072513#/reservations/31725128736897?display=MXD5XTBYN&amp;reservation_id=31725128736897", "MXD5XTBYN")</f>
        <v>MXD5XTBYN</v>
      </c>
      <c r="B10884" t="s">
        <v>1668</v>
      </c>
      <c r="C10884">
        <v>355.7</v>
      </c>
      <c r="D10884">
        <v>386.66</v>
      </c>
      <c r="E10884">
        <v>386.65</v>
      </c>
      <c r="F10884">
        <v>0.01</v>
      </c>
    </row>
    <row r="10885" spans="1:6" x14ac:dyDescent="0.3">
      <c r="A10885" t="str">
        <f>HYPERLINK("https://us2.cloudbeds.com/connect/10074733072513#/reservations/31730363883680?display=MXH7BA0WA&amp;reservation_id=31730363883680", "MXH7BA0WA")</f>
        <v>MXH7BA0WA</v>
      </c>
      <c r="B10885" t="s">
        <v>1519</v>
      </c>
      <c r="C10885">
        <v>293.72000000000003</v>
      </c>
      <c r="D10885">
        <v>319.27999999999997</v>
      </c>
      <c r="E10885">
        <v>319.27</v>
      </c>
      <c r="F10885">
        <v>0.01</v>
      </c>
    </row>
    <row r="10886" spans="1:6" x14ac:dyDescent="0.3">
      <c r="A10886" t="str">
        <f>HYPERLINK("https://us2.cloudbeds.com/connect/10074733072513#/reservations/31730544935041?display=MXHBVW1M6&amp;reservation_id=31730544935041", "MXHBVW1M6")</f>
        <v>MXHBVW1M6</v>
      </c>
      <c r="B10886" t="s">
        <v>1635</v>
      </c>
      <c r="C10886">
        <v>432</v>
      </c>
      <c r="D10886">
        <v>469.59</v>
      </c>
      <c r="E10886">
        <v>469.58</v>
      </c>
      <c r="F10886">
        <v>0.01</v>
      </c>
    </row>
    <row r="10887" spans="1:6" x14ac:dyDescent="0.3">
      <c r="A10887" t="str">
        <f>HYPERLINK("https://us2.cloudbeds.com/connect/10074733072513#/reservations/31731681415342?display=MXX8099J6&amp;reservation_id=31731681415342", "MXX8099J6")</f>
        <v>MXX8099J6</v>
      </c>
      <c r="B10887" t="s">
        <v>1669</v>
      </c>
      <c r="C10887">
        <v>73</v>
      </c>
      <c r="D10887">
        <v>79.36</v>
      </c>
      <c r="E10887">
        <v>79.349999999999994</v>
      </c>
      <c r="F10887">
        <v>0.01</v>
      </c>
    </row>
    <row r="10888" spans="1:6" x14ac:dyDescent="0.3">
      <c r="A10888" t="str">
        <f>HYPERLINK("https://us2.cloudbeds.com/connect/10074733072513#/reservations/31730797367514?display=MXHXDRBP2&amp;reservation_id=31730797367514", "MXHXDRBP2")</f>
        <v>MXHXDRBP2</v>
      </c>
      <c r="B10888" t="s">
        <v>1651</v>
      </c>
      <c r="C10888">
        <v>209</v>
      </c>
      <c r="D10888">
        <v>227.19</v>
      </c>
      <c r="E10888">
        <v>227.18</v>
      </c>
      <c r="F10888">
        <v>0.01</v>
      </c>
    </row>
    <row r="10889" spans="1:6" x14ac:dyDescent="0.3">
      <c r="A10889" t="str">
        <f>HYPERLINK("https://us2.cloudbeds.com/connect/10074733072513#/reservations/31733651615936?display=MXJPBJU5A&amp;reservation_id=31733651615936", "MXJPBJU5A")</f>
        <v>MXJPBJU5A</v>
      </c>
      <c r="B10889" t="s">
        <v>1651</v>
      </c>
      <c r="C10889">
        <v>209</v>
      </c>
      <c r="D10889">
        <v>227.19</v>
      </c>
      <c r="E10889">
        <v>227.18</v>
      </c>
      <c r="F10889">
        <v>0.01</v>
      </c>
    </row>
    <row r="10890" spans="1:6" x14ac:dyDescent="0.3">
      <c r="A10890" t="str">
        <f>HYPERLINK("https://us2.cloudbeds.com/connect/10074733072513#/reservations/31732094341275?display=MXXXXFXJ8&amp;reservation_id=31732094341275", "MXXXXFXJ8")</f>
        <v>MXXXXFXJ8</v>
      </c>
      <c r="B10890" t="s">
        <v>1371</v>
      </c>
      <c r="C10890">
        <v>229</v>
      </c>
      <c r="D10890">
        <v>248.93</v>
      </c>
      <c r="E10890">
        <v>248.92</v>
      </c>
      <c r="F10890">
        <v>0.01</v>
      </c>
    </row>
    <row r="10891" spans="1:6" x14ac:dyDescent="0.3">
      <c r="A10891" t="str">
        <f>HYPERLINK("https://us2.cloudbeds.com/connect/10074733072513#/reservations/31729725665413?display=MXGZ14YVR&amp;reservation_id=31729725665413", "MXGZ14YVR")</f>
        <v>MXGZ14YVR</v>
      </c>
      <c r="B10891" t="s">
        <v>1371</v>
      </c>
      <c r="C10891">
        <v>229</v>
      </c>
      <c r="D10891">
        <v>248.93</v>
      </c>
      <c r="E10891">
        <v>248.92</v>
      </c>
      <c r="F10891">
        <v>0.01</v>
      </c>
    </row>
    <row r="10892" spans="1:6" x14ac:dyDescent="0.3">
      <c r="A10892" t="str">
        <f>HYPERLINK("https://us2.cloudbeds.com/connect/10074733072513#/reservations/31723183550632?display=MXBYSYMCC&amp;reservation_id=31723183550632", "MXBYSYMCC")</f>
        <v>MXBYSYMCC</v>
      </c>
      <c r="B10892" t="s">
        <v>1626</v>
      </c>
      <c r="C10892">
        <v>236.7</v>
      </c>
      <c r="D10892">
        <v>257.3</v>
      </c>
      <c r="E10892">
        <v>257.29000000000002</v>
      </c>
      <c r="F10892">
        <v>0.01</v>
      </c>
    </row>
    <row r="10893" spans="1:6" x14ac:dyDescent="0.3">
      <c r="A10893" t="str">
        <f>HYPERLINK("https://us2.cloudbeds.com/connect/10074733072513#/reservations/31726246117601?display=MXE1433U1&amp;reservation_id=31726246117601", "MXE1433U1")</f>
        <v>MXE1433U1</v>
      </c>
      <c r="B10893" t="s">
        <v>1560</v>
      </c>
      <c r="C10893">
        <v>159</v>
      </c>
      <c r="D10893">
        <v>172.84</v>
      </c>
      <c r="E10893">
        <v>172.83</v>
      </c>
      <c r="F10893">
        <v>0.01</v>
      </c>
    </row>
    <row r="10894" spans="1:6" x14ac:dyDescent="0.3">
      <c r="A10894" t="str">
        <f>HYPERLINK("https://us2.cloudbeds.com/connect/10074733072513#/reservations/31725669707950?display=MXDJD1M3U&amp;reservation_id=31725669707950", "MXDJD1M3U")</f>
        <v>MXDJD1M3U</v>
      </c>
      <c r="B10894" t="s">
        <v>1670</v>
      </c>
      <c r="C10894">
        <v>189</v>
      </c>
      <c r="D10894">
        <v>205.45</v>
      </c>
      <c r="E10894">
        <v>205.44</v>
      </c>
      <c r="F10894">
        <v>0.01</v>
      </c>
    </row>
    <row r="10895" spans="1:6" x14ac:dyDescent="0.3">
      <c r="A10895" t="str">
        <f>HYPERLINK("https://us2.cloudbeds.com/connect/10074733072513#/reservations/31732564656272?display=MXXUJ1PES&amp;reservation_id=31732564656272", "MXXUJ1PES")</f>
        <v>MXXUJ1PES</v>
      </c>
      <c r="B10895" t="s">
        <v>1604</v>
      </c>
      <c r="C10895">
        <v>219</v>
      </c>
      <c r="D10895">
        <v>238.06</v>
      </c>
      <c r="E10895">
        <v>238.05</v>
      </c>
      <c r="F10895">
        <v>0.01</v>
      </c>
    </row>
    <row r="10896" spans="1:6" x14ac:dyDescent="0.3">
      <c r="A10896" t="str">
        <f>HYPERLINK("https://us2.cloudbeds.com/connect/10074733072513#/reservations/31729926303996?display=MXGT5AZ2T&amp;reservation_id=31729926303996", "MXGT5AZ2T")</f>
        <v>MXGT5AZ2T</v>
      </c>
      <c r="B10896" t="s">
        <v>1519</v>
      </c>
      <c r="C10896">
        <v>458</v>
      </c>
      <c r="D10896">
        <v>497.86</v>
      </c>
      <c r="E10896">
        <v>497.85</v>
      </c>
      <c r="F10896">
        <v>0.01</v>
      </c>
    </row>
    <row r="10897" spans="1:6" x14ac:dyDescent="0.3">
      <c r="A10897" t="str">
        <f>HYPERLINK("https://us2.cloudbeds.com/connect/10074733072513#/reservations/31729198457084?display=MXGAXJAES&amp;reservation_id=31729198457084", "MXGAXJAES")</f>
        <v>MXGAXJAES</v>
      </c>
      <c r="B10897" t="s">
        <v>1665</v>
      </c>
      <c r="C10897">
        <v>336</v>
      </c>
      <c r="D10897">
        <v>365.24</v>
      </c>
      <c r="E10897">
        <v>365.23</v>
      </c>
      <c r="F10897">
        <v>0.01</v>
      </c>
    </row>
    <row r="10898" spans="1:6" x14ac:dyDescent="0.3">
      <c r="A10898" t="str">
        <f>HYPERLINK("https://us2.cloudbeds.com/connect/10074733072513#/reservations/31726180819165?display=MXDWF132X&amp;reservation_id=31726180819165", "MXDWF132X")</f>
        <v>MXDWF132X</v>
      </c>
      <c r="B10898" t="s">
        <v>1566</v>
      </c>
      <c r="C10898">
        <v>129</v>
      </c>
      <c r="D10898">
        <v>140.22999999999999</v>
      </c>
      <c r="E10898">
        <v>140.22</v>
      </c>
      <c r="F10898">
        <v>0.01</v>
      </c>
    </row>
    <row r="10899" spans="1:6" x14ac:dyDescent="0.3">
      <c r="A10899" t="str">
        <f>HYPERLINK("https://us2.cloudbeds.com/connect/10074733072513#/reservations/31730314313968?display=MXH62GMDR&amp;reservation_id=31730314313968", "MXH62GMDR")</f>
        <v>MXH62GMDR</v>
      </c>
      <c r="B10899" t="s">
        <v>1669</v>
      </c>
      <c r="C10899">
        <v>73</v>
      </c>
      <c r="D10899">
        <v>79.36</v>
      </c>
      <c r="E10899">
        <v>79.349999999999994</v>
      </c>
      <c r="F10899">
        <v>0.01</v>
      </c>
    </row>
    <row r="10900" spans="1:6" x14ac:dyDescent="0.3">
      <c r="A10900" t="str">
        <f>HYPERLINK("https://us2.cloudbeds.com/connect/10074733072513#/reservations/31726238384262?display=MXE0UXUJE&amp;reservation_id=31726238384262", "MXE0UXUJE")</f>
        <v>MXE0UXUJE</v>
      </c>
      <c r="B10900" t="s">
        <v>1560</v>
      </c>
      <c r="C10900">
        <v>338</v>
      </c>
      <c r="D10900">
        <v>367.42</v>
      </c>
      <c r="E10900">
        <v>367.41</v>
      </c>
      <c r="F10900">
        <v>0.01</v>
      </c>
    </row>
    <row r="10901" spans="1:6" x14ac:dyDescent="0.3">
      <c r="A10901" t="str">
        <f>HYPERLINK("https://us2.cloudbeds.com/connect/10074733072513#/reservations/31730962493657?display=MXHMY27ZJ&amp;reservation_id=31730962493657", "MXHMY27ZJ")</f>
        <v>MXHMY27ZJ</v>
      </c>
      <c r="B10901" t="s">
        <v>1412</v>
      </c>
      <c r="C10901">
        <v>129</v>
      </c>
      <c r="D10901">
        <v>140.22999999999999</v>
      </c>
      <c r="E10901">
        <v>140.22</v>
      </c>
      <c r="F10901">
        <v>0.01</v>
      </c>
    </row>
    <row r="10902" spans="1:6" x14ac:dyDescent="0.3">
      <c r="A10902" t="str">
        <f>HYPERLINK("https://us2.cloudbeds.com/connect/10074733072513#/reservations/31734589640849?display=MXKGAXVDS&amp;reservation_id=31734589640849", "MXKGAXVDS")</f>
        <v>MXKGAXVDS</v>
      </c>
      <c r="B10902" t="s">
        <v>1646</v>
      </c>
      <c r="C10902">
        <v>73</v>
      </c>
      <c r="D10902">
        <v>79.36</v>
      </c>
      <c r="E10902">
        <v>79.349999999999994</v>
      </c>
      <c r="F10902">
        <v>0.01</v>
      </c>
    </row>
    <row r="10903" spans="1:6" x14ac:dyDescent="0.3">
      <c r="A10903" t="str">
        <f>HYPERLINK("https://us2.cloudbeds.com/connect/10074733072513#/reservations/31728682696957?display=MXFUCMHH3&amp;reservation_id=31728682696957", "MXFUCMHH3")</f>
        <v>MXFUCMHH3</v>
      </c>
      <c r="B10903" t="s">
        <v>1644</v>
      </c>
      <c r="C10903">
        <v>576</v>
      </c>
      <c r="D10903">
        <v>626.12</v>
      </c>
      <c r="E10903">
        <v>626.11</v>
      </c>
      <c r="F10903">
        <v>0.01</v>
      </c>
    </row>
    <row r="10904" spans="1:6" x14ac:dyDescent="0.3">
      <c r="A10904" t="str">
        <f>HYPERLINK("https://us2.cloudbeds.com/connect/10074733072513#/reservations/31732207325397?display=MXXYEZGUH&amp;reservation_id=31732207325397", "MXXYEZGUH")</f>
        <v>MXXYEZGUH</v>
      </c>
      <c r="B10904" t="s">
        <v>1607</v>
      </c>
      <c r="C10904">
        <v>576</v>
      </c>
      <c r="D10904">
        <v>626.12</v>
      </c>
      <c r="E10904">
        <v>626.11</v>
      </c>
      <c r="F10904">
        <v>0.01</v>
      </c>
    </row>
    <row r="10905" spans="1:6" x14ac:dyDescent="0.3">
      <c r="A10905" t="str">
        <f>HYPERLINK("https://us2.cloudbeds.com/connect/10074733072513#/reservations/31734492287203?display=MXKDRFV4C&amp;reservation_id=31734492287203", "MXKDRFV4C")</f>
        <v>MXKDRFV4C</v>
      </c>
      <c r="B10905" t="s">
        <v>1625</v>
      </c>
      <c r="C10905">
        <v>89</v>
      </c>
      <c r="D10905">
        <v>96.75</v>
      </c>
      <c r="E10905">
        <v>96.74</v>
      </c>
      <c r="F10905">
        <v>0.01</v>
      </c>
    </row>
    <row r="10906" spans="1:6" x14ac:dyDescent="0.3">
      <c r="A10906" t="str">
        <f>HYPERLINK("https://us2.cloudbeds.com/connect/10074733072513#/reservations/31729860800657?display=MXGRG3037&amp;reservation_id=31729860800657", "MXGRG3037")</f>
        <v>MXGRG3037</v>
      </c>
      <c r="B10906" t="s">
        <v>1324</v>
      </c>
      <c r="C10906">
        <v>209</v>
      </c>
      <c r="D10906">
        <v>227.19</v>
      </c>
      <c r="E10906">
        <v>227.18</v>
      </c>
      <c r="F10906">
        <v>0.01</v>
      </c>
    </row>
    <row r="10907" spans="1:6" x14ac:dyDescent="0.3">
      <c r="A10907" t="str">
        <f>HYPERLINK("https://us2.cloudbeds.com/connect/10074733072513#/reservations/31731293110507?display=MXHV2S4G0&amp;reservation_id=31731293110507", "MXHV2S4G0")</f>
        <v>MXHV2S4G0</v>
      </c>
      <c r="B10907" t="s">
        <v>1659</v>
      </c>
      <c r="C10907">
        <v>249</v>
      </c>
      <c r="D10907">
        <v>270.67</v>
      </c>
      <c r="E10907">
        <v>270.66000000000003</v>
      </c>
      <c r="F10907">
        <v>0.01</v>
      </c>
    </row>
    <row r="10908" spans="1:6" x14ac:dyDescent="0.3">
      <c r="A10908" t="str">
        <f>HYPERLINK("https://us2.cloudbeds.com/connect/10074733072513#/reservations/31723371483264?display=MXBQDGJ6W&amp;reservation_id=31723371483264", "MXBQDGJ6W")</f>
        <v>MXBQDGJ6W</v>
      </c>
      <c r="B10908" t="s">
        <v>1648</v>
      </c>
      <c r="C10908">
        <v>258</v>
      </c>
      <c r="D10908">
        <v>280.45999999999998</v>
      </c>
      <c r="E10908">
        <v>280.45</v>
      </c>
      <c r="F10908">
        <v>0.01</v>
      </c>
    </row>
    <row r="10909" spans="1:6" x14ac:dyDescent="0.3">
      <c r="A10909" t="str">
        <f>HYPERLINK("https://us2.cloudbeds.com/connect/10074733072513#/reservations/31728629534930?display=MXFT0S77J&amp;reservation_id=31728629534930", "MXFT0S77J")</f>
        <v>MXFT0S77J</v>
      </c>
      <c r="B10909" t="s">
        <v>1644</v>
      </c>
      <c r="C10909">
        <v>135.79</v>
      </c>
      <c r="D10909">
        <v>147.61000000000001</v>
      </c>
      <c r="E10909">
        <v>147.6</v>
      </c>
      <c r="F10909">
        <v>0.01</v>
      </c>
    </row>
    <row r="10910" spans="1:6" x14ac:dyDescent="0.3">
      <c r="A10910" t="str">
        <f>HYPERLINK("https://us2.cloudbeds.com/connect/10074733072513#/reservations/31730075852950?display=MXGWWE4VC&amp;reservation_id=31730075852950", "MXGWWE4VC")</f>
        <v>MXGWWE4VC</v>
      </c>
      <c r="B10910" t="s">
        <v>1662</v>
      </c>
      <c r="C10910">
        <v>338</v>
      </c>
      <c r="D10910">
        <v>367.42</v>
      </c>
      <c r="E10910">
        <v>367.41</v>
      </c>
      <c r="F10910">
        <v>0.01</v>
      </c>
    </row>
    <row r="10911" spans="1:6" x14ac:dyDescent="0.3">
      <c r="A10911" t="str">
        <f>HYPERLINK("https://us2.cloudbeds.com/connect/10074733072513#/reservations/31730097033365?display=MXH0H9HC4&amp;reservation_id=31730097033365", "MXH0H9HC4")</f>
        <v>MXH0H9HC4</v>
      </c>
      <c r="B10911" t="s">
        <v>1662</v>
      </c>
      <c r="C10911">
        <v>338</v>
      </c>
      <c r="D10911">
        <v>367.42</v>
      </c>
      <c r="E10911">
        <v>367.41</v>
      </c>
      <c r="F10911">
        <v>0.01</v>
      </c>
    </row>
    <row r="10912" spans="1:6" x14ac:dyDescent="0.3">
      <c r="A10912" t="str">
        <f>HYPERLINK("https://us2.cloudbeds.com/connect/10074733072513#/reservations/31730309484707?display=MXH5VE9RJ&amp;reservation_id=31730309484707", "MXH5VE9RJ")</f>
        <v>MXH5VE9RJ</v>
      </c>
      <c r="B10912" t="s">
        <v>1444</v>
      </c>
      <c r="C10912">
        <v>378</v>
      </c>
      <c r="D10912">
        <v>410.9</v>
      </c>
      <c r="E10912">
        <v>410.89</v>
      </c>
      <c r="F10912">
        <v>0.01</v>
      </c>
    </row>
    <row r="10913" spans="1:6" x14ac:dyDescent="0.3">
      <c r="A10913" t="str">
        <f>HYPERLINK("https://us2.cloudbeds.com/connect/10074733072513#/reservations/31733926523016?display=MXJWCDNQ2&amp;reservation_id=31733926523016", "MXJWCDNQ2")</f>
        <v>MXJWCDNQ2</v>
      </c>
      <c r="B10913" t="s">
        <v>1673</v>
      </c>
      <c r="C10913">
        <v>129</v>
      </c>
      <c r="D10913">
        <v>140.22999999999999</v>
      </c>
      <c r="E10913">
        <v>140.22</v>
      </c>
      <c r="F10913">
        <v>0.01</v>
      </c>
    </row>
    <row r="10914" spans="1:6" x14ac:dyDescent="0.3">
      <c r="A10914" t="str">
        <f>HYPERLINK("https://us2.cloudbeds.com/connect/10074733072513#/reservations/31732398330036?display=MXXQAQGET&amp;reservation_id=31732398330036", "MXXQAQGET")</f>
        <v>MXXQAQGET</v>
      </c>
      <c r="B10914" t="s">
        <v>1674</v>
      </c>
      <c r="C10914">
        <v>252</v>
      </c>
      <c r="D10914">
        <v>273.93</v>
      </c>
      <c r="E10914">
        <v>273.92</v>
      </c>
      <c r="F10914">
        <v>0.01</v>
      </c>
    </row>
    <row r="10915" spans="1:6" x14ac:dyDescent="0.3">
      <c r="A10915" t="str">
        <f>HYPERLINK("https://us2.cloudbeds.com/connect/10074733072513#/reservations/31726454702259?display=MXE6EW9N6&amp;reservation_id=31726454702259", "MXE6EW9N6")</f>
        <v>MXE6EW9N6</v>
      </c>
      <c r="B10915" t="s">
        <v>1560</v>
      </c>
      <c r="C10915">
        <v>378</v>
      </c>
      <c r="D10915">
        <v>410.9</v>
      </c>
      <c r="E10915">
        <v>410.89</v>
      </c>
      <c r="F10915">
        <v>0.01</v>
      </c>
    </row>
    <row r="10916" spans="1:6" x14ac:dyDescent="0.3">
      <c r="A10916" t="str">
        <f>HYPERLINK("https://us2.cloudbeds.com/connect/10074733072513#/reservations/31732336840929?display=MXXZZVFKK&amp;reservation_id=31732336840929", "MXXZZVFKK")</f>
        <v>MXXZZVFKK</v>
      </c>
      <c r="B10916" t="s">
        <v>1646</v>
      </c>
      <c r="C10916">
        <v>156.6</v>
      </c>
      <c r="D10916">
        <v>170.23</v>
      </c>
      <c r="E10916">
        <v>170.22</v>
      </c>
      <c r="F10916">
        <v>0.01</v>
      </c>
    </row>
    <row r="10917" spans="1:6" x14ac:dyDescent="0.3">
      <c r="A10917" t="str">
        <f>HYPERLINK("https://us2.cloudbeds.com/connect/10074733072513#/reservations/31732326895755?display=MXXZGXZ7N&amp;reservation_id=31732326895755", "MXXZGXZ7N")</f>
        <v>MXXZGXZ7N</v>
      </c>
      <c r="B10917" t="s">
        <v>1646</v>
      </c>
      <c r="C10917">
        <v>135.79</v>
      </c>
      <c r="D10917">
        <v>147.61000000000001</v>
      </c>
      <c r="E10917">
        <v>147.6</v>
      </c>
      <c r="F10917">
        <v>0.01</v>
      </c>
    </row>
    <row r="10918" spans="1:6" x14ac:dyDescent="0.3">
      <c r="A10918" t="str">
        <f>HYPERLINK("https://us2.cloudbeds.com/connect/10074733072513#/reservations/31723382083785?display=MXBQV254A&amp;reservation_id=31723382083785", "MXBQV254A")</f>
        <v>MXBQV254A</v>
      </c>
      <c r="B10918" t="s">
        <v>1648</v>
      </c>
      <c r="C10918">
        <v>258</v>
      </c>
      <c r="D10918">
        <v>280.45999999999998</v>
      </c>
      <c r="E10918">
        <v>280.45</v>
      </c>
      <c r="F10918">
        <v>0.01</v>
      </c>
    </row>
    <row r="10919" spans="1:6" x14ac:dyDescent="0.3">
      <c r="A10919" t="str">
        <f>HYPERLINK("https://us2.cloudbeds.com/connect/10074733072513#/reservations/31731550695555?display=MXX4M1R1H&amp;reservation_id=31731550695555", "MXX4M1R1H")</f>
        <v>MXX4M1R1H</v>
      </c>
      <c r="B10919" t="s">
        <v>1673</v>
      </c>
      <c r="C10919">
        <v>482</v>
      </c>
      <c r="D10919">
        <v>523.94000000000005</v>
      </c>
      <c r="E10919">
        <v>523.92999999999995</v>
      </c>
      <c r="F10919">
        <v>0.01</v>
      </c>
    </row>
    <row r="10920" spans="1:6" x14ac:dyDescent="0.3">
      <c r="A10920" t="str">
        <f>HYPERLINK("https://us2.cloudbeds.com/connect/10074733072513#/reservations/31722678169829?display=MXB8VGNGJ&amp;reservation_id=31722678169829", "MXB8VGNGJ")</f>
        <v>MXB8VGNGJ</v>
      </c>
      <c r="B10920" t="s">
        <v>1427</v>
      </c>
      <c r="C10920">
        <v>129</v>
      </c>
      <c r="D10920">
        <v>140.22999999999999</v>
      </c>
      <c r="E10920">
        <v>140.22</v>
      </c>
      <c r="F10920">
        <v>0.01</v>
      </c>
    </row>
    <row r="10921" spans="1:6" x14ac:dyDescent="0.3">
      <c r="A10921" t="str">
        <f>HYPERLINK("https://us2.cloudbeds.com/connect/10074733072513#/reservations/31728905113732?display=MXG327JWC&amp;reservation_id=31728905113732", "MXG327JWC")</f>
        <v>MXG327JWC</v>
      </c>
      <c r="B10921" t="s">
        <v>1675</v>
      </c>
      <c r="C10921">
        <v>129</v>
      </c>
      <c r="D10921">
        <v>140.22999999999999</v>
      </c>
      <c r="E10921">
        <v>140.22</v>
      </c>
      <c r="F10921">
        <v>0.01</v>
      </c>
    </row>
    <row r="10922" spans="1:6" x14ac:dyDescent="0.3">
      <c r="A10922" t="str">
        <f>HYPERLINK("https://us2.cloudbeds.com/connect/10074733072513#/reservations/31734321144033?display=MXK9F5KSN&amp;reservation_id=31734321144033", "MXK9F5KSN")</f>
        <v>MXK9F5KSN</v>
      </c>
      <c r="B10922" t="s">
        <v>1625</v>
      </c>
      <c r="C10922">
        <v>189</v>
      </c>
      <c r="D10922">
        <v>205.45</v>
      </c>
      <c r="E10922">
        <v>205.44</v>
      </c>
      <c r="F10922">
        <v>0.01</v>
      </c>
    </row>
    <row r="10923" spans="1:6" x14ac:dyDescent="0.3">
      <c r="A10923" t="str">
        <f>HYPERLINK("https://us2.cloudbeds.com/connect/10074733072513#/reservations/31732288954545?display=MXXNHXVR2&amp;reservation_id=31732288954545", "MXXNHXVR2")</f>
        <v>MXXNHXVR2</v>
      </c>
      <c r="B10923" t="s">
        <v>1607</v>
      </c>
      <c r="C10923">
        <v>156.6</v>
      </c>
      <c r="D10923">
        <v>170.23</v>
      </c>
      <c r="E10923">
        <v>170.22</v>
      </c>
      <c r="F10923">
        <v>0.01</v>
      </c>
    </row>
    <row r="10924" spans="1:6" x14ac:dyDescent="0.3">
      <c r="A10924" t="str">
        <f>HYPERLINK("https://us2.cloudbeds.com/connect/10074733072513#/reservations/31726637420745?display=MXEB41N92&amp;reservation_id=31726637420745", "MXEB41N92")</f>
        <v>MXEB41N92</v>
      </c>
      <c r="B10924" t="s">
        <v>1659</v>
      </c>
      <c r="C10924">
        <v>110.86</v>
      </c>
      <c r="D10924">
        <v>120.51</v>
      </c>
      <c r="E10924">
        <v>120.5</v>
      </c>
      <c r="F10924">
        <v>0.01</v>
      </c>
    </row>
    <row r="10925" spans="1:6" x14ac:dyDescent="0.3">
      <c r="A10925" t="str">
        <f>HYPERLINK("https://us2.cloudbeds.com/connect/10074733072513#/reservations/31726160191709?display=MXDVUY3E4&amp;reservation_id=31726160191709", "MXDVUY3E4")</f>
        <v>MXDVUY3E4</v>
      </c>
      <c r="B10925" t="s">
        <v>1624</v>
      </c>
      <c r="C10925">
        <v>398</v>
      </c>
      <c r="D10925">
        <v>432.64</v>
      </c>
      <c r="E10925">
        <v>432.63</v>
      </c>
      <c r="F10925">
        <v>0.01</v>
      </c>
    </row>
    <row r="10926" spans="1:6" x14ac:dyDescent="0.3">
      <c r="A10926" t="str">
        <f>HYPERLINK("https://us2.cloudbeds.com/connect/10074733072513#/reservations/31726485147794?display=MXE77YG17&amp;reservation_id=31726485147794", "MXE77YG17")</f>
        <v>MXE77YG17</v>
      </c>
      <c r="B10926" t="s">
        <v>1560</v>
      </c>
      <c r="C10926">
        <v>139</v>
      </c>
      <c r="D10926">
        <v>151.1</v>
      </c>
      <c r="E10926">
        <v>151.09</v>
      </c>
      <c r="F10926">
        <v>0.01</v>
      </c>
    </row>
    <row r="10927" spans="1:6" x14ac:dyDescent="0.3">
      <c r="A10927" t="str">
        <f>HYPERLINK("https://us2.cloudbeds.com/connect/10074733072513#/reservations/31732547510502?display=MXXU4JYV2&amp;reservation_id=31732547510502", "MXXU4JYV2")</f>
        <v>MXXU4JYV2</v>
      </c>
      <c r="B10927" t="s">
        <v>1604</v>
      </c>
      <c r="C10927">
        <v>209</v>
      </c>
      <c r="D10927">
        <v>227.19</v>
      </c>
      <c r="E10927">
        <v>227.18</v>
      </c>
      <c r="F10927">
        <v>0.01</v>
      </c>
    </row>
    <row r="10928" spans="1:6" x14ac:dyDescent="0.3">
      <c r="A10928" t="str">
        <f>HYPERLINK("https://us2.cloudbeds.com/connect/10074733072513#/reservations/31726285349050?display=MXE245Q3R&amp;reservation_id=31726285349050", "MXE245Q3R")</f>
        <v>MXE245Q3R</v>
      </c>
      <c r="B10928" t="s">
        <v>1662</v>
      </c>
      <c r="C10928">
        <v>129</v>
      </c>
      <c r="D10928">
        <v>140.22999999999999</v>
      </c>
      <c r="E10928">
        <v>140.22</v>
      </c>
      <c r="F10928">
        <v>0.01</v>
      </c>
    </row>
    <row r="10929" spans="1:6" x14ac:dyDescent="0.3">
      <c r="A10929" t="str">
        <f>HYPERLINK("https://us2.cloudbeds.com/connect/10074733072513#/reservations/31723185721477?display=MXBYUG2QX&amp;reservation_id=31723185721477", "MXBYUG2QX")</f>
        <v>MXBYUG2QX</v>
      </c>
      <c r="B10929" t="s">
        <v>1626</v>
      </c>
      <c r="C10929">
        <v>338</v>
      </c>
      <c r="D10929">
        <v>367.42</v>
      </c>
      <c r="E10929">
        <v>367.41</v>
      </c>
      <c r="F10929">
        <v>0.01</v>
      </c>
    </row>
    <row r="10930" spans="1:6" x14ac:dyDescent="0.3">
      <c r="A10930" t="str">
        <f>HYPERLINK("https://us2.cloudbeds.com/connect/10074733072513#/reservations/31731298160768?display=MXHV73XA1&amp;reservation_id=31731298160768", "MXHV73XA1")</f>
        <v>MXHV73XA1</v>
      </c>
      <c r="B10930" t="s">
        <v>1659</v>
      </c>
      <c r="C10930">
        <v>199</v>
      </c>
      <c r="D10930">
        <v>216.32</v>
      </c>
      <c r="E10930">
        <v>216.31</v>
      </c>
      <c r="F10930">
        <v>0.01</v>
      </c>
    </row>
    <row r="10931" spans="1:6" x14ac:dyDescent="0.3">
      <c r="A10931" t="str">
        <f>HYPERLINK("https://us2.cloudbeds.com/connect/10074733072513#/reservations/31729945927864?display=MXGTYSQ5X&amp;reservation_id=31729945927864", "MXGTYSQ5X")</f>
        <v>MXGTYSQ5X</v>
      </c>
      <c r="B10931" t="s">
        <v>1324</v>
      </c>
      <c r="C10931">
        <v>219</v>
      </c>
      <c r="D10931">
        <v>238.06</v>
      </c>
      <c r="E10931">
        <v>238.05</v>
      </c>
      <c r="F10931">
        <v>0.01</v>
      </c>
    </row>
    <row r="10932" spans="1:6" x14ac:dyDescent="0.3">
      <c r="A10932" t="str">
        <f>HYPERLINK("https://us2.cloudbeds.com/connect/10074733072513#/reservations/31728326324479?display=MXFY95V23&amp;reservation_id=31728326324479", "MXFY95V23")</f>
        <v>MXFY95V23</v>
      </c>
      <c r="B10932" t="s">
        <v>1665</v>
      </c>
      <c r="C10932">
        <v>420</v>
      </c>
      <c r="D10932">
        <v>456.55</v>
      </c>
      <c r="E10932">
        <v>456.54</v>
      </c>
      <c r="F10932">
        <v>0.01</v>
      </c>
    </row>
    <row r="10933" spans="1:6" x14ac:dyDescent="0.3">
      <c r="A10933" t="str">
        <f>HYPERLINK("https://us2.cloudbeds.com/connect/10074733072513#/reservations/31728843374815?display=MXG1G5KP3&amp;reservation_id=31728843374815", "MXG1G5KP3")</f>
        <v>MXG1G5KP3</v>
      </c>
      <c r="B10933" t="s">
        <v>1667</v>
      </c>
      <c r="C10933">
        <v>159</v>
      </c>
      <c r="D10933">
        <v>172.84</v>
      </c>
      <c r="E10933">
        <v>172.83</v>
      </c>
      <c r="F10933">
        <v>0.01</v>
      </c>
    </row>
    <row r="10934" spans="1:6" x14ac:dyDescent="0.3">
      <c r="A10934" t="str">
        <f>HYPERLINK("https://us2.cloudbeds.com/connect/10074733072513#/reservations/31729364570242?display=MXGEQYYPU&amp;reservation_id=31729364570242", "MXGEQYYPU")</f>
        <v>MXGEQYYPU</v>
      </c>
      <c r="B10934" t="s">
        <v>1604</v>
      </c>
      <c r="C10934">
        <v>178</v>
      </c>
      <c r="D10934">
        <v>193.5</v>
      </c>
      <c r="E10934">
        <v>193.49</v>
      </c>
      <c r="F10934">
        <v>0.01</v>
      </c>
    </row>
    <row r="10935" spans="1:6" x14ac:dyDescent="0.3">
      <c r="A10935" t="str">
        <f>HYPERLINK("https://us2.cloudbeds.com/connect/10074733072513#/reservations/31726354776274?display=MXE3TNNA3&amp;reservation_id=31726354776274", "MXE3TNNA3")</f>
        <v>MXE3TNNA3</v>
      </c>
      <c r="B10935" t="s">
        <v>1566</v>
      </c>
      <c r="C10935">
        <v>338</v>
      </c>
      <c r="D10935">
        <v>367.42</v>
      </c>
      <c r="E10935">
        <v>367.41</v>
      </c>
      <c r="F10935">
        <v>0.01</v>
      </c>
    </row>
    <row r="10936" spans="1:6" x14ac:dyDescent="0.3">
      <c r="A10936" t="str">
        <f>HYPERLINK("https://us2.cloudbeds.com/connect/10074733072513#/reservations/31730048999557?display=MXGW9PU65&amp;reservation_id=31730048999557", "MXGW9PU65")</f>
        <v>MXGW9PU65</v>
      </c>
      <c r="B10936" t="s">
        <v>1501</v>
      </c>
      <c r="C10936">
        <v>169</v>
      </c>
      <c r="D10936">
        <v>183.71</v>
      </c>
      <c r="E10936">
        <v>183.7</v>
      </c>
      <c r="F10936">
        <v>0.01</v>
      </c>
    </row>
    <row r="10937" spans="1:6" x14ac:dyDescent="0.3">
      <c r="A10937" t="str">
        <f>HYPERLINK("https://us2.cloudbeds.com/connect/10074733072513#/reservations/31732583657600?display=MXXURCF4H&amp;reservation_id=31732583657600", "MXXURCF4H")</f>
        <v>MXXURCF4H</v>
      </c>
      <c r="B10937" t="s">
        <v>1604</v>
      </c>
      <c r="C10937">
        <v>209</v>
      </c>
      <c r="D10937">
        <v>227.19</v>
      </c>
      <c r="E10937">
        <v>227.18</v>
      </c>
      <c r="F10937">
        <v>0.01</v>
      </c>
    </row>
    <row r="10938" spans="1:6" x14ac:dyDescent="0.3">
      <c r="A10938" t="str">
        <f>HYPERLINK("https://us2.cloudbeds.com/connect/10074733072513#/reservations/31725586800874?display=MXDH94YZ9&amp;reservation_id=31725586800874", "MXDH94YZ9")</f>
        <v>MXDH94YZ9</v>
      </c>
      <c r="B10938" t="s">
        <v>1626</v>
      </c>
      <c r="C10938">
        <v>378</v>
      </c>
      <c r="D10938">
        <v>410.9</v>
      </c>
      <c r="E10938">
        <v>410.89</v>
      </c>
      <c r="F10938">
        <v>0.01</v>
      </c>
    </row>
    <row r="10939" spans="1:6" x14ac:dyDescent="0.3">
      <c r="A10939" t="str">
        <f>HYPERLINK("https://us2.cloudbeds.com/connect/10074733072513#/reservations/31732517540079?display=MXXTCAMTE&amp;reservation_id=31732517540079", "MXXTCAMTE")</f>
        <v>MXXTCAMTE</v>
      </c>
      <c r="B10939" t="s">
        <v>1604</v>
      </c>
      <c r="C10939">
        <v>219</v>
      </c>
      <c r="D10939">
        <v>238.06</v>
      </c>
      <c r="E10939">
        <v>238.05</v>
      </c>
      <c r="F10939">
        <v>0.01</v>
      </c>
    </row>
    <row r="10940" spans="1:6" x14ac:dyDescent="0.3">
      <c r="A10940" t="str">
        <f>HYPERLINK("https://us2.cloudbeds.com/connect/10074733072513#/reservations/31723195003077?display=MXBM5ABS5&amp;reservation_id=31723195003077", "MXBM5ABS5")</f>
        <v>MXBM5ABS5</v>
      </c>
      <c r="B10940" t="s">
        <v>1626</v>
      </c>
      <c r="C10940">
        <v>338</v>
      </c>
      <c r="D10940">
        <v>367.42</v>
      </c>
      <c r="E10940">
        <v>367.41</v>
      </c>
      <c r="F10940">
        <v>0.01</v>
      </c>
    </row>
    <row r="10941" spans="1:6" x14ac:dyDescent="0.3">
      <c r="A10941" t="str">
        <f>HYPERLINK("https://us2.cloudbeds.com/connect/10074733072513#/reservations/31731319025838?display=MXHVZN8S2&amp;reservation_id=31731319025838", "MXHVZN8S2")</f>
        <v>MXHVZN8S2</v>
      </c>
      <c r="B10941" t="s">
        <v>1659</v>
      </c>
      <c r="C10941">
        <v>189</v>
      </c>
      <c r="D10941">
        <v>205.45</v>
      </c>
      <c r="E10941">
        <v>205.44</v>
      </c>
      <c r="F10941">
        <v>0.01</v>
      </c>
    </row>
    <row r="10942" spans="1:6" x14ac:dyDescent="0.3">
      <c r="A10942" t="str">
        <f>HYPERLINK("https://us2.cloudbeds.com/connect/10074733072513#/reservations/31734411346139?display=MXKBP7Y2S&amp;reservation_id=31734411346139", "MXKBP7Y2S")</f>
        <v>MXKBP7Y2S</v>
      </c>
      <c r="B10942" t="s">
        <v>1625</v>
      </c>
      <c r="C10942">
        <v>189</v>
      </c>
      <c r="D10942">
        <v>205.45</v>
      </c>
      <c r="E10942">
        <v>205.44</v>
      </c>
      <c r="F10942">
        <v>0.01</v>
      </c>
    </row>
    <row r="10943" spans="1:6" x14ac:dyDescent="0.3">
      <c r="A10943" t="str">
        <f>HYPERLINK("https://us2.cloudbeds.com/connect/10074733072513#/reservations/31728225947812?display=MXFXNHQQU&amp;reservation_id=31728225947812", "MXFXNHQQU")</f>
        <v>MXFXNHQQU</v>
      </c>
      <c r="B10943" t="s">
        <v>1604</v>
      </c>
      <c r="C10943">
        <v>239</v>
      </c>
      <c r="D10943">
        <v>259.8</v>
      </c>
      <c r="E10943">
        <v>259.79000000000002</v>
      </c>
      <c r="F10943">
        <v>0.01</v>
      </c>
    </row>
    <row r="10944" spans="1:6" x14ac:dyDescent="0.3">
      <c r="A10944" t="str">
        <f>HYPERLINK("https://us2.cloudbeds.com/connect/10074733072513#/reservations/31723937849551?display=MXC84N56C&amp;reservation_id=31723937849551", "MXC84N56C")</f>
        <v>MXC84N56C</v>
      </c>
      <c r="B10944" t="s">
        <v>1626</v>
      </c>
      <c r="C10944">
        <v>338</v>
      </c>
      <c r="D10944">
        <v>367.42</v>
      </c>
      <c r="E10944">
        <v>367.41</v>
      </c>
      <c r="F10944">
        <v>0.01</v>
      </c>
    </row>
    <row r="10945" spans="1:6" x14ac:dyDescent="0.3">
      <c r="A10945" t="str">
        <f>HYPERLINK("https://us2.cloudbeds.com/connect/10074733072513#/reservations/31729015857325?display=MXG5TK6TR&amp;reservation_id=31729015857325", "MXG5TK6TR")</f>
        <v>MXG5TK6TR</v>
      </c>
      <c r="B10945" t="s">
        <v>1664</v>
      </c>
      <c r="C10945">
        <v>139</v>
      </c>
      <c r="D10945">
        <v>151.1</v>
      </c>
      <c r="E10945">
        <v>151.09</v>
      </c>
      <c r="F10945">
        <v>0.01</v>
      </c>
    </row>
    <row r="10946" spans="1:6" x14ac:dyDescent="0.3">
      <c r="A10946" t="str">
        <f>HYPERLINK("https://us2.cloudbeds.com/connect/10074733072513#/reservations/31729830514834?display=MXGQNX8E0&amp;reservation_id=31729830514834", "MXGQNX8E0")</f>
        <v>MXGQNX8E0</v>
      </c>
      <c r="B10946" t="s">
        <v>1572</v>
      </c>
      <c r="C10946">
        <v>418</v>
      </c>
      <c r="D10946">
        <v>454.38</v>
      </c>
      <c r="E10946">
        <v>454.37</v>
      </c>
      <c r="F10946">
        <v>0.01</v>
      </c>
    </row>
    <row r="10947" spans="1:6" x14ac:dyDescent="0.3">
      <c r="A10947" t="str">
        <f>HYPERLINK("https://us2.cloudbeds.com/connect/10074733072513#/reservations/31727086559446?display=MXEMJPYGZ&amp;reservation_id=31727086559446", "MXEMJPYGZ")</f>
        <v>MXEMJPYGZ</v>
      </c>
      <c r="B10947" t="s">
        <v>1677</v>
      </c>
      <c r="C10947">
        <v>139</v>
      </c>
      <c r="D10947">
        <v>151.1</v>
      </c>
      <c r="E10947">
        <v>151.09</v>
      </c>
      <c r="F10947">
        <v>0.01</v>
      </c>
    </row>
    <row r="10948" spans="1:6" x14ac:dyDescent="0.3">
      <c r="A10948" t="str">
        <f>HYPERLINK("https://us2.cloudbeds.com/connect/10074733072513#/reservations/31728352882851?display=MXFYVXVU8&amp;reservation_id=31728352882851", "MXFYVXVU8")</f>
        <v>MXFYVXVU8</v>
      </c>
      <c r="B10948" t="s">
        <v>1665</v>
      </c>
      <c r="C10948">
        <v>129</v>
      </c>
      <c r="D10948">
        <v>140.22999999999999</v>
      </c>
      <c r="E10948">
        <v>140.22</v>
      </c>
      <c r="F10948">
        <v>0.01</v>
      </c>
    </row>
    <row r="10949" spans="1:6" x14ac:dyDescent="0.3">
      <c r="A10949" t="str">
        <f>HYPERLINK("https://us2.cloudbeds.com/connect/10074733072513#/reservations/31730015477936?display=MXGVEH45G&amp;reservation_id=31730015477936", "MXGVEH45G")</f>
        <v>MXGVEH45G</v>
      </c>
      <c r="B10949" t="s">
        <v>1665</v>
      </c>
      <c r="C10949">
        <v>491.4</v>
      </c>
      <c r="D10949">
        <v>534.16</v>
      </c>
      <c r="E10949">
        <v>534.15</v>
      </c>
      <c r="F10949">
        <v>0.01</v>
      </c>
    </row>
    <row r="10950" spans="1:6" x14ac:dyDescent="0.3">
      <c r="A10950" t="str">
        <f>HYPERLINK("https://us2.cloudbeds.com/connect/10074733072513#/reservations/31734400880774?display=MXKBGDE0J&amp;reservation_id=31734400880774", "MXKBGDE0J")</f>
        <v>MXKBGDE0J</v>
      </c>
      <c r="B10950" t="s">
        <v>1625</v>
      </c>
      <c r="C10950">
        <v>219</v>
      </c>
      <c r="D10950">
        <v>238.06</v>
      </c>
      <c r="E10950">
        <v>238.05</v>
      </c>
      <c r="F10950">
        <v>0.01</v>
      </c>
    </row>
    <row r="10951" spans="1:6" x14ac:dyDescent="0.3">
      <c r="A10951" t="str">
        <f>HYPERLINK("https://us2.cloudbeds.com/connect/10074733072513#/reservations/31730233204923?display=MXH403N3W&amp;reservation_id=31730233204923", "MXH403N3W")</f>
        <v>MXH403N3W</v>
      </c>
      <c r="B10951" t="s">
        <v>1547</v>
      </c>
      <c r="C10951">
        <v>527</v>
      </c>
      <c r="D10951">
        <v>572.86</v>
      </c>
      <c r="E10951">
        <v>572.85</v>
      </c>
      <c r="F10951">
        <v>0.01</v>
      </c>
    </row>
    <row r="10952" spans="1:6" x14ac:dyDescent="0.3">
      <c r="A10952" t="str">
        <f>HYPERLINK("https://us2.cloudbeds.com/connect/10074733072513#/reservations/31729637322932?display=MXGYPYDCV&amp;reservation_id=31729637322932", "MXGYPYDCV")</f>
        <v>MXGYPYDCV</v>
      </c>
      <c r="B10952" t="s">
        <v>1444</v>
      </c>
      <c r="C10952">
        <v>418</v>
      </c>
      <c r="D10952">
        <v>454.38</v>
      </c>
      <c r="E10952">
        <v>454.37</v>
      </c>
      <c r="F10952">
        <v>0.01</v>
      </c>
    </row>
    <row r="10953" spans="1:6" x14ac:dyDescent="0.3">
      <c r="A10953" t="str">
        <f>HYPERLINK("https://us2.cloudbeds.com/connect/10074733072513#/reservations/31731571282127?display=MXX56DM51&amp;reservation_id=31731571282127", "MXX56DM51")</f>
        <v>MXX56DM51</v>
      </c>
      <c r="B10953" t="s">
        <v>1673</v>
      </c>
      <c r="C10953">
        <v>156.6</v>
      </c>
      <c r="D10953">
        <v>170.23</v>
      </c>
      <c r="E10953">
        <v>170.22</v>
      </c>
      <c r="F10953">
        <v>0.01</v>
      </c>
    </row>
    <row r="10954" spans="1:6" x14ac:dyDescent="0.3">
      <c r="A10954" t="str">
        <f>HYPERLINK("https://us2.cloudbeds.com/connect/10074733072513#/reservations/31728372609174?display=MXFMF6T2K&amp;reservation_id=31728372609174", "MXFMF6T2K")</f>
        <v>MXFMF6T2K</v>
      </c>
      <c r="B10954" t="s">
        <v>1665</v>
      </c>
      <c r="C10954">
        <v>336</v>
      </c>
      <c r="D10954">
        <v>365.24</v>
      </c>
      <c r="E10954">
        <v>365.23</v>
      </c>
      <c r="F10954">
        <v>0.01</v>
      </c>
    </row>
    <row r="10955" spans="1:6" x14ac:dyDescent="0.3">
      <c r="A10955" t="str">
        <f>HYPERLINK("https://us2.cloudbeds.com/connect/10074733072513#/reservations/31731532931283?display=MXX472GJ8&amp;reservation_id=31731532931283", "MXX472GJ8")</f>
        <v>MXX472GJ8</v>
      </c>
      <c r="B10955" t="s">
        <v>1673</v>
      </c>
      <c r="C10955">
        <v>73</v>
      </c>
      <c r="D10955">
        <v>79.36</v>
      </c>
      <c r="E10955">
        <v>79.349999999999994</v>
      </c>
      <c r="F10955">
        <v>0.01</v>
      </c>
    </row>
    <row r="10956" spans="1:6" x14ac:dyDescent="0.3">
      <c r="A10956" t="str">
        <f>HYPERLINK("https://us2.cloudbeds.com/connect/10074733072513#/reservations/31725700472972?display=MXDK5WZRA&amp;reservation_id=31725700472972", "MXDK5WZRA")</f>
        <v>MXDK5WZRA</v>
      </c>
      <c r="B10956" t="s">
        <v>1674</v>
      </c>
      <c r="C10956">
        <v>504</v>
      </c>
      <c r="D10956">
        <v>547.86</v>
      </c>
      <c r="E10956">
        <v>547.85</v>
      </c>
      <c r="F10956">
        <v>0.01</v>
      </c>
    </row>
    <row r="10957" spans="1:6" x14ac:dyDescent="0.3">
      <c r="A10957" t="str">
        <f>HYPERLINK("https://us2.cloudbeds.com/connect/10074733072513#/reservations/31730049700021?display=MXGWACDDC&amp;reservation_id=31730049700021", "MXGWACDDC")</f>
        <v>MXGWACDDC</v>
      </c>
      <c r="B10957" t="s">
        <v>1665</v>
      </c>
      <c r="C10957">
        <v>278</v>
      </c>
      <c r="D10957">
        <v>302.2</v>
      </c>
      <c r="E10957">
        <v>302.19</v>
      </c>
      <c r="F10957">
        <v>0.01</v>
      </c>
    </row>
    <row r="10958" spans="1:6" x14ac:dyDescent="0.3">
      <c r="A10958" t="str">
        <f>HYPERLINK("https://us2.cloudbeds.com/connect/10074733072513#/reservations/31724220666051?display=MXCFC5V4B&amp;reservation_id=31724220666051", "MXCFC5V4B")</f>
        <v>MXCFC5V4B</v>
      </c>
      <c r="B10958" t="s">
        <v>1677</v>
      </c>
      <c r="C10958">
        <v>139</v>
      </c>
      <c r="D10958">
        <v>151.1</v>
      </c>
      <c r="E10958">
        <v>151.09</v>
      </c>
      <c r="F10958">
        <v>0.01</v>
      </c>
    </row>
    <row r="10959" spans="1:6" x14ac:dyDescent="0.3">
      <c r="A10959" t="str">
        <f>HYPERLINK("https://us2.cloudbeds.com/connect/10074733072513#/reservations/31727084519557?display=MXEMX1TAU&amp;reservation_id=31727084519557", "MXEMX1TAU")</f>
        <v>MXEMX1TAU</v>
      </c>
      <c r="B10959" t="s">
        <v>1677</v>
      </c>
      <c r="C10959">
        <v>278</v>
      </c>
      <c r="D10959">
        <v>302.2</v>
      </c>
      <c r="E10959">
        <v>302.19</v>
      </c>
      <c r="F10959">
        <v>0.01</v>
      </c>
    </row>
    <row r="10960" spans="1:6" x14ac:dyDescent="0.3">
      <c r="A10960" t="str">
        <f>HYPERLINK("https://us2.cloudbeds.com/connect/10074733072513#/reservations/31728527544477?display=MXFQDS62P&amp;reservation_id=31728527544477", "MXFQDS62P")</f>
        <v>MXFQDS62P</v>
      </c>
      <c r="B10960" t="s">
        <v>1385</v>
      </c>
      <c r="C10960">
        <v>169</v>
      </c>
      <c r="D10960">
        <v>183.71</v>
      </c>
      <c r="E10960">
        <v>183.7</v>
      </c>
      <c r="F10960">
        <v>0.01</v>
      </c>
    </row>
    <row r="10961" spans="1:6" x14ac:dyDescent="0.3">
      <c r="A10961" t="str">
        <f>HYPERLINK("https://us2.cloudbeds.com/connect/10074733072513#/reservations/31730318024959?display=MXH65KV43&amp;reservation_id=31730318024959", "MXH65KV43")</f>
        <v>MXH65KV43</v>
      </c>
      <c r="B10961" t="s">
        <v>1444</v>
      </c>
      <c r="C10961">
        <v>247.96</v>
      </c>
      <c r="D10961">
        <v>269.54000000000002</v>
      </c>
      <c r="E10961">
        <v>269.52999999999997</v>
      </c>
      <c r="F10961">
        <v>0.01</v>
      </c>
    </row>
    <row r="10962" spans="1:6" x14ac:dyDescent="0.3">
      <c r="A10962" t="str">
        <f>HYPERLINK("https://us2.cloudbeds.com/connect/10074733072513#/reservations/31726974419150?display=MXEJZ760V&amp;reservation_id=31726974419150", "MXEJZ760V")</f>
        <v>MXEJZ760V</v>
      </c>
      <c r="B10962" t="s">
        <v>1677</v>
      </c>
      <c r="C10962">
        <v>278</v>
      </c>
      <c r="D10962">
        <v>302.2</v>
      </c>
      <c r="E10962">
        <v>302.19</v>
      </c>
      <c r="F10962">
        <v>0.01</v>
      </c>
    </row>
    <row r="10963" spans="1:6" x14ac:dyDescent="0.3">
      <c r="A10963" t="str">
        <f>HYPERLINK("https://us2.cloudbeds.com/connect/10074733072513#/reservations/31731021070515?display=MXHZ4F7AT&amp;reservation_id=31731021070515", "MXHZ4F7AT")</f>
        <v>MXHZ4F7AT</v>
      </c>
      <c r="B10963" t="s">
        <v>1501</v>
      </c>
      <c r="C10963">
        <v>139</v>
      </c>
      <c r="D10963">
        <v>151.1</v>
      </c>
      <c r="E10963">
        <v>151.09</v>
      </c>
      <c r="F10963">
        <v>0.01</v>
      </c>
    </row>
    <row r="10964" spans="1:6" x14ac:dyDescent="0.3">
      <c r="A10964" t="str">
        <f>HYPERLINK("https://us2.cloudbeds.com/connect/10074733072513#/reservations/31730907988110?display=MXHY83HZB&amp;reservation_id=31730907988110", "MXHY83HZB")</f>
        <v>MXHY83HZB</v>
      </c>
      <c r="B10964" t="s">
        <v>1675</v>
      </c>
      <c r="C10964">
        <v>129</v>
      </c>
      <c r="D10964">
        <v>140.22999999999999</v>
      </c>
      <c r="E10964">
        <v>140.22</v>
      </c>
      <c r="F10964">
        <v>0.01</v>
      </c>
    </row>
    <row r="10965" spans="1:6" x14ac:dyDescent="0.3">
      <c r="A10965" t="str">
        <f>HYPERLINK("https://us2.cloudbeds.com/connect/10074733072513#/reservations/31730152575198?display=MXH1V41VW&amp;reservation_id=31730152575198", "MXH1V41VW")</f>
        <v>MXH1V41VW</v>
      </c>
      <c r="B10965" t="s">
        <v>1662</v>
      </c>
      <c r="C10965">
        <v>89</v>
      </c>
      <c r="D10965">
        <v>96.75</v>
      </c>
      <c r="E10965">
        <v>96.74</v>
      </c>
      <c r="F10965">
        <v>0.01</v>
      </c>
    </row>
    <row r="10966" spans="1:6" x14ac:dyDescent="0.3">
      <c r="A10966" t="str">
        <f>HYPERLINK("https://us2.cloudbeds.com/connect/10074733072513#/reservations/31730148475072?display=MXH1RYS7X&amp;reservation_id=31730148475072", "MXH1RYS7X")</f>
        <v>MXH1RYS7X</v>
      </c>
      <c r="B10966" t="s">
        <v>1662</v>
      </c>
      <c r="C10966">
        <v>89</v>
      </c>
      <c r="D10966">
        <v>96.75</v>
      </c>
      <c r="E10966">
        <v>96.74</v>
      </c>
      <c r="F10966">
        <v>0.01</v>
      </c>
    </row>
    <row r="10967" spans="1:6" x14ac:dyDescent="0.3">
      <c r="A10967" t="str">
        <f>HYPERLINK("https://us2.cloudbeds.com/connect/10074733072513#/reservations/31729190219915?display=MXGABY3FM&amp;reservation_id=31729190219915", "MXGABY3FM")</f>
        <v>MXGABY3FM</v>
      </c>
      <c r="B10967" t="s">
        <v>1665</v>
      </c>
      <c r="C10967">
        <v>576</v>
      </c>
      <c r="D10967">
        <v>626.12</v>
      </c>
      <c r="E10967">
        <v>626.11</v>
      </c>
      <c r="F10967">
        <v>0.01</v>
      </c>
    </row>
    <row r="10968" spans="1:6" x14ac:dyDescent="0.3">
      <c r="A10968" t="str">
        <f>HYPERLINK("https://us2.cloudbeds.com/connect/10074733072513#/reservations/31725751959721?display=MXDYGDEZR&amp;reservation_id=31725751959721", "MXDYGDEZR")</f>
        <v>MXDYGDEZR</v>
      </c>
      <c r="B10968" t="s">
        <v>1674</v>
      </c>
      <c r="C10968">
        <v>73</v>
      </c>
      <c r="D10968">
        <v>79.36</v>
      </c>
      <c r="E10968">
        <v>79.349999999999994</v>
      </c>
      <c r="F10968">
        <v>0.01</v>
      </c>
    </row>
    <row r="10969" spans="1:6" x14ac:dyDescent="0.3">
      <c r="A10969" t="str">
        <f>HYPERLINK("https://us2.cloudbeds.com/connect/10074733072513#/reservations/31725595168970?display=MXDHG6GUV&amp;reservation_id=31725595168970", "MXDHG6GUV")</f>
        <v>MXDHG6GUV</v>
      </c>
      <c r="B10969" t="s">
        <v>1626</v>
      </c>
      <c r="C10969">
        <v>209</v>
      </c>
      <c r="D10969">
        <v>227.19</v>
      </c>
      <c r="E10969">
        <v>227.18</v>
      </c>
      <c r="F10969">
        <v>0.01</v>
      </c>
    </row>
    <row r="10970" spans="1:6" x14ac:dyDescent="0.3">
      <c r="A10970" t="str">
        <f>HYPERLINK("https://us2.cloudbeds.com/connect/10074733072513#/reservations/31731343732921?display=MXHWCHPNX&amp;reservation_id=31731343732921", "MXHWCHPNX")</f>
        <v>MXHWCHPNX</v>
      </c>
      <c r="B10970" t="s">
        <v>1659</v>
      </c>
      <c r="C10970">
        <v>338</v>
      </c>
      <c r="D10970">
        <v>367.42</v>
      </c>
      <c r="E10970">
        <v>367.41</v>
      </c>
      <c r="F10970">
        <v>0.01</v>
      </c>
    </row>
    <row r="10971" spans="1:6" x14ac:dyDescent="0.3">
      <c r="A10971" t="str">
        <f>HYPERLINK("https://us2.cloudbeds.com/connect/10074733072513#/reservations/31733784232136?display=MXJSZE8R7&amp;reservation_id=31733784232136", "MXJSZE8R7")</f>
        <v>MXJSZE8R7</v>
      </c>
      <c r="B10971" t="s">
        <v>1658</v>
      </c>
      <c r="C10971">
        <v>169</v>
      </c>
      <c r="D10971">
        <v>183.71</v>
      </c>
      <c r="E10971">
        <v>183.7</v>
      </c>
      <c r="F10971">
        <v>0.01</v>
      </c>
    </row>
    <row r="10972" spans="1:6" x14ac:dyDescent="0.3">
      <c r="A10972" t="str">
        <f>HYPERLINK("https://us2.cloudbeds.com/connect/10074733072513#/reservations/31730261610681?display=MXH4Z24CH&amp;reservation_id=31730261610681", "MXH4Z24CH")</f>
        <v>MXH4Z24CH</v>
      </c>
      <c r="B10972" t="s">
        <v>1547</v>
      </c>
      <c r="C10972">
        <v>322.2</v>
      </c>
      <c r="D10972">
        <v>350.24</v>
      </c>
      <c r="E10972">
        <v>350.23</v>
      </c>
      <c r="F10972">
        <v>0.01</v>
      </c>
    </row>
    <row r="10973" spans="1:6" x14ac:dyDescent="0.3">
      <c r="A10973" t="str">
        <f>HYPERLINK("https://us2.cloudbeds.com/connect/10074733072513#/reservations/31731801587886?display=MXXB2K8SE&amp;reservation_id=31731801587886", "MXXB2K8SE")</f>
        <v>MXXB2K8SE</v>
      </c>
      <c r="B10973" t="s">
        <v>1573</v>
      </c>
      <c r="C10973">
        <v>249</v>
      </c>
      <c r="D10973">
        <v>270.67</v>
      </c>
      <c r="E10973">
        <v>270.66000000000003</v>
      </c>
      <c r="F10973">
        <v>0.01</v>
      </c>
    </row>
    <row r="10974" spans="1:6" x14ac:dyDescent="0.3">
      <c r="A10974" t="str">
        <f>HYPERLINK("https://us2.cloudbeds.com/connect/10074733072513#/reservations/31729970430201?display=MXGU9HK0K&amp;reservation_id=31729970430201", "MXGU9HK0K")</f>
        <v>MXGU9HK0K</v>
      </c>
      <c r="B10974" t="s">
        <v>1519</v>
      </c>
      <c r="C10974">
        <v>418</v>
      </c>
      <c r="D10974">
        <v>454.38</v>
      </c>
      <c r="E10974">
        <v>454.37</v>
      </c>
      <c r="F10974">
        <v>0.01</v>
      </c>
    </row>
    <row r="10975" spans="1:6" x14ac:dyDescent="0.3">
      <c r="A10975" t="str">
        <f>HYPERLINK("https://us2.cloudbeds.com/connect/10074733072513#/reservations/31728870731992?display=MXG267T4F&amp;reservation_id=31728870731992", "MXG267T4F")</f>
        <v>MXG267T4F</v>
      </c>
      <c r="B10975" t="s">
        <v>1675</v>
      </c>
      <c r="C10975">
        <v>278</v>
      </c>
      <c r="D10975">
        <v>302.2</v>
      </c>
      <c r="E10975">
        <v>302.19</v>
      </c>
      <c r="F10975">
        <v>0.01</v>
      </c>
    </row>
    <row r="10976" spans="1:6" x14ac:dyDescent="0.3">
      <c r="A10976" t="str">
        <f>HYPERLINK("https://us2.cloudbeds.com/connect/10074733072513#/reservations/31731126042875?display=MXHQQW7MG&amp;reservation_id=31731126042875", "MXHQQW7MG")</f>
        <v>MXHQQW7MG</v>
      </c>
      <c r="B10976" t="s">
        <v>1658</v>
      </c>
      <c r="C10976">
        <v>169</v>
      </c>
      <c r="D10976">
        <v>183.71</v>
      </c>
      <c r="E10976">
        <v>183.7</v>
      </c>
      <c r="F10976">
        <v>0.01</v>
      </c>
    </row>
    <row r="10977" spans="1:6" x14ac:dyDescent="0.3">
      <c r="A10977" t="str">
        <f>HYPERLINK("https://us2.cloudbeds.com/connect/10074733072513#/reservations/31734430556365?display=MXKC8E6AU&amp;reservation_id=31734430556365", "MXKC8E6AU")</f>
        <v>MXKC8E6AU</v>
      </c>
      <c r="B10977" t="s">
        <v>1625</v>
      </c>
      <c r="C10977">
        <v>209</v>
      </c>
      <c r="D10977">
        <v>227.19</v>
      </c>
      <c r="E10977">
        <v>227.18</v>
      </c>
      <c r="F10977">
        <v>0.01</v>
      </c>
    </row>
    <row r="10978" spans="1:6" x14ac:dyDescent="0.3">
      <c r="A10978" t="str">
        <f>HYPERLINK("https://us2.cloudbeds.com/connect/10074733072513#/reservations/31723144585360?display=MXBKSQDJX&amp;reservation_id=31723144585360", "MXBKSQDJX")</f>
        <v>MXBKSQDJX</v>
      </c>
      <c r="B10978" t="s">
        <v>1626</v>
      </c>
      <c r="C10978">
        <v>149</v>
      </c>
      <c r="D10978">
        <v>161.97</v>
      </c>
      <c r="E10978">
        <v>161.96</v>
      </c>
      <c r="F10978">
        <v>0.01</v>
      </c>
    </row>
    <row r="10979" spans="1:6" x14ac:dyDescent="0.3">
      <c r="A10979" t="str">
        <f>HYPERLINK("https://us2.cloudbeds.com/connect/10074733072513#/reservations/31734440698022?display=MXKCGWD4S&amp;reservation_id=31734440698022", "MXKCGWD4S")</f>
        <v>MXKCGWD4S</v>
      </c>
      <c r="B10979" t="s">
        <v>1625</v>
      </c>
      <c r="C10979">
        <v>219</v>
      </c>
      <c r="D10979">
        <v>238.06</v>
      </c>
      <c r="E10979">
        <v>238.05</v>
      </c>
      <c r="F10979">
        <v>0.01</v>
      </c>
    </row>
    <row r="10980" spans="1:6" x14ac:dyDescent="0.3">
      <c r="A10980" t="str">
        <f>HYPERLINK("https://us2.cloudbeds.com/connect/10074733072513#/reservations/31728733339838?display=MXFVMCZHS&amp;reservation_id=31728733339838", "MXFVMCZHS")</f>
        <v>MXFVMCZHS</v>
      </c>
      <c r="B10980" t="s">
        <v>1675</v>
      </c>
      <c r="C10980">
        <v>1315.8</v>
      </c>
      <c r="D10980">
        <v>1430.28</v>
      </c>
      <c r="E10980">
        <v>1430.27</v>
      </c>
      <c r="F10980">
        <v>0.01</v>
      </c>
    </row>
    <row r="10981" spans="1:6" x14ac:dyDescent="0.3">
      <c r="A10981" t="str">
        <f>HYPERLINK("https://us2.cloudbeds.com/connect/10074733072513#/reservations/31734479310991?display=MXKDGHSDR&amp;reservation_id=31734479310991", "MXKDGHSDR")</f>
        <v>MXKDGHSDR</v>
      </c>
      <c r="B10981" t="s">
        <v>1625</v>
      </c>
      <c r="C10981">
        <v>209</v>
      </c>
      <c r="D10981">
        <v>227.19</v>
      </c>
      <c r="E10981">
        <v>227.18</v>
      </c>
      <c r="F10981">
        <v>0.01</v>
      </c>
    </row>
    <row r="10982" spans="1:6" x14ac:dyDescent="0.3">
      <c r="A10982" t="str">
        <f>HYPERLINK("https://us2.cloudbeds.com/connect/10074733072513#/reservations/31730385580197?display=MXH7TJPAH&amp;reservation_id=31730385580197", "MXH7TJPAH")</f>
        <v>MXH7TJPAH</v>
      </c>
      <c r="B10982" t="s">
        <v>1444</v>
      </c>
      <c r="C10982">
        <v>189</v>
      </c>
      <c r="D10982">
        <v>205.45</v>
      </c>
      <c r="E10982">
        <v>205.44</v>
      </c>
      <c r="F10982">
        <v>0.01</v>
      </c>
    </row>
    <row r="10983" spans="1:6" x14ac:dyDescent="0.3">
      <c r="A10983" t="str">
        <f>HYPERLINK("https://us2.cloudbeds.com/connect/10074733072513#/reservations/31730323976409?display=MXH6AYX62&amp;reservation_id=31730323976409", "MXH6AYX62")</f>
        <v>MXH6AYX62</v>
      </c>
      <c r="B10983" t="s">
        <v>1444</v>
      </c>
      <c r="C10983">
        <v>293.72000000000003</v>
      </c>
      <c r="D10983">
        <v>319.27999999999997</v>
      </c>
      <c r="E10983">
        <v>319.27</v>
      </c>
      <c r="F10983">
        <v>0.01</v>
      </c>
    </row>
    <row r="10984" spans="1:6" x14ac:dyDescent="0.3">
      <c r="A10984" t="str">
        <f>HYPERLINK("https://us2.cloudbeds.com/connect/10074733072513#/reservations/31726632091810?display=MXEAWXDS6&amp;reservation_id=31726632091810", "MXEAWXDS6")</f>
        <v>MXEAWXDS6</v>
      </c>
      <c r="B10984" t="s">
        <v>1593</v>
      </c>
      <c r="C10984">
        <v>189</v>
      </c>
      <c r="D10984">
        <v>205.45</v>
      </c>
      <c r="E10984">
        <v>205.44</v>
      </c>
      <c r="F10984">
        <v>0.01</v>
      </c>
    </row>
    <row r="10985" spans="1:6" x14ac:dyDescent="0.3">
      <c r="A10985" t="str">
        <f>HYPERLINK("https://us2.cloudbeds.com/connect/10074733072513#/reservations/31728851783839?display=MXG1N8KX0&amp;reservation_id=31728851783839", "MXG1N8KX0")</f>
        <v>MXG1N8KX0</v>
      </c>
      <c r="B10985" t="s">
        <v>1675</v>
      </c>
      <c r="C10985">
        <v>336</v>
      </c>
      <c r="D10985">
        <v>365.24</v>
      </c>
      <c r="E10985">
        <v>365.23</v>
      </c>
      <c r="F10985">
        <v>0.01</v>
      </c>
    </row>
    <row r="10986" spans="1:6" x14ac:dyDescent="0.3">
      <c r="A10986" t="str">
        <f>HYPERLINK("https://us2.cloudbeds.com/connect/10074733072513#/reservations/31728614236288?display=MXFSKVD66&amp;reservation_id=31728614236288", "MXFSKVD66")</f>
        <v>MXFSKVD66</v>
      </c>
      <c r="B10986" t="s">
        <v>1675</v>
      </c>
      <c r="C10986">
        <v>139</v>
      </c>
      <c r="D10986">
        <v>151.1</v>
      </c>
      <c r="E10986">
        <v>151.09</v>
      </c>
      <c r="F10986">
        <v>0.01</v>
      </c>
    </row>
    <row r="10987" spans="1:6" x14ac:dyDescent="0.3">
      <c r="A10987" t="str">
        <f>HYPERLINK("https://us2.cloudbeds.com/connect/10074733072513#/reservations/31727840616700?display=MXF8SKDDX&amp;reservation_id=31727840616700", "MXF8SKDDX")</f>
        <v>MXF8SKDDX</v>
      </c>
      <c r="B10987" t="s">
        <v>1573</v>
      </c>
      <c r="C10987">
        <v>209</v>
      </c>
      <c r="D10987">
        <v>227.19</v>
      </c>
      <c r="E10987">
        <v>227.18</v>
      </c>
      <c r="F10987">
        <v>0.01</v>
      </c>
    </row>
    <row r="10988" spans="1:6" x14ac:dyDescent="0.3">
      <c r="A10988" t="str">
        <f>HYPERLINK("https://us2.cloudbeds.com/connect/10074733072513#/reservations/31727174947005?display=MXEZSA5FK&amp;reservation_id=31727174947005", "MXEZSA5FK")</f>
        <v>MXEZSA5FK</v>
      </c>
      <c r="B10988" t="s">
        <v>1677</v>
      </c>
      <c r="C10988">
        <v>278</v>
      </c>
      <c r="D10988">
        <v>302.2</v>
      </c>
      <c r="E10988">
        <v>302.19</v>
      </c>
      <c r="F10988">
        <v>0.01</v>
      </c>
    </row>
    <row r="10989" spans="1:6" x14ac:dyDescent="0.3">
      <c r="A10989" t="str">
        <f>HYPERLINK("https://us2.cloudbeds.com/connect/10074733072513#/reservations/31726195867847?display=MXDWRNRT7&amp;reservation_id=31726195867847", "MXDWRNRT7")</f>
        <v>MXDWRNRT7</v>
      </c>
      <c r="B10989" t="s">
        <v>1560</v>
      </c>
      <c r="C10989">
        <v>288</v>
      </c>
      <c r="D10989">
        <v>313.07</v>
      </c>
      <c r="E10989">
        <v>313.06</v>
      </c>
      <c r="F10989">
        <v>0.01</v>
      </c>
    </row>
    <row r="10990" spans="1:6" x14ac:dyDescent="0.3">
      <c r="A10990" t="str">
        <f>HYPERLINK("https://us2.cloudbeds.com/connect/10074733072513#/reservations/31729450340560?display=MXGGWWBDF&amp;reservation_id=31729450340560", "MXGGWWBDF")</f>
        <v>MXGGWWBDF</v>
      </c>
      <c r="B10990" t="s">
        <v>1623</v>
      </c>
      <c r="C10990">
        <v>89</v>
      </c>
      <c r="D10990">
        <v>96.75</v>
      </c>
      <c r="E10990">
        <v>96.74</v>
      </c>
      <c r="F10990">
        <v>0.01</v>
      </c>
    </row>
    <row r="10991" spans="1:6" x14ac:dyDescent="0.3">
      <c r="A10991" t="str">
        <f>HYPERLINK("https://us2.cloudbeds.com/connect/10074733072513#/reservations/31731768483976?display=MXXA7N3DY&amp;reservation_id=31731768483976", "MXXA7N3DY")</f>
        <v>MXXA7N3DY</v>
      </c>
      <c r="B10991" t="s">
        <v>1573</v>
      </c>
      <c r="C10991">
        <v>229</v>
      </c>
      <c r="D10991">
        <v>248.93</v>
      </c>
      <c r="E10991">
        <v>248.92</v>
      </c>
      <c r="F10991">
        <v>0.01</v>
      </c>
    </row>
    <row r="10992" spans="1:6" x14ac:dyDescent="0.3">
      <c r="A10992" t="str">
        <f>HYPERLINK("https://us2.cloudbeds.com/connect/10074733072513#/reservations/31726320234668?display=MXE30JHYP&amp;reservation_id=31726320234668", "MXE30JHYP")</f>
        <v>MXE30JHYP</v>
      </c>
      <c r="B10992" t="s">
        <v>1624</v>
      </c>
      <c r="C10992">
        <v>258</v>
      </c>
      <c r="D10992">
        <v>280.45999999999998</v>
      </c>
      <c r="E10992">
        <v>280.45</v>
      </c>
      <c r="F10992">
        <v>0.01</v>
      </c>
    </row>
    <row r="10993" spans="1:6" x14ac:dyDescent="0.3">
      <c r="A10993" t="str">
        <f>HYPERLINK("https://us2.cloudbeds.com/connect/10074733072513#/reservations/31718352363763?display=MX7UDSPQ9&amp;reservation_id=31718352363763", "MX7UDSPQ9")</f>
        <v>MX7UDSPQ9</v>
      </c>
      <c r="B10993" t="s">
        <v>1666</v>
      </c>
      <c r="C10993">
        <v>159</v>
      </c>
      <c r="D10993">
        <v>172.84</v>
      </c>
      <c r="E10993">
        <v>172.83</v>
      </c>
      <c r="F10993">
        <v>0.01</v>
      </c>
    </row>
    <row r="10994" spans="1:6" x14ac:dyDescent="0.3">
      <c r="A10994" t="str">
        <f>HYPERLINK("https://us2.cloudbeds.com/connect/10074733072513#/reservations/31731043778723?display=MXHZNK3MD&amp;reservation_id=31731043778723", "MXHZNK3MD")</f>
        <v>MXHZNK3MD</v>
      </c>
      <c r="B10994" t="s">
        <v>1501</v>
      </c>
      <c r="C10994">
        <v>129</v>
      </c>
      <c r="D10994">
        <v>140.22999999999999</v>
      </c>
      <c r="E10994">
        <v>140.22</v>
      </c>
      <c r="F10994">
        <v>0.01</v>
      </c>
    </row>
    <row r="10995" spans="1:6" x14ac:dyDescent="0.3">
      <c r="A10995" t="str">
        <f>HYPERLINK("https://us2.cloudbeds.com/connect/10074733072513#/reservations/31728593334413?display=MXFS3AT87&amp;reservation_id=31728593334413", "MXFS3AT87")</f>
        <v>MXFS3AT87</v>
      </c>
      <c r="B10995" t="s">
        <v>1519</v>
      </c>
      <c r="C10995">
        <v>358</v>
      </c>
      <c r="D10995">
        <v>389.16</v>
      </c>
      <c r="E10995">
        <v>389.15</v>
      </c>
      <c r="F10995">
        <v>0.01</v>
      </c>
    </row>
    <row r="10996" spans="1:6" x14ac:dyDescent="0.3">
      <c r="A10996" t="str">
        <f>HYPERLINK("https://us2.cloudbeds.com/connect/10074733072513#/reservations/31715953844423?display=MX624CEN1&amp;reservation_id=31715953844423", "MX624CEN1")</f>
        <v>MX624CEN1</v>
      </c>
      <c r="B10996" t="s">
        <v>1666</v>
      </c>
      <c r="C10996">
        <v>321.3</v>
      </c>
      <c r="D10996">
        <v>349.26</v>
      </c>
      <c r="E10996">
        <v>349.25</v>
      </c>
      <c r="F10996">
        <v>0.01</v>
      </c>
    </row>
    <row r="10997" spans="1:6" x14ac:dyDescent="0.3">
      <c r="A10997" t="str">
        <f>HYPERLINK("https://us2.cloudbeds.com/connect/10074733072513#/reservations/31733806338243?display=MXJTA2D98&amp;reservation_id=31733806338243", "MXJTA2D98")</f>
        <v>MXJTA2D98</v>
      </c>
      <c r="B10997" t="s">
        <v>1658</v>
      </c>
      <c r="C10997">
        <v>169</v>
      </c>
      <c r="D10997">
        <v>183.71</v>
      </c>
      <c r="E10997">
        <v>183.7</v>
      </c>
      <c r="F10997">
        <v>0.01</v>
      </c>
    </row>
    <row r="10998" spans="1:6" x14ac:dyDescent="0.3">
      <c r="A10998" t="str">
        <f>HYPERLINK("https://us2.cloudbeds.com/connect/10074733072513#/reservations/31729903865989?display=MXGSJDBS9&amp;reservation_id=31729903865989", "MXGSJDBS9")</f>
        <v>MXGSJDBS9</v>
      </c>
      <c r="B10998" t="s">
        <v>1628</v>
      </c>
      <c r="C10998">
        <v>218</v>
      </c>
      <c r="D10998">
        <v>236.98</v>
      </c>
      <c r="E10998">
        <v>236.97</v>
      </c>
      <c r="F10998">
        <v>0.01</v>
      </c>
    </row>
    <row r="10999" spans="1:6" x14ac:dyDescent="0.3">
      <c r="A10999" t="str">
        <f>HYPERLINK("https://us2.cloudbeds.com/connect/10074733072513#/reservations/31730570985604?display=MXHCKUV76&amp;reservation_id=31730570985604", "MXHCKUV76")</f>
        <v>MXHCKUV76</v>
      </c>
      <c r="B10999" t="s">
        <v>1628</v>
      </c>
      <c r="C10999">
        <v>129</v>
      </c>
      <c r="D10999">
        <v>140.22999999999999</v>
      </c>
      <c r="E10999">
        <v>140.22</v>
      </c>
      <c r="F10999">
        <v>0.01</v>
      </c>
    </row>
    <row r="11000" spans="1:6" x14ac:dyDescent="0.3">
      <c r="A11000" t="str">
        <f>HYPERLINK("https://us2.cloudbeds.com/connect/10074733072513#/reservations/31729945927810?display=MXGTYSQ3U&amp;reservation_id=31729945927810", "MXGTYSQ3U")</f>
        <v>MXGTYSQ3U</v>
      </c>
      <c r="B11000" t="s">
        <v>1628</v>
      </c>
      <c r="C11000">
        <v>178</v>
      </c>
      <c r="D11000">
        <v>193.5</v>
      </c>
      <c r="E11000">
        <v>193.49</v>
      </c>
      <c r="F11000">
        <v>0.01</v>
      </c>
    </row>
    <row r="11001" spans="1:6" x14ac:dyDescent="0.3">
      <c r="A11001" t="str">
        <f>HYPERLINK("https://us2.cloudbeds.com/connect/10074733072513#/reservations/31718402203846?display=MX7VMTYKR&amp;reservation_id=31718402203846", "MX7VMTYKR")</f>
        <v>MX7VMTYKR</v>
      </c>
      <c r="B11001" t="s">
        <v>1666</v>
      </c>
      <c r="C11001">
        <v>302.2</v>
      </c>
      <c r="D11001">
        <v>328.5</v>
      </c>
      <c r="E11001">
        <v>328.49</v>
      </c>
      <c r="F11001">
        <v>0.01</v>
      </c>
    </row>
    <row r="11002" spans="1:6" x14ac:dyDescent="0.3">
      <c r="A11002" t="str">
        <f>HYPERLINK("https://us2.cloudbeds.com/connect/10074733072513#/reservations/31730589737145?display=MXHD3ZZ8N&amp;reservation_id=31730589737145", "MXHD3ZZ8N")</f>
        <v>MXHD3ZZ8N</v>
      </c>
      <c r="B11002" t="s">
        <v>1628</v>
      </c>
      <c r="C11002">
        <v>129</v>
      </c>
      <c r="D11002">
        <v>140.22999999999999</v>
      </c>
      <c r="E11002">
        <v>140.22</v>
      </c>
      <c r="F11002">
        <v>0.01</v>
      </c>
    </row>
    <row r="11003" spans="1:6" x14ac:dyDescent="0.3">
      <c r="A11003" t="str">
        <f>HYPERLINK("https://us2.cloudbeds.com/connect/10074733072513#/reservations/31730553401504?display=MXHC63Y6M&amp;reservation_id=31730553401504", "MXHC63Y6M")</f>
        <v>MXHC63Y6M</v>
      </c>
      <c r="B11003" t="s">
        <v>1628</v>
      </c>
      <c r="C11003">
        <v>129</v>
      </c>
      <c r="D11003">
        <v>140.22999999999999</v>
      </c>
      <c r="E11003">
        <v>140.22</v>
      </c>
      <c r="F11003">
        <v>0.01</v>
      </c>
    </row>
    <row r="11004" spans="1:6" x14ac:dyDescent="0.3">
      <c r="A11004" t="str">
        <f>HYPERLINK("https://us2.cloudbeds.com/connect/10074733072513#/reservations/31730553397392?display=MXHC63HE2&amp;reservation_id=31730553397392", "MXHC63HE2")</f>
        <v>MXHC63HE2</v>
      </c>
      <c r="B11004" t="s">
        <v>1628</v>
      </c>
      <c r="C11004">
        <v>159</v>
      </c>
      <c r="D11004">
        <v>172.84</v>
      </c>
      <c r="E11004">
        <v>172.83</v>
      </c>
      <c r="F11004">
        <v>0.01</v>
      </c>
    </row>
    <row r="11005" spans="1:6" x14ac:dyDescent="0.3">
      <c r="A11005" t="str">
        <f>HYPERLINK("https://us2.cloudbeds.com/connect/10074733072513#/reservations/31729952080080?display=MXGTR1WJB&amp;reservation_id=31729952080080", "MXGTR1WJB")</f>
        <v>MXGTR1WJB</v>
      </c>
      <c r="B11005" t="s">
        <v>1628</v>
      </c>
      <c r="C11005">
        <v>129</v>
      </c>
      <c r="D11005">
        <v>140.22999999999999</v>
      </c>
      <c r="E11005">
        <v>140.22</v>
      </c>
      <c r="F11005">
        <v>0.01</v>
      </c>
    </row>
    <row r="11006" spans="1:6" x14ac:dyDescent="0.3">
      <c r="A11006" t="str">
        <f>HYPERLINK("https://us2.cloudbeds.com/connect/10074733072513#/reservations/31733259923589?display=MXJFBAK3E&amp;reservation_id=31733259923589", "MXJFBAK3E")</f>
        <v>MXJFBAK3E</v>
      </c>
      <c r="B11006" t="s">
        <v>1572</v>
      </c>
      <c r="C11006">
        <v>398</v>
      </c>
      <c r="D11006">
        <v>432.64</v>
      </c>
      <c r="E11006">
        <v>432.63</v>
      </c>
      <c r="F11006">
        <v>0.01</v>
      </c>
    </row>
    <row r="11007" spans="1:6" x14ac:dyDescent="0.3">
      <c r="A11007" t="str">
        <f>HYPERLINK("https://us2.cloudbeds.com/connect/10074733072513#/reservations/31733283041532?display=MXJFUQTN5&amp;reservation_id=31733283041532", "MXJFUQTN5")</f>
        <v>MXJFUQTN5</v>
      </c>
      <c r="B11007" t="s">
        <v>1678</v>
      </c>
      <c r="C11007">
        <v>129</v>
      </c>
      <c r="D11007">
        <v>140.22999999999999</v>
      </c>
      <c r="E11007">
        <v>140.22</v>
      </c>
      <c r="F11007">
        <v>0.01</v>
      </c>
    </row>
    <row r="11008" spans="1:6" x14ac:dyDescent="0.3">
      <c r="A11008" t="str">
        <f>HYPERLINK("https://us2.cloudbeds.com/connect/10074733072513#/reservations/31733649891502?display=MXJPA51BU&amp;reservation_id=31733649891502", "MXJPA51BU")</f>
        <v>MXJPA51BU</v>
      </c>
      <c r="B11008" t="s">
        <v>1679</v>
      </c>
      <c r="C11008">
        <v>336</v>
      </c>
      <c r="D11008">
        <v>365.24</v>
      </c>
      <c r="E11008">
        <v>365.23</v>
      </c>
      <c r="F11008">
        <v>0.01</v>
      </c>
    </row>
    <row r="11009" spans="1:6" x14ac:dyDescent="0.3">
      <c r="A11009" t="str">
        <f>HYPERLINK("https://us2.cloudbeds.com/connect/10074733072513#/reservations/31730828923036?display=MXHJ7EEC0&amp;reservation_id=31730828923036", "MXHJ7EEC0")</f>
        <v>MXHJ7EEC0</v>
      </c>
      <c r="B11009" t="s">
        <v>1629</v>
      </c>
      <c r="C11009">
        <v>336</v>
      </c>
      <c r="D11009">
        <v>365.24</v>
      </c>
      <c r="E11009">
        <v>365.23</v>
      </c>
      <c r="F11009">
        <v>0.01</v>
      </c>
    </row>
    <row r="11010" spans="1:6" x14ac:dyDescent="0.3">
      <c r="A11010" t="str">
        <f>HYPERLINK("https://us2.cloudbeds.com/connect/10074733072513#/reservations/31725106815171?display=MXD50DBGW&amp;reservation_id=31725106815171", "MXD50DBGW")</f>
        <v>MXD50DBGW</v>
      </c>
      <c r="B11010" t="s">
        <v>1519</v>
      </c>
      <c r="C11010">
        <v>418</v>
      </c>
      <c r="D11010">
        <v>454.38</v>
      </c>
      <c r="E11010">
        <v>454.37</v>
      </c>
      <c r="F11010">
        <v>0.01</v>
      </c>
    </row>
    <row r="11011" spans="1:6" x14ac:dyDescent="0.3">
      <c r="A11011" t="str">
        <f>HYPERLINK("https://us2.cloudbeds.com/connect/10074733072513#/reservations/31725401018578?display=MXDCHFWZZ&amp;reservation_id=31725401018578", "MXDCHFWZZ")</f>
        <v>MXDCHFWZZ</v>
      </c>
      <c r="B11011" t="s">
        <v>1623</v>
      </c>
      <c r="C11011">
        <v>156.6</v>
      </c>
      <c r="D11011">
        <v>170.23</v>
      </c>
      <c r="E11011">
        <v>170.22</v>
      </c>
      <c r="F11011">
        <v>0.01</v>
      </c>
    </row>
    <row r="11012" spans="1:6" x14ac:dyDescent="0.3">
      <c r="A11012" t="str">
        <f>HYPERLINK("https://us2.cloudbeds.com/connect/10074733072513#/reservations/31729948479683?display=MXGTZ0QED&amp;reservation_id=31729948479683", "MXGTZ0QED")</f>
        <v>MXGTZ0QED</v>
      </c>
      <c r="B11012" t="s">
        <v>1519</v>
      </c>
      <c r="C11012">
        <v>527</v>
      </c>
      <c r="D11012">
        <v>572.86</v>
      </c>
      <c r="E11012">
        <v>572.85</v>
      </c>
      <c r="F11012">
        <v>0.01</v>
      </c>
    </row>
    <row r="11013" spans="1:6" x14ac:dyDescent="0.3">
      <c r="A11013" t="str">
        <f>HYPERLINK("https://us2.cloudbeds.com/connect/10074733072513#/reservations/31733904228482?display=MXJVQKBA4&amp;reservation_id=31733904228482", "MXJVQKBA4")</f>
        <v>MXJVQKBA4</v>
      </c>
      <c r="B11013" t="s">
        <v>1629</v>
      </c>
      <c r="C11013">
        <v>129</v>
      </c>
      <c r="D11013">
        <v>140.22999999999999</v>
      </c>
      <c r="E11013">
        <v>140.22</v>
      </c>
      <c r="F11013">
        <v>0.01</v>
      </c>
    </row>
    <row r="11014" spans="1:6" x14ac:dyDescent="0.3">
      <c r="A11014" t="str">
        <f>HYPERLINK("https://us2.cloudbeds.com/connect/10074733072513#/reservations/31729152364717?display=MXG9CNZ1F&amp;reservation_id=31729152364717", "MXG9CNZ1F")</f>
        <v>MXG9CNZ1F</v>
      </c>
      <c r="B11014" t="s">
        <v>1385</v>
      </c>
      <c r="C11014">
        <v>149</v>
      </c>
      <c r="D11014">
        <v>161.97</v>
      </c>
      <c r="E11014">
        <v>161.96</v>
      </c>
      <c r="F11014">
        <v>0.01</v>
      </c>
    </row>
    <row r="11015" spans="1:6" x14ac:dyDescent="0.3">
      <c r="A11015" t="str">
        <f>HYPERLINK("https://us2.cloudbeds.com/connect/10074733072513#/reservations/31729877201034?display=MXGRTUC4B&amp;reservation_id=31729877201034", "MXGRTUC4B")</f>
        <v>MXGRTUC4B</v>
      </c>
      <c r="B11015" t="s">
        <v>1572</v>
      </c>
      <c r="C11015">
        <v>378</v>
      </c>
      <c r="D11015">
        <v>410.9</v>
      </c>
      <c r="E11015">
        <v>410.89</v>
      </c>
      <c r="F11015">
        <v>0.01</v>
      </c>
    </row>
    <row r="11016" spans="1:6" x14ac:dyDescent="0.3">
      <c r="A11016" t="str">
        <f>HYPERLINK("https://us2.cloudbeds.com/connect/10074733072513#/reservations/31731218591887?display=MXHT60X00&amp;reservation_id=31731218591887", "MXHT60X00")</f>
        <v>MXHT60X00</v>
      </c>
      <c r="B11016" t="s">
        <v>1671</v>
      </c>
      <c r="C11016">
        <v>403.68</v>
      </c>
      <c r="D11016">
        <v>438.81</v>
      </c>
      <c r="E11016">
        <v>438.8</v>
      </c>
      <c r="F11016">
        <v>0.01</v>
      </c>
    </row>
    <row r="11017" spans="1:6" x14ac:dyDescent="0.3">
      <c r="A11017" t="str">
        <f>HYPERLINK("https://us2.cloudbeds.com/connect/10074733072513#/reservations/31733866733713?display=MXJURWWS0&amp;reservation_id=31733866733713", "MXJURWWS0")</f>
        <v>MXJURWWS0</v>
      </c>
      <c r="B11017" t="s">
        <v>1629</v>
      </c>
      <c r="C11017">
        <v>129</v>
      </c>
      <c r="D11017">
        <v>140.22999999999999</v>
      </c>
      <c r="E11017">
        <v>140.22</v>
      </c>
      <c r="F11017">
        <v>0.01</v>
      </c>
    </row>
    <row r="11018" spans="1:6" x14ac:dyDescent="0.3">
      <c r="A11018" t="str">
        <f>HYPERLINK("https://us2.cloudbeds.com/connect/10074733072513#/reservations/31728688226487?display=MXFUHBD4K&amp;reservation_id=31728688226487", "MXFUHBD4K")</f>
        <v>MXFUHBD4K</v>
      </c>
      <c r="B11018" t="s">
        <v>1675</v>
      </c>
      <c r="C11018">
        <v>73</v>
      </c>
      <c r="D11018">
        <v>79.36</v>
      </c>
      <c r="E11018">
        <v>79.349999999999994</v>
      </c>
      <c r="F11018">
        <v>0.01</v>
      </c>
    </row>
    <row r="11019" spans="1:6" x14ac:dyDescent="0.3">
      <c r="A11019" t="str">
        <f>HYPERLINK("https://us2.cloudbeds.com/connect/10074733072513#/reservations/31728651604136?display=MXFTJFAQD&amp;reservation_id=31728651604136", "MXFTJFAQD")</f>
        <v>MXFTJFAQD</v>
      </c>
      <c r="B11019" t="s">
        <v>1675</v>
      </c>
      <c r="C11019">
        <v>99</v>
      </c>
      <c r="D11019">
        <v>107.62</v>
      </c>
      <c r="E11019">
        <v>107.61</v>
      </c>
      <c r="F11019">
        <v>0.01</v>
      </c>
    </row>
    <row r="11020" spans="1:6" x14ac:dyDescent="0.3">
      <c r="A11020" t="str">
        <f>HYPERLINK("https://us2.cloudbeds.com/connect/10074733072513#/reservations/31730417361088?display=MXH8ND05Y&amp;reservation_id=31730417361088", "MXH8ND05Y")</f>
        <v>MXH8ND05Y</v>
      </c>
      <c r="B11020" t="s">
        <v>1593</v>
      </c>
      <c r="C11020">
        <v>322.2</v>
      </c>
      <c r="D11020">
        <v>350.24</v>
      </c>
      <c r="E11020">
        <v>350.23</v>
      </c>
      <c r="F11020">
        <v>0.01</v>
      </c>
    </row>
    <row r="11021" spans="1:6" x14ac:dyDescent="0.3">
      <c r="A11021" t="str">
        <f>HYPERLINK("https://us2.cloudbeds.com/connect/10074733072513#/reservations/31729704714426?display=MXGNGFM7E&amp;reservation_id=31729704714426", "MXGNGFM7E")</f>
        <v>MXGNGFM7E</v>
      </c>
      <c r="B11021" t="s">
        <v>1629</v>
      </c>
      <c r="C11021">
        <v>159</v>
      </c>
      <c r="D11021">
        <v>172.84</v>
      </c>
      <c r="E11021">
        <v>172.83</v>
      </c>
      <c r="F11021">
        <v>0.01</v>
      </c>
    </row>
    <row r="11022" spans="1:6" x14ac:dyDescent="0.3">
      <c r="A11022" t="str">
        <f>HYPERLINK("https://us2.cloudbeds.com/connect/10074733072513#/reservations/31730819862722?display=MXHXWQAH1&amp;reservation_id=31730819862722", "MXHXWQAH1")</f>
        <v>MXHXWQAH1</v>
      </c>
      <c r="B11022" t="s">
        <v>1629</v>
      </c>
      <c r="C11022">
        <v>73</v>
      </c>
      <c r="D11022">
        <v>79.36</v>
      </c>
      <c r="E11022">
        <v>79.349999999999994</v>
      </c>
      <c r="F11022">
        <v>0.01</v>
      </c>
    </row>
    <row r="11023" spans="1:6" x14ac:dyDescent="0.3">
      <c r="A11023" t="str">
        <f>HYPERLINK("https://us2.cloudbeds.com/connect/10074733072513#/reservations/31733813428373?display=MXJTG1MVM&amp;reservation_id=31733813428373", "MXJTG1MVM")</f>
        <v>MXJTG1MVM</v>
      </c>
      <c r="B11023" t="s">
        <v>1658</v>
      </c>
      <c r="C11023">
        <v>73</v>
      </c>
      <c r="D11023">
        <v>79.36</v>
      </c>
      <c r="E11023">
        <v>79.349999999999994</v>
      </c>
      <c r="F11023">
        <v>0.01</v>
      </c>
    </row>
    <row r="11024" spans="1:6" x14ac:dyDescent="0.3">
      <c r="A11024" t="str">
        <f>HYPERLINK("https://us2.cloudbeds.com/connect/10074733072513#/reservations/31731077501134?display=MXHPJ1G2Y&amp;reservation_id=31731077501134", "MXHPJ1G2Y")</f>
        <v>MXHPJ1G2Y</v>
      </c>
      <c r="B11024" t="s">
        <v>1659</v>
      </c>
      <c r="C11024">
        <v>189</v>
      </c>
      <c r="D11024">
        <v>205.45</v>
      </c>
      <c r="E11024">
        <v>205.44</v>
      </c>
      <c r="F11024">
        <v>0.01</v>
      </c>
    </row>
    <row r="11025" spans="1:6" x14ac:dyDescent="0.3">
      <c r="A11025" t="str">
        <f>HYPERLINK("https://us2.cloudbeds.com/connect/10074733072513#/reservations/31730463563999?display=MXH9TBPQ1&amp;reservation_id=31730463563999", "MXH9TBPQ1")</f>
        <v>MXH9TBPQ1</v>
      </c>
      <c r="B11025" t="s">
        <v>1680</v>
      </c>
      <c r="C11025">
        <v>298</v>
      </c>
      <c r="D11025">
        <v>323.94</v>
      </c>
      <c r="E11025">
        <v>323.93</v>
      </c>
      <c r="F11025">
        <v>0.01</v>
      </c>
    </row>
    <row r="11026" spans="1:6" x14ac:dyDescent="0.3">
      <c r="A11026" t="str">
        <f>HYPERLINK("https://us2.cloudbeds.com/connect/10074733072513#/reservations/31731065634966?display=MXHP919MQ&amp;reservation_id=31731065634966", "MXHP919MQ")</f>
        <v>MXHP919MQ</v>
      </c>
      <c r="B11026" t="s">
        <v>1658</v>
      </c>
      <c r="C11026">
        <v>199</v>
      </c>
      <c r="D11026">
        <v>216.32</v>
      </c>
      <c r="E11026">
        <v>216.31</v>
      </c>
      <c r="F11026">
        <v>0.01</v>
      </c>
    </row>
    <row r="11027" spans="1:6" x14ac:dyDescent="0.3">
      <c r="A11027" t="str">
        <f>HYPERLINK("https://us2.cloudbeds.com/connect/10074733072513#/reservations/31731065483469?display=MXHP8U2XW&amp;reservation_id=31731065483469", "MXHP8U2XW")</f>
        <v>MXHP8U2XW</v>
      </c>
      <c r="B11027" t="s">
        <v>1659</v>
      </c>
      <c r="C11027">
        <v>189</v>
      </c>
      <c r="D11027">
        <v>205.45</v>
      </c>
      <c r="E11027">
        <v>205.44</v>
      </c>
      <c r="F11027">
        <v>0.01</v>
      </c>
    </row>
    <row r="11028" spans="1:6" x14ac:dyDescent="0.3">
      <c r="A11028" t="str">
        <f>HYPERLINK("https://us2.cloudbeds.com/connect/10074733072513#/reservations/31725344366779?display=MXDB2NXTX&amp;reservation_id=31725344366779", "MXDB2NXTX")</f>
        <v>MXDB2NXTX</v>
      </c>
      <c r="B11028" t="s">
        <v>1680</v>
      </c>
      <c r="C11028">
        <v>318</v>
      </c>
      <c r="D11028">
        <v>345.68</v>
      </c>
      <c r="E11028">
        <v>345.67</v>
      </c>
      <c r="F11028">
        <v>0.01</v>
      </c>
    </row>
    <row r="11029" spans="1:6" x14ac:dyDescent="0.3">
      <c r="A11029" t="str">
        <f>HYPERLINK("https://us2.cloudbeds.com/connect/10074733072513#/reservations/31728737231065?display=MXFVPM0ZR&amp;reservation_id=31728737231065", "MXFVPM0ZR")</f>
        <v>MXFVPM0ZR</v>
      </c>
      <c r="B11029" t="s">
        <v>1679</v>
      </c>
      <c r="C11029">
        <v>258</v>
      </c>
      <c r="D11029">
        <v>280.45999999999998</v>
      </c>
      <c r="E11029">
        <v>280.45</v>
      </c>
      <c r="F11029">
        <v>0.01</v>
      </c>
    </row>
    <row r="11030" spans="1:6" x14ac:dyDescent="0.3">
      <c r="A11030" t="str">
        <f>HYPERLINK("https://us2.cloudbeds.com/connect/10074733072513#/reservations/31727344779399?display=MXET6H02P&amp;reservation_id=31727344779399", "MXET6H02P")</f>
        <v>MXET6H02P</v>
      </c>
      <c r="B11030" t="s">
        <v>1681</v>
      </c>
      <c r="C11030">
        <v>218</v>
      </c>
      <c r="D11030">
        <v>236.98</v>
      </c>
      <c r="E11030">
        <v>236.97</v>
      </c>
      <c r="F11030">
        <v>0.01</v>
      </c>
    </row>
    <row r="11031" spans="1:6" x14ac:dyDescent="0.3">
      <c r="A11031" t="str">
        <f>HYPERLINK("https://us2.cloudbeds.com/connect/10074733072513#/reservations/31730886234264?display=MXHKMP6ZT&amp;reservation_id=31730886234264", "MXHKMP6ZT")</f>
        <v>MXHKMP6ZT</v>
      </c>
      <c r="B11031" t="s">
        <v>1629</v>
      </c>
      <c r="C11031">
        <v>73</v>
      </c>
      <c r="D11031">
        <v>79.36</v>
      </c>
      <c r="E11031">
        <v>79.349999999999994</v>
      </c>
      <c r="F11031">
        <v>0.01</v>
      </c>
    </row>
    <row r="11032" spans="1:6" x14ac:dyDescent="0.3">
      <c r="A11032" t="str">
        <f>HYPERLINK("https://us2.cloudbeds.com/connect/10074733072513#/reservations/31711423054036?display=MX2XBTH9Y&amp;reservation_id=31711423054036", "MX2XBTH9Y")</f>
        <v>MX2XBTH9Y</v>
      </c>
      <c r="B11032" t="s">
        <v>1539</v>
      </c>
      <c r="C11032">
        <v>298</v>
      </c>
      <c r="D11032">
        <v>323.94</v>
      </c>
      <c r="E11032">
        <v>323.93</v>
      </c>
      <c r="F11032">
        <v>0.01</v>
      </c>
    </row>
    <row r="11033" spans="1:6" x14ac:dyDescent="0.3">
      <c r="A11033" t="str">
        <f>HYPERLINK("https://us2.cloudbeds.com/connect/10074733072513#/reservations/31730897379578?display=MXHKW5B6M&amp;reservation_id=31730897379578", "MXHKW5B6M")</f>
        <v>MXHKW5B6M</v>
      </c>
      <c r="B11033" t="s">
        <v>1629</v>
      </c>
      <c r="C11033">
        <v>73</v>
      </c>
      <c r="D11033">
        <v>79.36</v>
      </c>
      <c r="E11033">
        <v>79.349999999999994</v>
      </c>
      <c r="F11033">
        <v>0.01</v>
      </c>
    </row>
    <row r="11034" spans="1:6" x14ac:dyDescent="0.3">
      <c r="A11034" t="str">
        <f>HYPERLINK("https://us2.cloudbeds.com/connect/10074733072513#/reservations/31731240820867?display=MXHTZP39F&amp;reservation_id=31731240820867", "MXHTZP39F")</f>
        <v>MXHTZP39F</v>
      </c>
      <c r="B11034" t="s">
        <v>1671</v>
      </c>
      <c r="C11034">
        <v>159</v>
      </c>
      <c r="D11034">
        <v>172.84</v>
      </c>
      <c r="E11034">
        <v>172.83</v>
      </c>
      <c r="F11034">
        <v>0.01</v>
      </c>
    </row>
    <row r="11035" spans="1:6" x14ac:dyDescent="0.3">
      <c r="A11035" t="str">
        <f>HYPERLINK("https://us2.cloudbeds.com/connect/10074733072513#/reservations/31733215060165?display=MXJE6G76Z&amp;reservation_id=31733215060165", "MXJE6G76Z")</f>
        <v>MXJE6G76Z</v>
      </c>
      <c r="B11035" t="s">
        <v>1678</v>
      </c>
      <c r="C11035">
        <v>258</v>
      </c>
      <c r="D11035">
        <v>280.45999999999998</v>
      </c>
      <c r="E11035">
        <v>280.45</v>
      </c>
      <c r="F11035">
        <v>0.01</v>
      </c>
    </row>
    <row r="11036" spans="1:6" x14ac:dyDescent="0.3">
      <c r="A11036" t="str">
        <f>HYPERLINK("https://us2.cloudbeds.com/connect/10074733072513#/reservations/31724766658784?display=MXCTAXWSM&amp;reservation_id=31724766658784", "MXCTAXWSM")</f>
        <v>MXCTAXWSM</v>
      </c>
      <c r="B11036" t="s">
        <v>1626</v>
      </c>
      <c r="C11036">
        <v>179</v>
      </c>
      <c r="D11036">
        <v>194.58</v>
      </c>
      <c r="E11036">
        <v>194.57</v>
      </c>
      <c r="F11036">
        <v>0.01</v>
      </c>
    </row>
    <row r="11037" spans="1:6" x14ac:dyDescent="0.3">
      <c r="A11037" t="str">
        <f>HYPERLINK("https://us2.cloudbeds.com/connect/10074733072513#/reservations/31731314946180?display=MXHVC9SH4&amp;reservation_id=31731314946180", "MXHVC9SH4")</f>
        <v>MXHVC9SH4</v>
      </c>
      <c r="B11037" t="s">
        <v>1671</v>
      </c>
      <c r="C11037">
        <v>102.58</v>
      </c>
      <c r="D11037">
        <v>111.51</v>
      </c>
      <c r="E11037">
        <v>111.5</v>
      </c>
      <c r="F11037">
        <v>0.01</v>
      </c>
    </row>
    <row r="11038" spans="1:6" x14ac:dyDescent="0.3">
      <c r="A11038" t="str">
        <f>HYPERLINK("https://us2.cloudbeds.com/connect/10074733072513#/reservations/31726675988707?display=MXEC3XU76&amp;reservation_id=31726675988707", "MXEC3XU76")</f>
        <v>MXEC3XU76</v>
      </c>
      <c r="B11038" t="s">
        <v>1659</v>
      </c>
      <c r="C11038">
        <v>249</v>
      </c>
      <c r="D11038">
        <v>270.67</v>
      </c>
      <c r="E11038">
        <v>270.66000000000003</v>
      </c>
      <c r="F11038">
        <v>0.01</v>
      </c>
    </row>
    <row r="11039" spans="1:6" x14ac:dyDescent="0.3">
      <c r="A11039" t="str">
        <f>HYPERLINK("https://us2.cloudbeds.com/connect/10074733072513#/reservations/31731836657819?display=MXXBW64YM&amp;reservation_id=31731836657819", "MXXBW64YM")</f>
        <v>MXXBW64YM</v>
      </c>
      <c r="B11039" t="s">
        <v>1676</v>
      </c>
      <c r="C11039">
        <v>258</v>
      </c>
      <c r="D11039">
        <v>280.45999999999998</v>
      </c>
      <c r="E11039">
        <v>280.45</v>
      </c>
      <c r="F11039">
        <v>0.01</v>
      </c>
    </row>
    <row r="11040" spans="1:6" x14ac:dyDescent="0.3">
      <c r="A11040" t="str">
        <f>HYPERLINK("https://us2.cloudbeds.com/connect/10074733072513#/reservations/31711434494131?display=MX2XYHSE6&amp;reservation_id=31711434494131", "MX2XYHSE6")</f>
        <v>MX2XYHSE6</v>
      </c>
      <c r="B11040" t="s">
        <v>1539</v>
      </c>
      <c r="C11040">
        <v>298</v>
      </c>
      <c r="D11040">
        <v>323.94</v>
      </c>
      <c r="E11040">
        <v>323.93</v>
      </c>
      <c r="F11040">
        <v>0.01</v>
      </c>
    </row>
    <row r="11041" spans="1:6" x14ac:dyDescent="0.3">
      <c r="A11041" t="str">
        <f>HYPERLINK("https://us2.cloudbeds.com/connect/10074733072513#/reservations/31731090194592?display=MXHPTZN4T&amp;reservation_id=31731090194592", "MXHPTZN4T")</f>
        <v>MXHPTZN4T</v>
      </c>
      <c r="B11041" t="s">
        <v>1659</v>
      </c>
      <c r="C11041">
        <v>249</v>
      </c>
      <c r="D11041">
        <v>270.67</v>
      </c>
      <c r="E11041">
        <v>270.66000000000003</v>
      </c>
      <c r="F11041">
        <v>0.01</v>
      </c>
    </row>
    <row r="11042" spans="1:6" x14ac:dyDescent="0.3">
      <c r="A11042" t="str">
        <f>HYPERLINK("https://us2.cloudbeds.com/connect/10074733072513#/reservations/31730579206373?display=MXHCRSN4D&amp;reservation_id=31730579206373", "MXHCRSN4D")</f>
        <v>MXHCRSN4D</v>
      </c>
      <c r="B11042" t="s">
        <v>1682</v>
      </c>
      <c r="C11042">
        <v>189</v>
      </c>
      <c r="D11042">
        <v>205.45</v>
      </c>
      <c r="E11042">
        <v>205.44</v>
      </c>
      <c r="F11042">
        <v>0.01</v>
      </c>
    </row>
    <row r="11043" spans="1:6" x14ac:dyDescent="0.3">
      <c r="A11043" t="str">
        <f>HYPERLINK("https://us2.cloudbeds.com/connect/10074733072513#/reservations/31726199001296?display=MXDWUC187&amp;reservation_id=31726199001296", "MXDWUC187")</f>
        <v>MXDWUC187</v>
      </c>
      <c r="B11043" t="s">
        <v>1566</v>
      </c>
      <c r="C11043">
        <v>139</v>
      </c>
      <c r="D11043">
        <v>151.1</v>
      </c>
      <c r="E11043">
        <v>151.09</v>
      </c>
      <c r="F11043">
        <v>0.01</v>
      </c>
    </row>
    <row r="11044" spans="1:6" x14ac:dyDescent="0.3">
      <c r="A11044" t="str">
        <f>HYPERLINK("https://us2.cloudbeds.com/connect/10074733072513#/reservations/31731228713200?display=MXHTEX64F&amp;reservation_id=31731228713200", "MXHTEX64F")</f>
        <v>MXHTEX64F</v>
      </c>
      <c r="B11044" t="s">
        <v>1671</v>
      </c>
      <c r="C11044">
        <v>129</v>
      </c>
      <c r="D11044">
        <v>140.22999999999999</v>
      </c>
      <c r="E11044">
        <v>140.22</v>
      </c>
      <c r="F11044">
        <v>0.01</v>
      </c>
    </row>
    <row r="11045" spans="1:6" x14ac:dyDescent="0.3">
      <c r="A11045" t="str">
        <f>HYPERLINK("https://us2.cloudbeds.com/connect/10074733072513#/reservations/31730453135498?display=MXH9KXJXS&amp;reservation_id=31730453135498", "MXH9KXJXS")</f>
        <v>MXH9KXJXS</v>
      </c>
      <c r="B11045" t="s">
        <v>1635</v>
      </c>
      <c r="C11045">
        <v>318</v>
      </c>
      <c r="D11045">
        <v>345.68</v>
      </c>
      <c r="E11045">
        <v>345.67</v>
      </c>
      <c r="F11045">
        <v>0.01</v>
      </c>
    </row>
    <row r="11046" spans="1:6" x14ac:dyDescent="0.3">
      <c r="A11046" t="str">
        <f>HYPERLINK("https://us2.cloudbeds.com/connect/10074733072513#/reservations/31731486556300?display=MXX30W1YZ&amp;reservation_id=31731486556300", "MXX30W1YZ")</f>
        <v>MXX30W1YZ</v>
      </c>
      <c r="B11046" t="s">
        <v>1574</v>
      </c>
      <c r="C11046">
        <v>105.78</v>
      </c>
      <c r="D11046">
        <v>114.99</v>
      </c>
      <c r="E11046">
        <v>114.98</v>
      </c>
      <c r="F11046">
        <v>0.01</v>
      </c>
    </row>
    <row r="11047" spans="1:6" x14ac:dyDescent="0.3">
      <c r="A11047" t="str">
        <f>HYPERLINK("https://us2.cloudbeds.com/connect/10074733072513#/reservations/31712698192124?display=MX3HV43WP&amp;reservation_id=31712698192124", "MX3HV43WP")</f>
        <v>MX3HV43WP</v>
      </c>
      <c r="B11047" t="s">
        <v>1539</v>
      </c>
      <c r="C11047">
        <v>298</v>
      </c>
      <c r="D11047">
        <v>323.94</v>
      </c>
      <c r="E11047">
        <v>323.93</v>
      </c>
      <c r="F11047">
        <v>0.01</v>
      </c>
    </row>
    <row r="11048" spans="1:6" x14ac:dyDescent="0.3">
      <c r="A11048" t="str">
        <f>HYPERLINK("https://us2.cloudbeds.com/connect/10074733072513#/reservations/31731330031857?display=MXHW0WHCQ&amp;reservation_id=31731330031857", "MXHW0WHCQ")</f>
        <v>MXHW0WHCQ</v>
      </c>
      <c r="B11048" t="s">
        <v>1671</v>
      </c>
      <c r="C11048">
        <v>159</v>
      </c>
      <c r="D11048">
        <v>172.84</v>
      </c>
      <c r="E11048">
        <v>172.83</v>
      </c>
      <c r="F11048">
        <v>0.01</v>
      </c>
    </row>
    <row r="11049" spans="1:6" x14ac:dyDescent="0.3">
      <c r="A11049" t="str">
        <f>HYPERLINK("https://us2.cloudbeds.com/connect/10074733072513#/reservations/31723156525211?display=MXBY5SYY6&amp;reservation_id=31723156525211", "MXBY5SYY6")</f>
        <v>MXBY5SYY6</v>
      </c>
      <c r="B11049" t="s">
        <v>1626</v>
      </c>
      <c r="C11049">
        <v>149</v>
      </c>
      <c r="D11049">
        <v>161.97</v>
      </c>
      <c r="E11049">
        <v>161.96</v>
      </c>
      <c r="F11049">
        <v>0.01</v>
      </c>
    </row>
    <row r="11050" spans="1:6" x14ac:dyDescent="0.3">
      <c r="A11050" t="str">
        <f>HYPERLINK("https://us2.cloudbeds.com/connect/10074733072513#/reservations/31728208310418?display=MXFX8M0SE&amp;reservation_id=31728208310418", "MXFX8M0SE")</f>
        <v>MXFX8M0SE</v>
      </c>
      <c r="B11050" t="s">
        <v>1531</v>
      </c>
      <c r="C11050">
        <v>189</v>
      </c>
      <c r="D11050">
        <v>205.45</v>
      </c>
      <c r="E11050">
        <v>205.44</v>
      </c>
      <c r="F11050">
        <v>0.01</v>
      </c>
    </row>
    <row r="11051" spans="1:6" x14ac:dyDescent="0.3">
      <c r="A11051" t="str">
        <f>HYPERLINK("https://us2.cloudbeds.com/connect/10074733072513#/reservations/31728217481448?display=MXFXGD7CE&amp;reservation_id=31728217481448", "MXFXGD7CE")</f>
        <v>MXFXGD7CE</v>
      </c>
      <c r="B11051" t="s">
        <v>1531</v>
      </c>
      <c r="C11051">
        <v>189</v>
      </c>
      <c r="D11051">
        <v>205.45</v>
      </c>
      <c r="E11051">
        <v>205.44</v>
      </c>
      <c r="F11051">
        <v>0.01</v>
      </c>
    </row>
    <row r="11052" spans="1:6" x14ac:dyDescent="0.3">
      <c r="A11052" t="str">
        <f>HYPERLINK("https://us2.cloudbeds.com/connect/10074733072513#/reservations/31728055107834?display=MXFEBFUVT&amp;reservation_id=31728055107834", "MXFEBFUVT")</f>
        <v>MXFEBFUVT</v>
      </c>
      <c r="B11052" t="s">
        <v>1574</v>
      </c>
      <c r="C11052">
        <v>73</v>
      </c>
      <c r="D11052">
        <v>79.36</v>
      </c>
      <c r="E11052">
        <v>79.349999999999994</v>
      </c>
      <c r="F11052">
        <v>0.01</v>
      </c>
    </row>
    <row r="11053" spans="1:6" x14ac:dyDescent="0.3">
      <c r="A11053" t="str">
        <f>HYPERLINK("https://us2.cloudbeds.com/connect/10074733072513#/reservations/31728226537661?display=MXFXZ17F4&amp;reservation_id=31728226537661", "MXFXZ17F4")</f>
        <v>MXFXZ17F4</v>
      </c>
      <c r="B11053" t="s">
        <v>1531</v>
      </c>
      <c r="C11053">
        <v>199</v>
      </c>
      <c r="D11053">
        <v>216.32</v>
      </c>
      <c r="E11053">
        <v>216.31</v>
      </c>
      <c r="F11053">
        <v>0.01</v>
      </c>
    </row>
    <row r="11054" spans="1:6" x14ac:dyDescent="0.3">
      <c r="A11054" t="str">
        <f>HYPERLINK("https://us2.cloudbeds.com/connect/10074733072513#/reservations/31731465224325?display=MXX2FWF28&amp;reservation_id=31731465224325", "MXX2FWF28")</f>
        <v>MXX2FWF28</v>
      </c>
      <c r="B11054" t="s">
        <v>1574</v>
      </c>
      <c r="C11054">
        <v>159</v>
      </c>
      <c r="D11054">
        <v>172.84</v>
      </c>
      <c r="E11054">
        <v>172.83</v>
      </c>
      <c r="F11054">
        <v>0.01</v>
      </c>
    </row>
    <row r="11055" spans="1:6" x14ac:dyDescent="0.3">
      <c r="A11055" t="str">
        <f>HYPERLINK("https://us2.cloudbeds.com/connect/10074733072513#/reservations/31731446706331?display=MXX20C5FU&amp;reservation_id=31731446706331", "MXX20C5FU")</f>
        <v>MXX20C5FU</v>
      </c>
      <c r="B11055" t="s">
        <v>1574</v>
      </c>
      <c r="C11055">
        <v>129</v>
      </c>
      <c r="D11055">
        <v>140.22999999999999</v>
      </c>
      <c r="E11055">
        <v>140.22</v>
      </c>
      <c r="F11055">
        <v>0.01</v>
      </c>
    </row>
    <row r="11056" spans="1:6" x14ac:dyDescent="0.3">
      <c r="A11056" t="str">
        <f>HYPERLINK("https://us2.cloudbeds.com/connect/10074733072513#/reservations/31728037990586?display=MXFDU1KYD&amp;reservation_id=31728037990586", "MXFDU1KYD")</f>
        <v>MXFDU1KYD</v>
      </c>
      <c r="B11056" t="s">
        <v>1574</v>
      </c>
      <c r="C11056">
        <v>178</v>
      </c>
      <c r="D11056">
        <v>193.5</v>
      </c>
      <c r="E11056">
        <v>193.49</v>
      </c>
      <c r="F11056">
        <v>0.01</v>
      </c>
    </row>
    <row r="11057" spans="1:6" x14ac:dyDescent="0.3">
      <c r="A11057" t="str">
        <f>HYPERLINK("https://us2.cloudbeds.com/connect/10074733072513#/reservations/31728000282769?display=MXFCV8BX9&amp;reservation_id=31728000282769", "MXFCV8BX9")</f>
        <v>MXFCV8BX9</v>
      </c>
      <c r="B11057" t="s">
        <v>1574</v>
      </c>
      <c r="C11057">
        <v>73</v>
      </c>
      <c r="D11057">
        <v>79.36</v>
      </c>
      <c r="E11057">
        <v>79.349999999999994</v>
      </c>
      <c r="F11057">
        <v>0.01</v>
      </c>
    </row>
    <row r="11058" spans="1:6" x14ac:dyDescent="0.3">
      <c r="A11058" t="str">
        <f>HYPERLINK("https://us2.cloudbeds.com/connect/10074733072513#/reservations/31727979954317?display=MXFCE3MFJ&amp;reservation_id=31727979954317", "MXFCE3MFJ")</f>
        <v>MXFCE3MFJ</v>
      </c>
      <c r="B11058" t="s">
        <v>1574</v>
      </c>
      <c r="C11058">
        <v>73</v>
      </c>
      <c r="D11058">
        <v>79.36</v>
      </c>
      <c r="E11058">
        <v>79.349999999999994</v>
      </c>
      <c r="F11058">
        <v>0.01</v>
      </c>
    </row>
    <row r="11059" spans="1:6" x14ac:dyDescent="0.3">
      <c r="A11059" t="str">
        <f>HYPERLINK("https://us2.cloudbeds.com/connect/10074733072513#/reservations/31727954792664?display=MXFBPTH68&amp;reservation_id=31727954792664", "MXFBPTH68")</f>
        <v>MXFBPTH68</v>
      </c>
      <c r="B11059" t="s">
        <v>1574</v>
      </c>
      <c r="C11059">
        <v>258</v>
      </c>
      <c r="D11059">
        <v>280.45999999999998</v>
      </c>
      <c r="E11059">
        <v>280.45</v>
      </c>
      <c r="F11059">
        <v>0.01</v>
      </c>
    </row>
    <row r="11060" spans="1:6" x14ac:dyDescent="0.3">
      <c r="A11060" t="str">
        <f>HYPERLINK("https://us2.cloudbeds.com/connect/10074733072513#/reservations/31731240816778?display=MXHTZZWHX&amp;reservation_id=31731240816778", "MXHTZZWHX")</f>
        <v>MXHTZZWHX</v>
      </c>
      <c r="B11060" t="s">
        <v>1671</v>
      </c>
      <c r="C11060">
        <v>129</v>
      </c>
      <c r="D11060">
        <v>140.22999999999999</v>
      </c>
      <c r="E11060">
        <v>140.22</v>
      </c>
      <c r="F11060">
        <v>0.01</v>
      </c>
    </row>
    <row r="11061" spans="1:6" x14ac:dyDescent="0.3">
      <c r="A11061" t="str">
        <f>HYPERLINK("https://us2.cloudbeds.com/connect/10074733072513#/reservations/31728378953894?display=MXFMKXE8S&amp;reservation_id=31728378953894", "MXFMKXE8S")</f>
        <v>MXFMKXE8S</v>
      </c>
      <c r="B11061" t="s">
        <v>1679</v>
      </c>
      <c r="C11061">
        <v>258</v>
      </c>
      <c r="D11061">
        <v>280.45999999999998</v>
      </c>
      <c r="E11061">
        <v>280.45</v>
      </c>
      <c r="F11061">
        <v>0.01</v>
      </c>
    </row>
    <row r="11062" spans="1:6" x14ac:dyDescent="0.3">
      <c r="A11062" t="str">
        <f>HYPERLINK("https://us2.cloudbeds.com/connect/10074733072513#/reservations/31730813169874?display=MXHXR52YF&amp;reservation_id=31730813169874", "MXHXR52YF")</f>
        <v>MXHXR52YF</v>
      </c>
      <c r="B11062" t="s">
        <v>1683</v>
      </c>
      <c r="C11062">
        <v>336</v>
      </c>
      <c r="D11062">
        <v>365.24</v>
      </c>
      <c r="E11062">
        <v>365.23</v>
      </c>
      <c r="F11062">
        <v>0.01</v>
      </c>
    </row>
    <row r="11063" spans="1:6" x14ac:dyDescent="0.3">
      <c r="A11063" t="str">
        <f>HYPERLINK("https://us2.cloudbeds.com/connect/10074733072513#/reservations/31730797363420?display=MXHXDR800&amp;reservation_id=31730797363420", "MXHXDR800")</f>
        <v>MXHXDR800</v>
      </c>
      <c r="B11063" t="s">
        <v>1584</v>
      </c>
      <c r="C11063">
        <v>129</v>
      </c>
      <c r="D11063">
        <v>140.22999999999999</v>
      </c>
      <c r="E11063">
        <v>140.22</v>
      </c>
      <c r="F11063">
        <v>0.01</v>
      </c>
    </row>
    <row r="11064" spans="1:6" x14ac:dyDescent="0.3">
      <c r="A11064" t="str">
        <f>HYPERLINK("https://us2.cloudbeds.com/connect/10074733072513#/reservations/31730731143363?display=MXHGNWXSK&amp;reservation_id=31730731143363", "MXHGNWXSK")</f>
        <v>MXHGNWXSK</v>
      </c>
      <c r="B11064" t="s">
        <v>1572</v>
      </c>
      <c r="C11064">
        <v>527</v>
      </c>
      <c r="D11064">
        <v>572.86</v>
      </c>
      <c r="E11064">
        <v>572.85</v>
      </c>
      <c r="F11064">
        <v>0.01</v>
      </c>
    </row>
    <row r="11065" spans="1:6" x14ac:dyDescent="0.3">
      <c r="A11065" t="str">
        <f>HYPERLINK("https://us2.cloudbeds.com/connect/10074733072513#/reservations/31730497761412?display=MXHAP6CC9&amp;reservation_id=31730497761412", "MXHAP6CC9")</f>
        <v>MXHAP6CC9</v>
      </c>
      <c r="B11065" t="s">
        <v>1444</v>
      </c>
      <c r="C11065">
        <v>209</v>
      </c>
      <c r="D11065">
        <v>227.19</v>
      </c>
      <c r="E11065">
        <v>227.18</v>
      </c>
      <c r="F11065">
        <v>0.01</v>
      </c>
    </row>
    <row r="11066" spans="1:6" x14ac:dyDescent="0.3">
      <c r="A11066" t="str">
        <f>HYPERLINK("https://us2.cloudbeds.com/connect/10074733072513#/reservations/31730347528425?display=MXH6UGUCH&amp;reservation_id=31730347528425", "MXH6UGUCH")</f>
        <v>MXH6UGUCH</v>
      </c>
      <c r="B11066" t="s">
        <v>1444</v>
      </c>
      <c r="C11066">
        <v>261.08</v>
      </c>
      <c r="D11066">
        <v>283.8</v>
      </c>
      <c r="E11066">
        <v>283.79000000000002</v>
      </c>
      <c r="F11066">
        <v>0.01</v>
      </c>
    </row>
    <row r="11067" spans="1:6" x14ac:dyDescent="0.3">
      <c r="A11067" t="str">
        <f>HYPERLINK("https://us2.cloudbeds.com/connect/10074733072513#/reservations/31731197186264?display=MXHSKVTPP&amp;reservation_id=31731197186264", "MXHSKVTPP")</f>
        <v>MXHSKVTPP</v>
      </c>
      <c r="B11067" t="s">
        <v>1444</v>
      </c>
      <c r="C11067">
        <v>219</v>
      </c>
      <c r="D11067">
        <v>238.06</v>
      </c>
      <c r="E11067">
        <v>238.05</v>
      </c>
      <c r="F11067">
        <v>0.01</v>
      </c>
    </row>
    <row r="11068" spans="1:6" x14ac:dyDescent="0.3">
      <c r="A11068" t="str">
        <f>HYPERLINK("https://us2.cloudbeds.com/connect/10074733072513#/reservations/31731178000604?display=MXHS4Q134&amp;reservation_id=31731178000604", "MXHS4Q134")</f>
        <v>MXHS4Q134</v>
      </c>
      <c r="B11068" t="s">
        <v>1444</v>
      </c>
      <c r="C11068">
        <v>209</v>
      </c>
      <c r="D11068">
        <v>227.19</v>
      </c>
      <c r="E11068">
        <v>227.18</v>
      </c>
      <c r="F11068">
        <v>0.01</v>
      </c>
    </row>
    <row r="11069" spans="1:6" x14ac:dyDescent="0.3">
      <c r="A11069" t="str">
        <f>HYPERLINK("https://us2.cloudbeds.com/connect/10074733072513#/reservations/31731170074765?display=MXHRV3G06&amp;reservation_id=31731170074765", "MXHRV3G06")</f>
        <v>MXHRV3G06</v>
      </c>
      <c r="B11069" t="s">
        <v>1444</v>
      </c>
      <c r="C11069">
        <v>378</v>
      </c>
      <c r="D11069">
        <v>410.9</v>
      </c>
      <c r="E11069">
        <v>410.89</v>
      </c>
      <c r="F11069">
        <v>0.01</v>
      </c>
    </row>
    <row r="11070" spans="1:6" x14ac:dyDescent="0.3">
      <c r="A11070" t="str">
        <f>HYPERLINK("https://us2.cloudbeds.com/connect/10074733072513#/reservations/31725885370549?display=MXDZTTQD6&amp;reservation_id=31725885370549", "MXDZTTQD6")</f>
        <v>MXDZTTQD6</v>
      </c>
      <c r="B11070" t="s">
        <v>1566</v>
      </c>
      <c r="C11070">
        <v>318</v>
      </c>
      <c r="D11070">
        <v>345.68</v>
      </c>
      <c r="E11070">
        <v>345.67</v>
      </c>
      <c r="F11070">
        <v>0.01</v>
      </c>
    </row>
    <row r="11071" spans="1:6" x14ac:dyDescent="0.3">
      <c r="A11071" t="str">
        <f>HYPERLINK("https://us2.cloudbeds.com/connect/10074733072513#/reservations/31728512868489?display=MXFQ1FQGT&amp;reservation_id=31728512868489", "MXFQ1FQGT")</f>
        <v>MXFQ1FQGT</v>
      </c>
      <c r="B11071" t="s">
        <v>1519</v>
      </c>
      <c r="C11071">
        <v>89</v>
      </c>
      <c r="D11071">
        <v>96.75</v>
      </c>
      <c r="E11071">
        <v>96.74</v>
      </c>
      <c r="F11071">
        <v>0.01</v>
      </c>
    </row>
    <row r="11072" spans="1:6" x14ac:dyDescent="0.3">
      <c r="A11072" t="str">
        <f>HYPERLINK("https://us2.cloudbeds.com/connect/10074733072513#/reservations/31731771367642?display=MXXAA4BDF&amp;reservation_id=31731771367642", "MXXAA4BDF")</f>
        <v>MXXAA4BDF</v>
      </c>
      <c r="B11072" t="s">
        <v>1676</v>
      </c>
      <c r="C11072">
        <v>129</v>
      </c>
      <c r="D11072">
        <v>140.22999999999999</v>
      </c>
      <c r="E11072">
        <v>140.22</v>
      </c>
      <c r="F11072">
        <v>0.01</v>
      </c>
    </row>
    <row r="11073" spans="1:6" x14ac:dyDescent="0.3">
      <c r="A11073" t="str">
        <f>HYPERLINK("https://us2.cloudbeds.com/connect/10074733072513#/reservations/31733997150376?display=MXK15W113&amp;reservation_id=31733997150376", "MXK15W113")</f>
        <v>MXK15W113</v>
      </c>
      <c r="B11073" t="s">
        <v>1684</v>
      </c>
      <c r="C11073">
        <v>258</v>
      </c>
      <c r="D11073">
        <v>280.45999999999998</v>
      </c>
      <c r="E11073">
        <v>280.45</v>
      </c>
      <c r="F11073">
        <v>0.01</v>
      </c>
    </row>
    <row r="11074" spans="1:6" x14ac:dyDescent="0.3">
      <c r="A11074" t="str">
        <f>HYPERLINK("https://us2.cloudbeds.com/connect/10074733072513#/reservations/31727991255293?display=MXFCNY4SD&amp;reservation_id=31727991255293", "MXFCNY4SD")</f>
        <v>MXFCNY4SD</v>
      </c>
      <c r="B11074" t="s">
        <v>1574</v>
      </c>
      <c r="C11074">
        <v>129</v>
      </c>
      <c r="D11074">
        <v>140.22999999999999</v>
      </c>
      <c r="E11074">
        <v>140.22</v>
      </c>
      <c r="F11074">
        <v>0.01</v>
      </c>
    </row>
    <row r="11075" spans="1:6" x14ac:dyDescent="0.3">
      <c r="A11075" t="str">
        <f>HYPERLINK("https://us2.cloudbeds.com/connect/10074733072513#/reservations/31733986234535?display=MXK0TP9A1&amp;reservation_id=31733986234535", "MXK0TP9A1")</f>
        <v>MXK0TP9A1</v>
      </c>
      <c r="B11075" t="s">
        <v>1684</v>
      </c>
      <c r="C11075">
        <v>178</v>
      </c>
      <c r="D11075">
        <v>193.5</v>
      </c>
      <c r="E11075">
        <v>193.49</v>
      </c>
      <c r="F11075">
        <v>0.01</v>
      </c>
    </row>
    <row r="11076" spans="1:6" x14ac:dyDescent="0.3">
      <c r="A11076" t="str">
        <f>HYPERLINK("https://us2.cloudbeds.com/connect/10074733072513#/reservations/31731743137953?display=MXX9JAQRB&amp;reservation_id=31731743137953", "MXX9JAQRB")</f>
        <v>MXX9JAQRB</v>
      </c>
      <c r="B11076" t="s">
        <v>1676</v>
      </c>
      <c r="C11076">
        <v>102.58</v>
      </c>
      <c r="D11076">
        <v>111.51</v>
      </c>
      <c r="E11076">
        <v>111.5</v>
      </c>
      <c r="F11076">
        <v>0.01</v>
      </c>
    </row>
    <row r="11077" spans="1:6" x14ac:dyDescent="0.3">
      <c r="A11077" t="str">
        <f>HYPERLINK("https://us2.cloudbeds.com/connect/10074733072513#/reservations/31731801948320?display=MXXB2U9RM&amp;reservation_id=31731801948320", "MXXB2U9RM")</f>
        <v>MXXB2U9RM</v>
      </c>
      <c r="B11077" t="s">
        <v>1676</v>
      </c>
      <c r="C11077">
        <v>129</v>
      </c>
      <c r="D11077">
        <v>140.22999999999999</v>
      </c>
      <c r="E11077">
        <v>140.22</v>
      </c>
      <c r="F11077">
        <v>0.01</v>
      </c>
    </row>
    <row r="11078" spans="1:6" x14ac:dyDescent="0.3">
      <c r="A11078" t="str">
        <f>HYPERLINK("https://us2.cloudbeds.com/connect/10074733072513#/reservations/31731788996819?display=MXXAZWTQV&amp;reservation_id=31731788996819", "MXXAZWTQV")</f>
        <v>MXXAZWTQV</v>
      </c>
      <c r="B11078" t="s">
        <v>1676</v>
      </c>
      <c r="C11078">
        <v>129</v>
      </c>
      <c r="D11078">
        <v>140.22999999999999</v>
      </c>
      <c r="E11078">
        <v>140.22</v>
      </c>
      <c r="F11078">
        <v>0.01</v>
      </c>
    </row>
    <row r="11079" spans="1:6" x14ac:dyDescent="0.3">
      <c r="A11079" t="str">
        <f>HYPERLINK("https://us2.cloudbeds.com/connect/10074733072513#/reservations/31726275178700?display=MXE1SJPV6&amp;reservation_id=31726275178700", "MXE1SJPV6")</f>
        <v>MXE1SJPV6</v>
      </c>
      <c r="B11079" t="s">
        <v>1560</v>
      </c>
      <c r="C11079">
        <v>318</v>
      </c>
      <c r="D11079">
        <v>345.68</v>
      </c>
      <c r="E11079">
        <v>345.67</v>
      </c>
      <c r="F11079">
        <v>0.01</v>
      </c>
    </row>
    <row r="11080" spans="1:6" x14ac:dyDescent="0.3">
      <c r="A11080" t="str">
        <f>HYPERLINK("https://us2.cloudbeds.com/connect/10074733072513#/reservations/31728824844502?display=MXG10HWSF&amp;reservation_id=31728824844502", "MXG10HWSF")</f>
        <v>MXG10HWSF</v>
      </c>
      <c r="B11080" t="s">
        <v>1684</v>
      </c>
      <c r="C11080">
        <v>97.74</v>
      </c>
      <c r="D11080">
        <v>106.25</v>
      </c>
      <c r="E11080">
        <v>106.24</v>
      </c>
      <c r="F11080">
        <v>0.01</v>
      </c>
    </row>
    <row r="11081" spans="1:6" x14ac:dyDescent="0.3">
      <c r="A11081" t="str">
        <f>HYPERLINK("https://us2.cloudbeds.com/connect/10074733072513#/reservations/31727507456133?display=MXF0BMNRQ&amp;reservation_id=31727507456133", "MXF0BMNRQ")</f>
        <v>MXF0BMNRQ</v>
      </c>
      <c r="B11081" t="s">
        <v>1624</v>
      </c>
      <c r="C11081">
        <v>338</v>
      </c>
      <c r="D11081">
        <v>367.42</v>
      </c>
      <c r="E11081">
        <v>367.41</v>
      </c>
      <c r="F11081">
        <v>0.01</v>
      </c>
    </row>
    <row r="11082" spans="1:6" x14ac:dyDescent="0.3">
      <c r="A11082" t="str">
        <f>HYPERLINK("https://us2.cloudbeds.com/connect/10074733072513#/reservations/31728760623248?display=MXFWCCV5S&amp;reservation_id=31728760623248", "MXFWCCV5S")</f>
        <v>MXFWCCV5S</v>
      </c>
      <c r="B11082" t="s">
        <v>1679</v>
      </c>
      <c r="C11082">
        <v>139</v>
      </c>
      <c r="D11082">
        <v>151.1</v>
      </c>
      <c r="E11082">
        <v>151.09</v>
      </c>
      <c r="F11082">
        <v>0.01</v>
      </c>
    </row>
    <row r="11083" spans="1:6" x14ac:dyDescent="0.3">
      <c r="A11083" t="str">
        <f>HYPERLINK("https://us2.cloudbeds.com/connect/10074733072513#/reservations/31728860201154?display=MXG1UBRV5&amp;reservation_id=31728860201154", "MXG1UBRV5")</f>
        <v>MXG1UBRV5</v>
      </c>
      <c r="B11083" t="s">
        <v>1684</v>
      </c>
      <c r="C11083">
        <v>129</v>
      </c>
      <c r="D11083">
        <v>140.22999999999999</v>
      </c>
      <c r="E11083">
        <v>140.22</v>
      </c>
      <c r="F11083">
        <v>0.01</v>
      </c>
    </row>
    <row r="11084" spans="1:6" x14ac:dyDescent="0.3">
      <c r="A11084" t="str">
        <f>HYPERLINK("https://us2.cloudbeds.com/connect/10074733072513#/reservations/31728843649221?display=MXG1GD8ZE&amp;reservation_id=31728843649221", "MXG1GD8ZE")</f>
        <v>MXG1GD8ZE</v>
      </c>
      <c r="B11084" t="s">
        <v>1684</v>
      </c>
      <c r="C11084">
        <v>129</v>
      </c>
      <c r="D11084">
        <v>140.22999999999999</v>
      </c>
      <c r="E11084">
        <v>140.22</v>
      </c>
      <c r="F11084">
        <v>0.01</v>
      </c>
    </row>
    <row r="11085" spans="1:6" x14ac:dyDescent="0.3">
      <c r="A11085" t="str">
        <f>HYPERLINK("https://us2.cloudbeds.com/connect/10074733072513#/reservations/31733275381890?display=MXJFZBP1Q&amp;reservation_id=31733275381890", "MXJFZBP1Q")</f>
        <v>MXJFZBP1Q</v>
      </c>
      <c r="B11085" t="s">
        <v>1672</v>
      </c>
      <c r="C11085">
        <v>87.82</v>
      </c>
      <c r="D11085">
        <v>95.47</v>
      </c>
      <c r="E11085">
        <v>95.46</v>
      </c>
      <c r="F11085">
        <v>0.01</v>
      </c>
    </row>
    <row r="11086" spans="1:6" x14ac:dyDescent="0.3">
      <c r="A11086" t="str">
        <f>HYPERLINK("https://us2.cloudbeds.com/connect/10074733072513#/reservations/31723204743297?display=MXBMDHD1B&amp;reservation_id=31723204743297", "MXBMDHD1B")</f>
        <v>MXBMDHD1B</v>
      </c>
      <c r="B11086" t="s">
        <v>1626</v>
      </c>
      <c r="C11086">
        <v>438</v>
      </c>
      <c r="D11086">
        <v>476.12</v>
      </c>
      <c r="E11086">
        <v>476.11</v>
      </c>
      <c r="F11086">
        <v>0.01</v>
      </c>
    </row>
    <row r="11087" spans="1:6" x14ac:dyDescent="0.3">
      <c r="A11087" t="str">
        <f>HYPERLINK("https://us2.cloudbeds.com/connect/10074733072513#/reservations/31728860197059?display=MXG1UBZ62&amp;reservation_id=31728860197059", "MXG1UBZ62")</f>
        <v>MXG1UBZ62</v>
      </c>
      <c r="B11087" t="s">
        <v>1684</v>
      </c>
      <c r="C11087">
        <v>129</v>
      </c>
      <c r="D11087">
        <v>140.22999999999999</v>
      </c>
      <c r="E11087">
        <v>140.22</v>
      </c>
      <c r="F11087">
        <v>0.01</v>
      </c>
    </row>
    <row r="11088" spans="1:6" x14ac:dyDescent="0.3">
      <c r="A11088" t="str">
        <f>HYPERLINK("https://us2.cloudbeds.com/connect/10074733072513#/reservations/31733944234129?display=MXJWRBXEF&amp;reservation_id=31733944234129", "MXJWRBXEF")</f>
        <v>MXJWRBXEF</v>
      </c>
      <c r="B11088" t="s">
        <v>1679</v>
      </c>
      <c r="C11088">
        <v>129</v>
      </c>
      <c r="D11088">
        <v>140.22999999999999</v>
      </c>
      <c r="E11088">
        <v>140.22</v>
      </c>
      <c r="F11088">
        <v>0.01</v>
      </c>
    </row>
    <row r="11089" spans="1:6" x14ac:dyDescent="0.3">
      <c r="A11089" t="str">
        <f>HYPERLINK("https://us2.cloudbeds.com/connect/10074733072513#/reservations/31728347803854?display=MXFYR9Y08&amp;reservation_id=31728347803854", "MXFYR9Y08")</f>
        <v>MXFYR9Y08</v>
      </c>
      <c r="B11089" t="s">
        <v>1682</v>
      </c>
      <c r="C11089">
        <v>159</v>
      </c>
      <c r="D11089">
        <v>172.84</v>
      </c>
      <c r="E11089">
        <v>172.83</v>
      </c>
      <c r="F11089">
        <v>0.01</v>
      </c>
    </row>
    <row r="11090" spans="1:6" x14ac:dyDescent="0.3">
      <c r="A11090" t="str">
        <f>HYPERLINK("https://us2.cloudbeds.com/connect/10074733072513#/reservations/31729161556219?display=MXG9KFGBR&amp;reservation_id=31729161556219", "MXG9KFGBR")</f>
        <v>MXG9KFGBR</v>
      </c>
      <c r="B11090" t="s">
        <v>1685</v>
      </c>
      <c r="C11090">
        <v>473.4</v>
      </c>
      <c r="D11090">
        <v>514.6</v>
      </c>
      <c r="E11090">
        <v>514.59</v>
      </c>
      <c r="F11090">
        <v>0.01</v>
      </c>
    </row>
    <row r="11091" spans="1:6" x14ac:dyDescent="0.3">
      <c r="A11091" t="str">
        <f>HYPERLINK("https://us2.cloudbeds.com/connect/10074733072513#/reservations/31728384065735?display=MXFMZSMB4&amp;reservation_id=31728384065735", "MXFMZSMB4")</f>
        <v>MXFMZSMB4</v>
      </c>
      <c r="B11091" t="s">
        <v>1679</v>
      </c>
      <c r="C11091">
        <v>129</v>
      </c>
      <c r="D11091">
        <v>140.22999999999999</v>
      </c>
      <c r="E11091">
        <v>140.22</v>
      </c>
      <c r="F11091">
        <v>0.01</v>
      </c>
    </row>
    <row r="11092" spans="1:6" x14ac:dyDescent="0.3">
      <c r="A11092" t="str">
        <f>HYPERLINK("https://us2.cloudbeds.com/connect/10074733072513#/reservations/31733760315615?display=MXJS48ZU5&amp;reservation_id=31733760315615", "MXJS48ZU5")</f>
        <v>MXJS48ZU5</v>
      </c>
      <c r="B11092" t="s">
        <v>1683</v>
      </c>
      <c r="C11092">
        <v>336</v>
      </c>
      <c r="D11092">
        <v>365.24</v>
      </c>
      <c r="E11092">
        <v>365.23</v>
      </c>
      <c r="F11092">
        <v>0.01</v>
      </c>
    </row>
    <row r="11093" spans="1:6" x14ac:dyDescent="0.3">
      <c r="A11093" t="str">
        <f>HYPERLINK("https://us2.cloudbeds.com/connect/10074733072513#/reservations/31728865644739?display=MXG21VAY9&amp;reservation_id=31728865644739", "MXG21VAY9")</f>
        <v>MXG21VAY9</v>
      </c>
      <c r="B11093" t="s">
        <v>1667</v>
      </c>
      <c r="C11093">
        <v>179</v>
      </c>
      <c r="D11093">
        <v>194.58</v>
      </c>
      <c r="E11093">
        <v>194.57</v>
      </c>
      <c r="F11093">
        <v>0.01</v>
      </c>
    </row>
    <row r="11094" spans="1:6" x14ac:dyDescent="0.3">
      <c r="A11094" t="str">
        <f>HYPERLINK("https://us2.cloudbeds.com/connect/10074733072513#/reservations/31730528825491?display=MXHBXCPN0&amp;reservation_id=31730528825491", "MXHBXCPN0")</f>
        <v>MXHBXCPN0</v>
      </c>
      <c r="B11094" t="s">
        <v>1444</v>
      </c>
      <c r="C11094">
        <v>183.76</v>
      </c>
      <c r="D11094">
        <v>199.76</v>
      </c>
      <c r="E11094">
        <v>199.75</v>
      </c>
      <c r="F11094">
        <v>0.01</v>
      </c>
    </row>
    <row r="11095" spans="1:6" x14ac:dyDescent="0.3">
      <c r="A11095" t="str">
        <f>HYPERLINK("https://us2.cloudbeds.com/connect/10074733072513#/reservations/31728370520274?display=MXFMDEZTK&amp;reservation_id=31728370520274", "MXFMDEZTK")</f>
        <v>MXFMDEZTK</v>
      </c>
      <c r="B11095" t="s">
        <v>1682</v>
      </c>
      <c r="C11095">
        <v>129</v>
      </c>
      <c r="D11095">
        <v>140.22999999999999</v>
      </c>
      <c r="E11095">
        <v>140.22</v>
      </c>
      <c r="F11095">
        <v>0.01</v>
      </c>
    </row>
    <row r="11096" spans="1:6" x14ac:dyDescent="0.3">
      <c r="A11096" t="str">
        <f>HYPERLINK("https://us2.cloudbeds.com/connect/10074733072513#/reservations/31728356909283?display=MXFM1W09B&amp;reservation_id=31728356909283", "MXFM1W09B")</f>
        <v>MXFM1W09B</v>
      </c>
      <c r="B11096" t="s">
        <v>1682</v>
      </c>
      <c r="C11096">
        <v>189</v>
      </c>
      <c r="D11096">
        <v>205.45</v>
      </c>
      <c r="E11096">
        <v>205.44</v>
      </c>
      <c r="F11096">
        <v>0.01</v>
      </c>
    </row>
    <row r="11097" spans="1:6" x14ac:dyDescent="0.3">
      <c r="A11097" t="str">
        <f>HYPERLINK("https://us2.cloudbeds.com/connect/10074733072513#/reservations/31729532424404?display=MXGJ36ERM&amp;reservation_id=31729532424404", "MXGJ36ERM")</f>
        <v>MXGJ36ERM</v>
      </c>
      <c r="B11097" t="s">
        <v>1622</v>
      </c>
      <c r="C11097">
        <v>64.5</v>
      </c>
      <c r="D11097">
        <v>70.12</v>
      </c>
      <c r="E11097">
        <v>70.11</v>
      </c>
      <c r="F11097">
        <v>0.01</v>
      </c>
    </row>
    <row r="11098" spans="1:6" x14ac:dyDescent="0.3">
      <c r="A11098" t="str">
        <f>HYPERLINK("https://us2.cloudbeds.com/connect/10074733072513#/reservations/31724700131537?display=MXCRKFPYG&amp;reservation_id=31724700131537", "MXCRKFPYG")</f>
        <v>MXCRKFPYG</v>
      </c>
      <c r="B11098" t="s">
        <v>1626</v>
      </c>
      <c r="C11098">
        <v>298</v>
      </c>
      <c r="D11098">
        <v>323.94</v>
      </c>
      <c r="E11098">
        <v>323.93</v>
      </c>
      <c r="F11098">
        <v>0.01</v>
      </c>
    </row>
    <row r="11099" spans="1:6" x14ac:dyDescent="0.3">
      <c r="A11099" t="str">
        <f>HYPERLINK("https://us2.cloudbeds.com/connect/10074733072513#/reservations/31728960266394?display=MXG4FZA75&amp;reservation_id=31728960266394", "MXG4FZA75")</f>
        <v>MXG4FZA75</v>
      </c>
      <c r="B11099" t="s">
        <v>1686</v>
      </c>
      <c r="C11099">
        <v>129</v>
      </c>
      <c r="D11099">
        <v>140.22999999999999</v>
      </c>
      <c r="E11099">
        <v>140.22</v>
      </c>
      <c r="F11099">
        <v>0.01</v>
      </c>
    </row>
    <row r="11100" spans="1:6" x14ac:dyDescent="0.3">
      <c r="A11100" t="str">
        <f>HYPERLINK("https://us2.cloudbeds.com/connect/10074733072513#/reservations/31728309272790?display=MXFKRQEV8&amp;reservation_id=31728309272790", "MXFKRQEV8")</f>
        <v>MXFKRQEV8</v>
      </c>
      <c r="B11100" t="s">
        <v>1682</v>
      </c>
      <c r="C11100">
        <v>169</v>
      </c>
      <c r="D11100">
        <v>183.71</v>
      </c>
      <c r="E11100">
        <v>183.7</v>
      </c>
      <c r="F11100">
        <v>0.01</v>
      </c>
    </row>
    <row r="11101" spans="1:6" x14ac:dyDescent="0.3">
      <c r="A11101" t="str">
        <f>HYPERLINK("https://us2.cloudbeds.com/connect/10074733072513#/reservations/31725559611610?display=MXDGJ72X6&amp;reservation_id=31725559611610", "MXDGJ72X6")</f>
        <v>MXDGJ72X6</v>
      </c>
      <c r="B11101" t="s">
        <v>1626</v>
      </c>
      <c r="C11101">
        <v>338</v>
      </c>
      <c r="D11101">
        <v>367.42</v>
      </c>
      <c r="E11101">
        <v>367.41</v>
      </c>
      <c r="F11101">
        <v>0.01</v>
      </c>
    </row>
    <row r="11102" spans="1:6" x14ac:dyDescent="0.3">
      <c r="A11102" t="str">
        <f>HYPERLINK("https://us2.cloudbeds.com/connect/10074733072513#/reservations/31723248898200?display=MXBNHP2AN&amp;reservation_id=31723248898200", "MXBNHP2AN")</f>
        <v>MXBNHP2AN</v>
      </c>
      <c r="B11102" t="s">
        <v>1626</v>
      </c>
      <c r="C11102">
        <v>298</v>
      </c>
      <c r="D11102">
        <v>323.94</v>
      </c>
      <c r="E11102">
        <v>323.93</v>
      </c>
      <c r="F11102">
        <v>0.01</v>
      </c>
    </row>
    <row r="11103" spans="1:6" x14ac:dyDescent="0.3">
      <c r="A11103" t="str">
        <f>HYPERLINK("https://us2.cloudbeds.com/connect/10074733072513#/reservations/31730764898552?display=MXHHJESC4&amp;reservation_id=31730764898552", "MXHHJESC4")</f>
        <v>MXHHJESC4</v>
      </c>
      <c r="B11103" t="s">
        <v>1584</v>
      </c>
      <c r="C11103">
        <v>696</v>
      </c>
      <c r="D11103">
        <v>756.56</v>
      </c>
      <c r="E11103">
        <v>756.55</v>
      </c>
      <c r="F11103">
        <v>0.01</v>
      </c>
    </row>
    <row r="11104" spans="1:6" x14ac:dyDescent="0.3">
      <c r="A11104" t="str">
        <f>HYPERLINK("https://us2.cloudbeds.com/connect/10074733072513#/reservations/31723231506654?display=MXBN33445&amp;reservation_id=31723231506654", "MXBN33445")</f>
        <v>MXBN33445</v>
      </c>
      <c r="B11104" t="s">
        <v>1626</v>
      </c>
      <c r="C11104">
        <v>298</v>
      </c>
      <c r="D11104">
        <v>323.94</v>
      </c>
      <c r="E11104">
        <v>323.93</v>
      </c>
      <c r="F11104">
        <v>0.01</v>
      </c>
    </row>
    <row r="11105" spans="1:6" x14ac:dyDescent="0.3">
      <c r="A11105" t="str">
        <f>HYPERLINK("https://us2.cloudbeds.com/connect/10074733072513#/reservations/31724725297288?display=MXCS8N1N0&amp;reservation_id=31724725297288", "MXCS8N1N0")</f>
        <v>MXCS8N1N0</v>
      </c>
      <c r="B11105" t="s">
        <v>1626</v>
      </c>
      <c r="C11105">
        <v>298</v>
      </c>
      <c r="D11105">
        <v>323.94</v>
      </c>
      <c r="E11105">
        <v>323.93</v>
      </c>
      <c r="F11105">
        <v>0.01</v>
      </c>
    </row>
    <row r="11106" spans="1:6" x14ac:dyDescent="0.3">
      <c r="A11106" t="str">
        <f>HYPERLINK("https://us2.cloudbeds.com/connect/10074733072513#/reservations/31727054319811?display=MXEYPJHN3&amp;reservation_id=31727054319811", "MXEYPJHN3")</f>
        <v>MXEYPJHN3</v>
      </c>
      <c r="B11106" t="s">
        <v>1622</v>
      </c>
      <c r="C11106">
        <v>159</v>
      </c>
      <c r="D11106">
        <v>172.84</v>
      </c>
      <c r="E11106">
        <v>172.83</v>
      </c>
      <c r="F11106">
        <v>0.01</v>
      </c>
    </row>
    <row r="11107" spans="1:6" x14ac:dyDescent="0.3">
      <c r="A11107" t="str">
        <f>HYPERLINK("https://us2.cloudbeds.com/connect/10074733072513#/reservations/31729555374297?display=MXGJMX23W&amp;reservation_id=31729555374297", "MXGJMX23W")</f>
        <v>MXGJMX23W</v>
      </c>
      <c r="B11107" t="s">
        <v>1622</v>
      </c>
      <c r="C11107">
        <v>129</v>
      </c>
      <c r="D11107">
        <v>140.22999999999999</v>
      </c>
      <c r="E11107">
        <v>140.22</v>
      </c>
      <c r="F11107">
        <v>0.01</v>
      </c>
    </row>
    <row r="11108" spans="1:6" x14ac:dyDescent="0.3">
      <c r="A11108" t="str">
        <f>HYPERLINK("https://us2.cloudbeds.com/connect/10074733072513#/reservations/31727923491023?display=MXFAWGGNM&amp;reservation_id=31727923491023", "MXFAWGGNM")</f>
        <v>MXFAWGGNM</v>
      </c>
      <c r="B11108" t="s">
        <v>1678</v>
      </c>
      <c r="C11108">
        <v>129</v>
      </c>
      <c r="D11108">
        <v>140.22999999999999</v>
      </c>
      <c r="E11108">
        <v>140.22</v>
      </c>
      <c r="F11108">
        <v>0.01</v>
      </c>
    </row>
    <row r="11109" spans="1:6" x14ac:dyDescent="0.3">
      <c r="A11109" t="str">
        <f>HYPERLINK("https://us2.cloudbeds.com/connect/10074733072513#/reservations/31731556155535?display=MXX4QYZQE&amp;reservation_id=31731556155535", "MXX4QYZQE")</f>
        <v>MXX4QYZQE</v>
      </c>
      <c r="B11109" t="s">
        <v>1687</v>
      </c>
      <c r="C11109">
        <v>119</v>
      </c>
      <c r="D11109">
        <v>129.36000000000001</v>
      </c>
      <c r="E11109">
        <v>129.35</v>
      </c>
      <c r="F11109">
        <v>0.01</v>
      </c>
    </row>
    <row r="11110" spans="1:6" x14ac:dyDescent="0.3">
      <c r="A11110" t="str">
        <f>HYPERLINK("https://us2.cloudbeds.com/connect/10074733072513#/reservations/31726916468898?display=MXEX8BKRN&amp;reservation_id=31726916468898", "MXEX8BKRN")</f>
        <v>MXEX8BKRN</v>
      </c>
      <c r="B11110" t="s">
        <v>1687</v>
      </c>
      <c r="C11110">
        <v>73</v>
      </c>
      <c r="D11110">
        <v>79.36</v>
      </c>
      <c r="E11110">
        <v>79.349999999999994</v>
      </c>
      <c r="F11110">
        <v>0.01</v>
      </c>
    </row>
    <row r="11111" spans="1:6" x14ac:dyDescent="0.3">
      <c r="A11111" t="str">
        <f>HYPERLINK("https://us2.cloudbeds.com/connect/10074733072513#/reservations/31723906613414?display=MXC7BBVSP&amp;reservation_id=31723906613414", "MXC7BBVSP")</f>
        <v>MXC7BBVSP</v>
      </c>
      <c r="B11111" t="s">
        <v>1626</v>
      </c>
      <c r="C11111">
        <v>662.2</v>
      </c>
      <c r="D11111">
        <v>719.82</v>
      </c>
      <c r="E11111">
        <v>719.81</v>
      </c>
      <c r="F11111">
        <v>0.01</v>
      </c>
    </row>
    <row r="11112" spans="1:6" x14ac:dyDescent="0.3">
      <c r="A11112" t="str">
        <f>HYPERLINK("https://us2.cloudbeds.com/connect/10074733072513#/reservations/31728927871197?display=MXG3YDSXH&amp;reservation_id=31728927871197", "MXG3YDSXH")</f>
        <v>MXG3YDSXH</v>
      </c>
      <c r="B11112" t="s">
        <v>1686</v>
      </c>
      <c r="C11112">
        <v>252</v>
      </c>
      <c r="D11112">
        <v>273.93</v>
      </c>
      <c r="E11112">
        <v>273.92</v>
      </c>
      <c r="F11112">
        <v>0.01</v>
      </c>
    </row>
    <row r="11113" spans="1:6" x14ac:dyDescent="0.3">
      <c r="A11113" t="str">
        <f>HYPERLINK("https://us2.cloudbeds.com/connect/10074733072513#/reservations/31726977552581?display=MXEJQSCCD&amp;reservation_id=31726977552581", "MXEJQSCCD")</f>
        <v>MXEJQSCCD</v>
      </c>
      <c r="B11113" t="s">
        <v>1622</v>
      </c>
      <c r="C11113">
        <v>159</v>
      </c>
      <c r="D11113">
        <v>172.84</v>
      </c>
      <c r="E11113">
        <v>172.83</v>
      </c>
      <c r="F11113">
        <v>0.01</v>
      </c>
    </row>
    <row r="11114" spans="1:6" x14ac:dyDescent="0.3">
      <c r="A11114" t="str">
        <f>HYPERLINK("https://us2.cloudbeds.com/connect/10074733072513#/reservations/31733301870775?display=MXJGDMS39&amp;reservation_id=31733301870775", "MXJGDMS39")</f>
        <v>MXJGDMS39</v>
      </c>
      <c r="B11114" t="s">
        <v>1678</v>
      </c>
      <c r="C11114">
        <v>129</v>
      </c>
      <c r="D11114">
        <v>140.22999999999999</v>
      </c>
      <c r="E11114">
        <v>140.22</v>
      </c>
      <c r="F11114">
        <v>0.01</v>
      </c>
    </row>
    <row r="11115" spans="1:6" x14ac:dyDescent="0.3">
      <c r="A11115" t="str">
        <f>HYPERLINK("https://us2.cloudbeds.com/connect/10074733072513#/reservations/31731611607201?display=MXX67DPJW&amp;reservation_id=31731611607201", "MXX67DPJW")</f>
        <v>MXX67DPJW</v>
      </c>
      <c r="B11115" t="s">
        <v>1687</v>
      </c>
      <c r="C11115">
        <v>109</v>
      </c>
      <c r="D11115">
        <v>118.49</v>
      </c>
      <c r="E11115">
        <v>118.48</v>
      </c>
      <c r="F11115">
        <v>0.01</v>
      </c>
    </row>
    <row r="11116" spans="1:6" x14ac:dyDescent="0.3">
      <c r="A11116" t="str">
        <f>HYPERLINK("https://us2.cloudbeds.com/connect/10074733072513#/reservations/31733287944344?display=MXJG1VAR7&amp;reservation_id=31733287944344", "MXJG1VAR7")</f>
        <v>MXJG1VAR7</v>
      </c>
      <c r="B11116" t="s">
        <v>1678</v>
      </c>
      <c r="C11116">
        <v>102.58</v>
      </c>
      <c r="D11116">
        <v>111.51</v>
      </c>
      <c r="E11116">
        <v>111.5</v>
      </c>
      <c r="F11116">
        <v>0.01</v>
      </c>
    </row>
    <row r="11117" spans="1:6" x14ac:dyDescent="0.3">
      <c r="A11117" t="str">
        <f>HYPERLINK("https://us2.cloudbeds.com/connect/10074733072513#/reservations/31726960140500?display=MXEJC5SAX&amp;reservation_id=31726960140500", "MXEJC5SAX")</f>
        <v>MXEJC5SAX</v>
      </c>
      <c r="B11117" t="s">
        <v>1687</v>
      </c>
      <c r="C11117">
        <v>87.82</v>
      </c>
      <c r="D11117">
        <v>95.47</v>
      </c>
      <c r="E11117">
        <v>95.46</v>
      </c>
      <c r="F11117">
        <v>0.01</v>
      </c>
    </row>
    <row r="11118" spans="1:6" x14ac:dyDescent="0.3">
      <c r="A11118" t="str">
        <f>HYPERLINK("https://us2.cloudbeds.com/connect/10074733072513#/reservations/31723931119791?display=MXC7W0TE8&amp;reservation_id=31723931119791", "MXC7W0TE8")</f>
        <v>MXC7W0TE8</v>
      </c>
      <c r="B11118" t="s">
        <v>1626</v>
      </c>
      <c r="C11118">
        <v>662.2</v>
      </c>
      <c r="D11118">
        <v>719.82</v>
      </c>
      <c r="E11118">
        <v>719.81</v>
      </c>
      <c r="F11118">
        <v>0.01</v>
      </c>
    </row>
    <row r="11119" spans="1:6" x14ac:dyDescent="0.3">
      <c r="A11119" t="str">
        <f>HYPERLINK("https://us2.cloudbeds.com/connect/10074733072513#/reservations/31724734103779?display=MXCSG43FC&amp;reservation_id=31724734103779", "MXCSG43FC")</f>
        <v>MXCSG43FC</v>
      </c>
      <c r="B11119" t="s">
        <v>1626</v>
      </c>
      <c r="C11119">
        <v>338</v>
      </c>
      <c r="D11119">
        <v>367.42</v>
      </c>
      <c r="E11119">
        <v>367.41</v>
      </c>
      <c r="F11119">
        <v>0.01</v>
      </c>
    </row>
    <row r="11120" spans="1:6" x14ac:dyDescent="0.3">
      <c r="A11120" t="str">
        <f>HYPERLINK("https://us2.cloudbeds.com/connect/10074733072513#/reservations/31727943065738?display=MXFBG06YS&amp;reservation_id=31727943065738", "MXFBG06YS")</f>
        <v>MXFBG06YS</v>
      </c>
      <c r="B11120" t="s">
        <v>1678</v>
      </c>
      <c r="C11120">
        <v>129</v>
      </c>
      <c r="D11120">
        <v>140.22999999999999</v>
      </c>
      <c r="E11120">
        <v>140.22</v>
      </c>
      <c r="F11120">
        <v>0.01</v>
      </c>
    </row>
    <row r="11121" spans="1:6" x14ac:dyDescent="0.3">
      <c r="A11121" t="str">
        <f>HYPERLINK("https://us2.cloudbeds.com/connect/10074733072513#/reservations/31731587207374?display=MXX5JRQT9&amp;reservation_id=31731587207374", "MXX5JRQT9")</f>
        <v>MXX5JRQT9</v>
      </c>
      <c r="B11121" t="s">
        <v>1687</v>
      </c>
      <c r="C11121">
        <v>87.82</v>
      </c>
      <c r="D11121">
        <v>95.47</v>
      </c>
      <c r="E11121">
        <v>95.46</v>
      </c>
      <c r="F11121">
        <v>0.01</v>
      </c>
    </row>
    <row r="11122" spans="1:6" x14ac:dyDescent="0.3">
      <c r="A11122" t="str">
        <f>HYPERLINK("https://us2.cloudbeds.com/connect/10074733072513#/reservations/31731522404504?display=MXX3V6J3V&amp;reservation_id=31731522404504", "MXX3V6J3V")</f>
        <v>MXX3V6J3V</v>
      </c>
      <c r="B11122" t="s">
        <v>1678</v>
      </c>
      <c r="C11122">
        <v>73</v>
      </c>
      <c r="D11122">
        <v>79.36</v>
      </c>
      <c r="E11122">
        <v>79.349999999999994</v>
      </c>
      <c r="F11122">
        <v>0.01</v>
      </c>
    </row>
    <row r="11123" spans="1:6" x14ac:dyDescent="0.3">
      <c r="A11123" t="str">
        <f>HYPERLINK("https://us2.cloudbeds.com/connect/10074733072513#/reservations/31723996164234?display=MXC9KSS0W&amp;reservation_id=31723996164234", "MXC9KSS0W")</f>
        <v>MXC9KSS0W</v>
      </c>
      <c r="B11123" t="s">
        <v>1635</v>
      </c>
      <c r="C11123">
        <v>318</v>
      </c>
      <c r="D11123">
        <v>345.68</v>
      </c>
      <c r="E11123">
        <v>345.67</v>
      </c>
      <c r="F11123">
        <v>0.01</v>
      </c>
    </row>
    <row r="11124" spans="1:6" x14ac:dyDescent="0.3">
      <c r="A11124" t="str">
        <f>HYPERLINK("https://us2.cloudbeds.com/connect/10074733072513#/reservations/31733234016504?display=MXJEMFNA8&amp;reservation_id=31733234016504", "MXJEMFNA8")</f>
        <v>MXJEMFNA8</v>
      </c>
      <c r="B11124" t="s">
        <v>1678</v>
      </c>
      <c r="C11124">
        <v>89</v>
      </c>
      <c r="D11124">
        <v>96.75</v>
      </c>
      <c r="E11124">
        <v>96.74</v>
      </c>
      <c r="F11124">
        <v>0.01</v>
      </c>
    </row>
    <row r="11125" spans="1:6" x14ac:dyDescent="0.3">
      <c r="A11125" t="str">
        <f>HYPERLINK("https://us2.cloudbeds.com/connect/10074733072513#/reservations/31733259919495?display=MXJFBAGBC&amp;reservation_id=31733259919495", "MXJFBAGBC")</f>
        <v>MXJFBAGBC</v>
      </c>
      <c r="B11125" t="s">
        <v>1678</v>
      </c>
      <c r="C11125">
        <v>238</v>
      </c>
      <c r="D11125">
        <v>258.72000000000003</v>
      </c>
      <c r="E11125">
        <v>258.70999999999998</v>
      </c>
      <c r="F11125">
        <v>0.01</v>
      </c>
    </row>
    <row r="11126" spans="1:6" x14ac:dyDescent="0.3">
      <c r="A11126" t="str">
        <f>HYPERLINK("https://us2.cloudbeds.com/connect/10074733072513#/reservations/31733309382869?display=MXJGK0T8G&amp;reservation_id=31733309382869", "MXJGK0T8G")</f>
        <v>MXJGK0T8G</v>
      </c>
      <c r="B11126" t="s">
        <v>1678</v>
      </c>
      <c r="C11126">
        <v>109</v>
      </c>
      <c r="D11126">
        <v>118.49</v>
      </c>
      <c r="E11126">
        <v>118.48</v>
      </c>
      <c r="F11126">
        <v>0.01</v>
      </c>
    </row>
    <row r="11127" spans="1:6" x14ac:dyDescent="0.3">
      <c r="A11127" t="str">
        <f>HYPERLINK("https://us2.cloudbeds.com/connect/10074733072513#/reservations/31730706464989?display=MXHG35SC3&amp;reservation_id=31730706464989", "MXHG35SC3")</f>
        <v>MXHG35SC3</v>
      </c>
      <c r="B11127" t="s">
        <v>1688</v>
      </c>
      <c r="C11127">
        <v>298</v>
      </c>
      <c r="D11127">
        <v>323.94</v>
      </c>
      <c r="E11127">
        <v>323.93</v>
      </c>
      <c r="F11127">
        <v>0.01</v>
      </c>
    </row>
    <row r="11128" spans="1:6" x14ac:dyDescent="0.3">
      <c r="A11128" t="str">
        <f>HYPERLINK("https://us2.cloudbeds.com/connect/10074733072513#/reservations/31726032040094?display=MXDSYJ35S&amp;reservation_id=31726032040094", "MXDSYJ35S")</f>
        <v>MXDSYJ35S</v>
      </c>
      <c r="B11128" t="s">
        <v>1657</v>
      </c>
      <c r="C11128">
        <v>258</v>
      </c>
      <c r="D11128">
        <v>280.45999999999998</v>
      </c>
      <c r="E11128">
        <v>280.45</v>
      </c>
      <c r="F11128">
        <v>0.01</v>
      </c>
    </row>
    <row r="11129" spans="1:6" x14ac:dyDescent="0.3">
      <c r="A11129" t="str">
        <f>HYPERLINK("https://us2.cloudbeds.com/connect/10074733072513#/reservations/31728465445087?display=MXFZRG5S3&amp;reservation_id=31728465445087", "MXFZRG5S3")</f>
        <v>MXFZRG5S3</v>
      </c>
      <c r="B11129" t="s">
        <v>1689</v>
      </c>
      <c r="C11129">
        <v>129</v>
      </c>
      <c r="D11129">
        <v>140.22999999999999</v>
      </c>
      <c r="E11129">
        <v>140.22</v>
      </c>
      <c r="F11129">
        <v>0.01</v>
      </c>
    </row>
    <row r="11130" spans="1:6" x14ac:dyDescent="0.3">
      <c r="A11130" t="str">
        <f>HYPERLINK("https://us2.cloudbeds.com/connect/10074733072513#/reservations/31728413257981?display=MXFNGFWQY&amp;reservation_id=31728413257981", "MXFNGFWQY")</f>
        <v>MXFNGFWQY</v>
      </c>
      <c r="B11130" t="s">
        <v>1689</v>
      </c>
      <c r="C11130">
        <v>129</v>
      </c>
      <c r="D11130">
        <v>140.22999999999999</v>
      </c>
      <c r="E11130">
        <v>140.22</v>
      </c>
      <c r="F11130">
        <v>0.01</v>
      </c>
    </row>
    <row r="11131" spans="1:6" x14ac:dyDescent="0.3">
      <c r="A11131" t="str">
        <f>HYPERLINK("https://us2.cloudbeds.com/connect/10074733072513#/reservations/31729787084947?display=MXGPJUZTR&amp;reservation_id=31729787084947", "MXGPJUZTR")</f>
        <v>MXGPJUZTR</v>
      </c>
      <c r="B11131" t="s">
        <v>1624</v>
      </c>
      <c r="C11131">
        <v>89</v>
      </c>
      <c r="D11131">
        <v>96.75</v>
      </c>
      <c r="E11131">
        <v>96.74</v>
      </c>
      <c r="F11131">
        <v>0.01</v>
      </c>
    </row>
    <row r="11132" spans="1:6" x14ac:dyDescent="0.3">
      <c r="A11132" t="str">
        <f>HYPERLINK("https://us2.cloudbeds.com/connect/10074733072513#/reservations/31726868922554?display=MXEH18J9D&amp;reservation_id=31726868922554", "MXEH18J9D")</f>
        <v>MXEH18J9D</v>
      </c>
      <c r="B11132" t="s">
        <v>1385</v>
      </c>
      <c r="C11132">
        <v>149</v>
      </c>
      <c r="D11132">
        <v>161.97</v>
      </c>
      <c r="E11132">
        <v>161.96</v>
      </c>
      <c r="F11132">
        <v>0.01</v>
      </c>
    </row>
    <row r="11133" spans="1:6" x14ac:dyDescent="0.3">
      <c r="A11133" t="str">
        <f>HYPERLINK("https://us2.cloudbeds.com/connect/10074733072513#/reservations/31712829223047?display=MX3Y9K87P&amp;reservation_id=31712829223047", "MX3Y9K87P")</f>
        <v>MX3Y9K87P</v>
      </c>
      <c r="B11133" t="s">
        <v>1690</v>
      </c>
      <c r="C11133">
        <v>139</v>
      </c>
      <c r="D11133">
        <v>151.1</v>
      </c>
      <c r="E11133">
        <v>151.09</v>
      </c>
      <c r="F11133">
        <v>0.01</v>
      </c>
    </row>
    <row r="11134" spans="1:6" x14ac:dyDescent="0.3">
      <c r="A11134" t="str">
        <f>HYPERLINK("https://us2.cloudbeds.com/connect/10074733072513#/reservations/31730813173985?display=MXHXR56E1&amp;reservation_id=31730813173985", "MXHXR56E1")</f>
        <v>MXHXR56E1</v>
      </c>
      <c r="B11134" t="s">
        <v>1528</v>
      </c>
      <c r="C11134">
        <v>103.5</v>
      </c>
      <c r="D11134">
        <v>112.51</v>
      </c>
      <c r="E11134">
        <v>112.5</v>
      </c>
      <c r="F11134">
        <v>0.01</v>
      </c>
    </row>
    <row r="11135" spans="1:6" x14ac:dyDescent="0.3">
      <c r="A11135" t="str">
        <f>HYPERLINK("https://us2.cloudbeds.com/connect/10074733072513#/reservations/31727375372514?display=MXETWA9UT&amp;reservation_id=31727375372514", "MXETWA9UT")</f>
        <v>MXETWA9UT</v>
      </c>
      <c r="B11135" t="s">
        <v>1689</v>
      </c>
      <c r="C11135">
        <v>129</v>
      </c>
      <c r="D11135">
        <v>140.22999999999999</v>
      </c>
      <c r="E11135">
        <v>140.22</v>
      </c>
      <c r="F11135">
        <v>0.01</v>
      </c>
    </row>
    <row r="11136" spans="1:6" x14ac:dyDescent="0.3">
      <c r="A11136" t="str">
        <f>HYPERLINK("https://us2.cloudbeds.com/connect/10074733072513#/reservations/31726793846933?display=MXEF3VGAJ&amp;reservation_id=31726793846933", "MXEF3VGAJ")</f>
        <v>MXEF3VGAJ</v>
      </c>
      <c r="B11136" t="s">
        <v>1560</v>
      </c>
      <c r="C11136">
        <v>159</v>
      </c>
      <c r="D11136">
        <v>172.84</v>
      </c>
      <c r="E11136">
        <v>172.83</v>
      </c>
      <c r="F11136">
        <v>0.01</v>
      </c>
    </row>
    <row r="11137" spans="1:6" x14ac:dyDescent="0.3">
      <c r="A11137" t="str">
        <f>HYPERLINK("https://us2.cloudbeds.com/connect/10074733072513#/reservations/31726345949429?display=MXE3M92RV&amp;reservation_id=31726345949429", "MXE3M92RV")</f>
        <v>MXE3M92RV</v>
      </c>
      <c r="B11137" t="s">
        <v>1624</v>
      </c>
      <c r="C11137">
        <v>318</v>
      </c>
      <c r="D11137">
        <v>345.68</v>
      </c>
      <c r="E11137">
        <v>345.67</v>
      </c>
      <c r="F11137">
        <v>0.01</v>
      </c>
    </row>
    <row r="11138" spans="1:6" x14ac:dyDescent="0.3">
      <c r="A11138" t="str">
        <f>HYPERLINK("https://us2.cloudbeds.com/connect/10074733072513#/reservations/31724140806385?display=MXCDARZ3F&amp;reservation_id=31724140806385", "MXCDARZ3F")</f>
        <v>MXCDARZ3F</v>
      </c>
      <c r="B11138" t="s">
        <v>1652</v>
      </c>
      <c r="C11138">
        <v>322.2</v>
      </c>
      <c r="D11138">
        <v>350.24</v>
      </c>
      <c r="E11138">
        <v>350.23</v>
      </c>
      <c r="F11138">
        <v>0.01</v>
      </c>
    </row>
    <row r="11139" spans="1:6" x14ac:dyDescent="0.3">
      <c r="A11139" t="str">
        <f>HYPERLINK("https://us2.cloudbeds.com/connect/10074733072513#/reservations/31730833486032?display=MXHJB9DEK&amp;reservation_id=31730833486032", "MXHJB9DEK")</f>
        <v>MXHJB9DEK</v>
      </c>
      <c r="B11139" t="s">
        <v>1528</v>
      </c>
      <c r="C11139">
        <v>103.5</v>
      </c>
      <c r="D11139">
        <v>112.51</v>
      </c>
      <c r="E11139">
        <v>112.5</v>
      </c>
      <c r="F11139">
        <v>0.01</v>
      </c>
    </row>
    <row r="11140" spans="1:6" x14ac:dyDescent="0.3">
      <c r="A11140" t="str">
        <f>HYPERLINK("https://us2.cloudbeds.com/connect/10074733072513#/reservations/31730409345160?display=MXH8GY21U&amp;reservation_id=31730409345160", "MXH8GY21U")</f>
        <v>MXH8GY21U</v>
      </c>
      <c r="B11140" t="s">
        <v>1691</v>
      </c>
      <c r="C11140">
        <v>129</v>
      </c>
      <c r="D11140">
        <v>140.22999999999999</v>
      </c>
      <c r="E11140">
        <v>140.22</v>
      </c>
      <c r="F11140">
        <v>0.01</v>
      </c>
    </row>
    <row r="11141" spans="1:6" x14ac:dyDescent="0.3">
      <c r="A11141" t="str">
        <f>HYPERLINK("https://us2.cloudbeds.com/connect/10074733072513#/reservations/31726787670267?display=MXEEVZKET&amp;reservation_id=31726787670267", "MXEEVZKET")</f>
        <v>MXEEVZKET</v>
      </c>
      <c r="B11141" t="s">
        <v>1560</v>
      </c>
      <c r="C11141">
        <v>130.38</v>
      </c>
      <c r="D11141">
        <v>141.72999999999999</v>
      </c>
      <c r="E11141">
        <v>141.72</v>
      </c>
      <c r="F11141">
        <v>0.01</v>
      </c>
    </row>
    <row r="11142" spans="1:6" x14ac:dyDescent="0.3">
      <c r="A11142" t="str">
        <f>HYPERLINK("https://us2.cloudbeds.com/connect/10074733072513#/reservations/31730499264660?display=MXHAQF6P8&amp;reservation_id=31730499264660", "MXHAQF6P8")</f>
        <v>MXHAQF6P8</v>
      </c>
      <c r="B11142" t="s">
        <v>1635</v>
      </c>
      <c r="C11142">
        <v>658</v>
      </c>
      <c r="D11142">
        <v>715.26</v>
      </c>
      <c r="E11142">
        <v>715.25</v>
      </c>
      <c r="F11142">
        <v>0.01</v>
      </c>
    </row>
    <row r="11143" spans="1:6" x14ac:dyDescent="0.3">
      <c r="A11143" t="str">
        <f>HYPERLINK("https://us2.cloudbeds.com/connect/10074733072513#/reservations/31727161499881?display=MXEZGVWB0&amp;reservation_id=31727161499881", "MXEZGVWB0")</f>
        <v>MXEZGVWB0</v>
      </c>
      <c r="B11143" t="s">
        <v>1677</v>
      </c>
      <c r="C11143">
        <v>139</v>
      </c>
      <c r="D11143">
        <v>151.1</v>
      </c>
      <c r="E11143">
        <v>151.09</v>
      </c>
      <c r="F11143">
        <v>0.01</v>
      </c>
    </row>
    <row r="11144" spans="1:6" x14ac:dyDescent="0.3">
      <c r="A11144" t="str">
        <f>HYPERLINK("https://us2.cloudbeds.com/connect/10074733072513#/reservations/31727854809272?display=MXF97JB2G&amp;reservation_id=31727854809272", "MXF97JB2G")</f>
        <v>MXF97JB2G</v>
      </c>
      <c r="B11144" t="s">
        <v>1528</v>
      </c>
      <c r="C11144">
        <v>89</v>
      </c>
      <c r="D11144">
        <v>96.75</v>
      </c>
      <c r="E11144">
        <v>96.74</v>
      </c>
      <c r="F11144">
        <v>0.01</v>
      </c>
    </row>
    <row r="11145" spans="1:6" x14ac:dyDescent="0.3">
      <c r="A11145" t="str">
        <f>HYPERLINK("https://us2.cloudbeds.com/connect/10074733072513#/reservations/31733815832731?display=MXJTX2JR0&amp;reservation_id=31733815832731", "MXJTX2JR0")</f>
        <v>MXJTX2JR0</v>
      </c>
      <c r="B11145" t="s">
        <v>1528</v>
      </c>
      <c r="C11145">
        <v>103.5</v>
      </c>
      <c r="D11145">
        <v>112.51</v>
      </c>
      <c r="E11145">
        <v>112.5</v>
      </c>
      <c r="F11145">
        <v>0.01</v>
      </c>
    </row>
    <row r="11146" spans="1:6" x14ac:dyDescent="0.3">
      <c r="A11146" t="str">
        <f>HYPERLINK("https://us2.cloudbeds.com/connect/10074733072513#/reservations/31730824573114?display=MXHJ3PCV6&amp;reservation_id=31730824573114", "MXHJ3PCV6")</f>
        <v>MXHJ3PCV6</v>
      </c>
      <c r="B11146" t="s">
        <v>1528</v>
      </c>
      <c r="C11146">
        <v>103.5</v>
      </c>
      <c r="D11146">
        <v>112.51</v>
      </c>
      <c r="E11146">
        <v>112.5</v>
      </c>
      <c r="F11146">
        <v>0.01</v>
      </c>
    </row>
    <row r="11147" spans="1:6" x14ac:dyDescent="0.3">
      <c r="A11147" t="str">
        <f>HYPERLINK("https://us2.cloudbeds.com/connect/10074733072513#/reservations/31730526097625?display=MXHBG2SPD&amp;reservation_id=31730526097625", "MXHBG2SPD")</f>
        <v>MXHBG2SPD</v>
      </c>
      <c r="B11147" t="s">
        <v>1635</v>
      </c>
      <c r="C11147">
        <v>219</v>
      </c>
      <c r="D11147">
        <v>238.06</v>
      </c>
      <c r="E11147">
        <v>238.05</v>
      </c>
      <c r="F11147">
        <v>0.01</v>
      </c>
    </row>
    <row r="11148" spans="1:6" x14ac:dyDescent="0.3">
      <c r="A11148" t="str">
        <f>HYPERLINK("https://us2.cloudbeds.com/connect/10074733072513#/reservations/31730766659759?display=MXHHKUSY1&amp;reservation_id=31730766659759", "MXHHKUSY1")</f>
        <v>MXHHKUSY1</v>
      </c>
      <c r="B11148" t="s">
        <v>1683</v>
      </c>
      <c r="C11148">
        <v>129</v>
      </c>
      <c r="D11148">
        <v>140.22999999999999</v>
      </c>
      <c r="E11148">
        <v>140.22</v>
      </c>
      <c r="F11148">
        <v>0.01</v>
      </c>
    </row>
    <row r="11149" spans="1:6" x14ac:dyDescent="0.3">
      <c r="A11149" t="str">
        <f>HYPERLINK("https://us2.cloudbeds.com/connect/10074733072513#/reservations/31730793906326?display=MXHXAU1EJ&amp;reservation_id=31730793906326", "MXHXAU1EJ")</f>
        <v>MXHXAU1EJ</v>
      </c>
      <c r="B11149" t="s">
        <v>1683</v>
      </c>
      <c r="C11149">
        <v>129</v>
      </c>
      <c r="D11149">
        <v>140.22999999999999</v>
      </c>
      <c r="E11149">
        <v>140.22</v>
      </c>
      <c r="F11149">
        <v>0.01</v>
      </c>
    </row>
    <row r="11150" spans="1:6" x14ac:dyDescent="0.3">
      <c r="A11150" t="str">
        <f>HYPERLINK("https://us2.cloudbeds.com/connect/10074733072513#/reservations/31727865196759?display=MXF9GBCKR&amp;reservation_id=31727865196759", "MXF9GBCKR")</f>
        <v>MXF9GBCKR</v>
      </c>
      <c r="B11150" t="s">
        <v>1683</v>
      </c>
      <c r="C11150">
        <v>169</v>
      </c>
      <c r="D11150">
        <v>183.71</v>
      </c>
      <c r="E11150">
        <v>183.7</v>
      </c>
      <c r="F11150">
        <v>0.01</v>
      </c>
    </row>
    <row r="11151" spans="1:6" x14ac:dyDescent="0.3">
      <c r="A11151" t="str">
        <f>HYPERLINK("https://us2.cloudbeds.com/connect/10074733072513#/reservations/31728490926233?display=MXFPFW7H1&amp;reservation_id=31728490926233", "MXFPFW7H1")</f>
        <v>MXFPFW7H1</v>
      </c>
      <c r="B11151" t="s">
        <v>1519</v>
      </c>
      <c r="C11151">
        <v>109</v>
      </c>
      <c r="D11151">
        <v>118.49</v>
      </c>
      <c r="E11151">
        <v>118.48</v>
      </c>
      <c r="F11151">
        <v>0.01</v>
      </c>
    </row>
    <row r="11152" spans="1:6" x14ac:dyDescent="0.3">
      <c r="A11152" t="str">
        <f>HYPERLINK("https://us2.cloudbeds.com/connect/10074733072513#/reservations/31726142316765?display=MXDVFXJJZ&amp;reservation_id=31726142316765", "MXDVFXJJZ")</f>
        <v>MXDVFXJJZ</v>
      </c>
      <c r="B11152" t="s">
        <v>1681</v>
      </c>
      <c r="C11152">
        <v>258</v>
      </c>
      <c r="D11152">
        <v>280.45999999999998</v>
      </c>
      <c r="E11152">
        <v>280.45</v>
      </c>
      <c r="F11152">
        <v>0.01</v>
      </c>
    </row>
    <row r="11153" spans="1:6" x14ac:dyDescent="0.3">
      <c r="A11153" t="str">
        <f>HYPERLINK("https://us2.cloudbeds.com/connect/10074733072513#/reservations/31728529256665?display=MXFQF9RB9&amp;reservation_id=31728529256665", "MXFQF9RB9")</f>
        <v>MXFQF9RB9</v>
      </c>
      <c r="B11153" t="s">
        <v>1385</v>
      </c>
      <c r="C11153">
        <v>179</v>
      </c>
      <c r="D11153">
        <v>194.58</v>
      </c>
      <c r="E11153">
        <v>194.57</v>
      </c>
      <c r="F11153">
        <v>0.01</v>
      </c>
    </row>
    <row r="11154" spans="1:6" x14ac:dyDescent="0.3">
      <c r="A11154" t="str">
        <f>HYPERLINK("https://us2.cloudbeds.com/connect/10074733072513#/reservations/31723977052336?display=MXC94P12H&amp;reservation_id=31723977052336", "MXC94P12H")</f>
        <v>MXC94P12H</v>
      </c>
      <c r="B11154" t="s">
        <v>1626</v>
      </c>
      <c r="C11154">
        <v>236.7</v>
      </c>
      <c r="D11154">
        <v>257.3</v>
      </c>
      <c r="E11154">
        <v>257.29000000000002</v>
      </c>
      <c r="F11154">
        <v>0.01</v>
      </c>
    </row>
    <row r="11155" spans="1:6" x14ac:dyDescent="0.3">
      <c r="A11155" t="str">
        <f>HYPERLINK("https://us2.cloudbeds.com/connect/10074733072513#/reservations/31729191944346?display=MXGAD32W5&amp;reservation_id=31729191944346", "MXGAD32W5")</f>
        <v>MXGAD32W5</v>
      </c>
      <c r="B11155" t="s">
        <v>1593</v>
      </c>
      <c r="C11155">
        <v>824</v>
      </c>
      <c r="D11155">
        <v>895.7</v>
      </c>
      <c r="E11155">
        <v>895.69</v>
      </c>
      <c r="F11155">
        <v>0.01</v>
      </c>
    </row>
    <row r="11156" spans="1:6" x14ac:dyDescent="0.3">
      <c r="A11156" t="str">
        <f>HYPERLINK("https://us2.cloudbeds.com/connect/10074733072513#/reservations/31725707120862?display=MXDKBJZDH&amp;reservation_id=31725707120862", "MXDKBJZDH")</f>
        <v>MXDKBJZDH</v>
      </c>
      <c r="B11156" t="s">
        <v>1670</v>
      </c>
      <c r="C11156">
        <v>189</v>
      </c>
      <c r="D11156">
        <v>205.45</v>
      </c>
      <c r="E11156">
        <v>205.44</v>
      </c>
      <c r="F11156">
        <v>0.01</v>
      </c>
    </row>
    <row r="11157" spans="1:6" x14ac:dyDescent="0.3">
      <c r="A11157" t="str">
        <f>HYPERLINK("https://us2.cloudbeds.com/connect/10074733072513#/reservations/31725699547272?display=MXDK56WPQ&amp;reservation_id=31725699547272", "MXDK56WPQ")</f>
        <v>MXDK56WPQ</v>
      </c>
      <c r="B11157" t="s">
        <v>1670</v>
      </c>
      <c r="C11157">
        <v>189</v>
      </c>
      <c r="D11157">
        <v>205.45</v>
      </c>
      <c r="E11157">
        <v>205.44</v>
      </c>
      <c r="F11157">
        <v>0.01</v>
      </c>
    </row>
    <row r="11158" spans="1:6" x14ac:dyDescent="0.3">
      <c r="A11158" t="str">
        <f>HYPERLINK("https://us2.cloudbeds.com/connect/10074733072513#/reservations/31725758046376?display=MXDYYHQVU&amp;reservation_id=31725758046376", "MXDYYHQVU")</f>
        <v>MXDYYHQVU</v>
      </c>
      <c r="B11158" t="s">
        <v>1670</v>
      </c>
      <c r="C11158">
        <v>189</v>
      </c>
      <c r="D11158">
        <v>205.45</v>
      </c>
      <c r="E11158">
        <v>205.44</v>
      </c>
      <c r="F11158">
        <v>0.01</v>
      </c>
    </row>
    <row r="11159" spans="1:6" x14ac:dyDescent="0.3">
      <c r="A11159" t="str">
        <f>HYPERLINK("https://us2.cloudbeds.com/connect/10074733072513#/reservations/31729514541277?display=MXGXY3R7Z&amp;reservation_id=31729514541277", "MXGXY3R7Z")</f>
        <v>MXGXY3R7Z</v>
      </c>
      <c r="B11159" t="s">
        <v>1566</v>
      </c>
      <c r="C11159">
        <v>278</v>
      </c>
      <c r="D11159">
        <v>302.2</v>
      </c>
      <c r="E11159">
        <v>302.19</v>
      </c>
      <c r="F11159">
        <v>0.01</v>
      </c>
    </row>
    <row r="11160" spans="1:6" x14ac:dyDescent="0.3">
      <c r="A11160" t="str">
        <f>HYPERLINK("https://us2.cloudbeds.com/connect/10074733072513#/reservations/31725733658840?display=MXDY0W6HM&amp;reservation_id=31725733658840", "MXDY0W6HM")</f>
        <v>MXDY0W6HM</v>
      </c>
      <c r="B11160" t="s">
        <v>1670</v>
      </c>
      <c r="C11160">
        <v>189</v>
      </c>
      <c r="D11160">
        <v>205.45</v>
      </c>
      <c r="E11160">
        <v>205.44</v>
      </c>
      <c r="F11160">
        <v>0.01</v>
      </c>
    </row>
    <row r="11161" spans="1:6" x14ac:dyDescent="0.3">
      <c r="A11161" t="str">
        <f>HYPERLINK("https://us2.cloudbeds.com/connect/10074733072513#/reservations/31733808271559?display=MXJTBN6JJ&amp;reservation_id=31733808271559", "MXJTBN6JJ")</f>
        <v>MXJTBN6JJ</v>
      </c>
      <c r="B11161" t="s">
        <v>1683</v>
      </c>
      <c r="C11161">
        <v>139</v>
      </c>
      <c r="D11161">
        <v>151.1</v>
      </c>
      <c r="E11161">
        <v>151.09</v>
      </c>
      <c r="F11161">
        <v>0.01</v>
      </c>
    </row>
    <row r="11162" spans="1:6" x14ac:dyDescent="0.3">
      <c r="A11162" t="str">
        <f>HYPERLINK("https://us2.cloudbeds.com/connect/10074733072513#/reservations/31725688172760?display=MXDJSKFSK&amp;reservation_id=31725688172760", "MXDJSKFSK")</f>
        <v>MXDJSKFSK</v>
      </c>
      <c r="B11162" t="s">
        <v>1670</v>
      </c>
      <c r="C11162">
        <v>189</v>
      </c>
      <c r="D11162">
        <v>205.45</v>
      </c>
      <c r="E11162">
        <v>205.44</v>
      </c>
      <c r="F11162">
        <v>0.01</v>
      </c>
    </row>
    <row r="11163" spans="1:6" x14ac:dyDescent="0.3">
      <c r="A11163" t="str">
        <f>HYPERLINK("https://us2.cloudbeds.com/connect/10074733072513#/reservations/31727574151374?display=MXF21UKAN&amp;reservation_id=31727574151374", "MXF21UKAN")</f>
        <v>MXF21UKAN</v>
      </c>
      <c r="B11163" t="s">
        <v>1670</v>
      </c>
      <c r="C11163">
        <v>189</v>
      </c>
      <c r="D11163">
        <v>205.45</v>
      </c>
      <c r="E11163">
        <v>205.44</v>
      </c>
      <c r="F11163">
        <v>0.01</v>
      </c>
    </row>
    <row r="11164" spans="1:6" x14ac:dyDescent="0.3">
      <c r="A11164" t="str">
        <f>HYPERLINK("https://us2.cloudbeds.com/connect/10074733072513#/reservations/31725678264515?display=MXDJK8PCP&amp;reservation_id=31725678264515", "MXDJK8PCP")</f>
        <v>MXDJK8PCP</v>
      </c>
      <c r="B11164" t="s">
        <v>1670</v>
      </c>
      <c r="C11164">
        <v>189</v>
      </c>
      <c r="D11164">
        <v>205.45</v>
      </c>
      <c r="E11164">
        <v>205.44</v>
      </c>
      <c r="F11164">
        <v>0.01</v>
      </c>
    </row>
    <row r="11165" spans="1:6" x14ac:dyDescent="0.3">
      <c r="A11165" t="str">
        <f>HYPERLINK("https://us2.cloudbeds.com/connect/10074733072513#/reservations/31727583244451?display=MXF29JY8G&amp;reservation_id=31727583244451", "MXF29JY8G")</f>
        <v>MXF29JY8G</v>
      </c>
      <c r="B11165" t="s">
        <v>1670</v>
      </c>
      <c r="C11165">
        <v>189</v>
      </c>
      <c r="D11165">
        <v>205.45</v>
      </c>
      <c r="E11165">
        <v>205.44</v>
      </c>
      <c r="F11165">
        <v>0.01</v>
      </c>
    </row>
    <row r="11166" spans="1:6" x14ac:dyDescent="0.3">
      <c r="A11166" t="str">
        <f>HYPERLINK("https://us2.cloudbeds.com/connect/10074733072513#/reservations/31727612846332?display=MXF31XBT6&amp;reservation_id=31727612846332", "MXF31XBT6")</f>
        <v>MXF31XBT6</v>
      </c>
      <c r="B11166" t="s">
        <v>1670</v>
      </c>
      <c r="C11166">
        <v>189</v>
      </c>
      <c r="D11166">
        <v>205.45</v>
      </c>
      <c r="E11166">
        <v>205.44</v>
      </c>
      <c r="F11166">
        <v>0.01</v>
      </c>
    </row>
    <row r="11167" spans="1:6" x14ac:dyDescent="0.3">
      <c r="A11167" t="str">
        <f>HYPERLINK("https://us2.cloudbeds.com/connect/10074733072513#/reservations/31727604363432?display=MXF2RDA8K&amp;reservation_id=31727604363432", "MXF2RDA8K")</f>
        <v>MXF2RDA8K</v>
      </c>
      <c r="B11167" t="s">
        <v>1670</v>
      </c>
      <c r="C11167">
        <v>189</v>
      </c>
      <c r="D11167">
        <v>205.45</v>
      </c>
      <c r="E11167">
        <v>205.44</v>
      </c>
      <c r="F11167">
        <v>0.01</v>
      </c>
    </row>
    <row r="11168" spans="1:6" x14ac:dyDescent="0.3">
      <c r="A11168" t="str">
        <f>HYPERLINK("https://us2.cloudbeds.com/connect/10074733072513#/reservations/31726785806483?display=MXEEU5ZWJ&amp;reservation_id=31726785806483", "MXEEU5ZWJ")</f>
        <v>MXEEU5ZWJ</v>
      </c>
      <c r="B11168" t="s">
        <v>1692</v>
      </c>
      <c r="C11168">
        <v>318</v>
      </c>
      <c r="D11168">
        <v>345.68</v>
      </c>
      <c r="E11168">
        <v>345.67</v>
      </c>
      <c r="F11168">
        <v>0.01</v>
      </c>
    </row>
    <row r="11169" spans="1:6" x14ac:dyDescent="0.3">
      <c r="A11169" t="str">
        <f>HYPERLINK("https://us2.cloudbeds.com/connect/10074733072513#/reservations/31731042455775?display=MXHZMG9S2&amp;reservation_id=31731042455775", "MXHZMG9S2")</f>
        <v>MXHZMG9S2</v>
      </c>
      <c r="B11169" t="s">
        <v>1584</v>
      </c>
      <c r="C11169">
        <v>129</v>
      </c>
      <c r="D11169">
        <v>140.22999999999999</v>
      </c>
      <c r="E11169">
        <v>140.22</v>
      </c>
      <c r="F11169">
        <v>0.01</v>
      </c>
    </row>
    <row r="11170" spans="1:6" x14ac:dyDescent="0.3">
      <c r="A11170" t="str">
        <f>HYPERLINK("https://us2.cloudbeds.com/connect/10074733072513#/reservations/31730956452025?display=MXHMFW3SR&amp;reservation_id=31730956452025", "MXHMFW3SR")</f>
        <v>MXHMFW3SR</v>
      </c>
      <c r="B11170" t="s">
        <v>1584</v>
      </c>
      <c r="C11170">
        <v>73</v>
      </c>
      <c r="D11170">
        <v>79.36</v>
      </c>
      <c r="E11170">
        <v>79.349999999999994</v>
      </c>
      <c r="F11170">
        <v>0.01</v>
      </c>
    </row>
    <row r="11171" spans="1:6" x14ac:dyDescent="0.3">
      <c r="A11171" t="str">
        <f>HYPERLINK("https://us2.cloudbeds.com/connect/10074733072513#/reservations/31730752102561?display=MXHH8YQ4R&amp;reservation_id=31730752102561", "MXHH8YQ4R")</f>
        <v>MXHH8YQ4R</v>
      </c>
      <c r="B11171" t="s">
        <v>1584</v>
      </c>
      <c r="C11171">
        <v>129</v>
      </c>
      <c r="D11171">
        <v>140.22999999999999</v>
      </c>
      <c r="E11171">
        <v>140.22</v>
      </c>
      <c r="F11171">
        <v>0.01</v>
      </c>
    </row>
    <row r="11172" spans="1:6" x14ac:dyDescent="0.3">
      <c r="A11172" t="str">
        <f>HYPERLINK("https://us2.cloudbeds.com/connect/10074733072513#/reservations/31730699124879?display=MXHFTWK4H&amp;reservation_id=31730699124879", "MXHFTWK4H")</f>
        <v>MXHFTWK4H</v>
      </c>
      <c r="B11172" t="s">
        <v>1572</v>
      </c>
      <c r="C11172">
        <v>249</v>
      </c>
      <c r="D11172">
        <v>270.67</v>
      </c>
      <c r="E11172">
        <v>270.66000000000003</v>
      </c>
      <c r="F11172">
        <v>0.01</v>
      </c>
    </row>
    <row r="11173" spans="1:6" x14ac:dyDescent="0.3">
      <c r="A11173" t="str">
        <f>HYPERLINK("https://us2.cloudbeds.com/connect/10074733072513#/reservations/31726258909331?display=MXE1ET277&amp;reservation_id=31726258909331", "MXE1ET277")</f>
        <v>MXE1ET277</v>
      </c>
      <c r="B11173" t="s">
        <v>1560</v>
      </c>
      <c r="C11173">
        <v>467</v>
      </c>
      <c r="D11173">
        <v>507.64</v>
      </c>
      <c r="E11173">
        <v>507.63</v>
      </c>
      <c r="F11173">
        <v>0.01</v>
      </c>
    </row>
    <row r="11174" spans="1:6" x14ac:dyDescent="0.3">
      <c r="A11174" t="str">
        <f>HYPERLINK("https://us2.cloudbeds.com/connect/10074733072513#/reservations/31726858821849?display=MXEGPZH2E&amp;reservation_id=31726858821849", "MXEGPZH2E")</f>
        <v>MXEGPZH2E</v>
      </c>
      <c r="B11174" t="s">
        <v>1385</v>
      </c>
      <c r="C11174">
        <v>298</v>
      </c>
      <c r="D11174">
        <v>323.94</v>
      </c>
      <c r="E11174">
        <v>323.93</v>
      </c>
      <c r="F11174">
        <v>0.01</v>
      </c>
    </row>
    <row r="11175" spans="1:6" x14ac:dyDescent="0.3">
      <c r="A11175" t="str">
        <f>HYPERLINK("https://us2.cloudbeds.com/connect/10074733072513#/reservations/31730252701914?display=MXH4GX7MT&amp;reservation_id=31730252701914", "MXH4GX7MT")</f>
        <v>MXH4GX7MT</v>
      </c>
      <c r="B11175" t="s">
        <v>1547</v>
      </c>
      <c r="C11175">
        <v>129</v>
      </c>
      <c r="D11175">
        <v>140.22999999999999</v>
      </c>
      <c r="E11175">
        <v>140.22</v>
      </c>
      <c r="F11175">
        <v>0.01</v>
      </c>
    </row>
    <row r="11176" spans="1:6" x14ac:dyDescent="0.3">
      <c r="A11176" t="str">
        <f>HYPERLINK("https://us2.cloudbeds.com/connect/10074733072513#/reservations/31725595984062?display=MXDHGT6DN&amp;reservation_id=31725595984062", "MXDHGT6DN")</f>
        <v>MXDHGT6DN</v>
      </c>
      <c r="B11176" t="s">
        <v>1653</v>
      </c>
      <c r="C11176">
        <v>179</v>
      </c>
      <c r="D11176">
        <v>194.58</v>
      </c>
      <c r="E11176">
        <v>194.57</v>
      </c>
      <c r="F11176">
        <v>0.01</v>
      </c>
    </row>
    <row r="11177" spans="1:6" x14ac:dyDescent="0.3">
      <c r="A11177" t="str">
        <f>HYPERLINK("https://us2.cloudbeds.com/connect/10074733072513#/reservations/31730946166949?display=MXHM79UBS&amp;reservation_id=31730946166949", "MXHM79UBS")</f>
        <v>MXHM79UBS</v>
      </c>
      <c r="B11177" t="s">
        <v>1689</v>
      </c>
      <c r="C11177">
        <v>119</v>
      </c>
      <c r="D11177">
        <v>129.36000000000001</v>
      </c>
      <c r="E11177">
        <v>129.35</v>
      </c>
      <c r="F11177">
        <v>0.01</v>
      </c>
    </row>
    <row r="11178" spans="1:6" x14ac:dyDescent="0.3">
      <c r="A11178" t="str">
        <f>HYPERLINK("https://us2.cloudbeds.com/connect/10074733072513#/reservations/31729214591120?display=MXGAW68U1&amp;reservation_id=31729214591120", "MXGAW68U1")</f>
        <v>MXGAW68U1</v>
      </c>
      <c r="B11178" t="s">
        <v>1593</v>
      </c>
      <c r="C11178">
        <v>358</v>
      </c>
      <c r="D11178">
        <v>389.16</v>
      </c>
      <c r="E11178">
        <v>389.15</v>
      </c>
      <c r="F11178">
        <v>0.01</v>
      </c>
    </row>
    <row r="11179" spans="1:6" x14ac:dyDescent="0.3">
      <c r="A11179" t="str">
        <f>HYPERLINK("https://us2.cloudbeds.com/connect/10074733072513#/reservations/31726732419258?display=MXEDX55TT&amp;reservation_id=31726732419258", "MXEDX55TT")</f>
        <v>MXEDX55TT</v>
      </c>
      <c r="B11179" t="s">
        <v>1654</v>
      </c>
      <c r="C11179">
        <v>139</v>
      </c>
      <c r="D11179">
        <v>151.1</v>
      </c>
      <c r="E11179">
        <v>151.09</v>
      </c>
      <c r="F11179">
        <v>0.01</v>
      </c>
    </row>
    <row r="11180" spans="1:6" x14ac:dyDescent="0.3">
      <c r="A11180" t="str">
        <f>HYPERLINK("https://us2.cloudbeds.com/connect/10074733072513#/reservations/31730535751916?display=MXHBZ7H1M&amp;reservation_id=31730535751916", "MXHBZ7H1M")</f>
        <v>MXHBZ7H1M</v>
      </c>
      <c r="B11180" t="s">
        <v>1635</v>
      </c>
      <c r="C11180">
        <v>209</v>
      </c>
      <c r="D11180">
        <v>227.19</v>
      </c>
      <c r="E11180">
        <v>227.18</v>
      </c>
      <c r="F11180">
        <v>0.01</v>
      </c>
    </row>
    <row r="11181" spans="1:6" x14ac:dyDescent="0.3">
      <c r="A11181" t="str">
        <f>HYPERLINK("https://us2.cloudbeds.com/connect/10074733072513#/reservations/31728462794948?display=MXFZP8E9S&amp;reservation_id=31728462794948", "MXFZP8E9S")</f>
        <v>MXFZP8E9S</v>
      </c>
      <c r="B11181" t="s">
        <v>1689</v>
      </c>
      <c r="C11181">
        <v>73</v>
      </c>
      <c r="D11181">
        <v>79.36</v>
      </c>
      <c r="E11181">
        <v>79.349999999999994</v>
      </c>
      <c r="F11181">
        <v>0.01</v>
      </c>
    </row>
    <row r="11182" spans="1:6" x14ac:dyDescent="0.3">
      <c r="A11182" t="str">
        <f>HYPERLINK("https://us2.cloudbeds.com/connect/10074733072513#/reservations/31728372613278?display=MXFMF6WRW&amp;reservation_id=31728372613278", "MXFMF6WRW")</f>
        <v>MXFMF6WRW</v>
      </c>
      <c r="B11182" t="s">
        <v>1689</v>
      </c>
      <c r="C11182">
        <v>129</v>
      </c>
      <c r="D11182">
        <v>140.22999999999999</v>
      </c>
      <c r="E11182">
        <v>140.22</v>
      </c>
      <c r="F11182">
        <v>0.01</v>
      </c>
    </row>
    <row r="11183" spans="1:6" x14ac:dyDescent="0.3">
      <c r="A11183" t="str">
        <f>HYPERLINK("https://us2.cloudbeds.com/connect/10074733072513#/reservations/31728910303456?display=MXG36K0XZ&amp;reservation_id=31728910303456", "MXG36K0XZ")</f>
        <v>MXG36K0XZ</v>
      </c>
      <c r="B11183" t="s">
        <v>1686</v>
      </c>
      <c r="C11183">
        <v>252</v>
      </c>
      <c r="D11183">
        <v>273.93</v>
      </c>
      <c r="E11183">
        <v>273.92</v>
      </c>
      <c r="F11183">
        <v>0.01</v>
      </c>
    </row>
    <row r="11184" spans="1:6" x14ac:dyDescent="0.3">
      <c r="A11184" t="str">
        <f>HYPERLINK("https://us2.cloudbeds.com/connect/10074733072513#/reservations/31733201117414?display=MXJDRZ7V4&amp;reservation_id=31733201117414", "MXJDRZ7V4")</f>
        <v>MXJDRZ7V4</v>
      </c>
      <c r="B11184" t="s">
        <v>1672</v>
      </c>
      <c r="C11184">
        <v>336</v>
      </c>
      <c r="D11184">
        <v>365.24</v>
      </c>
      <c r="E11184">
        <v>365.23</v>
      </c>
      <c r="F11184">
        <v>0.01</v>
      </c>
    </row>
    <row r="11185" spans="1:6" x14ac:dyDescent="0.3">
      <c r="A11185" t="str">
        <f>HYPERLINK("https://us2.cloudbeds.com/connect/10074733072513#/reservations/31729648595147?display=MXGM252C7&amp;reservation_id=31729648595147", "MXGM252C7")</f>
        <v>MXGM252C7</v>
      </c>
      <c r="B11185" t="s">
        <v>1694</v>
      </c>
      <c r="C11185">
        <v>119</v>
      </c>
      <c r="D11185">
        <v>129.36000000000001</v>
      </c>
      <c r="E11185">
        <v>129.35</v>
      </c>
      <c r="F11185">
        <v>0.01</v>
      </c>
    </row>
    <row r="11186" spans="1:6" x14ac:dyDescent="0.3">
      <c r="A11186" t="str">
        <f>HYPERLINK("https://us2.cloudbeds.com/connect/10074733072513#/reservations/31727344783498?display=MXET6H3S0&amp;reservation_id=31727344783498", "MXET6H3S0")</f>
        <v>MXET6H3S0</v>
      </c>
      <c r="B11186" t="s">
        <v>1657</v>
      </c>
      <c r="C11186">
        <v>129</v>
      </c>
      <c r="D11186">
        <v>140.22999999999999</v>
      </c>
      <c r="E11186">
        <v>140.22</v>
      </c>
      <c r="F11186">
        <v>0.01</v>
      </c>
    </row>
    <row r="11187" spans="1:6" x14ac:dyDescent="0.3">
      <c r="A11187" t="str">
        <f>HYPERLINK("https://us2.cloudbeds.com/connect/10074733072513#/reservations/31730438578330?display=MXH989H3X&amp;reservation_id=31730438578330", "MXH989H3X")</f>
        <v>MXH989H3X</v>
      </c>
      <c r="B11187" t="s">
        <v>1593</v>
      </c>
      <c r="C11187">
        <v>179</v>
      </c>
      <c r="D11187">
        <v>194.58</v>
      </c>
      <c r="E11187">
        <v>194.57</v>
      </c>
      <c r="F11187">
        <v>0.01</v>
      </c>
    </row>
    <row r="11188" spans="1:6" x14ac:dyDescent="0.3">
      <c r="A11188" t="str">
        <f>HYPERLINK("https://us2.cloudbeds.com/connect/10074733072513#/reservations/31726811484298?display=MXEFXR986&amp;reservation_id=31726811484298", "MXEFXR986")</f>
        <v>MXEFXR986</v>
      </c>
      <c r="B11188" t="s">
        <v>1560</v>
      </c>
      <c r="C11188">
        <v>159</v>
      </c>
      <c r="D11188">
        <v>172.84</v>
      </c>
      <c r="E11188">
        <v>172.83</v>
      </c>
      <c r="F11188">
        <v>0.01</v>
      </c>
    </row>
    <row r="11189" spans="1:6" x14ac:dyDescent="0.3">
      <c r="A11189" t="str">
        <f>HYPERLINK("https://us2.cloudbeds.com/connect/10074733072513#/reservations/31723978621141?display=MXC962MM3&amp;reservation_id=31723978621141", "MXC962MM3")</f>
        <v>MXC962MM3</v>
      </c>
      <c r="B11189" t="s">
        <v>1635</v>
      </c>
      <c r="C11189">
        <v>467</v>
      </c>
      <c r="D11189">
        <v>507.64</v>
      </c>
      <c r="E11189">
        <v>507.63</v>
      </c>
      <c r="F11189">
        <v>0.01</v>
      </c>
    </row>
    <row r="11190" spans="1:6" x14ac:dyDescent="0.3">
      <c r="A11190" t="str">
        <f>HYPERLINK("https://us2.cloudbeds.com/connect/10074733072513#/reservations/31724019585236?display=MXCA7KXUA&amp;reservation_id=31724019585236", "MXCA7KXUA")</f>
        <v>MXCA7KXUA</v>
      </c>
      <c r="B11190" t="s">
        <v>1635</v>
      </c>
      <c r="C11190">
        <v>219</v>
      </c>
      <c r="D11190">
        <v>238.06</v>
      </c>
      <c r="E11190">
        <v>238.05</v>
      </c>
      <c r="F11190">
        <v>0.01</v>
      </c>
    </row>
    <row r="11191" spans="1:6" x14ac:dyDescent="0.3">
      <c r="A11191" t="str">
        <f>HYPERLINK("https://us2.cloudbeds.com/connect/10074733072513#/reservations/31727454306450?display=MXEVWSZTB&amp;reservation_id=31727454306450", "MXEVWSZTB")</f>
        <v>MXEVWSZTB</v>
      </c>
      <c r="B11191" t="s">
        <v>1624</v>
      </c>
      <c r="C11191">
        <v>318</v>
      </c>
      <c r="D11191">
        <v>345.68</v>
      </c>
      <c r="E11191">
        <v>345.67</v>
      </c>
      <c r="F11191">
        <v>0.01</v>
      </c>
    </row>
    <row r="11192" spans="1:6" x14ac:dyDescent="0.3">
      <c r="A11192" t="str">
        <f>HYPERLINK("https://us2.cloudbeds.com/connect/10074733072513#/reservations/31726408511718?display=MXE590W4T&amp;reservation_id=31726408511718", "MXE590W4T")</f>
        <v>MXE590W4T</v>
      </c>
      <c r="B11192" t="s">
        <v>1695</v>
      </c>
      <c r="C11192">
        <v>159</v>
      </c>
      <c r="D11192">
        <v>172.84</v>
      </c>
      <c r="E11192">
        <v>172.83</v>
      </c>
      <c r="F11192">
        <v>0.01</v>
      </c>
    </row>
    <row r="11193" spans="1:6" x14ac:dyDescent="0.3">
      <c r="A11193" t="str">
        <f>HYPERLINK("https://us2.cloudbeds.com/connect/10074733072513#/reservations/31725661098184?display=MXDJ5Q2WU&amp;reservation_id=31725661098184", "MXDJ5Q2WU")</f>
        <v>MXDJ5Q2WU</v>
      </c>
      <c r="B11193" t="s">
        <v>1626</v>
      </c>
      <c r="C11193">
        <v>438</v>
      </c>
      <c r="D11193">
        <v>476.12</v>
      </c>
      <c r="E11193">
        <v>476.11</v>
      </c>
      <c r="F11193">
        <v>0.01</v>
      </c>
    </row>
    <row r="11194" spans="1:6" x14ac:dyDescent="0.3">
      <c r="A11194" t="str">
        <f>HYPERLINK("https://us2.cloudbeds.com/connect/10074733072513#/reservations/31726340243602?display=MXE3HFAB3&amp;reservation_id=31726340243602", "MXE3HFAB3")</f>
        <v>MXE3HFAB3</v>
      </c>
      <c r="B11194" t="s">
        <v>1566</v>
      </c>
      <c r="C11194">
        <v>378</v>
      </c>
      <c r="D11194">
        <v>410.9</v>
      </c>
      <c r="E11194">
        <v>410.89</v>
      </c>
      <c r="F11194">
        <v>0.01</v>
      </c>
    </row>
    <row r="11195" spans="1:6" x14ac:dyDescent="0.3">
      <c r="A11195" t="str">
        <f>HYPERLINK("https://us2.cloudbeds.com/connect/10074733072513#/reservations/31726100377742?display=MXDUD6MRM&amp;reservation_id=31726100377742", "MXDUD6MRM")</f>
        <v>MXDUD6MRM</v>
      </c>
      <c r="B11195" t="s">
        <v>1657</v>
      </c>
      <c r="C11195">
        <v>89</v>
      </c>
      <c r="D11195">
        <v>96.75</v>
      </c>
      <c r="E11195">
        <v>96.74</v>
      </c>
      <c r="F11195">
        <v>0.01</v>
      </c>
    </row>
    <row r="11196" spans="1:6" x14ac:dyDescent="0.3">
      <c r="A11196" t="str">
        <f>HYPERLINK("https://us2.cloudbeds.com/connect/10074733072513#/reservations/31727336411376?display=MXESWF4VB&amp;reservation_id=31727336411376", "MXESWF4VB")</f>
        <v>MXESWF4VB</v>
      </c>
      <c r="B11196" t="s">
        <v>1657</v>
      </c>
      <c r="C11196">
        <v>139</v>
      </c>
      <c r="D11196">
        <v>151.1</v>
      </c>
      <c r="E11196">
        <v>151.09</v>
      </c>
      <c r="F11196">
        <v>0.01</v>
      </c>
    </row>
    <row r="11197" spans="1:6" x14ac:dyDescent="0.3">
      <c r="A11197" t="str">
        <f>HYPERLINK("https://us2.cloudbeds.com/connect/10074733072513#/reservations/31728927867087?display=MXG3YDZPW&amp;reservation_id=31728927867087", "MXG3YDZPW")</f>
        <v>MXG3YDZPW</v>
      </c>
      <c r="B11197" t="s">
        <v>1686</v>
      </c>
      <c r="C11197">
        <v>73</v>
      </c>
      <c r="D11197">
        <v>79.36</v>
      </c>
      <c r="E11197">
        <v>79.349999999999994</v>
      </c>
      <c r="F11197">
        <v>0.01</v>
      </c>
    </row>
    <row r="11198" spans="1:6" x14ac:dyDescent="0.3">
      <c r="A11198" t="str">
        <f>HYPERLINK("https://us2.cloudbeds.com/connect/10074733072513#/reservations/31726996312259?display=MXEK9MCTG&amp;reservation_id=31726996312259", "MXEK9MCTG")</f>
        <v>MXEK9MCTG</v>
      </c>
      <c r="B11198" t="s">
        <v>1677</v>
      </c>
      <c r="C11198">
        <v>258</v>
      </c>
      <c r="D11198">
        <v>280.45999999999998</v>
      </c>
      <c r="E11198">
        <v>280.45</v>
      </c>
      <c r="F11198">
        <v>0.01</v>
      </c>
    </row>
    <row r="11199" spans="1:6" x14ac:dyDescent="0.3">
      <c r="A11199" t="str">
        <f>HYPERLINK("https://us2.cloudbeds.com/connect/10074733072513#/reservations/31726961348743?display=MXEJD6FR0&amp;reservation_id=31726961348743", "MXEJD6FR0")</f>
        <v>MXEJD6FR0</v>
      </c>
      <c r="B11199" t="s">
        <v>1677</v>
      </c>
      <c r="C11199">
        <v>278</v>
      </c>
      <c r="D11199">
        <v>302.2</v>
      </c>
      <c r="E11199">
        <v>302.19</v>
      </c>
      <c r="F11199">
        <v>0.01</v>
      </c>
    </row>
    <row r="11200" spans="1:6" x14ac:dyDescent="0.3">
      <c r="A11200" t="str">
        <f>HYPERLINK("https://us2.cloudbeds.com/connect/10074733072513#/reservations/31726007570580?display=MXDS0V6FE&amp;reservation_id=31726007570580", "MXDS0V6FE")</f>
        <v>MXDS0V6FE</v>
      </c>
      <c r="B11200" t="s">
        <v>1686</v>
      </c>
      <c r="C11200">
        <v>129</v>
      </c>
      <c r="D11200">
        <v>140.22999999999999</v>
      </c>
      <c r="E11200">
        <v>140.22</v>
      </c>
      <c r="F11200">
        <v>0.01</v>
      </c>
    </row>
    <row r="11201" spans="1:6" x14ac:dyDescent="0.3">
      <c r="A11201" t="str">
        <f>HYPERLINK("https://us2.cloudbeds.com/connect/10074733072513#/reservations/31725381136583?display=MXDC0NZY1&amp;reservation_id=31725381136583", "MXDC0NZY1")</f>
        <v>MXDC0NZY1</v>
      </c>
      <c r="B11201" t="s">
        <v>1696</v>
      </c>
      <c r="C11201">
        <v>393.3</v>
      </c>
      <c r="D11201">
        <v>427.53</v>
      </c>
      <c r="E11201">
        <v>427.52</v>
      </c>
      <c r="F11201">
        <v>0.01</v>
      </c>
    </row>
    <row r="11202" spans="1:6" x14ac:dyDescent="0.3">
      <c r="A11202" t="str">
        <f>HYPERLINK("https://us2.cloudbeds.com/connect/10074733072513#/reservations/31726064488619?display=MXDTFV0QG&amp;reservation_id=31726064488619", "MXDTFV0QG")</f>
        <v>MXDTFV0QG</v>
      </c>
      <c r="B11202" t="s">
        <v>1657</v>
      </c>
      <c r="C11202">
        <v>129</v>
      </c>
      <c r="D11202">
        <v>140.22999999999999</v>
      </c>
      <c r="E11202">
        <v>140.22</v>
      </c>
      <c r="F11202">
        <v>0.01</v>
      </c>
    </row>
    <row r="11203" spans="1:6" x14ac:dyDescent="0.3">
      <c r="A11203" t="str">
        <f>HYPERLINK("https://us2.cloudbeds.com/connect/10074733072513#/reservations/31733143130366?display=MXJCBRYVS&amp;reservation_id=31733143130366", "MXJCBRYVS")</f>
        <v>MXJCBRYVS</v>
      </c>
      <c r="B11203" t="s">
        <v>1655</v>
      </c>
      <c r="C11203">
        <v>252</v>
      </c>
      <c r="D11203">
        <v>273.93</v>
      </c>
      <c r="E11203">
        <v>273.92</v>
      </c>
      <c r="F11203">
        <v>0.01</v>
      </c>
    </row>
    <row r="11204" spans="1:6" x14ac:dyDescent="0.3">
      <c r="A11204" t="str">
        <f>HYPERLINK("https://us2.cloudbeds.com/connect/10074733072513#/reservations/31728975995019?display=MXG4SWWD5&amp;reservation_id=31728975995019", "MXG4SWWD5")</f>
        <v>MXG4SWWD5</v>
      </c>
      <c r="B11204" t="s">
        <v>1686</v>
      </c>
      <c r="C11204">
        <v>73</v>
      </c>
      <c r="D11204">
        <v>79.36</v>
      </c>
      <c r="E11204">
        <v>79.349999999999994</v>
      </c>
      <c r="F11204">
        <v>0.01</v>
      </c>
    </row>
    <row r="11205" spans="1:6" x14ac:dyDescent="0.3">
      <c r="A11205" t="str">
        <f>HYPERLINK("https://us2.cloudbeds.com/connect/10074733072513#/reservations/31725578031242?display=MXDH1ZKQS&amp;reservation_id=31725578031242", "MXDH1ZKQS")</f>
        <v>MXDH1ZKQS</v>
      </c>
      <c r="B11205" t="s">
        <v>1677</v>
      </c>
      <c r="C11205">
        <v>278</v>
      </c>
      <c r="D11205">
        <v>302.2</v>
      </c>
      <c r="E11205">
        <v>302.19</v>
      </c>
      <c r="F11205">
        <v>0.01</v>
      </c>
    </row>
    <row r="11206" spans="1:6" x14ac:dyDescent="0.3">
      <c r="A11206" t="str">
        <f>HYPERLINK("https://us2.cloudbeds.com/connect/10074733072513#/reservations/31724070678736?display=MXCBHNAZ6&amp;reservation_id=31724070678736", "MXCBHNAZ6")</f>
        <v>MXCBHNAZ6</v>
      </c>
      <c r="B11206" t="s">
        <v>1686</v>
      </c>
      <c r="C11206">
        <v>129</v>
      </c>
      <c r="D11206">
        <v>140.22999999999999</v>
      </c>
      <c r="E11206">
        <v>140.22</v>
      </c>
      <c r="F11206">
        <v>0.01</v>
      </c>
    </row>
    <row r="11207" spans="1:6" x14ac:dyDescent="0.3">
      <c r="A11207" t="str">
        <f>HYPERLINK("https://us2.cloudbeds.com/connect/10074733072513#/reservations/31730245288140?display=MXH4A9UR2&amp;reservation_id=31730245288140", "MXH4A9UR2")</f>
        <v>MXH4A9UR2</v>
      </c>
      <c r="B11207" t="s">
        <v>1693</v>
      </c>
      <c r="C11207">
        <v>149</v>
      </c>
      <c r="D11207">
        <v>161.97</v>
      </c>
      <c r="E11207">
        <v>161.96</v>
      </c>
      <c r="F11207">
        <v>0.01</v>
      </c>
    </row>
    <row r="11208" spans="1:6" x14ac:dyDescent="0.3">
      <c r="A11208" t="str">
        <f>HYPERLINK("https://us2.cloudbeds.com/connect/10074733072513#/reservations/31710938271998?display=MX25W3ZNS&amp;reservation_id=31710938271998", "MX25W3ZNS")</f>
        <v>MX25W3ZNS</v>
      </c>
      <c r="B11208" t="s">
        <v>1697</v>
      </c>
      <c r="C11208">
        <v>378</v>
      </c>
      <c r="D11208">
        <v>410.9</v>
      </c>
      <c r="E11208">
        <v>410.89</v>
      </c>
      <c r="F11208">
        <v>0.01</v>
      </c>
    </row>
    <row r="11209" spans="1:6" x14ac:dyDescent="0.3">
      <c r="A11209" t="str">
        <f>HYPERLINK("https://us2.cloudbeds.com/connect/10074733072513#/reservations/31726370222233?display=MXE49ZGUF&amp;reservation_id=31726370222233", "MXE49ZGUF")</f>
        <v>MXE49ZGUF</v>
      </c>
      <c r="B11209" t="s">
        <v>1624</v>
      </c>
      <c r="C11209">
        <v>318</v>
      </c>
      <c r="D11209">
        <v>345.68</v>
      </c>
      <c r="E11209">
        <v>345.67</v>
      </c>
      <c r="F11209">
        <v>0.01</v>
      </c>
    </row>
    <row r="11210" spans="1:6" x14ac:dyDescent="0.3">
      <c r="A11210" t="str">
        <f>HYPERLINK("https://us2.cloudbeds.com/connect/10074733072513#/reservations/31726019424427?display=MXDSAV1HU&amp;reservation_id=31726019424427", "MXDSAV1HU")</f>
        <v>MXDSAV1HU</v>
      </c>
      <c r="B11210" t="s">
        <v>1686</v>
      </c>
      <c r="C11210">
        <v>159</v>
      </c>
      <c r="D11210">
        <v>172.84</v>
      </c>
      <c r="E11210">
        <v>172.83</v>
      </c>
      <c r="F11210">
        <v>0.01</v>
      </c>
    </row>
    <row r="11211" spans="1:6" x14ac:dyDescent="0.3">
      <c r="A11211" t="str">
        <f>HYPERLINK("https://us2.cloudbeds.com/connect/10074733072513#/reservations/31729948483789?display=MXGTZ0U6R&amp;reservation_id=31729948483789", "MXGTZ0U6R")</f>
        <v>MXGTZ0U6R</v>
      </c>
      <c r="B11211" t="s">
        <v>1572</v>
      </c>
      <c r="C11211">
        <v>209</v>
      </c>
      <c r="D11211">
        <v>227.19</v>
      </c>
      <c r="E11211">
        <v>227.18</v>
      </c>
      <c r="F11211">
        <v>0.01</v>
      </c>
    </row>
    <row r="11212" spans="1:6" x14ac:dyDescent="0.3">
      <c r="A11212" t="str">
        <f>HYPERLINK("https://us2.cloudbeds.com/connect/10074733072513#/reservations/31733203263724?display=MXJDTHVRR&amp;reservation_id=31733203263724", "MXJDTHVRR")</f>
        <v>MXJDTHVRR</v>
      </c>
      <c r="B11212" t="s">
        <v>1693</v>
      </c>
      <c r="C11212">
        <v>102.58</v>
      </c>
      <c r="D11212">
        <v>111.51</v>
      </c>
      <c r="E11212">
        <v>111.5</v>
      </c>
      <c r="F11212">
        <v>0.01</v>
      </c>
    </row>
    <row r="11213" spans="1:6" x14ac:dyDescent="0.3">
      <c r="A11213" t="str">
        <f>HYPERLINK("https://us2.cloudbeds.com/connect/10074733072513#/reservations/31730184704167?display=MXH2P7353&amp;reservation_id=31730184704167", "MXH2P7353")</f>
        <v>MXH2P7353</v>
      </c>
      <c r="B11213" t="s">
        <v>1693</v>
      </c>
      <c r="C11213">
        <v>119</v>
      </c>
      <c r="D11213">
        <v>129.36000000000001</v>
      </c>
      <c r="E11213">
        <v>129.35</v>
      </c>
      <c r="F11213">
        <v>0.01</v>
      </c>
    </row>
    <row r="11214" spans="1:6" x14ac:dyDescent="0.3">
      <c r="A11214" t="str">
        <f>HYPERLINK("https://us2.cloudbeds.com/connect/10074733072513#/reservations/31727424028852?display=MXEV7B7PC&amp;reservation_id=31727424028852", "MXEV7B7PC")</f>
        <v>MXEV7B7PC</v>
      </c>
      <c r="B11214" t="s">
        <v>1694</v>
      </c>
      <c r="C11214">
        <v>119</v>
      </c>
      <c r="D11214">
        <v>129.36000000000001</v>
      </c>
      <c r="E11214">
        <v>129.35</v>
      </c>
      <c r="F11214">
        <v>0.01</v>
      </c>
    </row>
    <row r="11215" spans="1:6" x14ac:dyDescent="0.3">
      <c r="A11215" t="str">
        <f>HYPERLINK("https://us2.cloudbeds.com/connect/10074733072513#/reservations/31725697360039?display=MXDK3C49W&amp;reservation_id=31725697360039", "MXDK3C49W")</f>
        <v>MXDK3C49W</v>
      </c>
      <c r="B11215" t="s">
        <v>1699</v>
      </c>
      <c r="C11215">
        <v>179</v>
      </c>
      <c r="D11215">
        <v>194.58</v>
      </c>
      <c r="E11215">
        <v>194.57</v>
      </c>
      <c r="F11215">
        <v>0.01</v>
      </c>
    </row>
    <row r="11216" spans="1:6" x14ac:dyDescent="0.3">
      <c r="A11216" t="str">
        <f>HYPERLINK("https://us2.cloudbeds.com/connect/10074733072513#/reservations/31730255888568?display=MXH4J7TU5&amp;reservation_id=31730255888568", "MXH4J7TU5")</f>
        <v>MXH4J7TU5</v>
      </c>
      <c r="B11216" t="s">
        <v>1693</v>
      </c>
      <c r="C11216">
        <v>87.82</v>
      </c>
      <c r="D11216">
        <v>95.47</v>
      </c>
      <c r="E11216">
        <v>95.46</v>
      </c>
      <c r="F11216">
        <v>0.01</v>
      </c>
    </row>
    <row r="11217" spans="1:6" x14ac:dyDescent="0.3">
      <c r="A11217" t="str">
        <f>HYPERLINK("https://us2.cloudbeds.com/connect/10074733072513#/reservations/31724766662879?display=MXCTAJ3KP&amp;reservation_id=31724766662879", "MXCTAJ3KP")</f>
        <v>MXCTAJ3KP</v>
      </c>
      <c r="B11217" t="s">
        <v>1626</v>
      </c>
      <c r="C11217">
        <v>209</v>
      </c>
      <c r="D11217">
        <v>227.19</v>
      </c>
      <c r="E11217">
        <v>227.18</v>
      </c>
      <c r="F11217">
        <v>0.01</v>
      </c>
    </row>
    <row r="11218" spans="1:6" x14ac:dyDescent="0.3">
      <c r="A11218" t="str">
        <f>HYPERLINK("https://us2.cloudbeds.com/connect/10074733072513#/reservations/31724751061120?display=MXCSG477H&amp;reservation_id=31724751061120", "MXCSG477H")</f>
        <v>MXCSG477H</v>
      </c>
      <c r="B11218" t="s">
        <v>1626</v>
      </c>
      <c r="C11218">
        <v>236.7</v>
      </c>
      <c r="D11218">
        <v>257.3</v>
      </c>
      <c r="E11218">
        <v>257.29000000000002</v>
      </c>
      <c r="F11218">
        <v>0.01</v>
      </c>
    </row>
    <row r="11219" spans="1:6" x14ac:dyDescent="0.3">
      <c r="A11219" t="str">
        <f>HYPERLINK("https://us2.cloudbeds.com/connect/10074733072513#/reservations/31729305723088?display=MXGDA14WR&amp;reservation_id=31729305723088", "MXGDA14WR")</f>
        <v>MXGDA14WR</v>
      </c>
      <c r="B11219" t="s">
        <v>1641</v>
      </c>
      <c r="C11219">
        <v>87.82</v>
      </c>
      <c r="D11219">
        <v>95.47</v>
      </c>
      <c r="E11219">
        <v>95.46</v>
      </c>
      <c r="F11219">
        <v>0.01</v>
      </c>
    </row>
    <row r="11220" spans="1:6" x14ac:dyDescent="0.3">
      <c r="A11220" t="str">
        <f>HYPERLINK("https://us2.cloudbeds.com/connect/10074733072513#/reservations/31729123098764?display=MXG8Y1BTD&amp;reservation_id=31729123098764", "MXG8Y1BTD")</f>
        <v>MXG8Y1BTD</v>
      </c>
      <c r="B11220" t="s">
        <v>1685</v>
      </c>
      <c r="C11220">
        <v>89</v>
      </c>
      <c r="D11220">
        <v>96.75</v>
      </c>
      <c r="E11220">
        <v>96.74</v>
      </c>
      <c r="F11220">
        <v>0.01</v>
      </c>
    </row>
    <row r="11221" spans="1:6" x14ac:dyDescent="0.3">
      <c r="A11221" t="str">
        <f>HYPERLINK("https://us2.cloudbeds.com/connect/10074733072513#/reservations/31729214587041?display=MXGAW655E&amp;reservation_id=31729214587041", "MXGAW655E")</f>
        <v>MXGAW655E</v>
      </c>
      <c r="B11221" t="s">
        <v>1641</v>
      </c>
      <c r="C11221">
        <v>149</v>
      </c>
      <c r="D11221">
        <v>161.97</v>
      </c>
      <c r="E11221">
        <v>161.96</v>
      </c>
      <c r="F11221">
        <v>0.01</v>
      </c>
    </row>
    <row r="11222" spans="1:6" x14ac:dyDescent="0.3">
      <c r="A11222" t="str">
        <f>HYPERLINK("https://us2.cloudbeds.com/connect/10074733072513#/reservations/31729203671239?display=MXGAMWDFX&amp;reservation_id=31729203671239", "MXGAMWDFX")</f>
        <v>MXGAMWDFX</v>
      </c>
      <c r="B11222" t="s">
        <v>1641</v>
      </c>
      <c r="C11222">
        <v>102.58</v>
      </c>
      <c r="D11222">
        <v>111.51</v>
      </c>
      <c r="E11222">
        <v>111.5</v>
      </c>
      <c r="F11222">
        <v>0.01</v>
      </c>
    </row>
    <row r="11223" spans="1:6" x14ac:dyDescent="0.3">
      <c r="A11223" t="str">
        <f>HYPERLINK("https://us2.cloudbeds.com/connect/10074733072513#/reservations/31727649251555?display=MXF3W8CRP&amp;reservation_id=31727649251555", "MXF3W8CRP")</f>
        <v>MXF3W8CRP</v>
      </c>
      <c r="B11223" t="s">
        <v>1641</v>
      </c>
      <c r="C11223">
        <v>119</v>
      </c>
      <c r="D11223">
        <v>129.36000000000001</v>
      </c>
      <c r="E11223">
        <v>129.35</v>
      </c>
      <c r="F11223">
        <v>0.01</v>
      </c>
    </row>
    <row r="11224" spans="1:6" x14ac:dyDescent="0.3">
      <c r="A11224" t="str">
        <f>HYPERLINK("https://us2.cloudbeds.com/connect/10074733072513#/reservations/31727669186711?display=MXF4G23PD&amp;reservation_id=31727669186711", "MXF4G23PD")</f>
        <v>MXF4G23PD</v>
      </c>
      <c r="B11224" t="s">
        <v>1641</v>
      </c>
      <c r="C11224">
        <v>87.82</v>
      </c>
      <c r="D11224">
        <v>95.47</v>
      </c>
      <c r="E11224">
        <v>95.46</v>
      </c>
      <c r="F11224">
        <v>0.01</v>
      </c>
    </row>
    <row r="11225" spans="1:6" x14ac:dyDescent="0.3">
      <c r="A11225" t="str">
        <f>HYPERLINK("https://us2.cloudbeds.com/connect/10074733072513#/reservations/31727698354400?display=MXF57YZMP&amp;reservation_id=31727698354400", "MXF57YZMP")</f>
        <v>MXF57YZMP</v>
      </c>
      <c r="B11225" t="s">
        <v>1693</v>
      </c>
      <c r="C11225">
        <v>87.82</v>
      </c>
      <c r="D11225">
        <v>95.47</v>
      </c>
      <c r="E11225">
        <v>95.46</v>
      </c>
      <c r="F11225">
        <v>0.01</v>
      </c>
    </row>
    <row r="11226" spans="1:6" x14ac:dyDescent="0.3">
      <c r="A11226" t="str">
        <f>HYPERLINK("https://us2.cloudbeds.com/connect/10074733072513#/reservations/31730628669614?display=MXHE3J2UG&amp;reservation_id=31730628669614", "MXHE3J2UG")</f>
        <v>MXHE3J2UG</v>
      </c>
      <c r="B11226" t="s">
        <v>1688</v>
      </c>
      <c r="C11226">
        <v>336</v>
      </c>
      <c r="D11226">
        <v>365.24</v>
      </c>
      <c r="E11226">
        <v>365.23</v>
      </c>
      <c r="F11226">
        <v>0.01</v>
      </c>
    </row>
    <row r="11227" spans="1:6" x14ac:dyDescent="0.3">
      <c r="A11227" t="str">
        <f>HYPERLINK("https://us2.cloudbeds.com/connect/10074733072513#/reservations/31725929906384?display=MXDQ1F2FV&amp;reservation_id=31725929906384", "MXDQ1F2FV")</f>
        <v>MXDQ1F2FV</v>
      </c>
      <c r="B11227" t="s">
        <v>1566</v>
      </c>
      <c r="C11227">
        <v>179</v>
      </c>
      <c r="D11227">
        <v>194.58</v>
      </c>
      <c r="E11227">
        <v>194.57</v>
      </c>
      <c r="F11227">
        <v>0.01</v>
      </c>
    </row>
    <row r="11228" spans="1:6" x14ac:dyDescent="0.3">
      <c r="A11228" t="str">
        <f>HYPERLINK("https://us2.cloudbeds.com/connect/10074733072513#/reservations/31725929902288?display=MXDQ1EVNR&amp;reservation_id=31725929902288", "MXDQ1EVNR")</f>
        <v>MXDQ1EVNR</v>
      </c>
      <c r="B11228" t="s">
        <v>1655</v>
      </c>
      <c r="C11228">
        <v>358</v>
      </c>
      <c r="D11228">
        <v>389.16</v>
      </c>
      <c r="E11228">
        <v>389.15</v>
      </c>
      <c r="F11228">
        <v>0.01</v>
      </c>
    </row>
    <row r="11229" spans="1:6" x14ac:dyDescent="0.3">
      <c r="A11229" t="str">
        <f>HYPERLINK("https://us2.cloudbeds.com/connect/10074733072513#/reservations/31724123521248?display=MXCCT8ZKE&amp;reservation_id=31724123521248", "MXCCT8ZKE")</f>
        <v>MXCCT8ZKE</v>
      </c>
      <c r="B11229" t="s">
        <v>1652</v>
      </c>
      <c r="C11229">
        <v>322.2</v>
      </c>
      <c r="D11229">
        <v>350.24</v>
      </c>
      <c r="E11229">
        <v>350.23</v>
      </c>
      <c r="F11229">
        <v>0.01</v>
      </c>
    </row>
    <row r="11230" spans="1:6" x14ac:dyDescent="0.3">
      <c r="A11230" t="str">
        <f>HYPERLINK("https://us2.cloudbeds.com/connect/10074733072513#/reservations/31728281993352?display=MXFK4QBVK&amp;reservation_id=31728281993352", "MXFK4QBVK")</f>
        <v>MXFK4QBVK</v>
      </c>
      <c r="B11230" t="s">
        <v>1655</v>
      </c>
      <c r="C11230">
        <v>252</v>
      </c>
      <c r="D11230">
        <v>273.93</v>
      </c>
      <c r="E11230">
        <v>273.92</v>
      </c>
      <c r="F11230">
        <v>0.01</v>
      </c>
    </row>
    <row r="11231" spans="1:6" x14ac:dyDescent="0.3">
      <c r="A11231" t="str">
        <f>HYPERLINK("https://us2.cloudbeds.com/connect/10074733072513#/reservations/31722329096343?display=MXB0157H5&amp;reservation_id=31722329096343", "MXB0157H5")</f>
        <v>MXB0157H5</v>
      </c>
      <c r="B11231" t="s">
        <v>1385</v>
      </c>
      <c r="C11231">
        <v>149</v>
      </c>
      <c r="D11231">
        <v>161.97</v>
      </c>
      <c r="E11231">
        <v>161.96</v>
      </c>
      <c r="F11231">
        <v>0.01</v>
      </c>
    </row>
    <row r="11232" spans="1:6" x14ac:dyDescent="0.3">
      <c r="A11232" t="str">
        <f>HYPERLINK("https://us2.cloudbeds.com/connect/10074733072513#/reservations/31722316734621?display=MXAWNZ82H&amp;reservation_id=31722316734621", "MXAWNZ82H")</f>
        <v>MXAWNZ82H</v>
      </c>
      <c r="B11232" t="s">
        <v>1385</v>
      </c>
      <c r="C11232">
        <v>149</v>
      </c>
      <c r="D11232">
        <v>161.97</v>
      </c>
      <c r="E11232">
        <v>161.96</v>
      </c>
      <c r="F11232">
        <v>0.01</v>
      </c>
    </row>
    <row r="11233" spans="1:6" x14ac:dyDescent="0.3">
      <c r="A11233" t="str">
        <f>HYPERLINK("https://us2.cloudbeds.com/connect/10074733072513#/reservations/31729336266914?display=MXGE2Q2JA&amp;reservation_id=31729336266914", "MXGE2Q2JA")</f>
        <v>MXGE2Q2JA</v>
      </c>
      <c r="B11233" t="s">
        <v>1694</v>
      </c>
      <c r="C11233">
        <v>149</v>
      </c>
      <c r="D11233">
        <v>161.97</v>
      </c>
      <c r="E11233">
        <v>161.96</v>
      </c>
      <c r="F11233">
        <v>0.01</v>
      </c>
    </row>
    <row r="11234" spans="1:6" x14ac:dyDescent="0.3">
      <c r="A11234" t="str">
        <f>HYPERLINK("https://us2.cloudbeds.com/connect/10074733072513#/reservations/31729803624648?display=MXGQ0SWST&amp;reservation_id=31729803624648", "MXGQ0SWST")</f>
        <v>MXGQ0SWST</v>
      </c>
      <c r="B11234" t="s">
        <v>1624</v>
      </c>
      <c r="C11234">
        <v>159</v>
      </c>
      <c r="D11234">
        <v>172.84</v>
      </c>
      <c r="E11234">
        <v>172.83</v>
      </c>
      <c r="F11234">
        <v>0.01</v>
      </c>
    </row>
    <row r="11235" spans="1:6" x14ac:dyDescent="0.3">
      <c r="A11235" t="str">
        <f>HYPERLINK("https://us2.cloudbeds.com/connect/10074733072513#/reservations/31724168659076?display=MXCE1APGD&amp;reservation_id=31724168659076", "MXCE1APGD")</f>
        <v>MXCE1APGD</v>
      </c>
      <c r="B11235" t="s">
        <v>1652</v>
      </c>
      <c r="C11235">
        <v>338</v>
      </c>
      <c r="D11235">
        <v>367.42</v>
      </c>
      <c r="E11235">
        <v>367.41</v>
      </c>
      <c r="F11235">
        <v>0.01</v>
      </c>
    </row>
    <row r="11236" spans="1:6" x14ac:dyDescent="0.3">
      <c r="A11236" t="str">
        <f>HYPERLINK("https://us2.cloudbeds.com/connect/10074733072513#/reservations/31730478555335?display=MXHA8WUUV&amp;reservation_id=31730478555335", "MXHA8WUUV")</f>
        <v>MXHA8WUUV</v>
      </c>
      <c r="B11236" t="s">
        <v>1691</v>
      </c>
      <c r="C11236">
        <v>238</v>
      </c>
      <c r="D11236">
        <v>258.72000000000003</v>
      </c>
      <c r="E11236">
        <v>258.70999999999998</v>
      </c>
      <c r="F11236">
        <v>0.01</v>
      </c>
    </row>
    <row r="11237" spans="1:6" x14ac:dyDescent="0.3">
      <c r="A11237" t="str">
        <f>HYPERLINK("https://us2.cloudbeds.com/connect/10074733072513#/reservations/31729555378390?display=MXGJMX5T0&amp;reservation_id=31729555378390", "MXGJMX5T0")</f>
        <v>MXGJMX5T0</v>
      </c>
      <c r="B11237" t="s">
        <v>1694</v>
      </c>
      <c r="C11237">
        <v>189</v>
      </c>
      <c r="D11237">
        <v>205.45</v>
      </c>
      <c r="E11237">
        <v>205.44</v>
      </c>
      <c r="F11237">
        <v>0.01</v>
      </c>
    </row>
    <row r="11238" spans="1:6" x14ac:dyDescent="0.3">
      <c r="A11238" t="str">
        <f>HYPERLINK("https://us2.cloudbeds.com/connect/10074733072513#/reservations/31733219016899?display=MXJE9RAXZ&amp;reservation_id=31733219016899", "MXJE9RAXZ")</f>
        <v>MXJE9RAXZ</v>
      </c>
      <c r="B11238" t="s">
        <v>1672</v>
      </c>
      <c r="C11238">
        <v>282</v>
      </c>
      <c r="D11238">
        <v>306.54000000000002</v>
      </c>
      <c r="E11238">
        <v>306.52999999999997</v>
      </c>
      <c r="F11238">
        <v>0.01</v>
      </c>
    </row>
    <row r="11239" spans="1:6" x14ac:dyDescent="0.3">
      <c r="A11239" t="str">
        <f>HYPERLINK("https://us2.cloudbeds.com/connect/10074733072513#/reservations/31727443640543?display=MXEVNSVM1&amp;reservation_id=31727443640543", "MXEVNSVM1")</f>
        <v>MXEVNSVM1</v>
      </c>
      <c r="B11239" t="s">
        <v>1694</v>
      </c>
      <c r="C11239">
        <v>159</v>
      </c>
      <c r="D11239">
        <v>172.84</v>
      </c>
      <c r="E11239">
        <v>172.83</v>
      </c>
      <c r="F11239">
        <v>0.01</v>
      </c>
    </row>
    <row r="11240" spans="1:6" x14ac:dyDescent="0.3">
      <c r="A11240" t="str">
        <f>HYPERLINK("https://us2.cloudbeds.com/connect/10074733072513#/reservations/31728173195490?display=MXFHC1TZN&amp;reservation_id=31728173195490", "MXFHC1TZN")</f>
        <v>MXFHC1TZN</v>
      </c>
      <c r="B11240" t="s">
        <v>1637</v>
      </c>
      <c r="C11240">
        <v>102.58</v>
      </c>
      <c r="D11240">
        <v>111.51</v>
      </c>
      <c r="E11240">
        <v>111.5</v>
      </c>
      <c r="F11240">
        <v>0.01</v>
      </c>
    </row>
    <row r="11241" spans="1:6" x14ac:dyDescent="0.3">
      <c r="A11241" t="str">
        <f>HYPERLINK("https://us2.cloudbeds.com/connect/10074733072513#/reservations/31729305727195?display=MXGDA18P9&amp;reservation_id=31729305727195", "MXGDA18P9")</f>
        <v>MXGDA18P9</v>
      </c>
      <c r="B11241" t="s">
        <v>1694</v>
      </c>
      <c r="C11241">
        <v>189</v>
      </c>
      <c r="D11241">
        <v>205.45</v>
      </c>
      <c r="E11241">
        <v>205.44</v>
      </c>
      <c r="F11241">
        <v>0.01</v>
      </c>
    </row>
    <row r="11242" spans="1:6" x14ac:dyDescent="0.3">
      <c r="A11242" t="str">
        <f>HYPERLINK("https://us2.cloudbeds.com/connect/10074733072513#/reservations/31733203427478?display=MXJDTMH72&amp;reservation_id=31733203427478", "MXJDTMH72")</f>
        <v>MXJDTMH72</v>
      </c>
      <c r="B11242" t="s">
        <v>1655</v>
      </c>
      <c r="C11242">
        <v>143</v>
      </c>
      <c r="D11242">
        <v>155.44999999999999</v>
      </c>
      <c r="E11242">
        <v>155.44</v>
      </c>
      <c r="F11242">
        <v>0.01</v>
      </c>
    </row>
    <row r="11243" spans="1:6" x14ac:dyDescent="0.3">
      <c r="A11243" t="str">
        <f>HYPERLINK("https://us2.cloudbeds.com/connect/10074733072513#/reservations/31729270542469?display=MXGCDC6XF&amp;reservation_id=31729270542469", "MXGCDC6XF")</f>
        <v>MXGCDC6XF</v>
      </c>
      <c r="B11243" t="s">
        <v>1655</v>
      </c>
      <c r="C11243">
        <v>159</v>
      </c>
      <c r="D11243">
        <v>172.84</v>
      </c>
      <c r="E11243">
        <v>172.83</v>
      </c>
      <c r="F11243">
        <v>0.01</v>
      </c>
    </row>
    <row r="11244" spans="1:6" x14ac:dyDescent="0.3">
      <c r="A11244" t="str">
        <f>HYPERLINK("https://us2.cloudbeds.com/connect/10074733072513#/reservations/31733188636889?display=MXJDH6VDD&amp;reservation_id=31733188636889", "MXJDH6VDD")</f>
        <v>MXJDH6VDD</v>
      </c>
      <c r="B11244" t="s">
        <v>1655</v>
      </c>
      <c r="C11244">
        <v>97.74</v>
      </c>
      <c r="D11244">
        <v>106.25</v>
      </c>
      <c r="E11244">
        <v>106.24</v>
      </c>
      <c r="F11244">
        <v>0.01</v>
      </c>
    </row>
    <row r="11245" spans="1:6" x14ac:dyDescent="0.3">
      <c r="A11245" t="str">
        <f>HYPERLINK("https://us2.cloudbeds.com/connect/10074733072513#/reservations/31729152753825?display=MXG9D1XBK&amp;reservation_id=31729152753825", "MXG9D1XBK")</f>
        <v>MXG9D1XBK</v>
      </c>
      <c r="B11245" t="s">
        <v>1700</v>
      </c>
      <c r="C11245">
        <v>87.82</v>
      </c>
      <c r="D11245">
        <v>95.47</v>
      </c>
      <c r="E11245">
        <v>95.46</v>
      </c>
      <c r="F11245">
        <v>0.01</v>
      </c>
    </row>
    <row r="11246" spans="1:6" x14ac:dyDescent="0.3">
      <c r="A11246" t="str">
        <f>HYPERLINK("https://us2.cloudbeds.com/connect/10074733072513#/reservations/31733188640984?display=MXJDH725G&amp;reservation_id=31733188640984", "MXJDH725G")</f>
        <v>MXJDH725G</v>
      </c>
      <c r="B11246" t="s">
        <v>1655</v>
      </c>
      <c r="C11246">
        <v>149</v>
      </c>
      <c r="D11246">
        <v>161.97</v>
      </c>
      <c r="E11246">
        <v>161.96</v>
      </c>
      <c r="F11246">
        <v>0.01</v>
      </c>
    </row>
    <row r="11247" spans="1:6" x14ac:dyDescent="0.3">
      <c r="A11247" t="str">
        <f>HYPERLINK("https://us2.cloudbeds.com/connect/10074733072513#/reservations/31733172433049?display=MXJD3X1RV&amp;reservation_id=31733172433049", "MXJD3X1RV")</f>
        <v>MXJD3X1RV</v>
      </c>
      <c r="B11247" t="s">
        <v>1672</v>
      </c>
      <c r="C11247">
        <v>378</v>
      </c>
      <c r="D11247">
        <v>410.9</v>
      </c>
      <c r="E11247">
        <v>410.89</v>
      </c>
      <c r="F11247">
        <v>0.01</v>
      </c>
    </row>
    <row r="11248" spans="1:6" x14ac:dyDescent="0.3">
      <c r="A11248" t="str">
        <f>HYPERLINK("https://us2.cloudbeds.com/connect/10074733072513#/reservations/31733219012818?display=MXJE9R6R3&amp;reservation_id=31733219012818", "MXJE9R6R3")</f>
        <v>MXJE9R6R3</v>
      </c>
      <c r="B11248" t="s">
        <v>1655</v>
      </c>
      <c r="C11248">
        <v>149</v>
      </c>
      <c r="D11248">
        <v>161.97</v>
      </c>
      <c r="E11248">
        <v>161.96</v>
      </c>
      <c r="F11248">
        <v>0.01</v>
      </c>
    </row>
    <row r="11249" spans="1:6" x14ac:dyDescent="0.3">
      <c r="A11249" t="str">
        <f>HYPERLINK("https://us2.cloudbeds.com/connect/10074733072513#/reservations/31731406299280?display=MXX0W9PZR&amp;reservation_id=31731406299280", "MXX0W9PZR")</f>
        <v>MXX0W9PZR</v>
      </c>
      <c r="B11249" t="s">
        <v>1701</v>
      </c>
      <c r="C11249">
        <v>238</v>
      </c>
      <c r="D11249">
        <v>258.72000000000003</v>
      </c>
      <c r="E11249">
        <v>258.70999999999998</v>
      </c>
      <c r="F11249">
        <v>0.01</v>
      </c>
    </row>
    <row r="11250" spans="1:6" x14ac:dyDescent="0.3">
      <c r="A11250" t="str">
        <f>HYPERLINK("https://us2.cloudbeds.com/connect/10074733072513#/reservations/31732387721345?display=MXXQ1S9PD&amp;reservation_id=31732387721345", "MXXQ1S9PD")</f>
        <v>MXXQ1S9PD</v>
      </c>
      <c r="B11250" t="s">
        <v>1700</v>
      </c>
      <c r="C11250">
        <v>119</v>
      </c>
      <c r="D11250">
        <v>129.36000000000001</v>
      </c>
      <c r="E11250">
        <v>129.35</v>
      </c>
      <c r="F11250">
        <v>0.01</v>
      </c>
    </row>
    <row r="11251" spans="1:6" x14ac:dyDescent="0.3">
      <c r="A11251" t="str">
        <f>HYPERLINK("https://us2.cloudbeds.com/connect/10074733072513#/reservations/31728234565836?display=MXFXUQKH4&amp;reservation_id=31728234565836", "MXFXUQKH4")</f>
        <v>MXFXUQKH4</v>
      </c>
      <c r="B11251" t="s">
        <v>1655</v>
      </c>
      <c r="C11251">
        <v>149</v>
      </c>
      <c r="D11251">
        <v>161.97</v>
      </c>
      <c r="E11251">
        <v>161.96</v>
      </c>
      <c r="F11251">
        <v>0.01</v>
      </c>
    </row>
    <row r="11252" spans="1:6" x14ac:dyDescent="0.3">
      <c r="A11252" t="str">
        <f>HYPERLINK("https://us2.cloudbeds.com/connect/10074733072513#/reservations/31727452524719?display=MXEVVC5PG&amp;reservation_id=31727452524719", "MXEVVC5PG")</f>
        <v>MXEVVC5PG</v>
      </c>
      <c r="B11252" t="s">
        <v>1624</v>
      </c>
      <c r="C11252">
        <v>378</v>
      </c>
      <c r="D11252">
        <v>410.9</v>
      </c>
      <c r="E11252">
        <v>410.89</v>
      </c>
      <c r="F11252">
        <v>0.01</v>
      </c>
    </row>
    <row r="11253" spans="1:6" x14ac:dyDescent="0.3">
      <c r="A11253" t="str">
        <f>HYPERLINK("https://us2.cloudbeds.com/connect/10074733072513#/reservations/31728215298186?display=MXFXEXFHW&amp;reservation_id=31728215298186", "MXFXEXFHW")</f>
        <v>MXFXEXFHW</v>
      </c>
      <c r="B11253" t="s">
        <v>1702</v>
      </c>
      <c r="C11253">
        <v>119</v>
      </c>
      <c r="D11253">
        <v>129.36000000000001</v>
      </c>
      <c r="E11253">
        <v>129.35</v>
      </c>
      <c r="F11253">
        <v>0.01</v>
      </c>
    </row>
    <row r="11254" spans="1:6" x14ac:dyDescent="0.3">
      <c r="A11254" t="str">
        <f>HYPERLINK("https://us2.cloudbeds.com/connect/10074733072513#/reservations/31728217485532?display=MXFXGDB46&amp;reservation_id=31728217485532", "MXFXGDB46")</f>
        <v>MXFXGDB46</v>
      </c>
      <c r="B11254" t="s">
        <v>1655</v>
      </c>
      <c r="C11254">
        <v>149</v>
      </c>
      <c r="D11254">
        <v>161.97</v>
      </c>
      <c r="E11254">
        <v>161.96</v>
      </c>
      <c r="F11254">
        <v>0.01</v>
      </c>
    </row>
    <row r="11255" spans="1:6" x14ac:dyDescent="0.3">
      <c r="A11255" t="str">
        <f>HYPERLINK("https://us2.cloudbeds.com/connect/10074733072513#/reservations/31729874346215?display=MXGRRGUKM&amp;reservation_id=31729874346215", "MXGRRGUKM")</f>
        <v>MXGRRGUKM</v>
      </c>
      <c r="B11255" t="s">
        <v>1680</v>
      </c>
      <c r="C11255">
        <v>159</v>
      </c>
      <c r="D11255">
        <v>172.84</v>
      </c>
      <c r="E11255">
        <v>172.83</v>
      </c>
      <c r="F11255">
        <v>0.01</v>
      </c>
    </row>
    <row r="11256" spans="1:6" x14ac:dyDescent="0.3">
      <c r="A11256" t="str">
        <f>HYPERLINK("https://us2.cloudbeds.com/connect/10074733072513#/reservations/31729860796565?display=MXGRG2TB7&amp;reservation_id=31729860796565", "MXGRG2TB7")</f>
        <v>MXGRG2TB7</v>
      </c>
      <c r="B11256" t="s">
        <v>1680</v>
      </c>
      <c r="C11256">
        <v>159</v>
      </c>
      <c r="D11256">
        <v>172.84</v>
      </c>
      <c r="E11256">
        <v>172.83</v>
      </c>
      <c r="F11256">
        <v>0.01</v>
      </c>
    </row>
    <row r="11257" spans="1:6" x14ac:dyDescent="0.3">
      <c r="A11257" t="str">
        <f>HYPERLINK("https://us2.cloudbeds.com/connect/10074733072513#/reservations/31725862666438?display=MXDZAP0QR&amp;reservation_id=31725862666438", "MXDZAP0QR")</f>
        <v>MXDZAP0QR</v>
      </c>
      <c r="B11257" t="s">
        <v>1672</v>
      </c>
      <c r="C11257">
        <v>149</v>
      </c>
      <c r="D11257">
        <v>161.97</v>
      </c>
      <c r="E11257">
        <v>161.96</v>
      </c>
      <c r="F11257">
        <v>0.01</v>
      </c>
    </row>
    <row r="11258" spans="1:6" x14ac:dyDescent="0.3">
      <c r="A11258" t="str">
        <f>HYPERLINK("https://us2.cloudbeds.com/connect/10074733072513#/reservations/31725348229333?display=MXDB5W1PY&amp;reservation_id=31725348229333", "MXDB5W1PY")</f>
        <v>MXDB5W1PY</v>
      </c>
      <c r="B11258" t="s">
        <v>1680</v>
      </c>
      <c r="C11258">
        <v>159</v>
      </c>
      <c r="D11258">
        <v>172.84</v>
      </c>
      <c r="E11258">
        <v>172.83</v>
      </c>
      <c r="F11258">
        <v>0.01</v>
      </c>
    </row>
    <row r="11259" spans="1:6" x14ac:dyDescent="0.3">
      <c r="A11259" t="str">
        <f>HYPERLINK("https://us2.cloudbeds.com/connect/10074733072513#/reservations/31726463967434?display=MXE6MQ3M4&amp;reservation_id=31726463967434", "MXE6MQ3M4")</f>
        <v>MXE6MQ3M4</v>
      </c>
      <c r="B11259" t="s">
        <v>1703</v>
      </c>
      <c r="C11259">
        <v>129</v>
      </c>
      <c r="D11259">
        <v>140.22999999999999</v>
      </c>
      <c r="E11259">
        <v>140.22</v>
      </c>
      <c r="F11259">
        <v>0.01</v>
      </c>
    </row>
    <row r="11260" spans="1:6" x14ac:dyDescent="0.3">
      <c r="A11260" t="str">
        <f>HYPERLINK("https://us2.cloudbeds.com/connect/10074733072513#/reservations/31712756355215?display=MX3JE5JKM&amp;reservation_id=31712756355215", "MX3JE5JKM")</f>
        <v>MX3JE5JKM</v>
      </c>
      <c r="B11260" t="s">
        <v>1539</v>
      </c>
      <c r="C11260">
        <v>298</v>
      </c>
      <c r="D11260">
        <v>323.94</v>
      </c>
      <c r="E11260">
        <v>323.93</v>
      </c>
      <c r="F11260">
        <v>0.01</v>
      </c>
    </row>
    <row r="11261" spans="1:6" x14ac:dyDescent="0.3">
      <c r="A11261" t="str">
        <f>HYPERLINK("https://us2.cloudbeds.com/connect/10074733072513#/reservations/31727420760197?display=MXEV4J987&amp;reservation_id=31727420760197", "MXEV4J987")</f>
        <v>MXEV4J987</v>
      </c>
      <c r="B11261" t="s">
        <v>1652</v>
      </c>
      <c r="C11261">
        <v>130.38</v>
      </c>
      <c r="D11261">
        <v>141.72999999999999</v>
      </c>
      <c r="E11261">
        <v>141.72</v>
      </c>
      <c r="F11261">
        <v>0.01</v>
      </c>
    </row>
    <row r="11262" spans="1:6" x14ac:dyDescent="0.3">
      <c r="A11262" t="str">
        <f>HYPERLINK("https://us2.cloudbeds.com/connect/10074733072513#/reservations/31729288184007?display=MXGCS83AH&amp;reservation_id=31729288184007", "MXGCS83AH")</f>
        <v>MXGCS83AH</v>
      </c>
      <c r="B11262" t="s">
        <v>1655</v>
      </c>
      <c r="C11262">
        <v>149</v>
      </c>
      <c r="D11262">
        <v>161.97</v>
      </c>
      <c r="E11262">
        <v>161.96</v>
      </c>
      <c r="F11262">
        <v>0.01</v>
      </c>
    </row>
    <row r="11263" spans="1:6" x14ac:dyDescent="0.3">
      <c r="A11263" t="str">
        <f>HYPERLINK("https://us2.cloudbeds.com/connect/10074733072513#/reservations/31727181537495?display=MXEP0SXBE&amp;reservation_id=31727181537495", "MXEP0SXBE")</f>
        <v>MXEP0SXBE</v>
      </c>
      <c r="B11263" t="s">
        <v>1652</v>
      </c>
      <c r="C11263">
        <v>393.3</v>
      </c>
      <c r="D11263">
        <v>427.53</v>
      </c>
      <c r="E11263">
        <v>427.52</v>
      </c>
      <c r="F11263">
        <v>0.01</v>
      </c>
    </row>
    <row r="11264" spans="1:6" x14ac:dyDescent="0.3">
      <c r="A11264" t="str">
        <f>HYPERLINK("https://us2.cloudbeds.com/connect/10074733072513#/reservations/31729288188102?display=MXGCS872K&amp;reservation_id=31729288188102", "MXGCS872K")</f>
        <v>MXGCS872K</v>
      </c>
      <c r="B11264" t="s">
        <v>1655</v>
      </c>
      <c r="C11264">
        <v>149</v>
      </c>
      <c r="D11264">
        <v>161.97</v>
      </c>
      <c r="E11264">
        <v>161.96</v>
      </c>
      <c r="F11264">
        <v>0.01</v>
      </c>
    </row>
    <row r="11265" spans="1:6" x14ac:dyDescent="0.3">
      <c r="A11265" t="str">
        <f>HYPERLINK("https://us2.cloudbeds.com/connect/10074733072513#/reservations/31727181541603?display=MXEP0SM3U&amp;reservation_id=31727181541603", "MXEP0SM3U")</f>
        <v>MXEP0SM3U</v>
      </c>
      <c r="B11265" t="s">
        <v>1652</v>
      </c>
      <c r="C11265">
        <v>501.3</v>
      </c>
      <c r="D11265">
        <v>544.91999999999996</v>
      </c>
      <c r="E11265">
        <v>544.91</v>
      </c>
      <c r="F11265">
        <v>0.01</v>
      </c>
    </row>
    <row r="11266" spans="1:6" x14ac:dyDescent="0.3">
      <c r="A11266" t="str">
        <f>HYPERLINK("https://us2.cloudbeds.com/connect/10074733072513#/reservations/31725913477343?display=MXDPKJU47&amp;reservation_id=31725913477343", "MXDPKJU47")</f>
        <v>MXDPKJU47</v>
      </c>
      <c r="B11266" t="s">
        <v>1672</v>
      </c>
      <c r="C11266">
        <v>73</v>
      </c>
      <c r="D11266">
        <v>79.36</v>
      </c>
      <c r="E11266">
        <v>79.349999999999994</v>
      </c>
      <c r="F11266">
        <v>0.01</v>
      </c>
    </row>
    <row r="11267" spans="1:6" x14ac:dyDescent="0.3">
      <c r="A11267" t="str">
        <f>HYPERLINK("https://us2.cloudbeds.com/connect/10074733072513#/reservations/31727908556953?display=MXFAJTV53&amp;reservation_id=31727908556953", "MXFAJTV53")</f>
        <v>MXFAJTV53</v>
      </c>
      <c r="B11267" t="s">
        <v>1704</v>
      </c>
      <c r="C11267">
        <v>190</v>
      </c>
      <c r="D11267">
        <v>206.54</v>
      </c>
      <c r="E11267">
        <v>206.53</v>
      </c>
      <c r="F11267">
        <v>0.01</v>
      </c>
    </row>
    <row r="11268" spans="1:6" x14ac:dyDescent="0.3">
      <c r="A11268" t="str">
        <f>HYPERLINK("https://us2.cloudbeds.com/connect/10074733072513#/reservations/31728291696874?display=MXFKCWCEN&amp;reservation_id=31728291696874", "MXFKCWCEN")</f>
        <v>MXFKCWCEN</v>
      </c>
      <c r="B11268" t="s">
        <v>1685</v>
      </c>
      <c r="C11268">
        <v>119</v>
      </c>
      <c r="D11268">
        <v>129.36000000000001</v>
      </c>
      <c r="E11268">
        <v>129.35</v>
      </c>
      <c r="F11268">
        <v>0.01</v>
      </c>
    </row>
    <row r="11269" spans="1:6" x14ac:dyDescent="0.3">
      <c r="A11269" t="str">
        <f>HYPERLINK("https://us2.cloudbeds.com/connect/10074733072513#/reservations/31729610870980?display=MXGY3BB8Y&amp;reservation_id=31729610870980", "MXGY3BB8Y")</f>
        <v>MXGY3BB8Y</v>
      </c>
      <c r="B11269" t="s">
        <v>1672</v>
      </c>
      <c r="C11269">
        <v>149</v>
      </c>
      <c r="D11269">
        <v>161.97</v>
      </c>
      <c r="E11269">
        <v>161.96</v>
      </c>
      <c r="F11269">
        <v>0.01</v>
      </c>
    </row>
    <row r="11270" spans="1:6" x14ac:dyDescent="0.3">
      <c r="A11270" t="str">
        <f>HYPERLINK("https://us2.cloudbeds.com/connect/10074733072513#/reservations/31729595056276?display=MXGKN0916&amp;reservation_id=31729595056276", "MXGKN0916")</f>
        <v>MXGKN0916</v>
      </c>
      <c r="B11270" t="s">
        <v>1672</v>
      </c>
      <c r="C11270">
        <v>149</v>
      </c>
      <c r="D11270">
        <v>161.97</v>
      </c>
      <c r="E11270">
        <v>161.96</v>
      </c>
      <c r="F11270">
        <v>0.01</v>
      </c>
    </row>
    <row r="11271" spans="1:6" x14ac:dyDescent="0.3">
      <c r="A11271" t="str">
        <f>HYPERLINK("https://us2.cloudbeds.com/connect/10074733072513#/reservations/31726608961745?display=MXEAD1Q44&amp;reservation_id=31726608961745", "MXEAD1Q44")</f>
        <v>MXEAD1Q44</v>
      </c>
      <c r="B11271" t="s">
        <v>1593</v>
      </c>
      <c r="C11271">
        <v>179</v>
      </c>
      <c r="D11271">
        <v>194.58</v>
      </c>
      <c r="E11271">
        <v>194.57</v>
      </c>
      <c r="F11271">
        <v>0.01</v>
      </c>
    </row>
    <row r="11272" spans="1:6" x14ac:dyDescent="0.3">
      <c r="A11272" t="str">
        <f>HYPERLINK("https://us2.cloudbeds.com/connect/10074733072513#/reservations/31729115295929?display=MXG8EF7ZS&amp;reservation_id=31729115295929", "MXG8EF7ZS")</f>
        <v>MXG8EF7ZS</v>
      </c>
      <c r="B11272" t="s">
        <v>1593</v>
      </c>
      <c r="C11272">
        <v>378</v>
      </c>
      <c r="D11272">
        <v>410.9</v>
      </c>
      <c r="E11272">
        <v>410.89</v>
      </c>
      <c r="F11272">
        <v>0.01</v>
      </c>
    </row>
    <row r="11273" spans="1:6" x14ac:dyDescent="0.3">
      <c r="A11273" t="str">
        <f>HYPERLINK("https://us2.cloudbeds.com/connect/10074733072513#/reservations/31728610496647?display=MXFSHQESU&amp;reservation_id=31728610496647", "MXFSHQESU")</f>
        <v>MXFSHQESU</v>
      </c>
      <c r="B11273" t="s">
        <v>1701</v>
      </c>
      <c r="C11273">
        <v>119</v>
      </c>
      <c r="D11273">
        <v>129.36000000000001</v>
      </c>
      <c r="E11273">
        <v>129.35</v>
      </c>
      <c r="F11273">
        <v>0.01</v>
      </c>
    </row>
    <row r="11274" spans="1:6" x14ac:dyDescent="0.3">
      <c r="A11274" t="str">
        <f>HYPERLINK("https://us2.cloudbeds.com/connect/10074733072513#/reservations/31722210885873?display=MXAU0FRVN&amp;reservation_id=31722210885873", "MXAU0FRVN")</f>
        <v>MXAU0FRVN</v>
      </c>
      <c r="B11274" t="s">
        <v>1706</v>
      </c>
      <c r="C11274">
        <v>119</v>
      </c>
      <c r="D11274">
        <v>129.36000000000001</v>
      </c>
      <c r="E11274">
        <v>129.35</v>
      </c>
      <c r="F11274">
        <v>0.01</v>
      </c>
    </row>
    <row r="11275" spans="1:6" x14ac:dyDescent="0.3">
      <c r="A11275" t="str">
        <f>HYPERLINK("https://us2.cloudbeds.com/connect/10074733072513#/reservations/31724298633367?display=MXCHBUGF9&amp;reservation_id=31724298633367", "MXCHBUGF9")</f>
        <v>MXCHBUGF9</v>
      </c>
      <c r="B11275" t="s">
        <v>1707</v>
      </c>
      <c r="C11275">
        <v>129</v>
      </c>
      <c r="D11275">
        <v>140.22999999999999</v>
      </c>
      <c r="E11275">
        <v>140.22</v>
      </c>
      <c r="F11275">
        <v>0.01</v>
      </c>
    </row>
    <row r="11276" spans="1:6" x14ac:dyDescent="0.3">
      <c r="A11276" t="str">
        <f>HYPERLINK("https://us2.cloudbeds.com/connect/10074733072513#/reservations/31727140950176?display=MXENWY52M&amp;reservation_id=31727140950176", "MXENWY52M")</f>
        <v>MXENWY52M</v>
      </c>
      <c r="B11276" t="s">
        <v>1652</v>
      </c>
      <c r="C11276">
        <v>129</v>
      </c>
      <c r="D11276">
        <v>140.22999999999999</v>
      </c>
      <c r="E11276">
        <v>140.22</v>
      </c>
      <c r="F11276">
        <v>0.01</v>
      </c>
    </row>
    <row r="11277" spans="1:6" x14ac:dyDescent="0.3">
      <c r="A11277" t="str">
        <f>HYPERLINK("https://us2.cloudbeds.com/connect/10074733072513#/reservations/31725389177042?display=MXDC7GFWA&amp;reservation_id=31725389177042", "MXDC7GFWA")</f>
        <v>MXDC7GFWA</v>
      </c>
      <c r="B11277" t="s">
        <v>1680</v>
      </c>
      <c r="C11277">
        <v>179</v>
      </c>
      <c r="D11277">
        <v>194.58</v>
      </c>
      <c r="E11277">
        <v>194.57</v>
      </c>
      <c r="F11277">
        <v>0.01</v>
      </c>
    </row>
    <row r="11278" spans="1:6" x14ac:dyDescent="0.3">
      <c r="A11278" t="str">
        <f>HYPERLINK("https://us2.cloudbeds.com/connect/10074733072513#/reservations/31726559477939?display=MXE94ARES&amp;reservation_id=31726559477939", "MXE94ARES")</f>
        <v>MXE94ARES</v>
      </c>
      <c r="B11278" t="s">
        <v>1593</v>
      </c>
      <c r="C11278">
        <v>209</v>
      </c>
      <c r="D11278">
        <v>227.19</v>
      </c>
      <c r="E11278">
        <v>227.18</v>
      </c>
      <c r="F11278">
        <v>0.01</v>
      </c>
    </row>
    <row r="11279" spans="1:6" x14ac:dyDescent="0.3">
      <c r="A11279" t="str">
        <f>HYPERLINK("https://us2.cloudbeds.com/connect/10074733072513#/reservations/31730401460459?display=MXH89WYZJ&amp;reservation_id=31730401460459", "MXH89WYZJ")</f>
        <v>MXH89WYZJ</v>
      </c>
      <c r="B11279" t="s">
        <v>1691</v>
      </c>
      <c r="C11279">
        <v>238</v>
      </c>
      <c r="D11279">
        <v>258.72000000000003</v>
      </c>
      <c r="E11279">
        <v>258.70999999999998</v>
      </c>
      <c r="F11279">
        <v>0.01</v>
      </c>
    </row>
    <row r="11280" spans="1:6" x14ac:dyDescent="0.3">
      <c r="A11280" t="str">
        <f>HYPERLINK("https://us2.cloudbeds.com/connect/10074733072513#/reservations/31727205228775?display=MXEPKRQE0&amp;reservation_id=31727205228775", "MXEPKRQE0")</f>
        <v>MXEPKRQE0</v>
      </c>
      <c r="B11280" t="s">
        <v>1652</v>
      </c>
      <c r="C11280">
        <v>527</v>
      </c>
      <c r="D11280">
        <v>572.86</v>
      </c>
      <c r="E11280">
        <v>572.85</v>
      </c>
      <c r="F11280">
        <v>0.01</v>
      </c>
    </row>
    <row r="11281" spans="1:6" x14ac:dyDescent="0.3">
      <c r="A11281" t="str">
        <f>HYPERLINK("https://us2.cloudbeds.com/connect/10074733072513#/reservations/31723211903144?display=MXBMJXKZD&amp;reservation_id=31723211903144", "MXBMJXKZD")</f>
        <v>MXBMJXKZD</v>
      </c>
      <c r="B11281" t="s">
        <v>1708</v>
      </c>
      <c r="C11281">
        <v>119</v>
      </c>
      <c r="D11281">
        <v>129.36000000000001</v>
      </c>
      <c r="E11281">
        <v>129.35</v>
      </c>
      <c r="F11281">
        <v>0.01</v>
      </c>
    </row>
    <row r="11282" spans="1:6" x14ac:dyDescent="0.3">
      <c r="A11282" t="str">
        <f>HYPERLINK("https://us2.cloudbeds.com/connect/10074733072513#/reservations/31727153709252?display=MXEZAD6DB&amp;reservation_id=31727153709252", "MXEZAD6DB")</f>
        <v>MXEZAD6DB</v>
      </c>
      <c r="B11282" t="s">
        <v>1652</v>
      </c>
      <c r="C11282">
        <v>258</v>
      </c>
      <c r="D11282">
        <v>280.45999999999998</v>
      </c>
      <c r="E11282">
        <v>280.45</v>
      </c>
      <c r="F11282">
        <v>0.01</v>
      </c>
    </row>
    <row r="11283" spans="1:6" x14ac:dyDescent="0.3">
      <c r="A11283" t="str">
        <f>HYPERLINK("https://us2.cloudbeds.com/connect/10074733072513#/reservations/31728129720540?display=MXFG8D4RW&amp;reservation_id=31728129720540", "MXFG8D4RW")</f>
        <v>MXFG8D4RW</v>
      </c>
      <c r="B11283" t="s">
        <v>1637</v>
      </c>
      <c r="C11283">
        <v>298</v>
      </c>
      <c r="D11283">
        <v>323.94</v>
      </c>
      <c r="E11283">
        <v>323.93</v>
      </c>
      <c r="F11283">
        <v>0.01</v>
      </c>
    </row>
    <row r="11284" spans="1:6" x14ac:dyDescent="0.3">
      <c r="A11284" t="str">
        <f>HYPERLINK("https://us2.cloudbeds.com/connect/10074733072513#/reservations/31725571403974?display=MXDGT575X&amp;reservation_id=31725571403974", "MXDGT575X")</f>
        <v>MXDGT575X</v>
      </c>
      <c r="B11284" t="s">
        <v>1705</v>
      </c>
      <c r="C11284">
        <v>278</v>
      </c>
      <c r="D11284">
        <v>302.2</v>
      </c>
      <c r="E11284">
        <v>302.19</v>
      </c>
      <c r="F11284">
        <v>0.01</v>
      </c>
    </row>
    <row r="11285" spans="1:6" x14ac:dyDescent="0.3">
      <c r="A11285" t="str">
        <f>HYPERLINK("https://us2.cloudbeds.com/connect/10074733072513#/reservations/31730640421077?display=MXHEDG2WE&amp;reservation_id=31730640421077", "MXHEDG2WE")</f>
        <v>MXHEDG2WE</v>
      </c>
      <c r="B11285" t="s">
        <v>1688</v>
      </c>
      <c r="C11285">
        <v>428.4</v>
      </c>
      <c r="D11285">
        <v>465.68</v>
      </c>
      <c r="E11285">
        <v>465.67</v>
      </c>
      <c r="F11285">
        <v>0.01</v>
      </c>
    </row>
    <row r="11286" spans="1:6" x14ac:dyDescent="0.3">
      <c r="A11286" t="str">
        <f>HYPERLINK("https://us2.cloudbeds.com/connect/10074733072513#/reservations/31728150769882?display=MXFGQ4STR&amp;reservation_id=31728150769882", "MXFGQ4STR")</f>
        <v>MXFGQ4STR</v>
      </c>
      <c r="B11286" t="s">
        <v>1709</v>
      </c>
      <c r="C11286">
        <v>87.82</v>
      </c>
      <c r="D11286">
        <v>95.47</v>
      </c>
      <c r="E11286">
        <v>95.46</v>
      </c>
      <c r="F11286">
        <v>0.01</v>
      </c>
    </row>
    <row r="11287" spans="1:6" x14ac:dyDescent="0.3">
      <c r="A11287" t="str">
        <f>HYPERLINK("https://us2.cloudbeds.com/connect/10074733072513#/reservations/31724097970307?display=MXCC7NZSG&amp;reservation_id=31724097970307", "MXCC7NZSG")</f>
        <v>MXCC7NZSG</v>
      </c>
      <c r="B11287" t="s">
        <v>1637</v>
      </c>
      <c r="C11287">
        <v>129</v>
      </c>
      <c r="D11287">
        <v>140.22999999999999</v>
      </c>
      <c r="E11287">
        <v>140.22</v>
      </c>
      <c r="F11287">
        <v>0.01</v>
      </c>
    </row>
    <row r="11288" spans="1:6" x14ac:dyDescent="0.3">
      <c r="A11288" t="str">
        <f>HYPERLINK("https://us2.cloudbeds.com/connect/10074733072513#/reservations/31726405427338?display=MXE56E4RR&amp;reservation_id=31726405427338", "MXE56E4RR")</f>
        <v>MXE56E4RR</v>
      </c>
      <c r="B11288" t="s">
        <v>1560</v>
      </c>
      <c r="C11288">
        <v>199</v>
      </c>
      <c r="D11288">
        <v>216.32</v>
      </c>
      <c r="E11288">
        <v>216.31</v>
      </c>
      <c r="F11288">
        <v>0.01</v>
      </c>
    </row>
    <row r="11289" spans="1:6" x14ac:dyDescent="0.3">
      <c r="A11289" t="str">
        <f>HYPERLINK("https://us2.cloudbeds.com/connect/10074733072513#/reservations/31727352000735?display=MXETCJV85&amp;reservation_id=31727352000735", "MXETCJV85")</f>
        <v>MXETCJV85</v>
      </c>
      <c r="B11289" t="s">
        <v>1681</v>
      </c>
      <c r="C11289">
        <v>87.82</v>
      </c>
      <c r="D11289">
        <v>95.47</v>
      </c>
      <c r="E11289">
        <v>95.46</v>
      </c>
      <c r="F11289">
        <v>0.01</v>
      </c>
    </row>
    <row r="11290" spans="1:6" x14ac:dyDescent="0.3">
      <c r="A11290" t="str">
        <f>HYPERLINK("https://us2.cloudbeds.com/connect/10074733072513#/reservations/31729053819086?display=MXG6SKX67&amp;reservation_id=31729053819086", "MXG6SKX67")</f>
        <v>MXG6SKX67</v>
      </c>
      <c r="B11290" t="s">
        <v>1700</v>
      </c>
      <c r="C11290">
        <v>321.3</v>
      </c>
      <c r="D11290">
        <v>349.26</v>
      </c>
      <c r="E11290">
        <v>349.25</v>
      </c>
      <c r="F11290">
        <v>0.01</v>
      </c>
    </row>
    <row r="11291" spans="1:6" x14ac:dyDescent="0.3">
      <c r="A11291" t="str">
        <f>HYPERLINK("https://us2.cloudbeds.com/connect/10074733072513#/reservations/31726542319746?display=MXE8MSCHK&amp;reservation_id=31726542319746", "MXE8MSCHK")</f>
        <v>MXE8MSCHK</v>
      </c>
      <c r="B11291" t="s">
        <v>1637</v>
      </c>
      <c r="C11291">
        <v>129</v>
      </c>
      <c r="D11291">
        <v>140.22999999999999</v>
      </c>
      <c r="E11291">
        <v>140.22</v>
      </c>
      <c r="F11291">
        <v>0.01</v>
      </c>
    </row>
    <row r="11292" spans="1:6" x14ac:dyDescent="0.3">
      <c r="A11292" t="str">
        <f>HYPERLINK("https://us2.cloudbeds.com/connect/10074733072513#/reservations/31729190224033?display=MXGABY78F&amp;reservation_id=31729190224033", "MXGABY78F")</f>
        <v>MXGABY78F</v>
      </c>
      <c r="B11292" t="s">
        <v>1685</v>
      </c>
      <c r="C11292">
        <v>89</v>
      </c>
      <c r="D11292">
        <v>96.75</v>
      </c>
      <c r="E11292">
        <v>96.74</v>
      </c>
      <c r="F11292">
        <v>0.01</v>
      </c>
    </row>
    <row r="11293" spans="1:6" x14ac:dyDescent="0.3">
      <c r="A11293" t="str">
        <f>HYPERLINK("https://us2.cloudbeds.com/connect/10074733072513#/reservations/31725389172947?display=MXDC7GC77&amp;reservation_id=31725389172947", "MXDC7GC77")</f>
        <v>MXDC7GC77</v>
      </c>
      <c r="B11293" t="s">
        <v>1609</v>
      </c>
      <c r="C11293">
        <v>258</v>
      </c>
      <c r="D11293">
        <v>280.45999999999998</v>
      </c>
      <c r="E11293">
        <v>280.45</v>
      </c>
      <c r="F11293">
        <v>0.01</v>
      </c>
    </row>
    <row r="11294" spans="1:6" x14ac:dyDescent="0.3">
      <c r="A11294" t="str">
        <f>HYPERLINK("https://us2.cloudbeds.com/connect/10074733072513#/reservations/31728868036781?display=MXG23VT6D&amp;reservation_id=31728868036781", "MXG23VT6D")</f>
        <v>MXG23VT6D</v>
      </c>
      <c r="B11294" t="s">
        <v>1667</v>
      </c>
      <c r="C11294">
        <v>420</v>
      </c>
      <c r="D11294">
        <v>456.55</v>
      </c>
      <c r="E11294">
        <v>456.54</v>
      </c>
      <c r="F11294">
        <v>0.01</v>
      </c>
    </row>
    <row r="11295" spans="1:6" x14ac:dyDescent="0.3">
      <c r="A11295" t="str">
        <f>HYPERLINK("https://us2.cloudbeds.com/connect/10074733072513#/reservations/31729335849180?display=MXGE2EEWN&amp;reservation_id=31729335849180", "MXGE2EEWN")</f>
        <v>MXGE2EEWN</v>
      </c>
      <c r="B11295" t="s">
        <v>1710</v>
      </c>
      <c r="C11295">
        <v>336</v>
      </c>
      <c r="D11295">
        <v>365.24</v>
      </c>
      <c r="E11295">
        <v>365.23</v>
      </c>
      <c r="F11295">
        <v>0.01</v>
      </c>
    </row>
    <row r="11296" spans="1:6" x14ac:dyDescent="0.3">
      <c r="A11296" t="str">
        <f>HYPERLINK("https://us2.cloudbeds.com/connect/10074733072513#/reservations/31723223863550?display=MXBMTYEYV&amp;reservation_id=31723223863550", "MXBMTYEYV")</f>
        <v>MXBMTYEYV</v>
      </c>
      <c r="B11296" t="s">
        <v>1708</v>
      </c>
      <c r="C11296">
        <v>87.82</v>
      </c>
      <c r="D11296">
        <v>95.47</v>
      </c>
      <c r="E11296">
        <v>95.46</v>
      </c>
      <c r="F11296">
        <v>0.01</v>
      </c>
    </row>
    <row r="11297" spans="1:6" x14ac:dyDescent="0.3">
      <c r="A11297" t="str">
        <f>HYPERLINK("https://us2.cloudbeds.com/connect/10074733072513#/reservations/31729166655710?display=MXG9ZPD2S&amp;reservation_id=31729166655710", "MXG9ZPD2S")</f>
        <v>MXG9ZPD2S</v>
      </c>
      <c r="B11297" t="s">
        <v>1685</v>
      </c>
      <c r="C11297">
        <v>238</v>
      </c>
      <c r="D11297">
        <v>258.72000000000003</v>
      </c>
      <c r="E11297">
        <v>258.70999999999998</v>
      </c>
      <c r="F11297">
        <v>0.01</v>
      </c>
    </row>
    <row r="11298" spans="1:6" x14ac:dyDescent="0.3">
      <c r="A11298" t="str">
        <f>HYPERLINK("https://us2.cloudbeds.com/connect/10074733072513#/reservations/31714444279938?display=MX4TXFJDN&amp;reservation_id=31714444279938", "MX4TXFJDN")</f>
        <v>MX4TXFJDN</v>
      </c>
      <c r="B11298" t="s">
        <v>1711</v>
      </c>
      <c r="C11298">
        <v>438</v>
      </c>
      <c r="D11298">
        <v>476.12</v>
      </c>
      <c r="E11298">
        <v>476.11</v>
      </c>
      <c r="F11298">
        <v>0.01</v>
      </c>
    </row>
    <row r="11299" spans="1:6" x14ac:dyDescent="0.3">
      <c r="A11299" t="str">
        <f>HYPERLINK("https://us2.cloudbeds.com/connect/10074733072513#/reservations/31723267748035?display=MXBZ0YJKR&amp;reservation_id=31723267748035", "MXBZ0YJKR")</f>
        <v>MXBZ0YJKR</v>
      </c>
      <c r="B11299" t="s">
        <v>1708</v>
      </c>
      <c r="C11299">
        <v>87.82</v>
      </c>
      <c r="D11299">
        <v>95.47</v>
      </c>
      <c r="E11299">
        <v>95.46</v>
      </c>
      <c r="F11299">
        <v>0.01</v>
      </c>
    </row>
    <row r="11300" spans="1:6" x14ac:dyDescent="0.3">
      <c r="A11300" t="str">
        <f>HYPERLINK("https://us2.cloudbeds.com/connect/10074733072513#/reservations/31726549024983?display=MXE8SGVPK&amp;reservation_id=31726549024983", "MXE8SGVPK")</f>
        <v>MXE8SGVPK</v>
      </c>
      <c r="B11300" t="s">
        <v>1637</v>
      </c>
      <c r="C11300">
        <v>139</v>
      </c>
      <c r="D11300">
        <v>151.1</v>
      </c>
      <c r="E11300">
        <v>151.09</v>
      </c>
      <c r="F11300">
        <v>0.01</v>
      </c>
    </row>
    <row r="11301" spans="1:6" x14ac:dyDescent="0.3">
      <c r="A11301" t="str">
        <f>HYPERLINK("https://us2.cloudbeds.com/connect/10074733072513#/reservations/31723194990829?display=MXBM5A0K0&amp;reservation_id=31723194990829", "MXBM5A0K0")</f>
        <v>MXBM5A0K0</v>
      </c>
      <c r="B11301" t="s">
        <v>1708</v>
      </c>
      <c r="C11301">
        <v>119</v>
      </c>
      <c r="D11301">
        <v>129.36000000000001</v>
      </c>
      <c r="E11301">
        <v>129.35</v>
      </c>
      <c r="F11301">
        <v>0.01</v>
      </c>
    </row>
    <row r="11302" spans="1:6" x14ac:dyDescent="0.3">
      <c r="A11302" t="str">
        <f>HYPERLINK("https://us2.cloudbeds.com/connect/10074733072513#/reservations/31723267752131?display=MXBZ0YNCV&amp;reservation_id=31723267752131", "MXBZ0YNCV")</f>
        <v>MXBZ0YNCV</v>
      </c>
      <c r="B11302" t="s">
        <v>1708</v>
      </c>
      <c r="C11302">
        <v>149</v>
      </c>
      <c r="D11302">
        <v>161.97</v>
      </c>
      <c r="E11302">
        <v>161.96</v>
      </c>
      <c r="F11302">
        <v>0.01</v>
      </c>
    </row>
    <row r="11303" spans="1:6" x14ac:dyDescent="0.3">
      <c r="A11303" t="str">
        <f>HYPERLINK("https://us2.cloudbeds.com/connect/10074733072513#/reservations/31723175723203?display=MXBYM1SYX&amp;reservation_id=31723175723203", "MXBYM1SYX")</f>
        <v>MXBYM1SYX</v>
      </c>
      <c r="B11303" t="s">
        <v>1685</v>
      </c>
      <c r="C11303">
        <v>87.82</v>
      </c>
      <c r="D11303">
        <v>95.47</v>
      </c>
      <c r="E11303">
        <v>95.46</v>
      </c>
      <c r="F11303">
        <v>0.01</v>
      </c>
    </row>
    <row r="11304" spans="1:6" x14ac:dyDescent="0.3">
      <c r="A11304" t="str">
        <f>HYPERLINK("https://us2.cloudbeds.com/connect/10074733072513#/reservations/31724055044324?display=MXCB4H924&amp;reservation_id=31724055044324", "MXCB4H924")</f>
        <v>MXCB4H924</v>
      </c>
      <c r="B11304" t="s">
        <v>1685</v>
      </c>
      <c r="C11304">
        <v>119</v>
      </c>
      <c r="D11304">
        <v>129.36000000000001</v>
      </c>
      <c r="E11304">
        <v>129.35</v>
      </c>
      <c r="F11304">
        <v>0.01</v>
      </c>
    </row>
    <row r="11305" spans="1:6" x14ac:dyDescent="0.3">
      <c r="A11305" t="str">
        <f>HYPERLINK("https://us2.cloudbeds.com/connect/10074733072513#/reservations/31729098379405?display=MXG806GZU&amp;reservation_id=31729098379405", "MXG806GZU")</f>
        <v>MXG806GZU</v>
      </c>
      <c r="B11305" t="s">
        <v>1700</v>
      </c>
      <c r="C11305">
        <v>258</v>
      </c>
      <c r="D11305">
        <v>280.45999999999998</v>
      </c>
      <c r="E11305">
        <v>280.45</v>
      </c>
      <c r="F11305">
        <v>0.01</v>
      </c>
    </row>
    <row r="11306" spans="1:6" x14ac:dyDescent="0.3">
      <c r="A11306" t="str">
        <f>HYPERLINK("https://us2.cloudbeds.com/connect/10074733072513#/reservations/31724044701835?display=MXCASQFRC&amp;reservation_id=31724044701835", "MXCASQFRC")</f>
        <v>MXCASQFRC</v>
      </c>
      <c r="B11306" t="s">
        <v>1708</v>
      </c>
      <c r="C11306">
        <v>159</v>
      </c>
      <c r="D11306">
        <v>172.84</v>
      </c>
      <c r="E11306">
        <v>172.83</v>
      </c>
      <c r="F11306">
        <v>0.01</v>
      </c>
    </row>
    <row r="11307" spans="1:6" x14ac:dyDescent="0.3">
      <c r="A11307" t="str">
        <f>HYPERLINK("https://us2.cloudbeds.com/connect/10074733072513#/reservations/31728356905190?display=MXFM1VTHA&amp;reservation_id=31728356905190", "MXFM1VTHA")</f>
        <v>MXFM1VTHA</v>
      </c>
      <c r="B11307" t="s">
        <v>1685</v>
      </c>
      <c r="C11307">
        <v>119</v>
      </c>
      <c r="D11307">
        <v>129.36000000000001</v>
      </c>
      <c r="E11307">
        <v>129.35</v>
      </c>
      <c r="F11307">
        <v>0.01</v>
      </c>
    </row>
    <row r="11308" spans="1:6" x14ac:dyDescent="0.3">
      <c r="A11308" t="str">
        <f>HYPERLINK("https://us2.cloudbeds.com/connect/10074733072513#/reservations/31728370524366?display=MXFMDESYK&amp;reservation_id=31728370524366", "MXFMDESYK")</f>
        <v>MXFMDESYK</v>
      </c>
      <c r="B11308" t="s">
        <v>1685</v>
      </c>
      <c r="C11308">
        <v>129</v>
      </c>
      <c r="D11308">
        <v>140.22999999999999</v>
      </c>
      <c r="E11308">
        <v>140.22</v>
      </c>
      <c r="F11308">
        <v>0.01</v>
      </c>
    </row>
    <row r="11309" spans="1:6" x14ac:dyDescent="0.3">
      <c r="A11309" t="str">
        <f>HYPERLINK("https://us2.cloudbeds.com/connect/10074733072513#/reservations/31724868067501?display=MXCVU2RR3&amp;reservation_id=31724868067501", "MXCVU2RR3")</f>
        <v>MXCVU2RR3</v>
      </c>
      <c r="B11309" t="s">
        <v>1705</v>
      </c>
      <c r="C11309">
        <v>467</v>
      </c>
      <c r="D11309">
        <v>507.64</v>
      </c>
      <c r="E11309">
        <v>507.63</v>
      </c>
      <c r="F11309">
        <v>0.01</v>
      </c>
    </row>
    <row r="11310" spans="1:6" x14ac:dyDescent="0.3">
      <c r="A11310" t="str">
        <f>HYPERLINK("https://us2.cloudbeds.com/connect/10074733072513#/reservations/31729450336470?display=MXGGWW7YH&amp;reservation_id=31729450336470", "MXGGWW7YH")</f>
        <v>MXGGWW7YH</v>
      </c>
      <c r="B11310" t="s">
        <v>1700</v>
      </c>
      <c r="C11310">
        <v>102.58</v>
      </c>
      <c r="D11310">
        <v>111.51</v>
      </c>
      <c r="E11310">
        <v>111.5</v>
      </c>
      <c r="F11310">
        <v>0.01</v>
      </c>
    </row>
    <row r="11311" spans="1:6" x14ac:dyDescent="0.3">
      <c r="A11311" t="str">
        <f>HYPERLINK("https://us2.cloudbeds.com/connect/10074733072513#/reservations/31729470992582?display=MXGHHD0KA&amp;reservation_id=31729470992582", "MXGHHD0KA")</f>
        <v>MXGHHD0KA</v>
      </c>
      <c r="B11311" t="s">
        <v>1700</v>
      </c>
      <c r="C11311">
        <v>89</v>
      </c>
      <c r="D11311">
        <v>96.75</v>
      </c>
      <c r="E11311">
        <v>96.74</v>
      </c>
      <c r="F11311">
        <v>0.01</v>
      </c>
    </row>
    <row r="11312" spans="1:6" x14ac:dyDescent="0.3">
      <c r="A11312" t="str">
        <f>HYPERLINK("https://us2.cloudbeds.com/connect/10074733072513#/reservations/31725601517726?display=MXDHYX5RG&amp;reservation_id=31725601517726", "MXDHYX5RG")</f>
        <v>MXDHYX5RG</v>
      </c>
      <c r="B11312" t="s">
        <v>1705</v>
      </c>
      <c r="C11312">
        <v>87.82</v>
      </c>
      <c r="D11312">
        <v>95.47</v>
      </c>
      <c r="E11312">
        <v>95.46</v>
      </c>
      <c r="F11312">
        <v>0.01</v>
      </c>
    </row>
    <row r="11313" spans="1:6" x14ac:dyDescent="0.3">
      <c r="A11313" t="str">
        <f>HYPERLINK("https://us2.cloudbeds.com/connect/10074733072513#/reservations/31728319504562?display=MXFY3E5GV&amp;reservation_id=31728319504562", "MXFY3E5GV")</f>
        <v>MXFY3E5GV</v>
      </c>
      <c r="B11313" t="s">
        <v>1685</v>
      </c>
      <c r="C11313">
        <v>119</v>
      </c>
      <c r="D11313">
        <v>129.36000000000001</v>
      </c>
      <c r="E11313">
        <v>129.35</v>
      </c>
      <c r="F11313">
        <v>0.01</v>
      </c>
    </row>
    <row r="11314" spans="1:6" x14ac:dyDescent="0.3">
      <c r="A11314" t="str">
        <f>HYPERLINK("https://us2.cloudbeds.com/connect/10074733072513#/reservations/31728334516448?display=MXFYG2THJ&amp;reservation_id=31728334516448", "MXFYG2THJ")</f>
        <v>MXFYG2THJ</v>
      </c>
      <c r="B11314" t="s">
        <v>1685</v>
      </c>
      <c r="C11314">
        <v>119</v>
      </c>
      <c r="D11314">
        <v>129.36000000000001</v>
      </c>
      <c r="E11314">
        <v>129.35</v>
      </c>
      <c r="F11314">
        <v>0.01</v>
      </c>
    </row>
    <row r="11315" spans="1:6" x14ac:dyDescent="0.3">
      <c r="A11315" t="str">
        <f>HYPERLINK("https://us2.cloudbeds.com/connect/10074733072513#/reservations/31729480401039?display=MXGHPAR52&amp;reservation_id=31729480401039", "MXGHPAR52")</f>
        <v>MXGHPAR52</v>
      </c>
      <c r="B11315" t="s">
        <v>1700</v>
      </c>
      <c r="C11315">
        <v>129</v>
      </c>
      <c r="D11315">
        <v>140.22999999999999</v>
      </c>
      <c r="E11315">
        <v>140.22</v>
      </c>
      <c r="F11315">
        <v>0.01</v>
      </c>
    </row>
    <row r="11316" spans="1:6" x14ac:dyDescent="0.3">
      <c r="A11316" t="str">
        <f>HYPERLINK("https://us2.cloudbeds.com/connect/10074733072513#/reservations/31729490891002?display=MXGX15NQZ&amp;reservation_id=31729490891002", "MXGX15NQZ")</f>
        <v>MXGX15NQZ</v>
      </c>
      <c r="B11316" t="s">
        <v>1700</v>
      </c>
      <c r="C11316">
        <v>149</v>
      </c>
      <c r="D11316">
        <v>161.97</v>
      </c>
      <c r="E11316">
        <v>161.96</v>
      </c>
      <c r="F11316">
        <v>0.01</v>
      </c>
    </row>
    <row r="11317" spans="1:6" x14ac:dyDescent="0.3">
      <c r="A11317" t="str">
        <f>HYPERLINK("https://us2.cloudbeds.com/connect/10074733072513#/reservations/31729111605473?display=MXG8BBHTS&amp;reservation_id=31729111605473", "MXG8BBHTS")</f>
        <v>MXG8BBHTS</v>
      </c>
      <c r="B11317" t="s">
        <v>1685</v>
      </c>
      <c r="C11317">
        <v>119</v>
      </c>
      <c r="D11317">
        <v>129.36000000000001</v>
      </c>
      <c r="E11317">
        <v>129.35</v>
      </c>
      <c r="F11317">
        <v>0.01</v>
      </c>
    </row>
    <row r="11318" spans="1:6" x14ac:dyDescent="0.3">
      <c r="A11318" t="str">
        <f>HYPERLINK("https://us2.cloudbeds.com/connect/10074733072513#/reservations/31724583481557?display=MXCZY3R1K&amp;reservation_id=31724583481557", "MXCZY3R1K")</f>
        <v>MXCZY3R1K</v>
      </c>
      <c r="B11318" t="s">
        <v>1691</v>
      </c>
      <c r="C11318">
        <v>87.82</v>
      </c>
      <c r="D11318">
        <v>95.47</v>
      </c>
      <c r="E11318">
        <v>95.46</v>
      </c>
      <c r="F11318">
        <v>0.01</v>
      </c>
    </row>
    <row r="11319" spans="1:6" x14ac:dyDescent="0.3">
      <c r="A11319" t="str">
        <f>HYPERLINK("https://us2.cloudbeds.com/connect/10074733072513#/reservations/31723182063769?display=MXBYRDA0U&amp;reservation_id=31723182063769", "MXBYRDA0U")</f>
        <v>MXBYRDA0U</v>
      </c>
      <c r="B11319" t="s">
        <v>1685</v>
      </c>
      <c r="C11319">
        <v>87.82</v>
      </c>
      <c r="D11319">
        <v>95.47</v>
      </c>
      <c r="E11319">
        <v>95.46</v>
      </c>
      <c r="F11319">
        <v>0.01</v>
      </c>
    </row>
    <row r="11320" spans="1:6" x14ac:dyDescent="0.3">
      <c r="A11320" t="str">
        <f>HYPERLINK("https://us2.cloudbeds.com/connect/10074733072513#/reservations/31732388499682?display=MXXQ2GVGC&amp;reservation_id=31732388499682", "MXXQ2GVGC")</f>
        <v>MXXQ2GVGC</v>
      </c>
      <c r="B11320" t="s">
        <v>1700</v>
      </c>
      <c r="C11320">
        <v>99</v>
      </c>
      <c r="D11320">
        <v>107.62</v>
      </c>
      <c r="E11320">
        <v>107.61</v>
      </c>
      <c r="F11320">
        <v>0.01</v>
      </c>
    </row>
    <row r="11321" spans="1:6" x14ac:dyDescent="0.3">
      <c r="A11321" t="str">
        <f>HYPERLINK("https://us2.cloudbeds.com/connect/10074733072513#/reservations/31726256828598?display=MXE1D45HN&amp;reservation_id=31726256828598", "MXE1D45HN")</f>
        <v>MXE1D45HN</v>
      </c>
      <c r="B11321" t="s">
        <v>1560</v>
      </c>
      <c r="C11321">
        <v>318</v>
      </c>
      <c r="D11321">
        <v>345.68</v>
      </c>
      <c r="E11321">
        <v>345.67</v>
      </c>
      <c r="F11321">
        <v>0.01</v>
      </c>
    </row>
    <row r="11322" spans="1:6" x14ac:dyDescent="0.3">
      <c r="A11322" t="str">
        <f>HYPERLINK("https://us2.cloudbeds.com/connect/10074733072513#/reservations/31732325171353?display=MXXZF3ZP3&amp;reservation_id=31732325171353", "MXXZF3ZP3")</f>
        <v>MXXZF3ZP3</v>
      </c>
      <c r="B11322" t="s">
        <v>1688</v>
      </c>
      <c r="C11322">
        <v>129</v>
      </c>
      <c r="D11322">
        <v>140.22999999999999</v>
      </c>
      <c r="E11322">
        <v>140.22</v>
      </c>
      <c r="F11322">
        <v>0.01</v>
      </c>
    </row>
    <row r="11323" spans="1:6" x14ac:dyDescent="0.3">
      <c r="A11323" t="str">
        <f>HYPERLINK("https://us2.cloudbeds.com/connect/10074733072513#/reservations/31729845559533?display=MXGR37TXW&amp;reservation_id=31729845559533", "MXGR37TXW")</f>
        <v>MXGR37TXW</v>
      </c>
      <c r="B11323" t="s">
        <v>1667</v>
      </c>
      <c r="C11323">
        <v>179</v>
      </c>
      <c r="D11323">
        <v>194.58</v>
      </c>
      <c r="E11323">
        <v>194.57</v>
      </c>
      <c r="F11323">
        <v>0.01</v>
      </c>
    </row>
    <row r="11324" spans="1:6" x14ac:dyDescent="0.3">
      <c r="A11324" t="str">
        <f>HYPERLINK("https://us2.cloudbeds.com/connect/10074733072513#/reservations/31725895630986?display=MXDP5XA9H&amp;reservation_id=31725895630986", "MXDP5XA9H")</f>
        <v>MXDP5XA9H</v>
      </c>
      <c r="B11324" t="s">
        <v>1712</v>
      </c>
      <c r="C11324">
        <v>258</v>
      </c>
      <c r="D11324">
        <v>280.45999999999998</v>
      </c>
      <c r="E11324">
        <v>280.45</v>
      </c>
      <c r="F11324">
        <v>0.01</v>
      </c>
    </row>
    <row r="11325" spans="1:6" x14ac:dyDescent="0.3">
      <c r="A11325" t="str">
        <f>HYPERLINK("https://us2.cloudbeds.com/connect/10074733072513#/reservations/31725895626886?display=MXDP5X6H9&amp;reservation_id=31725895626886", "MXDP5X6H9")</f>
        <v>MXDP5X6H9</v>
      </c>
      <c r="B11325" t="s">
        <v>1712</v>
      </c>
      <c r="C11325">
        <v>258</v>
      </c>
      <c r="D11325">
        <v>280.45999999999998</v>
      </c>
      <c r="E11325">
        <v>280.45</v>
      </c>
      <c r="F11325">
        <v>0.01</v>
      </c>
    </row>
    <row r="11326" spans="1:6" x14ac:dyDescent="0.3">
      <c r="A11326" t="str">
        <f>HYPERLINK("https://us2.cloudbeds.com/connect/10074733072513#/reservations/31725873610995?display=MXDZJWXU2&amp;reservation_id=31725873610995", "MXDZJWXU2")</f>
        <v>MXDZJWXU2</v>
      </c>
      <c r="B11326" t="s">
        <v>1712</v>
      </c>
      <c r="C11326">
        <v>278</v>
      </c>
      <c r="D11326">
        <v>302.2</v>
      </c>
      <c r="E11326">
        <v>302.19</v>
      </c>
      <c r="F11326">
        <v>0.01</v>
      </c>
    </row>
    <row r="11327" spans="1:6" x14ac:dyDescent="0.3">
      <c r="A11327" t="str">
        <f>HYPERLINK("https://us2.cloudbeds.com/connect/10074733072513#/reservations/31725852418210?display=MXDZ23S4F&amp;reservation_id=31725852418210", "MXDZ23S4F")</f>
        <v>MXDZ23S4F</v>
      </c>
      <c r="B11327" t="s">
        <v>1712</v>
      </c>
      <c r="C11327">
        <v>278</v>
      </c>
      <c r="D11327">
        <v>302.2</v>
      </c>
      <c r="E11327">
        <v>302.19</v>
      </c>
      <c r="F11327">
        <v>0.01</v>
      </c>
    </row>
    <row r="11328" spans="1:6" x14ac:dyDescent="0.3">
      <c r="A11328" t="str">
        <f>HYPERLINK("https://us2.cloudbeds.com/connect/10074733072513#/reservations/31724779483356?display=MXCTYCSB2&amp;reservation_id=31724779483356", "MXCTYCSB2")</f>
        <v>MXCTYCSB2</v>
      </c>
      <c r="B11328" t="s">
        <v>1712</v>
      </c>
      <c r="C11328">
        <v>278</v>
      </c>
      <c r="D11328">
        <v>302.2</v>
      </c>
      <c r="E11328">
        <v>302.19</v>
      </c>
      <c r="F11328">
        <v>0.01</v>
      </c>
    </row>
    <row r="11329" spans="1:6" x14ac:dyDescent="0.3">
      <c r="A11329" t="str">
        <f>HYPERLINK("https://us2.cloudbeds.com/connect/10074733072513#/reservations/31729547948274?display=MXGJG9DWW&amp;reservation_id=31729547948274", "MXGJG9DWW")</f>
        <v>MXGJG9DWW</v>
      </c>
      <c r="B11329" t="s">
        <v>1700</v>
      </c>
      <c r="C11329">
        <v>169</v>
      </c>
      <c r="D11329">
        <v>183.71</v>
      </c>
      <c r="E11329">
        <v>183.7</v>
      </c>
      <c r="F11329">
        <v>0.01</v>
      </c>
    </row>
    <row r="11330" spans="1:6" x14ac:dyDescent="0.3">
      <c r="A11330" t="str">
        <f>HYPERLINK("https://us2.cloudbeds.com/connect/10074733072513#/reservations/31729543487650?display=MXGJCH9UX&amp;reservation_id=31729543487650", "MXGJCH9UX")</f>
        <v>MXGJCH9UX</v>
      </c>
      <c r="B11330" t="s">
        <v>1700</v>
      </c>
      <c r="C11330">
        <v>169</v>
      </c>
      <c r="D11330">
        <v>183.71</v>
      </c>
      <c r="E11330">
        <v>183.7</v>
      </c>
      <c r="F11330">
        <v>0.01</v>
      </c>
    </row>
    <row r="11331" spans="1:6" x14ac:dyDescent="0.3">
      <c r="A11331" t="str">
        <f>HYPERLINK("https://us2.cloudbeds.com/connect/10074733072513#/reservations/31726546960518?display=MXE8QPH11&amp;reservation_id=31726546960518", "MXE8QPH11")</f>
        <v>MXE8QPH11</v>
      </c>
      <c r="B11331" t="s">
        <v>1640</v>
      </c>
      <c r="C11331">
        <v>278</v>
      </c>
      <c r="D11331">
        <v>302.2</v>
      </c>
      <c r="E11331">
        <v>302.19</v>
      </c>
      <c r="F11331">
        <v>0.01</v>
      </c>
    </row>
    <row r="11332" spans="1:6" x14ac:dyDescent="0.3">
      <c r="A11332" t="str">
        <f>HYPERLINK("https://us2.cloudbeds.com/connect/10074733072513#/reservations/31729076097223?display=MXG7EDFK9&amp;reservation_id=31729076097223", "MXG7EDFK9")</f>
        <v>MXG7EDFK9</v>
      </c>
      <c r="B11332" t="s">
        <v>1700</v>
      </c>
      <c r="C11332">
        <v>169</v>
      </c>
      <c r="D11332">
        <v>183.71</v>
      </c>
      <c r="E11332">
        <v>183.7</v>
      </c>
      <c r="F11332">
        <v>0.01</v>
      </c>
    </row>
    <row r="11333" spans="1:6" x14ac:dyDescent="0.3">
      <c r="A11333" t="str">
        <f>HYPERLINK("https://us2.cloudbeds.com/connect/10074733072513#/reservations/31732366684304?display=MXXPH3U0A&amp;reservation_id=31732366684304", "MXXPH3U0A")</f>
        <v>MXXPH3U0A</v>
      </c>
      <c r="B11333" t="s">
        <v>1688</v>
      </c>
      <c r="C11333">
        <v>129</v>
      </c>
      <c r="D11333">
        <v>140.22999999999999</v>
      </c>
      <c r="E11333">
        <v>140.22</v>
      </c>
      <c r="F11333">
        <v>0.01</v>
      </c>
    </row>
    <row r="11334" spans="1:6" x14ac:dyDescent="0.3">
      <c r="A11334" t="str">
        <f>HYPERLINK("https://us2.cloudbeds.com/connect/10074733072513#/reservations/31731386073297?display=MXX0F7VP8&amp;reservation_id=31731386073297", "MXX0F7VP8")</f>
        <v>MXX0F7VP8</v>
      </c>
      <c r="B11334" t="s">
        <v>1701</v>
      </c>
      <c r="C11334">
        <v>321.3</v>
      </c>
      <c r="D11334">
        <v>349.26</v>
      </c>
      <c r="E11334">
        <v>349.25</v>
      </c>
      <c r="F11334">
        <v>0.01</v>
      </c>
    </row>
    <row r="11335" spans="1:6" x14ac:dyDescent="0.3">
      <c r="A11335" t="str">
        <f>HYPERLINK("https://us2.cloudbeds.com/connect/10074733072513#/reservations/31731379806373?display=MXX09VJ0F&amp;reservation_id=31731379806373", "MXX09VJ0F")</f>
        <v>MXX09VJ0F</v>
      </c>
      <c r="B11335" t="s">
        <v>1701</v>
      </c>
      <c r="C11335">
        <v>321.3</v>
      </c>
      <c r="D11335">
        <v>349.26</v>
      </c>
      <c r="E11335">
        <v>349.25</v>
      </c>
      <c r="F11335">
        <v>0.01</v>
      </c>
    </row>
    <row r="11336" spans="1:6" x14ac:dyDescent="0.3">
      <c r="A11336" t="str">
        <f>HYPERLINK("https://us2.cloudbeds.com/connect/10074733072513#/reservations/31731357532336?display=MXHWZ5PBY&amp;reservation_id=31731357532336", "MXHWZ5PBY")</f>
        <v>MXHWZ5PBY</v>
      </c>
      <c r="B11336" t="s">
        <v>1701</v>
      </c>
      <c r="C11336">
        <v>321.3</v>
      </c>
      <c r="D11336">
        <v>349.26</v>
      </c>
      <c r="E11336">
        <v>349.25</v>
      </c>
      <c r="F11336">
        <v>0.01</v>
      </c>
    </row>
    <row r="11337" spans="1:6" x14ac:dyDescent="0.3">
      <c r="A11337" t="str">
        <f>HYPERLINK("https://us2.cloudbeds.com/connect/10074733072513#/reservations/31729328017582?display=MXGDSRHEX&amp;reservation_id=31729328017582", "MXGDSRHEX")</f>
        <v>MXGDSRHEX</v>
      </c>
      <c r="B11337" t="s">
        <v>1710</v>
      </c>
      <c r="C11337">
        <v>535.5</v>
      </c>
      <c r="D11337">
        <v>582.1</v>
      </c>
      <c r="E11337">
        <v>582.09</v>
      </c>
      <c r="F11337">
        <v>0.01</v>
      </c>
    </row>
    <row r="11338" spans="1:6" x14ac:dyDescent="0.3">
      <c r="A11338" t="str">
        <f>HYPERLINK("https://us2.cloudbeds.com/connect/10074733072513#/reservations/31725914816731?display=MXDPYZ61Z&amp;reservation_id=31725914816731", "MXDPYZ61Z")</f>
        <v>MXDPYZ61Z</v>
      </c>
      <c r="B11338" t="s">
        <v>1712</v>
      </c>
      <c r="C11338">
        <v>258</v>
      </c>
      <c r="D11338">
        <v>280.45999999999998</v>
      </c>
      <c r="E11338">
        <v>280.45</v>
      </c>
      <c r="F11338">
        <v>0.01</v>
      </c>
    </row>
    <row r="11339" spans="1:6" x14ac:dyDescent="0.3">
      <c r="A11339" t="str">
        <f>HYPERLINK("https://us2.cloudbeds.com/connect/10074733072513#/reservations/31725932785837?display=MXDQ3T6K2&amp;reservation_id=31725932785837", "MXDQ3T6K2")</f>
        <v>MXDQ3T6K2</v>
      </c>
      <c r="B11339" t="s">
        <v>1712</v>
      </c>
      <c r="C11339">
        <v>258</v>
      </c>
      <c r="D11339">
        <v>280.45999999999998</v>
      </c>
      <c r="E11339">
        <v>280.45</v>
      </c>
      <c r="F11339">
        <v>0.01</v>
      </c>
    </row>
    <row r="11340" spans="1:6" x14ac:dyDescent="0.3">
      <c r="A11340" t="str">
        <f>HYPERLINK("https://us2.cloudbeds.com/connect/10074733072513#/reservations/31725934653669?display=MXDQ5F5Q2&amp;reservation_id=31725934653669", "MXDQ5F5Q2")</f>
        <v>MXDQ5F5Q2</v>
      </c>
      <c r="B11340" t="s">
        <v>1712</v>
      </c>
      <c r="C11340">
        <v>258</v>
      </c>
      <c r="D11340">
        <v>280.45999999999998</v>
      </c>
      <c r="E11340">
        <v>280.45</v>
      </c>
      <c r="F11340">
        <v>0.01</v>
      </c>
    </row>
    <row r="11341" spans="1:6" x14ac:dyDescent="0.3">
      <c r="A11341" t="str">
        <f>HYPERLINK("https://us2.cloudbeds.com/connect/10074733072513#/reservations/31724420284629?display=MXCKFGKK5&amp;reservation_id=31724420284629", "MXCKFGKK5")</f>
        <v>MXCKFGKK5</v>
      </c>
      <c r="B11341" t="s">
        <v>1712</v>
      </c>
      <c r="C11341">
        <v>338</v>
      </c>
      <c r="D11341">
        <v>367.42</v>
      </c>
      <c r="E11341">
        <v>367.41</v>
      </c>
      <c r="F11341">
        <v>0.01</v>
      </c>
    </row>
    <row r="11342" spans="1:6" x14ac:dyDescent="0.3">
      <c r="A11342" t="str">
        <f>HYPERLINK("https://us2.cloudbeds.com/connect/10074733072513#/reservations/31724428574895?display=MXCKMGABB&amp;reservation_id=31724428574895", "MXCKMGABB")</f>
        <v>MXCKMGABB</v>
      </c>
      <c r="B11342" t="s">
        <v>1712</v>
      </c>
      <c r="C11342">
        <v>278</v>
      </c>
      <c r="D11342">
        <v>302.2</v>
      </c>
      <c r="E11342">
        <v>302.19</v>
      </c>
      <c r="F11342">
        <v>0.01</v>
      </c>
    </row>
    <row r="11343" spans="1:6" x14ac:dyDescent="0.3">
      <c r="A11343" t="str">
        <f>HYPERLINK("https://us2.cloudbeds.com/connect/10074733072513#/reservations/31725948166285?display=MXDQGS629&amp;reservation_id=31725948166285", "MXDQGS629")</f>
        <v>MXDQGS629</v>
      </c>
      <c r="B11343" t="s">
        <v>1712</v>
      </c>
      <c r="C11343">
        <v>258</v>
      </c>
      <c r="D11343">
        <v>280.45999999999998</v>
      </c>
      <c r="E11343">
        <v>280.45</v>
      </c>
      <c r="F11343">
        <v>0.01</v>
      </c>
    </row>
    <row r="11344" spans="1:6" x14ac:dyDescent="0.3">
      <c r="A11344" t="str">
        <f>HYPERLINK("https://us2.cloudbeds.com/connect/10074733072513#/reservations/31724449468567?display=MXCY73NET&amp;reservation_id=31724449468567", "MXCY73NET")</f>
        <v>MXCY73NET</v>
      </c>
      <c r="B11344" t="s">
        <v>1712</v>
      </c>
      <c r="C11344">
        <v>258</v>
      </c>
      <c r="D11344">
        <v>280.45999999999998</v>
      </c>
      <c r="E11344">
        <v>280.45</v>
      </c>
      <c r="F11344">
        <v>0.01</v>
      </c>
    </row>
    <row r="11345" spans="1:6" x14ac:dyDescent="0.3">
      <c r="A11345" t="str">
        <f>HYPERLINK("https://us2.cloudbeds.com/connect/10074733072513#/reservations/31724450992265?display=MXCY8D3KX&amp;reservation_id=31724450992265", "MXCY8D3KX")</f>
        <v>MXCY8D3KX</v>
      </c>
      <c r="B11345" t="s">
        <v>1712</v>
      </c>
      <c r="C11345">
        <v>278</v>
      </c>
      <c r="D11345">
        <v>302.2</v>
      </c>
      <c r="E11345">
        <v>302.19</v>
      </c>
      <c r="F11345">
        <v>0.01</v>
      </c>
    </row>
    <row r="11346" spans="1:6" x14ac:dyDescent="0.3">
      <c r="A11346" t="str">
        <f>HYPERLINK("https://us2.cloudbeds.com/connect/10074733072513#/reservations/31724460675292?display=MXCYGXX9Y&amp;reservation_id=31724460675292", "MXCYGXX9Y")</f>
        <v>MXCYGXX9Y</v>
      </c>
      <c r="B11346" t="s">
        <v>1712</v>
      </c>
      <c r="C11346">
        <v>298</v>
      </c>
      <c r="D11346">
        <v>323.94</v>
      </c>
      <c r="E11346">
        <v>323.93</v>
      </c>
      <c r="F11346">
        <v>0.01</v>
      </c>
    </row>
    <row r="11347" spans="1:6" x14ac:dyDescent="0.3">
      <c r="A11347" t="str">
        <f>HYPERLINK("https://us2.cloudbeds.com/connect/10074733072513#/reservations/31724478136472?display=MXCYV9EEA&amp;reservation_id=31724478136472", "MXCYV9EEA")</f>
        <v>MXCYV9EEA</v>
      </c>
      <c r="B11347" t="s">
        <v>1712</v>
      </c>
      <c r="C11347">
        <v>258</v>
      </c>
      <c r="D11347">
        <v>280.45999999999998</v>
      </c>
      <c r="E11347">
        <v>280.45</v>
      </c>
      <c r="F11347">
        <v>0.01</v>
      </c>
    </row>
    <row r="11348" spans="1:6" x14ac:dyDescent="0.3">
      <c r="A11348" t="str">
        <f>HYPERLINK("https://us2.cloudbeds.com/connect/10074733072513#/reservations/31730222780643?display=MXH3ZAKPN&amp;reservation_id=31730222780643", "MXH3ZAKPN")</f>
        <v>MXH3ZAKPN</v>
      </c>
      <c r="B11348" t="s">
        <v>1667</v>
      </c>
      <c r="C11348">
        <v>209</v>
      </c>
      <c r="D11348">
        <v>227.19</v>
      </c>
      <c r="E11348">
        <v>227.18</v>
      </c>
      <c r="F11348">
        <v>0.01</v>
      </c>
    </row>
    <row r="11349" spans="1:6" x14ac:dyDescent="0.3">
      <c r="A11349" t="str">
        <f>HYPERLINK("https://us2.cloudbeds.com/connect/10074733072513#/reservations/31730249175231?display=MXH4DJ37N&amp;reservation_id=31730249175231", "MXH4DJ37N")</f>
        <v>MXH4DJ37N</v>
      </c>
      <c r="B11349" t="s">
        <v>1688</v>
      </c>
      <c r="C11349">
        <v>129</v>
      </c>
      <c r="D11349">
        <v>140.22999999999999</v>
      </c>
      <c r="E11349">
        <v>140.22</v>
      </c>
      <c r="F11349">
        <v>0.01</v>
      </c>
    </row>
    <row r="11350" spans="1:6" x14ac:dyDescent="0.3">
      <c r="A11350" t="str">
        <f>HYPERLINK("https://us2.cloudbeds.com/connect/10074733072513#/reservations/31725965406417?display=MXDQVCU7H&amp;reservation_id=31725965406417", "MXDQVCU7H")</f>
        <v>MXDQVCU7H</v>
      </c>
      <c r="B11350" t="s">
        <v>1712</v>
      </c>
      <c r="C11350">
        <v>258</v>
      </c>
      <c r="D11350">
        <v>280.45999999999998</v>
      </c>
      <c r="E11350">
        <v>280.45</v>
      </c>
      <c r="F11350">
        <v>0.01</v>
      </c>
    </row>
    <row r="11351" spans="1:6" x14ac:dyDescent="0.3">
      <c r="A11351" t="str">
        <f>HYPERLINK("https://us2.cloudbeds.com/connect/10074733072513#/reservations/31726273212644?display=MXE1QV2XV&amp;reservation_id=31726273212644", "MXE1QV2XV")</f>
        <v>MXE1QV2XV</v>
      </c>
      <c r="B11351" t="s">
        <v>1624</v>
      </c>
      <c r="C11351">
        <v>199</v>
      </c>
      <c r="D11351">
        <v>216.32</v>
      </c>
      <c r="E11351">
        <v>216.31</v>
      </c>
      <c r="F11351">
        <v>0.01</v>
      </c>
    </row>
    <row r="11352" spans="1:6" x14ac:dyDescent="0.3">
      <c r="A11352" t="str">
        <f>HYPERLINK("https://us2.cloudbeds.com/connect/10074733072513#/reservations/31725978841260?display=MXDR9NP2W&amp;reservation_id=31725978841260", "MXDR9NP2W")</f>
        <v>MXDR9NP2W</v>
      </c>
      <c r="B11352" t="s">
        <v>1712</v>
      </c>
      <c r="C11352">
        <v>258</v>
      </c>
      <c r="D11352">
        <v>280.45999999999998</v>
      </c>
      <c r="E11352">
        <v>280.45</v>
      </c>
      <c r="F11352">
        <v>0.01</v>
      </c>
    </row>
    <row r="11353" spans="1:6" x14ac:dyDescent="0.3">
      <c r="A11353" t="str">
        <f>HYPERLINK("https://us2.cloudbeds.com/connect/10074733072513#/reservations/31726370611359?display=MXE4A2B85&amp;reservation_id=31726370611359", "MXE4A2B85")</f>
        <v>MXE4A2B85</v>
      </c>
      <c r="B11353" t="s">
        <v>1566</v>
      </c>
      <c r="C11353">
        <v>338</v>
      </c>
      <c r="D11353">
        <v>367.42</v>
      </c>
      <c r="E11353">
        <v>367.41</v>
      </c>
      <c r="F11353">
        <v>0.01</v>
      </c>
    </row>
    <row r="11354" spans="1:6" x14ac:dyDescent="0.3">
      <c r="A11354" t="str">
        <f>HYPERLINK("https://us2.cloudbeds.com/connect/10074733072513#/reservations/31729830510740?display=MXGQNX4YV&amp;reservation_id=31729830510740", "MXGQNX4YV")</f>
        <v>MXGQNX4YV</v>
      </c>
      <c r="B11354" t="s">
        <v>1624</v>
      </c>
      <c r="C11354">
        <v>219</v>
      </c>
      <c r="D11354">
        <v>238.06</v>
      </c>
      <c r="E11354">
        <v>238.05</v>
      </c>
      <c r="F11354">
        <v>0.01</v>
      </c>
    </row>
    <row r="11355" spans="1:6" x14ac:dyDescent="0.3">
      <c r="A11355" t="str">
        <f>HYPERLINK("https://us2.cloudbeds.com/connect/10074733072513#/reservations/31729826377911?display=MXGQK24JN&amp;reservation_id=31729826377911", "MXGQK24JN")</f>
        <v>MXGQK24JN</v>
      </c>
      <c r="B11355" t="s">
        <v>1624</v>
      </c>
      <c r="C11355">
        <v>219</v>
      </c>
      <c r="D11355">
        <v>238.06</v>
      </c>
      <c r="E11355">
        <v>238.05</v>
      </c>
      <c r="F11355">
        <v>0.01</v>
      </c>
    </row>
    <row r="11356" spans="1:6" x14ac:dyDescent="0.3">
      <c r="A11356" t="str">
        <f>HYPERLINK("https://us2.cloudbeds.com/connect/10074733072513#/reservations/31726335570064?display=MXE3DH8ZZ&amp;reservation_id=31726335570064", "MXE3DH8ZZ")</f>
        <v>MXE3DH8ZZ</v>
      </c>
      <c r="B11356" t="s">
        <v>1624</v>
      </c>
      <c r="C11356">
        <v>219</v>
      </c>
      <c r="D11356">
        <v>238.06</v>
      </c>
      <c r="E11356">
        <v>238.05</v>
      </c>
      <c r="F11356">
        <v>0.01</v>
      </c>
    </row>
    <row r="11357" spans="1:6" x14ac:dyDescent="0.3">
      <c r="A11357" t="str">
        <f>HYPERLINK("https://us2.cloudbeds.com/connect/10074733072513#/reservations/31726325059781?display=MXE34YQEA&amp;reservation_id=31726325059781", "MXE34YQEA")</f>
        <v>MXE34YQEA</v>
      </c>
      <c r="B11357" t="s">
        <v>1624</v>
      </c>
      <c r="C11357">
        <v>219</v>
      </c>
      <c r="D11357">
        <v>238.06</v>
      </c>
      <c r="E11357">
        <v>238.05</v>
      </c>
      <c r="F11357">
        <v>0.01</v>
      </c>
    </row>
    <row r="11358" spans="1:6" x14ac:dyDescent="0.3">
      <c r="A11358" t="str">
        <f>HYPERLINK("https://us2.cloudbeds.com/connect/10074733072513#/reservations/31725652762765?display=MXDXVP4QF&amp;reservation_id=31725652762765", "MXDXVP4QF")</f>
        <v>MXDXVP4QF</v>
      </c>
      <c r="B11358" t="s">
        <v>1652</v>
      </c>
      <c r="C11358">
        <v>179</v>
      </c>
      <c r="D11358">
        <v>194.58</v>
      </c>
      <c r="E11358">
        <v>194.57</v>
      </c>
      <c r="F11358">
        <v>0.01</v>
      </c>
    </row>
    <row r="11359" spans="1:6" x14ac:dyDescent="0.3">
      <c r="A11359" t="str">
        <f>HYPERLINK("https://us2.cloudbeds.com/connect/10074733072513#/reservations/31727408546044?display=MXEUR9DAC&amp;reservation_id=31727408546044", "MXEUR9DAC")</f>
        <v>MXEUR9DAC</v>
      </c>
      <c r="B11359" t="s">
        <v>1714</v>
      </c>
      <c r="C11359">
        <v>87.82</v>
      </c>
      <c r="D11359">
        <v>95.47</v>
      </c>
      <c r="E11359">
        <v>95.46</v>
      </c>
      <c r="F11359">
        <v>0.01</v>
      </c>
    </row>
    <row r="11360" spans="1:6" x14ac:dyDescent="0.3">
      <c r="A11360" t="str">
        <f>HYPERLINK("https://us2.cloudbeds.com/connect/10074733072513#/reservations/31730419638495?display=MXH8PAG55&amp;reservation_id=31730419638495", "MXH8PAG55")</f>
        <v>MXH8PAG55</v>
      </c>
      <c r="B11360" t="s">
        <v>1691</v>
      </c>
      <c r="C11360">
        <v>336</v>
      </c>
      <c r="D11360">
        <v>365.24</v>
      </c>
      <c r="E11360">
        <v>365.23</v>
      </c>
      <c r="F11360">
        <v>0.01</v>
      </c>
    </row>
    <row r="11361" spans="1:6" x14ac:dyDescent="0.3">
      <c r="A11361" t="str">
        <f>HYPERLINK("https://us2.cloudbeds.com/connect/10074733072513#/reservations/31724282204396?display=MXCGV2B5M&amp;reservation_id=31724282204396", "MXCGV2B5M")</f>
        <v>MXCGV2B5M</v>
      </c>
      <c r="B11361" t="s">
        <v>1707</v>
      </c>
      <c r="C11361">
        <v>129</v>
      </c>
      <c r="D11361">
        <v>140.22999999999999</v>
      </c>
      <c r="E11361">
        <v>140.22</v>
      </c>
      <c r="F11361">
        <v>0.01</v>
      </c>
    </row>
    <row r="11362" spans="1:6" x14ac:dyDescent="0.3">
      <c r="A11362" t="str">
        <f>HYPERLINK("https://us2.cloudbeds.com/connect/10074733072513#/reservations/31727684276353?display=MXF4SQ069&amp;reservation_id=31727684276353", "MXF4SQ069")</f>
        <v>MXF4SQ069</v>
      </c>
      <c r="B11362" t="s">
        <v>1714</v>
      </c>
      <c r="C11362">
        <v>105.78</v>
      </c>
      <c r="D11362">
        <v>114.99</v>
      </c>
      <c r="E11362">
        <v>114.98</v>
      </c>
      <c r="F11362">
        <v>0.01</v>
      </c>
    </row>
    <row r="11363" spans="1:6" x14ac:dyDescent="0.3">
      <c r="A11363" t="str">
        <f>HYPERLINK("https://us2.cloudbeds.com/connect/10074733072513#/reservations/31711438909587?display=MX2XP8Z0T&amp;reservation_id=31711438909587", "MX2XP8Z0T")</f>
        <v>MX2XP8Z0T</v>
      </c>
      <c r="B11363" t="s">
        <v>1539</v>
      </c>
      <c r="C11363">
        <v>298</v>
      </c>
      <c r="D11363">
        <v>323.94</v>
      </c>
      <c r="E11363">
        <v>323.93</v>
      </c>
      <c r="F11363">
        <v>0.01</v>
      </c>
    </row>
    <row r="11364" spans="1:6" x14ac:dyDescent="0.3">
      <c r="A11364" t="str">
        <f>HYPERLINK("https://us2.cloudbeds.com/connect/10074733072513#/reservations/31726454530266?display=MXE6ERGPB&amp;reservation_id=31726454530266", "MXE6ERGPB")</f>
        <v>MXE6ERGPB</v>
      </c>
      <c r="B11364" t="s">
        <v>1695</v>
      </c>
      <c r="C11364">
        <v>139</v>
      </c>
      <c r="D11364">
        <v>151.1</v>
      </c>
      <c r="E11364">
        <v>151.09</v>
      </c>
      <c r="F11364">
        <v>0.01</v>
      </c>
    </row>
    <row r="11365" spans="1:6" x14ac:dyDescent="0.3">
      <c r="A11365" t="str">
        <f>HYPERLINK("https://us2.cloudbeds.com/connect/10074733072513#/reservations/31731466658009?display=MXX2H6BJ7&amp;reservation_id=31731466658009", "MXX2H6BJ7")</f>
        <v>MXX2H6BJ7</v>
      </c>
      <c r="B11365" t="s">
        <v>1701</v>
      </c>
      <c r="C11365">
        <v>105.78</v>
      </c>
      <c r="D11365">
        <v>114.99</v>
      </c>
      <c r="E11365">
        <v>114.98</v>
      </c>
      <c r="F11365">
        <v>0.01</v>
      </c>
    </row>
    <row r="11366" spans="1:6" x14ac:dyDescent="0.3">
      <c r="A11366" t="str">
        <f>HYPERLINK("https://us2.cloudbeds.com/connect/10074733072513#/reservations/31728756187333?display=MXFW8YD1Q&amp;reservation_id=31728756187333", "MXFW8YD1Q")</f>
        <v>MXFW8YD1Q</v>
      </c>
      <c r="B11366" t="s">
        <v>1588</v>
      </c>
      <c r="C11366">
        <v>119</v>
      </c>
      <c r="D11366">
        <v>129.36000000000001</v>
      </c>
      <c r="E11366">
        <v>129.35</v>
      </c>
      <c r="F11366">
        <v>0.01</v>
      </c>
    </row>
    <row r="11367" spans="1:6" x14ac:dyDescent="0.3">
      <c r="A11367" t="str">
        <f>HYPERLINK("https://us2.cloudbeds.com/connect/10074733072513#/reservations/31729286889634?display=MXGCR52Z3&amp;reservation_id=31729286889634", "MXGCR52Z3")</f>
        <v>MXGCR52Z3</v>
      </c>
      <c r="B11367" t="s">
        <v>1710</v>
      </c>
      <c r="C11367">
        <v>536</v>
      </c>
      <c r="D11367">
        <v>582.64</v>
      </c>
      <c r="E11367">
        <v>582.63</v>
      </c>
      <c r="F11367">
        <v>0.01</v>
      </c>
    </row>
    <row r="11368" spans="1:6" x14ac:dyDescent="0.3">
      <c r="A11368" t="str">
        <f>HYPERLINK("https://us2.cloudbeds.com/connect/10074733072513#/reservations/31725582758115?display=MXDH5Z5CE&amp;reservation_id=31725582758115", "MXDH5Z5CE")</f>
        <v>MXDH5Z5CE</v>
      </c>
      <c r="B11368" t="s">
        <v>1705</v>
      </c>
      <c r="C11368">
        <v>205.16</v>
      </c>
      <c r="D11368">
        <v>223.02</v>
      </c>
      <c r="E11368">
        <v>223.01</v>
      </c>
      <c r="F11368">
        <v>0.01</v>
      </c>
    </row>
    <row r="11369" spans="1:6" x14ac:dyDescent="0.3">
      <c r="A11369" t="str">
        <f>HYPERLINK("https://us2.cloudbeds.com/connect/10074733072513#/reservations/31731340775575?display=MXHWA1G20&amp;reservation_id=31731340775575", "MXHWA1G20")</f>
        <v>MXHWA1G20</v>
      </c>
      <c r="B11369" t="s">
        <v>1531</v>
      </c>
      <c r="C11369">
        <v>159</v>
      </c>
      <c r="D11369">
        <v>172.84</v>
      </c>
      <c r="E11369">
        <v>172.83</v>
      </c>
      <c r="F11369">
        <v>0.01</v>
      </c>
    </row>
    <row r="11370" spans="1:6" x14ac:dyDescent="0.3">
      <c r="A11370" t="str">
        <f>HYPERLINK("https://us2.cloudbeds.com/connect/10074733072513#/reservations/31726123561154?display=MXDUWZQXA&amp;reservation_id=31726123561154", "MXDUWZQXA")</f>
        <v>MXDUWZQXA</v>
      </c>
      <c r="B11370" t="s">
        <v>1681</v>
      </c>
      <c r="C11370">
        <v>87.82</v>
      </c>
      <c r="D11370">
        <v>95.47</v>
      </c>
      <c r="E11370">
        <v>95.46</v>
      </c>
      <c r="F11370">
        <v>0.01</v>
      </c>
    </row>
    <row r="11371" spans="1:6" x14ac:dyDescent="0.3">
      <c r="A11371" t="str">
        <f>HYPERLINK("https://us2.cloudbeds.com/connect/10074733072513#/reservations/31726632095904?display=MXEAWXHK8&amp;reservation_id=31726632095904", "MXEAWXHK8")</f>
        <v>MXEAWXHK8</v>
      </c>
      <c r="B11371" t="s">
        <v>1654</v>
      </c>
      <c r="C11371">
        <v>189</v>
      </c>
      <c r="D11371">
        <v>205.45</v>
      </c>
      <c r="E11371">
        <v>205.44</v>
      </c>
      <c r="F11371">
        <v>0.01</v>
      </c>
    </row>
    <row r="11372" spans="1:6" x14ac:dyDescent="0.3">
      <c r="A11372" t="str">
        <f>HYPERLINK("https://us2.cloudbeds.com/connect/10074733072513#/reservations/31726167031964?display=MXDW3DEYX&amp;reservation_id=31726167031964", "MXDW3DEYX")</f>
        <v>MXDW3DEYX</v>
      </c>
      <c r="B11372" t="s">
        <v>1681</v>
      </c>
      <c r="C11372">
        <v>87.82</v>
      </c>
      <c r="D11372">
        <v>95.47</v>
      </c>
      <c r="E11372">
        <v>95.46</v>
      </c>
      <c r="F11372">
        <v>0.01</v>
      </c>
    </row>
    <row r="11373" spans="1:6" x14ac:dyDescent="0.3">
      <c r="A11373" t="str">
        <f>HYPERLINK("https://us2.cloudbeds.com/connect/10074733072513#/reservations/31729353490656?display=MXGEHABMT&amp;reservation_id=31729353490656", "MXGEHABMT")</f>
        <v>MXGEHABMT</v>
      </c>
      <c r="B11373" t="s">
        <v>1710</v>
      </c>
      <c r="C11373">
        <v>252</v>
      </c>
      <c r="D11373">
        <v>273.93</v>
      </c>
      <c r="E11373">
        <v>273.92</v>
      </c>
      <c r="F11373">
        <v>0.01</v>
      </c>
    </row>
    <row r="11374" spans="1:6" x14ac:dyDescent="0.3">
      <c r="A11374" t="str">
        <f>HYPERLINK("https://us2.cloudbeds.com/connect/10074733072513#/reservations/31729018290378?display=MXG5VYU3N&amp;reservation_id=31729018290378", "MXG5VYU3N")</f>
        <v>MXG5VYU3N</v>
      </c>
      <c r="B11374" t="s">
        <v>1681</v>
      </c>
      <c r="C11374">
        <v>87.82</v>
      </c>
      <c r="D11374">
        <v>95.47</v>
      </c>
      <c r="E11374">
        <v>95.46</v>
      </c>
      <c r="F11374">
        <v>0.01</v>
      </c>
    </row>
    <row r="11375" spans="1:6" x14ac:dyDescent="0.3">
      <c r="A11375" t="str">
        <f>HYPERLINK("https://us2.cloudbeds.com/connect/10074733072513#/reservations/31727703531652?display=MXF5C0QR6&amp;reservation_id=31727703531652", "MXF5C0QR6")</f>
        <v>MXF5C0QR6</v>
      </c>
      <c r="B11375" t="s">
        <v>1714</v>
      </c>
      <c r="C11375">
        <v>73</v>
      </c>
      <c r="D11375">
        <v>79.36</v>
      </c>
      <c r="E11375">
        <v>79.349999999999994</v>
      </c>
      <c r="F11375">
        <v>0.01</v>
      </c>
    </row>
    <row r="11376" spans="1:6" x14ac:dyDescent="0.3">
      <c r="A11376" t="str">
        <f>HYPERLINK("https://us2.cloudbeds.com/connect/10074733072513#/reservations/31727506260130?display=MXF0AMEJ9&amp;reservation_id=31727506260130", "MXF0AMEJ9")</f>
        <v>MXF0AMEJ9</v>
      </c>
      <c r="B11376" t="s">
        <v>1698</v>
      </c>
      <c r="C11376">
        <v>159</v>
      </c>
      <c r="D11376">
        <v>172.84</v>
      </c>
      <c r="E11376">
        <v>172.83</v>
      </c>
      <c r="F11376">
        <v>0.01</v>
      </c>
    </row>
    <row r="11377" spans="1:6" x14ac:dyDescent="0.3">
      <c r="A11377" t="str">
        <f>HYPERLINK("https://us2.cloudbeds.com/connect/10074733072513#/reservations/31727362539701?display=MXETYG6TP&amp;reservation_id=31727362539701", "MXETYG6TP")</f>
        <v>MXETYG6TP</v>
      </c>
      <c r="B11377" t="s">
        <v>1681</v>
      </c>
      <c r="C11377">
        <v>87.82</v>
      </c>
      <c r="D11377">
        <v>95.47</v>
      </c>
      <c r="E11377">
        <v>95.46</v>
      </c>
      <c r="F11377">
        <v>0.01</v>
      </c>
    </row>
    <row r="11378" spans="1:6" x14ac:dyDescent="0.3">
      <c r="A11378" t="str">
        <f>HYPERLINK("https://us2.cloudbeds.com/connect/10074733072513#/reservations/31726171054215?display=MXDW6QC5W&amp;reservation_id=31726171054215", "MXDW6QC5W")</f>
        <v>MXDW6QC5W</v>
      </c>
      <c r="B11378" t="s">
        <v>1681</v>
      </c>
      <c r="C11378">
        <v>119</v>
      </c>
      <c r="D11378">
        <v>129.36000000000001</v>
      </c>
      <c r="E11378">
        <v>129.35</v>
      </c>
      <c r="F11378">
        <v>0.01</v>
      </c>
    </row>
    <row r="11379" spans="1:6" x14ac:dyDescent="0.3">
      <c r="A11379" t="str">
        <f>HYPERLINK("https://us2.cloudbeds.com/connect/10074733072513#/reservations/31724123517153?display=MXCCT8KSB&amp;reservation_id=31724123517153", "MXCCT8KSB")</f>
        <v>MXCCT8KSB</v>
      </c>
      <c r="B11379" t="s">
        <v>1652</v>
      </c>
      <c r="C11379">
        <v>159</v>
      </c>
      <c r="D11379">
        <v>172.84</v>
      </c>
      <c r="E11379">
        <v>172.83</v>
      </c>
      <c r="F11379">
        <v>0.01</v>
      </c>
    </row>
    <row r="11380" spans="1:6" x14ac:dyDescent="0.3">
      <c r="A11380" t="str">
        <f>HYPERLINK("https://us2.cloudbeds.com/connect/10074733072513#/reservations/31731398254838?display=MXX0PGUZS&amp;reservation_id=31731398254838", "MXX0PGUZS")</f>
        <v>MXX0PGUZS</v>
      </c>
      <c r="B11380" t="s">
        <v>1710</v>
      </c>
      <c r="C11380">
        <v>149</v>
      </c>
      <c r="D11380">
        <v>161.97</v>
      </c>
      <c r="E11380">
        <v>161.96</v>
      </c>
      <c r="F11380">
        <v>0.01</v>
      </c>
    </row>
    <row r="11381" spans="1:6" x14ac:dyDescent="0.3">
      <c r="A11381" t="str">
        <f>HYPERLINK("https://us2.cloudbeds.com/connect/10074733072513#/reservations/31727399645348?display=MXEUJPZ1A&amp;reservation_id=31727399645348", "MXEUJPZ1A")</f>
        <v>MXEUJPZ1A</v>
      </c>
      <c r="B11381" t="s">
        <v>1681</v>
      </c>
      <c r="C11381">
        <v>119</v>
      </c>
      <c r="D11381">
        <v>129.36000000000001</v>
      </c>
      <c r="E11381">
        <v>129.35</v>
      </c>
      <c r="F11381">
        <v>0.01</v>
      </c>
    </row>
    <row r="11382" spans="1:6" x14ac:dyDescent="0.3">
      <c r="A11382" t="str">
        <f>HYPERLINK("https://us2.cloudbeds.com/connect/10074733072513#/reservations/31727675285737?display=MXF4Y6RBC&amp;reservation_id=31727675285737", "MXF4Y6RBC")</f>
        <v>MXF4Y6RBC</v>
      </c>
      <c r="B11382" t="s">
        <v>1716</v>
      </c>
      <c r="C11382">
        <v>119</v>
      </c>
      <c r="D11382">
        <v>129.36000000000001</v>
      </c>
      <c r="E11382">
        <v>129.35</v>
      </c>
      <c r="F11382">
        <v>0.01</v>
      </c>
    </row>
    <row r="11383" spans="1:6" x14ac:dyDescent="0.3">
      <c r="A11383" t="str">
        <f>HYPERLINK("https://us2.cloudbeds.com/connect/10074733072513#/reservations/31728541479087?display=MXFQPJUSN&amp;reservation_id=31728541479087", "MXFQPJUSN")</f>
        <v>MXFQPJUSN</v>
      </c>
      <c r="B11383" t="s">
        <v>1385</v>
      </c>
      <c r="C11383">
        <v>149</v>
      </c>
      <c r="D11383">
        <v>161.97</v>
      </c>
      <c r="E11383">
        <v>161.96</v>
      </c>
      <c r="F11383">
        <v>0.01</v>
      </c>
    </row>
    <row r="11384" spans="1:6" x14ac:dyDescent="0.3">
      <c r="A11384" t="str">
        <f>HYPERLINK("https://us2.cloudbeds.com/connect/10074733072513#/reservations/31727367008388?display=MXETP8XCH&amp;reservation_id=31727367008388", "MXETP8XCH")</f>
        <v>MXETP8XCH</v>
      </c>
      <c r="B11384" t="s">
        <v>1642</v>
      </c>
      <c r="C11384">
        <v>119</v>
      </c>
      <c r="D11384">
        <v>129.36000000000001</v>
      </c>
      <c r="E11384">
        <v>129.35</v>
      </c>
      <c r="F11384">
        <v>0.01</v>
      </c>
    </row>
    <row r="11385" spans="1:6" x14ac:dyDescent="0.3">
      <c r="A11385" t="str">
        <f>HYPERLINK("https://us2.cloudbeds.com/connect/10074733072513#/reservations/31728610492554?display=MXFSHQB3T&amp;reservation_id=31728610492554", "MXFSHQB3T")</f>
        <v>MXFSHQB3T</v>
      </c>
      <c r="B11385" t="s">
        <v>1701</v>
      </c>
      <c r="C11385">
        <v>119</v>
      </c>
      <c r="D11385">
        <v>129.36000000000001</v>
      </c>
      <c r="E11385">
        <v>129.35</v>
      </c>
      <c r="F11385">
        <v>0.01</v>
      </c>
    </row>
    <row r="11386" spans="1:6" x14ac:dyDescent="0.3">
      <c r="A11386" t="str">
        <f>HYPERLINK("https://us2.cloudbeds.com/connect/10074733072513#/reservations/31727720976567?display=MXF5QZ80W&amp;reservation_id=31727720976567", "MXF5QZ80W")</f>
        <v>MXF5QZ80W</v>
      </c>
      <c r="B11386" t="s">
        <v>1560</v>
      </c>
      <c r="C11386">
        <v>209</v>
      </c>
      <c r="D11386">
        <v>227.19</v>
      </c>
      <c r="E11386">
        <v>227.18</v>
      </c>
      <c r="F11386">
        <v>0.01</v>
      </c>
    </row>
    <row r="11387" spans="1:6" x14ac:dyDescent="0.3">
      <c r="A11387" t="str">
        <f>HYPERLINK("https://us2.cloudbeds.com/connect/10074733072513#/reservations/31721920610510?display=MXAMJNGZJ&amp;reservation_id=31721920610510", "MXAMJNGZJ")</f>
        <v>MXAMJNGZJ</v>
      </c>
      <c r="B11387" t="s">
        <v>1692</v>
      </c>
      <c r="C11387">
        <v>318</v>
      </c>
      <c r="D11387">
        <v>345.68</v>
      </c>
      <c r="E11387">
        <v>345.67</v>
      </c>
      <c r="F11387">
        <v>0.01</v>
      </c>
    </row>
    <row r="11388" spans="1:6" x14ac:dyDescent="0.3">
      <c r="A11388" t="str">
        <f>HYPERLINK("https://us2.cloudbeds.com/connect/10074733072513#/reservations/31713728716933?display=MX4B92WP9&amp;reservation_id=31713728716933", "MX4B92WP9")</f>
        <v>MX4B92WP9</v>
      </c>
      <c r="B11388" t="s">
        <v>1717</v>
      </c>
      <c r="C11388">
        <v>119</v>
      </c>
      <c r="D11388">
        <v>129.36000000000001</v>
      </c>
      <c r="E11388">
        <v>129.35</v>
      </c>
      <c r="F11388">
        <v>0.01</v>
      </c>
    </row>
    <row r="11389" spans="1:6" x14ac:dyDescent="0.3">
      <c r="A11389" t="str">
        <f>HYPERLINK("https://us2.cloudbeds.com/connect/10074733072513#/reservations/31728941031658?display=MXG3WH2FC&amp;reservation_id=31728941031658", "MXG3WH2FC")</f>
        <v>MXG3WH2FC</v>
      </c>
      <c r="B11389" t="s">
        <v>1701</v>
      </c>
      <c r="C11389">
        <v>119</v>
      </c>
      <c r="D11389">
        <v>129.36000000000001</v>
      </c>
      <c r="E11389">
        <v>129.35</v>
      </c>
      <c r="F11389">
        <v>0.01</v>
      </c>
    </row>
    <row r="11390" spans="1:6" x14ac:dyDescent="0.3">
      <c r="A11390" t="str">
        <f>HYPERLINK("https://us2.cloudbeds.com/connect/10074733072513#/reservations/31728954175743?display=MXG4AJRAW&amp;reservation_id=31728954175743", "MXG4AJRAW")</f>
        <v>MXG4AJRAW</v>
      </c>
      <c r="B11390" t="s">
        <v>1701</v>
      </c>
      <c r="C11390">
        <v>87.82</v>
      </c>
      <c r="D11390">
        <v>95.47</v>
      </c>
      <c r="E11390">
        <v>95.46</v>
      </c>
      <c r="F11390">
        <v>0.01</v>
      </c>
    </row>
    <row r="11391" spans="1:6" x14ac:dyDescent="0.3">
      <c r="A11391" t="str">
        <f>HYPERLINK("https://us2.cloudbeds.com/connect/10074733072513#/reservations/31729310564525?display=MXGDE3SP1&amp;reservation_id=31729310564525", "MXGDE3SP1")</f>
        <v>MXGDE3SP1</v>
      </c>
      <c r="B11391" t="s">
        <v>1710</v>
      </c>
      <c r="C11391">
        <v>129</v>
      </c>
      <c r="D11391">
        <v>140.22999999999999</v>
      </c>
      <c r="E11391">
        <v>140.22</v>
      </c>
      <c r="F11391">
        <v>0.01</v>
      </c>
    </row>
    <row r="11392" spans="1:6" x14ac:dyDescent="0.3">
      <c r="A11392" t="str">
        <f>HYPERLINK("https://us2.cloudbeds.com/connect/10074733072513#/reservations/31729409704132?display=MXGFVNJ1X&amp;reservation_id=31729409704132", "MXGFVNJ1X")</f>
        <v>MXGFVNJ1X</v>
      </c>
      <c r="B11392" t="s">
        <v>1710</v>
      </c>
      <c r="C11392">
        <v>258</v>
      </c>
      <c r="D11392">
        <v>280.45999999999998</v>
      </c>
      <c r="E11392">
        <v>280.45</v>
      </c>
      <c r="F11392">
        <v>0.01</v>
      </c>
    </row>
    <row r="11393" spans="1:6" x14ac:dyDescent="0.3">
      <c r="A11393" t="str">
        <f>HYPERLINK("https://us2.cloudbeds.com/connect/10074733072513#/reservations/31728973455573?display=MXG4QSAG8&amp;reservation_id=31728973455573", "MXG4QSAG8")</f>
        <v>MXG4QSAG8</v>
      </c>
      <c r="B11393" t="s">
        <v>1701</v>
      </c>
      <c r="C11393">
        <v>87.82</v>
      </c>
      <c r="D11393">
        <v>95.47</v>
      </c>
      <c r="E11393">
        <v>95.46</v>
      </c>
      <c r="F11393">
        <v>0.01</v>
      </c>
    </row>
    <row r="11394" spans="1:6" x14ac:dyDescent="0.3">
      <c r="A11394" t="str">
        <f>HYPERLINK("https://us2.cloudbeds.com/connect/10074733072513#/reservations/31724639010975?display=MXCQ1V088&amp;reservation_id=31724639010975", "MXCQ1V088")</f>
        <v>MXCQ1V088</v>
      </c>
      <c r="B11394" t="s">
        <v>1718</v>
      </c>
      <c r="C11394">
        <v>238</v>
      </c>
      <c r="D11394">
        <v>258.72000000000003</v>
      </c>
      <c r="E11394">
        <v>258.70999999999998</v>
      </c>
      <c r="F11394">
        <v>0.01</v>
      </c>
    </row>
    <row r="11395" spans="1:6" x14ac:dyDescent="0.3">
      <c r="A11395" t="str">
        <f>HYPERLINK("https://us2.cloudbeds.com/connect/10074733072513#/reservations/31728595452103?display=MXFS53QSY&amp;reservation_id=31728595452103", "MXFS53QSY")</f>
        <v>MXFS53QSY</v>
      </c>
      <c r="B11395" t="s">
        <v>1701</v>
      </c>
      <c r="C11395">
        <v>119</v>
      </c>
      <c r="D11395">
        <v>129.36000000000001</v>
      </c>
      <c r="E11395">
        <v>129.35</v>
      </c>
      <c r="F11395">
        <v>0.01</v>
      </c>
    </row>
    <row r="11396" spans="1:6" x14ac:dyDescent="0.3">
      <c r="A11396" t="str">
        <f>HYPERLINK("https://us2.cloudbeds.com/connect/10074733072513#/reservations/31727979208908?display=MXFCDFUWE&amp;reservation_id=31727979208908", "MXFCDFUWE")</f>
        <v>MXFCDFUWE</v>
      </c>
      <c r="B11396" t="s">
        <v>1719</v>
      </c>
      <c r="C11396">
        <v>278</v>
      </c>
      <c r="D11396">
        <v>302.2</v>
      </c>
      <c r="E11396">
        <v>302.19</v>
      </c>
      <c r="F11396">
        <v>0.01</v>
      </c>
    </row>
    <row r="11397" spans="1:6" x14ac:dyDescent="0.3">
      <c r="A11397" t="str">
        <f>HYPERLINK("https://us2.cloudbeds.com/connect/10074733072513#/reservations/31731357536415?display=MXHWZ5T38&amp;reservation_id=31731357536415", "MXHWZ5T38")</f>
        <v>MXHWZ5T38</v>
      </c>
      <c r="B11397" t="s">
        <v>1531</v>
      </c>
      <c r="C11397">
        <v>159</v>
      </c>
      <c r="D11397">
        <v>172.84</v>
      </c>
      <c r="E11397">
        <v>172.83</v>
      </c>
      <c r="F11397">
        <v>0.01</v>
      </c>
    </row>
    <row r="11398" spans="1:6" x14ac:dyDescent="0.3">
      <c r="A11398" t="str">
        <f>HYPERLINK("https://us2.cloudbeds.com/connect/10074733072513#/reservations/31727806681223?display=MXF8003BP&amp;reservation_id=31727806681223", "MXF8003BP")</f>
        <v>MXF8003BP</v>
      </c>
      <c r="B11398" t="s">
        <v>1531</v>
      </c>
      <c r="C11398">
        <v>89</v>
      </c>
      <c r="D11398">
        <v>96.75</v>
      </c>
      <c r="E11398">
        <v>96.74</v>
      </c>
      <c r="F11398">
        <v>0.01</v>
      </c>
    </row>
    <row r="11399" spans="1:6" x14ac:dyDescent="0.3">
      <c r="A11399" t="str">
        <f>HYPERLINK("https://us2.cloudbeds.com/connect/10074733072513#/reservations/31727348125844?display=MXET9B417&amp;reservation_id=31727348125844", "MXET9B417")</f>
        <v>MXET9B417</v>
      </c>
      <c r="B11399" t="s">
        <v>1642</v>
      </c>
      <c r="C11399">
        <v>119</v>
      </c>
      <c r="D11399">
        <v>129.36000000000001</v>
      </c>
      <c r="E11399">
        <v>129.35</v>
      </c>
      <c r="F11399">
        <v>0.01</v>
      </c>
    </row>
    <row r="11400" spans="1:6" x14ac:dyDescent="0.3">
      <c r="A11400" t="str">
        <f>HYPERLINK("https://us2.cloudbeds.com/connect/10074733072513#/reservations/31726325055692?display=MXE34YMMD&amp;reservation_id=31726325055692", "MXE34YMMD")</f>
        <v>MXE34YMMD</v>
      </c>
      <c r="B11400" t="s">
        <v>1707</v>
      </c>
      <c r="C11400">
        <v>179</v>
      </c>
      <c r="D11400">
        <v>194.58</v>
      </c>
      <c r="E11400">
        <v>194.57</v>
      </c>
      <c r="F11400">
        <v>0.01</v>
      </c>
    </row>
    <row r="11401" spans="1:6" x14ac:dyDescent="0.3">
      <c r="A11401" t="str">
        <f>HYPERLINK("https://us2.cloudbeds.com/connect/10074733072513#/reservations/31731486646471?display=MXX311XF6&amp;reservation_id=31731486646471", "MXX311XF6")</f>
        <v>MXX311XF6</v>
      </c>
      <c r="B11401" t="s">
        <v>1710</v>
      </c>
      <c r="C11401">
        <v>149</v>
      </c>
      <c r="D11401">
        <v>161.97</v>
      </c>
      <c r="E11401">
        <v>161.96</v>
      </c>
      <c r="F11401">
        <v>0.01</v>
      </c>
    </row>
    <row r="11402" spans="1:6" x14ac:dyDescent="0.3">
      <c r="A11402" t="str">
        <f>HYPERLINK("https://us2.cloudbeds.com/connect/10074733072513#/reservations/31727787962515?display=MXF7H77F6&amp;reservation_id=31727787962515", "MXF7H77F6")</f>
        <v>MXF7H77F6</v>
      </c>
      <c r="B11402" t="s">
        <v>1531</v>
      </c>
      <c r="C11402">
        <v>179</v>
      </c>
      <c r="D11402">
        <v>194.58</v>
      </c>
      <c r="E11402">
        <v>194.57</v>
      </c>
      <c r="F11402">
        <v>0.01</v>
      </c>
    </row>
    <row r="11403" spans="1:6" x14ac:dyDescent="0.3">
      <c r="A11403" t="str">
        <f>HYPERLINK("https://us2.cloudbeds.com/connect/10074733072513#/reservations/31727552762010?display=MXF1GTE15&amp;reservation_id=31727552762010", "MXF1GTE15")</f>
        <v>MXF1GTE15</v>
      </c>
      <c r="B11403" t="s">
        <v>1654</v>
      </c>
      <c r="C11403">
        <v>318</v>
      </c>
      <c r="D11403">
        <v>345.68</v>
      </c>
      <c r="E11403">
        <v>345.67</v>
      </c>
      <c r="F11403">
        <v>0.01</v>
      </c>
    </row>
    <row r="11404" spans="1:6" x14ac:dyDescent="0.3">
      <c r="A11404" t="str">
        <f>HYPERLINK("https://us2.cloudbeds.com/connect/10074733072513#/reservations/31726218051827?display=MXE0DE4S1&amp;reservation_id=31726218051827", "MXE0DE4S1")</f>
        <v>MXE0DE4S1</v>
      </c>
      <c r="B11404" t="s">
        <v>1560</v>
      </c>
      <c r="C11404">
        <v>179</v>
      </c>
      <c r="D11404">
        <v>194.58</v>
      </c>
      <c r="E11404">
        <v>194.57</v>
      </c>
      <c r="F11404">
        <v>0.01</v>
      </c>
    </row>
    <row r="11405" spans="1:6" x14ac:dyDescent="0.3">
      <c r="A11405" t="str">
        <f>HYPERLINK("https://us2.cloudbeds.com/connect/10074733072513#/reservations/31728574697637?display=MXFRKK9JE&amp;reservation_id=31728574697637", "MXFRKK9JE")</f>
        <v>MXFRKK9JE</v>
      </c>
      <c r="B11405" t="s">
        <v>1560</v>
      </c>
      <c r="C11405">
        <v>169</v>
      </c>
      <c r="D11405">
        <v>183.71</v>
      </c>
      <c r="E11405">
        <v>183.7</v>
      </c>
      <c r="F11405">
        <v>0.01</v>
      </c>
    </row>
    <row r="11406" spans="1:6" x14ac:dyDescent="0.3">
      <c r="A11406" t="str">
        <f>HYPERLINK("https://us2.cloudbeds.com/connect/10074733072513#/reservations/31728508113027?display=MXFPUFFMW&amp;reservation_id=31728508113027", "MXFPUFFMW")</f>
        <v>MXFPUFFMW</v>
      </c>
      <c r="B11406" t="s">
        <v>1640</v>
      </c>
      <c r="C11406">
        <v>298</v>
      </c>
      <c r="D11406">
        <v>323.94</v>
      </c>
      <c r="E11406">
        <v>323.93</v>
      </c>
      <c r="F11406">
        <v>0.01</v>
      </c>
    </row>
    <row r="11407" spans="1:6" x14ac:dyDescent="0.3">
      <c r="A11407" t="str">
        <f>HYPERLINK("https://us2.cloudbeds.com/connect/10074733072513#/reservations/31717092384913?display=MX6V7E0E0&amp;reservation_id=31717092384913", "MX6V7E0E0")</f>
        <v>MX6V7E0E0</v>
      </c>
      <c r="B11407" t="s">
        <v>1690</v>
      </c>
      <c r="C11407">
        <v>179</v>
      </c>
      <c r="D11407">
        <v>194.58</v>
      </c>
      <c r="E11407">
        <v>194.57</v>
      </c>
      <c r="F11407">
        <v>0.01</v>
      </c>
    </row>
    <row r="11408" spans="1:6" x14ac:dyDescent="0.3">
      <c r="A11408" t="str">
        <f>HYPERLINK("https://us2.cloudbeds.com/connect/10074733072513#/reservations/31728519995614?display=MXFQ7G45C&amp;reservation_id=31728519995614", "MXFQ7G45C")</f>
        <v>MXFQ7G45C</v>
      </c>
      <c r="B11408" t="s">
        <v>1640</v>
      </c>
      <c r="C11408">
        <v>87.82</v>
      </c>
      <c r="D11408">
        <v>95.47</v>
      </c>
      <c r="E11408">
        <v>95.46</v>
      </c>
      <c r="F11408">
        <v>0.01</v>
      </c>
    </row>
    <row r="11409" spans="1:6" x14ac:dyDescent="0.3">
      <c r="A11409" t="str">
        <f>HYPERLINK("https://us2.cloudbeds.com/connect/10074733072513#/reservations/31724602880138?display=MXCP4FK8D&amp;reservation_id=31724602880138", "MXCP4FK8D")</f>
        <v>MXCP4FK8D</v>
      </c>
      <c r="B11409" t="s">
        <v>1691</v>
      </c>
      <c r="C11409">
        <v>87.82</v>
      </c>
      <c r="D11409">
        <v>95.47</v>
      </c>
      <c r="E11409">
        <v>95.46</v>
      </c>
      <c r="F11409">
        <v>0.01</v>
      </c>
    </row>
    <row r="11410" spans="1:6" x14ac:dyDescent="0.3">
      <c r="A11410" t="str">
        <f>HYPERLINK("https://us2.cloudbeds.com/connect/10074733072513#/reservations/31728542290050?display=MXFQQ9GXB&amp;reservation_id=31728542290050", "MXFQQ9GXB")</f>
        <v>MXFQQ9GXB</v>
      </c>
      <c r="B11410" t="s">
        <v>1640</v>
      </c>
      <c r="C11410">
        <v>119</v>
      </c>
      <c r="D11410">
        <v>129.36000000000001</v>
      </c>
      <c r="E11410">
        <v>129.35</v>
      </c>
      <c r="F11410">
        <v>0.01</v>
      </c>
    </row>
    <row r="11411" spans="1:6" x14ac:dyDescent="0.3">
      <c r="A11411" t="str">
        <f>HYPERLINK("https://us2.cloudbeds.com/connect/10074733072513#/reservations/31712977101055?display=MX3P2A5NX&amp;reservation_id=31712977101055", "MX3P2A5NX")</f>
        <v>MX3P2A5NX</v>
      </c>
      <c r="B11411" t="s">
        <v>1711</v>
      </c>
      <c r="C11411">
        <v>169</v>
      </c>
      <c r="D11411">
        <v>183.71</v>
      </c>
      <c r="E11411">
        <v>183.7</v>
      </c>
      <c r="F11411">
        <v>0.01</v>
      </c>
    </row>
    <row r="11412" spans="1:6" x14ac:dyDescent="0.3">
      <c r="A11412" t="str">
        <f>HYPERLINK("https://us2.cloudbeds.com/connect/10074733072513#/reservations/31729037078716?display=MXG6EGNV9&amp;reservation_id=31729037078716", "MXG6EGNV9")</f>
        <v>MXG6EGNV9</v>
      </c>
      <c r="B11412" t="s">
        <v>1716</v>
      </c>
      <c r="C11412">
        <v>321.3</v>
      </c>
      <c r="D11412">
        <v>349.26</v>
      </c>
      <c r="E11412">
        <v>349.25</v>
      </c>
      <c r="F11412">
        <v>0.01</v>
      </c>
    </row>
    <row r="11413" spans="1:6" x14ac:dyDescent="0.3">
      <c r="A11413" t="str">
        <f>HYPERLINK("https://us2.cloudbeds.com/connect/10074733072513#/reservations/31727375528157?display=MXETWEKSB&amp;reservation_id=31727375528157", "MXETWEKSB")</f>
        <v>MXETWEKSB</v>
      </c>
      <c r="B11413" t="s">
        <v>1642</v>
      </c>
      <c r="C11413">
        <v>238</v>
      </c>
      <c r="D11413">
        <v>258.72000000000003</v>
      </c>
      <c r="E11413">
        <v>258.70999999999998</v>
      </c>
      <c r="F11413">
        <v>0.01</v>
      </c>
    </row>
    <row r="11414" spans="1:6" x14ac:dyDescent="0.3">
      <c r="A11414" t="str">
        <f>HYPERLINK("https://us2.cloudbeds.com/connect/10074733072513#/reservations/31727030497420?display=MXEY5GY7F&amp;reservation_id=31727030497420", "MXEY5GY7F")</f>
        <v>MXEY5GY7F</v>
      </c>
      <c r="B11414" t="s">
        <v>1642</v>
      </c>
      <c r="C11414">
        <v>119</v>
      </c>
      <c r="D11414">
        <v>129.36000000000001</v>
      </c>
      <c r="E11414">
        <v>129.35</v>
      </c>
      <c r="F11414">
        <v>0.01</v>
      </c>
    </row>
    <row r="11415" spans="1:6" x14ac:dyDescent="0.3">
      <c r="A11415" t="str">
        <f>HYPERLINK("https://us2.cloudbeds.com/connect/10074733072513#/reservations/31730622288055?display=MXHDV6GTU&amp;reservation_id=31730622288055", "MXHDV6GTU")</f>
        <v>MXHDV6GTU</v>
      </c>
      <c r="B11415" t="s">
        <v>1691</v>
      </c>
      <c r="C11415">
        <v>129</v>
      </c>
      <c r="D11415">
        <v>140.22999999999999</v>
      </c>
      <c r="E11415">
        <v>140.22</v>
      </c>
      <c r="F11415">
        <v>0.01</v>
      </c>
    </row>
    <row r="11416" spans="1:6" x14ac:dyDescent="0.3">
      <c r="A11416" t="str">
        <f>HYPERLINK("https://us2.cloudbeds.com/connect/10074733072513#/reservations/31726256554182?display=MXE1CTHX2&amp;reservation_id=31726256554182", "MXE1CTHX2")</f>
        <v>MXE1CTHX2</v>
      </c>
      <c r="B11416" t="s">
        <v>1707</v>
      </c>
      <c r="C11416">
        <v>119</v>
      </c>
      <c r="D11416">
        <v>129.36000000000001</v>
      </c>
      <c r="E11416">
        <v>129.35</v>
      </c>
      <c r="F11416">
        <v>0.01</v>
      </c>
    </row>
    <row r="11417" spans="1:6" x14ac:dyDescent="0.3">
      <c r="A11417" t="str">
        <f>HYPERLINK("https://us2.cloudbeds.com/connect/10074733072513#/reservations/31721030447299?display=MX9WS3DAR&amp;reservation_id=31721030447299", "MX9WS3DAR")</f>
        <v>MX9WS3DAR</v>
      </c>
      <c r="B11417" t="s">
        <v>1654</v>
      </c>
      <c r="C11417">
        <v>318</v>
      </c>
      <c r="D11417">
        <v>345.68</v>
      </c>
      <c r="E11417">
        <v>345.67</v>
      </c>
      <c r="F11417">
        <v>0.01</v>
      </c>
    </row>
    <row r="11418" spans="1:6" x14ac:dyDescent="0.3">
      <c r="A11418" t="str">
        <f>HYPERLINK("https://us2.cloudbeds.com/connect/10074733072513#/reservations/31721030451402?display=MX9WS3H35&amp;reservation_id=31721030451402", "MX9WS3H35")</f>
        <v>MX9WS3H35</v>
      </c>
      <c r="B11418" t="s">
        <v>1654</v>
      </c>
      <c r="C11418">
        <v>278</v>
      </c>
      <c r="D11418">
        <v>302.2</v>
      </c>
      <c r="E11418">
        <v>302.19</v>
      </c>
      <c r="F11418">
        <v>0.01</v>
      </c>
    </row>
    <row r="11419" spans="1:6" x14ac:dyDescent="0.3">
      <c r="A11419" t="str">
        <f>HYPERLINK("https://us2.cloudbeds.com/connect/10074733072513#/reservations/31727074693367?display=MXEM9PF6J&amp;reservation_id=31727074693367", "MXEM9PF6J")</f>
        <v>MXEM9PF6J</v>
      </c>
      <c r="B11419" t="s">
        <v>1642</v>
      </c>
      <c r="C11419">
        <v>119</v>
      </c>
      <c r="D11419">
        <v>129.36000000000001</v>
      </c>
      <c r="E11419">
        <v>129.35</v>
      </c>
      <c r="F11419">
        <v>0.01</v>
      </c>
    </row>
    <row r="11420" spans="1:6" x14ac:dyDescent="0.3">
      <c r="A11420" t="str">
        <f>HYPERLINK("https://us2.cloudbeds.com/connect/10074733072513#/reservations/31728542294155?display=MXFQQ9KAZ&amp;reservation_id=31728542294155", "MXFQQ9KAZ")</f>
        <v>MXFQQ9KAZ</v>
      </c>
      <c r="B11420" t="s">
        <v>1640</v>
      </c>
      <c r="C11420">
        <v>119</v>
      </c>
      <c r="D11420">
        <v>129.36000000000001</v>
      </c>
      <c r="E11420">
        <v>129.35</v>
      </c>
      <c r="F11420">
        <v>0.01</v>
      </c>
    </row>
    <row r="11421" spans="1:6" x14ac:dyDescent="0.3">
      <c r="A11421" t="str">
        <f>HYPERLINK("https://us2.cloudbeds.com/connect/10074733072513#/reservations/31728553005279?display=MXFR2AM28&amp;reservation_id=31728553005279", "MXFR2AM28")</f>
        <v>MXFR2AM28</v>
      </c>
      <c r="B11421" t="s">
        <v>1640</v>
      </c>
      <c r="C11421">
        <v>119</v>
      </c>
      <c r="D11421">
        <v>129.36000000000001</v>
      </c>
      <c r="E11421">
        <v>129.35</v>
      </c>
      <c r="F11421">
        <v>0.01</v>
      </c>
    </row>
    <row r="11422" spans="1:6" x14ac:dyDescent="0.3">
      <c r="A11422" t="str">
        <f>HYPERLINK("https://us2.cloudbeds.com/connect/10074733072513#/reservations/31727021203704?display=MXEKUM11N&amp;reservation_id=31727021203704", "MXEKUM11N")</f>
        <v>MXEKUM11N</v>
      </c>
      <c r="B11422" t="s">
        <v>1642</v>
      </c>
      <c r="C11422">
        <v>119</v>
      </c>
      <c r="D11422">
        <v>129.36000000000001</v>
      </c>
      <c r="E11422">
        <v>129.35</v>
      </c>
      <c r="F11422">
        <v>0.01</v>
      </c>
    </row>
    <row r="11423" spans="1:6" x14ac:dyDescent="0.3">
      <c r="A11423" t="str">
        <f>HYPERLINK("https://us2.cloudbeds.com/connect/10074733072513#/reservations/31725676896409?display=MXDJJ3N30&amp;reservation_id=31725676896409", "MXDJJ3N30")</f>
        <v>MXDJJ3N30</v>
      </c>
      <c r="B11423" t="s">
        <v>1652</v>
      </c>
      <c r="C11423">
        <v>219</v>
      </c>
      <c r="D11423">
        <v>238.06</v>
      </c>
      <c r="E11423">
        <v>238.05</v>
      </c>
      <c r="F11423">
        <v>0.01</v>
      </c>
    </row>
    <row r="11424" spans="1:6" x14ac:dyDescent="0.3">
      <c r="A11424" t="str">
        <f>HYPERLINK("https://us2.cloudbeds.com/connect/10074733072513#/reservations/31725562900722?display=MXDGYWJS8&amp;reservation_id=31725562900722", "MXDGYWJS8")</f>
        <v>MXDGYWJS8</v>
      </c>
      <c r="B11424" t="s">
        <v>1653</v>
      </c>
      <c r="C11424">
        <v>189</v>
      </c>
      <c r="D11424">
        <v>205.45</v>
      </c>
      <c r="E11424">
        <v>205.44</v>
      </c>
      <c r="F11424">
        <v>0.01</v>
      </c>
    </row>
    <row r="11425" spans="1:6" x14ac:dyDescent="0.3">
      <c r="A11425" t="str">
        <f>HYPERLINK("https://us2.cloudbeds.com/connect/10074733072513#/reservations/31727179194577?display=MXEZVTBTU&amp;reservation_id=31727179194577", "MXEZVTBTU")</f>
        <v>MXEZVTBTU</v>
      </c>
      <c r="B11425" t="s">
        <v>1709</v>
      </c>
      <c r="C11425">
        <v>336</v>
      </c>
      <c r="D11425">
        <v>365.24</v>
      </c>
      <c r="E11425">
        <v>365.23</v>
      </c>
      <c r="F11425">
        <v>0.01</v>
      </c>
    </row>
    <row r="11426" spans="1:6" x14ac:dyDescent="0.3">
      <c r="A11426" t="str">
        <f>HYPERLINK("https://us2.cloudbeds.com/connect/10074733072513#/reservations/31725176447105?display=MXD6Q3VMJ&amp;reservation_id=31725176447105", "MXD6Q3VMJ")</f>
        <v>MXD6Q3VMJ</v>
      </c>
      <c r="B11426" t="s">
        <v>1718</v>
      </c>
      <c r="C11426">
        <v>87.82</v>
      </c>
      <c r="D11426">
        <v>95.47</v>
      </c>
      <c r="E11426">
        <v>95.46</v>
      </c>
      <c r="F11426">
        <v>0.01</v>
      </c>
    </row>
    <row r="11427" spans="1:6" x14ac:dyDescent="0.3">
      <c r="A11427" t="str">
        <f>HYPERLINK("https://us2.cloudbeds.com/connect/10074733072513#/reservations/31727564701941?display=MXF1QVM58&amp;reservation_id=31727564701941", "MXF1QVM58")</f>
        <v>MXF1QVM58</v>
      </c>
      <c r="B11427" t="s">
        <v>1695</v>
      </c>
      <c r="C11427">
        <v>278</v>
      </c>
      <c r="D11427">
        <v>302.2</v>
      </c>
      <c r="E11427">
        <v>302.19</v>
      </c>
      <c r="F11427">
        <v>0.01</v>
      </c>
    </row>
    <row r="11428" spans="1:6" x14ac:dyDescent="0.3">
      <c r="A11428" t="str">
        <f>HYPERLINK("https://us2.cloudbeds.com/connect/10074733072513#/reservations/31726905766097?display=MXEHWAQZD&amp;reservation_id=31726905766097", "MXEHWAQZD")</f>
        <v>MXEHWAQZD</v>
      </c>
      <c r="B11428" t="s">
        <v>1642</v>
      </c>
      <c r="C11428">
        <v>119</v>
      </c>
      <c r="D11428">
        <v>129.36000000000001</v>
      </c>
      <c r="E11428">
        <v>129.35</v>
      </c>
      <c r="F11428">
        <v>0.01</v>
      </c>
    </row>
    <row r="11429" spans="1:6" x14ac:dyDescent="0.3">
      <c r="A11429" t="str">
        <f>HYPERLINK("https://us2.cloudbeds.com/connect/10074733072513#/reservations/31729124876436?display=MXG8MHR98&amp;reservation_id=31729124876436", "MXG8MHR98")</f>
        <v>MXG8MHR98</v>
      </c>
      <c r="B11429" t="s">
        <v>1385</v>
      </c>
      <c r="C11429">
        <v>298</v>
      </c>
      <c r="D11429">
        <v>323.94</v>
      </c>
      <c r="E11429">
        <v>323.93</v>
      </c>
      <c r="F11429">
        <v>0.01</v>
      </c>
    </row>
    <row r="11430" spans="1:6" x14ac:dyDescent="0.3">
      <c r="A11430" t="str">
        <f>HYPERLINK("https://us2.cloudbeds.com/connect/10074733072513#/reservations/31726709145803?display=MXECVHXGM&amp;reservation_id=31726709145803", "MXECVHXGM")</f>
        <v>MXECVHXGM</v>
      </c>
      <c r="B11430" t="s">
        <v>1720</v>
      </c>
      <c r="C11430">
        <v>258</v>
      </c>
      <c r="D11430">
        <v>280.45999999999998</v>
      </c>
      <c r="E11430">
        <v>280.45</v>
      </c>
      <c r="F11430">
        <v>0.01</v>
      </c>
    </row>
    <row r="11431" spans="1:6" x14ac:dyDescent="0.3">
      <c r="A11431" t="str">
        <f>HYPERLINK("https://us2.cloudbeds.com/connect/10074733072513#/reservations/31727916282055?display=MXFAQDTU3&amp;reservation_id=31727916282055", "MXFAQDTU3")</f>
        <v>MXFAQDTU3</v>
      </c>
      <c r="B11431" t="s">
        <v>1645</v>
      </c>
      <c r="C11431">
        <v>105.78</v>
      </c>
      <c r="D11431">
        <v>114.99</v>
      </c>
      <c r="E11431">
        <v>114.98</v>
      </c>
      <c r="F11431">
        <v>0.01</v>
      </c>
    </row>
    <row r="11432" spans="1:6" x14ac:dyDescent="0.3">
      <c r="A11432" t="str">
        <f>HYPERLINK("https://us2.cloudbeds.com/connect/10074733072513#/reservations/31723769270493?display=MXC3RX6G2&amp;reservation_id=31723769270493", "MXC3RX6G2")</f>
        <v>MXC3RX6G2</v>
      </c>
      <c r="B11432" t="s">
        <v>1698</v>
      </c>
      <c r="C11432">
        <v>169</v>
      </c>
      <c r="D11432">
        <v>183.71</v>
      </c>
      <c r="E11432">
        <v>183.7</v>
      </c>
      <c r="F11432">
        <v>0.01</v>
      </c>
    </row>
    <row r="11433" spans="1:6" x14ac:dyDescent="0.3">
      <c r="A11433" t="str">
        <f>HYPERLINK("https://us2.cloudbeds.com/connect/10074733072513#/reservations/31725571399884?display=MXDGT53DK&amp;reservation_id=31725571399884", "MXDGT53DK")</f>
        <v>MXDGT53DK</v>
      </c>
      <c r="B11433" t="s">
        <v>1653</v>
      </c>
      <c r="C11433">
        <v>179</v>
      </c>
      <c r="D11433">
        <v>194.58</v>
      </c>
      <c r="E11433">
        <v>194.57</v>
      </c>
      <c r="F11433">
        <v>0.01</v>
      </c>
    </row>
    <row r="11434" spans="1:6" x14ac:dyDescent="0.3">
      <c r="A11434" t="str">
        <f>HYPERLINK("https://us2.cloudbeds.com/connect/10074733072513#/reservations/31721775534281?display=MXAXTCX27&amp;reservation_id=31721775534281", "MXAXTCX27")</f>
        <v>MXAXTCX27</v>
      </c>
      <c r="B11434" t="s">
        <v>1722</v>
      </c>
      <c r="C11434">
        <v>119</v>
      </c>
      <c r="D11434">
        <v>129.36000000000001</v>
      </c>
      <c r="E11434">
        <v>129.35</v>
      </c>
      <c r="F11434">
        <v>0.01</v>
      </c>
    </row>
    <row r="11435" spans="1:6" x14ac:dyDescent="0.3">
      <c r="A11435" t="str">
        <f>HYPERLINK("https://us2.cloudbeds.com/connect/10074733072513#/reservations/31726454702257?display=MXE6EW9N5&amp;reservation_id=31726454702257", "MXE6EW9N5")</f>
        <v>MXE6EW9N5</v>
      </c>
      <c r="B11435" t="s">
        <v>1703</v>
      </c>
      <c r="C11435">
        <v>149</v>
      </c>
      <c r="D11435">
        <v>161.97</v>
      </c>
      <c r="E11435">
        <v>161.96</v>
      </c>
      <c r="F11435">
        <v>0.01</v>
      </c>
    </row>
    <row r="11436" spans="1:6" x14ac:dyDescent="0.3">
      <c r="A11436" t="str">
        <f>HYPERLINK("https://us2.cloudbeds.com/connect/10074733072513#/reservations/31728939937950?display=MXG3VJY4N&amp;reservation_id=31728939937950", "MXG3VJY4N")</f>
        <v>MXG3VJY4N</v>
      </c>
      <c r="B11436" t="s">
        <v>1716</v>
      </c>
      <c r="C11436">
        <v>119</v>
      </c>
      <c r="D11436">
        <v>129.36000000000001</v>
      </c>
      <c r="E11436">
        <v>129.35</v>
      </c>
      <c r="F11436">
        <v>0.01</v>
      </c>
    </row>
    <row r="11437" spans="1:6" x14ac:dyDescent="0.3">
      <c r="A11437" t="str">
        <f>HYPERLINK("https://us2.cloudbeds.com/connect/10074733072513#/reservations/31727118926062?display=MXENE29U9&amp;reservation_id=31727118926062", "MXENE29U9")</f>
        <v>MXENE29U9</v>
      </c>
      <c r="B11437" t="s">
        <v>1642</v>
      </c>
      <c r="C11437">
        <v>87.82</v>
      </c>
      <c r="D11437">
        <v>95.47</v>
      </c>
      <c r="E11437">
        <v>95.46</v>
      </c>
      <c r="F11437">
        <v>0.01</v>
      </c>
    </row>
    <row r="11438" spans="1:6" x14ac:dyDescent="0.3">
      <c r="A11438" t="str">
        <f>HYPERLINK("https://us2.cloudbeds.com/connect/10074733072513#/reservations/31713862897862?display=MX4EN7PJ1&amp;reservation_id=31713862897862", "MX4EN7PJ1")</f>
        <v>MX4EN7PJ1</v>
      </c>
      <c r="B11438" t="s">
        <v>1690</v>
      </c>
      <c r="C11438">
        <v>159</v>
      </c>
      <c r="D11438">
        <v>172.84</v>
      </c>
      <c r="E11438">
        <v>172.83</v>
      </c>
      <c r="F11438">
        <v>0.01</v>
      </c>
    </row>
    <row r="11439" spans="1:6" x14ac:dyDescent="0.3">
      <c r="A11439" t="str">
        <f>HYPERLINK("https://us2.cloudbeds.com/connect/10074733072513#/reservations/31727455957220?display=MXEW18MZM&amp;reservation_id=31727455957220", "MXEW18MZM")</f>
        <v>MXEW18MZM</v>
      </c>
      <c r="B11439" t="s">
        <v>1652</v>
      </c>
      <c r="C11439">
        <v>179</v>
      </c>
      <c r="D11439">
        <v>194.58</v>
      </c>
      <c r="E11439">
        <v>194.57</v>
      </c>
      <c r="F11439">
        <v>0.01</v>
      </c>
    </row>
    <row r="11440" spans="1:6" x14ac:dyDescent="0.3">
      <c r="A11440" t="str">
        <f>HYPERLINK("https://us2.cloudbeds.com/connect/10074733072513#/reservations/31724660785370?display=MXCQK9U3D&amp;reservation_id=31724660785370", "MXCQK9U3D")</f>
        <v>MXCQK9U3D</v>
      </c>
      <c r="B11440" t="s">
        <v>1718</v>
      </c>
      <c r="C11440">
        <v>119</v>
      </c>
      <c r="D11440">
        <v>129.36000000000001</v>
      </c>
      <c r="E11440">
        <v>129.35</v>
      </c>
      <c r="F11440">
        <v>0.01</v>
      </c>
    </row>
    <row r="11441" spans="1:6" x14ac:dyDescent="0.3">
      <c r="A11441" t="str">
        <f>HYPERLINK("https://us2.cloudbeds.com/connect/10074733072513#/reservations/31727641600132?display=MXF3PQFZF&amp;reservation_id=31727641600132", "MXF3PQFZF")</f>
        <v>MXF3PQFZF</v>
      </c>
      <c r="B11441" t="s">
        <v>1718</v>
      </c>
      <c r="C11441">
        <v>87.82</v>
      </c>
      <c r="D11441">
        <v>95.47</v>
      </c>
      <c r="E11441">
        <v>95.46</v>
      </c>
      <c r="F11441">
        <v>0.01</v>
      </c>
    </row>
    <row r="11442" spans="1:6" x14ac:dyDescent="0.3">
      <c r="A11442" t="str">
        <f>HYPERLINK("https://us2.cloudbeds.com/connect/10074733072513#/reservations/31727652532383?display=MXF420MHQ&amp;reservation_id=31727652532383", "MXF420MHQ")</f>
        <v>MXF420MHQ</v>
      </c>
      <c r="B11442" t="s">
        <v>1718</v>
      </c>
      <c r="C11442">
        <v>119</v>
      </c>
      <c r="D11442">
        <v>129.36000000000001</v>
      </c>
      <c r="E11442">
        <v>129.35</v>
      </c>
      <c r="F11442">
        <v>0.01</v>
      </c>
    </row>
    <row r="11443" spans="1:6" x14ac:dyDescent="0.3">
      <c r="A11443" t="str">
        <f>HYPERLINK("https://us2.cloudbeds.com/connect/10074733072513#/reservations/31728971747570?display=MXG4PDQ2J&amp;reservation_id=31728971747570", "MXG4PDQ2J")</f>
        <v>MXG4PDQ2J</v>
      </c>
      <c r="B11443" t="s">
        <v>1716</v>
      </c>
      <c r="C11443">
        <v>119</v>
      </c>
      <c r="D11443">
        <v>129.36000000000001</v>
      </c>
      <c r="E11443">
        <v>129.35</v>
      </c>
      <c r="F11443">
        <v>0.01</v>
      </c>
    </row>
    <row r="11444" spans="1:6" x14ac:dyDescent="0.3">
      <c r="A11444" t="str">
        <f>HYPERLINK("https://us2.cloudbeds.com/connect/10074733072513#/reservations/31726885884066?display=MXEHFXXJK&amp;reservation_id=31726885884066", "MXEHFXXJK")</f>
        <v>MXEHFXXJK</v>
      </c>
      <c r="B11444" t="s">
        <v>1716</v>
      </c>
      <c r="C11444">
        <v>119</v>
      </c>
      <c r="D11444">
        <v>129.36000000000001</v>
      </c>
      <c r="E11444">
        <v>129.35</v>
      </c>
      <c r="F11444">
        <v>0.01</v>
      </c>
    </row>
    <row r="11445" spans="1:6" x14ac:dyDescent="0.3">
      <c r="A11445" t="str">
        <f>HYPERLINK("https://us2.cloudbeds.com/connect/10074733072513#/reservations/31725086146705?display=MXD4FW76R&amp;reservation_id=31725086146705", "MXD4FW76R")</f>
        <v>MXD4FW76R</v>
      </c>
      <c r="B11445" t="s">
        <v>1718</v>
      </c>
      <c r="C11445">
        <v>119</v>
      </c>
      <c r="D11445">
        <v>129.36000000000001</v>
      </c>
      <c r="E11445">
        <v>129.35</v>
      </c>
      <c r="F11445">
        <v>0.01</v>
      </c>
    </row>
    <row r="11446" spans="1:6" x14ac:dyDescent="0.3">
      <c r="A11446" t="str">
        <f>HYPERLINK("https://us2.cloudbeds.com/connect/10074733072513#/reservations/31727652528288?display=MXF420XPN&amp;reservation_id=31727652528288", "MXF420XPN")</f>
        <v>MXF420XPN</v>
      </c>
      <c r="B11446" t="s">
        <v>1718</v>
      </c>
      <c r="C11446">
        <v>119</v>
      </c>
      <c r="D11446">
        <v>129.36000000000001</v>
      </c>
      <c r="E11446">
        <v>129.35</v>
      </c>
      <c r="F11446">
        <v>0.01</v>
      </c>
    </row>
    <row r="11447" spans="1:6" x14ac:dyDescent="0.3">
      <c r="A11447" t="str">
        <f>HYPERLINK("https://us2.cloudbeds.com/connect/10074733072513#/reservations/31722576556271?display=MXB6BR5ES&amp;reservation_id=31722576556271", "MXB6BR5ES")</f>
        <v>MXB6BR5ES</v>
      </c>
      <c r="B11447" t="s">
        <v>1723</v>
      </c>
      <c r="C11447">
        <v>159</v>
      </c>
      <c r="D11447">
        <v>172.84</v>
      </c>
      <c r="E11447">
        <v>172.83</v>
      </c>
      <c r="F11447">
        <v>0.01</v>
      </c>
    </row>
    <row r="11448" spans="1:6" x14ac:dyDescent="0.3">
      <c r="A11448" t="str">
        <f>HYPERLINK("https://us2.cloudbeds.com/connect/10074733072513#/reservations/31727712174297?display=MXF5JAA4H&amp;reservation_id=31727712174297", "MXF5JAA4H")</f>
        <v>MXF5JAA4H</v>
      </c>
      <c r="B11448" t="s">
        <v>1716</v>
      </c>
      <c r="C11448">
        <v>119</v>
      </c>
      <c r="D11448">
        <v>129.36000000000001</v>
      </c>
      <c r="E11448">
        <v>129.35</v>
      </c>
      <c r="F11448">
        <v>0.01</v>
      </c>
    </row>
    <row r="11449" spans="1:6" x14ac:dyDescent="0.3">
      <c r="A11449" t="str">
        <f>HYPERLINK("https://us2.cloudbeds.com/connect/10074733072513#/reservations/31727689580691?display=MXF508K0Q&amp;reservation_id=31727689580691", "MXF508K0Q")</f>
        <v>MXF508K0Q</v>
      </c>
      <c r="B11449" t="s">
        <v>1716</v>
      </c>
      <c r="C11449">
        <v>119</v>
      </c>
      <c r="D11449">
        <v>129.36000000000001</v>
      </c>
      <c r="E11449">
        <v>129.35</v>
      </c>
      <c r="F11449">
        <v>0.01</v>
      </c>
    </row>
    <row r="11450" spans="1:6" x14ac:dyDescent="0.3">
      <c r="A11450" t="str">
        <f>HYPERLINK("https://us2.cloudbeds.com/connect/10074733072513#/reservations/31730653528304?display=MXHEZHR04&amp;reservation_id=31730653528304", "MXHEZHR04")</f>
        <v>MXHEZHR04</v>
      </c>
      <c r="B11450" t="s">
        <v>1691</v>
      </c>
      <c r="C11450">
        <v>129</v>
      </c>
      <c r="D11450">
        <v>140.22999999999999</v>
      </c>
      <c r="E11450">
        <v>140.22</v>
      </c>
      <c r="F11450">
        <v>0.01</v>
      </c>
    </row>
    <row r="11451" spans="1:6" x14ac:dyDescent="0.3">
      <c r="A11451" t="str">
        <f>HYPERLINK("https://us2.cloudbeds.com/connect/10074733072513#/reservations/31728624763033?display=MXFSTREAY&amp;reservation_id=31728624763033", "MXFSTREAY")</f>
        <v>MXFSTREAY</v>
      </c>
      <c r="B11451" t="s">
        <v>1713</v>
      </c>
      <c r="C11451">
        <v>298</v>
      </c>
      <c r="D11451">
        <v>323.94</v>
      </c>
      <c r="E11451">
        <v>323.93</v>
      </c>
      <c r="F11451">
        <v>0.01</v>
      </c>
    </row>
    <row r="11452" spans="1:6" x14ac:dyDescent="0.3">
      <c r="A11452" t="str">
        <f>HYPERLINK("https://us2.cloudbeds.com/connect/10074733072513#/reservations/31727627849908?display=MXF3E6S90&amp;reservation_id=31727627849908", "MXF3E6S90")</f>
        <v>MXF3E6S90</v>
      </c>
      <c r="B11452" t="s">
        <v>1695</v>
      </c>
      <c r="C11452">
        <v>102.58</v>
      </c>
      <c r="D11452">
        <v>111.51</v>
      </c>
      <c r="E11452">
        <v>111.5</v>
      </c>
      <c r="F11452">
        <v>0.01</v>
      </c>
    </row>
    <row r="11453" spans="1:6" x14ac:dyDescent="0.3">
      <c r="A11453" t="str">
        <f>HYPERLINK("https://us2.cloudbeds.com/connect/10074733072513#/reservations/31727473758379?display=MXEWG912Z&amp;reservation_id=31727473758379", "MXEWG912Z")</f>
        <v>MXEWG912Z</v>
      </c>
      <c r="B11453" t="s">
        <v>1652</v>
      </c>
      <c r="C11453">
        <v>199</v>
      </c>
      <c r="D11453">
        <v>216.32</v>
      </c>
      <c r="E11453">
        <v>216.31</v>
      </c>
      <c r="F11453">
        <v>0.01</v>
      </c>
    </row>
    <row r="11454" spans="1:6" x14ac:dyDescent="0.3">
      <c r="A11454" t="str">
        <f>HYPERLINK("https://us2.cloudbeds.com/connect/10074733072513#/reservations/31727624704129?display=MXF3BXAJC&amp;reservation_id=31727624704129", "MXF3BXAJC")</f>
        <v>MXF3BXAJC</v>
      </c>
      <c r="B11454" t="s">
        <v>1695</v>
      </c>
      <c r="C11454">
        <v>102.58</v>
      </c>
      <c r="D11454">
        <v>111.51</v>
      </c>
      <c r="E11454">
        <v>111.5</v>
      </c>
      <c r="F11454">
        <v>0.01</v>
      </c>
    </row>
    <row r="11455" spans="1:6" x14ac:dyDescent="0.3">
      <c r="A11455" t="str">
        <f>HYPERLINK("https://us2.cloudbeds.com/connect/10074733072513#/reservations/31730641072292?display=MXHEE16W7&amp;reservation_id=31730641072292", "MXHEE16W7")</f>
        <v>MXHEE16W7</v>
      </c>
      <c r="B11455" t="s">
        <v>1691</v>
      </c>
      <c r="C11455">
        <v>129</v>
      </c>
      <c r="D11455">
        <v>140.22999999999999</v>
      </c>
      <c r="E11455">
        <v>140.22</v>
      </c>
      <c r="F11455">
        <v>0.01</v>
      </c>
    </row>
    <row r="11456" spans="1:6" x14ac:dyDescent="0.3">
      <c r="A11456" t="str">
        <f>HYPERLINK("https://us2.cloudbeds.com/connect/10074733072513#/reservations/31728487239819?display=MXFPCSYCH&amp;reservation_id=31728487239819", "MXFPCSYCH")</f>
        <v>MXFPCSYCH</v>
      </c>
      <c r="B11456" t="s">
        <v>1696</v>
      </c>
      <c r="C11456">
        <v>97.74</v>
      </c>
      <c r="D11456">
        <v>106.25</v>
      </c>
      <c r="E11456">
        <v>106.24</v>
      </c>
      <c r="F11456">
        <v>0.01</v>
      </c>
    </row>
    <row r="11457" spans="1:6" x14ac:dyDescent="0.3">
      <c r="A11457" t="str">
        <f>HYPERLINK("https://us2.cloudbeds.com/connect/10074733072513#/reservations/31726722334916?display=MXED9YXNP&amp;reservation_id=31726722334916", "MXED9YXNP")</f>
        <v>MXED9YXNP</v>
      </c>
      <c r="B11457" t="s">
        <v>1654</v>
      </c>
      <c r="C11457">
        <v>179</v>
      </c>
      <c r="D11457">
        <v>194.58</v>
      </c>
      <c r="E11457">
        <v>194.57</v>
      </c>
      <c r="F11457">
        <v>0.01</v>
      </c>
    </row>
    <row r="11458" spans="1:6" x14ac:dyDescent="0.3">
      <c r="A11458" t="str">
        <f>HYPERLINK("https://us2.cloudbeds.com/connect/10074733072513#/reservations/31730570989710?display=MXHCKV1WK&amp;reservation_id=31730570989710", "MXHCKV1WK")</f>
        <v>MXHCKV1WK</v>
      </c>
      <c r="B11458" t="s">
        <v>1698</v>
      </c>
      <c r="C11458">
        <v>159</v>
      </c>
      <c r="D11458">
        <v>172.84</v>
      </c>
      <c r="E11458">
        <v>172.83</v>
      </c>
      <c r="F11458">
        <v>0.01</v>
      </c>
    </row>
    <row r="11459" spans="1:6" x14ac:dyDescent="0.3">
      <c r="A11459" t="str">
        <f>HYPERLINK("https://us2.cloudbeds.com/connect/10074733072513#/reservations/31726646272171?display=MXEBBH0A3&amp;reservation_id=31726646272171", "MXEBBH0A3")</f>
        <v>MXEBBH0A3</v>
      </c>
      <c r="B11459" t="s">
        <v>1720</v>
      </c>
      <c r="C11459">
        <v>252</v>
      </c>
      <c r="D11459">
        <v>273.93</v>
      </c>
      <c r="E11459">
        <v>273.92</v>
      </c>
      <c r="F11459">
        <v>0.01</v>
      </c>
    </row>
    <row r="11460" spans="1:6" x14ac:dyDescent="0.3">
      <c r="A11460" t="str">
        <f>HYPERLINK("https://us2.cloudbeds.com/connect/10074733072513#/reservations/31726707998932?display=MXECUXYC0&amp;reservation_id=31726707998932", "MXECUXYC0")</f>
        <v>MXECUXYC0</v>
      </c>
      <c r="B11460" t="s">
        <v>1653</v>
      </c>
      <c r="C11460">
        <v>179</v>
      </c>
      <c r="D11460">
        <v>194.58</v>
      </c>
      <c r="E11460">
        <v>194.57</v>
      </c>
      <c r="F11460">
        <v>0.01</v>
      </c>
    </row>
    <row r="11461" spans="1:6" x14ac:dyDescent="0.3">
      <c r="A11461" t="str">
        <f>HYPERLINK("https://us2.cloudbeds.com/connect/10074733072513#/reservations/31723494940870?display=MXBTR7XR6&amp;reservation_id=31723494940870", "MXBTR7XR6")</f>
        <v>MXBTR7XR6</v>
      </c>
      <c r="B11461" t="s">
        <v>1725</v>
      </c>
      <c r="C11461">
        <v>313.2</v>
      </c>
      <c r="D11461">
        <v>340.46</v>
      </c>
      <c r="E11461">
        <v>340.45</v>
      </c>
      <c r="F11461">
        <v>0.01</v>
      </c>
    </row>
    <row r="11462" spans="1:6" x14ac:dyDescent="0.3">
      <c r="A11462" t="str">
        <f>HYPERLINK("https://us2.cloudbeds.com/connect/10074733072513#/reservations/31727639122121?display=MXF3NNH87&amp;reservation_id=31727639122121", "MXF3NNH87")</f>
        <v>MXF3NNH87</v>
      </c>
      <c r="B11462" t="s">
        <v>1695</v>
      </c>
      <c r="C11462">
        <v>110.86</v>
      </c>
      <c r="D11462">
        <v>120.51</v>
      </c>
      <c r="E11462">
        <v>120.5</v>
      </c>
      <c r="F11462">
        <v>0.01</v>
      </c>
    </row>
    <row r="11463" spans="1:6" x14ac:dyDescent="0.3">
      <c r="A11463" t="str">
        <f>HYPERLINK("https://us2.cloudbeds.com/connect/10074733072513#/reservations/31730363879574?display=MXH7B9U6T&amp;reservation_id=31730363879574", "MXH7B9U6T")</f>
        <v>MXH7B9U6T</v>
      </c>
      <c r="B11463" t="s">
        <v>1691</v>
      </c>
      <c r="C11463">
        <v>129</v>
      </c>
      <c r="D11463">
        <v>140.22999999999999</v>
      </c>
      <c r="E11463">
        <v>140.22</v>
      </c>
      <c r="F11463">
        <v>0.01</v>
      </c>
    </row>
    <row r="11464" spans="1:6" x14ac:dyDescent="0.3">
      <c r="A11464" t="str">
        <f>HYPERLINK("https://us2.cloudbeds.com/connect/10074733072513#/reservations/31727593492678?display=MXF2X7QUR&amp;reservation_id=31727593492678", "MXF2X7QUR")</f>
        <v>MXF2X7QUR</v>
      </c>
      <c r="B11464" t="s">
        <v>1695</v>
      </c>
      <c r="C11464">
        <v>205.16</v>
      </c>
      <c r="D11464">
        <v>223.02</v>
      </c>
      <c r="E11464">
        <v>223.01</v>
      </c>
      <c r="F11464">
        <v>0.01</v>
      </c>
    </row>
    <row r="11465" spans="1:6" x14ac:dyDescent="0.3">
      <c r="A11465" t="str">
        <f>HYPERLINK("https://us2.cloudbeds.com/connect/10074733072513#/reservations/31728452006048?display=MXFZG574G&amp;reservation_id=31728452006048", "MXFZG574G")</f>
        <v>MXFZG574G</v>
      </c>
      <c r="B11465" t="s">
        <v>1696</v>
      </c>
      <c r="C11465">
        <v>428.4</v>
      </c>
      <c r="D11465">
        <v>465.68</v>
      </c>
      <c r="E11465">
        <v>465.67</v>
      </c>
      <c r="F11465">
        <v>0.01</v>
      </c>
    </row>
    <row r="11466" spans="1:6" x14ac:dyDescent="0.3">
      <c r="A11466" t="str">
        <f>HYPERLINK("https://us2.cloudbeds.com/connect/10074733072513#/reservations/31728136171680?display=MXFGDRYP2&amp;reservation_id=31728136171680", "MXFGDRYP2")</f>
        <v>MXFGDRYP2</v>
      </c>
      <c r="B11466" t="s">
        <v>1709</v>
      </c>
      <c r="C11466">
        <v>238</v>
      </c>
      <c r="D11466">
        <v>258.72000000000003</v>
      </c>
      <c r="E11466">
        <v>258.70999999999998</v>
      </c>
      <c r="F11466">
        <v>0.01</v>
      </c>
    </row>
    <row r="11467" spans="1:6" x14ac:dyDescent="0.3">
      <c r="A11467" t="str">
        <f>HYPERLINK("https://us2.cloudbeds.com/connect/10074733072513#/reservations/31724536152266?display=MXCNE6QQM&amp;reservation_id=31724536152266", "MXCNE6QQM")</f>
        <v>MXCNE6QQM</v>
      </c>
      <c r="B11467" t="s">
        <v>1726</v>
      </c>
      <c r="C11467">
        <v>238</v>
      </c>
      <c r="D11467">
        <v>258.72000000000003</v>
      </c>
      <c r="E11467">
        <v>258.70999999999998</v>
      </c>
      <c r="F11467">
        <v>0.01</v>
      </c>
    </row>
    <row r="11468" spans="1:6" x14ac:dyDescent="0.3">
      <c r="A11468" t="str">
        <f>HYPERLINK("https://us2.cloudbeds.com/connect/10074733072513#/reservations/31727930495116?display=MXFB5DDCU&amp;reservation_id=31727930495116", "MXFB5DDCU")</f>
        <v>MXFB5DDCU</v>
      </c>
      <c r="B11468" t="s">
        <v>1645</v>
      </c>
      <c r="C11468">
        <v>87.82</v>
      </c>
      <c r="D11468">
        <v>95.47</v>
      </c>
      <c r="E11468">
        <v>95.46</v>
      </c>
      <c r="F11468">
        <v>0.01</v>
      </c>
    </row>
    <row r="11469" spans="1:6" x14ac:dyDescent="0.3">
      <c r="A11469" t="str">
        <f>HYPERLINK("https://us2.cloudbeds.com/connect/10074733072513#/reservations/31714311172231?display=MX4Q57M3R&amp;reservation_id=31714311172231", "MX4Q57M3R")</f>
        <v>MX4Q57M3R</v>
      </c>
      <c r="B11469" t="s">
        <v>1690</v>
      </c>
      <c r="C11469">
        <v>159</v>
      </c>
      <c r="D11469">
        <v>172.84</v>
      </c>
      <c r="E11469">
        <v>172.83</v>
      </c>
      <c r="F11469">
        <v>0.01</v>
      </c>
    </row>
    <row r="11470" spans="1:6" x14ac:dyDescent="0.3">
      <c r="A11470" t="str">
        <f>HYPERLINK("https://us2.cloudbeds.com/connect/10074733072513#/reservations/31724857880790?display=MXCVYGCKT&amp;reservation_id=31724857880790", "MXCVYGCKT")</f>
        <v>MXCVYGCKT</v>
      </c>
      <c r="B11470" t="s">
        <v>1705</v>
      </c>
      <c r="C11470">
        <v>129</v>
      </c>
      <c r="D11470">
        <v>140.22999999999999</v>
      </c>
      <c r="E11470">
        <v>140.22</v>
      </c>
      <c r="F11470">
        <v>0.01</v>
      </c>
    </row>
    <row r="11471" spans="1:6" x14ac:dyDescent="0.3">
      <c r="A11471" t="str">
        <f>HYPERLINK("https://us2.cloudbeds.com/connect/10074733072513#/reservations/31717116276864?display=MX6VXVJA8&amp;reservation_id=31717116276864", "MX6VXVJA8")</f>
        <v>MX6VXVJA8</v>
      </c>
      <c r="B11471" t="s">
        <v>1690</v>
      </c>
      <c r="C11471">
        <v>338</v>
      </c>
      <c r="D11471">
        <v>367.42</v>
      </c>
      <c r="E11471">
        <v>367.41</v>
      </c>
      <c r="F11471">
        <v>0.01</v>
      </c>
    </row>
    <row r="11472" spans="1:6" x14ac:dyDescent="0.3">
      <c r="A11472" t="str">
        <f>HYPERLINK("https://us2.cloudbeds.com/connect/10074733072513#/reservations/31717117907142?display=MX6VSV6QS&amp;reservation_id=31717117907142", "MX6VSV6QS")</f>
        <v>MX6VSV6QS</v>
      </c>
      <c r="B11472" t="s">
        <v>1690</v>
      </c>
      <c r="C11472">
        <v>318</v>
      </c>
      <c r="D11472">
        <v>345.68</v>
      </c>
      <c r="E11472">
        <v>345.67</v>
      </c>
      <c r="F11472">
        <v>0.01</v>
      </c>
    </row>
    <row r="11473" spans="1:6" x14ac:dyDescent="0.3">
      <c r="A11473" t="str">
        <f>HYPERLINK("https://us2.cloudbeds.com/connect/10074733072513#/reservations/31717127794851?display=MX6W49BED&amp;reservation_id=31717127794851", "MX6W49BED")</f>
        <v>MX6W49BED</v>
      </c>
      <c r="B11473" t="s">
        <v>1690</v>
      </c>
      <c r="C11473">
        <v>318</v>
      </c>
      <c r="D11473">
        <v>345.68</v>
      </c>
      <c r="E11473">
        <v>345.67</v>
      </c>
      <c r="F11473">
        <v>0.01</v>
      </c>
    </row>
    <row r="11474" spans="1:6" x14ac:dyDescent="0.3">
      <c r="A11474" t="str">
        <f>HYPERLINK("https://us2.cloudbeds.com/connect/10074733072513#/reservations/31723655245954?display=MXC0UD9P0&amp;reservation_id=31723655245954", "MXC0UD9P0")</f>
        <v>MXC0UD9P0</v>
      </c>
      <c r="B11474" t="s">
        <v>1720</v>
      </c>
      <c r="C11474">
        <v>87.82</v>
      </c>
      <c r="D11474">
        <v>95.47</v>
      </c>
      <c r="E11474">
        <v>95.46</v>
      </c>
      <c r="F11474">
        <v>0.01</v>
      </c>
    </row>
    <row r="11475" spans="1:6" x14ac:dyDescent="0.3">
      <c r="A11475" t="str">
        <f>HYPERLINK("https://us2.cloudbeds.com/connect/10074733072513#/reservations/31721065336987?display=MXA0ZH8K3&amp;reservation_id=31721065336987", "MXA0ZH8K3")</f>
        <v>MXA0ZH8K3</v>
      </c>
      <c r="B11475" t="s">
        <v>1654</v>
      </c>
      <c r="C11475">
        <v>159</v>
      </c>
      <c r="D11475">
        <v>172.84</v>
      </c>
      <c r="E11475">
        <v>172.83</v>
      </c>
      <c r="F11475">
        <v>0.01</v>
      </c>
    </row>
    <row r="11476" spans="1:6" x14ac:dyDescent="0.3">
      <c r="A11476" t="str">
        <f>HYPERLINK("https://us2.cloudbeds.com/connect/10074733072513#/reservations/31727898538200?display=MXFABF56H&amp;reservation_id=31727898538200", "MXFABF56H")</f>
        <v>MXFABF56H</v>
      </c>
      <c r="B11476" t="s">
        <v>1645</v>
      </c>
      <c r="C11476">
        <v>318</v>
      </c>
      <c r="D11476">
        <v>345.68</v>
      </c>
      <c r="E11476">
        <v>345.67</v>
      </c>
      <c r="F11476">
        <v>0.01</v>
      </c>
    </row>
    <row r="11477" spans="1:6" x14ac:dyDescent="0.3">
      <c r="A11477" t="str">
        <f>HYPERLINK("https://us2.cloudbeds.com/connect/10074733072513#/reservations/31726613635289?display=MXEAGWRNM&amp;reservation_id=31726613635289", "MXEAGWRNM")</f>
        <v>MXEAGWRNM</v>
      </c>
      <c r="B11477" t="s">
        <v>1720</v>
      </c>
      <c r="C11477">
        <v>218</v>
      </c>
      <c r="D11477">
        <v>236.98</v>
      </c>
      <c r="E11477">
        <v>236.97</v>
      </c>
      <c r="F11477">
        <v>0.01</v>
      </c>
    </row>
    <row r="11478" spans="1:6" x14ac:dyDescent="0.3">
      <c r="A11478" t="str">
        <f>HYPERLINK("https://us2.cloudbeds.com/connect/10074733072513#/reservations/31717170872546?display=MX707K1X4&amp;reservation_id=31717170872546", "MX707K1X4")</f>
        <v>MX707K1X4</v>
      </c>
      <c r="B11478" t="s">
        <v>1690</v>
      </c>
      <c r="C11478">
        <v>318</v>
      </c>
      <c r="D11478">
        <v>345.68</v>
      </c>
      <c r="E11478">
        <v>345.67</v>
      </c>
      <c r="F11478">
        <v>0.01</v>
      </c>
    </row>
    <row r="11479" spans="1:6" x14ac:dyDescent="0.3">
      <c r="A11479" t="str">
        <f>HYPERLINK("https://us2.cloudbeds.com/connect/10074733072513#/reservations/31727948603524?display=MXFBKM9SX&amp;reservation_id=31727948603524", "MXFBKM9SX")</f>
        <v>MXFBKM9SX</v>
      </c>
      <c r="B11479" t="s">
        <v>1645</v>
      </c>
      <c r="C11479">
        <v>97.74</v>
      </c>
      <c r="D11479">
        <v>106.25</v>
      </c>
      <c r="E11479">
        <v>106.24</v>
      </c>
      <c r="F11479">
        <v>0.01</v>
      </c>
    </row>
    <row r="11480" spans="1:6" x14ac:dyDescent="0.3">
      <c r="A11480" t="str">
        <f>HYPERLINK("https://us2.cloudbeds.com/connect/10074733072513#/reservations/31717158125707?display=MX6WTSBF9&amp;reservation_id=31717158125707", "MX6WTSBF9")</f>
        <v>MX6WTSBF9</v>
      </c>
      <c r="B11480" t="s">
        <v>1690</v>
      </c>
      <c r="C11480">
        <v>318</v>
      </c>
      <c r="D11480">
        <v>345.68</v>
      </c>
      <c r="E11480">
        <v>345.67</v>
      </c>
      <c r="F11480">
        <v>0.01</v>
      </c>
    </row>
    <row r="11481" spans="1:6" x14ac:dyDescent="0.3">
      <c r="A11481" t="str">
        <f>HYPERLINK("https://us2.cloudbeds.com/connect/10074733072513#/reservations/31727540822262?display=MXF16R62K&amp;reservation_id=31727540822262", "MXF16R62K")</f>
        <v>MXF16R62K</v>
      </c>
      <c r="B11481" t="s">
        <v>1654</v>
      </c>
      <c r="C11481">
        <v>398</v>
      </c>
      <c r="D11481">
        <v>432.64</v>
      </c>
      <c r="E11481">
        <v>432.63</v>
      </c>
      <c r="F11481">
        <v>0.01</v>
      </c>
    </row>
    <row r="11482" spans="1:6" x14ac:dyDescent="0.3">
      <c r="A11482" t="str">
        <f>HYPERLINK("https://us2.cloudbeds.com/connect/10074733072513#/reservations/31724849209537?display=MXCVE631Y&amp;reservation_id=31724849209537", "MXCVE631Y")</f>
        <v>MXCVE631Y</v>
      </c>
      <c r="B11482" t="s">
        <v>1645</v>
      </c>
      <c r="C11482">
        <v>179</v>
      </c>
      <c r="D11482">
        <v>194.58</v>
      </c>
      <c r="E11482">
        <v>194.57</v>
      </c>
      <c r="F11482">
        <v>0.01</v>
      </c>
    </row>
    <row r="11483" spans="1:6" x14ac:dyDescent="0.3">
      <c r="A11483" t="str">
        <f>HYPERLINK("https://us2.cloudbeds.com/connect/10074733072513#/reservations/31724839813357?display=MXCV68KPU&amp;reservation_id=31724839813357", "MXCV68KPU")</f>
        <v>MXCV68KPU</v>
      </c>
      <c r="B11483" t="s">
        <v>1645</v>
      </c>
      <c r="C11483">
        <v>73</v>
      </c>
      <c r="D11483">
        <v>79.36</v>
      </c>
      <c r="E11483">
        <v>79.349999999999994</v>
      </c>
      <c r="F11483">
        <v>0.01</v>
      </c>
    </row>
    <row r="11484" spans="1:6" x14ac:dyDescent="0.3">
      <c r="A11484" t="str">
        <f>HYPERLINK("https://us2.cloudbeds.com/connect/10074733072513#/reservations/31728038858961?display=MXFDUPQ1Q&amp;reservation_id=31728038858961", "MXFDUPQ1Q")</f>
        <v>MXFDUPQ1Q</v>
      </c>
      <c r="B11484" t="s">
        <v>1721</v>
      </c>
      <c r="C11484">
        <v>336</v>
      </c>
      <c r="D11484">
        <v>365.24</v>
      </c>
      <c r="E11484">
        <v>365.23</v>
      </c>
      <c r="F11484">
        <v>0.01</v>
      </c>
    </row>
    <row r="11485" spans="1:6" x14ac:dyDescent="0.3">
      <c r="A11485" t="str">
        <f>HYPERLINK("https://us2.cloudbeds.com/connect/10074733072513#/reservations/31726687654076?display=MXECDDH77&amp;reservation_id=31726687654076", "MXECDDH77")</f>
        <v>MXECDDH77</v>
      </c>
      <c r="B11485" t="s">
        <v>1720</v>
      </c>
      <c r="C11485">
        <v>218</v>
      </c>
      <c r="D11485">
        <v>236.98</v>
      </c>
      <c r="E11485">
        <v>236.97</v>
      </c>
      <c r="F11485">
        <v>0.01</v>
      </c>
    </row>
    <row r="11486" spans="1:6" x14ac:dyDescent="0.3">
      <c r="A11486" t="str">
        <f>HYPERLINK("https://us2.cloudbeds.com/connect/10074733072513#/reservations/31726840283350?display=MXEGA3YYZ&amp;reservation_id=31726840283350", "MXEGA3YYZ")</f>
        <v>MXEGA3YYZ</v>
      </c>
      <c r="B11486" t="s">
        <v>1692</v>
      </c>
      <c r="C11486">
        <v>298</v>
      </c>
      <c r="D11486">
        <v>323.94</v>
      </c>
      <c r="E11486">
        <v>323.93</v>
      </c>
      <c r="F11486">
        <v>0.01</v>
      </c>
    </row>
    <row r="11487" spans="1:6" x14ac:dyDescent="0.3">
      <c r="A11487" t="str">
        <f>HYPERLINK("https://us2.cloudbeds.com/connect/10074733072513#/reservations/31728674787484?display=MXFU60EF3&amp;reservation_id=31728674787484", "MXFU60EF3")</f>
        <v>MXFU60EF3</v>
      </c>
      <c r="B11487" t="s">
        <v>1713</v>
      </c>
      <c r="C11487">
        <v>159</v>
      </c>
      <c r="D11487">
        <v>172.84</v>
      </c>
      <c r="E11487">
        <v>172.83</v>
      </c>
      <c r="F11487">
        <v>0.01</v>
      </c>
    </row>
    <row r="11488" spans="1:6" x14ac:dyDescent="0.3">
      <c r="A11488" t="str">
        <f>HYPERLINK("https://us2.cloudbeds.com/connect/10074733072513#/reservations/31726743142604?display=MXEDR6XSP&amp;reservation_id=31726743142604", "MXEDR6XSP")</f>
        <v>MXEDR6XSP</v>
      </c>
      <c r="B11488" t="s">
        <v>1654</v>
      </c>
      <c r="C11488">
        <v>318</v>
      </c>
      <c r="D11488">
        <v>345.68</v>
      </c>
      <c r="E11488">
        <v>345.67</v>
      </c>
      <c r="F11488">
        <v>0.01</v>
      </c>
    </row>
    <row r="11489" spans="1:6" x14ac:dyDescent="0.3">
      <c r="A11489" t="str">
        <f>HYPERLINK("https://us2.cloudbeds.com/connect/10074733072513#/reservations/31729104736472?display=MXG85XD9A&amp;reservation_id=31729104736472", "MXG85XD9A")</f>
        <v>MXG85XD9A</v>
      </c>
      <c r="B11489" t="s">
        <v>1720</v>
      </c>
      <c r="C11489">
        <v>149</v>
      </c>
      <c r="D11489">
        <v>161.97</v>
      </c>
      <c r="E11489">
        <v>161.96</v>
      </c>
      <c r="F11489">
        <v>0.01</v>
      </c>
    </row>
    <row r="11490" spans="1:6" x14ac:dyDescent="0.3">
      <c r="A11490" t="str">
        <f>HYPERLINK("https://us2.cloudbeds.com/connect/10074733072513#/reservations/31721056964741?display=MXA0HF9JY&amp;reservation_id=31721056964741", "MXA0HF9JY")</f>
        <v>MXA0HF9JY</v>
      </c>
      <c r="B11490" t="s">
        <v>1654</v>
      </c>
      <c r="C11490">
        <v>159</v>
      </c>
      <c r="D11490">
        <v>172.84</v>
      </c>
      <c r="E11490">
        <v>172.83</v>
      </c>
      <c r="F11490">
        <v>0.01</v>
      </c>
    </row>
    <row r="11491" spans="1:6" x14ac:dyDescent="0.3">
      <c r="A11491" t="str">
        <f>HYPERLINK("https://us2.cloudbeds.com/connect/10074733072513#/reservations/31712829227157?display=MX3Y9KC0B&amp;reservation_id=31712829227157", "MX3Y9KC0B")</f>
        <v>MX3Y9KC0B</v>
      </c>
      <c r="B11491" t="s">
        <v>1690</v>
      </c>
      <c r="C11491">
        <v>159</v>
      </c>
      <c r="D11491">
        <v>172.84</v>
      </c>
      <c r="E11491">
        <v>172.83</v>
      </c>
      <c r="F11491">
        <v>0.01</v>
      </c>
    </row>
    <row r="11492" spans="1:6" x14ac:dyDescent="0.3">
      <c r="A11492" t="str">
        <f>HYPERLINK("https://us2.cloudbeds.com/connect/10074733072513#/reservations/31714200883415?display=MX4NB7NQG&amp;reservation_id=31714200883415", "MX4NB7NQG")</f>
        <v>MX4NB7NQG</v>
      </c>
      <c r="B11492" t="s">
        <v>1690</v>
      </c>
      <c r="C11492">
        <v>318</v>
      </c>
      <c r="D11492">
        <v>345.68</v>
      </c>
      <c r="E11492">
        <v>345.67</v>
      </c>
      <c r="F11492">
        <v>0.01</v>
      </c>
    </row>
    <row r="11493" spans="1:6" x14ac:dyDescent="0.3">
      <c r="A11493" t="str">
        <f>HYPERLINK("https://us2.cloudbeds.com/connect/10074733072513#/reservations/31726675984610?display=MXEC3XQF1&amp;reservation_id=31726675984610", "MXEC3XQF1")</f>
        <v>MXEC3XQF1</v>
      </c>
      <c r="B11493" t="s">
        <v>1720</v>
      </c>
      <c r="C11493">
        <v>218</v>
      </c>
      <c r="D11493">
        <v>236.98</v>
      </c>
      <c r="E11493">
        <v>236.97</v>
      </c>
      <c r="F11493">
        <v>0.01</v>
      </c>
    </row>
    <row r="11494" spans="1:6" x14ac:dyDescent="0.3">
      <c r="A11494" t="str">
        <f>HYPERLINK("https://us2.cloudbeds.com/connect/10074733072513#/reservations/31725699547324?display=MXDK56WRC&amp;reservation_id=31725699547324", "MXDK56WRC")</f>
        <v>MXDK56WRC</v>
      </c>
      <c r="B11494" t="s">
        <v>1727</v>
      </c>
      <c r="C11494">
        <v>129</v>
      </c>
      <c r="D11494">
        <v>140.22999999999999</v>
      </c>
      <c r="E11494">
        <v>140.22</v>
      </c>
      <c r="F11494">
        <v>0.01</v>
      </c>
    </row>
    <row r="11495" spans="1:6" x14ac:dyDescent="0.3">
      <c r="A11495" t="str">
        <f>HYPERLINK("https://us2.cloudbeds.com/connect/10074733072513#/reservations/31724849205444?display=MXCVE5W9K&amp;reservation_id=31724849205444", "MXCVE5W9K")</f>
        <v>MXCVE5W9K</v>
      </c>
      <c r="B11495" t="s">
        <v>1627</v>
      </c>
      <c r="C11495">
        <v>149</v>
      </c>
      <c r="D11495">
        <v>161.97</v>
      </c>
      <c r="E11495">
        <v>161.96</v>
      </c>
      <c r="F11495">
        <v>0.01</v>
      </c>
    </row>
    <row r="11496" spans="1:6" x14ac:dyDescent="0.3">
      <c r="A11496" t="str">
        <f>HYPERLINK("https://us2.cloudbeds.com/connect/10074733072513#/reservations/31727832793251?display=MXF8M0NBB&amp;reservation_id=31727832793251", "MXF8M0NBB")</f>
        <v>MXF8M0NBB</v>
      </c>
      <c r="B11496" t="s">
        <v>1704</v>
      </c>
      <c r="C11496">
        <v>420</v>
      </c>
      <c r="D11496">
        <v>456.55</v>
      </c>
      <c r="E11496">
        <v>456.54</v>
      </c>
      <c r="F11496">
        <v>0.01</v>
      </c>
    </row>
    <row r="11497" spans="1:6" x14ac:dyDescent="0.3">
      <c r="A11497" t="str">
        <f>HYPERLINK("https://us2.cloudbeds.com/connect/10074733072513#/reservations/31726694396033?display=MXECJ345V&amp;reservation_id=31726694396033", "MXECJ345V")</f>
        <v>MXECJ345V</v>
      </c>
      <c r="B11497" t="s">
        <v>1654</v>
      </c>
      <c r="C11497">
        <v>338</v>
      </c>
      <c r="D11497">
        <v>367.42</v>
      </c>
      <c r="E11497">
        <v>367.41</v>
      </c>
      <c r="F11497">
        <v>0.01</v>
      </c>
    </row>
    <row r="11498" spans="1:6" x14ac:dyDescent="0.3">
      <c r="A11498" t="str">
        <f>HYPERLINK("https://us2.cloudbeds.com/connect/10074733072513#/reservations/31712850497672?display=MX3YRX85D&amp;reservation_id=31712850497672", "MX3YRX85D")</f>
        <v>MX3YRX85D</v>
      </c>
      <c r="B11498" t="s">
        <v>1690</v>
      </c>
      <c r="C11498">
        <v>159</v>
      </c>
      <c r="D11498">
        <v>172.84</v>
      </c>
      <c r="E11498">
        <v>172.83</v>
      </c>
      <c r="F11498">
        <v>0.01</v>
      </c>
    </row>
    <row r="11499" spans="1:6" x14ac:dyDescent="0.3">
      <c r="A11499" t="str">
        <f>HYPERLINK("https://us2.cloudbeds.com/connect/10074733072513#/reservations/31722217631876?display=MXAU65XY1&amp;reservation_id=31722217631876", "MXAU65XY1")</f>
        <v>MXAU65XY1</v>
      </c>
      <c r="B11499" t="s">
        <v>1706</v>
      </c>
      <c r="C11499">
        <v>420</v>
      </c>
      <c r="D11499">
        <v>456.55</v>
      </c>
      <c r="E11499">
        <v>456.54</v>
      </c>
      <c r="F11499">
        <v>0.01</v>
      </c>
    </row>
    <row r="11500" spans="1:6" x14ac:dyDescent="0.3">
      <c r="A11500" t="str">
        <f>HYPERLINK("https://us2.cloudbeds.com/connect/10074733072513#/reservations/31727953514718?display=MXFBZQVMK&amp;reservation_id=31727953514718", "MXFBZQVMK")</f>
        <v>MXFBZQVMK</v>
      </c>
      <c r="B11500" t="s">
        <v>1721</v>
      </c>
      <c r="C11500">
        <v>87.82</v>
      </c>
      <c r="D11500">
        <v>95.47</v>
      </c>
      <c r="E11500">
        <v>95.46</v>
      </c>
      <c r="F11500">
        <v>0.01</v>
      </c>
    </row>
    <row r="11501" spans="1:6" x14ac:dyDescent="0.3">
      <c r="A11501" t="str">
        <f>HYPERLINK("https://us2.cloudbeds.com/connect/10074733072513#/reservations/31712797339837?display=MX3KFZ1NU&amp;reservation_id=31712797339837", "MX3KFZ1NU")</f>
        <v>MX3KFZ1NU</v>
      </c>
      <c r="B11501" t="s">
        <v>1690</v>
      </c>
      <c r="C11501">
        <v>318</v>
      </c>
      <c r="D11501">
        <v>345.68</v>
      </c>
      <c r="E11501">
        <v>345.67</v>
      </c>
      <c r="F11501">
        <v>0.01</v>
      </c>
    </row>
    <row r="11502" spans="1:6" x14ac:dyDescent="0.3">
      <c r="A11502" t="str">
        <f>HYPERLINK("https://us2.cloudbeds.com/connect/10074733072513#/reservations/31728022286484?display=MXFDGQKWH&amp;reservation_id=31728022286484", "MXFDGQKWH")</f>
        <v>MXFDGQKWH</v>
      </c>
      <c r="B11502" t="s">
        <v>1721</v>
      </c>
      <c r="C11502">
        <v>420</v>
      </c>
      <c r="D11502">
        <v>456.55</v>
      </c>
      <c r="E11502">
        <v>456.54</v>
      </c>
      <c r="F11502">
        <v>0.01</v>
      </c>
    </row>
    <row r="11503" spans="1:6" x14ac:dyDescent="0.3">
      <c r="A11503" t="str">
        <f>HYPERLINK("https://us2.cloudbeds.com/connect/10074733072513#/reservations/31723695984884?display=MXC1VZU81&amp;reservation_id=31723695984884", "MXC1VZU81")</f>
        <v>MXC1VZU81</v>
      </c>
      <c r="B11503" t="s">
        <v>1720</v>
      </c>
      <c r="C11503">
        <v>97.74</v>
      </c>
      <c r="D11503">
        <v>106.25</v>
      </c>
      <c r="E11503">
        <v>106.24</v>
      </c>
      <c r="F11503">
        <v>0.01</v>
      </c>
    </row>
    <row r="11504" spans="1:6" x14ac:dyDescent="0.3">
      <c r="A11504" t="str">
        <f>HYPERLINK("https://us2.cloudbeds.com/connect/10074733072513#/reservations/31723686183072?display=MXC1NG5GE&amp;reservation_id=31723686183072", "MXC1NG5GE")</f>
        <v>MXC1NG5GE</v>
      </c>
      <c r="B11504" t="s">
        <v>1720</v>
      </c>
      <c r="C11504">
        <v>97.74</v>
      </c>
      <c r="D11504">
        <v>106.25</v>
      </c>
      <c r="E11504">
        <v>106.24</v>
      </c>
      <c r="F11504">
        <v>0.01</v>
      </c>
    </row>
    <row r="11505" spans="1:6" x14ac:dyDescent="0.3">
      <c r="A11505" t="str">
        <f>HYPERLINK("https://us2.cloudbeds.com/connect/10074733072513#/reservations/31728941035740?display=MXG3WH672&amp;reservation_id=31728941035740", "MXG3WH672")</f>
        <v>MXG3WH672</v>
      </c>
      <c r="B11505" t="s">
        <v>1702</v>
      </c>
      <c r="C11505">
        <v>89</v>
      </c>
      <c r="D11505">
        <v>96.75</v>
      </c>
      <c r="E11505">
        <v>96.74</v>
      </c>
      <c r="F11505">
        <v>0.01</v>
      </c>
    </row>
    <row r="11506" spans="1:6" x14ac:dyDescent="0.3">
      <c r="A11506" t="str">
        <f>HYPERLINK("https://us2.cloudbeds.com/connect/10074733072513#/reservations/31724740145359?display=MXCSY779X&amp;reservation_id=31724740145359", "MXCSY779X")</f>
        <v>MXCSY779X</v>
      </c>
      <c r="B11506" t="s">
        <v>1728</v>
      </c>
      <c r="C11506">
        <v>329.88</v>
      </c>
      <c r="D11506">
        <v>358.59</v>
      </c>
      <c r="E11506">
        <v>358.58</v>
      </c>
      <c r="F11506">
        <v>0.01</v>
      </c>
    </row>
    <row r="11507" spans="1:6" x14ac:dyDescent="0.3">
      <c r="A11507" t="str">
        <f>HYPERLINK("https://us2.cloudbeds.com/connect/10074733072513#/reservations/31729772028152?display=MXGP77PYA&amp;reservation_id=31729772028152", "MXGP77PYA")</f>
        <v>MXGP77PYA</v>
      </c>
      <c r="B11507" t="s">
        <v>1709</v>
      </c>
      <c r="C11507">
        <v>278</v>
      </c>
      <c r="D11507">
        <v>302.2</v>
      </c>
      <c r="E11507">
        <v>302.19</v>
      </c>
      <c r="F11507">
        <v>0.01</v>
      </c>
    </row>
    <row r="11508" spans="1:6" x14ac:dyDescent="0.3">
      <c r="A11508" t="str">
        <f>HYPERLINK("https://us2.cloudbeds.com/connect/10074733072513#/reservations/31724478140573?display=MXCYV9X6J&amp;reservation_id=31724478140573", "MXCYV9X6J")</f>
        <v>MXCYV9X6J</v>
      </c>
      <c r="B11508" t="s">
        <v>1712</v>
      </c>
      <c r="C11508">
        <v>338</v>
      </c>
      <c r="D11508">
        <v>367.42</v>
      </c>
      <c r="E11508">
        <v>367.41</v>
      </c>
      <c r="F11508">
        <v>0.01</v>
      </c>
    </row>
    <row r="11509" spans="1:6" x14ac:dyDescent="0.3">
      <c r="A11509" t="str">
        <f>HYPERLINK("https://us2.cloudbeds.com/connect/10074733072513#/reservations/31721045840035?display=MXA082Z2C&amp;reservation_id=31721045840035", "MXA082Z2C")</f>
        <v>MXA082Z2C</v>
      </c>
      <c r="B11509" t="s">
        <v>1654</v>
      </c>
      <c r="C11509">
        <v>238</v>
      </c>
      <c r="D11509">
        <v>258.72000000000003</v>
      </c>
      <c r="E11509">
        <v>258.70999999999998</v>
      </c>
      <c r="F11509">
        <v>0.01</v>
      </c>
    </row>
    <row r="11510" spans="1:6" x14ac:dyDescent="0.3">
      <c r="A11510" t="str">
        <f>HYPERLINK("https://us2.cloudbeds.com/connect/10074733072513#/reservations/31727106629765?display=MXEN3N4X7&amp;reservation_id=31727106629765", "MXEN3N4X7")</f>
        <v>MXEN3N4X7</v>
      </c>
      <c r="B11510" t="s">
        <v>1709</v>
      </c>
      <c r="C11510">
        <v>89</v>
      </c>
      <c r="D11510">
        <v>96.75</v>
      </c>
      <c r="E11510">
        <v>96.74</v>
      </c>
      <c r="F11510">
        <v>0.01</v>
      </c>
    </row>
    <row r="11511" spans="1:6" x14ac:dyDescent="0.3">
      <c r="A11511" t="str">
        <f>HYPERLINK("https://us2.cloudbeds.com/connect/10074733072513#/reservations/31728186011898?display=MXFHMSHNM&amp;reservation_id=31728186011898", "MXFHMSHNM")</f>
        <v>MXFHMSHNM</v>
      </c>
      <c r="B11511" t="s">
        <v>1709</v>
      </c>
      <c r="C11511">
        <v>129</v>
      </c>
      <c r="D11511">
        <v>140.22999999999999</v>
      </c>
      <c r="E11511">
        <v>140.22</v>
      </c>
      <c r="F11511">
        <v>0.01</v>
      </c>
    </row>
    <row r="11512" spans="1:6" x14ac:dyDescent="0.3">
      <c r="A11512" t="str">
        <f>HYPERLINK("https://us2.cloudbeds.com/connect/10074733072513#/reservations/31717092389008?display=MX6V7E463&amp;reservation_id=31717092389008", "MX6V7E463")</f>
        <v>MX6V7E463</v>
      </c>
      <c r="B11512" t="s">
        <v>1690</v>
      </c>
      <c r="C11512">
        <v>159</v>
      </c>
      <c r="D11512">
        <v>172.84</v>
      </c>
      <c r="E11512">
        <v>172.83</v>
      </c>
      <c r="F11512">
        <v>0.01</v>
      </c>
    </row>
    <row r="11513" spans="1:6" x14ac:dyDescent="0.3">
      <c r="A11513" t="str">
        <f>HYPERLINK("https://us2.cloudbeds.com/connect/10074733072513#/reservations/31724496130269?display=MXCMDF4YT&amp;reservation_id=31724496130269", "MXCMDF4YT")</f>
        <v>MXCMDF4YT</v>
      </c>
      <c r="B11513" t="s">
        <v>1712</v>
      </c>
      <c r="C11513">
        <v>258</v>
      </c>
      <c r="D11513">
        <v>280.45999999999998</v>
      </c>
      <c r="E11513">
        <v>280.45</v>
      </c>
      <c r="F11513">
        <v>0.01</v>
      </c>
    </row>
    <row r="11514" spans="1:6" x14ac:dyDescent="0.3">
      <c r="A11514" t="str">
        <f>HYPERLINK("https://us2.cloudbeds.com/connect/10074733072513#/reservations/31726670942444?display=MXEBWAGC4&amp;reservation_id=31726670942444", "MXEBWAGC4")</f>
        <v>MXEBWAGC4</v>
      </c>
      <c r="B11514" t="s">
        <v>1654</v>
      </c>
      <c r="C11514">
        <v>130.38</v>
      </c>
      <c r="D11514">
        <v>141.72999999999999</v>
      </c>
      <c r="E11514">
        <v>141.72</v>
      </c>
      <c r="F11514">
        <v>0.01</v>
      </c>
    </row>
    <row r="11515" spans="1:6" x14ac:dyDescent="0.3">
      <c r="A11515" t="str">
        <f>HYPERLINK("https://us2.cloudbeds.com/connect/10074733072513#/reservations/31726472421577?display=MXE6TUBT9&amp;reservation_id=31726472421577", "MXE6TUBT9")</f>
        <v>MXE6TUBT9</v>
      </c>
      <c r="B11515" t="s">
        <v>1695</v>
      </c>
      <c r="C11515">
        <v>139</v>
      </c>
      <c r="D11515">
        <v>151.1</v>
      </c>
      <c r="E11515">
        <v>151.09</v>
      </c>
      <c r="F11515">
        <v>0.01</v>
      </c>
    </row>
    <row r="11516" spans="1:6" x14ac:dyDescent="0.3">
      <c r="A11516" t="str">
        <f>HYPERLINK("https://us2.cloudbeds.com/connect/10074733072513#/reservations/31712806559996?display=MX3KNGKBM&amp;reservation_id=31712806559996", "MX3KNGKBM")</f>
        <v>MX3KNGKBM</v>
      </c>
      <c r="B11516" t="s">
        <v>1690</v>
      </c>
      <c r="C11516">
        <v>318</v>
      </c>
      <c r="D11516">
        <v>345.68</v>
      </c>
      <c r="E11516">
        <v>345.67</v>
      </c>
      <c r="F11516">
        <v>0.01</v>
      </c>
    </row>
    <row r="11517" spans="1:6" x14ac:dyDescent="0.3">
      <c r="A11517" t="str">
        <f>HYPERLINK("https://us2.cloudbeds.com/connect/10074733072513#/reservations/31729716543656?display=MXGNQERMV&amp;reservation_id=31729716543656", "MXGNQERMV")</f>
        <v>MXGNQERMV</v>
      </c>
      <c r="B11517" t="s">
        <v>1709</v>
      </c>
      <c r="C11517">
        <v>73</v>
      </c>
      <c r="D11517">
        <v>79.36</v>
      </c>
      <c r="E11517">
        <v>79.349999999999994</v>
      </c>
      <c r="F11517">
        <v>0.01</v>
      </c>
    </row>
    <row r="11518" spans="1:6" x14ac:dyDescent="0.3">
      <c r="A11518" t="str">
        <f>HYPERLINK("https://us2.cloudbeds.com/connect/10074733072513#/reservations/31729732604097?display=MXGZ6WZXW&amp;reservation_id=31729732604097", "MXGZ6WZXW")</f>
        <v>MXGZ6WZXW</v>
      </c>
      <c r="B11518" t="s">
        <v>1709</v>
      </c>
      <c r="C11518">
        <v>89</v>
      </c>
      <c r="D11518">
        <v>96.75</v>
      </c>
      <c r="E11518">
        <v>96.74</v>
      </c>
      <c r="F11518">
        <v>0.01</v>
      </c>
    </row>
    <row r="11519" spans="1:6" x14ac:dyDescent="0.3">
      <c r="A11519" t="str">
        <f>HYPERLINK("https://us2.cloudbeds.com/connect/10074733072513#/reservations/31727149482239?display=MXEZ6RXS1&amp;reservation_id=31727149482239", "MXEZ6RXS1")</f>
        <v>MXEZ6RXS1</v>
      </c>
      <c r="B11519" t="s">
        <v>1709</v>
      </c>
      <c r="C11519">
        <v>129</v>
      </c>
      <c r="D11519">
        <v>140.22999999999999</v>
      </c>
      <c r="E11519">
        <v>140.22</v>
      </c>
      <c r="F11519">
        <v>0.01</v>
      </c>
    </row>
    <row r="11520" spans="1:6" x14ac:dyDescent="0.3">
      <c r="A11520" t="str">
        <f>HYPERLINK("https://us2.cloudbeds.com/connect/10074733072513#/reservations/31729758765206?display=MXGZT1NKS&amp;reservation_id=31729758765206", "MXGZT1NKS")</f>
        <v>MXGZT1NKS</v>
      </c>
      <c r="B11520" t="s">
        <v>1709</v>
      </c>
      <c r="C11520">
        <v>258</v>
      </c>
      <c r="D11520">
        <v>280.45999999999998</v>
      </c>
      <c r="E11520">
        <v>280.45</v>
      </c>
      <c r="F11520">
        <v>0.01</v>
      </c>
    </row>
    <row r="11521" spans="1:6" x14ac:dyDescent="0.3">
      <c r="A11521" t="str">
        <f>HYPERLINK("https://us2.cloudbeds.com/connect/10074733072513#/reservations/31727991095462?display=MXFCNGN31&amp;reservation_id=31727991095462", "MXFCNGN31")</f>
        <v>MXFCNGN31</v>
      </c>
      <c r="B11521" t="s">
        <v>1721</v>
      </c>
      <c r="C11521">
        <v>238</v>
      </c>
      <c r="D11521">
        <v>258.72000000000003</v>
      </c>
      <c r="E11521">
        <v>258.70999999999998</v>
      </c>
      <c r="F11521">
        <v>0.01</v>
      </c>
    </row>
    <row r="11522" spans="1:6" x14ac:dyDescent="0.3">
      <c r="A11522" t="str">
        <f>HYPERLINK("https://us2.cloudbeds.com/connect/10074733072513#/reservations/31727140860070?display=MXENWXYB6&amp;reservation_id=31727140860070", "MXENWXYB6")</f>
        <v>MXENWXYB6</v>
      </c>
      <c r="B11522" t="s">
        <v>1709</v>
      </c>
      <c r="C11522">
        <v>139</v>
      </c>
      <c r="D11522">
        <v>151.1</v>
      </c>
      <c r="E11522">
        <v>151.09</v>
      </c>
      <c r="F11522">
        <v>0.01</v>
      </c>
    </row>
    <row r="11523" spans="1:6" x14ac:dyDescent="0.3">
      <c r="A11523" t="str">
        <f>HYPERLINK("https://us2.cloudbeds.com/connect/10074733072513#/reservations/31726429851791?display=MXE5R0Q5P&amp;reservation_id=31726429851791", "MXE5R0Q5P")</f>
        <v>MXE5R0Q5P</v>
      </c>
      <c r="B11523" t="s">
        <v>1695</v>
      </c>
      <c r="C11523">
        <v>89</v>
      </c>
      <c r="D11523">
        <v>96.75</v>
      </c>
      <c r="E11523">
        <v>96.74</v>
      </c>
      <c r="F11523">
        <v>0.01</v>
      </c>
    </row>
    <row r="11524" spans="1:6" x14ac:dyDescent="0.3">
      <c r="A11524" t="str">
        <f>HYPERLINK("https://us2.cloudbeds.com/connect/10074733072513#/reservations/31727108198545?display=MXEN50Q40&amp;reservation_id=31727108198545", "MXEN50Q40")</f>
        <v>MXEN50Q40</v>
      </c>
      <c r="B11524" t="s">
        <v>1677</v>
      </c>
      <c r="C11524">
        <v>219</v>
      </c>
      <c r="D11524">
        <v>238.06</v>
      </c>
      <c r="E11524">
        <v>238.05</v>
      </c>
      <c r="F11524">
        <v>0.01</v>
      </c>
    </row>
    <row r="11525" spans="1:6" x14ac:dyDescent="0.3">
      <c r="A11525" t="str">
        <f>HYPERLINK("https://us2.cloudbeds.com/connect/10074733072513#/reservations/31727552757905?display=MXF1GTA8P&amp;reservation_id=31727552757905", "MXF1GTA8P")</f>
        <v>MXF1GTA8P</v>
      </c>
      <c r="B11525" t="s">
        <v>1695</v>
      </c>
      <c r="C11525">
        <v>318</v>
      </c>
      <c r="D11525">
        <v>345.68</v>
      </c>
      <c r="E11525">
        <v>345.67</v>
      </c>
      <c r="F11525">
        <v>0.01</v>
      </c>
    </row>
    <row r="11526" spans="1:6" x14ac:dyDescent="0.3">
      <c r="A11526" t="str">
        <f>HYPERLINK("https://us2.cloudbeds.com/connect/10074733072513#/reservations/31725797036186?display=MXDMYDP9A&amp;reservation_id=31725797036186", "MXDMYDP9A")</f>
        <v>MXDMYDP9A</v>
      </c>
      <c r="B11526" t="s">
        <v>1722</v>
      </c>
      <c r="C11526">
        <v>178</v>
      </c>
      <c r="D11526">
        <v>193.5</v>
      </c>
      <c r="E11526">
        <v>193.49</v>
      </c>
      <c r="F11526">
        <v>0.01</v>
      </c>
    </row>
    <row r="11527" spans="1:6" x14ac:dyDescent="0.3">
      <c r="A11527" t="str">
        <f>HYPERLINK("https://us2.cloudbeds.com/connect/10074733072513#/reservations/31727568711888?display=MXF1UB8CQ&amp;reservation_id=31727568711888", "MXF1UB8CQ")</f>
        <v>MXF1UB8CQ</v>
      </c>
      <c r="B11527" t="s">
        <v>1695</v>
      </c>
      <c r="C11527">
        <v>159</v>
      </c>
      <c r="D11527">
        <v>172.84</v>
      </c>
      <c r="E11527">
        <v>172.83</v>
      </c>
      <c r="F11527">
        <v>0.01</v>
      </c>
    </row>
    <row r="11528" spans="1:6" x14ac:dyDescent="0.3">
      <c r="A11528" t="str">
        <f>HYPERLINK("https://us2.cloudbeds.com/connect/10074733072513#/reservations/31725815636116?display=MXDN43B3X&amp;reservation_id=31725815636116", "MXDN43B3X")</f>
        <v>MXDN43B3X</v>
      </c>
      <c r="B11528" t="s">
        <v>1722</v>
      </c>
      <c r="C11528">
        <v>89</v>
      </c>
      <c r="D11528">
        <v>96.75</v>
      </c>
      <c r="E11528">
        <v>96.74</v>
      </c>
      <c r="F11528">
        <v>0.01</v>
      </c>
    </row>
    <row r="11529" spans="1:6" x14ac:dyDescent="0.3">
      <c r="A11529" t="str">
        <f>HYPERLINK("https://us2.cloudbeds.com/connect/10074733072513#/reservations/31726677725379?display=MXEC517VK&amp;reservation_id=31726677725379", "MXEC517VK")</f>
        <v>MXEC517VK</v>
      </c>
      <c r="B11529" t="s">
        <v>1654</v>
      </c>
      <c r="C11529">
        <v>169</v>
      </c>
      <c r="D11529">
        <v>183.71</v>
      </c>
      <c r="E11529">
        <v>183.7</v>
      </c>
      <c r="F11529">
        <v>0.01</v>
      </c>
    </row>
    <row r="11530" spans="1:6" x14ac:dyDescent="0.3">
      <c r="A11530" t="str">
        <f>HYPERLINK("https://us2.cloudbeds.com/connect/10074733072513#/reservations/31727476850895?display=MXEWXT2SB&amp;reservation_id=31727476850895", "MXEWXT2SB")</f>
        <v>MXEWXT2SB</v>
      </c>
      <c r="B11530" t="s">
        <v>1703</v>
      </c>
      <c r="C11530">
        <v>87.82</v>
      </c>
      <c r="D11530">
        <v>95.47</v>
      </c>
      <c r="E11530">
        <v>95.46</v>
      </c>
      <c r="F11530">
        <v>0.01</v>
      </c>
    </row>
    <row r="11531" spans="1:6" x14ac:dyDescent="0.3">
      <c r="A11531" t="str">
        <f>HYPERLINK("https://us2.cloudbeds.com/connect/10074733072513#/reservations/31724740141264?display=MXCSY73HF&amp;reservation_id=31724740141264", "MXCSY73HF")</f>
        <v>MXCSY73HF</v>
      </c>
      <c r="B11531" t="s">
        <v>1654</v>
      </c>
      <c r="C11531">
        <v>159</v>
      </c>
      <c r="D11531">
        <v>172.84</v>
      </c>
      <c r="E11531">
        <v>172.83</v>
      </c>
      <c r="F11531">
        <v>0.01</v>
      </c>
    </row>
    <row r="11532" spans="1:6" x14ac:dyDescent="0.3">
      <c r="A11532" t="str">
        <f>HYPERLINK("https://us2.cloudbeds.com/connect/10074733072513#/reservations/31716570067107?display=MX6HSWZZN&amp;reservation_id=31716570067107", "MX6HSWZZN")</f>
        <v>MX6HSWZZN</v>
      </c>
      <c r="B11532" t="s">
        <v>1609</v>
      </c>
      <c r="C11532">
        <v>278</v>
      </c>
      <c r="D11532">
        <v>302.2</v>
      </c>
      <c r="E11532">
        <v>302.19</v>
      </c>
      <c r="F11532">
        <v>0.01</v>
      </c>
    </row>
    <row r="11533" spans="1:6" x14ac:dyDescent="0.3">
      <c r="A11533" t="str">
        <f>HYPERLINK("https://us2.cloudbeds.com/connect/10074733072513#/reservations/31725230112897?display=MXD85C9XN&amp;reservation_id=31725230112897", "MXD85C9XN")</f>
        <v>MXD85C9XN</v>
      </c>
      <c r="B11533" t="s">
        <v>1727</v>
      </c>
      <c r="C11533">
        <v>119</v>
      </c>
      <c r="D11533">
        <v>129.36000000000001</v>
      </c>
      <c r="E11533">
        <v>129.35</v>
      </c>
      <c r="F11533">
        <v>0.01</v>
      </c>
    </row>
    <row r="11534" spans="1:6" x14ac:dyDescent="0.3">
      <c r="A11534" t="str">
        <f>HYPERLINK("https://us2.cloudbeds.com/connect/10074733072513#/reservations/31726485143705?display=MXE77YC9A&amp;reservation_id=31726485143705", "MXE77YC9A")</f>
        <v>MXE77YC9A</v>
      </c>
      <c r="B11534" t="s">
        <v>1703</v>
      </c>
      <c r="C11534">
        <v>119</v>
      </c>
      <c r="D11534">
        <v>129.36000000000001</v>
      </c>
      <c r="E11534">
        <v>129.35</v>
      </c>
      <c r="F11534">
        <v>0.01</v>
      </c>
    </row>
    <row r="11535" spans="1:6" x14ac:dyDescent="0.3">
      <c r="A11535" t="str">
        <f>HYPERLINK("https://us2.cloudbeds.com/connect/10074733072513#/reservations/31726354780368?display=MXE3TNR25&amp;reservation_id=31726354780368", "MXE3TNR25")</f>
        <v>MXE3TNR25</v>
      </c>
      <c r="B11535" t="s">
        <v>1730</v>
      </c>
      <c r="C11535">
        <v>336</v>
      </c>
      <c r="D11535">
        <v>365.24</v>
      </c>
      <c r="E11535">
        <v>365.23</v>
      </c>
      <c r="F11535">
        <v>0.01</v>
      </c>
    </row>
    <row r="11536" spans="1:6" x14ac:dyDescent="0.3">
      <c r="A11536" t="str">
        <f>HYPERLINK("https://us2.cloudbeds.com/connect/10074733072513#/reservations/31724717797515?display=MXCS2CBS5&amp;reservation_id=31724717797515", "MXCS2CBS5")</f>
        <v>MXCS2CBS5</v>
      </c>
      <c r="B11536" t="s">
        <v>1654</v>
      </c>
      <c r="C11536">
        <v>159</v>
      </c>
      <c r="D11536">
        <v>172.84</v>
      </c>
      <c r="E11536">
        <v>172.83</v>
      </c>
      <c r="F11536">
        <v>0.01</v>
      </c>
    </row>
    <row r="11537" spans="1:6" x14ac:dyDescent="0.3">
      <c r="A11537" t="str">
        <f>HYPERLINK("https://us2.cloudbeds.com/connect/10074733072513#/reservations/31725905883275?display=MXDPE6JMV&amp;reservation_id=31725905883275", "MXDPE6JMV")</f>
        <v>MXDPE6JMV</v>
      </c>
      <c r="B11537" t="s">
        <v>1566</v>
      </c>
      <c r="C11537">
        <v>378</v>
      </c>
      <c r="D11537">
        <v>410.9</v>
      </c>
      <c r="E11537">
        <v>410.89</v>
      </c>
      <c r="F11537">
        <v>0.01</v>
      </c>
    </row>
    <row r="11538" spans="1:6" x14ac:dyDescent="0.3">
      <c r="A11538" t="str">
        <f>HYPERLINK("https://us2.cloudbeds.com/connect/10074733072513#/reservations/31718050992310?display=MX7MNZMB0&amp;reservation_id=31718050992310", "MX7MNZMB0")</f>
        <v>MX7MNZMB0</v>
      </c>
      <c r="B11538" t="s">
        <v>1627</v>
      </c>
      <c r="C11538">
        <v>149</v>
      </c>
      <c r="D11538">
        <v>161.97</v>
      </c>
      <c r="E11538">
        <v>161.96</v>
      </c>
      <c r="F11538">
        <v>0.01</v>
      </c>
    </row>
    <row r="11539" spans="1:6" x14ac:dyDescent="0.3">
      <c r="A11539" t="str">
        <f>HYPERLINK("https://us2.cloudbeds.com/connect/10074733072513#/reservations/31724797649122?display=MXCU3NBFR&amp;reservation_id=31724797649122", "MXCU3NBFR")</f>
        <v>MXCU3NBFR</v>
      </c>
      <c r="B11539" t="s">
        <v>1703</v>
      </c>
      <c r="C11539">
        <v>119</v>
      </c>
      <c r="D11539">
        <v>129.36000000000001</v>
      </c>
      <c r="E11539">
        <v>129.35</v>
      </c>
      <c r="F11539">
        <v>0.01</v>
      </c>
    </row>
    <row r="11540" spans="1:6" x14ac:dyDescent="0.3">
      <c r="A11540" t="str">
        <f>HYPERLINK("https://us2.cloudbeds.com/connect/10074733072513#/reservations/31727865192653?display=MXF9GB8SD&amp;reservation_id=31727865192653", "MXF9GB8SD")</f>
        <v>MXF9GB8SD</v>
      </c>
      <c r="B11540" t="s">
        <v>1704</v>
      </c>
      <c r="C11540">
        <v>336</v>
      </c>
      <c r="D11540">
        <v>365.24</v>
      </c>
      <c r="E11540">
        <v>365.23</v>
      </c>
      <c r="F11540">
        <v>0.01</v>
      </c>
    </row>
    <row r="11541" spans="1:6" x14ac:dyDescent="0.3">
      <c r="A11541" t="str">
        <f>HYPERLINK("https://us2.cloudbeds.com/connect/10074733072513#/reservations/31727726514419?display=MXF5VDB9M&amp;reservation_id=31727726514419", "MXF5VDB9M")</f>
        <v>MXF5VDB9M</v>
      </c>
      <c r="B11541" t="s">
        <v>1713</v>
      </c>
      <c r="C11541">
        <v>642.6</v>
      </c>
      <c r="D11541">
        <v>698.52</v>
      </c>
      <c r="E11541">
        <v>698.51</v>
      </c>
      <c r="F11541">
        <v>0.01</v>
      </c>
    </row>
    <row r="11542" spans="1:6" x14ac:dyDescent="0.3">
      <c r="A11542" t="str">
        <f>HYPERLINK("https://us2.cloudbeds.com/connect/10074733072513#/reservations/31728487235722?display=MXFPCSHKC&amp;reservation_id=31728487235722", "MXFPCSHKC")</f>
        <v>MXFPCSHKC</v>
      </c>
      <c r="B11542" t="s">
        <v>1696</v>
      </c>
      <c r="C11542">
        <v>119</v>
      </c>
      <c r="D11542">
        <v>129.36000000000001</v>
      </c>
      <c r="E11542">
        <v>129.35</v>
      </c>
      <c r="F11542">
        <v>0.01</v>
      </c>
    </row>
    <row r="11543" spans="1:6" x14ac:dyDescent="0.3">
      <c r="A11543" t="str">
        <f>HYPERLINK("https://us2.cloudbeds.com/connect/10074733072513#/reservations/31726323986601?display=MXE33ZUVN&amp;reservation_id=31726323986601", "MXE33ZUVN")</f>
        <v>MXE33ZUVN</v>
      </c>
      <c r="B11543" t="s">
        <v>1730</v>
      </c>
      <c r="C11543">
        <v>149</v>
      </c>
      <c r="D11543">
        <v>161.97</v>
      </c>
      <c r="E11543">
        <v>161.96</v>
      </c>
      <c r="F11543">
        <v>0.01</v>
      </c>
    </row>
    <row r="11544" spans="1:6" x14ac:dyDescent="0.3">
      <c r="A11544" t="str">
        <f>HYPERLINK("https://us2.cloudbeds.com/connect/10074733072513#/reservations/31728508108934?display=MXFPUFBUV&amp;reservation_id=31728508108934", "MXFPUFBUV")</f>
        <v>MXFPUFBUV</v>
      </c>
      <c r="B11544" t="s">
        <v>1696</v>
      </c>
      <c r="C11544">
        <v>73</v>
      </c>
      <c r="D11544">
        <v>79.36</v>
      </c>
      <c r="E11544">
        <v>79.349999999999994</v>
      </c>
      <c r="F11544">
        <v>0.01</v>
      </c>
    </row>
    <row r="11545" spans="1:6" x14ac:dyDescent="0.3">
      <c r="A11545" t="str">
        <f>HYPERLINK("https://us2.cloudbeds.com/connect/10074733072513#/reservations/31728519991518?display=MXFQ7G0D8&amp;reservation_id=31728519991518", "MXFQ7G0D8")</f>
        <v>MXFQ7G0D8</v>
      </c>
      <c r="B11545" t="s">
        <v>1696</v>
      </c>
      <c r="C11545">
        <v>119</v>
      </c>
      <c r="D11545">
        <v>129.36000000000001</v>
      </c>
      <c r="E11545">
        <v>129.35</v>
      </c>
      <c r="F11545">
        <v>0.01</v>
      </c>
    </row>
    <row r="11546" spans="1:6" x14ac:dyDescent="0.3">
      <c r="A11546" t="str">
        <f>HYPERLINK("https://us2.cloudbeds.com/connect/10074733072513#/reservations/31726875734217?display=MXEH7048E&amp;reservation_id=31726875734217", "MXEH7048E")</f>
        <v>MXEH7048E</v>
      </c>
      <c r="B11546" t="s">
        <v>1692</v>
      </c>
      <c r="C11546">
        <v>169</v>
      </c>
      <c r="D11546">
        <v>183.71</v>
      </c>
      <c r="E11546">
        <v>183.7</v>
      </c>
      <c r="F11546">
        <v>0.01</v>
      </c>
    </row>
    <row r="11547" spans="1:6" x14ac:dyDescent="0.3">
      <c r="A11547" t="str">
        <f>HYPERLINK("https://us2.cloudbeds.com/connect/10074733072513#/reservations/31728440209611?display=MXFZ66VPN&amp;reservation_id=31728440209611", "MXFZ66VPN")</f>
        <v>MXFZ66VPN</v>
      </c>
      <c r="B11547" t="s">
        <v>1696</v>
      </c>
      <c r="C11547">
        <v>119</v>
      </c>
      <c r="D11547">
        <v>129.36000000000001</v>
      </c>
      <c r="E11547">
        <v>129.35</v>
      </c>
      <c r="F11547">
        <v>0.01</v>
      </c>
    </row>
    <row r="11548" spans="1:6" x14ac:dyDescent="0.3">
      <c r="A11548" t="str">
        <f>HYPERLINK("https://us2.cloudbeds.com/connect/10074733072513#/reservations/31728112201881?display=MXFFQKYUH&amp;reservation_id=31728112201881", "MXFFQKYUH")</f>
        <v>MXFFQKYUH</v>
      </c>
      <c r="B11548" t="s">
        <v>1721</v>
      </c>
      <c r="C11548">
        <v>428.4</v>
      </c>
      <c r="D11548">
        <v>465.68</v>
      </c>
      <c r="E11548">
        <v>465.67</v>
      </c>
      <c r="F11548">
        <v>0.01</v>
      </c>
    </row>
    <row r="11549" spans="1:6" x14ac:dyDescent="0.3">
      <c r="A11549" t="str">
        <f>HYPERLINK("https://us2.cloudbeds.com/connect/10074733072513#/reservations/31726382432444?display=MXE4K197S&amp;reservation_id=31726382432444", "MXE4K197S")</f>
        <v>MXE4K197S</v>
      </c>
      <c r="B11549" t="s">
        <v>1730</v>
      </c>
      <c r="C11549">
        <v>89</v>
      </c>
      <c r="D11549">
        <v>96.75</v>
      </c>
      <c r="E11549">
        <v>96.74</v>
      </c>
      <c r="F11549">
        <v>0.01</v>
      </c>
    </row>
    <row r="11550" spans="1:6" x14ac:dyDescent="0.3">
      <c r="A11550" t="str">
        <f>HYPERLINK("https://us2.cloudbeds.com/connect/10074733072513#/reservations/31727506264224?display=MXF0AMXBB&amp;reservation_id=31727506264224", "MXF0AMXBB")</f>
        <v>MXF0AMXBB</v>
      </c>
      <c r="B11550" t="s">
        <v>1703</v>
      </c>
      <c r="C11550">
        <v>73</v>
      </c>
      <c r="D11550">
        <v>79.36</v>
      </c>
      <c r="E11550">
        <v>79.349999999999994</v>
      </c>
      <c r="F11550">
        <v>0.01</v>
      </c>
    </row>
    <row r="11551" spans="1:6" x14ac:dyDescent="0.3">
      <c r="A11551" t="str">
        <f>HYPERLINK("https://us2.cloudbeds.com/connect/10074733072513#/reservations/31725791051980?display=MXDMGC84Z&amp;reservation_id=31725791051980", "MXDMGC84Z")</f>
        <v>MXDMGC84Z</v>
      </c>
      <c r="B11551" t="s">
        <v>1722</v>
      </c>
      <c r="C11551">
        <v>87.82</v>
      </c>
      <c r="D11551">
        <v>95.47</v>
      </c>
      <c r="E11551">
        <v>95.46</v>
      </c>
      <c r="F11551">
        <v>0.01</v>
      </c>
    </row>
    <row r="11552" spans="1:6" x14ac:dyDescent="0.3">
      <c r="A11552" t="str">
        <f>HYPERLINK("https://us2.cloudbeds.com/connect/10074733072513#/reservations/31727497187465?display=MXF030WD1&amp;reservation_id=31727497187465", "MXF030WD1")</f>
        <v>MXF030WD1</v>
      </c>
      <c r="B11552" t="s">
        <v>1703</v>
      </c>
      <c r="C11552">
        <v>119</v>
      </c>
      <c r="D11552">
        <v>129.36000000000001</v>
      </c>
      <c r="E11552">
        <v>129.35</v>
      </c>
      <c r="F11552">
        <v>0.01</v>
      </c>
    </row>
    <row r="11553" spans="1:6" x14ac:dyDescent="0.3">
      <c r="A11553" t="str">
        <f>HYPERLINK("https://us2.cloudbeds.com/connect/10074733072513#/reservations/31719572852929?display=MX8SK0MRF&amp;reservation_id=31719572852929", "MX8SK0MRF")</f>
        <v>MX8SK0MRF</v>
      </c>
      <c r="B11553" t="s">
        <v>1666</v>
      </c>
      <c r="C11553">
        <v>139</v>
      </c>
      <c r="D11553">
        <v>151.1</v>
      </c>
      <c r="E11553">
        <v>151.09</v>
      </c>
      <c r="F11553">
        <v>0.01</v>
      </c>
    </row>
    <row r="11554" spans="1:6" x14ac:dyDescent="0.3">
      <c r="A11554" t="str">
        <f>HYPERLINK("https://us2.cloudbeds.com/connect/10074733072513#/reservations/31724857876696?display=MXCVYG8SR&amp;reservation_id=31724857876696", "MXCVYG8SR")</f>
        <v>MXCVYG8SR</v>
      </c>
      <c r="B11554" t="s">
        <v>1627</v>
      </c>
      <c r="C11554">
        <v>149</v>
      </c>
      <c r="D11554">
        <v>161.97</v>
      </c>
      <c r="E11554">
        <v>161.96</v>
      </c>
      <c r="F11554">
        <v>0.01</v>
      </c>
    </row>
    <row r="11555" spans="1:6" x14ac:dyDescent="0.3">
      <c r="A11555" t="str">
        <f>HYPERLINK("https://us2.cloudbeds.com/connect/10074733072513#/reservations/31726424461444?display=MXE5MFQBU&amp;reservation_id=31726424461444", "MXE5MFQBU")</f>
        <v>MXE5MFQBU</v>
      </c>
      <c r="B11555" t="s">
        <v>1696</v>
      </c>
      <c r="C11555">
        <v>119</v>
      </c>
      <c r="D11555">
        <v>129.36000000000001</v>
      </c>
      <c r="E11555">
        <v>129.35</v>
      </c>
      <c r="F11555">
        <v>0.01</v>
      </c>
    </row>
    <row r="11556" spans="1:6" x14ac:dyDescent="0.3">
      <c r="A11556" t="str">
        <f>HYPERLINK("https://us2.cloudbeds.com/connect/10074733072513#/reservations/31726517821645?display=MXE826MXU&amp;reservation_id=31726517821645", "MXE826MXU")</f>
        <v>MXE826MXU</v>
      </c>
      <c r="B11556" t="s">
        <v>1692</v>
      </c>
      <c r="C11556">
        <v>149</v>
      </c>
      <c r="D11556">
        <v>161.97</v>
      </c>
      <c r="E11556">
        <v>161.96</v>
      </c>
      <c r="F11556">
        <v>0.01</v>
      </c>
    </row>
    <row r="11557" spans="1:6" x14ac:dyDescent="0.3">
      <c r="A11557" t="str">
        <f>HYPERLINK("https://us2.cloudbeds.com/connect/10074733072513#/reservations/31725344366720?display=MXDAQ56XD&amp;reservation_id=31725344366720", "MXDAQ56XD")</f>
        <v>MXDAQ56XD</v>
      </c>
      <c r="B11557" t="s">
        <v>1730</v>
      </c>
      <c r="C11557">
        <v>149</v>
      </c>
      <c r="D11557">
        <v>161.97</v>
      </c>
      <c r="E11557">
        <v>161.96</v>
      </c>
      <c r="F11557">
        <v>0.01</v>
      </c>
    </row>
    <row r="11558" spans="1:6" x14ac:dyDescent="0.3">
      <c r="A11558" t="str">
        <f>HYPERLINK("https://us2.cloudbeds.com/connect/10074733072513#/reservations/31725963665661?display=MXDQTUFZB&amp;reservation_id=31725963665661", "MXDQTUFZB")</f>
        <v>MXDQTUFZB</v>
      </c>
      <c r="B11558" t="s">
        <v>1566</v>
      </c>
      <c r="C11558">
        <v>322.2</v>
      </c>
      <c r="D11558">
        <v>350.24</v>
      </c>
      <c r="E11558">
        <v>350.23</v>
      </c>
      <c r="F11558">
        <v>0.01</v>
      </c>
    </row>
    <row r="11559" spans="1:6" x14ac:dyDescent="0.3">
      <c r="A11559" t="str">
        <f>HYPERLINK("https://us2.cloudbeds.com/connect/10074733072513#/reservations/31725303869598?display=MXDA1XMD8&amp;reservation_id=31725303869598", "MXDA1XMD8")</f>
        <v>MXDA1XMD8</v>
      </c>
      <c r="B11559" t="s">
        <v>1730</v>
      </c>
      <c r="C11559">
        <v>119</v>
      </c>
      <c r="D11559">
        <v>129.36000000000001</v>
      </c>
      <c r="E11559">
        <v>129.35</v>
      </c>
      <c r="F11559">
        <v>0.01</v>
      </c>
    </row>
    <row r="11560" spans="1:6" x14ac:dyDescent="0.3">
      <c r="A11560" t="str">
        <f>HYPERLINK("https://us2.cloudbeds.com/connect/10074733072513#/reservations/31727996575941?display=MXFCS46M5&amp;reservation_id=31727996575941", "MXFCS46M5")</f>
        <v>MXFCS46M5</v>
      </c>
      <c r="B11560" t="s">
        <v>1719</v>
      </c>
      <c r="C11560">
        <v>428.4</v>
      </c>
      <c r="D11560">
        <v>465.68</v>
      </c>
      <c r="E11560">
        <v>465.67</v>
      </c>
      <c r="F11560">
        <v>0.01</v>
      </c>
    </row>
    <row r="11561" spans="1:6" x14ac:dyDescent="0.3">
      <c r="A11561" t="str">
        <f>HYPERLINK("https://us2.cloudbeds.com/connect/10074733072513#/reservations/31725343617198?display=MXDB22NXW&amp;reservation_id=31725343617198", "MXDB22NXW")</f>
        <v>MXDB22NXW</v>
      </c>
      <c r="B11561" t="s">
        <v>1730</v>
      </c>
      <c r="C11561">
        <v>119</v>
      </c>
      <c r="D11561">
        <v>129.36000000000001</v>
      </c>
      <c r="E11561">
        <v>129.35</v>
      </c>
      <c r="F11561">
        <v>0.01</v>
      </c>
    </row>
    <row r="11562" spans="1:6" x14ac:dyDescent="0.3">
      <c r="A11562" t="str">
        <f>HYPERLINK("https://us2.cloudbeds.com/connect/10074733072513#/reservations/31725260947626?display=MXD8VCA9E&amp;reservation_id=31725260947626", "MXD8VCA9E")</f>
        <v>MXD8VCA9E</v>
      </c>
      <c r="B11562" t="s">
        <v>1722</v>
      </c>
      <c r="C11562">
        <v>87.82</v>
      </c>
      <c r="D11562">
        <v>95.47</v>
      </c>
      <c r="E11562">
        <v>95.46</v>
      </c>
      <c r="F11562">
        <v>0.01</v>
      </c>
    </row>
    <row r="11563" spans="1:6" x14ac:dyDescent="0.3">
      <c r="A11563" t="str">
        <f>HYPERLINK("https://us2.cloudbeds.com/connect/10074733072513#/reservations/31725324509393?display=MXDAXW0CJ&amp;reservation_id=31725324509393", "MXDAXW0CJ")</f>
        <v>MXDAXW0CJ</v>
      </c>
      <c r="B11563" t="s">
        <v>1730</v>
      </c>
      <c r="C11563">
        <v>119</v>
      </c>
      <c r="D11563">
        <v>129.36000000000001</v>
      </c>
      <c r="E11563">
        <v>129.35</v>
      </c>
      <c r="F11563">
        <v>0.01</v>
      </c>
    </row>
    <row r="11564" spans="1:6" x14ac:dyDescent="0.3">
      <c r="A11564" t="str">
        <f>HYPERLINK("https://us2.cloudbeds.com/connect/10074733072513#/reservations/31725363724432?display=MXDBJ17H3&amp;reservation_id=31725363724432", "MXDBJ17H3")</f>
        <v>MXDBJ17H3</v>
      </c>
      <c r="B11564" t="s">
        <v>1730</v>
      </c>
      <c r="C11564">
        <v>87.82</v>
      </c>
      <c r="D11564">
        <v>95.47</v>
      </c>
      <c r="E11564">
        <v>95.46</v>
      </c>
      <c r="F11564">
        <v>0.01</v>
      </c>
    </row>
    <row r="11565" spans="1:6" x14ac:dyDescent="0.3">
      <c r="A11565" t="str">
        <f>HYPERLINK("https://us2.cloudbeds.com/connect/10074733072513#/reservations/31726386954387?display=MXE4NS3KE&amp;reservation_id=31726386954387", "MXE4NS3KE")</f>
        <v>MXE4NS3KE</v>
      </c>
      <c r="B11565" t="s">
        <v>1730</v>
      </c>
      <c r="C11565">
        <v>87.82</v>
      </c>
      <c r="D11565">
        <v>95.47</v>
      </c>
      <c r="E11565">
        <v>95.46</v>
      </c>
      <c r="F11565">
        <v>0.01</v>
      </c>
    </row>
    <row r="11566" spans="1:6" x14ac:dyDescent="0.3">
      <c r="A11566" t="str">
        <f>HYPERLINK("https://us2.cloudbeds.com/connect/10074733072513#/reservations/31726315049166?display=MXE2T77VB&amp;reservation_id=31726315049166", "MXE2T77VB")</f>
        <v>MXE2T77VB</v>
      </c>
      <c r="B11566" t="s">
        <v>1717</v>
      </c>
      <c r="C11566">
        <v>107.5</v>
      </c>
      <c r="D11566">
        <v>116.86</v>
      </c>
      <c r="E11566">
        <v>116.85</v>
      </c>
      <c r="F11566">
        <v>0.01</v>
      </c>
    </row>
    <row r="11567" spans="1:6" x14ac:dyDescent="0.3">
      <c r="A11567" t="str">
        <f>HYPERLINK("https://us2.cloudbeds.com/connect/10074733072513#/reservations/31725348225239?display=MXDB5VV0J&amp;reservation_id=31725348225239", "MXDB5VV0J")</f>
        <v>MXDB5VV0J</v>
      </c>
      <c r="B11567" t="s">
        <v>1730</v>
      </c>
      <c r="C11567">
        <v>119</v>
      </c>
      <c r="D11567">
        <v>129.36000000000001</v>
      </c>
      <c r="E11567">
        <v>129.35</v>
      </c>
      <c r="F11567">
        <v>0.01</v>
      </c>
    </row>
    <row r="11568" spans="1:6" x14ac:dyDescent="0.3">
      <c r="A11568" t="str">
        <f>HYPERLINK("https://us2.cloudbeds.com/connect/10074733072513#/reservations/31725376848098?display=MXDBU3DKV&amp;reservation_id=31725376848098", "MXDBU3DKV")</f>
        <v>MXDBU3DKV</v>
      </c>
      <c r="B11568" t="s">
        <v>1730</v>
      </c>
      <c r="C11568">
        <v>119</v>
      </c>
      <c r="D11568">
        <v>129.36000000000001</v>
      </c>
      <c r="E11568">
        <v>129.35</v>
      </c>
      <c r="F11568">
        <v>0.01</v>
      </c>
    </row>
    <row r="11569" spans="1:6" x14ac:dyDescent="0.3">
      <c r="A11569" t="str">
        <f>HYPERLINK("https://us2.cloudbeds.com/connect/10074733072513#/reservations/31713751027918?display=MX4BRTRBZ&amp;reservation_id=31713751027918", "MX4BRTRBZ")</f>
        <v>MX4BRTRBZ</v>
      </c>
      <c r="B11569" t="s">
        <v>1717</v>
      </c>
      <c r="C11569">
        <v>129</v>
      </c>
      <c r="D11569">
        <v>140.22999999999999</v>
      </c>
      <c r="E11569">
        <v>140.22</v>
      </c>
      <c r="F11569">
        <v>0.01</v>
      </c>
    </row>
    <row r="11570" spans="1:6" x14ac:dyDescent="0.3">
      <c r="A11570" t="str">
        <f>HYPERLINK("https://us2.cloudbeds.com/connect/10074733072513#/reservations/31721785315486?display=MXAJ4KNTB&amp;reservation_id=31721785315486", "MXAJ4KNTB")</f>
        <v>MXAJ4KNTB</v>
      </c>
      <c r="B11570" t="s">
        <v>1722</v>
      </c>
      <c r="C11570">
        <v>129</v>
      </c>
      <c r="D11570">
        <v>140.22999999999999</v>
      </c>
      <c r="E11570">
        <v>140.22</v>
      </c>
      <c r="F11570">
        <v>0.01</v>
      </c>
    </row>
    <row r="11571" spans="1:6" x14ac:dyDescent="0.3">
      <c r="A11571" t="str">
        <f>HYPERLINK("https://us2.cloudbeds.com/connect/10074733072513#/reservations/31725823987943?display=MXDNB4ZC7&amp;reservation_id=31725823987943", "MXDNB4ZC7")</f>
        <v>MXDNB4ZC7</v>
      </c>
      <c r="B11571" t="s">
        <v>1722</v>
      </c>
      <c r="C11571">
        <v>87.82</v>
      </c>
      <c r="D11571">
        <v>95.47</v>
      </c>
      <c r="E11571">
        <v>95.46</v>
      </c>
      <c r="F11571">
        <v>0.01</v>
      </c>
    </row>
    <row r="11572" spans="1:6" x14ac:dyDescent="0.3">
      <c r="A11572" t="str">
        <f>HYPERLINK("https://us2.cloudbeds.com/connect/10074733072513#/reservations/31717073539210?display=MX6UZHJU3&amp;reservation_id=31717073539210", "MX6UZHJU3")</f>
        <v>MX6UZHJU3</v>
      </c>
      <c r="B11572" t="s">
        <v>1690</v>
      </c>
      <c r="C11572">
        <v>358</v>
      </c>
      <c r="D11572">
        <v>389.16</v>
      </c>
      <c r="E11572">
        <v>389.15</v>
      </c>
      <c r="F11572">
        <v>0.01</v>
      </c>
    </row>
    <row r="11573" spans="1:6" x14ac:dyDescent="0.3">
      <c r="A11573" t="str">
        <f>HYPERLINK("https://us2.cloudbeds.com/connect/10074733072513#/reservations/31721769197812?display=MXAXZ17F0&amp;reservation_id=31721769197812", "MXAXZ17F0")</f>
        <v>MXAXZ17F0</v>
      </c>
      <c r="B11573" t="s">
        <v>1722</v>
      </c>
      <c r="C11573">
        <v>119</v>
      </c>
      <c r="D11573">
        <v>129.36000000000001</v>
      </c>
      <c r="E11573">
        <v>129.35</v>
      </c>
      <c r="F11573">
        <v>0.01</v>
      </c>
    </row>
    <row r="11574" spans="1:6" x14ac:dyDescent="0.3">
      <c r="A11574" t="str">
        <f>HYPERLINK("https://us2.cloudbeds.com/connect/10074733072513#/reservations/31725473607923?display=MXDECMTKS&amp;reservation_id=31725473607923", "MXDECMTKS")</f>
        <v>MXDECMTKS</v>
      </c>
      <c r="B11574" t="s">
        <v>1692</v>
      </c>
      <c r="C11574">
        <v>189</v>
      </c>
      <c r="D11574">
        <v>205.45</v>
      </c>
      <c r="E11574">
        <v>205.44</v>
      </c>
      <c r="F11574">
        <v>0.01</v>
      </c>
    </row>
    <row r="11575" spans="1:6" x14ac:dyDescent="0.3">
      <c r="A11575" t="str">
        <f>HYPERLINK("https://us2.cloudbeds.com/connect/10074733072513#/reservations/31721758081179?display=MXAXEYTBB&amp;reservation_id=31721758081179", "MXAXEYTBB")</f>
        <v>MXAXEYTBB</v>
      </c>
      <c r="B11575" t="s">
        <v>1722</v>
      </c>
      <c r="C11575">
        <v>87.82</v>
      </c>
      <c r="D11575">
        <v>95.47</v>
      </c>
      <c r="E11575">
        <v>95.46</v>
      </c>
      <c r="F11575">
        <v>0.01</v>
      </c>
    </row>
    <row r="11576" spans="1:6" x14ac:dyDescent="0.3">
      <c r="A11576" t="str">
        <f>HYPERLINK("https://us2.cloudbeds.com/connect/10074733072513#/reservations/31726785802391?display=MXEEU5Y7J&amp;reservation_id=31726785802391", "MXEEU5Y7J")</f>
        <v>MXEEU5Y7J</v>
      </c>
      <c r="B11576" t="s">
        <v>1721</v>
      </c>
      <c r="C11576">
        <v>119</v>
      </c>
      <c r="D11576">
        <v>129.36000000000001</v>
      </c>
      <c r="E11576">
        <v>129.35</v>
      </c>
      <c r="F11576">
        <v>0.01</v>
      </c>
    </row>
    <row r="11577" spans="1:6" x14ac:dyDescent="0.3">
      <c r="A11577" t="str">
        <f>HYPERLINK("https://us2.cloudbeds.com/connect/10074733072513#/reservations/31725774930061?display=MXDM2PKQZ&amp;reservation_id=31725774930061", "MXDM2PKQZ")</f>
        <v>MXDM2PKQZ</v>
      </c>
      <c r="B11577" t="s">
        <v>1722</v>
      </c>
      <c r="C11577">
        <v>87.82</v>
      </c>
      <c r="D11577">
        <v>95.47</v>
      </c>
      <c r="E11577">
        <v>95.46</v>
      </c>
      <c r="F11577">
        <v>0.01</v>
      </c>
    </row>
    <row r="11578" spans="1:6" x14ac:dyDescent="0.3">
      <c r="A11578" t="str">
        <f>HYPERLINK("https://us2.cloudbeds.com/connect/10074733072513#/reservations/31721712144595?display=MXAH8UKWY&amp;reservation_id=31721712144595", "MXAH8UKWY")</f>
        <v>MXAH8UKWY</v>
      </c>
      <c r="B11578" t="s">
        <v>1721</v>
      </c>
      <c r="C11578">
        <v>73</v>
      </c>
      <c r="D11578">
        <v>79.36</v>
      </c>
      <c r="E11578">
        <v>79.349999999999994</v>
      </c>
      <c r="F11578">
        <v>0.01</v>
      </c>
    </row>
    <row r="11579" spans="1:6" x14ac:dyDescent="0.3">
      <c r="A11579" t="str">
        <f>HYPERLINK("https://us2.cloudbeds.com/connect/10074733072513#/reservations/31726708003039?display=MXECUXP4F&amp;reservation_id=31726708003039", "MXECUXP4F")</f>
        <v>MXECUXP4F</v>
      </c>
      <c r="B11579" t="s">
        <v>1721</v>
      </c>
      <c r="C11579">
        <v>87.82</v>
      </c>
      <c r="D11579">
        <v>95.47</v>
      </c>
      <c r="E11579">
        <v>95.46</v>
      </c>
      <c r="F11579">
        <v>0.01</v>
      </c>
    </row>
    <row r="11580" spans="1:6" x14ac:dyDescent="0.3">
      <c r="A11580" t="str">
        <f>HYPERLINK("https://us2.cloudbeds.com/connect/10074733072513#/reservations/31726996312310?display=MXEK9MCV1&amp;reservation_id=31726996312310", "MXEK9MCV1")</f>
        <v>MXEK9MCV1</v>
      </c>
      <c r="B11580" t="s">
        <v>1719</v>
      </c>
      <c r="C11580">
        <v>119</v>
      </c>
      <c r="D11580">
        <v>129.36000000000001</v>
      </c>
      <c r="E11580">
        <v>129.35</v>
      </c>
      <c r="F11580">
        <v>0.01</v>
      </c>
    </row>
    <row r="11581" spans="1:6" x14ac:dyDescent="0.3">
      <c r="A11581" t="str">
        <f>HYPERLINK("https://us2.cloudbeds.com/connect/10074733072513#/reservations/31725313818766?display=MXDA9VHF6&amp;reservation_id=31725313818766", "MXDA9VHF6")</f>
        <v>MXDA9VHF6</v>
      </c>
      <c r="B11581" t="s">
        <v>1722</v>
      </c>
      <c r="C11581">
        <v>139</v>
      </c>
      <c r="D11581">
        <v>151.1</v>
      </c>
      <c r="E11581">
        <v>151.09</v>
      </c>
      <c r="F11581">
        <v>0.01</v>
      </c>
    </row>
    <row r="11582" spans="1:6" x14ac:dyDescent="0.3">
      <c r="A11582" t="str">
        <f>HYPERLINK("https://us2.cloudbeds.com/connect/10074733072513#/reservations/31713675628759?display=MX49UAZ9Z&amp;reservation_id=31713675628759", "MX49UAZ9Z")</f>
        <v>MX49UAZ9Z</v>
      </c>
      <c r="B11582" t="s">
        <v>1726</v>
      </c>
      <c r="C11582">
        <v>238</v>
      </c>
      <c r="D11582">
        <v>258.72000000000003</v>
      </c>
      <c r="E11582">
        <v>258.70999999999998</v>
      </c>
      <c r="F11582">
        <v>0.01</v>
      </c>
    </row>
    <row r="11583" spans="1:6" x14ac:dyDescent="0.3">
      <c r="A11583" t="str">
        <f>HYPERLINK("https://us2.cloudbeds.com/connect/10074733072513#/reservations/31726340239507?display=MXE3HF6J0&amp;reservation_id=31726340239507", "MXE3HF6J0")</f>
        <v>MXE3HF6J0</v>
      </c>
      <c r="B11583" t="s">
        <v>1566</v>
      </c>
      <c r="C11583">
        <v>209</v>
      </c>
      <c r="D11583">
        <v>227.19</v>
      </c>
      <c r="E11583">
        <v>227.18</v>
      </c>
      <c r="F11583">
        <v>0.01</v>
      </c>
    </row>
    <row r="11584" spans="1:6" x14ac:dyDescent="0.3">
      <c r="A11584" t="str">
        <f>HYPERLINK("https://us2.cloudbeds.com/connect/10074733072513#/reservations/31727940153498?display=MXFBDX5E5&amp;reservation_id=31727940153498", "MXFBDX5E5")</f>
        <v>MXFBDX5E5</v>
      </c>
      <c r="B11584" t="s">
        <v>1704</v>
      </c>
      <c r="C11584">
        <v>238</v>
      </c>
      <c r="D11584">
        <v>258.72000000000003</v>
      </c>
      <c r="E11584">
        <v>258.70999999999998</v>
      </c>
      <c r="F11584">
        <v>0.01</v>
      </c>
    </row>
    <row r="11585" spans="1:6" x14ac:dyDescent="0.3">
      <c r="A11585" t="str">
        <f>HYPERLINK("https://us2.cloudbeds.com/connect/10074733072513#/reservations/31726528053410?display=MXE8ARD4D&amp;reservation_id=31726528053410", "MXE8ARD4D")</f>
        <v>MXE8ARD4D</v>
      </c>
      <c r="B11585" t="s">
        <v>1692</v>
      </c>
      <c r="C11585">
        <v>109</v>
      </c>
      <c r="D11585">
        <v>118.49</v>
      </c>
      <c r="E11585">
        <v>118.48</v>
      </c>
      <c r="F11585">
        <v>0.01</v>
      </c>
    </row>
    <row r="11586" spans="1:6" x14ac:dyDescent="0.3">
      <c r="A11586" t="str">
        <f>HYPERLINK("https://us2.cloudbeds.com/connect/10074733072513#/reservations/31726356893840?display=MXE3VGKQM&amp;reservation_id=31726356893840", "MXE3VGKQM")</f>
        <v>MXE3VGKQM</v>
      </c>
      <c r="B11586" t="s">
        <v>1707</v>
      </c>
      <c r="C11586">
        <v>129</v>
      </c>
      <c r="D11586">
        <v>140.22999999999999</v>
      </c>
      <c r="E11586">
        <v>140.22</v>
      </c>
      <c r="F11586">
        <v>0.01</v>
      </c>
    </row>
    <row r="11587" spans="1:6" x14ac:dyDescent="0.3">
      <c r="A11587" t="str">
        <f>HYPERLINK("https://us2.cloudbeds.com/connect/10074733072513#/reservations/31724387131646?display=MXCJKX33A&amp;reservation_id=31724387131646", "MXCJKX33A")</f>
        <v>MXCJKX33A</v>
      </c>
      <c r="B11587" t="s">
        <v>1648</v>
      </c>
      <c r="C11587">
        <v>736</v>
      </c>
      <c r="D11587">
        <v>800.04</v>
      </c>
      <c r="E11587">
        <v>800.03</v>
      </c>
      <c r="F11587">
        <v>0.01</v>
      </c>
    </row>
    <row r="11588" spans="1:6" x14ac:dyDescent="0.3">
      <c r="A11588" t="str">
        <f>HYPERLINK("https://us2.cloudbeds.com/connect/10074733072513#/reservations/31714342518983?display=MX4QVYV0D&amp;reservation_id=31714342518983", "MX4QVYV0D")</f>
        <v>MX4QVYV0D</v>
      </c>
      <c r="B11588" t="s">
        <v>1731</v>
      </c>
      <c r="C11588">
        <v>169</v>
      </c>
      <c r="D11588">
        <v>183.71</v>
      </c>
      <c r="E11588">
        <v>183.7</v>
      </c>
      <c r="F11588">
        <v>0.01</v>
      </c>
    </row>
    <row r="11589" spans="1:6" x14ac:dyDescent="0.3">
      <c r="A11589" t="str">
        <f>HYPERLINK("https://us2.cloudbeds.com/connect/10074733072513#/reservations/31724700127448?display=MXCRKFYTJ&amp;reservation_id=31724700127448", "MXCRKFYTJ")</f>
        <v>MXCRKFYTJ</v>
      </c>
      <c r="B11589" t="s">
        <v>1627</v>
      </c>
      <c r="C11589">
        <v>149</v>
      </c>
      <c r="D11589">
        <v>161.97</v>
      </c>
      <c r="E11589">
        <v>161.96</v>
      </c>
      <c r="F11589">
        <v>0.01</v>
      </c>
    </row>
    <row r="11590" spans="1:6" x14ac:dyDescent="0.3">
      <c r="A11590" t="str">
        <f>HYPERLINK("https://us2.cloudbeds.com/connect/10074733072513#/reservations/31726323990684?display=MXE33P1NE&amp;reservation_id=31726323990684", "MXE33P1NE")</f>
        <v>MXE33P1NE</v>
      </c>
      <c r="B11590" t="s">
        <v>1717</v>
      </c>
      <c r="C11590">
        <v>87.82</v>
      </c>
      <c r="D11590">
        <v>95.47</v>
      </c>
      <c r="E11590">
        <v>95.46</v>
      </c>
      <c r="F11590">
        <v>0.01</v>
      </c>
    </row>
    <row r="11591" spans="1:6" x14ac:dyDescent="0.3">
      <c r="A11591" t="str">
        <f>HYPERLINK("https://us2.cloudbeds.com/connect/10074733072513#/reservations/31722366722202?display=MXB0WT7BN&amp;reservation_id=31722366722202", "MXB0WT7BN")</f>
        <v>MXB0WT7BN</v>
      </c>
      <c r="B11591" t="s">
        <v>1385</v>
      </c>
      <c r="C11591">
        <v>318</v>
      </c>
      <c r="D11591">
        <v>345.68</v>
      </c>
      <c r="E11591">
        <v>345.67</v>
      </c>
      <c r="F11591">
        <v>0.01</v>
      </c>
    </row>
    <row r="11592" spans="1:6" x14ac:dyDescent="0.3">
      <c r="A11592" t="str">
        <f>HYPERLINK("https://us2.cloudbeds.com/connect/10074733072513#/reservations/31713723764954?display=MX4B4U6GA&amp;reservation_id=31713723764954", "MX4B4U6GA")</f>
        <v>MX4B4U6GA</v>
      </c>
      <c r="B11592" t="s">
        <v>1717</v>
      </c>
      <c r="C11592">
        <v>87.82</v>
      </c>
      <c r="D11592">
        <v>95.47</v>
      </c>
      <c r="E11592">
        <v>95.46</v>
      </c>
      <c r="F11592">
        <v>0.01</v>
      </c>
    </row>
    <row r="11593" spans="1:6" x14ac:dyDescent="0.3">
      <c r="A11593" t="str">
        <f>HYPERLINK("https://us2.cloudbeds.com/connect/10074733072513#/reservations/31722732482732?display=MXBABA1K4&amp;reservation_id=31722732482732", "MXBABA1K4")</f>
        <v>MXBABA1K4</v>
      </c>
      <c r="B11593" t="s">
        <v>1732</v>
      </c>
      <c r="C11593">
        <v>159</v>
      </c>
      <c r="D11593">
        <v>172.84</v>
      </c>
      <c r="E11593">
        <v>172.83</v>
      </c>
      <c r="F11593">
        <v>0.01</v>
      </c>
    </row>
    <row r="11594" spans="1:6" x14ac:dyDescent="0.3">
      <c r="A11594" t="str">
        <f>HYPERLINK("https://us2.cloudbeds.com/connect/10074733072513#/reservations/31724725301386?display=MXCS8N5F6&amp;reservation_id=31724725301386", "MXCS8N5F6")</f>
        <v>MXCS8N5F6</v>
      </c>
      <c r="B11594" t="s">
        <v>1627</v>
      </c>
      <c r="C11594">
        <v>159</v>
      </c>
      <c r="D11594">
        <v>172.84</v>
      </c>
      <c r="E11594">
        <v>172.83</v>
      </c>
      <c r="F11594">
        <v>0.01</v>
      </c>
    </row>
    <row r="11595" spans="1:6" x14ac:dyDescent="0.3">
      <c r="A11595" t="str">
        <f>HYPERLINK("https://us2.cloudbeds.com/connect/10074733072513#/reservations/31721167827189?display=MXA3BV6YQ&amp;reservation_id=31721167827189", "MXA3BV6YQ")</f>
        <v>MXA3BV6YQ</v>
      </c>
      <c r="B11595" t="s">
        <v>1726</v>
      </c>
      <c r="C11595">
        <v>119</v>
      </c>
      <c r="D11595">
        <v>129.36000000000001</v>
      </c>
      <c r="E11595">
        <v>129.35</v>
      </c>
      <c r="F11595">
        <v>0.01</v>
      </c>
    </row>
    <row r="11596" spans="1:6" x14ac:dyDescent="0.3">
      <c r="A11596" t="str">
        <f>HYPERLINK("https://us2.cloudbeds.com/connect/10074733072513#/reservations/31723402371287?display=MXBRF5MK9&amp;reservation_id=31723402371287", "MXBRF5MK9")</f>
        <v>MXBRF5MK9</v>
      </c>
      <c r="B11596" t="s">
        <v>1427</v>
      </c>
      <c r="C11596">
        <v>318</v>
      </c>
      <c r="D11596">
        <v>345.68</v>
      </c>
      <c r="E11596">
        <v>345.67</v>
      </c>
      <c r="F11596">
        <v>0.01</v>
      </c>
    </row>
    <row r="11597" spans="1:6" x14ac:dyDescent="0.3">
      <c r="A11597" t="str">
        <f>HYPERLINK("https://us2.cloudbeds.com/connect/10074733072513#/reservations/31713701208289?display=MX4AXTHA0&amp;reservation_id=31713701208289", "MX4AXTHA0")</f>
        <v>MX4AXTHA0</v>
      </c>
      <c r="B11597" t="s">
        <v>1726</v>
      </c>
      <c r="C11597">
        <v>119</v>
      </c>
      <c r="D11597">
        <v>129.36000000000001</v>
      </c>
      <c r="E11597">
        <v>129.35</v>
      </c>
      <c r="F11597">
        <v>0.01</v>
      </c>
    </row>
    <row r="11598" spans="1:6" x14ac:dyDescent="0.3">
      <c r="A11598" t="str">
        <f>HYPERLINK("https://us2.cloudbeds.com/connect/10074733072513#/reservations/31724458983601?display=MXCYF4FS9&amp;reservation_id=31724458983601", "MXCYF4FS9")</f>
        <v>MXCYF4FS9</v>
      </c>
      <c r="B11598" t="s">
        <v>1726</v>
      </c>
      <c r="C11598">
        <v>178</v>
      </c>
      <c r="D11598">
        <v>193.5</v>
      </c>
      <c r="E11598">
        <v>193.49</v>
      </c>
      <c r="F11598">
        <v>0.01</v>
      </c>
    </row>
    <row r="11599" spans="1:6" x14ac:dyDescent="0.3">
      <c r="A11599" t="str">
        <f>HYPERLINK("https://us2.cloudbeds.com/connect/10074733072513#/reservations/31724491718822?display=MXCM9ZCZM&amp;reservation_id=31724491718822", "MXCM9ZCZM")</f>
        <v>MXCM9ZCZM</v>
      </c>
      <c r="B11599" t="s">
        <v>1726</v>
      </c>
      <c r="C11599">
        <v>87.82</v>
      </c>
      <c r="D11599">
        <v>95.47</v>
      </c>
      <c r="E11599">
        <v>95.46</v>
      </c>
      <c r="F11599">
        <v>0.01</v>
      </c>
    </row>
    <row r="11600" spans="1:6" x14ac:dyDescent="0.3">
      <c r="A11600" t="str">
        <f>HYPERLINK("https://us2.cloudbeds.com/connect/10074733072513#/reservations/31727049302210?display=MXEYYBU5J&amp;reservation_id=31727049302210", "MXEYYBU5J")</f>
        <v>MXEYYBU5J</v>
      </c>
      <c r="B11600" t="s">
        <v>1719</v>
      </c>
      <c r="C11600">
        <v>238</v>
      </c>
      <c r="D11600">
        <v>258.72000000000003</v>
      </c>
      <c r="E11600">
        <v>258.70999999999998</v>
      </c>
      <c r="F11600">
        <v>0.01</v>
      </c>
    </row>
    <row r="11601" spans="1:6" x14ac:dyDescent="0.3">
      <c r="A11601" t="str">
        <f>HYPERLINK("https://us2.cloudbeds.com/connect/10074733072513#/reservations/31724043690211?display=MXCARVAT3&amp;reservation_id=31724043690211", "MXCARVAT3")</f>
        <v>MXCARVAT3</v>
      </c>
      <c r="B11601" t="s">
        <v>1734</v>
      </c>
      <c r="C11601">
        <v>428.4</v>
      </c>
      <c r="D11601">
        <v>465.68</v>
      </c>
      <c r="E11601">
        <v>465.67</v>
      </c>
      <c r="F11601">
        <v>0.01</v>
      </c>
    </row>
    <row r="11602" spans="1:6" x14ac:dyDescent="0.3">
      <c r="A11602" t="str">
        <f>HYPERLINK("https://us2.cloudbeds.com/connect/10074733072513#/reservations/31728577552515?display=MXFRN0Z4T&amp;reservation_id=31728577552515", "MXFRN0Z4T")</f>
        <v>MXFRN0Z4T</v>
      </c>
      <c r="B11602" t="s">
        <v>1385</v>
      </c>
      <c r="C11602">
        <v>130.38</v>
      </c>
      <c r="D11602">
        <v>141.72999999999999</v>
      </c>
      <c r="E11602">
        <v>141.72</v>
      </c>
      <c r="F11602">
        <v>0.01</v>
      </c>
    </row>
    <row r="11603" spans="1:6" x14ac:dyDescent="0.3">
      <c r="A11603" t="str">
        <f>HYPERLINK("https://us2.cloudbeds.com/connect/10074733072513#/reservations/31724363485409?display=MXCJ0K3CM&amp;reservation_id=31724363485409", "MXCJ0K3CM")</f>
        <v>MXCJ0K3CM</v>
      </c>
      <c r="B11603" t="s">
        <v>1735</v>
      </c>
      <c r="C11603">
        <v>428.4</v>
      </c>
      <c r="D11603">
        <v>465.68</v>
      </c>
      <c r="E11603">
        <v>465.67</v>
      </c>
      <c r="F11603">
        <v>0.01</v>
      </c>
    </row>
    <row r="11604" spans="1:6" x14ac:dyDescent="0.3">
      <c r="A11604" t="str">
        <f>HYPERLINK("https://us2.cloudbeds.com/connect/10074733072513#/reservations/31721060729076?display=MXA0KY19E&amp;reservation_id=31721060729076", "MXA0KY19E")</f>
        <v>MXA0KY19E</v>
      </c>
      <c r="B11604" t="s">
        <v>1733</v>
      </c>
      <c r="C11604">
        <v>73</v>
      </c>
      <c r="D11604">
        <v>79.36</v>
      </c>
      <c r="E11604">
        <v>79.349999999999994</v>
      </c>
      <c r="F11604">
        <v>0.01</v>
      </c>
    </row>
    <row r="11605" spans="1:6" x14ac:dyDescent="0.3">
      <c r="A11605" t="str">
        <f>HYPERLINK("https://us2.cloudbeds.com/connect/10074733072513#/reservations/31721145508092?display=MXA2Q44KH&amp;reservation_id=31721145508092", "MXA2Q44KH")</f>
        <v>MXA2Q44KH</v>
      </c>
      <c r="B11605" t="s">
        <v>1733</v>
      </c>
      <c r="C11605">
        <v>73</v>
      </c>
      <c r="D11605">
        <v>79.36</v>
      </c>
      <c r="E11605">
        <v>79.349999999999994</v>
      </c>
      <c r="F11605">
        <v>0.01</v>
      </c>
    </row>
    <row r="11606" spans="1:6" x14ac:dyDescent="0.3">
      <c r="A11606" t="str">
        <f>HYPERLINK("https://us2.cloudbeds.com/connect/10074733072513#/reservations/31712860356818?display=MX3M2SJXD&amp;reservation_id=31712860356818", "MX3M2SJXD")</f>
        <v>MX3M2SJXD</v>
      </c>
      <c r="B11606" t="s">
        <v>1690</v>
      </c>
      <c r="C11606">
        <v>169</v>
      </c>
      <c r="D11606">
        <v>183.71</v>
      </c>
      <c r="E11606">
        <v>183.7</v>
      </c>
      <c r="F11606">
        <v>0.01</v>
      </c>
    </row>
    <row r="11607" spans="1:6" x14ac:dyDescent="0.3">
      <c r="A11607" t="str">
        <f>HYPERLINK("https://us2.cloudbeds.com/connect/10074733072513#/reservations/31725292527851?display=MXD9P02XV&amp;reservation_id=31725292527851", "MXD9P02XV")</f>
        <v>MXD9P02XV</v>
      </c>
      <c r="B11607" t="s">
        <v>1727</v>
      </c>
      <c r="C11607">
        <v>428.4</v>
      </c>
      <c r="D11607">
        <v>465.68</v>
      </c>
      <c r="E11607">
        <v>465.67</v>
      </c>
      <c r="F11607">
        <v>0.01</v>
      </c>
    </row>
    <row r="11608" spans="1:6" x14ac:dyDescent="0.3">
      <c r="A11608" t="str">
        <f>HYPERLINK("https://us2.cloudbeds.com/connect/10074733072513#/reservations/31722233393336?display=MXAUJF4W1&amp;reservation_id=31722233393336", "MXAUJF4W1")</f>
        <v>MXAUJF4W1</v>
      </c>
      <c r="B11608" t="s">
        <v>1706</v>
      </c>
      <c r="C11608">
        <v>428.4</v>
      </c>
      <c r="D11608">
        <v>465.68</v>
      </c>
      <c r="E11608">
        <v>465.67</v>
      </c>
      <c r="F11608">
        <v>0.01</v>
      </c>
    </row>
    <row r="11609" spans="1:6" x14ac:dyDescent="0.3">
      <c r="A11609" t="str">
        <f>HYPERLINK("https://us2.cloudbeds.com/connect/10074733072513#/reservations/31724480344273?display=MXCM04SQC&amp;reservation_id=31724480344273", "MXCM04SQC")</f>
        <v>MXCM04SQC</v>
      </c>
      <c r="B11609" t="s">
        <v>1726</v>
      </c>
      <c r="C11609">
        <v>87.82</v>
      </c>
      <c r="D11609">
        <v>95.47</v>
      </c>
      <c r="E11609">
        <v>95.46</v>
      </c>
      <c r="F11609">
        <v>0.01</v>
      </c>
    </row>
    <row r="11610" spans="1:6" x14ac:dyDescent="0.3">
      <c r="A11610" t="str">
        <f>HYPERLINK("https://us2.cloudbeds.com/connect/10074733072513#/reservations/31728061685978?display=MXFEH0WGJ&amp;reservation_id=31728061685978", "MXFEH0WGJ")</f>
        <v>MXFEH0WGJ</v>
      </c>
      <c r="B11610" t="s">
        <v>1719</v>
      </c>
      <c r="C11610">
        <v>73</v>
      </c>
      <c r="D11610">
        <v>79.36</v>
      </c>
      <c r="E11610">
        <v>79.349999999999994</v>
      </c>
      <c r="F11610">
        <v>0.01</v>
      </c>
    </row>
    <row r="11611" spans="1:6" x14ac:dyDescent="0.3">
      <c r="A11611" t="str">
        <f>HYPERLINK("https://us2.cloudbeds.com/connect/10074733072513#/reservations/31722296266900?display=MXAW6FN3X&amp;reservation_id=31722296266900", "MXAW6FN3X")</f>
        <v>MXAW6FN3X</v>
      </c>
      <c r="B11611" t="s">
        <v>1385</v>
      </c>
      <c r="C11611">
        <v>199</v>
      </c>
      <c r="D11611">
        <v>216.32</v>
      </c>
      <c r="E11611">
        <v>216.31</v>
      </c>
      <c r="F11611">
        <v>0.01</v>
      </c>
    </row>
    <row r="11612" spans="1:6" x14ac:dyDescent="0.3">
      <c r="A11612" t="str">
        <f>HYPERLINK("https://us2.cloudbeds.com/connect/10074733072513#/reservations/31721071370377?display=MXA0TK4U3&amp;reservation_id=31721071370377", "MXA0TK4U3")</f>
        <v>MXA0TK4U3</v>
      </c>
      <c r="B11612" t="s">
        <v>1733</v>
      </c>
      <c r="C11612">
        <v>149</v>
      </c>
      <c r="D11612">
        <v>161.97</v>
      </c>
      <c r="E11612">
        <v>161.96</v>
      </c>
      <c r="F11612">
        <v>0.01</v>
      </c>
    </row>
    <row r="11613" spans="1:6" x14ac:dyDescent="0.3">
      <c r="A11613" t="str">
        <f>HYPERLINK("https://us2.cloudbeds.com/connect/10074733072513#/reservations/31728656912639?display=MXFTNV1F4&amp;reservation_id=31728656912639", "MXFTNV1F4")</f>
        <v>MXFTNV1F4</v>
      </c>
      <c r="B11613" t="s">
        <v>1713</v>
      </c>
      <c r="C11613">
        <v>149</v>
      </c>
      <c r="D11613">
        <v>161.97</v>
      </c>
      <c r="E11613">
        <v>161.96</v>
      </c>
      <c r="F11613">
        <v>0.01</v>
      </c>
    </row>
    <row r="11614" spans="1:6" x14ac:dyDescent="0.3">
      <c r="A11614" t="str">
        <f>HYPERLINK("https://us2.cloudbeds.com/connect/10074733072513#/reservations/31719229178082?display=MX8JR7E95&amp;reservation_id=31719229178082", "MX8JR7E95")</f>
        <v>MX8JR7E95</v>
      </c>
      <c r="B11614" t="s">
        <v>1736</v>
      </c>
      <c r="C11614">
        <v>119</v>
      </c>
      <c r="D11614">
        <v>129.36000000000001</v>
      </c>
      <c r="E11614">
        <v>129.35</v>
      </c>
      <c r="F11614">
        <v>0.01</v>
      </c>
    </row>
    <row r="11615" spans="1:6" x14ac:dyDescent="0.3">
      <c r="A11615" t="str">
        <f>HYPERLINK("https://us2.cloudbeds.com/connect/10074733072513#/reservations/31719242731730?display=MX8K5YJ7P&amp;reservation_id=31719242731730", "MX8K5YJ7P")</f>
        <v>MX8K5YJ7P</v>
      </c>
      <c r="B11615" t="s">
        <v>1736</v>
      </c>
      <c r="C11615">
        <v>119</v>
      </c>
      <c r="D11615">
        <v>129.36000000000001</v>
      </c>
      <c r="E11615">
        <v>129.35</v>
      </c>
      <c r="F11615">
        <v>0.01</v>
      </c>
    </row>
    <row r="11616" spans="1:6" x14ac:dyDescent="0.3">
      <c r="A11616" t="str">
        <f>HYPERLINK("https://us2.cloudbeds.com/connect/10074733072513#/reservations/31724377493717?display=MXCJCDTRR&amp;reservation_id=31724377493717", "MXCJCDTRR")</f>
        <v>MXCJCDTRR</v>
      </c>
      <c r="B11616" t="s">
        <v>1737</v>
      </c>
      <c r="C11616">
        <v>119</v>
      </c>
      <c r="D11616">
        <v>129.36000000000001</v>
      </c>
      <c r="E11616">
        <v>129.35</v>
      </c>
      <c r="F11616">
        <v>0.01</v>
      </c>
    </row>
    <row r="11617" spans="1:6" x14ac:dyDescent="0.3">
      <c r="A11617" t="str">
        <f>HYPERLINK("https://us2.cloudbeds.com/connect/10074733072513#/reservations/31727054876835?display=MXEYQ216K&amp;reservation_id=31727054876835", "MXEYQ216K")</f>
        <v>MXEYQ216K</v>
      </c>
      <c r="B11617" t="s">
        <v>1719</v>
      </c>
      <c r="C11617">
        <v>149</v>
      </c>
      <c r="D11617">
        <v>161.97</v>
      </c>
      <c r="E11617">
        <v>161.96</v>
      </c>
      <c r="F11617">
        <v>0.01</v>
      </c>
    </row>
    <row r="11618" spans="1:6" x14ac:dyDescent="0.3">
      <c r="A11618" t="str">
        <f>HYPERLINK("https://us2.cloudbeds.com/connect/10074733072513#/reservations/31724639006891?display=MXCQ1UTGG&amp;reservation_id=31724639006891", "MXCQ1UTGG")</f>
        <v>MXCQ1UTGG</v>
      </c>
      <c r="B11618" t="s">
        <v>1712</v>
      </c>
      <c r="C11618">
        <v>298</v>
      </c>
      <c r="D11618">
        <v>323.94</v>
      </c>
      <c r="E11618">
        <v>323.93</v>
      </c>
      <c r="F11618">
        <v>0.01</v>
      </c>
    </row>
    <row r="11619" spans="1:6" x14ac:dyDescent="0.3">
      <c r="A11619" t="str">
        <f>HYPERLINK("https://us2.cloudbeds.com/connect/10074733072513#/reservations/31726891937937?display=MXEHKM0N8&amp;reservation_id=31726891937937", "MXEHKM0N8")</f>
        <v>MXEHKM0N8</v>
      </c>
      <c r="B11619" t="s">
        <v>1385</v>
      </c>
      <c r="C11619">
        <v>467</v>
      </c>
      <c r="D11619">
        <v>507.64</v>
      </c>
      <c r="E11619">
        <v>507.63</v>
      </c>
      <c r="F11619">
        <v>0.01</v>
      </c>
    </row>
    <row r="11620" spans="1:6" x14ac:dyDescent="0.3">
      <c r="A11620" t="str">
        <f>HYPERLINK("https://us2.cloudbeds.com/connect/10074733072513#/reservations/31726582735013?display=MXE9NUWQM&amp;reservation_id=31726582735013", "MXE9NUWQM")</f>
        <v>MXE9NUWQM</v>
      </c>
      <c r="B11620" t="s">
        <v>1738</v>
      </c>
      <c r="C11620">
        <v>102.58</v>
      </c>
      <c r="D11620">
        <v>111.51</v>
      </c>
      <c r="E11620">
        <v>111.5</v>
      </c>
      <c r="F11620">
        <v>0.01</v>
      </c>
    </row>
    <row r="11621" spans="1:6" x14ac:dyDescent="0.3">
      <c r="A11621" t="str">
        <f>HYPERLINK("https://us2.cloudbeds.com/connect/10074733072513#/reservations/31724649844938?display=MXCQB2FQ5&amp;reservation_id=31724649844938", "MXCQB2FQ5")</f>
        <v>MXCQB2FQ5</v>
      </c>
      <c r="B11621" t="s">
        <v>1712</v>
      </c>
      <c r="C11621">
        <v>298</v>
      </c>
      <c r="D11621">
        <v>323.94</v>
      </c>
      <c r="E11621">
        <v>323.93</v>
      </c>
      <c r="F11621">
        <v>0.01</v>
      </c>
    </row>
    <row r="11622" spans="1:6" x14ac:dyDescent="0.3">
      <c r="A11622" t="str">
        <f>HYPERLINK("https://us2.cloudbeds.com/connect/10074733072513#/reservations/31724628955345?display=MXCPQF6E6&amp;reservation_id=31724628955345", "MXCPQF6E6")</f>
        <v>MXCPQF6E6</v>
      </c>
      <c r="B11622" t="s">
        <v>1712</v>
      </c>
      <c r="C11622">
        <v>298</v>
      </c>
      <c r="D11622">
        <v>323.94</v>
      </c>
      <c r="E11622">
        <v>323.93</v>
      </c>
      <c r="F11622">
        <v>0.01</v>
      </c>
    </row>
    <row r="11623" spans="1:6" x14ac:dyDescent="0.3">
      <c r="A11623" t="str">
        <f>HYPERLINK("https://us2.cloudbeds.com/connect/10074733072513#/reservations/31728586842357?display=MXFRUS7P8&amp;reservation_id=31728586842357", "MXFRUS7P8")</f>
        <v>MXFRUS7P8</v>
      </c>
      <c r="B11623" t="s">
        <v>1385</v>
      </c>
      <c r="C11623">
        <v>179</v>
      </c>
      <c r="D11623">
        <v>194.58</v>
      </c>
      <c r="E11623">
        <v>194.57</v>
      </c>
      <c r="F11623">
        <v>0.01</v>
      </c>
    </row>
    <row r="11624" spans="1:6" x14ac:dyDescent="0.3">
      <c r="A11624" t="str">
        <f>HYPERLINK("https://us2.cloudbeds.com/connect/10074733072513#/reservations/31727816376492?display=MXF885T8P&amp;reservation_id=31727816376492", "MXF885T8P")</f>
        <v>MXF885T8P</v>
      </c>
      <c r="B11624" t="s">
        <v>1704</v>
      </c>
      <c r="C11624">
        <v>149</v>
      </c>
      <c r="D11624">
        <v>161.97</v>
      </c>
      <c r="E11624">
        <v>161.96</v>
      </c>
      <c r="F11624">
        <v>0.01</v>
      </c>
    </row>
    <row r="11625" spans="1:6" x14ac:dyDescent="0.3">
      <c r="A11625" t="str">
        <f>HYPERLINK("https://us2.cloudbeds.com/connect/10074733072513#/reservations/31728656912578?display=MXFTNV1D9&amp;reservation_id=31728656912578", "MXFTNV1D9")</f>
        <v>MXFTNV1D9</v>
      </c>
      <c r="B11625" t="s">
        <v>1713</v>
      </c>
      <c r="C11625">
        <v>179</v>
      </c>
      <c r="D11625">
        <v>194.58</v>
      </c>
      <c r="E11625">
        <v>194.57</v>
      </c>
      <c r="F11625">
        <v>0.01</v>
      </c>
    </row>
    <row r="11626" spans="1:6" x14ac:dyDescent="0.3">
      <c r="A11626" t="str">
        <f>HYPERLINK("https://us2.cloudbeds.com/connect/10074733072513#/reservations/31726968389793?display=MXEJJ4DE5&amp;reservation_id=31726968389793", "MXEJJ4DE5")</f>
        <v>MXEJJ4DE5</v>
      </c>
      <c r="B11626" t="s">
        <v>1735</v>
      </c>
      <c r="C11626">
        <v>496</v>
      </c>
      <c r="D11626">
        <v>539.16</v>
      </c>
      <c r="E11626">
        <v>539.15</v>
      </c>
      <c r="F11626">
        <v>0.01</v>
      </c>
    </row>
    <row r="11627" spans="1:6" x14ac:dyDescent="0.3">
      <c r="A11627" t="str">
        <f>HYPERLINK("https://us2.cloudbeds.com/connect/10074733072513#/reservations/31714352087196?display=MX4R6Z688&amp;reservation_id=31714352087196", "MX4R6Z688")</f>
        <v>MX4R6Z688</v>
      </c>
      <c r="B11627" t="s">
        <v>1731</v>
      </c>
      <c r="C11627">
        <v>159</v>
      </c>
      <c r="D11627">
        <v>172.84</v>
      </c>
      <c r="E11627">
        <v>172.83</v>
      </c>
      <c r="F11627">
        <v>0.01</v>
      </c>
    </row>
    <row r="11628" spans="1:6" x14ac:dyDescent="0.3">
      <c r="A11628" t="str">
        <f>HYPERLINK("https://us2.cloudbeds.com/connect/10074733072513#/reservations/31728614232195?display=MXFSKVD4B&amp;reservation_id=31728614232195", "MXFSKVD4B")</f>
        <v>MXFSKVD4B</v>
      </c>
      <c r="B11628" t="s">
        <v>1385</v>
      </c>
      <c r="C11628">
        <v>179</v>
      </c>
      <c r="D11628">
        <v>194.58</v>
      </c>
      <c r="E11628">
        <v>194.57</v>
      </c>
      <c r="F11628">
        <v>0.01</v>
      </c>
    </row>
    <row r="11629" spans="1:6" x14ac:dyDescent="0.3">
      <c r="A11629" t="str">
        <f>HYPERLINK("https://us2.cloudbeds.com/connect/10074733072513#/reservations/31722394046617?display=MXB1MUXY9&amp;reservation_id=31722394046617", "MXB1MUXY9")</f>
        <v>MXB1MUXY9</v>
      </c>
      <c r="B11629" t="s">
        <v>1385</v>
      </c>
      <c r="C11629">
        <v>209</v>
      </c>
      <c r="D11629">
        <v>227.19</v>
      </c>
      <c r="E11629">
        <v>227.18</v>
      </c>
      <c r="F11629">
        <v>0.01</v>
      </c>
    </row>
    <row r="11630" spans="1:6" x14ac:dyDescent="0.3">
      <c r="A11630" t="str">
        <f>HYPERLINK("https://us2.cloudbeds.com/connect/10074733072513#/reservations/31727238410449?display=MXEQFR499&amp;reservation_id=31727238410449", "MXEQFR499")</f>
        <v>MXEQFR499</v>
      </c>
      <c r="B11630" t="s">
        <v>1740</v>
      </c>
      <c r="C11630">
        <v>252</v>
      </c>
      <c r="D11630">
        <v>273.93</v>
      </c>
      <c r="E11630">
        <v>273.92</v>
      </c>
      <c r="F11630">
        <v>0.01</v>
      </c>
    </row>
    <row r="11631" spans="1:6" x14ac:dyDescent="0.3">
      <c r="A11631" t="str">
        <f>HYPERLINK("https://us2.cloudbeds.com/connect/10074733072513#/reservations/31724339658884?display=MXCXDH33P&amp;reservation_id=31724339658884", "MXCXDH33P")</f>
        <v>MXCXDH33P</v>
      </c>
      <c r="B11631" t="s">
        <v>1737</v>
      </c>
      <c r="C11631">
        <v>119</v>
      </c>
      <c r="D11631">
        <v>129.36000000000001</v>
      </c>
      <c r="E11631">
        <v>129.35</v>
      </c>
      <c r="F11631">
        <v>0.01</v>
      </c>
    </row>
    <row r="11632" spans="1:6" x14ac:dyDescent="0.3">
      <c r="A11632" t="str">
        <f>HYPERLINK("https://us2.cloudbeds.com/connect/10074733072513#/reservations/31719251194035?display=MX8KCQ1V8&amp;reservation_id=31719251194035", "MX8KCQ1V8")</f>
        <v>MX8KCQ1V8</v>
      </c>
      <c r="B11632" t="s">
        <v>1736</v>
      </c>
      <c r="C11632">
        <v>119</v>
      </c>
      <c r="D11632">
        <v>129.36000000000001</v>
      </c>
      <c r="E11632">
        <v>129.35</v>
      </c>
      <c r="F11632">
        <v>0.01</v>
      </c>
    </row>
    <row r="11633" spans="1:6" x14ac:dyDescent="0.3">
      <c r="A11633" t="str">
        <f>HYPERLINK("https://us2.cloudbeds.com/connect/10074733072513#/reservations/31724396531916?display=MXCJSFM3W&amp;reservation_id=31724396531916", "MXCJSFM3W")</f>
        <v>MXCJSFM3W</v>
      </c>
      <c r="B11633" t="s">
        <v>1737</v>
      </c>
      <c r="C11633">
        <v>119</v>
      </c>
      <c r="D11633">
        <v>129.36000000000001</v>
      </c>
      <c r="E11633">
        <v>129.35</v>
      </c>
      <c r="F11633">
        <v>0.01</v>
      </c>
    </row>
    <row r="11634" spans="1:6" x14ac:dyDescent="0.3">
      <c r="A11634" t="str">
        <f>HYPERLINK("https://us2.cloudbeds.com/connect/10074733072513#/reservations/31722345033953?display=MXB0EJNK0&amp;reservation_id=31722345033953", "MXB0EJNK0")</f>
        <v>MXB0EJNK0</v>
      </c>
      <c r="B11634" t="s">
        <v>1385</v>
      </c>
      <c r="C11634">
        <v>189</v>
      </c>
      <c r="D11634">
        <v>205.45</v>
      </c>
      <c r="E11634">
        <v>205.44</v>
      </c>
      <c r="F11634">
        <v>0.01</v>
      </c>
    </row>
    <row r="11635" spans="1:6" x14ac:dyDescent="0.3">
      <c r="A11635" t="str">
        <f>HYPERLINK("https://us2.cloudbeds.com/connect/10074733072513#/reservations/31720524554412?display=MX9JUH67B&amp;reservation_id=31720524554412", "MX9JUH67B")</f>
        <v>MX9JUH67B</v>
      </c>
      <c r="B11635" t="s">
        <v>1742</v>
      </c>
      <c r="C11635">
        <v>298</v>
      </c>
      <c r="D11635">
        <v>323.94</v>
      </c>
      <c r="E11635">
        <v>323.93</v>
      </c>
      <c r="F11635">
        <v>0.01</v>
      </c>
    </row>
    <row r="11636" spans="1:6" x14ac:dyDescent="0.3">
      <c r="A11636" t="str">
        <f>HYPERLINK("https://us2.cloudbeds.com/connect/10074733072513#/reservations/31726304280786?display=MXE2K4JKQ&amp;reservation_id=31726304280786", "MXE2K4JKQ")</f>
        <v>MXE2K4JKQ</v>
      </c>
      <c r="B11636" t="s">
        <v>1707</v>
      </c>
      <c r="C11636">
        <v>278</v>
      </c>
      <c r="D11636">
        <v>302.2</v>
      </c>
      <c r="E11636">
        <v>302.19</v>
      </c>
      <c r="F11636">
        <v>0.01</v>
      </c>
    </row>
    <row r="11637" spans="1:6" x14ac:dyDescent="0.3">
      <c r="A11637" t="str">
        <f>HYPERLINK("https://us2.cloudbeds.com/connect/10074733072513#/reservations/31727301120213?display=MXES2N405&amp;reservation_id=31727301120213", "MXES2N405")</f>
        <v>MXES2N405</v>
      </c>
      <c r="B11637" t="s">
        <v>1741</v>
      </c>
      <c r="C11637">
        <v>87.82</v>
      </c>
      <c r="D11637">
        <v>95.47</v>
      </c>
      <c r="E11637">
        <v>95.46</v>
      </c>
      <c r="F11637">
        <v>0.01</v>
      </c>
    </row>
    <row r="11638" spans="1:6" x14ac:dyDescent="0.3">
      <c r="A11638" t="str">
        <f>HYPERLINK("https://us2.cloudbeds.com/connect/10074733072513#/reservations/31727311745193?display=MXESBYPY8&amp;reservation_id=31727311745193", "MXESBYPY8")</f>
        <v>MXESBYPY8</v>
      </c>
      <c r="B11638" t="s">
        <v>1741</v>
      </c>
      <c r="C11638">
        <v>119</v>
      </c>
      <c r="D11638">
        <v>129.36000000000001</v>
      </c>
      <c r="E11638">
        <v>129.35</v>
      </c>
      <c r="F11638">
        <v>0.01</v>
      </c>
    </row>
    <row r="11639" spans="1:6" x14ac:dyDescent="0.3">
      <c r="A11639" t="str">
        <f>HYPERLINK("https://us2.cloudbeds.com/connect/10074733072513#/reservations/31724265148602?display=MXCGGMZ9E&amp;reservation_id=31724265148602", "MXCGGMZ9E")</f>
        <v>MXCGGMZ9E</v>
      </c>
      <c r="B11639" t="s">
        <v>1707</v>
      </c>
      <c r="C11639">
        <v>89</v>
      </c>
      <c r="D11639">
        <v>96.75</v>
      </c>
      <c r="E11639">
        <v>96.74</v>
      </c>
      <c r="F11639">
        <v>0.01</v>
      </c>
    </row>
    <row r="11640" spans="1:6" x14ac:dyDescent="0.3">
      <c r="A11640" t="str">
        <f>HYPERLINK("https://us2.cloudbeds.com/connect/10074733072513#/reservations/31716751577271?display=MX6MH1HZN&amp;reservation_id=31716751577271", "MX6MH1HZN")</f>
        <v>MX6MH1HZN</v>
      </c>
      <c r="B11640" t="s">
        <v>1743</v>
      </c>
      <c r="C11640">
        <v>159</v>
      </c>
      <c r="D11640">
        <v>172.84</v>
      </c>
      <c r="E11640">
        <v>172.83</v>
      </c>
      <c r="F11640">
        <v>0.01</v>
      </c>
    </row>
    <row r="11641" spans="1:6" x14ac:dyDescent="0.3">
      <c r="A11641" t="str">
        <f>HYPERLINK("https://us2.cloudbeds.com/connect/10074733072513#/reservations/31725297811665?display=MXD9TF3XH&amp;reservation_id=31725297811665", "MXD9TF3XH")</f>
        <v>MXD9TF3XH</v>
      </c>
      <c r="B11641" t="s">
        <v>1727</v>
      </c>
      <c r="C11641">
        <v>336</v>
      </c>
      <c r="D11641">
        <v>365.24</v>
      </c>
      <c r="E11641">
        <v>365.23</v>
      </c>
      <c r="F11641">
        <v>0.01</v>
      </c>
    </row>
    <row r="11642" spans="1:6" x14ac:dyDescent="0.3">
      <c r="A11642" t="str">
        <f>HYPERLINK("https://us2.cloudbeds.com/connect/10074733072513#/reservations/31724513280216?display=MXCMRUC08&amp;reservation_id=31724513280216", "MXCMRUC08")</f>
        <v>MXCMRUC08</v>
      </c>
      <c r="B11642" t="s">
        <v>1511</v>
      </c>
      <c r="C11642">
        <v>178</v>
      </c>
      <c r="D11642">
        <v>193.5</v>
      </c>
      <c r="E11642">
        <v>193.49</v>
      </c>
      <c r="F11642">
        <v>0.01</v>
      </c>
    </row>
    <row r="11643" spans="1:6" x14ac:dyDescent="0.3">
      <c r="A11643" t="str">
        <f>HYPERLINK("https://us2.cloudbeds.com/connect/10074733072513#/reservations/31724507021561?display=MXCMMY6S1&amp;reservation_id=31724507021561", "MXCMMY6S1")</f>
        <v>MXCMMY6S1</v>
      </c>
      <c r="B11643" t="s">
        <v>1712</v>
      </c>
      <c r="C11643">
        <v>258</v>
      </c>
      <c r="D11643">
        <v>280.45999999999998</v>
      </c>
      <c r="E11643">
        <v>280.45</v>
      </c>
      <c r="F11643">
        <v>0.01</v>
      </c>
    </row>
    <row r="11644" spans="1:6" x14ac:dyDescent="0.3">
      <c r="A11644" t="str">
        <f>HYPERLINK("https://us2.cloudbeds.com/connect/10074733072513#/reservations/31726297637020?display=MXE2EHNRX&amp;reservation_id=31726297637020", "MXE2EHNRX")</f>
        <v>MXE2EHNRX</v>
      </c>
      <c r="B11644" t="s">
        <v>1707</v>
      </c>
      <c r="C11644">
        <v>420</v>
      </c>
      <c r="D11644">
        <v>456.55</v>
      </c>
      <c r="E11644">
        <v>456.54</v>
      </c>
      <c r="F11644">
        <v>0.01</v>
      </c>
    </row>
    <row r="11645" spans="1:6" x14ac:dyDescent="0.3">
      <c r="A11645" t="str">
        <f>HYPERLINK("https://us2.cloudbeds.com/connect/10074733072513#/reservations/31724752756880?display=MXCSVS53S&amp;reservation_id=31724752756880", "MXCSVS53S")</f>
        <v>MXCSVS53S</v>
      </c>
      <c r="B11645" t="s">
        <v>1728</v>
      </c>
      <c r="C11645">
        <v>437</v>
      </c>
      <c r="D11645">
        <v>475.03</v>
      </c>
      <c r="E11645">
        <v>475.02</v>
      </c>
      <c r="F11645">
        <v>0.01</v>
      </c>
    </row>
    <row r="11646" spans="1:6" x14ac:dyDescent="0.3">
      <c r="A11646" t="str">
        <f>HYPERLINK("https://us2.cloudbeds.com/connect/10074733072513#/reservations/31724590960795?display=MXCZRDV16&amp;reservation_id=31724590960795", "MXCZRDV16")</f>
        <v>MXCZRDV16</v>
      </c>
      <c r="B11646" t="s">
        <v>1741</v>
      </c>
      <c r="C11646">
        <v>119</v>
      </c>
      <c r="D11646">
        <v>129.36000000000001</v>
      </c>
      <c r="E11646">
        <v>129.35</v>
      </c>
      <c r="F11646">
        <v>0.01</v>
      </c>
    </row>
    <row r="11647" spans="1:6" x14ac:dyDescent="0.3">
      <c r="A11647" t="str">
        <f>HYPERLINK("https://us2.cloudbeds.com/connect/10074733072513#/reservations/31729124872324?display=MXG8MHNGY&amp;reservation_id=31729124872324", "MXG8MHNGY")</f>
        <v>MXG8MHNGY</v>
      </c>
      <c r="B11647" t="s">
        <v>1737</v>
      </c>
      <c r="C11647">
        <v>87.82</v>
      </c>
      <c r="D11647">
        <v>95.47</v>
      </c>
      <c r="E11647">
        <v>95.46</v>
      </c>
      <c r="F11647">
        <v>0.01</v>
      </c>
    </row>
    <row r="11648" spans="1:6" x14ac:dyDescent="0.3">
      <c r="A11648" t="str">
        <f>HYPERLINK("https://us2.cloudbeds.com/connect/10074733072513#/reservations/31724717793408?display=MXCRSPYVB&amp;reservation_id=31724717793408", "MXCRSPYVB")</f>
        <v>MXCRSPYVB</v>
      </c>
      <c r="B11648" t="s">
        <v>1728</v>
      </c>
      <c r="C11648">
        <v>496</v>
      </c>
      <c r="D11648">
        <v>539.16</v>
      </c>
      <c r="E11648">
        <v>539.15</v>
      </c>
      <c r="F11648">
        <v>0.01</v>
      </c>
    </row>
    <row r="11649" spans="1:6" x14ac:dyDescent="0.3">
      <c r="A11649" t="str">
        <f>HYPERLINK("https://us2.cloudbeds.com/connect/10074733072513#/reservations/31724683403474?display=MXCR6C9NG&amp;reservation_id=31724683403474", "MXCR6C9NG")</f>
        <v>MXCR6C9NG</v>
      </c>
      <c r="B11649" t="s">
        <v>1677</v>
      </c>
      <c r="C11649">
        <v>169</v>
      </c>
      <c r="D11649">
        <v>183.71</v>
      </c>
      <c r="E11649">
        <v>183.7</v>
      </c>
      <c r="F11649">
        <v>0.01</v>
      </c>
    </row>
    <row r="11650" spans="1:6" x14ac:dyDescent="0.3">
      <c r="A11650" t="str">
        <f>HYPERLINK("https://us2.cloudbeds.com/connect/10074733072513#/reservations/31724567675087?display=MXCNWQBX8&amp;reservation_id=31724567675087", "MXCNWQBX8")</f>
        <v>MXCNWQBX8</v>
      </c>
      <c r="B11650" t="s">
        <v>1511</v>
      </c>
      <c r="C11650">
        <v>119</v>
      </c>
      <c r="D11650">
        <v>129.36000000000001</v>
      </c>
      <c r="E11650">
        <v>129.35</v>
      </c>
      <c r="F11650">
        <v>0.01</v>
      </c>
    </row>
    <row r="11651" spans="1:6" x14ac:dyDescent="0.3">
      <c r="A11651" t="str">
        <f>HYPERLINK("https://us2.cloudbeds.com/connect/10074733072513#/reservations/31724322660500?display=MXCHW62V7&amp;reservation_id=31724322660500", "MXCHW62V7")</f>
        <v>MXCHW62V7</v>
      </c>
      <c r="B11651" t="s">
        <v>1741</v>
      </c>
      <c r="C11651">
        <v>119</v>
      </c>
      <c r="D11651">
        <v>129.36000000000001</v>
      </c>
      <c r="E11651">
        <v>129.35</v>
      </c>
      <c r="F11651">
        <v>0.01</v>
      </c>
    </row>
    <row r="11652" spans="1:6" x14ac:dyDescent="0.3">
      <c r="A11652" t="str">
        <f>HYPERLINK("https://us2.cloudbeds.com/connect/10074733072513#/reservations/31719220818055?display=MX8JK5QG0&amp;reservation_id=31719220818055", "MX8JK5QG0")</f>
        <v>MX8JK5QG0</v>
      </c>
      <c r="B11652" t="s">
        <v>1736</v>
      </c>
      <c r="C11652">
        <v>238</v>
      </c>
      <c r="D11652">
        <v>258.72000000000003</v>
      </c>
      <c r="E11652">
        <v>258.70999999999998</v>
      </c>
      <c r="F11652">
        <v>0.01</v>
      </c>
    </row>
    <row r="11653" spans="1:6" x14ac:dyDescent="0.3">
      <c r="A11653" t="str">
        <f>HYPERLINK("https://us2.cloudbeds.com/connect/10074733072513#/reservations/31719256019150?display=MX8KGSANS&amp;reservation_id=31719256019150", "MX8KGSANS")</f>
        <v>MX8KGSANS</v>
      </c>
      <c r="B11653" t="s">
        <v>1736</v>
      </c>
      <c r="C11653">
        <v>87.82</v>
      </c>
      <c r="D11653">
        <v>95.47</v>
      </c>
      <c r="E11653">
        <v>95.46</v>
      </c>
      <c r="F11653">
        <v>0.01</v>
      </c>
    </row>
    <row r="11654" spans="1:6" x14ac:dyDescent="0.3">
      <c r="A11654" t="str">
        <f>HYPERLINK("https://us2.cloudbeds.com/connect/10074733072513#/reservations/31719264571629?display=MX8KZ2A7T&amp;reservation_id=31719264571629", "MX8KZ2A7T")</f>
        <v>MX8KZ2A7T</v>
      </c>
      <c r="B11654" t="s">
        <v>1736</v>
      </c>
      <c r="C11654">
        <v>89</v>
      </c>
      <c r="D11654">
        <v>96.75</v>
      </c>
      <c r="E11654">
        <v>96.74</v>
      </c>
      <c r="F11654">
        <v>0.01</v>
      </c>
    </row>
    <row r="11655" spans="1:6" x14ac:dyDescent="0.3">
      <c r="A11655" t="str">
        <f>HYPERLINK("https://us2.cloudbeds.com/connect/10074733072513#/reservations/31727063728291?display=MXEM0HB8X&amp;reservation_id=31727063728291", "MXEM0HB8X")</f>
        <v>MXEM0HB8X</v>
      </c>
      <c r="B11655" t="s">
        <v>1677</v>
      </c>
      <c r="C11655">
        <v>159</v>
      </c>
      <c r="D11655">
        <v>172.84</v>
      </c>
      <c r="E11655">
        <v>172.83</v>
      </c>
      <c r="F11655">
        <v>0.01</v>
      </c>
    </row>
    <row r="11656" spans="1:6" x14ac:dyDescent="0.3">
      <c r="A11656" t="str">
        <f>HYPERLINK("https://us2.cloudbeds.com/connect/10074733072513#/reservations/31724590956701?display=MXCZRDR94&amp;reservation_id=31724590956701", "MXCZRDR94")</f>
        <v>MXCZRDR94</v>
      </c>
      <c r="B11656" t="s">
        <v>1511</v>
      </c>
      <c r="C11656">
        <v>99</v>
      </c>
      <c r="D11656">
        <v>107.62</v>
      </c>
      <c r="E11656">
        <v>107.61</v>
      </c>
      <c r="F11656">
        <v>0.01</v>
      </c>
    </row>
    <row r="11657" spans="1:6" x14ac:dyDescent="0.3">
      <c r="A11657" t="str">
        <f>HYPERLINK("https://us2.cloudbeds.com/connect/10074733072513#/reservations/31719273197698?display=MX8KVBBAU&amp;reservation_id=31719273197698", "MX8KVBBAU")</f>
        <v>MX8KVBBAU</v>
      </c>
      <c r="B11657" t="s">
        <v>1736</v>
      </c>
      <c r="C11657">
        <v>87.82</v>
      </c>
      <c r="D11657">
        <v>95.47</v>
      </c>
      <c r="E11657">
        <v>95.46</v>
      </c>
      <c r="F11657">
        <v>0.01</v>
      </c>
    </row>
    <row r="11658" spans="1:6" x14ac:dyDescent="0.3">
      <c r="A11658" t="str">
        <f>HYPERLINK("https://us2.cloudbeds.com/connect/10074733072513#/reservations/31725551386768?display=MXDGC96TX&amp;reservation_id=31725551386768", "MXDGC96TX")</f>
        <v>MXDGC96TX</v>
      </c>
      <c r="B11658" t="s">
        <v>1692</v>
      </c>
      <c r="C11658">
        <v>298</v>
      </c>
      <c r="D11658">
        <v>323.94</v>
      </c>
      <c r="E11658">
        <v>323.93</v>
      </c>
      <c r="F11658">
        <v>0.01</v>
      </c>
    </row>
    <row r="11659" spans="1:6" x14ac:dyDescent="0.3">
      <c r="A11659" t="str">
        <f>HYPERLINK("https://us2.cloudbeds.com/connect/10074733072513#/reservations/31726779478270?display=MXEEZRYVX&amp;reservation_id=31726779478270", "MXEEZRYVX")</f>
        <v>MXEEZRYVX</v>
      </c>
      <c r="B11659" t="s">
        <v>1692</v>
      </c>
      <c r="C11659">
        <v>139</v>
      </c>
      <c r="D11659">
        <v>151.1</v>
      </c>
      <c r="E11659">
        <v>151.09</v>
      </c>
      <c r="F11659">
        <v>0.01</v>
      </c>
    </row>
    <row r="11660" spans="1:6" x14ac:dyDescent="0.3">
      <c r="A11660" t="str">
        <f>HYPERLINK("https://us2.cloudbeds.com/connect/10074733072513#/reservations/31724627746954?display=MXCPPEXQ9&amp;reservation_id=31724627746954", "MXCPPEXQ9")</f>
        <v>MXCPPEXQ9</v>
      </c>
      <c r="B11660" t="s">
        <v>1744</v>
      </c>
      <c r="C11660">
        <v>119</v>
      </c>
      <c r="D11660">
        <v>129.36000000000001</v>
      </c>
      <c r="E11660">
        <v>129.35</v>
      </c>
      <c r="F11660">
        <v>0.01</v>
      </c>
    </row>
    <row r="11661" spans="1:6" x14ac:dyDescent="0.3">
      <c r="A11661" t="str">
        <f>HYPERLINK("https://us2.cloudbeds.com/connect/10074733072513#/reservations/31722642219215?display=MXB816B01&amp;reservation_id=31722642219215", "MXB816B01")</f>
        <v>MXB816B01</v>
      </c>
      <c r="B11661" t="s">
        <v>1427</v>
      </c>
      <c r="C11661">
        <v>159</v>
      </c>
      <c r="D11661">
        <v>172.84</v>
      </c>
      <c r="E11661">
        <v>172.83</v>
      </c>
      <c r="F11661">
        <v>0.01</v>
      </c>
    </row>
    <row r="11662" spans="1:6" x14ac:dyDescent="0.3">
      <c r="A11662" t="str">
        <f>HYPERLINK("https://us2.cloudbeds.com/connect/10074733072513#/reservations/31725635801248?display=MXDXHF5G3&amp;reservation_id=31725635801248", "MXDXHF5G3")</f>
        <v>MXDXHF5G3</v>
      </c>
      <c r="B11662" t="s">
        <v>1736</v>
      </c>
      <c r="C11662">
        <v>119</v>
      </c>
      <c r="D11662">
        <v>129.36000000000001</v>
      </c>
      <c r="E11662">
        <v>129.35</v>
      </c>
      <c r="F11662">
        <v>0.01</v>
      </c>
    </row>
    <row r="11663" spans="1:6" x14ac:dyDescent="0.3">
      <c r="A11663" t="str">
        <f>HYPERLINK("https://us2.cloudbeds.com/connect/10074733072513#/reservations/31726029340802?display=MXDSJ9WG4&amp;reservation_id=31726029340802", "MXDSJ9WG4")</f>
        <v>MXDSJ9WG4</v>
      </c>
      <c r="B11663" t="s">
        <v>1706</v>
      </c>
      <c r="C11663">
        <v>119</v>
      </c>
      <c r="D11663">
        <v>129.36000000000001</v>
      </c>
      <c r="E11663">
        <v>129.35</v>
      </c>
      <c r="F11663">
        <v>0.01</v>
      </c>
    </row>
    <row r="11664" spans="1:6" x14ac:dyDescent="0.3">
      <c r="A11664" t="str">
        <f>HYPERLINK("https://us2.cloudbeds.com/connect/10074733072513#/reservations/31722595434630?display=MXB6RZC6U&amp;reservation_id=31722595434630", "MXB6RZC6U")</f>
        <v>MXB6RZC6U</v>
      </c>
      <c r="B11664" t="s">
        <v>1723</v>
      </c>
      <c r="C11664">
        <v>282</v>
      </c>
      <c r="D11664">
        <v>306.54000000000002</v>
      </c>
      <c r="E11664">
        <v>306.52999999999997</v>
      </c>
      <c r="F11664">
        <v>0.01</v>
      </c>
    </row>
    <row r="11665" spans="1:6" x14ac:dyDescent="0.3">
      <c r="A11665" t="str">
        <f>HYPERLINK("https://us2.cloudbeds.com/connect/10074733072513#/reservations/31725997973733?display=MXDRPS4UT&amp;reservation_id=31725997973733", "MXDRPS4UT")</f>
        <v>MXDRPS4UT</v>
      </c>
      <c r="B11665" t="s">
        <v>1706</v>
      </c>
      <c r="C11665">
        <v>119</v>
      </c>
      <c r="D11665">
        <v>129.36000000000001</v>
      </c>
      <c r="E11665">
        <v>129.35</v>
      </c>
      <c r="F11665">
        <v>0.01</v>
      </c>
    </row>
    <row r="11666" spans="1:6" x14ac:dyDescent="0.3">
      <c r="A11666" t="str">
        <f>HYPERLINK("https://us2.cloudbeds.com/connect/10074733072513#/reservations/31725409194121?display=MXDCZCG4E&amp;reservation_id=31725409194121", "MXDCZCG4E")</f>
        <v>MXDCZCG4E</v>
      </c>
      <c r="B11666" t="s">
        <v>1609</v>
      </c>
      <c r="C11666">
        <v>119</v>
      </c>
      <c r="D11666">
        <v>129.36000000000001</v>
      </c>
      <c r="E11666">
        <v>129.35</v>
      </c>
      <c r="F11666">
        <v>0.01</v>
      </c>
    </row>
    <row r="11667" spans="1:6" x14ac:dyDescent="0.3">
      <c r="A11667" t="str">
        <f>HYPERLINK("https://us2.cloudbeds.com/connect/10074733072513#/reservations/31725165654269?display=MXD6H0KTV&amp;reservation_id=31725165654269", "MXD6H0KTV")</f>
        <v>MXD6H0KTV</v>
      </c>
      <c r="B11667" t="s">
        <v>1668</v>
      </c>
      <c r="C11667">
        <v>89</v>
      </c>
      <c r="D11667">
        <v>96.75</v>
      </c>
      <c r="E11667">
        <v>96.74</v>
      </c>
      <c r="F11667">
        <v>0.01</v>
      </c>
    </row>
    <row r="11668" spans="1:6" x14ac:dyDescent="0.3">
      <c r="A11668" t="str">
        <f>HYPERLINK("https://us2.cloudbeds.com/connect/10074733072513#/reservations/31724610281718?display=MXCPANXUN&amp;reservation_id=31724610281718", "MXCPANXUN")</f>
        <v>MXCPANXUN</v>
      </c>
      <c r="B11668" t="s">
        <v>1745</v>
      </c>
      <c r="C11668">
        <v>428.4</v>
      </c>
      <c r="D11668">
        <v>465.68</v>
      </c>
      <c r="E11668">
        <v>465.67</v>
      </c>
      <c r="F11668">
        <v>0.01</v>
      </c>
    </row>
    <row r="11669" spans="1:6" x14ac:dyDescent="0.3">
      <c r="A11669" t="str">
        <f>HYPERLINK("https://us2.cloudbeds.com/connect/10074733072513#/reservations/31724649996542?display=MXCQB6N07&amp;reservation_id=31724649996542", "MXCQB6N07")</f>
        <v>MXCQB6N07</v>
      </c>
      <c r="B11669" t="s">
        <v>1744</v>
      </c>
      <c r="C11669">
        <v>73</v>
      </c>
      <c r="D11669">
        <v>79.36</v>
      </c>
      <c r="E11669">
        <v>79.349999999999994</v>
      </c>
      <c r="F11669">
        <v>0.01</v>
      </c>
    </row>
    <row r="11670" spans="1:6" x14ac:dyDescent="0.3">
      <c r="A11670" t="str">
        <f>HYPERLINK("https://us2.cloudbeds.com/connect/10074733072513#/reservations/31724258492578?display=MXCGB2H7Z&amp;reservation_id=31724258492578", "MXCGB2H7Z")</f>
        <v>MXCGB2H7Z</v>
      </c>
      <c r="B11670" t="s">
        <v>1707</v>
      </c>
      <c r="C11670">
        <v>189</v>
      </c>
      <c r="D11670">
        <v>205.45</v>
      </c>
      <c r="E11670">
        <v>205.44</v>
      </c>
      <c r="F11670">
        <v>0.01</v>
      </c>
    </row>
    <row r="11671" spans="1:6" x14ac:dyDescent="0.3">
      <c r="A11671" t="str">
        <f>HYPERLINK("https://us2.cloudbeds.com/connect/10074733072513#/reservations/31726370218138?display=MXE49ZD5C&amp;reservation_id=31726370218138", "MXE49ZD5C")</f>
        <v>MXE49ZD5C</v>
      </c>
      <c r="B11671" t="s">
        <v>1707</v>
      </c>
      <c r="C11671">
        <v>189</v>
      </c>
      <c r="D11671">
        <v>205.45</v>
      </c>
      <c r="E11671">
        <v>205.44</v>
      </c>
      <c r="F11671">
        <v>0.01</v>
      </c>
    </row>
    <row r="11672" spans="1:6" x14ac:dyDescent="0.3">
      <c r="A11672" t="str">
        <f>HYPERLINK("https://us2.cloudbeds.com/connect/10074733072513#/reservations/31726388109556?display=MXE4ZR8CX&amp;reservation_id=31726388109556", "MXE4ZR8CX")</f>
        <v>MXE4ZR8CX</v>
      </c>
      <c r="B11672" t="s">
        <v>1707</v>
      </c>
      <c r="C11672">
        <v>159</v>
      </c>
      <c r="D11672">
        <v>172.84</v>
      </c>
      <c r="E11672">
        <v>172.83</v>
      </c>
      <c r="F11672">
        <v>0.01</v>
      </c>
    </row>
    <row r="11673" spans="1:6" x14ac:dyDescent="0.3">
      <c r="A11673" t="str">
        <f>HYPERLINK("https://us2.cloudbeds.com/connect/10074733072513#/reservations/31724817498349?display=MXCUKEMGX&amp;reservation_id=31724817498349", "MXCUKEMGX")</f>
        <v>MXCUKEMGX</v>
      </c>
      <c r="B11673" t="s">
        <v>1627</v>
      </c>
      <c r="C11673">
        <v>536</v>
      </c>
      <c r="D11673">
        <v>582.64</v>
      </c>
      <c r="E11673">
        <v>582.63</v>
      </c>
      <c r="F11673">
        <v>0.01</v>
      </c>
    </row>
    <row r="11674" spans="1:6" x14ac:dyDescent="0.3">
      <c r="A11674" t="str">
        <f>HYPERLINK("https://us2.cloudbeds.com/connect/10074733072513#/reservations/31726594547898?display=MXEA0TN8T&amp;reservation_id=31726594547898", "MXEA0TN8T")</f>
        <v>MXEA0TN8T</v>
      </c>
      <c r="B11674" t="s">
        <v>1738</v>
      </c>
      <c r="C11674">
        <v>102.58</v>
      </c>
      <c r="D11674">
        <v>111.51</v>
      </c>
      <c r="E11674">
        <v>111.5</v>
      </c>
      <c r="F11674">
        <v>0.01</v>
      </c>
    </row>
    <row r="11675" spans="1:6" x14ac:dyDescent="0.3">
      <c r="A11675" t="str">
        <f>HYPERLINK("https://us2.cloudbeds.com/connect/10074733072513#/reservations/31713986560140?display=MX4HSGSCQ&amp;reservation_id=31713986560140", "MX4HSGSCQ")</f>
        <v>MX4HSGSCQ</v>
      </c>
      <c r="B11675" t="s">
        <v>1731</v>
      </c>
      <c r="C11675">
        <v>318</v>
      </c>
      <c r="D11675">
        <v>345.68</v>
      </c>
      <c r="E11675">
        <v>345.67</v>
      </c>
      <c r="F11675">
        <v>0.01</v>
      </c>
    </row>
    <row r="11676" spans="1:6" x14ac:dyDescent="0.3">
      <c r="A11676" t="str">
        <f>HYPERLINK("https://us2.cloudbeds.com/connect/10074733072513#/reservations/31725572645044?display=MXDGU6ZQZ&amp;reservation_id=31725572645044", "MXDGU6ZQZ")</f>
        <v>MXDGU6ZQZ</v>
      </c>
      <c r="B11676" t="s">
        <v>1677</v>
      </c>
      <c r="C11676">
        <v>189</v>
      </c>
      <c r="D11676">
        <v>205.45</v>
      </c>
      <c r="E11676">
        <v>205.44</v>
      </c>
      <c r="F11676">
        <v>0.01</v>
      </c>
    </row>
    <row r="11677" spans="1:6" x14ac:dyDescent="0.3">
      <c r="A11677" t="str">
        <f>HYPERLINK("https://us2.cloudbeds.com/connect/10074733072513#/reservations/31724293058814?display=MXCH77CGE&amp;reservation_id=31724293058814", "MXCH77CGE")</f>
        <v>MXCH77CGE</v>
      </c>
      <c r="B11677" t="s">
        <v>1707</v>
      </c>
      <c r="C11677">
        <v>159</v>
      </c>
      <c r="D11677">
        <v>172.84</v>
      </c>
      <c r="E11677">
        <v>172.83</v>
      </c>
      <c r="F11677">
        <v>0.01</v>
      </c>
    </row>
    <row r="11678" spans="1:6" x14ac:dyDescent="0.3">
      <c r="A11678" t="str">
        <f>HYPERLINK("https://us2.cloudbeds.com/connect/10074733072513#/reservations/31724623888592?display=MXCPM66P7&amp;reservation_id=31724623888592", "MXCPM66P7")</f>
        <v>MXCPM66P7</v>
      </c>
      <c r="B11678" t="s">
        <v>1744</v>
      </c>
      <c r="C11678">
        <v>358</v>
      </c>
      <c r="D11678">
        <v>389.16</v>
      </c>
      <c r="E11678">
        <v>389.15</v>
      </c>
      <c r="F11678">
        <v>0.01</v>
      </c>
    </row>
    <row r="11679" spans="1:6" x14ac:dyDescent="0.3">
      <c r="A11679" t="str">
        <f>HYPERLINK("https://us2.cloudbeds.com/connect/10074733072513#/reservations/31728162070660?display=MXFH2MB3Y&amp;reservation_id=31728162070660", "MXFH2MB3Y")</f>
        <v>MXFH2MB3Y</v>
      </c>
      <c r="B11679" t="s">
        <v>1744</v>
      </c>
      <c r="C11679">
        <v>89</v>
      </c>
      <c r="D11679">
        <v>96.75</v>
      </c>
      <c r="E11679">
        <v>96.74</v>
      </c>
      <c r="F11679">
        <v>0.01</v>
      </c>
    </row>
    <row r="11680" spans="1:6" x14ac:dyDescent="0.3">
      <c r="A11680" t="str">
        <f>HYPERLINK("https://us2.cloudbeds.com/connect/10074733072513#/reservations/31722659004624?display=MXB8FBDJQ&amp;reservation_id=31722659004624", "MXB8FBDJQ")</f>
        <v>MXB8FBDJQ</v>
      </c>
      <c r="B11680" t="s">
        <v>1699</v>
      </c>
      <c r="C11680">
        <v>298</v>
      </c>
      <c r="D11680">
        <v>323.94</v>
      </c>
      <c r="E11680">
        <v>323.93</v>
      </c>
      <c r="F11680">
        <v>0.01</v>
      </c>
    </row>
    <row r="11681" spans="1:6" x14ac:dyDescent="0.3">
      <c r="A11681" t="str">
        <f>HYPERLINK("https://us2.cloudbeds.com/connect/10074733072513#/reservations/31725604090016?display=MXDHNNZTM&amp;reservation_id=31725604090016", "MXDHNNZTM")</f>
        <v>MXDHNNZTM</v>
      </c>
      <c r="B11681" t="s">
        <v>1626</v>
      </c>
      <c r="C11681">
        <v>249</v>
      </c>
      <c r="D11681">
        <v>270.67</v>
      </c>
      <c r="E11681">
        <v>270.66000000000003</v>
      </c>
      <c r="F11681">
        <v>0.01</v>
      </c>
    </row>
    <row r="11682" spans="1:6" x14ac:dyDescent="0.3">
      <c r="A11682" t="str">
        <f>HYPERLINK("https://us2.cloudbeds.com/connect/10074733072513#/reservations/31725550604542?display=MXDGBKEJK&amp;reservation_id=31725550604542", "MXDGBKEJK")</f>
        <v>MXDGBKEJK</v>
      </c>
      <c r="B11682" t="s">
        <v>1677</v>
      </c>
      <c r="C11682">
        <v>179</v>
      </c>
      <c r="D11682">
        <v>194.58</v>
      </c>
      <c r="E11682">
        <v>194.57</v>
      </c>
      <c r="F11682">
        <v>0.01</v>
      </c>
    </row>
    <row r="11683" spans="1:6" x14ac:dyDescent="0.3">
      <c r="A11683" t="str">
        <f>HYPERLINK("https://us2.cloudbeds.com/connect/10074733072513#/reservations/31728082186418?display=MXFF1AEH1&amp;reservation_id=31728082186418", "MXFF1AEH1")</f>
        <v>MXFF1AEH1</v>
      </c>
      <c r="B11683" t="s">
        <v>1746</v>
      </c>
      <c r="C11683">
        <v>73</v>
      </c>
      <c r="D11683">
        <v>79.36</v>
      </c>
      <c r="E11683">
        <v>79.349999999999994</v>
      </c>
      <c r="F11683">
        <v>0.01</v>
      </c>
    </row>
    <row r="11684" spans="1:6" x14ac:dyDescent="0.3">
      <c r="A11684" t="str">
        <f>HYPERLINK("https://us2.cloudbeds.com/connect/10074733072513#/reservations/31722733875395?display=MXBACFQF1&amp;reservation_id=31722733875395", "MXBACFQF1")</f>
        <v>MXBACFQF1</v>
      </c>
      <c r="B11684" t="s">
        <v>1732</v>
      </c>
      <c r="C11684">
        <v>169</v>
      </c>
      <c r="D11684">
        <v>183.71</v>
      </c>
      <c r="E11684">
        <v>183.7</v>
      </c>
      <c r="F11684">
        <v>0.01</v>
      </c>
    </row>
    <row r="11685" spans="1:6" x14ac:dyDescent="0.3">
      <c r="A11685" t="str">
        <f>HYPERLINK("https://us2.cloudbeds.com/connect/10074733072513#/reservations/31713870782616?display=MX4ETT5UV&amp;reservation_id=31713870782616", "MX4ETT5UV")</f>
        <v>MX4ETT5UV</v>
      </c>
      <c r="B11685" t="s">
        <v>1731</v>
      </c>
      <c r="C11685">
        <v>169</v>
      </c>
      <c r="D11685">
        <v>183.71</v>
      </c>
      <c r="E11685">
        <v>183.7</v>
      </c>
      <c r="F11685">
        <v>0.01</v>
      </c>
    </row>
    <row r="11686" spans="1:6" x14ac:dyDescent="0.3">
      <c r="A11686" t="str">
        <f>HYPERLINK("https://us2.cloudbeds.com/connect/10074733072513#/reservations/31724786057463?display=MXCTQUQ5E&amp;reservation_id=31724786057463", "MXCTQUQ5E")</f>
        <v>MXCTQUQ5E</v>
      </c>
      <c r="B11686" t="s">
        <v>1626</v>
      </c>
      <c r="C11686">
        <v>209</v>
      </c>
      <c r="D11686">
        <v>227.19</v>
      </c>
      <c r="E11686">
        <v>227.18</v>
      </c>
      <c r="F11686">
        <v>0.01</v>
      </c>
    </row>
    <row r="11687" spans="1:6" x14ac:dyDescent="0.3">
      <c r="A11687" t="str">
        <f>HYPERLINK("https://us2.cloudbeds.com/connect/10074733072513#/reservations/31728108753096?display=MXFFNNMWT&amp;reservation_id=31728108753096", "MXFFNNMWT")</f>
        <v>MXFFNNMWT</v>
      </c>
      <c r="B11687" t="s">
        <v>1746</v>
      </c>
      <c r="C11687">
        <v>119</v>
      </c>
      <c r="D11687">
        <v>129.36000000000001</v>
      </c>
      <c r="E11687">
        <v>129.35</v>
      </c>
      <c r="F11687">
        <v>0.01</v>
      </c>
    </row>
    <row r="11688" spans="1:6" x14ac:dyDescent="0.3">
      <c r="A11688" t="str">
        <f>HYPERLINK("https://us2.cloudbeds.com/connect/10074733072513#/reservations/31727307923620?display=MXES8EED0&amp;reservation_id=31727307923620", "MXES8EED0")</f>
        <v>MXES8EED0</v>
      </c>
      <c r="B11688" t="s">
        <v>1747</v>
      </c>
      <c r="C11688">
        <v>119</v>
      </c>
      <c r="D11688">
        <v>129.36000000000001</v>
      </c>
      <c r="E11688">
        <v>129.35</v>
      </c>
      <c r="F11688">
        <v>0.01</v>
      </c>
    </row>
    <row r="11689" spans="1:6" x14ac:dyDescent="0.3">
      <c r="A11689" t="str">
        <f>HYPERLINK("https://us2.cloudbeds.com/connect/10074733072513#/reservations/31728090411212?display=MXFF88A47&amp;reservation_id=31728090411212", "MXFF88A47")</f>
        <v>MXFF88A47</v>
      </c>
      <c r="B11689" t="s">
        <v>1746</v>
      </c>
      <c r="C11689">
        <v>89</v>
      </c>
      <c r="D11689">
        <v>96.75</v>
      </c>
      <c r="E11689">
        <v>96.74</v>
      </c>
      <c r="F11689">
        <v>0.01</v>
      </c>
    </row>
    <row r="11690" spans="1:6" x14ac:dyDescent="0.3">
      <c r="A11690" t="str">
        <f>HYPERLINK("https://us2.cloudbeds.com/connect/10074733072513#/reservations/31725720600730?display=MXDKMVRKC&amp;reservation_id=31725720600730", "MXDKMVRKC")</f>
        <v>MXDKMVRKC</v>
      </c>
      <c r="B11690" t="s">
        <v>1748</v>
      </c>
      <c r="C11690">
        <v>159</v>
      </c>
      <c r="D11690">
        <v>172.84</v>
      </c>
      <c r="E11690">
        <v>172.83</v>
      </c>
      <c r="F11690">
        <v>0.01</v>
      </c>
    </row>
    <row r="11691" spans="1:6" x14ac:dyDescent="0.3">
      <c r="A11691" t="str">
        <f>HYPERLINK("https://us2.cloudbeds.com/connect/10074733072513#/reservations/31728099516658?display=MXFFFUMDR&amp;reservation_id=31728099516658", "MXFFFUMDR")</f>
        <v>MXFFFUMDR</v>
      </c>
      <c r="B11691" t="s">
        <v>1746</v>
      </c>
      <c r="C11691">
        <v>87.82</v>
      </c>
      <c r="D11691">
        <v>95.47</v>
      </c>
      <c r="E11691">
        <v>95.46</v>
      </c>
      <c r="F11691">
        <v>0.01</v>
      </c>
    </row>
    <row r="11692" spans="1:6" x14ac:dyDescent="0.3">
      <c r="A11692" t="str">
        <f>HYPERLINK("https://us2.cloudbeds.com/connect/10074733072513#/reservations/31727317991618?display=MXESGUJXS&amp;reservation_id=31727317991618", "MXESGUJXS")</f>
        <v>MXESGUJXS</v>
      </c>
      <c r="B11692" t="s">
        <v>1747</v>
      </c>
      <c r="C11692">
        <v>129</v>
      </c>
      <c r="D11692">
        <v>140.22999999999999</v>
      </c>
      <c r="E11692">
        <v>140.22</v>
      </c>
      <c r="F11692">
        <v>0.01</v>
      </c>
    </row>
    <row r="11693" spans="1:6" x14ac:dyDescent="0.3">
      <c r="A11693" t="str">
        <f>HYPERLINK("https://us2.cloudbeds.com/connect/10074733072513#/reservations/31714226356406?display=MX4NWNHWA&amp;reservation_id=31714226356406", "MX4NWNHWA")</f>
        <v>MX4NWNHWA</v>
      </c>
      <c r="B11693" t="s">
        <v>1690</v>
      </c>
      <c r="C11693">
        <v>358</v>
      </c>
      <c r="D11693">
        <v>389.16</v>
      </c>
      <c r="E11693">
        <v>389.15</v>
      </c>
      <c r="F11693">
        <v>0.01</v>
      </c>
    </row>
    <row r="11694" spans="1:6" x14ac:dyDescent="0.3">
      <c r="A11694" t="str">
        <f>HYPERLINK("https://us2.cloudbeds.com/connect/10074733072513#/reservations/31725157195933?display=MXD69T8RZ&amp;reservation_id=31725157195933", "MXD69T8RZ")</f>
        <v>MXD69T8RZ</v>
      </c>
      <c r="B11694" t="s">
        <v>1668</v>
      </c>
      <c r="C11694">
        <v>149</v>
      </c>
      <c r="D11694">
        <v>161.97</v>
      </c>
      <c r="E11694">
        <v>161.96</v>
      </c>
      <c r="F11694">
        <v>0.01</v>
      </c>
    </row>
    <row r="11695" spans="1:6" x14ac:dyDescent="0.3">
      <c r="A11695" t="str">
        <f>HYPERLINK("https://us2.cloudbeds.com/connect/10074733072513#/reservations/31721155317957?display=MXA31D3P5&amp;reservation_id=31721155317957", "MXA31D3P5")</f>
        <v>MXA31D3P5</v>
      </c>
      <c r="B11695" t="s">
        <v>1668</v>
      </c>
      <c r="C11695">
        <v>119</v>
      </c>
      <c r="D11695">
        <v>129.36000000000001</v>
      </c>
      <c r="E11695">
        <v>129.35</v>
      </c>
      <c r="F11695">
        <v>0.01</v>
      </c>
    </row>
    <row r="11696" spans="1:6" x14ac:dyDescent="0.3">
      <c r="A11696" t="str">
        <f>HYPERLINK("https://us2.cloudbeds.com/connect/10074733072513#/reservations/31721905029344?display=MXAM6XUW1&amp;reservation_id=31721905029344", "MXAM6XUW1")</f>
        <v>MXAM6XUW1</v>
      </c>
      <c r="B11696" t="s">
        <v>1692</v>
      </c>
      <c r="C11696">
        <v>102.58</v>
      </c>
      <c r="D11696">
        <v>111.51</v>
      </c>
      <c r="E11696">
        <v>111.5</v>
      </c>
      <c r="F11696">
        <v>0.01</v>
      </c>
    </row>
    <row r="11697" spans="1:6" x14ac:dyDescent="0.3">
      <c r="A11697" t="str">
        <f>HYPERLINK("https://us2.cloudbeds.com/connect/10074733072513#/reservations/31725128732819?display=MXD5XT7U4&amp;reservation_id=31725128732819", "MXD5XT7U4")</f>
        <v>MXD5XT7U4</v>
      </c>
      <c r="B11697" t="s">
        <v>1627</v>
      </c>
      <c r="C11697">
        <v>110.86</v>
      </c>
      <c r="D11697">
        <v>120.51</v>
      </c>
      <c r="E11697">
        <v>120.5</v>
      </c>
      <c r="F11697">
        <v>0.01</v>
      </c>
    </row>
    <row r="11698" spans="1:6" x14ac:dyDescent="0.3">
      <c r="A11698" t="str">
        <f>HYPERLINK("https://us2.cloudbeds.com/connect/10074733072513#/reservations/31725027377285?display=MXD2WDSQA&amp;reservation_id=31725027377285", "MXD2WDSQA")</f>
        <v>MXD2WDSQA</v>
      </c>
      <c r="B11698" t="s">
        <v>1747</v>
      </c>
      <c r="C11698">
        <v>119</v>
      </c>
      <c r="D11698">
        <v>129.36000000000001</v>
      </c>
      <c r="E11698">
        <v>129.35</v>
      </c>
      <c r="F11698">
        <v>0.01</v>
      </c>
    </row>
    <row r="11699" spans="1:6" x14ac:dyDescent="0.3">
      <c r="A11699" t="str">
        <f>HYPERLINK("https://us2.cloudbeds.com/connect/10074733072513#/reservations/31725640126680?display=MXDXY3HDQ&amp;reservation_id=31725640126680", "MXDXY3HDQ")</f>
        <v>MXDXY3HDQ</v>
      </c>
      <c r="B11699" t="s">
        <v>1626</v>
      </c>
      <c r="C11699">
        <v>209</v>
      </c>
      <c r="D11699">
        <v>227.19</v>
      </c>
      <c r="E11699">
        <v>227.18</v>
      </c>
      <c r="F11699">
        <v>0.01</v>
      </c>
    </row>
    <row r="11700" spans="1:6" x14ac:dyDescent="0.3">
      <c r="A11700" t="str">
        <f>HYPERLINK("https://us2.cloudbeds.com/connect/10074733072513#/reservations/31713914343612?display=MX4G0KAS5&amp;reservation_id=31713914343612", "MX4G0KAS5")</f>
        <v>MX4G0KAS5</v>
      </c>
      <c r="B11700" t="s">
        <v>1731</v>
      </c>
      <c r="C11700">
        <v>318</v>
      </c>
      <c r="D11700">
        <v>345.68</v>
      </c>
      <c r="E11700">
        <v>345.67</v>
      </c>
      <c r="F11700">
        <v>0.01</v>
      </c>
    </row>
    <row r="11701" spans="1:6" x14ac:dyDescent="0.3">
      <c r="A11701" t="str">
        <f>HYPERLINK("https://us2.cloudbeds.com/connect/10074733072513#/reservations/31717988688078?display=MX7Y46VWW&amp;reservation_id=31717988688078", "MX7Y46VWW")</f>
        <v>MX7Y46VWW</v>
      </c>
      <c r="B11701" t="s">
        <v>1627</v>
      </c>
      <c r="C11701">
        <v>298</v>
      </c>
      <c r="D11701">
        <v>323.94</v>
      </c>
      <c r="E11701">
        <v>323.93</v>
      </c>
      <c r="F11701">
        <v>0.01</v>
      </c>
    </row>
    <row r="11702" spans="1:6" x14ac:dyDescent="0.3">
      <c r="A11702" t="str">
        <f>HYPERLINK("https://us2.cloudbeds.com/connect/10074733072513#/reservations/31718011834502?display=MX7YNZ1ZP&amp;reservation_id=31718011834502", "MX7YNZ1ZP")</f>
        <v>MX7YNZ1ZP</v>
      </c>
      <c r="B11702" t="s">
        <v>1627</v>
      </c>
      <c r="C11702">
        <v>378</v>
      </c>
      <c r="D11702">
        <v>410.9</v>
      </c>
      <c r="E11702">
        <v>410.89</v>
      </c>
      <c r="F11702">
        <v>0.01</v>
      </c>
    </row>
    <row r="11703" spans="1:6" x14ac:dyDescent="0.3">
      <c r="A11703" t="str">
        <f>HYPERLINK("https://us2.cloudbeds.com/connect/10074733072513#/reservations/31725724811405?display=MXDKQH05J&amp;reservation_id=31725724811405", "MXDKQH05J")</f>
        <v>MXDKQH05J</v>
      </c>
      <c r="B11703" t="s">
        <v>1727</v>
      </c>
      <c r="C11703">
        <v>87.82</v>
      </c>
      <c r="D11703">
        <v>95.47</v>
      </c>
      <c r="E11703">
        <v>95.46</v>
      </c>
      <c r="F11703">
        <v>0.01</v>
      </c>
    </row>
    <row r="11704" spans="1:6" x14ac:dyDescent="0.3">
      <c r="A11704" t="str">
        <f>HYPERLINK("https://us2.cloudbeds.com/connect/10074733072513#/reservations/31718026211554?display=MX7M2S3QZ&amp;reservation_id=31718026211554", "MX7M2S3QZ")</f>
        <v>MX7M2S3QZ</v>
      </c>
      <c r="B11704" t="s">
        <v>1627</v>
      </c>
      <c r="C11704">
        <v>159</v>
      </c>
      <c r="D11704">
        <v>172.84</v>
      </c>
      <c r="E11704">
        <v>172.83</v>
      </c>
      <c r="F11704">
        <v>0.01</v>
      </c>
    </row>
    <row r="11705" spans="1:6" x14ac:dyDescent="0.3">
      <c r="A11705" t="str">
        <f>HYPERLINK("https://us2.cloudbeds.com/connect/10074733072513#/reservations/31726796374258?display=MXEF62R36&amp;reservation_id=31726796374258", "MXEF62R36")</f>
        <v>MXEF62R36</v>
      </c>
      <c r="B11705" t="s">
        <v>1692</v>
      </c>
      <c r="C11705">
        <v>139</v>
      </c>
      <c r="D11705">
        <v>151.1</v>
      </c>
      <c r="E11705">
        <v>151.09</v>
      </c>
      <c r="F11705">
        <v>0.01</v>
      </c>
    </row>
    <row r="11706" spans="1:6" x14ac:dyDescent="0.3">
      <c r="A11706" t="str">
        <f>HYPERLINK("https://us2.cloudbeds.com/connect/10074733072513#/reservations/31725050089715?display=MXD3XXT0P&amp;reservation_id=31725050089715", "MXD3XXT0P")</f>
        <v>MXD3XXT0P</v>
      </c>
      <c r="B11706" t="s">
        <v>1747</v>
      </c>
      <c r="C11706">
        <v>119</v>
      </c>
      <c r="D11706">
        <v>129.36000000000001</v>
      </c>
      <c r="E11706">
        <v>129.35</v>
      </c>
      <c r="F11706">
        <v>0.01</v>
      </c>
    </row>
    <row r="11707" spans="1:6" x14ac:dyDescent="0.3">
      <c r="A11707" t="str">
        <f>HYPERLINK("https://us2.cloudbeds.com/connect/10074733072513#/reservations/31726599987407?display=MXEA5G27G&amp;reservation_id=31726599987407", "MXEA5G27G")</f>
        <v>MXEA5G27G</v>
      </c>
      <c r="B11707" t="s">
        <v>1738</v>
      </c>
      <c r="C11707">
        <v>377</v>
      </c>
      <c r="D11707">
        <v>409.81</v>
      </c>
      <c r="E11707">
        <v>409.8</v>
      </c>
      <c r="F11707">
        <v>0.01</v>
      </c>
    </row>
    <row r="11708" spans="1:6" x14ac:dyDescent="0.3">
      <c r="A11708" t="str">
        <f>HYPERLINK("https://us2.cloudbeds.com/connect/10074733072513#/reservations/31722643783902?display=MXB82GSQQ&amp;reservation_id=31722643783902", "MXB82GSQQ")</f>
        <v>MXB82GSQQ</v>
      </c>
      <c r="B11708" t="s">
        <v>1699</v>
      </c>
      <c r="C11708">
        <v>179</v>
      </c>
      <c r="D11708">
        <v>194.58</v>
      </c>
      <c r="E11708">
        <v>194.57</v>
      </c>
      <c r="F11708">
        <v>0.01</v>
      </c>
    </row>
    <row r="11709" spans="1:6" x14ac:dyDescent="0.3">
      <c r="A11709" t="str">
        <f>HYPERLINK("https://us2.cloudbeds.com/connect/10074733072513#/reservations/31722678239477?display=MXB8VXYF4&amp;reservation_id=31722678239477", "MXB8VXYF4")</f>
        <v>MXB8VXYF4</v>
      </c>
      <c r="B11709" t="s">
        <v>1699</v>
      </c>
      <c r="C11709">
        <v>195.48</v>
      </c>
      <c r="D11709">
        <v>212.5</v>
      </c>
      <c r="E11709">
        <v>212.49</v>
      </c>
      <c r="F11709">
        <v>0.01</v>
      </c>
    </row>
    <row r="11710" spans="1:6" x14ac:dyDescent="0.3">
      <c r="A11710" t="str">
        <f>HYPERLINK("https://us2.cloudbeds.com/connect/10074733072513#/reservations/31725274804418?display=MXD9A1TK7&amp;reservation_id=31725274804418", "MXD9A1TK7")</f>
        <v>MXD9A1TK7</v>
      </c>
      <c r="B11710" t="s">
        <v>1727</v>
      </c>
      <c r="C11710">
        <v>73</v>
      </c>
      <c r="D11710">
        <v>79.36</v>
      </c>
      <c r="E11710">
        <v>79.349999999999994</v>
      </c>
      <c r="F11710">
        <v>0.01</v>
      </c>
    </row>
    <row r="11711" spans="1:6" x14ac:dyDescent="0.3">
      <c r="A11711" t="str">
        <f>HYPERLINK("https://us2.cloudbeds.com/connect/10074733072513#/reservations/31724322656408?display=MXCHW5W67&amp;reservation_id=31724322656408", "MXCHW5W67")</f>
        <v>MXCHW5W67</v>
      </c>
      <c r="B11711" t="s">
        <v>1738</v>
      </c>
      <c r="C11711">
        <v>139</v>
      </c>
      <c r="D11711">
        <v>151.1</v>
      </c>
      <c r="E11711">
        <v>151.09</v>
      </c>
      <c r="F11711">
        <v>0.01</v>
      </c>
    </row>
    <row r="11712" spans="1:6" x14ac:dyDescent="0.3">
      <c r="A11712" t="str">
        <f>HYPERLINK("https://us2.cloudbeds.com/connect/10074733072513#/reservations/31726860341395?display=MXEGR0QE9&amp;reservation_id=31726860341395", "MXEGR0QE9")</f>
        <v>MXEGR0QE9</v>
      </c>
      <c r="B11712" t="s">
        <v>1692</v>
      </c>
      <c r="C11712">
        <v>278</v>
      </c>
      <c r="D11712">
        <v>302.2</v>
      </c>
      <c r="E11712">
        <v>302.19</v>
      </c>
      <c r="F11712">
        <v>0.01</v>
      </c>
    </row>
    <row r="11713" spans="1:6" x14ac:dyDescent="0.3">
      <c r="A11713" t="str">
        <f>HYPERLINK("https://us2.cloudbeds.com/connect/10074733072513#/reservations/31725239595177?display=MXD8DC4TH&amp;reservation_id=31725239595177", "MXD8DC4TH")</f>
        <v>MXD8DC4TH</v>
      </c>
      <c r="B11713" t="s">
        <v>1727</v>
      </c>
      <c r="C11713">
        <v>119</v>
      </c>
      <c r="D11713">
        <v>129.36000000000001</v>
      </c>
      <c r="E11713">
        <v>129.35</v>
      </c>
      <c r="F11713">
        <v>0.01</v>
      </c>
    </row>
    <row r="11714" spans="1:6" x14ac:dyDescent="0.3">
      <c r="A11714" t="str">
        <f>HYPERLINK("https://us2.cloudbeds.com/connect/10074733072513#/reservations/31722687803539?display=MXB96KPT6&amp;reservation_id=31722687803539", "MXB96KPT6")</f>
        <v>MXB96KPT6</v>
      </c>
      <c r="B11714" t="s">
        <v>1699</v>
      </c>
      <c r="C11714">
        <v>179</v>
      </c>
      <c r="D11714">
        <v>194.58</v>
      </c>
      <c r="E11714">
        <v>194.57</v>
      </c>
      <c r="F11714">
        <v>0.01</v>
      </c>
    </row>
    <row r="11715" spans="1:6" x14ac:dyDescent="0.3">
      <c r="A11715" t="str">
        <f>HYPERLINK("https://us2.cloudbeds.com/connect/10074733072513#/reservations/31724715180272?display=MXCS05HGP&amp;reservation_id=31724715180272", "MXCS05HGP")</f>
        <v>MXCS05HGP</v>
      </c>
      <c r="B11715" t="s">
        <v>1627</v>
      </c>
      <c r="C11715">
        <v>199</v>
      </c>
      <c r="D11715">
        <v>216.32</v>
      </c>
      <c r="E11715">
        <v>216.31</v>
      </c>
      <c r="F11715">
        <v>0.01</v>
      </c>
    </row>
    <row r="11716" spans="1:6" x14ac:dyDescent="0.3">
      <c r="A11716" t="str">
        <f>HYPERLINK("https://us2.cloudbeds.com/connect/10074733072513#/reservations/31725086593238?display=MXD4GBY84&amp;reservation_id=31725086593238", "MXD4GBY84")</f>
        <v>MXD4GBY84</v>
      </c>
      <c r="B11716" t="s">
        <v>1751</v>
      </c>
      <c r="C11716">
        <v>89</v>
      </c>
      <c r="D11716">
        <v>96.75</v>
      </c>
      <c r="E11716">
        <v>96.74</v>
      </c>
      <c r="F11716">
        <v>0.01</v>
      </c>
    </row>
    <row r="11717" spans="1:6" x14ac:dyDescent="0.3">
      <c r="A11717" t="str">
        <f>HYPERLINK("https://us2.cloudbeds.com/connect/10074733072513#/reservations/31725640122596?display=MXDXY3DM1&amp;reservation_id=31725640122596", "MXDXY3DM1")</f>
        <v>MXDXY3DM1</v>
      </c>
      <c r="B11717" t="s">
        <v>1699</v>
      </c>
      <c r="C11717">
        <v>73</v>
      </c>
      <c r="D11717">
        <v>79.36</v>
      </c>
      <c r="E11717">
        <v>79.349999999999994</v>
      </c>
      <c r="F11717">
        <v>0.01</v>
      </c>
    </row>
    <row r="11718" spans="1:6" x14ac:dyDescent="0.3">
      <c r="A11718" t="str">
        <f>HYPERLINK("https://us2.cloudbeds.com/connect/10074733072513#/reservations/31716561477832?display=MX6HYZZEY&amp;reservation_id=31716561477832", "MX6HYZZEY")</f>
        <v>MX6HYZZEY</v>
      </c>
      <c r="B11718" t="s">
        <v>1609</v>
      </c>
      <c r="C11718">
        <v>238</v>
      </c>
      <c r="D11718">
        <v>258.72000000000003</v>
      </c>
      <c r="E11718">
        <v>258.70999999999998</v>
      </c>
      <c r="F11718">
        <v>0.01</v>
      </c>
    </row>
    <row r="11719" spans="1:6" x14ac:dyDescent="0.3">
      <c r="A11719" t="str">
        <f>HYPERLINK("https://us2.cloudbeds.com/connect/10074733072513#/reservations/31716596588750?display=MX6XXBZSS&amp;reservation_id=31716596588750", "MX6XXBZSS")</f>
        <v>MX6XXBZSS</v>
      </c>
      <c r="B11719" t="s">
        <v>1609</v>
      </c>
      <c r="C11719">
        <v>258</v>
      </c>
      <c r="D11719">
        <v>280.45999999999998</v>
      </c>
      <c r="E11719">
        <v>280.45</v>
      </c>
      <c r="F11719">
        <v>0.01</v>
      </c>
    </row>
    <row r="11720" spans="1:6" x14ac:dyDescent="0.3">
      <c r="A11720" t="str">
        <f>HYPERLINK("https://us2.cloudbeds.com/connect/10074733072513#/reservations/31716584853655?display=MX6X8F6RU&amp;reservation_id=31716584853655", "MX6X8F6RU")</f>
        <v>MX6X8F6RU</v>
      </c>
      <c r="B11720" t="s">
        <v>1609</v>
      </c>
      <c r="C11720">
        <v>258</v>
      </c>
      <c r="D11720">
        <v>280.45999999999998</v>
      </c>
      <c r="E11720">
        <v>280.45</v>
      </c>
      <c r="F11720">
        <v>0.01</v>
      </c>
    </row>
    <row r="11721" spans="1:6" x14ac:dyDescent="0.3">
      <c r="A11721" t="str">
        <f>HYPERLINK("https://us2.cloudbeds.com/connect/10074733072513#/reservations/31724293058756?display=MXCH77CEM&amp;reservation_id=31724293058756", "MXCH77CEM")</f>
        <v>MXCH77CEM</v>
      </c>
      <c r="B11721" t="s">
        <v>1738</v>
      </c>
      <c r="C11721">
        <v>169</v>
      </c>
      <c r="D11721">
        <v>183.71</v>
      </c>
      <c r="E11721">
        <v>183.7</v>
      </c>
      <c r="F11721">
        <v>0.01</v>
      </c>
    </row>
    <row r="11722" spans="1:6" x14ac:dyDescent="0.3">
      <c r="A11722" t="str">
        <f>HYPERLINK("https://us2.cloudbeds.com/connect/10074733072513#/reservations/31723896508545?display=MXC72RPRK&amp;reservation_id=31723896508545", "MXC72RPRK")</f>
        <v>MXC72RPRK</v>
      </c>
      <c r="B11722" t="s">
        <v>1626</v>
      </c>
      <c r="C11722">
        <v>209</v>
      </c>
      <c r="D11722">
        <v>227.19</v>
      </c>
      <c r="E11722">
        <v>227.18</v>
      </c>
      <c r="F11722">
        <v>0.01</v>
      </c>
    </row>
    <row r="11723" spans="1:6" x14ac:dyDescent="0.3">
      <c r="A11723" t="str">
        <f>HYPERLINK("https://us2.cloudbeds.com/connect/10074733072513#/reservations/31725106610316?display=MXD507YD8&amp;reservation_id=31725106610316", "MXD507YD8")</f>
        <v>MXD507YD8</v>
      </c>
      <c r="B11723" t="s">
        <v>1751</v>
      </c>
      <c r="C11723">
        <v>238</v>
      </c>
      <c r="D11723">
        <v>258.72000000000003</v>
      </c>
      <c r="E11723">
        <v>258.70999999999998</v>
      </c>
      <c r="F11723">
        <v>0.01</v>
      </c>
    </row>
    <row r="11724" spans="1:6" x14ac:dyDescent="0.3">
      <c r="A11724" t="str">
        <f>HYPERLINK("https://us2.cloudbeds.com/connect/10074733072513#/reservations/31721142292655?display=MXA2NDYW1&amp;reservation_id=31721142292655", "MXA2NDYW1")</f>
        <v>MXA2NDYW1</v>
      </c>
      <c r="B11724" t="s">
        <v>1668</v>
      </c>
      <c r="C11724">
        <v>87.82</v>
      </c>
      <c r="D11724">
        <v>95.47</v>
      </c>
      <c r="E11724">
        <v>95.46</v>
      </c>
      <c r="F11724">
        <v>0.01</v>
      </c>
    </row>
    <row r="11725" spans="1:6" x14ac:dyDescent="0.3">
      <c r="A11725" t="str">
        <f>HYPERLINK("https://us2.cloudbeds.com/connect/10074733072513#/reservations/31725167759576?display=MXD6XQ754&amp;reservation_id=31725167759576", "MXD6XQ754")</f>
        <v>MXD6XQ754</v>
      </c>
      <c r="B11725" t="s">
        <v>1668</v>
      </c>
      <c r="C11725">
        <v>87.82</v>
      </c>
      <c r="D11725">
        <v>95.47</v>
      </c>
      <c r="E11725">
        <v>95.46</v>
      </c>
      <c r="F11725">
        <v>0.01</v>
      </c>
    </row>
    <row r="11726" spans="1:6" x14ac:dyDescent="0.3">
      <c r="A11726" t="str">
        <f>HYPERLINK("https://us2.cloudbeds.com/connect/10074733072513#/reservations/31724673400960?display=MXCQKA0SR&amp;reservation_id=31724673400960", "MXCQKA0SR")</f>
        <v>MXCQKA0SR</v>
      </c>
      <c r="B11726" t="s">
        <v>1712</v>
      </c>
      <c r="C11726">
        <v>298</v>
      </c>
      <c r="D11726">
        <v>323.94</v>
      </c>
      <c r="E11726">
        <v>323.93</v>
      </c>
      <c r="F11726">
        <v>0.01</v>
      </c>
    </row>
    <row r="11727" spans="1:6" x14ac:dyDescent="0.3">
      <c r="A11727" t="str">
        <f>HYPERLINK("https://us2.cloudbeds.com/connect/10074733072513#/reservations/31725545418938?display=MXDG784Q7&amp;reservation_id=31725545418938", "MXDG784Q7")</f>
        <v>MXDG784Q7</v>
      </c>
      <c r="B11727" t="s">
        <v>1692</v>
      </c>
      <c r="C11727">
        <v>159</v>
      </c>
      <c r="D11727">
        <v>172.84</v>
      </c>
      <c r="E11727">
        <v>172.83</v>
      </c>
      <c r="F11727">
        <v>0.01</v>
      </c>
    </row>
    <row r="11728" spans="1:6" x14ac:dyDescent="0.3">
      <c r="A11728" t="str">
        <f>HYPERLINK("https://us2.cloudbeds.com/connect/10074733072513#/reservations/31721170870437?display=MXA3EGT6E&amp;reservation_id=31721170870437", "MXA3EGT6E")</f>
        <v>MXA3EGT6E</v>
      </c>
      <c r="B11728" t="s">
        <v>1668</v>
      </c>
      <c r="C11728">
        <v>129</v>
      </c>
      <c r="D11728">
        <v>140.22999999999999</v>
      </c>
      <c r="E11728">
        <v>140.22</v>
      </c>
      <c r="F11728">
        <v>0.01</v>
      </c>
    </row>
    <row r="11729" spans="1:6" x14ac:dyDescent="0.3">
      <c r="A11729" t="str">
        <f>HYPERLINK("https://us2.cloudbeds.com/connect/10074733072513#/reservations/31727123005599?display=MXENHGR1K&amp;reservation_id=31727123005599", "MXENHGR1K")</f>
        <v>MXENHGR1K</v>
      </c>
      <c r="B11729" t="s">
        <v>1738</v>
      </c>
      <c r="C11729">
        <v>139</v>
      </c>
      <c r="D11729">
        <v>151.1</v>
      </c>
      <c r="E11729">
        <v>151.09</v>
      </c>
      <c r="F11729">
        <v>0.01</v>
      </c>
    </row>
    <row r="11730" spans="1:6" x14ac:dyDescent="0.3">
      <c r="A11730" t="str">
        <f>HYPERLINK("https://us2.cloudbeds.com/connect/10074733072513#/reservations/31721857278103?display=MXAKWA68Z&amp;reservation_id=31721857278103", "MXAKWA68Z")</f>
        <v>MXAKWA68Z</v>
      </c>
      <c r="B11730" t="s">
        <v>1732</v>
      </c>
      <c r="C11730">
        <v>109</v>
      </c>
      <c r="D11730">
        <v>118.49</v>
      </c>
      <c r="E11730">
        <v>118.48</v>
      </c>
      <c r="F11730">
        <v>0.01</v>
      </c>
    </row>
    <row r="11731" spans="1:6" x14ac:dyDescent="0.3">
      <c r="A11731" t="str">
        <f>HYPERLINK("https://us2.cloudbeds.com/connect/10074733072513#/reservations/31721934352522?display=MXAMV9TM6&amp;reservation_id=31721934352522", "MXAMV9TM6")</f>
        <v>MXAMV9TM6</v>
      </c>
      <c r="B11731" t="s">
        <v>1692</v>
      </c>
      <c r="C11731">
        <v>149</v>
      </c>
      <c r="D11731">
        <v>161.97</v>
      </c>
      <c r="E11731">
        <v>161.96</v>
      </c>
      <c r="F11731">
        <v>0.01</v>
      </c>
    </row>
    <row r="11732" spans="1:6" x14ac:dyDescent="0.3">
      <c r="A11732" t="str">
        <f>HYPERLINK("https://us2.cloudbeds.com/connect/10074733072513#/reservations/31725420364002?display=MXDD0QA4N&amp;reservation_id=31725420364002", "MXDD0QA4N")</f>
        <v>MXDD0QA4N</v>
      </c>
      <c r="B11732" t="s">
        <v>1609</v>
      </c>
      <c r="C11732">
        <v>238</v>
      </c>
      <c r="D11732">
        <v>258.72000000000003</v>
      </c>
      <c r="E11732">
        <v>258.70999999999998</v>
      </c>
      <c r="F11732">
        <v>0.01</v>
      </c>
    </row>
    <row r="11733" spans="1:6" x14ac:dyDescent="0.3">
      <c r="A11733" t="str">
        <f>HYPERLINK("https://us2.cloudbeds.com/connect/10074733072513#/reservations/31723371487362?display=MXBQM49NQ&amp;reservation_id=31723371487362", "MXBQM49NQ")</f>
        <v>MXBQM49NQ</v>
      </c>
      <c r="B11733" t="s">
        <v>1752</v>
      </c>
      <c r="C11733">
        <v>169</v>
      </c>
      <c r="D11733">
        <v>183.71</v>
      </c>
      <c r="E11733">
        <v>183.7</v>
      </c>
      <c r="F11733">
        <v>0.01</v>
      </c>
    </row>
    <row r="11734" spans="1:6" x14ac:dyDescent="0.3">
      <c r="A11734" t="str">
        <f>HYPERLINK("https://us2.cloudbeds.com/connect/10074733072513#/reservations/31723319406720?display=MXBZWEDM7&amp;reservation_id=31723319406720", "MXBZWEDM7")</f>
        <v>MXBZWEDM7</v>
      </c>
      <c r="B11734" t="s">
        <v>1517</v>
      </c>
      <c r="C11734">
        <v>321.3</v>
      </c>
      <c r="D11734">
        <v>349.26</v>
      </c>
      <c r="E11734">
        <v>349.25</v>
      </c>
      <c r="F11734">
        <v>0.01</v>
      </c>
    </row>
    <row r="11735" spans="1:6" x14ac:dyDescent="0.3">
      <c r="A11735" t="str">
        <f>HYPERLINK("https://us2.cloudbeds.com/connect/10074733072513#/reservations/31725123481785?display=MXD5EF40T&amp;reservation_id=31725123481785", "MXD5EF40T")</f>
        <v>MXD5EF40T</v>
      </c>
      <c r="B11735" t="s">
        <v>1668</v>
      </c>
      <c r="C11735">
        <v>119</v>
      </c>
      <c r="D11735">
        <v>129.36000000000001</v>
      </c>
      <c r="E11735">
        <v>129.35</v>
      </c>
      <c r="F11735">
        <v>0.01</v>
      </c>
    </row>
    <row r="11736" spans="1:6" x14ac:dyDescent="0.3">
      <c r="A11736" t="str">
        <f>HYPERLINK("https://us2.cloudbeds.com/connect/10074733072513#/reservations/31725149118656?display=MXD632CUT&amp;reservation_id=31725149118656", "MXD632CUT")</f>
        <v>MXD632CUT</v>
      </c>
      <c r="B11736" t="s">
        <v>1668</v>
      </c>
      <c r="C11736">
        <v>87.82</v>
      </c>
      <c r="D11736">
        <v>95.47</v>
      </c>
      <c r="E11736">
        <v>95.46</v>
      </c>
      <c r="F11736">
        <v>0.01</v>
      </c>
    </row>
    <row r="11737" spans="1:6" x14ac:dyDescent="0.3">
      <c r="A11737" t="str">
        <f>HYPERLINK("https://us2.cloudbeds.com/connect/10074733072513#/reservations/31725997977825?display=MXDRPS8MT&amp;reservation_id=31725997977825", "MXDRPS8MT")</f>
        <v>MXDRPS8MT</v>
      </c>
      <c r="B11737" t="s">
        <v>1712</v>
      </c>
      <c r="C11737">
        <v>73</v>
      </c>
      <c r="D11737">
        <v>79.36</v>
      </c>
      <c r="E11737">
        <v>79.349999999999994</v>
      </c>
      <c r="F11737">
        <v>0.01</v>
      </c>
    </row>
    <row r="11738" spans="1:6" x14ac:dyDescent="0.3">
      <c r="A11738" t="str">
        <f>HYPERLINK("https://us2.cloudbeds.com/connect/10074733072513#/reservations/31724332568812?display=MXCX7HQG3&amp;reservation_id=31724332568812", "MXCX7HQG3")</f>
        <v>MXCX7HQG3</v>
      </c>
      <c r="B11738" t="s">
        <v>1738</v>
      </c>
      <c r="C11738">
        <v>159</v>
      </c>
      <c r="D11738">
        <v>172.84</v>
      </c>
      <c r="E11738">
        <v>172.83</v>
      </c>
      <c r="F11738">
        <v>0.01</v>
      </c>
    </row>
    <row r="11739" spans="1:6" x14ac:dyDescent="0.3">
      <c r="A11739" t="str">
        <f>HYPERLINK("https://us2.cloudbeds.com/connect/10074733072513#/reservations/31726829523080?display=MXEG117PV&amp;reservation_id=31726829523080", "MXEG117PV")</f>
        <v>MXEG117PV</v>
      </c>
      <c r="B11739" t="s">
        <v>1692</v>
      </c>
      <c r="C11739">
        <v>69</v>
      </c>
      <c r="D11739">
        <v>75.010000000000005</v>
      </c>
      <c r="E11739">
        <v>75</v>
      </c>
      <c r="F11739">
        <v>0.01</v>
      </c>
    </row>
    <row r="11740" spans="1:6" x14ac:dyDescent="0.3">
      <c r="A11740" t="str">
        <f>HYPERLINK("https://us2.cloudbeds.com/connect/10074733072513#/reservations/31727161532655?display=MXEZGWTE5&amp;reservation_id=31727161532655", "MXEZGWTE5")</f>
        <v>MXEZGWTE5</v>
      </c>
      <c r="B11740" t="s">
        <v>1738</v>
      </c>
      <c r="C11740">
        <v>139</v>
      </c>
      <c r="D11740">
        <v>151.1</v>
      </c>
      <c r="E11740">
        <v>151.09</v>
      </c>
      <c r="F11740">
        <v>0.01</v>
      </c>
    </row>
    <row r="11741" spans="1:6" x14ac:dyDescent="0.3">
      <c r="A11741" t="str">
        <f>HYPERLINK("https://us2.cloudbeds.com/connect/10074733072513#/reservations/31721854279874?display=MXAKTPP2A&amp;reservation_id=31721854279874", "MXAKTPP2A")</f>
        <v>MXAKTPP2A</v>
      </c>
      <c r="B11741" t="s">
        <v>1692</v>
      </c>
      <c r="C11741">
        <v>189</v>
      </c>
      <c r="D11741">
        <v>205.45</v>
      </c>
      <c r="E11741">
        <v>205.44</v>
      </c>
      <c r="F11741">
        <v>0.01</v>
      </c>
    </row>
    <row r="11742" spans="1:6" x14ac:dyDescent="0.3">
      <c r="A11742" t="str">
        <f>HYPERLINK("https://us2.cloudbeds.com/connect/10074733072513#/reservations/31724640940195?display=MXCQ3XMQF&amp;reservation_id=31724640940195", "MXCQ3XMQF")</f>
        <v>MXCQ3XMQF</v>
      </c>
      <c r="B11742" t="s">
        <v>1748</v>
      </c>
      <c r="C11742">
        <v>119</v>
      </c>
      <c r="D11742">
        <v>129.36000000000001</v>
      </c>
      <c r="E11742">
        <v>129.35</v>
      </c>
      <c r="F11742">
        <v>0.01</v>
      </c>
    </row>
    <row r="11743" spans="1:6" x14ac:dyDescent="0.3">
      <c r="A11743" t="str">
        <f>HYPERLINK("https://us2.cloudbeds.com/connect/10074733072513#/reservations/31726928634012?display=MXEXXK4ZH&amp;reservation_id=31726928634012", "MXEXXK4ZH")</f>
        <v>MXEXXK4ZH</v>
      </c>
      <c r="B11743" t="s">
        <v>1735</v>
      </c>
      <c r="C11743">
        <v>238</v>
      </c>
      <c r="D11743">
        <v>258.72000000000003</v>
      </c>
      <c r="E11743">
        <v>258.70999999999998</v>
      </c>
      <c r="F11743">
        <v>0.01</v>
      </c>
    </row>
    <row r="11744" spans="1:6" x14ac:dyDescent="0.3">
      <c r="A11744" t="str">
        <f>HYPERLINK("https://us2.cloudbeds.com/connect/10074733072513#/reservations/31721885696149?display=MXAYN8VQY&amp;reservation_id=31721885696149", "MXAYN8VQY")</f>
        <v>MXAYN8VQY</v>
      </c>
      <c r="B11744" t="s">
        <v>1732</v>
      </c>
      <c r="C11744">
        <v>218</v>
      </c>
      <c r="D11744">
        <v>236.98</v>
      </c>
      <c r="E11744">
        <v>236.97</v>
      </c>
      <c r="F11744">
        <v>0.01</v>
      </c>
    </row>
    <row r="11745" spans="1:6" x14ac:dyDescent="0.3">
      <c r="A11745" t="str">
        <f>HYPERLINK("https://us2.cloudbeds.com/connect/10074733072513#/reservations/31724613046497?display=MXCPD1GZT&amp;reservation_id=31724613046497", "MXCPD1GZT")</f>
        <v>MXCPD1GZT</v>
      </c>
      <c r="B11745" t="s">
        <v>1712</v>
      </c>
      <c r="C11745">
        <v>179</v>
      </c>
      <c r="D11745">
        <v>194.58</v>
      </c>
      <c r="E11745">
        <v>194.57</v>
      </c>
      <c r="F11745">
        <v>0.01</v>
      </c>
    </row>
    <row r="11746" spans="1:6" x14ac:dyDescent="0.3">
      <c r="A11746" t="str">
        <f>HYPERLINK("https://us2.cloudbeds.com/connect/10074733072513#/reservations/31716023931012?display=MX63UFNC2&amp;reservation_id=31716023931012", "MX63UFNC2")</f>
        <v>MX63UFNC2</v>
      </c>
      <c r="B11746" t="s">
        <v>1666</v>
      </c>
      <c r="C11746">
        <v>139</v>
      </c>
      <c r="D11746">
        <v>151.1</v>
      </c>
      <c r="E11746">
        <v>151.09</v>
      </c>
      <c r="F11746">
        <v>0.01</v>
      </c>
    </row>
    <row r="11747" spans="1:6" x14ac:dyDescent="0.3">
      <c r="A11747" t="str">
        <f>HYPERLINK("https://us2.cloudbeds.com/connect/10074733072513#/reservations/31724700774595?display=MXCRY0M53&amp;reservation_id=31724700774595", "MXCRY0M53")</f>
        <v>MXCRY0M53</v>
      </c>
      <c r="B11747" t="s">
        <v>1728</v>
      </c>
      <c r="C11747">
        <v>129</v>
      </c>
      <c r="D11747">
        <v>140.22999999999999</v>
      </c>
      <c r="E11747">
        <v>140.22</v>
      </c>
      <c r="F11747">
        <v>0.01</v>
      </c>
    </row>
    <row r="11748" spans="1:6" x14ac:dyDescent="0.3">
      <c r="A11748" t="str">
        <f>HYPERLINK("https://us2.cloudbeds.com/connect/10074733072513#/reservations/31723201110220?display=MXBMAF9T3&amp;reservation_id=31723201110220", "MXBMAF9T3")</f>
        <v>MXBMAF9T3</v>
      </c>
      <c r="B11748" t="s">
        <v>1723</v>
      </c>
      <c r="C11748">
        <v>169</v>
      </c>
      <c r="D11748">
        <v>183.71</v>
      </c>
      <c r="E11748">
        <v>183.7</v>
      </c>
      <c r="F11748">
        <v>0.01</v>
      </c>
    </row>
    <row r="11749" spans="1:6" x14ac:dyDescent="0.3">
      <c r="A11749" t="str">
        <f>HYPERLINK("https://us2.cloudbeds.com/connect/10074733072513#/reservations/31726546964625?display=MXE8QPKQH&amp;reservation_id=31726546964625", "MXE8QPKQH")</f>
        <v>MXE8QPKQH</v>
      </c>
      <c r="B11749" t="s">
        <v>1692</v>
      </c>
      <c r="C11749">
        <v>149</v>
      </c>
      <c r="D11749">
        <v>161.97</v>
      </c>
      <c r="E11749">
        <v>161.96</v>
      </c>
      <c r="F11749">
        <v>0.01</v>
      </c>
    </row>
    <row r="11750" spans="1:6" x14ac:dyDescent="0.3">
      <c r="A11750" t="str">
        <f>HYPERLINK("https://us2.cloudbeds.com/connect/10074733072513#/reservations/31716018897071?display=MX63Q7KRD&amp;reservation_id=31716018897071", "MX63Q7KRD")</f>
        <v>MX63Q7KRD</v>
      </c>
      <c r="B11750" t="s">
        <v>1666</v>
      </c>
      <c r="C11750">
        <v>139</v>
      </c>
      <c r="D11750">
        <v>151.1</v>
      </c>
      <c r="E11750">
        <v>151.09</v>
      </c>
      <c r="F11750">
        <v>0.01</v>
      </c>
    </row>
    <row r="11751" spans="1:6" x14ac:dyDescent="0.3">
      <c r="A11751" t="str">
        <f>HYPERLINK("https://us2.cloudbeds.com/connect/10074733072513#/reservations/31727171162243?display=MXEZP3S0S&amp;reservation_id=31727171162243", "MXEZP3S0S")</f>
        <v>MXEZP3S0S</v>
      </c>
      <c r="B11751" t="s">
        <v>1738</v>
      </c>
      <c r="C11751">
        <v>189</v>
      </c>
      <c r="D11751">
        <v>205.45</v>
      </c>
      <c r="E11751">
        <v>205.44</v>
      </c>
      <c r="F11751">
        <v>0.01</v>
      </c>
    </row>
    <row r="11752" spans="1:6" x14ac:dyDescent="0.3">
      <c r="A11752" t="str">
        <f>HYPERLINK("https://us2.cloudbeds.com/connect/10074733072513#/reservations/31727348121751?display=MXET9B096&amp;reservation_id=31727348121751", "MXET9B096")</f>
        <v>MXET9B096</v>
      </c>
      <c r="B11752" t="s">
        <v>1753</v>
      </c>
      <c r="C11752">
        <v>119</v>
      </c>
      <c r="D11752">
        <v>129.36000000000001</v>
      </c>
      <c r="E11752">
        <v>129.35</v>
      </c>
      <c r="F11752">
        <v>0.01</v>
      </c>
    </row>
    <row r="11753" spans="1:6" x14ac:dyDescent="0.3">
      <c r="A11753" t="str">
        <f>HYPERLINK("https://us2.cloudbeds.com/connect/10074733072513#/reservations/31724733739258?display=MXCSFQVZ9&amp;reservation_id=31724733739258", "MXCSFQVZ9")</f>
        <v>MXCSFQVZ9</v>
      </c>
      <c r="B11753" t="s">
        <v>1728</v>
      </c>
      <c r="C11753">
        <v>102.58</v>
      </c>
      <c r="D11753">
        <v>111.51</v>
      </c>
      <c r="E11753">
        <v>111.5</v>
      </c>
      <c r="F11753">
        <v>0.01</v>
      </c>
    </row>
    <row r="11754" spans="1:6" x14ac:dyDescent="0.3">
      <c r="A11754" t="str">
        <f>HYPERLINK("https://us2.cloudbeds.com/connect/10074733072513#/reservations/31725061279873?display=MXD3S08YF&amp;reservation_id=31725061279873", "MXD3S08YF")</f>
        <v>MXD3S08YF</v>
      </c>
      <c r="B11754" t="s">
        <v>1754</v>
      </c>
      <c r="C11754">
        <v>278</v>
      </c>
      <c r="D11754">
        <v>302.2</v>
      </c>
      <c r="E11754">
        <v>302.19</v>
      </c>
      <c r="F11754">
        <v>0.01</v>
      </c>
    </row>
    <row r="11755" spans="1:6" x14ac:dyDescent="0.3">
      <c r="A11755" t="str">
        <f>HYPERLINK("https://us2.cloudbeds.com/connect/10074733072513#/reservations/31721876091015?display=MXAYF5MYW&amp;reservation_id=31721876091015", "MXAYF5MYW")</f>
        <v>MXAYF5MYW</v>
      </c>
      <c r="B11755" t="s">
        <v>1732</v>
      </c>
      <c r="C11755">
        <v>109</v>
      </c>
      <c r="D11755">
        <v>118.49</v>
      </c>
      <c r="E11755">
        <v>118.48</v>
      </c>
      <c r="F11755">
        <v>0.01</v>
      </c>
    </row>
    <row r="11756" spans="1:6" x14ac:dyDescent="0.3">
      <c r="A11756" t="str">
        <f>HYPERLINK("https://us2.cloudbeds.com/connect/10074733072513#/reservations/31724377489634?display=MXCJCDQ34&amp;reservation_id=31724377489634", "MXCJCDQ34")</f>
        <v>MXCJCDQ34</v>
      </c>
      <c r="B11756" t="s">
        <v>1735</v>
      </c>
      <c r="C11756">
        <v>109</v>
      </c>
      <c r="D11756">
        <v>118.49</v>
      </c>
      <c r="E11756">
        <v>118.48</v>
      </c>
      <c r="F11756">
        <v>0.01</v>
      </c>
    </row>
    <row r="11757" spans="1:6" x14ac:dyDescent="0.3">
      <c r="A11757" t="str">
        <f>HYPERLINK("https://us2.cloudbeds.com/connect/10074733072513#/reservations/31722915872938?display=MXBF0V503&amp;reservation_id=31722915872938", "MXBF0V503")</f>
        <v>MXBF0V503</v>
      </c>
      <c r="B11757" t="s">
        <v>1728</v>
      </c>
      <c r="C11757">
        <v>73</v>
      </c>
      <c r="D11757">
        <v>79.36</v>
      </c>
      <c r="E11757">
        <v>79.349999999999994</v>
      </c>
      <c r="F11757">
        <v>0.01</v>
      </c>
    </row>
    <row r="11758" spans="1:6" x14ac:dyDescent="0.3">
      <c r="A11758" t="str">
        <f>HYPERLINK("https://us2.cloudbeds.com/connect/10074733072513#/reservations/31727326109851?display=MXESNPGAU&amp;reservation_id=31727326109851", "MXESNPGAU")</f>
        <v>MXESNPGAU</v>
      </c>
      <c r="B11758" t="s">
        <v>1753</v>
      </c>
      <c r="C11758">
        <v>87.82</v>
      </c>
      <c r="D11758">
        <v>95.47</v>
      </c>
      <c r="E11758">
        <v>95.46</v>
      </c>
      <c r="F11758">
        <v>0.01</v>
      </c>
    </row>
    <row r="11759" spans="1:6" x14ac:dyDescent="0.3">
      <c r="A11759" t="str">
        <f>HYPERLINK("https://us2.cloudbeds.com/connect/10074733072513#/reservations/31724700778702?display=MXCRY0PUX&amp;reservation_id=31724700778702", "MXCRY0PUX")</f>
        <v>MXCRY0PUX</v>
      </c>
      <c r="B11759" t="s">
        <v>1728</v>
      </c>
      <c r="C11759">
        <v>89</v>
      </c>
      <c r="D11759">
        <v>96.75</v>
      </c>
      <c r="E11759">
        <v>96.74</v>
      </c>
      <c r="F11759">
        <v>0.01</v>
      </c>
    </row>
    <row r="11760" spans="1:6" x14ac:dyDescent="0.3">
      <c r="A11760" t="str">
        <f>HYPERLINK("https://us2.cloudbeds.com/connect/10074733072513#/reservations/31726759645352?display=MXEE83PU1&amp;reservation_id=31726759645352", "MXEE83PU1")</f>
        <v>MXEE83PU1</v>
      </c>
      <c r="B11760" t="s">
        <v>1692</v>
      </c>
      <c r="C11760">
        <v>169</v>
      </c>
      <c r="D11760">
        <v>183.71</v>
      </c>
      <c r="E11760">
        <v>183.7</v>
      </c>
      <c r="F11760">
        <v>0.01</v>
      </c>
    </row>
    <row r="11761" spans="1:6" x14ac:dyDescent="0.3">
      <c r="A11761" t="str">
        <f>HYPERLINK("https://us2.cloudbeds.com/connect/10074733072513#/reservations/31727106633856?display=MXEN3N4K0&amp;reservation_id=31727106633856", "MXEN3N4K0")</f>
        <v>MXEN3N4K0</v>
      </c>
      <c r="B11761" t="s">
        <v>1738</v>
      </c>
      <c r="C11761">
        <v>159</v>
      </c>
      <c r="D11761">
        <v>172.84</v>
      </c>
      <c r="E11761">
        <v>172.83</v>
      </c>
      <c r="F11761">
        <v>0.01</v>
      </c>
    </row>
    <row r="11762" spans="1:6" x14ac:dyDescent="0.3">
      <c r="A11762" t="str">
        <f>HYPERLINK("https://us2.cloudbeds.com/connect/10074733072513#/reservations/31726891933848?display=MXEHKYTVB&amp;reservation_id=31726891933848", "MXEHKYTVB")</f>
        <v>MXEHKYTVB</v>
      </c>
      <c r="B11762" t="s">
        <v>1735</v>
      </c>
      <c r="C11762">
        <v>109</v>
      </c>
      <c r="D11762">
        <v>118.49</v>
      </c>
      <c r="E11762">
        <v>118.48</v>
      </c>
      <c r="F11762">
        <v>0.01</v>
      </c>
    </row>
    <row r="11763" spans="1:6" x14ac:dyDescent="0.3">
      <c r="A11763" t="str">
        <f>HYPERLINK("https://us2.cloudbeds.com/connect/10074733072513#/reservations/31727132119247?display=MXENP6DSP&amp;reservation_id=31727132119247", "MXENP6DSP")</f>
        <v>MXENP6DSP</v>
      </c>
      <c r="B11763" t="s">
        <v>1738</v>
      </c>
      <c r="C11763">
        <v>159</v>
      </c>
      <c r="D11763">
        <v>172.84</v>
      </c>
      <c r="E11763">
        <v>172.83</v>
      </c>
      <c r="F11763">
        <v>0.01</v>
      </c>
    </row>
    <row r="11764" spans="1:6" x14ac:dyDescent="0.3">
      <c r="A11764" t="str">
        <f>HYPERLINK("https://us2.cloudbeds.com/connect/10074733072513#/reservations/31727113879766?display=MXEN9QT17&amp;reservation_id=31727113879766", "MXEN9QT17")</f>
        <v>MXEN9QT17</v>
      </c>
      <c r="B11764" t="s">
        <v>1738</v>
      </c>
      <c r="C11764">
        <v>159</v>
      </c>
      <c r="D11764">
        <v>172.84</v>
      </c>
      <c r="E11764">
        <v>172.83</v>
      </c>
      <c r="F11764">
        <v>0.01</v>
      </c>
    </row>
    <row r="11765" spans="1:6" x14ac:dyDescent="0.3">
      <c r="A11765" t="str">
        <f>HYPERLINK("https://us2.cloudbeds.com/connect/10074733072513#/reservations/31724352163972?display=MXCXZ226R&amp;reservation_id=31724352163972", "MXCXZ226R")</f>
        <v>MXCXZ226R</v>
      </c>
      <c r="B11765" t="s">
        <v>1735</v>
      </c>
      <c r="C11765">
        <v>109</v>
      </c>
      <c r="D11765">
        <v>118.49</v>
      </c>
      <c r="E11765">
        <v>118.48</v>
      </c>
      <c r="F11765">
        <v>0.01</v>
      </c>
    </row>
    <row r="11766" spans="1:6" x14ac:dyDescent="0.3">
      <c r="A11766" t="str">
        <f>HYPERLINK("https://us2.cloudbeds.com/connect/10074733072513#/reservations/31724396527813?display=MXCJSFXBY&amp;reservation_id=31724396527813", "MXCJSFXBY")</f>
        <v>MXCJSFXBY</v>
      </c>
      <c r="B11766" t="s">
        <v>1735</v>
      </c>
      <c r="C11766">
        <v>109</v>
      </c>
      <c r="D11766">
        <v>118.49</v>
      </c>
      <c r="E11766">
        <v>118.48</v>
      </c>
      <c r="F11766">
        <v>0.01</v>
      </c>
    </row>
    <row r="11767" spans="1:6" x14ac:dyDescent="0.3">
      <c r="A11767" t="str">
        <f>HYPERLINK("https://us2.cloudbeds.com/connect/10074733072513#/reservations/31727152632027?display=MXEZ9G775&amp;reservation_id=31727152632027", "MXEZ9G775")</f>
        <v>MXEZ9G775</v>
      </c>
      <c r="B11767" t="s">
        <v>1738</v>
      </c>
      <c r="C11767">
        <v>159</v>
      </c>
      <c r="D11767">
        <v>172.84</v>
      </c>
      <c r="E11767">
        <v>172.83</v>
      </c>
      <c r="F11767">
        <v>0.01</v>
      </c>
    </row>
    <row r="11768" spans="1:6" x14ac:dyDescent="0.3">
      <c r="A11768" t="str">
        <f>HYPERLINK("https://us2.cloudbeds.com/connect/10074733072513#/reservations/31727100641516?display=MXEMVYGN4&amp;reservation_id=31727100641516", "MXEMVYGN4")</f>
        <v>MXEMVYGN4</v>
      </c>
      <c r="B11768" t="s">
        <v>1738</v>
      </c>
      <c r="C11768">
        <v>159</v>
      </c>
      <c r="D11768">
        <v>172.84</v>
      </c>
      <c r="E11768">
        <v>172.83</v>
      </c>
      <c r="F11768">
        <v>0.01</v>
      </c>
    </row>
    <row r="11769" spans="1:6" x14ac:dyDescent="0.3">
      <c r="A11769" t="str">
        <f>HYPERLINK("https://us2.cloudbeds.com/connect/10074733072513#/reservations/31725508681921?display=MXDF98T59&amp;reservation_id=31725508681921", "MXDF98T59")</f>
        <v>MXDF98T59</v>
      </c>
      <c r="B11769" t="s">
        <v>1692</v>
      </c>
      <c r="C11769">
        <v>179</v>
      </c>
      <c r="D11769">
        <v>194.58</v>
      </c>
      <c r="E11769">
        <v>194.57</v>
      </c>
      <c r="F11769">
        <v>0.01</v>
      </c>
    </row>
    <row r="11770" spans="1:6" x14ac:dyDescent="0.3">
      <c r="A11770" t="str">
        <f>HYPERLINK("https://us2.cloudbeds.com/connect/10074733072513#/reservations/31725086589140?display=MXD4GBHFV&amp;reservation_id=31725086589140", "MXD4GBHFV")</f>
        <v>MXD4GBHFV</v>
      </c>
      <c r="B11770" t="s">
        <v>1754</v>
      </c>
      <c r="C11770">
        <v>278</v>
      </c>
      <c r="D11770">
        <v>302.2</v>
      </c>
      <c r="E11770">
        <v>302.19</v>
      </c>
      <c r="F11770">
        <v>0.01</v>
      </c>
    </row>
    <row r="11771" spans="1:6" x14ac:dyDescent="0.3">
      <c r="A11771" t="str">
        <f>HYPERLINK("https://us2.cloudbeds.com/connect/10074733072513#/reservations/31718828814590?display=MX89JKZ13&amp;reservation_id=31718828814590", "MX89JKZ13")</f>
        <v>MX89JKZ13</v>
      </c>
      <c r="B11771" t="s">
        <v>1758</v>
      </c>
      <c r="C11771">
        <v>736</v>
      </c>
      <c r="D11771">
        <v>800.04</v>
      </c>
      <c r="E11771">
        <v>800.03</v>
      </c>
      <c r="F11771">
        <v>0.01</v>
      </c>
    </row>
    <row r="11772" spans="1:6" x14ac:dyDescent="0.3">
      <c r="A11772" t="str">
        <f>HYPERLINK("https://us2.cloudbeds.com/connect/10074733072513#/reservations/31725751963804?display=MXDYGDXGX&amp;reservation_id=31725751963804", "MXDYGDXGX")</f>
        <v>MXDYGDXGX</v>
      </c>
      <c r="B11772" t="s">
        <v>1748</v>
      </c>
      <c r="C11772">
        <v>178</v>
      </c>
      <c r="D11772">
        <v>193.5</v>
      </c>
      <c r="E11772">
        <v>193.49</v>
      </c>
      <c r="F11772">
        <v>0.01</v>
      </c>
    </row>
    <row r="11773" spans="1:6" x14ac:dyDescent="0.3">
      <c r="A11773" t="str">
        <f>HYPERLINK("https://us2.cloudbeds.com/connect/10074733072513#/reservations/31724264431848?display=MXCGG2Q3K&amp;reservation_id=31724264431848", "MXCGG2Q3K")</f>
        <v>MXCGG2Q3K</v>
      </c>
      <c r="B11773" t="s">
        <v>1749</v>
      </c>
      <c r="C11773">
        <v>109</v>
      </c>
      <c r="D11773">
        <v>118.49</v>
      </c>
      <c r="E11773">
        <v>118.48</v>
      </c>
      <c r="F11773">
        <v>0.01</v>
      </c>
    </row>
    <row r="11774" spans="1:6" x14ac:dyDescent="0.3">
      <c r="A11774" t="str">
        <f>HYPERLINK("https://us2.cloudbeds.com/connect/10074733072513#/reservations/31725433266393?display=MXDDBMB28&amp;reservation_id=31725433266393", "MXDDBMB28")</f>
        <v>MXDDBMB28</v>
      </c>
      <c r="B11774" t="s">
        <v>1609</v>
      </c>
      <c r="C11774">
        <v>129</v>
      </c>
      <c r="D11774">
        <v>140.22999999999999</v>
      </c>
      <c r="E11774">
        <v>140.22</v>
      </c>
      <c r="F11774">
        <v>0.01</v>
      </c>
    </row>
    <row r="11775" spans="1:6" x14ac:dyDescent="0.3">
      <c r="A11775" t="str">
        <f>HYPERLINK("https://us2.cloudbeds.com/connect/10074733072513#/reservations/31724944978061?display=MXD0SUWP4&amp;reservation_id=31724944978061", "MXD0SUWP4")</f>
        <v>MXD0SUWP4</v>
      </c>
      <c r="B11775" t="s">
        <v>1759</v>
      </c>
      <c r="C11775">
        <v>338</v>
      </c>
      <c r="D11775">
        <v>367.42</v>
      </c>
      <c r="E11775">
        <v>367.41</v>
      </c>
      <c r="F11775">
        <v>0.01</v>
      </c>
    </row>
    <row r="11776" spans="1:6" x14ac:dyDescent="0.3">
      <c r="A11776" t="str">
        <f>HYPERLINK("https://us2.cloudbeds.com/connect/10074733072513#/reservations/31724189204705?display=MXCEXYG07&amp;reservation_id=31724189204705", "MXCEXYG07")</f>
        <v>MXCEXYG07</v>
      </c>
      <c r="B11776" t="s">
        <v>1757</v>
      </c>
      <c r="C11776">
        <v>89</v>
      </c>
      <c r="D11776">
        <v>96.75</v>
      </c>
      <c r="E11776">
        <v>96.74</v>
      </c>
      <c r="F11776">
        <v>0.01</v>
      </c>
    </row>
    <row r="11777" spans="1:6" x14ac:dyDescent="0.3">
      <c r="A11777" t="str">
        <f>HYPERLINK("https://us2.cloudbeds.com/connect/10074733072513#/reservations/31725194252437?display=MXD784DS3&amp;reservation_id=31725194252437", "MXD784DS3")</f>
        <v>MXD784DS3</v>
      </c>
      <c r="B11777" t="s">
        <v>1739</v>
      </c>
      <c r="C11777">
        <v>159</v>
      </c>
      <c r="D11777">
        <v>172.84</v>
      </c>
      <c r="E11777">
        <v>172.83</v>
      </c>
      <c r="F11777">
        <v>0.01</v>
      </c>
    </row>
    <row r="11778" spans="1:6" x14ac:dyDescent="0.3">
      <c r="A11778" t="str">
        <f>HYPERLINK("https://us2.cloudbeds.com/connect/10074733072513#/reservations/31725202530521?display=MXD7F3PD4&amp;reservation_id=31725202530521", "MXD7F3PD4")</f>
        <v>MXD7F3PD4</v>
      </c>
      <c r="B11778" t="s">
        <v>1754</v>
      </c>
      <c r="C11778">
        <v>358</v>
      </c>
      <c r="D11778">
        <v>389.16</v>
      </c>
      <c r="E11778">
        <v>389.15</v>
      </c>
      <c r="F11778">
        <v>0.01</v>
      </c>
    </row>
    <row r="11779" spans="1:6" x14ac:dyDescent="0.3">
      <c r="A11779" t="str">
        <f>HYPERLINK("https://us2.cloudbeds.com/connect/10074733072513#/reservations/31725032939675?display=MXD343YJJ&amp;reservation_id=31725032939675", "MXD343YJJ")</f>
        <v>MXD343YJJ</v>
      </c>
      <c r="B11779" t="s">
        <v>1754</v>
      </c>
      <c r="C11779">
        <v>358</v>
      </c>
      <c r="D11779">
        <v>389.16</v>
      </c>
      <c r="E11779">
        <v>389.15</v>
      </c>
      <c r="F11779">
        <v>0.01</v>
      </c>
    </row>
    <row r="11780" spans="1:6" x14ac:dyDescent="0.3">
      <c r="A11780" t="str">
        <f>HYPERLINK("https://us2.cloudbeds.com/connect/10074733072513#/reservations/31727375532254?display=MXETWEZKG&amp;reservation_id=31727375532254", "MXETWEZKG")</f>
        <v>MXETWEZKG</v>
      </c>
      <c r="B11780" t="s">
        <v>1627</v>
      </c>
      <c r="C11780">
        <v>338</v>
      </c>
      <c r="D11780">
        <v>367.42</v>
      </c>
      <c r="E11780">
        <v>367.41</v>
      </c>
      <c r="F11780">
        <v>0.01</v>
      </c>
    </row>
    <row r="11781" spans="1:6" x14ac:dyDescent="0.3">
      <c r="A11781" t="str">
        <f>HYPERLINK("https://us2.cloudbeds.com/connect/10074733072513#/reservations/31724549992675?display=MXCNPSV2W&amp;reservation_id=31724549992675", "MXCNPSV2W")</f>
        <v>MXCNPSV2W</v>
      </c>
      <c r="B11781" t="s">
        <v>1745</v>
      </c>
      <c r="C11781">
        <v>139</v>
      </c>
      <c r="D11781">
        <v>151.1</v>
      </c>
      <c r="E11781">
        <v>151.09</v>
      </c>
      <c r="F11781">
        <v>0.01</v>
      </c>
    </row>
    <row r="11782" spans="1:6" x14ac:dyDescent="0.3">
      <c r="A11782" t="str">
        <f>HYPERLINK("https://us2.cloudbeds.com/connect/10074733072513#/reservations/31724665643180?display=MXCQZD2TP&amp;reservation_id=31724665643180", "MXCQZD2TP")</f>
        <v>MXCQZD2TP</v>
      </c>
      <c r="B11782" t="s">
        <v>1748</v>
      </c>
      <c r="C11782">
        <v>109</v>
      </c>
      <c r="D11782">
        <v>118.49</v>
      </c>
      <c r="E11782">
        <v>118.48</v>
      </c>
      <c r="F11782">
        <v>0.01</v>
      </c>
    </row>
    <row r="11783" spans="1:6" x14ac:dyDescent="0.3">
      <c r="A11783" t="str">
        <f>HYPERLINK("https://us2.cloudbeds.com/connect/10074733072513#/reservations/31725218844911?display=MXD7SSZFJ&amp;reservation_id=31725218844911", "MXD7SSZFJ")</f>
        <v>MXD7SSZFJ</v>
      </c>
      <c r="B11783" t="s">
        <v>1739</v>
      </c>
      <c r="C11783">
        <v>230</v>
      </c>
      <c r="D11783">
        <v>250.02</v>
      </c>
      <c r="E11783">
        <v>250.01</v>
      </c>
      <c r="F11783">
        <v>0.01</v>
      </c>
    </row>
    <row r="11784" spans="1:6" x14ac:dyDescent="0.3">
      <c r="A11784" t="str">
        <f>HYPERLINK("https://us2.cloudbeds.com/connect/10074733072513#/reservations/31725149122752?display=MXD632GZN&amp;reservation_id=31725149122752", "MXD632GZN")</f>
        <v>MXD632GZN</v>
      </c>
      <c r="B11784" t="s">
        <v>1739</v>
      </c>
      <c r="C11784">
        <v>159</v>
      </c>
      <c r="D11784">
        <v>172.84</v>
      </c>
      <c r="E11784">
        <v>172.83</v>
      </c>
      <c r="F11784">
        <v>0.01</v>
      </c>
    </row>
    <row r="11785" spans="1:6" x14ac:dyDescent="0.3">
      <c r="A11785" t="str">
        <f>HYPERLINK("https://us2.cloudbeds.com/connect/10074733072513#/reservations/31716523282626?display=MX6GMHTQ5&amp;reservation_id=31716523282626", "MX6GMHTQ5")</f>
        <v>MX6GMHTQ5</v>
      </c>
      <c r="B11785" t="s">
        <v>1739</v>
      </c>
      <c r="C11785">
        <v>159</v>
      </c>
      <c r="D11785">
        <v>172.84</v>
      </c>
      <c r="E11785">
        <v>172.83</v>
      </c>
      <c r="F11785">
        <v>0.01</v>
      </c>
    </row>
    <row r="11786" spans="1:6" x14ac:dyDescent="0.3">
      <c r="A11786" t="str">
        <f>HYPERLINK("https://us2.cloudbeds.com/connect/10074733072513#/reservations/31724825661688?display=MXCURARMF&amp;reservation_id=31724825661688", "MXCURARMF")</f>
        <v>MXCURARMF</v>
      </c>
      <c r="B11786" t="s">
        <v>1760</v>
      </c>
      <c r="C11786">
        <v>149</v>
      </c>
      <c r="D11786">
        <v>161.97</v>
      </c>
      <c r="E11786">
        <v>161.96</v>
      </c>
      <c r="F11786">
        <v>0.01</v>
      </c>
    </row>
    <row r="11787" spans="1:6" x14ac:dyDescent="0.3">
      <c r="A11787" t="str">
        <f>HYPERLINK("https://us2.cloudbeds.com/connect/10074733072513#/reservations/31727272607886?display=MXERBYNT8&amp;reservation_id=31727272607886", "MXERBYNT8")</f>
        <v>MXERBYNT8</v>
      </c>
      <c r="B11787" t="s">
        <v>1761</v>
      </c>
      <c r="C11787">
        <v>336</v>
      </c>
      <c r="D11787">
        <v>365.24</v>
      </c>
      <c r="E11787">
        <v>365.23</v>
      </c>
      <c r="F11787">
        <v>0.01</v>
      </c>
    </row>
    <row r="11788" spans="1:6" x14ac:dyDescent="0.3">
      <c r="A11788" t="str">
        <f>HYPERLINK("https://us2.cloudbeds.com/connect/10074733072513#/reservations/31725177168031?display=MXD6QZ0MR&amp;reservation_id=31725177168031", "MXD6QZ0MR")</f>
        <v>MXD6QZ0MR</v>
      </c>
      <c r="B11788" t="s">
        <v>1739</v>
      </c>
      <c r="C11788">
        <v>159</v>
      </c>
      <c r="D11788">
        <v>172.84</v>
      </c>
      <c r="E11788">
        <v>172.83</v>
      </c>
      <c r="F11788">
        <v>0.01</v>
      </c>
    </row>
    <row r="11789" spans="1:6" x14ac:dyDescent="0.3">
      <c r="A11789" t="str">
        <f>HYPERLINK("https://us2.cloudbeds.com/connect/10074733072513#/reservations/31723211907223?display=MXBMJXZFW&amp;reservation_id=31723211907223", "MXBMJXZFW")</f>
        <v>MXBMJXZFW</v>
      </c>
      <c r="B11789" t="s">
        <v>1723</v>
      </c>
      <c r="C11789">
        <v>102.58</v>
      </c>
      <c r="D11789">
        <v>111.51</v>
      </c>
      <c r="E11789">
        <v>111.5</v>
      </c>
      <c r="F11789">
        <v>0.01</v>
      </c>
    </row>
    <row r="11790" spans="1:6" x14ac:dyDescent="0.3">
      <c r="A11790" t="str">
        <f>HYPERLINK("https://us2.cloudbeds.com/connect/10074733072513#/reservations/31725025423559?display=MXD2UPGZG&amp;reservation_id=31725025423559", "MXD2UPGZG")</f>
        <v>MXD2UPGZG</v>
      </c>
      <c r="B11790" t="s">
        <v>1754</v>
      </c>
      <c r="C11790">
        <v>102.58</v>
      </c>
      <c r="D11790">
        <v>111.51</v>
      </c>
      <c r="E11790">
        <v>111.5</v>
      </c>
      <c r="F11790">
        <v>0.01</v>
      </c>
    </row>
    <row r="11791" spans="1:6" x14ac:dyDescent="0.3">
      <c r="A11791" t="str">
        <f>HYPERLINK("https://us2.cloudbeds.com/connect/10074733072513#/reservations/31725185888452?display=MXD712ME0&amp;reservation_id=31725185888452", "MXD712ME0")</f>
        <v>MXD712ME0</v>
      </c>
      <c r="B11791" t="s">
        <v>1739</v>
      </c>
      <c r="C11791">
        <v>159</v>
      </c>
      <c r="D11791">
        <v>172.84</v>
      </c>
      <c r="E11791">
        <v>172.83</v>
      </c>
      <c r="F11791">
        <v>0.01</v>
      </c>
    </row>
    <row r="11792" spans="1:6" x14ac:dyDescent="0.3">
      <c r="A11792" t="str">
        <f>HYPERLINK("https://us2.cloudbeds.com/connect/10074733072513#/reservations/31716548333715?display=MX6HAYWX2&amp;reservation_id=31716548333715", "MX6HAYWX2")</f>
        <v>MX6HAYWX2</v>
      </c>
      <c r="B11792" t="s">
        <v>1739</v>
      </c>
      <c r="C11792">
        <v>143</v>
      </c>
      <c r="D11792">
        <v>155.44999999999999</v>
      </c>
      <c r="E11792">
        <v>155.44</v>
      </c>
      <c r="F11792">
        <v>0.01</v>
      </c>
    </row>
    <row r="11793" spans="1:6" x14ac:dyDescent="0.3">
      <c r="A11793" t="str">
        <f>HYPERLINK("https://us2.cloudbeds.com/connect/10074733072513#/reservations/31722421338314?display=MXB2CUWTD&amp;reservation_id=31722421338314", "MXB2CUWTD")</f>
        <v>MXB2CUWTD</v>
      </c>
      <c r="B11793" t="s">
        <v>1763</v>
      </c>
      <c r="C11793">
        <v>589.5</v>
      </c>
      <c r="D11793">
        <v>640.79999999999995</v>
      </c>
      <c r="E11793">
        <v>640.79</v>
      </c>
      <c r="F11793">
        <v>0.01</v>
      </c>
    </row>
    <row r="11794" spans="1:6" x14ac:dyDescent="0.3">
      <c r="A11794" t="str">
        <f>HYPERLINK("https://us2.cloudbeds.com/connect/10074733072513#/reservations/31725167763659?display=MXD6XQATS&amp;reservation_id=31725167763659", "MXD6XQATS")</f>
        <v>MXD6XQATS</v>
      </c>
      <c r="B11794" t="s">
        <v>1739</v>
      </c>
      <c r="C11794">
        <v>159</v>
      </c>
      <c r="D11794">
        <v>172.84</v>
      </c>
      <c r="E11794">
        <v>172.83</v>
      </c>
      <c r="F11794">
        <v>0.01</v>
      </c>
    </row>
    <row r="11795" spans="1:6" x14ac:dyDescent="0.3">
      <c r="A11795" t="str">
        <f>HYPERLINK("https://us2.cloudbeds.com/connect/10074733072513#/reservations/31718091178147?display=MX7NZKTUY&amp;reservation_id=31718091178147", "MX7NZKTUY")</f>
        <v>MX7NZKTUY</v>
      </c>
      <c r="B11795" t="s">
        <v>1627</v>
      </c>
      <c r="C11795">
        <v>159</v>
      </c>
      <c r="D11795">
        <v>172.84</v>
      </c>
      <c r="E11795">
        <v>172.83</v>
      </c>
      <c r="F11795">
        <v>0.01</v>
      </c>
    </row>
    <row r="11796" spans="1:6" x14ac:dyDescent="0.3">
      <c r="A11796" t="str">
        <f>HYPERLINK("https://us2.cloudbeds.com/connect/10074733072513#/reservations/31718106583212?display=MX7Z4KXWP&amp;reservation_id=31718106583212", "MX7Z4KXWP")</f>
        <v>MX7Z4KXWP</v>
      </c>
      <c r="B11796" t="s">
        <v>1627</v>
      </c>
      <c r="C11796">
        <v>159</v>
      </c>
      <c r="D11796">
        <v>172.84</v>
      </c>
      <c r="E11796">
        <v>172.83</v>
      </c>
      <c r="F11796">
        <v>0.01</v>
      </c>
    </row>
    <row r="11797" spans="1:6" x14ac:dyDescent="0.3">
      <c r="A11797" t="str">
        <f>HYPERLINK("https://us2.cloudbeds.com/connect/10074733072513#/reservations/31719812276374?display=MX91NU02C&amp;reservation_id=31719812276374", "MX91NU02C")</f>
        <v>MX91NU02C</v>
      </c>
      <c r="B11797" t="s">
        <v>1754</v>
      </c>
      <c r="C11797">
        <v>298</v>
      </c>
      <c r="D11797">
        <v>323.94</v>
      </c>
      <c r="E11797">
        <v>323.93</v>
      </c>
      <c r="F11797">
        <v>0.01</v>
      </c>
    </row>
    <row r="11798" spans="1:6" x14ac:dyDescent="0.3">
      <c r="A11798" t="str">
        <f>HYPERLINK("https://us2.cloudbeds.com/connect/10074733072513#/reservations/31722690265328?display=MXB98N9FS&amp;reservation_id=31722690265328", "MXB98N9FS")</f>
        <v>MXB98N9FS</v>
      </c>
      <c r="B11798" t="s">
        <v>1427</v>
      </c>
      <c r="C11798">
        <v>159</v>
      </c>
      <c r="D11798">
        <v>172.84</v>
      </c>
      <c r="E11798">
        <v>172.83</v>
      </c>
      <c r="F11798">
        <v>0.01</v>
      </c>
    </row>
    <row r="11799" spans="1:6" x14ac:dyDescent="0.3">
      <c r="A11799" t="str">
        <f>HYPERLINK("https://us2.cloudbeds.com/connect/10074733072513#/reservations/31724037570690?display=MXCAMQ1G2&amp;reservation_id=31724037570690", "MXCAMQ1G2")</f>
        <v>MXCAMQ1G2</v>
      </c>
      <c r="B11799" t="s">
        <v>1734</v>
      </c>
      <c r="C11799">
        <v>336</v>
      </c>
      <c r="D11799">
        <v>365.24</v>
      </c>
      <c r="E11799">
        <v>365.23</v>
      </c>
      <c r="F11799">
        <v>0.01</v>
      </c>
    </row>
    <row r="11800" spans="1:6" x14ac:dyDescent="0.3">
      <c r="A11800" t="str">
        <f>HYPERLINK("https://us2.cloudbeds.com/connect/10074733072513#/reservations/31723394187405?display=MXBR88VXT&amp;reservation_id=31723394187405", "MXBR88VXT")</f>
        <v>MXBR88VXT</v>
      </c>
      <c r="B11800" t="s">
        <v>1427</v>
      </c>
      <c r="C11800">
        <v>318</v>
      </c>
      <c r="D11800">
        <v>345.68</v>
      </c>
      <c r="E11800">
        <v>345.67</v>
      </c>
      <c r="F11800">
        <v>0.01</v>
      </c>
    </row>
    <row r="11801" spans="1:6" x14ac:dyDescent="0.3">
      <c r="A11801" t="str">
        <f>HYPERLINK("https://us2.cloudbeds.com/connect/10074733072513#/reservations/31727289110781?display=MXERPXV1W&amp;reservation_id=31727289110781", "MXERPXV1W")</f>
        <v>MXERPXV1W</v>
      </c>
      <c r="B11801" t="s">
        <v>1761</v>
      </c>
      <c r="C11801">
        <v>87.82</v>
      </c>
      <c r="D11801">
        <v>95.47</v>
      </c>
      <c r="E11801">
        <v>95.46</v>
      </c>
      <c r="F11801">
        <v>0.01</v>
      </c>
    </row>
    <row r="11802" spans="1:6" x14ac:dyDescent="0.3">
      <c r="A11802" t="str">
        <f>HYPERLINK("https://us2.cloudbeds.com/connect/10074733072513#/reservations/31722130260141?display=MXARVGAFN&amp;reservation_id=31722130260141", "MXARVGAFN")</f>
        <v>MXARVGAFN</v>
      </c>
      <c r="B11802" t="s">
        <v>1763</v>
      </c>
      <c r="C11802">
        <v>318</v>
      </c>
      <c r="D11802">
        <v>345.68</v>
      </c>
      <c r="E11802">
        <v>345.67</v>
      </c>
      <c r="F11802">
        <v>0.01</v>
      </c>
    </row>
    <row r="11803" spans="1:6" x14ac:dyDescent="0.3">
      <c r="A11803" t="str">
        <f>HYPERLINK("https://us2.cloudbeds.com/connect/10074733072513#/reservations/31727301124306?display=MXES2N7P6&amp;reservation_id=31727301124306", "MXES2N7P6")</f>
        <v>MXES2N7P6</v>
      </c>
      <c r="B11803" t="s">
        <v>1761</v>
      </c>
      <c r="C11803">
        <v>119</v>
      </c>
      <c r="D11803">
        <v>129.36000000000001</v>
      </c>
      <c r="E11803">
        <v>129.35</v>
      </c>
      <c r="F11803">
        <v>0.01</v>
      </c>
    </row>
    <row r="11804" spans="1:6" x14ac:dyDescent="0.3">
      <c r="A11804" t="str">
        <f>HYPERLINK("https://us2.cloudbeds.com/connect/10074733072513#/reservations/31725447405800?display=MXDDNJPU4&amp;reservation_id=31725447405800", "MXDDNJPU4")</f>
        <v>MXDDNJPU4</v>
      </c>
      <c r="B11804" t="s">
        <v>1762</v>
      </c>
      <c r="C11804">
        <v>102.58</v>
      </c>
      <c r="D11804">
        <v>111.51</v>
      </c>
      <c r="E11804">
        <v>111.5</v>
      </c>
      <c r="F11804">
        <v>0.01</v>
      </c>
    </row>
    <row r="11805" spans="1:6" x14ac:dyDescent="0.3">
      <c r="A11805" t="str">
        <f>HYPERLINK("https://us2.cloudbeds.com/connect/10074733072513#/reservations/31726092144811?display=MXDU68JZU&amp;reservation_id=31726092144811", "MXDU68JZU")</f>
        <v>MXDU68JZU</v>
      </c>
      <c r="B11805" t="s">
        <v>1756</v>
      </c>
      <c r="C11805">
        <v>338</v>
      </c>
      <c r="D11805">
        <v>367.42</v>
      </c>
      <c r="E11805">
        <v>367.41</v>
      </c>
      <c r="F11805">
        <v>0.01</v>
      </c>
    </row>
    <row r="11806" spans="1:6" x14ac:dyDescent="0.3">
      <c r="A11806" t="str">
        <f>HYPERLINK("https://us2.cloudbeds.com/connect/10074733072513#/reservations/31726032036000?display=MXDSYXWDQ&amp;reservation_id=31726032036000", "MXDSYXWDQ")</f>
        <v>MXDSYXWDQ</v>
      </c>
      <c r="B11806" t="s">
        <v>1764</v>
      </c>
      <c r="C11806">
        <v>238</v>
      </c>
      <c r="D11806">
        <v>258.72000000000003</v>
      </c>
      <c r="E11806">
        <v>258.70999999999998</v>
      </c>
      <c r="F11806">
        <v>0.01</v>
      </c>
    </row>
    <row r="11807" spans="1:6" x14ac:dyDescent="0.3">
      <c r="A11807" t="str">
        <f>HYPERLINK("https://us2.cloudbeds.com/connect/10074733072513#/reservations/31725508673728?display=MXDF98HUR&amp;reservation_id=31725508673728", "MXDF98HUR")</f>
        <v>MXDF98HUR</v>
      </c>
      <c r="B11807" t="s">
        <v>1762</v>
      </c>
      <c r="C11807">
        <v>102.58</v>
      </c>
      <c r="D11807">
        <v>111.51</v>
      </c>
      <c r="E11807">
        <v>111.5</v>
      </c>
      <c r="F11807">
        <v>0.01</v>
      </c>
    </row>
    <row r="11808" spans="1:6" x14ac:dyDescent="0.3">
      <c r="A11808" t="str">
        <f>HYPERLINK("https://us2.cloudbeds.com/connect/10074733072513#/reservations/31725456027784?display=MXDDUSN8C&amp;reservation_id=31725456027784", "MXDDUSN8C")</f>
        <v>MXDDUSN8C</v>
      </c>
      <c r="B11808" t="s">
        <v>1762</v>
      </c>
      <c r="C11808">
        <v>119</v>
      </c>
      <c r="D11808">
        <v>129.36000000000001</v>
      </c>
      <c r="E11808">
        <v>129.35</v>
      </c>
      <c r="F11808">
        <v>0.01</v>
      </c>
    </row>
    <row r="11809" spans="1:6" x14ac:dyDescent="0.3">
      <c r="A11809" t="str">
        <f>HYPERLINK("https://us2.cloudbeds.com/connect/10074733072513#/reservations/31725473566963?display=MXDECYP0Y&amp;reservation_id=31725473566963", "MXDECYP0Y")</f>
        <v>MXDECYP0Y</v>
      </c>
      <c r="B11809" t="s">
        <v>1762</v>
      </c>
      <c r="C11809">
        <v>102.58</v>
      </c>
      <c r="D11809">
        <v>111.51</v>
      </c>
      <c r="E11809">
        <v>111.5</v>
      </c>
      <c r="F11809">
        <v>0.01</v>
      </c>
    </row>
    <row r="11810" spans="1:6" x14ac:dyDescent="0.3">
      <c r="A11810" t="str">
        <f>HYPERLINK("https://us2.cloudbeds.com/connect/10074733072513#/reservations/31723246911625?display=MXBNG2Q3F&amp;reservation_id=31723246911625", "MXBNG2Q3F")</f>
        <v>MXBNG2Q3F</v>
      </c>
      <c r="B11810" t="s">
        <v>1734</v>
      </c>
      <c r="C11810">
        <v>87.82</v>
      </c>
      <c r="D11810">
        <v>95.47</v>
      </c>
      <c r="E11810">
        <v>95.46</v>
      </c>
      <c r="F11810">
        <v>0.01</v>
      </c>
    </row>
    <row r="11811" spans="1:6" x14ac:dyDescent="0.3">
      <c r="A11811" t="str">
        <f>HYPERLINK("https://us2.cloudbeds.com/connect/10074733072513#/reservations/31723555713221?display=MXBVCFYFX&amp;reservation_id=31723555713221", "MXBVCFYFX")</f>
        <v>MXBVCFYFX</v>
      </c>
      <c r="B11811" t="s">
        <v>1765</v>
      </c>
      <c r="C11811">
        <v>139</v>
      </c>
      <c r="D11811">
        <v>151.1</v>
      </c>
      <c r="E11811">
        <v>151.09</v>
      </c>
      <c r="F11811">
        <v>0.01</v>
      </c>
    </row>
    <row r="11812" spans="1:6" x14ac:dyDescent="0.3">
      <c r="A11812" t="str">
        <f>HYPERLINK("https://us2.cloudbeds.com/connect/10074733072513#/reservations/31723281023118?display=MXBZBRWQ2&amp;reservation_id=31723281023118", "MXBZBRWQ2")</f>
        <v>MXBZBRWQ2</v>
      </c>
      <c r="B11812" t="s">
        <v>1734</v>
      </c>
      <c r="C11812">
        <v>238</v>
      </c>
      <c r="D11812">
        <v>258.72000000000003</v>
      </c>
      <c r="E11812">
        <v>258.70999999999998</v>
      </c>
      <c r="F11812">
        <v>0.01</v>
      </c>
    </row>
    <row r="11813" spans="1:6" x14ac:dyDescent="0.3">
      <c r="A11813" t="str">
        <f>HYPERLINK("https://us2.cloudbeds.com/connect/10074733072513#/reservations/31726022906060?display=MXDSDSUKV&amp;reservation_id=31726022906060", "MXDSDSUKV")</f>
        <v>MXDSDSUKV</v>
      </c>
      <c r="B11813" t="s">
        <v>1764</v>
      </c>
      <c r="C11813">
        <v>119</v>
      </c>
      <c r="D11813">
        <v>129.36000000000001</v>
      </c>
      <c r="E11813">
        <v>129.35</v>
      </c>
      <c r="F11813">
        <v>0.01</v>
      </c>
    </row>
    <row r="11814" spans="1:6" x14ac:dyDescent="0.3">
      <c r="A11814" t="str">
        <f>HYPERLINK("https://us2.cloudbeds.com/connect/10074733072513#/reservations/31726053458133?display=MXDT6Y2QB&amp;reservation_id=31726053458133", "MXDT6Y2QB")</f>
        <v>MXDT6Y2QB</v>
      </c>
      <c r="B11814" t="s">
        <v>1764</v>
      </c>
      <c r="C11814">
        <v>119</v>
      </c>
      <c r="D11814">
        <v>129.36000000000001</v>
      </c>
      <c r="E11814">
        <v>129.35</v>
      </c>
      <c r="F11814">
        <v>0.01</v>
      </c>
    </row>
    <row r="11815" spans="1:6" x14ac:dyDescent="0.3">
      <c r="A11815" t="str">
        <f>HYPERLINK("https://us2.cloudbeds.com/connect/10074733072513#/reservations/31723301011597?display=MXBZSN6MX&amp;reservation_id=31723301011597", "MXBZSN6MX")</f>
        <v>MXBZSN6MX</v>
      </c>
      <c r="B11815" t="s">
        <v>1734</v>
      </c>
      <c r="C11815">
        <v>119</v>
      </c>
      <c r="D11815">
        <v>129.36000000000001</v>
      </c>
      <c r="E11815">
        <v>129.35</v>
      </c>
      <c r="F11815">
        <v>0.01</v>
      </c>
    </row>
    <row r="11816" spans="1:6" x14ac:dyDescent="0.3">
      <c r="A11816" t="str">
        <f>HYPERLINK("https://us2.cloudbeds.com/connect/10074733072513#/reservations/31726102687940?display=MXDUF4W7M&amp;reservation_id=31726102687940", "MXDUF4W7M")</f>
        <v>MXDUF4W7M</v>
      </c>
      <c r="B11816" t="s">
        <v>1756</v>
      </c>
      <c r="C11816">
        <v>318</v>
      </c>
      <c r="D11816">
        <v>345.68</v>
      </c>
      <c r="E11816">
        <v>345.67</v>
      </c>
      <c r="F11816">
        <v>0.01</v>
      </c>
    </row>
    <row r="11817" spans="1:6" x14ac:dyDescent="0.3">
      <c r="A11817" t="str">
        <f>HYPERLINK("https://us2.cloudbeds.com/connect/10074733072513#/reservations/31726007574684?display=MXDS0VA7Q&amp;reservation_id=31726007574684", "MXDS0VA7Q")</f>
        <v>MXDS0VA7Q</v>
      </c>
      <c r="B11817" t="s">
        <v>1734</v>
      </c>
      <c r="C11817">
        <v>73</v>
      </c>
      <c r="D11817">
        <v>79.36</v>
      </c>
      <c r="E11817">
        <v>79.349999999999994</v>
      </c>
      <c r="F11817">
        <v>0.01</v>
      </c>
    </row>
    <row r="11818" spans="1:6" x14ac:dyDescent="0.3">
      <c r="A11818" t="str">
        <f>HYPERLINK("https://us2.cloudbeds.com/connect/10074733072513#/reservations/31723281027229?display=MXBZBS3XY&amp;reservation_id=31723281027229", "MXBZBS3XY")</f>
        <v>MXBZBS3XY</v>
      </c>
      <c r="B11818" t="s">
        <v>1734</v>
      </c>
      <c r="C11818">
        <v>119</v>
      </c>
      <c r="D11818">
        <v>129.36000000000001</v>
      </c>
      <c r="E11818">
        <v>129.35</v>
      </c>
      <c r="F11818">
        <v>0.01</v>
      </c>
    </row>
    <row r="11819" spans="1:6" x14ac:dyDescent="0.3">
      <c r="A11819" t="str">
        <f>HYPERLINK("https://us2.cloudbeds.com/connect/10074733072513#/reservations/31722093785226?display=MXAR0ZBH8&amp;reservation_id=31722093785226", "MXAR0ZBH8")</f>
        <v>MXAR0ZBH8</v>
      </c>
      <c r="B11819" t="s">
        <v>1763</v>
      </c>
      <c r="C11819">
        <v>298</v>
      </c>
      <c r="D11819">
        <v>323.94</v>
      </c>
      <c r="E11819">
        <v>323.93</v>
      </c>
      <c r="F11819">
        <v>0.01</v>
      </c>
    </row>
    <row r="11820" spans="1:6" x14ac:dyDescent="0.3">
      <c r="A11820" t="str">
        <f>HYPERLINK("https://us2.cloudbeds.com/connect/10074733072513#/reservations/31723875446977?display=MXC6X2NX9&amp;reservation_id=31723875446977", "MXC6X2NX9")</f>
        <v>MXC6X2NX9</v>
      </c>
      <c r="B11820" t="s">
        <v>1767</v>
      </c>
      <c r="C11820">
        <v>119</v>
      </c>
      <c r="D11820">
        <v>129.36000000000001</v>
      </c>
      <c r="E11820">
        <v>129.35</v>
      </c>
      <c r="F11820">
        <v>0.01</v>
      </c>
    </row>
    <row r="11821" spans="1:6" x14ac:dyDescent="0.3">
      <c r="A11821" t="str">
        <f>HYPERLINK("https://us2.cloudbeds.com/connect/10074733072513#/reservations/31717575258329?display=MX7AXJMBP&amp;reservation_id=31717575258329", "MX7AXJMBP")</f>
        <v>MX7AXJMBP</v>
      </c>
      <c r="B11821" t="s">
        <v>1768</v>
      </c>
      <c r="C11821">
        <v>418</v>
      </c>
      <c r="D11821">
        <v>454.38</v>
      </c>
      <c r="E11821">
        <v>454.37</v>
      </c>
      <c r="F11821">
        <v>0.01</v>
      </c>
    </row>
    <row r="11822" spans="1:6" x14ac:dyDescent="0.3">
      <c r="A11822" t="str">
        <f>HYPERLINK("https://us2.cloudbeds.com/connect/10074733072513#/reservations/31727299096778?display=MXES0WQUV&amp;reservation_id=31727299096778", "MXES0WQUV")</f>
        <v>MXES0WQUV</v>
      </c>
      <c r="B11822" t="s">
        <v>1756</v>
      </c>
      <c r="C11822">
        <v>178</v>
      </c>
      <c r="D11822">
        <v>193.5</v>
      </c>
      <c r="E11822">
        <v>193.49</v>
      </c>
      <c r="F11822">
        <v>0.01</v>
      </c>
    </row>
    <row r="11823" spans="1:6" x14ac:dyDescent="0.3">
      <c r="A11823" t="str">
        <f>HYPERLINK("https://us2.cloudbeds.com/connect/10074733072513#/reservations/31717593555136?display=MX7AQ1618&amp;reservation_id=31717593555136", "MX7AQ1618")</f>
        <v>MX7AQ1618</v>
      </c>
      <c r="B11823" t="s">
        <v>1768</v>
      </c>
      <c r="C11823">
        <v>209</v>
      </c>
      <c r="D11823">
        <v>227.19</v>
      </c>
      <c r="E11823">
        <v>227.18</v>
      </c>
      <c r="F11823">
        <v>0.01</v>
      </c>
    </row>
    <row r="11824" spans="1:6" x14ac:dyDescent="0.3">
      <c r="A11824" t="str">
        <f>HYPERLINK("https://us2.cloudbeds.com/connect/10074733072513#/reservations/31723319410823?display=MXBPB766S&amp;reservation_id=31723319410823", "MXBPB766S")</f>
        <v>MXBPB766S</v>
      </c>
      <c r="B11824" t="s">
        <v>1648</v>
      </c>
      <c r="C11824">
        <v>159</v>
      </c>
      <c r="D11824">
        <v>172.84</v>
      </c>
      <c r="E11824">
        <v>172.83</v>
      </c>
      <c r="F11824">
        <v>0.01</v>
      </c>
    </row>
    <row r="11825" spans="1:6" x14ac:dyDescent="0.3">
      <c r="A11825" t="str">
        <f>HYPERLINK("https://us2.cloudbeds.com/connect/10074733072513#/reservations/31727214125196?display=MXEPSBBPH&amp;reservation_id=31727214125196", "MXEPSBBPH")</f>
        <v>MXEPSBBPH</v>
      </c>
      <c r="B11825" t="s">
        <v>1756</v>
      </c>
      <c r="C11825">
        <v>90</v>
      </c>
      <c r="D11825">
        <v>97.84</v>
      </c>
      <c r="E11825">
        <v>97.83</v>
      </c>
      <c r="F11825">
        <v>0.01</v>
      </c>
    </row>
    <row r="11826" spans="1:6" x14ac:dyDescent="0.3">
      <c r="A11826" t="str">
        <f>HYPERLINK("https://us2.cloudbeds.com/connect/10074733072513#/reservations/31723326537952?display=MXBPH7GSF&amp;reservation_id=31723326537952", "MXBPH7GSF")</f>
        <v>MXBPH7GSF</v>
      </c>
      <c r="B11826" t="s">
        <v>1517</v>
      </c>
      <c r="C11826">
        <v>205.16</v>
      </c>
      <c r="D11826">
        <v>223.02</v>
      </c>
      <c r="E11826">
        <v>223.01</v>
      </c>
      <c r="F11826">
        <v>0.01</v>
      </c>
    </row>
    <row r="11827" spans="1:6" x14ac:dyDescent="0.3">
      <c r="A11827" t="str">
        <f>HYPERLINK("https://us2.cloudbeds.com/connect/10074733072513#/reservations/31723382087900?display=MXBQV28U7&amp;reservation_id=31723382087900", "MXBQV28U7")</f>
        <v>MXBQV28U7</v>
      </c>
      <c r="B11827" t="s">
        <v>1648</v>
      </c>
      <c r="C11827">
        <v>129</v>
      </c>
      <c r="D11827">
        <v>140.22999999999999</v>
      </c>
      <c r="E11827">
        <v>140.22</v>
      </c>
      <c r="F11827">
        <v>0.01</v>
      </c>
    </row>
    <row r="11828" spans="1:6" x14ac:dyDescent="0.3">
      <c r="A11828" t="str">
        <f>HYPERLINK("https://us2.cloudbeds.com/connect/10074733072513#/reservations/31726176583900?display=MXDWBF7V4&amp;reservation_id=31726176583900", "MXDWBF7V4")</f>
        <v>MXDWBF7V4</v>
      </c>
      <c r="B11828" t="s">
        <v>1756</v>
      </c>
      <c r="C11828">
        <v>159</v>
      </c>
      <c r="D11828">
        <v>172.84</v>
      </c>
      <c r="E11828">
        <v>172.83</v>
      </c>
      <c r="F11828">
        <v>0.01</v>
      </c>
    </row>
    <row r="11829" spans="1:6" x14ac:dyDescent="0.3">
      <c r="A11829" t="str">
        <f>HYPERLINK("https://us2.cloudbeds.com/connect/10074733072513#/reservations/31726195871946?display=MXDWRNVYE&amp;reservation_id=31726195871946", "MXDWRNVYE")</f>
        <v>MXDWRNVYE</v>
      </c>
      <c r="B11829" t="s">
        <v>1756</v>
      </c>
      <c r="C11829">
        <v>130.38</v>
      </c>
      <c r="D11829">
        <v>141.72999999999999</v>
      </c>
      <c r="E11829">
        <v>141.72</v>
      </c>
      <c r="F11829">
        <v>0.01</v>
      </c>
    </row>
    <row r="11830" spans="1:6" x14ac:dyDescent="0.3">
      <c r="A11830" t="str">
        <f>HYPERLINK("https://us2.cloudbeds.com/connect/10074733072513#/reservations/31724983296141?display=MXD1S8882&amp;reservation_id=31724983296141", "MXD1S8882")</f>
        <v>MXD1S8882</v>
      </c>
      <c r="B11830" t="s">
        <v>1759</v>
      </c>
      <c r="C11830">
        <v>169</v>
      </c>
      <c r="D11830">
        <v>183.71</v>
      </c>
      <c r="E11830">
        <v>183.7</v>
      </c>
      <c r="F11830">
        <v>0.01</v>
      </c>
    </row>
    <row r="11831" spans="1:6" x14ac:dyDescent="0.3">
      <c r="A11831" t="str">
        <f>HYPERLINK("https://us2.cloudbeds.com/connect/10074733072513#/reservations/31719876444385?display=MX93C0XSX&amp;reservation_id=31719876444385", "MX93C0XSX")</f>
        <v>MX93C0XSX</v>
      </c>
      <c r="B11831" t="s">
        <v>1771</v>
      </c>
      <c r="C11831">
        <v>169</v>
      </c>
      <c r="D11831">
        <v>183.71</v>
      </c>
      <c r="E11831">
        <v>183.7</v>
      </c>
      <c r="F11831">
        <v>0.01</v>
      </c>
    </row>
    <row r="11832" spans="1:6" x14ac:dyDescent="0.3">
      <c r="A11832" t="str">
        <f>HYPERLINK("https://us2.cloudbeds.com/connect/10074733072513#/reservations/31720899813611?display=MX9TGVAS7&amp;reservation_id=31720899813611", "MX9TGVAS7")</f>
        <v>MX9TGVAS7</v>
      </c>
      <c r="B11832" t="s">
        <v>1772</v>
      </c>
      <c r="C11832">
        <v>179</v>
      </c>
      <c r="D11832">
        <v>194.58</v>
      </c>
      <c r="E11832">
        <v>194.57</v>
      </c>
      <c r="F11832">
        <v>0.01</v>
      </c>
    </row>
    <row r="11833" spans="1:6" x14ac:dyDescent="0.3">
      <c r="A11833" t="str">
        <f>HYPERLINK("https://us2.cloudbeds.com/connect/10074733072513#/reservations/31720412549291?display=MX9H22FSP&amp;reservation_id=31720412549291", "MX9H22FSP")</f>
        <v>MX9H22FSP</v>
      </c>
      <c r="B11833" t="s">
        <v>1773</v>
      </c>
      <c r="C11833">
        <v>219.92</v>
      </c>
      <c r="D11833">
        <v>239.06</v>
      </c>
      <c r="E11833">
        <v>239.05</v>
      </c>
      <c r="F11833">
        <v>0.01</v>
      </c>
    </row>
    <row r="11834" spans="1:6" x14ac:dyDescent="0.3">
      <c r="A11834" t="str">
        <f>HYPERLINK("https://us2.cloudbeds.com/connect/10074733072513#/reservations/31726764241109?display=MXEEBWM2D&amp;reservation_id=31726764241109", "MXEEBWM2D")</f>
        <v>MXEEBWM2D</v>
      </c>
      <c r="B11834" t="s">
        <v>1774</v>
      </c>
      <c r="C11834">
        <v>119</v>
      </c>
      <c r="D11834">
        <v>129.36000000000001</v>
      </c>
      <c r="E11834">
        <v>129.35</v>
      </c>
      <c r="F11834">
        <v>0.01</v>
      </c>
    </row>
    <row r="11835" spans="1:6" x14ac:dyDescent="0.3">
      <c r="A11835" t="str">
        <f>HYPERLINK("https://us2.cloudbeds.com/connect/10074733072513#/reservations/31719822573811?display=MX91WJHUU&amp;reservation_id=31719822573811", "MX91WJHUU")</f>
        <v>MX91WJHUU</v>
      </c>
      <c r="B11835" t="s">
        <v>1775</v>
      </c>
      <c r="C11835">
        <v>238</v>
      </c>
      <c r="D11835">
        <v>258.72000000000003</v>
      </c>
      <c r="E11835">
        <v>258.70999999999998</v>
      </c>
      <c r="F11835">
        <v>0.01</v>
      </c>
    </row>
    <row r="11836" spans="1:6" x14ac:dyDescent="0.3">
      <c r="A11836" t="str">
        <f>HYPERLINK("https://us2.cloudbeds.com/connect/10074733072513#/reservations/31724502065344?display=MXCM9ZGGZ&amp;reservation_id=31724502065344", "MXCM9ZGGZ")</f>
        <v>MXCM9ZGGZ</v>
      </c>
      <c r="B11836" t="s">
        <v>1755</v>
      </c>
      <c r="C11836">
        <v>87.82</v>
      </c>
      <c r="D11836">
        <v>95.47</v>
      </c>
      <c r="E11836">
        <v>95.46</v>
      </c>
      <c r="F11836">
        <v>0.01</v>
      </c>
    </row>
    <row r="11837" spans="1:6" x14ac:dyDescent="0.3">
      <c r="A11837" t="str">
        <f>HYPERLINK("https://us2.cloudbeds.com/connect/10074733072513#/reservations/31724544344197?display=MXCNY3P80&amp;reservation_id=31724544344197", "MXCNY3P80")</f>
        <v>MXCNY3P80</v>
      </c>
      <c r="B11837" t="s">
        <v>1755</v>
      </c>
      <c r="C11837">
        <v>139</v>
      </c>
      <c r="D11837">
        <v>151.1</v>
      </c>
      <c r="E11837">
        <v>151.09</v>
      </c>
      <c r="F11837">
        <v>0.01</v>
      </c>
    </row>
    <row r="11838" spans="1:6" x14ac:dyDescent="0.3">
      <c r="A11838" t="str">
        <f>HYPERLINK("https://us2.cloudbeds.com/connect/10074733072513#/reservations/31725334888675?display=MXDARNRD9&amp;reservation_id=31725334888675", "MXDARNRD9")</f>
        <v>MXDARNRD9</v>
      </c>
      <c r="B11838" t="s">
        <v>1777</v>
      </c>
      <c r="C11838">
        <v>336</v>
      </c>
      <c r="D11838">
        <v>365.24</v>
      </c>
      <c r="E11838">
        <v>365.23</v>
      </c>
      <c r="F11838">
        <v>0.01</v>
      </c>
    </row>
    <row r="11839" spans="1:6" x14ac:dyDescent="0.3">
      <c r="A11839" t="str">
        <f>HYPERLINK("https://us2.cloudbeds.com/connect/10074733072513#/reservations/31725766226113?display=MXDYSEE6Z&amp;reservation_id=31725766226113", "MXDYSEE6Z")</f>
        <v>MXDYSEE6Z</v>
      </c>
      <c r="B11839" t="s">
        <v>1771</v>
      </c>
      <c r="C11839">
        <v>89</v>
      </c>
      <c r="D11839">
        <v>96.75</v>
      </c>
      <c r="E11839">
        <v>96.74</v>
      </c>
      <c r="F11839">
        <v>0.01</v>
      </c>
    </row>
    <row r="11840" spans="1:6" x14ac:dyDescent="0.3">
      <c r="A11840" t="str">
        <f>HYPERLINK("https://us2.cloudbeds.com/connect/10074733072513#/reservations/31725961167016?display=MXDQRQV9R&amp;reservation_id=31725961167016", "MXDQRQV9R")</f>
        <v>MXDQRQV9R</v>
      </c>
      <c r="B11840" t="s">
        <v>1777</v>
      </c>
      <c r="C11840">
        <v>336</v>
      </c>
      <c r="D11840">
        <v>365.24</v>
      </c>
      <c r="E11840">
        <v>365.23</v>
      </c>
      <c r="F11840">
        <v>0.01</v>
      </c>
    </row>
    <row r="11841" spans="1:6" x14ac:dyDescent="0.3">
      <c r="A11841" t="str">
        <f>HYPERLINK("https://us2.cloudbeds.com/connect/10074733072513#/reservations/31726749872259?display=MXEDWSRHN&amp;reservation_id=31726749872259", "MXEDWSRHN")</f>
        <v>MXEDWSRHN</v>
      </c>
      <c r="B11841" t="s">
        <v>1774</v>
      </c>
      <c r="C11841">
        <v>109</v>
      </c>
      <c r="D11841">
        <v>118.49</v>
      </c>
      <c r="E11841">
        <v>118.48</v>
      </c>
      <c r="F11841">
        <v>0.01</v>
      </c>
    </row>
    <row r="11842" spans="1:6" x14ac:dyDescent="0.3">
      <c r="A11842" t="str">
        <f>HYPERLINK("https://us2.cloudbeds.com/connect/10074733072513#/reservations/31721954631869?display=MXANFD6YS&amp;reservation_id=31721954631869", "MXANFD6YS")</f>
        <v>MXANFD6YS</v>
      </c>
      <c r="B11842" t="s">
        <v>1778</v>
      </c>
      <c r="C11842">
        <v>134.1</v>
      </c>
      <c r="D11842">
        <v>145.78</v>
      </c>
      <c r="E11842">
        <v>145.77000000000001</v>
      </c>
      <c r="F11842">
        <v>0.01</v>
      </c>
    </row>
    <row r="11843" spans="1:6" x14ac:dyDescent="0.3">
      <c r="A11843" t="str">
        <f>HYPERLINK("https://us2.cloudbeds.com/connect/10074733072513#/reservations/31724426109139?display=MXCKKDN3F&amp;reservation_id=31724426109139", "MXCKKDN3F")</f>
        <v>MXCKKDN3F</v>
      </c>
      <c r="B11843" t="s">
        <v>1774</v>
      </c>
      <c r="C11843">
        <v>87.82</v>
      </c>
      <c r="D11843">
        <v>95.47</v>
      </c>
      <c r="E11843">
        <v>95.46</v>
      </c>
      <c r="F11843">
        <v>0.01</v>
      </c>
    </row>
    <row r="11844" spans="1:6" x14ac:dyDescent="0.3">
      <c r="A11844" t="str">
        <f>HYPERLINK("https://us2.cloudbeds.com/connect/10074733072513#/reservations/31720562204815?display=MX9KT8SJY&amp;reservation_id=31720562204815", "MX9KT8SJY")</f>
        <v>MX9KT8SJY</v>
      </c>
      <c r="B11844" t="s">
        <v>1742</v>
      </c>
      <c r="C11844">
        <v>134.1</v>
      </c>
      <c r="D11844">
        <v>145.78</v>
      </c>
      <c r="E11844">
        <v>145.77000000000001</v>
      </c>
      <c r="F11844">
        <v>0.01</v>
      </c>
    </row>
    <row r="11845" spans="1:6" x14ac:dyDescent="0.3">
      <c r="A11845" t="str">
        <f>HYPERLINK("https://us2.cloudbeds.com/connect/10074733072513#/reservations/31726787670210?display=MXEEVZKD5&amp;reservation_id=31726787670210", "MXEEVZKD5")</f>
        <v>MXEEVZKD5</v>
      </c>
      <c r="B11845" t="s">
        <v>1774</v>
      </c>
      <c r="C11845">
        <v>109</v>
      </c>
      <c r="D11845">
        <v>118.49</v>
      </c>
      <c r="E11845">
        <v>118.48</v>
      </c>
      <c r="F11845">
        <v>0.01</v>
      </c>
    </row>
    <row r="11846" spans="1:6" x14ac:dyDescent="0.3">
      <c r="A11846" t="str">
        <f>HYPERLINK("https://us2.cloudbeds.com/connect/10074733072513#/reservations/31719539122318?display=MX8RZJ2TZ&amp;reservation_id=31719539122318", "MX8RZJ2TZ")</f>
        <v>MX8RZJ2TZ</v>
      </c>
      <c r="B11846" t="s">
        <v>1779</v>
      </c>
      <c r="C11846">
        <v>119</v>
      </c>
      <c r="D11846">
        <v>129.36000000000001</v>
      </c>
      <c r="E11846">
        <v>129.35</v>
      </c>
      <c r="F11846">
        <v>0.01</v>
      </c>
    </row>
    <row r="11847" spans="1:6" x14ac:dyDescent="0.3">
      <c r="A11847" t="str">
        <f>HYPERLINK("https://us2.cloudbeds.com/connect/10074733072513#/reservations/31726736699627?display=MXEDYP9F1&amp;reservation_id=31726736699627", "MXEDYP9F1")</f>
        <v>MXEDYP9F1</v>
      </c>
      <c r="B11847" t="s">
        <v>1766</v>
      </c>
      <c r="C11847">
        <v>73</v>
      </c>
      <c r="D11847">
        <v>79.36</v>
      </c>
      <c r="E11847">
        <v>79.349999999999994</v>
      </c>
      <c r="F11847">
        <v>0.01</v>
      </c>
    </row>
    <row r="11848" spans="1:6" x14ac:dyDescent="0.3">
      <c r="A11848" t="str">
        <f>HYPERLINK("https://us2.cloudbeds.com/connect/10074733072513#/reservations/31726585790689?display=MXE9QH0ZU&amp;reservation_id=31726585790689", "MXE9QH0ZU")</f>
        <v>MXE9QH0ZU</v>
      </c>
      <c r="B11848" t="s">
        <v>1766</v>
      </c>
      <c r="C11848">
        <v>109</v>
      </c>
      <c r="D11848">
        <v>118.49</v>
      </c>
      <c r="E11848">
        <v>118.48</v>
      </c>
      <c r="F11848">
        <v>0.01</v>
      </c>
    </row>
    <row r="11849" spans="1:6" x14ac:dyDescent="0.3">
      <c r="A11849" t="str">
        <f>HYPERLINK("https://us2.cloudbeds.com/connect/10074733072513#/reservations/31723638456522?display=MXC0G83FB&amp;reservation_id=31723638456522", "MXC0G83FB")</f>
        <v>MXC0G83FB</v>
      </c>
      <c r="B11849" t="s">
        <v>1765</v>
      </c>
      <c r="C11849">
        <v>139</v>
      </c>
      <c r="D11849">
        <v>151.1</v>
      </c>
      <c r="E11849">
        <v>151.09</v>
      </c>
      <c r="F11849">
        <v>0.01</v>
      </c>
    </row>
    <row r="11850" spans="1:6" x14ac:dyDescent="0.3">
      <c r="A11850" t="str">
        <f>HYPERLINK("https://us2.cloudbeds.com/connect/10074733072513#/reservations/31726618943655?display=MXEAYFX88&amp;reservation_id=31726618943655", "MXEAYFX88")</f>
        <v>MXEAYFX88</v>
      </c>
      <c r="B11850" t="s">
        <v>1766</v>
      </c>
      <c r="C11850">
        <v>109</v>
      </c>
      <c r="D11850">
        <v>118.49</v>
      </c>
      <c r="E11850">
        <v>118.48</v>
      </c>
      <c r="F11850">
        <v>0.01</v>
      </c>
    </row>
    <row r="11851" spans="1:6" x14ac:dyDescent="0.3">
      <c r="A11851" t="str">
        <f>HYPERLINK("https://us2.cloudbeds.com/connect/10074733072513#/reservations/31725016174767?display=MXD2MW4R2&amp;reservation_id=31725016174767", "MXD2MW4R2")</f>
        <v>MXD2MW4R2</v>
      </c>
      <c r="B11851" t="s">
        <v>1759</v>
      </c>
      <c r="C11851">
        <v>149</v>
      </c>
      <c r="D11851">
        <v>161.97</v>
      </c>
      <c r="E11851">
        <v>161.96</v>
      </c>
      <c r="F11851">
        <v>0.01</v>
      </c>
    </row>
    <row r="11852" spans="1:6" x14ac:dyDescent="0.3">
      <c r="A11852" t="str">
        <f>HYPERLINK("https://us2.cloudbeds.com/connect/10074733072513#/reservations/31722833305765?display=MXBCUAJZX&amp;reservation_id=31722833305765", "MXBCUAJZX")</f>
        <v>MXBCUAJZX</v>
      </c>
      <c r="B11852" t="s">
        <v>1780</v>
      </c>
      <c r="C11852">
        <v>89</v>
      </c>
      <c r="D11852">
        <v>96.75</v>
      </c>
      <c r="E11852">
        <v>96.74</v>
      </c>
      <c r="F11852">
        <v>0.01</v>
      </c>
    </row>
    <row r="11853" spans="1:6" x14ac:dyDescent="0.3">
      <c r="A11853" t="str">
        <f>HYPERLINK("https://us2.cloudbeds.com/connect/10074733072513#/reservations/31726565789903?display=MXE99YFXG&amp;reservation_id=31726565789903", "MXE99YFXG")</f>
        <v>MXE99YFXG</v>
      </c>
      <c r="B11853" t="s">
        <v>1766</v>
      </c>
      <c r="C11853">
        <v>109</v>
      </c>
      <c r="D11853">
        <v>118.49</v>
      </c>
      <c r="E11853">
        <v>118.48</v>
      </c>
      <c r="F11853">
        <v>0.01</v>
      </c>
    </row>
    <row r="11854" spans="1:6" x14ac:dyDescent="0.3">
      <c r="A11854" t="str">
        <f>HYPERLINK("https://us2.cloudbeds.com/connect/10074733072513#/reservations/31723883962517?display=MXC6P8M4V&amp;reservation_id=31723883962517", "MXC6P8M4V")</f>
        <v>MXC6P8M4V</v>
      </c>
      <c r="B11854" t="s">
        <v>1767</v>
      </c>
      <c r="C11854">
        <v>119</v>
      </c>
      <c r="D11854">
        <v>129.36000000000001</v>
      </c>
      <c r="E11854">
        <v>129.35</v>
      </c>
      <c r="F11854">
        <v>0.01</v>
      </c>
    </row>
    <row r="11855" spans="1:6" x14ac:dyDescent="0.3">
      <c r="A11855" t="str">
        <f>HYPERLINK("https://us2.cloudbeds.com/connect/10074733072513#/reservations/31725059490011?display=MXD3QGF27&amp;reservation_id=31725059490011", "MXD3QGF27")</f>
        <v>MXD3QGF27</v>
      </c>
      <c r="B11855" t="s">
        <v>1765</v>
      </c>
      <c r="C11855">
        <v>119</v>
      </c>
      <c r="D11855">
        <v>129.36000000000001</v>
      </c>
      <c r="E11855">
        <v>129.35</v>
      </c>
      <c r="F11855">
        <v>0.01</v>
      </c>
    </row>
    <row r="11856" spans="1:6" x14ac:dyDescent="0.3">
      <c r="A11856" t="str">
        <f>HYPERLINK("https://us2.cloudbeds.com/connect/10074733072513#/reservations/31723616661711?display=MXBWUSKSH&amp;reservation_id=31723616661711", "MXBWUSKSH")</f>
        <v>MXBWUSKSH</v>
      </c>
      <c r="B11856" t="s">
        <v>1765</v>
      </c>
      <c r="C11856">
        <v>139</v>
      </c>
      <c r="D11856">
        <v>151.1</v>
      </c>
      <c r="E11856">
        <v>151.09</v>
      </c>
      <c r="F11856">
        <v>0.01</v>
      </c>
    </row>
    <row r="11857" spans="1:6" x14ac:dyDescent="0.3">
      <c r="A11857" t="str">
        <f>HYPERLINK("https://us2.cloudbeds.com/connect/10074733072513#/reservations/31725223719059?display=MXD7WWC91&amp;reservation_id=31725223719059", "MXD7WWC91")</f>
        <v>MXD7WWC91</v>
      </c>
      <c r="B11857" t="s">
        <v>1765</v>
      </c>
      <c r="C11857">
        <v>352.58</v>
      </c>
      <c r="D11857">
        <v>383.26</v>
      </c>
      <c r="E11857">
        <v>383.25</v>
      </c>
      <c r="F11857">
        <v>0.01</v>
      </c>
    </row>
    <row r="11858" spans="1:6" x14ac:dyDescent="0.3">
      <c r="A11858" t="str">
        <f>HYPERLINK("https://us2.cloudbeds.com/connect/10074733072513#/reservations/31723596628184?display=MXBWDW5JV&amp;reservation_id=31723596628184", "MXBWDW5JV")</f>
        <v>MXBWDW5JV</v>
      </c>
      <c r="B11858" t="s">
        <v>1765</v>
      </c>
      <c r="C11858">
        <v>252</v>
      </c>
      <c r="D11858">
        <v>273.93</v>
      </c>
      <c r="E11858">
        <v>273.92</v>
      </c>
      <c r="F11858">
        <v>0.01</v>
      </c>
    </row>
    <row r="11859" spans="1:6" x14ac:dyDescent="0.3">
      <c r="A11859" t="str">
        <f>HYPERLINK("https://us2.cloudbeds.com/connect/10074733072513#/reservations/31723649065118?display=MXC0P6A1V&amp;reservation_id=31723649065118", "MXC0P6A1V")</f>
        <v>MXC0P6A1V</v>
      </c>
      <c r="B11859" t="s">
        <v>1765</v>
      </c>
      <c r="C11859">
        <v>139</v>
      </c>
      <c r="D11859">
        <v>151.1</v>
      </c>
      <c r="E11859">
        <v>151.09</v>
      </c>
      <c r="F11859">
        <v>0.01</v>
      </c>
    </row>
    <row r="11860" spans="1:6" x14ac:dyDescent="0.3">
      <c r="A11860" t="str">
        <f>HYPERLINK("https://us2.cloudbeds.com/connect/10074733072513#/reservations/31719848300693?display=MX92Y9E8D&amp;reservation_id=31719848300693", "MX92Y9E8D")</f>
        <v>MX92Y9E8D</v>
      </c>
      <c r="B11860" t="s">
        <v>1775</v>
      </c>
      <c r="C11860">
        <v>178</v>
      </c>
      <c r="D11860">
        <v>193.5</v>
      </c>
      <c r="E11860">
        <v>193.49</v>
      </c>
      <c r="F11860">
        <v>0.01</v>
      </c>
    </row>
    <row r="11861" spans="1:6" x14ac:dyDescent="0.3">
      <c r="A11861" t="str">
        <f>HYPERLINK("https://us2.cloudbeds.com/connect/10074733072513#/reservations/31725083025656?display=MXD4DBC7J&amp;reservation_id=31725083025656", "MXD4DBC7J")</f>
        <v>MXD4DBC7J</v>
      </c>
      <c r="B11861" t="s">
        <v>1765</v>
      </c>
      <c r="C11861">
        <v>149</v>
      </c>
      <c r="D11861">
        <v>161.97</v>
      </c>
      <c r="E11861">
        <v>161.96</v>
      </c>
      <c r="F11861">
        <v>0.01</v>
      </c>
    </row>
    <row r="11862" spans="1:6" x14ac:dyDescent="0.3">
      <c r="A11862" t="str">
        <f>HYPERLINK("https://us2.cloudbeds.com/connect/10074733072513#/reservations/31725049163920?display=MXD3HQ3TC&amp;reservation_id=31725049163920", "MXD3HQ3TC")</f>
        <v>MXD3HQ3TC</v>
      </c>
      <c r="B11862" t="s">
        <v>1765</v>
      </c>
      <c r="C11862">
        <v>102.58</v>
      </c>
      <c r="D11862">
        <v>111.51</v>
      </c>
      <c r="E11862">
        <v>111.5</v>
      </c>
      <c r="F11862">
        <v>0.01</v>
      </c>
    </row>
    <row r="11863" spans="1:6" x14ac:dyDescent="0.3">
      <c r="A11863" t="str">
        <f>HYPERLINK("https://us2.cloudbeds.com/connect/10074733072513#/reservations/31723565322394?display=MXBVKJ1AY&amp;reservation_id=31723565322394", "MXBVKJ1AY")</f>
        <v>MXBVKJ1AY</v>
      </c>
      <c r="B11863" t="s">
        <v>1759</v>
      </c>
      <c r="C11863">
        <v>139</v>
      </c>
      <c r="D11863">
        <v>151.1</v>
      </c>
      <c r="E11863">
        <v>151.09</v>
      </c>
      <c r="F11863">
        <v>0.01</v>
      </c>
    </row>
    <row r="11864" spans="1:6" x14ac:dyDescent="0.3">
      <c r="A11864" t="str">
        <f>HYPERLINK("https://us2.cloudbeds.com/connect/10074733072513#/reservations/31723565326486?display=MXBVKJ52Y&amp;reservation_id=31723565326486", "MXBVKJ52Y")</f>
        <v>MXBVKJ52Y</v>
      </c>
      <c r="B11864" t="s">
        <v>1765</v>
      </c>
      <c r="C11864">
        <v>139</v>
      </c>
      <c r="D11864">
        <v>151.1</v>
      </c>
      <c r="E11864">
        <v>151.09</v>
      </c>
      <c r="F11864">
        <v>0.01</v>
      </c>
    </row>
    <row r="11865" spans="1:6" x14ac:dyDescent="0.3">
      <c r="A11865" t="str">
        <f>HYPERLINK("https://us2.cloudbeds.com/connect/10074733072513#/reservations/31723586265227?display=MXBW57QXV&amp;reservation_id=31723586265227", "MXBW57QXV")</f>
        <v>MXBW57QXV</v>
      </c>
      <c r="B11865" t="s">
        <v>1765</v>
      </c>
      <c r="C11865">
        <v>159</v>
      </c>
      <c r="D11865">
        <v>172.84</v>
      </c>
      <c r="E11865">
        <v>172.83</v>
      </c>
      <c r="F11865">
        <v>0.01</v>
      </c>
    </row>
    <row r="11866" spans="1:6" x14ac:dyDescent="0.3">
      <c r="A11866" t="str">
        <f>HYPERLINK("https://us2.cloudbeds.com/connect/10074733072513#/reservations/31725007196370?display=MXD2FDA6E&amp;reservation_id=31725007196370", "MXD2FDA6E")</f>
        <v>MXD2FDA6E</v>
      </c>
      <c r="B11866" t="s">
        <v>1759</v>
      </c>
      <c r="C11866">
        <v>119</v>
      </c>
      <c r="D11866">
        <v>129.36000000000001</v>
      </c>
      <c r="E11866">
        <v>129.35</v>
      </c>
      <c r="F11866">
        <v>0.01</v>
      </c>
    </row>
    <row r="11867" spans="1:6" x14ac:dyDescent="0.3">
      <c r="A11867" t="str">
        <f>HYPERLINK("https://us2.cloudbeds.com/connect/10074733072513#/reservations/31714825728180?display=MX56A3V9B&amp;reservation_id=31714825728180", "MX56A3V9B")</f>
        <v>MX56A3V9B</v>
      </c>
      <c r="B11867" t="s">
        <v>1781</v>
      </c>
      <c r="C11867">
        <v>159</v>
      </c>
      <c r="D11867">
        <v>172.84</v>
      </c>
      <c r="E11867">
        <v>172.83</v>
      </c>
      <c r="F11867">
        <v>0.01</v>
      </c>
    </row>
    <row r="11868" spans="1:6" x14ac:dyDescent="0.3">
      <c r="A11868" t="str">
        <f>HYPERLINK("https://us2.cloudbeds.com/connect/10074733072513#/reservations/31724978393337?display=MXD1Z3R48&amp;reservation_id=31724978393337", "MXD1Z3R48")</f>
        <v>MXD1Z3R48</v>
      </c>
      <c r="B11868" t="s">
        <v>1759</v>
      </c>
      <c r="C11868">
        <v>119</v>
      </c>
      <c r="D11868">
        <v>129.36000000000001</v>
      </c>
      <c r="E11868">
        <v>129.35</v>
      </c>
      <c r="F11868">
        <v>0.01</v>
      </c>
    </row>
    <row r="11869" spans="1:6" x14ac:dyDescent="0.3">
      <c r="A11869" t="str">
        <f>HYPERLINK("https://us2.cloudbeds.com/connect/10074733072513#/reservations/31723828502664?display=MXC5BGDRB&amp;reservation_id=31723828502664", "MXC5BGDRB")</f>
        <v>MXC5BGDRB</v>
      </c>
      <c r="B11869" t="s">
        <v>1767</v>
      </c>
      <c r="C11869">
        <v>258</v>
      </c>
      <c r="D11869">
        <v>280.45999999999998</v>
      </c>
      <c r="E11869">
        <v>280.45</v>
      </c>
      <c r="F11869">
        <v>0.01</v>
      </c>
    </row>
    <row r="11870" spans="1:6" x14ac:dyDescent="0.3">
      <c r="A11870" t="str">
        <f>HYPERLINK("https://us2.cloudbeds.com/connect/10074733072513#/reservations/31724918825169?display=MXD06T888&amp;reservation_id=31724918825169", "MXD06T888")</f>
        <v>MXD06T888</v>
      </c>
      <c r="B11870" t="s">
        <v>1750</v>
      </c>
      <c r="C11870">
        <v>119</v>
      </c>
      <c r="D11870">
        <v>129.36000000000001</v>
      </c>
      <c r="E11870">
        <v>129.35</v>
      </c>
      <c r="F11870">
        <v>0.01</v>
      </c>
    </row>
    <row r="11871" spans="1:6" x14ac:dyDescent="0.3">
      <c r="A11871" t="str">
        <f>HYPERLINK("https://us2.cloudbeds.com/connect/10074733072513#/reservations/31724905230556?display=MXCWSDVM9&amp;reservation_id=31724905230556", "MXCWSDVM9")</f>
        <v>MXCWSDVM9</v>
      </c>
      <c r="B11871" t="s">
        <v>1750</v>
      </c>
      <c r="C11871">
        <v>119</v>
      </c>
      <c r="D11871">
        <v>129.36000000000001</v>
      </c>
      <c r="E11871">
        <v>129.35</v>
      </c>
      <c r="F11871">
        <v>0.01</v>
      </c>
    </row>
    <row r="11872" spans="1:6" x14ac:dyDescent="0.3">
      <c r="A11872" t="str">
        <f>HYPERLINK("https://us2.cloudbeds.com/connect/10074733072513#/reservations/31724176670942?display=MXCE82NJ7&amp;reservation_id=31724176670942", "MXCE82NJ7")</f>
        <v>MXCE82NJ7</v>
      </c>
      <c r="B11872" t="s">
        <v>1782</v>
      </c>
      <c r="C11872">
        <v>336</v>
      </c>
      <c r="D11872">
        <v>365.24</v>
      </c>
      <c r="E11872">
        <v>365.23</v>
      </c>
      <c r="F11872">
        <v>0.01</v>
      </c>
    </row>
    <row r="11873" spans="1:6" x14ac:dyDescent="0.3">
      <c r="A11873" t="str">
        <f>HYPERLINK("https://us2.cloudbeds.com/connect/10074733072513#/reservations/31724360994952?display=MXCXVGQF9&amp;reservation_id=31724360994952", "MXCXVGQF9")</f>
        <v>MXCXVGQF9</v>
      </c>
      <c r="B11873" t="s">
        <v>1750</v>
      </c>
      <c r="C11873">
        <v>119</v>
      </c>
      <c r="D11873">
        <v>129.36000000000001</v>
      </c>
      <c r="E11873">
        <v>129.35</v>
      </c>
      <c r="F11873">
        <v>0.01</v>
      </c>
    </row>
    <row r="11874" spans="1:6" x14ac:dyDescent="0.3">
      <c r="A11874" t="str">
        <f>HYPERLINK("https://us2.cloudbeds.com/connect/10074733072513#/reservations/31724905226433?display=MXCWSDRTB&amp;reservation_id=31724905226433", "MXCWSDRTB")</f>
        <v>MXCWSDRTB</v>
      </c>
      <c r="B11874" t="s">
        <v>1750</v>
      </c>
      <c r="C11874">
        <v>119</v>
      </c>
      <c r="D11874">
        <v>129.36000000000001</v>
      </c>
      <c r="E11874">
        <v>129.35</v>
      </c>
      <c r="F11874">
        <v>0.01</v>
      </c>
    </row>
    <row r="11875" spans="1:6" x14ac:dyDescent="0.3">
      <c r="A11875" t="str">
        <f>HYPERLINK("https://us2.cloudbeds.com/connect/10074733072513#/reservations/31724396658868?display=MXCJSJ6MW&amp;reservation_id=31724396658868", "MXCJSJ6MW")</f>
        <v>MXCJSJ6MW</v>
      </c>
      <c r="B11875" t="s">
        <v>1750</v>
      </c>
      <c r="C11875">
        <v>119</v>
      </c>
      <c r="D11875">
        <v>129.36000000000001</v>
      </c>
      <c r="E11875">
        <v>129.35</v>
      </c>
      <c r="F11875">
        <v>0.01</v>
      </c>
    </row>
    <row r="11876" spans="1:6" x14ac:dyDescent="0.3">
      <c r="A11876" t="str">
        <f>HYPERLINK("https://us2.cloudbeds.com/connect/10074733072513#/reservations/31723979362435?display=MXC96NACX&amp;reservation_id=31723979362435", "MXC96NACX")</f>
        <v>MXC96NACX</v>
      </c>
      <c r="B11876" t="s">
        <v>1783</v>
      </c>
      <c r="C11876">
        <v>336</v>
      </c>
      <c r="D11876">
        <v>365.24</v>
      </c>
      <c r="E11876">
        <v>365.23</v>
      </c>
      <c r="F11876">
        <v>0.01</v>
      </c>
    </row>
    <row r="11877" spans="1:6" x14ac:dyDescent="0.3">
      <c r="A11877" t="str">
        <f>HYPERLINK("https://us2.cloudbeds.com/connect/10074733072513#/reservations/31719912951950?display=MX949QEQD&amp;reservation_id=31719912951950", "MX949QEQD")</f>
        <v>MX949QEQD</v>
      </c>
      <c r="B11877" t="s">
        <v>1771</v>
      </c>
      <c r="C11877">
        <v>159</v>
      </c>
      <c r="D11877">
        <v>172.84</v>
      </c>
      <c r="E11877">
        <v>172.83</v>
      </c>
      <c r="F11877">
        <v>0.01</v>
      </c>
    </row>
    <row r="11878" spans="1:6" x14ac:dyDescent="0.3">
      <c r="A11878" t="str">
        <f>HYPERLINK("https://us2.cloudbeds.com/connect/10074733072513#/reservations/31723354460297?display=MXBQ7PG74&amp;reservation_id=31723354460297", "MXBQ7PG74")</f>
        <v>MXBQ7PG74</v>
      </c>
      <c r="B11878" t="s">
        <v>1648</v>
      </c>
      <c r="C11878">
        <v>331.2</v>
      </c>
      <c r="D11878">
        <v>360.02</v>
      </c>
      <c r="E11878">
        <v>360.01</v>
      </c>
      <c r="F11878">
        <v>0.01</v>
      </c>
    </row>
    <row r="11879" spans="1:6" x14ac:dyDescent="0.3">
      <c r="A11879" t="str">
        <f>HYPERLINK("https://us2.cloudbeds.com/connect/10074733072513#/reservations/31723851665583?display=MXC5V0VNW&amp;reservation_id=31723851665583", "MXC5V0VNW")</f>
        <v>MXC5V0VNW</v>
      </c>
      <c r="B11879" t="s">
        <v>1767</v>
      </c>
      <c r="C11879">
        <v>119</v>
      </c>
      <c r="D11879">
        <v>129.36000000000001</v>
      </c>
      <c r="E11879">
        <v>129.35</v>
      </c>
      <c r="F11879">
        <v>0.01</v>
      </c>
    </row>
    <row r="11880" spans="1:6" x14ac:dyDescent="0.3">
      <c r="A11880" t="str">
        <f>HYPERLINK("https://us2.cloudbeds.com/connect/10074733072513#/reservations/31712870170753?display=MX3MB4MEC&amp;reservation_id=31712870170753", "MX3MB4MEC")</f>
        <v>MX3MB4MEC</v>
      </c>
      <c r="B11880" t="s">
        <v>1690</v>
      </c>
      <c r="C11880">
        <v>169</v>
      </c>
      <c r="D11880">
        <v>183.71</v>
      </c>
      <c r="E11880">
        <v>183.7</v>
      </c>
      <c r="F11880">
        <v>0.01</v>
      </c>
    </row>
    <row r="11881" spans="1:6" x14ac:dyDescent="0.3">
      <c r="A11881" t="str">
        <f>HYPERLINK("https://us2.cloudbeds.com/connect/10074733072513#/reservations/31724372873430?display=MXCJ8HB55&amp;reservation_id=31724372873430", "MXCJ8HB55")</f>
        <v>MXCJ8HB55</v>
      </c>
      <c r="B11881" t="s">
        <v>1750</v>
      </c>
      <c r="C11881">
        <v>119</v>
      </c>
      <c r="D11881">
        <v>129.36000000000001</v>
      </c>
      <c r="E11881">
        <v>129.35</v>
      </c>
      <c r="F11881">
        <v>0.01</v>
      </c>
    </row>
    <row r="11882" spans="1:6" x14ac:dyDescent="0.3">
      <c r="A11882" t="str">
        <f>HYPERLINK("https://us2.cloudbeds.com/connect/10074733072513#/reservations/31719812280453?display=MX91NU3QW&amp;reservation_id=31719812280453", "MX91NU3QW")</f>
        <v>MX91NU3QW</v>
      </c>
      <c r="B11882" t="s">
        <v>1775</v>
      </c>
      <c r="C11882">
        <v>178</v>
      </c>
      <c r="D11882">
        <v>193.5</v>
      </c>
      <c r="E11882">
        <v>193.49</v>
      </c>
      <c r="F11882">
        <v>0.01</v>
      </c>
    </row>
    <row r="11883" spans="1:6" x14ac:dyDescent="0.3">
      <c r="A11883" t="str">
        <f>HYPERLINK("https://us2.cloudbeds.com/connect/10074733072513#/reservations/31724319125722?display=MXCHT6Z1Z&amp;reservation_id=31724319125722", "MXCHT6Z1Z")</f>
        <v>MXCHT6Z1Z</v>
      </c>
      <c r="B11883" t="s">
        <v>1767</v>
      </c>
      <c r="C11883">
        <v>119</v>
      </c>
      <c r="D11883">
        <v>129.36000000000001</v>
      </c>
      <c r="E11883">
        <v>129.35</v>
      </c>
      <c r="F11883">
        <v>0.01</v>
      </c>
    </row>
    <row r="11884" spans="1:6" x14ac:dyDescent="0.3">
      <c r="A11884" t="str">
        <f>HYPERLINK("https://us2.cloudbeds.com/connect/10074733072513#/reservations/31723853545616?display=MXC5WK93M&amp;reservation_id=31723853545616", "MXC5WK93M")</f>
        <v>MXC5WK93M</v>
      </c>
      <c r="B11884" t="s">
        <v>1767</v>
      </c>
      <c r="C11884">
        <v>139</v>
      </c>
      <c r="D11884">
        <v>151.1</v>
      </c>
      <c r="E11884">
        <v>151.09</v>
      </c>
      <c r="F11884">
        <v>0.01</v>
      </c>
    </row>
    <row r="11885" spans="1:6" x14ac:dyDescent="0.3">
      <c r="A11885" t="str">
        <f>HYPERLINK("https://us2.cloudbeds.com/connect/10074733072513#/reservations/31720272408782?display=MX9DFTSHM&amp;reservation_id=31720272408782", "MX9DFTSHM")</f>
        <v>MX9DFTSHM</v>
      </c>
      <c r="B11885" t="s">
        <v>1724</v>
      </c>
      <c r="C11885">
        <v>119</v>
      </c>
      <c r="D11885">
        <v>129.36000000000001</v>
      </c>
      <c r="E11885">
        <v>129.35</v>
      </c>
      <c r="F11885">
        <v>0.01</v>
      </c>
    </row>
    <row r="11886" spans="1:6" x14ac:dyDescent="0.3">
      <c r="A11886" t="str">
        <f>HYPERLINK("https://us2.cloudbeds.com/connect/10074733072513#/reservations/31723676524708?display=MXC1FBDFZ&amp;reservation_id=31723676524708", "MXC1FBDFZ")</f>
        <v>MXC1FBDFZ</v>
      </c>
      <c r="B11886" t="s">
        <v>1784</v>
      </c>
      <c r="C11886">
        <v>238</v>
      </c>
      <c r="D11886">
        <v>258.72000000000003</v>
      </c>
      <c r="E11886">
        <v>258.70999999999998</v>
      </c>
      <c r="F11886">
        <v>0.01</v>
      </c>
    </row>
    <row r="11887" spans="1:6" x14ac:dyDescent="0.3">
      <c r="A11887" t="str">
        <f>HYPERLINK("https://us2.cloudbeds.com/connect/10074733072513#/reservations/31721468260542?display=MXAB196MQ&amp;reservation_id=31721468260542", "MXAB196MQ")</f>
        <v>MXAB196MQ</v>
      </c>
      <c r="B11887" t="s">
        <v>1785</v>
      </c>
      <c r="C11887">
        <v>238</v>
      </c>
      <c r="D11887">
        <v>258.72000000000003</v>
      </c>
      <c r="E11887">
        <v>258.70999999999998</v>
      </c>
      <c r="F11887">
        <v>0.01</v>
      </c>
    </row>
    <row r="11888" spans="1:6" x14ac:dyDescent="0.3">
      <c r="A11888" t="str">
        <f>HYPERLINK("https://us2.cloudbeds.com/connect/10074733072513#/reservations/31725192900783?display=MXD76WQYT&amp;reservation_id=31725192900783", "MXD76WQYT")</f>
        <v>MXD76WQYT</v>
      </c>
      <c r="B11888" t="s">
        <v>1427</v>
      </c>
      <c r="C11888">
        <v>159</v>
      </c>
      <c r="D11888">
        <v>172.84</v>
      </c>
      <c r="E11888">
        <v>172.83</v>
      </c>
      <c r="F11888">
        <v>0.01</v>
      </c>
    </row>
    <row r="11889" spans="1:6" x14ac:dyDescent="0.3">
      <c r="A11889" t="str">
        <f>HYPERLINK("https://us2.cloudbeds.com/connect/10074733072513#/reservations/31723998011583?display=MXC9ME8D8&amp;reservation_id=31723998011583", "MXC9ME8D8")</f>
        <v>MXC9ME8D8</v>
      </c>
      <c r="B11889" t="s">
        <v>1724</v>
      </c>
      <c r="C11889">
        <v>119</v>
      </c>
      <c r="D11889">
        <v>129.36000000000001</v>
      </c>
      <c r="E11889">
        <v>129.35</v>
      </c>
      <c r="F11889">
        <v>0.01</v>
      </c>
    </row>
    <row r="11890" spans="1:6" x14ac:dyDescent="0.3">
      <c r="A11890" t="str">
        <f>HYPERLINK("https://us2.cloudbeds.com/connect/10074733072513#/reservations/31724007792786?display=MXC9UME7B&amp;reservation_id=31724007792786", "MXC9UME7B")</f>
        <v>MXC9UME7B</v>
      </c>
      <c r="B11890" t="s">
        <v>1724</v>
      </c>
      <c r="C11890">
        <v>119</v>
      </c>
      <c r="D11890">
        <v>129.36000000000001</v>
      </c>
      <c r="E11890">
        <v>129.35</v>
      </c>
      <c r="F11890">
        <v>0.01</v>
      </c>
    </row>
    <row r="11891" spans="1:6" x14ac:dyDescent="0.3">
      <c r="A11891" t="str">
        <f>HYPERLINK("https://us2.cloudbeds.com/connect/10074733072513#/reservations/31725182718161?display=MXD6VDF7J&amp;reservation_id=31725182718161", "MXD6VDF7J")</f>
        <v>MXD6VDF7J</v>
      </c>
      <c r="B11891" t="s">
        <v>1427</v>
      </c>
      <c r="C11891">
        <v>159</v>
      </c>
      <c r="D11891">
        <v>172.84</v>
      </c>
      <c r="E11891">
        <v>172.83</v>
      </c>
      <c r="F11891">
        <v>0.01</v>
      </c>
    </row>
    <row r="11892" spans="1:6" x14ac:dyDescent="0.3">
      <c r="A11892" t="str">
        <f>HYPERLINK("https://us2.cloudbeds.com/connect/10074733072513#/reservations/31720296652948?display=MX9E3BGAC&amp;reservation_id=31720296652948", "MX9E3BGAC")</f>
        <v>MX9E3BGAC</v>
      </c>
      <c r="B11892" t="s">
        <v>1724</v>
      </c>
      <c r="C11892">
        <v>87.82</v>
      </c>
      <c r="D11892">
        <v>95.47</v>
      </c>
      <c r="E11892">
        <v>95.46</v>
      </c>
      <c r="F11892">
        <v>0.01</v>
      </c>
    </row>
    <row r="11893" spans="1:6" x14ac:dyDescent="0.3">
      <c r="A11893" t="str">
        <f>HYPERLINK("https://us2.cloudbeds.com/connect/10074733072513#/reservations/31719783821542?display=MX90WU6ZZ&amp;reservation_id=31719783821542", "MX90WU6ZZ")</f>
        <v>MX90WU6ZZ</v>
      </c>
      <c r="B11893" t="s">
        <v>1775</v>
      </c>
      <c r="C11893">
        <v>129</v>
      </c>
      <c r="D11893">
        <v>140.22999999999999</v>
      </c>
      <c r="E11893">
        <v>140.22</v>
      </c>
      <c r="F11893">
        <v>0.01</v>
      </c>
    </row>
    <row r="11894" spans="1:6" x14ac:dyDescent="0.3">
      <c r="A11894" t="str">
        <f>HYPERLINK("https://us2.cloudbeds.com/connect/10074733072513#/reservations/31723933155535?display=MXC80ZHQF&amp;reservation_id=31723933155535", "MXC80ZHQF")</f>
        <v>MXC80ZHQF</v>
      </c>
      <c r="B11894" t="s">
        <v>1783</v>
      </c>
      <c r="C11894">
        <v>238</v>
      </c>
      <c r="D11894">
        <v>258.72000000000003</v>
      </c>
      <c r="E11894">
        <v>258.70999999999998</v>
      </c>
      <c r="F11894">
        <v>0.01</v>
      </c>
    </row>
    <row r="11895" spans="1:6" x14ac:dyDescent="0.3">
      <c r="A11895" t="str">
        <f>HYPERLINK("https://us2.cloudbeds.com/connect/10074733072513#/reservations/31723726434529?display=MXC2ZE7BX&amp;reservation_id=31723726434529", "MXC2ZE7BX")</f>
        <v>MXC2ZE7BX</v>
      </c>
      <c r="B11895" t="s">
        <v>1780</v>
      </c>
      <c r="C11895">
        <v>89</v>
      </c>
      <c r="D11895">
        <v>96.75</v>
      </c>
      <c r="E11895">
        <v>96.74</v>
      </c>
      <c r="F11895">
        <v>0.01</v>
      </c>
    </row>
    <row r="11896" spans="1:6" x14ac:dyDescent="0.3">
      <c r="A11896" t="str">
        <f>HYPERLINK("https://us2.cloudbeds.com/connect/10074733072513#/reservations/31723901194368?display=MXC76Q202&amp;reservation_id=31723901194368", "MXC76Q202")</f>
        <v>MXC76Q202</v>
      </c>
      <c r="B11896" t="s">
        <v>1783</v>
      </c>
      <c r="C11896">
        <v>87.82</v>
      </c>
      <c r="D11896">
        <v>95.47</v>
      </c>
      <c r="E11896">
        <v>95.46</v>
      </c>
      <c r="F11896">
        <v>0.01</v>
      </c>
    </row>
    <row r="11897" spans="1:6" x14ac:dyDescent="0.3">
      <c r="A11897" t="str">
        <f>HYPERLINK("https://us2.cloudbeds.com/connect/10074733072513#/reservations/31725815640210?display=MXDN43ESK&amp;reservation_id=31725815640210", "MXDN43ESK")</f>
        <v>MXDN43ESK</v>
      </c>
      <c r="B11897" t="s">
        <v>1783</v>
      </c>
      <c r="C11897">
        <v>119</v>
      </c>
      <c r="D11897">
        <v>129.36000000000001</v>
      </c>
      <c r="E11897">
        <v>129.35</v>
      </c>
      <c r="F11897">
        <v>0.01</v>
      </c>
    </row>
    <row r="11898" spans="1:6" x14ac:dyDescent="0.3">
      <c r="A11898" t="str">
        <f>HYPERLINK("https://us2.cloudbeds.com/connect/10074733072513#/reservations/31720285122722?display=MX9DQKYDJ&amp;reservation_id=31720285122722", "MX9DQKYDJ")</f>
        <v>MX9DQKYDJ</v>
      </c>
      <c r="B11898" t="s">
        <v>1724</v>
      </c>
      <c r="C11898">
        <v>87.82</v>
      </c>
      <c r="D11898">
        <v>95.47</v>
      </c>
      <c r="E11898">
        <v>95.46</v>
      </c>
      <c r="F11898">
        <v>0.01</v>
      </c>
    </row>
    <row r="11899" spans="1:6" x14ac:dyDescent="0.3">
      <c r="A11899" t="str">
        <f>HYPERLINK("https://us2.cloudbeds.com/connect/10074733072513#/reservations/31725115433183?display=MXD57M56S&amp;reservation_id=31725115433183", "MXD57M56S")</f>
        <v>MXD57M56S</v>
      </c>
      <c r="B11899" t="s">
        <v>1754</v>
      </c>
      <c r="C11899">
        <v>84.5</v>
      </c>
      <c r="D11899">
        <v>91.86</v>
      </c>
      <c r="E11899">
        <v>91.85</v>
      </c>
      <c r="F11899">
        <v>0.01</v>
      </c>
    </row>
    <row r="11900" spans="1:6" x14ac:dyDescent="0.3">
      <c r="A11900" t="str">
        <f>HYPERLINK("https://us2.cloudbeds.com/connect/10074733072513#/reservations/31723985690859?display=MXC9C1DJW&amp;reservation_id=31723985690859", "MXC9C1DJW")</f>
        <v>MXC9C1DJW</v>
      </c>
      <c r="B11900" t="s">
        <v>1783</v>
      </c>
      <c r="C11900">
        <v>87.82</v>
      </c>
      <c r="D11900">
        <v>95.47</v>
      </c>
      <c r="E11900">
        <v>95.46</v>
      </c>
      <c r="F11900">
        <v>0.01</v>
      </c>
    </row>
    <row r="11901" spans="1:6" x14ac:dyDescent="0.3">
      <c r="A11901" t="str">
        <f>HYPERLINK("https://us2.cloudbeds.com/connect/10074733072513#/reservations/31714256654510?display=MX4ZP8KUM&amp;reservation_id=31714256654510", "MX4ZP8KUM")</f>
        <v>MX4ZP8KUM</v>
      </c>
      <c r="B11901" t="s">
        <v>1690</v>
      </c>
      <c r="C11901">
        <v>348</v>
      </c>
      <c r="D11901">
        <v>378.29</v>
      </c>
      <c r="E11901">
        <v>378.28</v>
      </c>
      <c r="F11901">
        <v>0.01</v>
      </c>
    </row>
    <row r="11902" spans="1:6" x14ac:dyDescent="0.3">
      <c r="A11902" t="str">
        <f>HYPERLINK("https://us2.cloudbeds.com/connect/10074733072513#/reservations/31718592176333?display=MX83X2UBS&amp;reservation_id=31718592176333", "MX83X2UBS")</f>
        <v>MX83X2UBS</v>
      </c>
      <c r="B11902" t="s">
        <v>1760</v>
      </c>
      <c r="C11902">
        <v>179</v>
      </c>
      <c r="D11902">
        <v>194.58</v>
      </c>
      <c r="E11902">
        <v>194.57</v>
      </c>
      <c r="F11902">
        <v>0.01</v>
      </c>
    </row>
    <row r="11903" spans="1:6" x14ac:dyDescent="0.3">
      <c r="A11903" t="str">
        <f>HYPERLINK("https://us2.cloudbeds.com/connect/10074733072513#/reservations/31719894048922?display=MX93QSEYC&amp;reservation_id=31719894048922", "MX93QSEYC")</f>
        <v>MX93QSEYC</v>
      </c>
      <c r="B11903" t="s">
        <v>1771</v>
      </c>
      <c r="C11903">
        <v>159</v>
      </c>
      <c r="D11903">
        <v>172.84</v>
      </c>
      <c r="E11903">
        <v>172.83</v>
      </c>
      <c r="F11903">
        <v>0.01</v>
      </c>
    </row>
    <row r="11904" spans="1:6" x14ac:dyDescent="0.3">
      <c r="A11904" t="str">
        <f>HYPERLINK("https://us2.cloudbeds.com/connect/10074733072513#/reservations/31723517145310?display=MXBUCVEJ0&amp;reservation_id=31723517145310", "MXBUCVEJ0")</f>
        <v>MXBUCVEJ0</v>
      </c>
      <c r="B11904" t="s">
        <v>1754</v>
      </c>
      <c r="C11904">
        <v>159</v>
      </c>
      <c r="D11904">
        <v>172.84</v>
      </c>
      <c r="E11904">
        <v>172.83</v>
      </c>
      <c r="F11904">
        <v>0.01</v>
      </c>
    </row>
    <row r="11905" spans="1:6" x14ac:dyDescent="0.3">
      <c r="A11905" t="str">
        <f>HYPERLINK("https://us2.cloudbeds.com/connect/10074733072513#/reservations/31718759760071?display=MX87RD62V&amp;reservation_id=31718759760071", "MX87RD62V")</f>
        <v>MX87RD62V</v>
      </c>
      <c r="B11905" t="s">
        <v>1787</v>
      </c>
      <c r="C11905">
        <v>162.68</v>
      </c>
      <c r="D11905">
        <v>176.84</v>
      </c>
      <c r="E11905">
        <v>176.83</v>
      </c>
      <c r="F11905">
        <v>0.01</v>
      </c>
    </row>
    <row r="11906" spans="1:6" x14ac:dyDescent="0.3">
      <c r="A11906" t="str">
        <f>HYPERLINK("https://us2.cloudbeds.com/connect/10074733072513#/reservations/31725194248348?display=MXD784A36&amp;reservation_id=31725194248348", "MXD784A36")</f>
        <v>MXD784A36</v>
      </c>
      <c r="B11906" t="s">
        <v>1754</v>
      </c>
      <c r="C11906">
        <v>159</v>
      </c>
      <c r="D11906">
        <v>172.84</v>
      </c>
      <c r="E11906">
        <v>172.83</v>
      </c>
      <c r="F11906">
        <v>0.01</v>
      </c>
    </row>
    <row r="11907" spans="1:6" x14ac:dyDescent="0.3">
      <c r="A11907" t="str">
        <f>HYPERLINK("https://us2.cloudbeds.com/connect/10074733072513#/reservations/31725106614412?display=MXD507P5C&amp;reservation_id=31725106614412", "MXD507P5C")</f>
        <v>MXD507P5C</v>
      </c>
      <c r="B11907" t="s">
        <v>1754</v>
      </c>
      <c r="C11907">
        <v>199</v>
      </c>
      <c r="D11907">
        <v>216.32</v>
      </c>
      <c r="E11907">
        <v>216.31</v>
      </c>
      <c r="F11907">
        <v>0.01</v>
      </c>
    </row>
    <row r="11908" spans="1:6" x14ac:dyDescent="0.3">
      <c r="A11908" t="str">
        <f>HYPERLINK("https://us2.cloudbeds.com/connect/10074733072513#/reservations/31720710471814?display=MX9ZM9K90&amp;reservation_id=31720710471814", "MX9ZM9K90")</f>
        <v>MX9ZM9K90</v>
      </c>
      <c r="B11908" t="s">
        <v>1782</v>
      </c>
      <c r="C11908">
        <v>318</v>
      </c>
      <c r="D11908">
        <v>345.68</v>
      </c>
      <c r="E11908">
        <v>345.67</v>
      </c>
      <c r="F11908">
        <v>0.01</v>
      </c>
    </row>
    <row r="11909" spans="1:6" x14ac:dyDescent="0.3">
      <c r="A11909" t="str">
        <f>HYPERLINK("https://us2.cloudbeds.com/connect/10074733072513#/reservations/31723487846582?display=MXBTY85AP&amp;reservation_id=31723487846582", "MXBTY85AP")</f>
        <v>MXBTY85AP</v>
      </c>
      <c r="B11909" t="s">
        <v>1725</v>
      </c>
      <c r="C11909">
        <v>149</v>
      </c>
      <c r="D11909">
        <v>161.97</v>
      </c>
      <c r="E11909">
        <v>161.96</v>
      </c>
      <c r="F11909">
        <v>0.01</v>
      </c>
    </row>
    <row r="11910" spans="1:6" x14ac:dyDescent="0.3">
      <c r="A11910" t="str">
        <f>HYPERLINK("https://us2.cloudbeds.com/connect/10074733072513#/reservations/31723432288422?display=MXBS7D5Z5&amp;reservation_id=31723432288422", "MXBS7D5Z5")</f>
        <v>MXBS7D5Z5</v>
      </c>
      <c r="B11910" t="s">
        <v>1725</v>
      </c>
      <c r="C11910">
        <v>87.82</v>
      </c>
      <c r="D11910">
        <v>95.47</v>
      </c>
      <c r="E11910">
        <v>95.46</v>
      </c>
      <c r="F11910">
        <v>0.01</v>
      </c>
    </row>
    <row r="11911" spans="1:6" x14ac:dyDescent="0.3">
      <c r="A11911" t="str">
        <f>HYPERLINK("https://us2.cloudbeds.com/connect/10074733072513#/reservations/31723461132470?display=MXBSVNQF7&amp;reservation_id=31723461132470", "MXBSVNQF7")</f>
        <v>MXBSVNQF7</v>
      </c>
      <c r="B11911" t="s">
        <v>1725</v>
      </c>
      <c r="C11911">
        <v>119</v>
      </c>
      <c r="D11911">
        <v>129.36000000000001</v>
      </c>
      <c r="E11911">
        <v>129.35</v>
      </c>
      <c r="F11911">
        <v>0.01</v>
      </c>
    </row>
    <row r="11912" spans="1:6" x14ac:dyDescent="0.3">
      <c r="A11912" t="str">
        <f>HYPERLINK("https://us2.cloudbeds.com/connect/10074733072513#/reservations/31723504664714?display=MXBU2E4W4&amp;reservation_id=31723504664714", "MXBU2E4W4")</f>
        <v>MXBU2E4W4</v>
      </c>
      <c r="B11912" t="s">
        <v>1725</v>
      </c>
      <c r="C11912">
        <v>119</v>
      </c>
      <c r="D11912">
        <v>129.36000000000001</v>
      </c>
      <c r="E11912">
        <v>129.35</v>
      </c>
      <c r="F11912">
        <v>0.01</v>
      </c>
    </row>
    <row r="11913" spans="1:6" x14ac:dyDescent="0.3">
      <c r="A11913" t="str">
        <f>HYPERLINK("https://us2.cloudbeds.com/connect/10074733072513#/reservations/31725161009381?display=MXD6D3CKP&amp;reservation_id=31725161009381", "MXD6D3CKP")</f>
        <v>MXD6D3CKP</v>
      </c>
      <c r="B11913" t="s">
        <v>1427</v>
      </c>
      <c r="C11913">
        <v>318</v>
      </c>
      <c r="D11913">
        <v>345.68</v>
      </c>
      <c r="E11913">
        <v>345.67</v>
      </c>
      <c r="F11913">
        <v>0.01</v>
      </c>
    </row>
    <row r="11914" spans="1:6" x14ac:dyDescent="0.3">
      <c r="A11914" t="str">
        <f>HYPERLINK("https://us2.cloudbeds.com/connect/10074733072513#/reservations/31700894220446?display=MHRDAN6TA&amp;reservation_id=31700894220446", "MHRDAN6TA")</f>
        <v>MHRDAN6TA</v>
      </c>
      <c r="B11914" t="s">
        <v>1788</v>
      </c>
      <c r="C11914">
        <v>318</v>
      </c>
      <c r="D11914">
        <v>345.68</v>
      </c>
      <c r="E11914">
        <v>345.67</v>
      </c>
      <c r="F11914">
        <v>0.01</v>
      </c>
    </row>
    <row r="11915" spans="1:6" x14ac:dyDescent="0.3">
      <c r="A11915" t="str">
        <f>HYPERLINK("https://us2.cloudbeds.com/connect/10074733072513#/reservations/31724201369763?display=MXCESTWSB&amp;reservation_id=31724201369763", "MXCESTWSB")</f>
        <v>MXCESTWSB</v>
      </c>
      <c r="B11915" t="s">
        <v>1789</v>
      </c>
      <c r="C11915">
        <v>149</v>
      </c>
      <c r="D11915">
        <v>161.97</v>
      </c>
      <c r="E11915">
        <v>161.96</v>
      </c>
      <c r="F11915">
        <v>0.01</v>
      </c>
    </row>
    <row r="11916" spans="1:6" x14ac:dyDescent="0.3">
      <c r="A11916" t="str">
        <f>HYPERLINK("https://us2.cloudbeds.com/connect/10074733072513#/reservations/31722806304986?display=MXBC7X8Y4&amp;reservation_id=31722806304986", "MXBC7X8Y4")</f>
        <v>MXBC7X8Y4</v>
      </c>
      <c r="B11916" t="s">
        <v>1780</v>
      </c>
      <c r="C11916">
        <v>298</v>
      </c>
      <c r="D11916">
        <v>323.94</v>
      </c>
      <c r="E11916">
        <v>323.93</v>
      </c>
      <c r="F11916">
        <v>0.01</v>
      </c>
    </row>
    <row r="11917" spans="1:6" x14ac:dyDescent="0.3">
      <c r="A11917" t="str">
        <f>HYPERLINK("https://us2.cloudbeds.com/connect/10074733072513#/reservations/31722822906103?display=MXBCYX709&amp;reservation_id=31722822906103", "MXBCYX709")</f>
        <v>MXBCYX709</v>
      </c>
      <c r="B11917" t="s">
        <v>1780</v>
      </c>
      <c r="C11917">
        <v>139</v>
      </c>
      <c r="D11917">
        <v>151.1</v>
      </c>
      <c r="E11917">
        <v>151.09</v>
      </c>
      <c r="F11917">
        <v>0.01</v>
      </c>
    </row>
    <row r="11918" spans="1:6" x14ac:dyDescent="0.3">
      <c r="A11918" t="str">
        <f>HYPERLINK("https://us2.cloudbeds.com/connect/10074733072513#/reservations/31721491493008?display=MXABKSMEU&amp;reservation_id=31721491493008", "MXABKSMEU")</f>
        <v>MXABKSMEU</v>
      </c>
      <c r="B11918" t="s">
        <v>1785</v>
      </c>
      <c r="C11918">
        <v>87.82</v>
      </c>
      <c r="D11918">
        <v>95.47</v>
      </c>
      <c r="E11918">
        <v>95.46</v>
      </c>
      <c r="F11918">
        <v>0.01</v>
      </c>
    </row>
    <row r="11919" spans="1:6" x14ac:dyDescent="0.3">
      <c r="A11919" t="str">
        <f>HYPERLINK("https://us2.cloudbeds.com/connect/10074733072513#/reservations/31723700789406?display=MXC22QK3K&amp;reservation_id=31723700789406", "MXC22QK3K")</f>
        <v>MXC22QK3K</v>
      </c>
      <c r="B11919" t="s">
        <v>1780</v>
      </c>
      <c r="C11919">
        <v>109</v>
      </c>
      <c r="D11919">
        <v>118.49</v>
      </c>
      <c r="E11919">
        <v>118.48</v>
      </c>
      <c r="F11919">
        <v>0.01</v>
      </c>
    </row>
    <row r="11920" spans="1:6" x14ac:dyDescent="0.3">
      <c r="A11920" t="str">
        <f>HYPERLINK("https://us2.cloudbeds.com/connect/10074733072513#/reservations/31723712905457?display=MXC2D0ZVM&amp;reservation_id=31723712905457", "MXC2D0ZVM")</f>
        <v>MXC2D0ZVM</v>
      </c>
      <c r="B11920" t="s">
        <v>1780</v>
      </c>
      <c r="C11920">
        <v>109</v>
      </c>
      <c r="D11920">
        <v>118.49</v>
      </c>
      <c r="E11920">
        <v>118.48</v>
      </c>
      <c r="F11920">
        <v>0.01</v>
      </c>
    </row>
    <row r="11921" spans="1:6" x14ac:dyDescent="0.3">
      <c r="A11921" t="str">
        <f>HYPERLINK("https://us2.cloudbeds.com/connect/10074733072513#/reservations/31722353131669?display=MXB0YE1HC&amp;reservation_id=31722353131669", "MXB0YE1HC")</f>
        <v>MXB0YE1HC</v>
      </c>
      <c r="B11921" t="s">
        <v>1770</v>
      </c>
      <c r="C11921">
        <v>139</v>
      </c>
      <c r="D11921">
        <v>151.1</v>
      </c>
      <c r="E11921">
        <v>151.09</v>
      </c>
      <c r="F11921">
        <v>0.01</v>
      </c>
    </row>
    <row r="11922" spans="1:6" x14ac:dyDescent="0.3">
      <c r="A11922" t="str">
        <f>HYPERLINK("https://us2.cloudbeds.com/connect/10074733072513#/reservations/31722824695954?display=MXBCN20J6&amp;reservation_id=31722824695954", "MXBCN20J6")</f>
        <v>MXBCN20J6</v>
      </c>
      <c r="B11922" t="s">
        <v>1780</v>
      </c>
      <c r="C11922">
        <v>109</v>
      </c>
      <c r="D11922">
        <v>118.49</v>
      </c>
      <c r="E11922">
        <v>118.48</v>
      </c>
      <c r="F11922">
        <v>0.01</v>
      </c>
    </row>
    <row r="11923" spans="1:6" x14ac:dyDescent="0.3">
      <c r="A11923" t="str">
        <f>HYPERLINK("https://us2.cloudbeds.com/connect/10074733072513#/reservations/31724204499172?display=MXCEVX2GU&amp;reservation_id=31724204499172", "MXCEVX2GU")</f>
        <v>MXCEVX2GU</v>
      </c>
      <c r="B11923" t="s">
        <v>1789</v>
      </c>
      <c r="C11923">
        <v>109</v>
      </c>
      <c r="D11923">
        <v>118.49</v>
      </c>
      <c r="E11923">
        <v>118.48</v>
      </c>
      <c r="F11923">
        <v>0.01</v>
      </c>
    </row>
    <row r="11924" spans="1:6" x14ac:dyDescent="0.3">
      <c r="A11924" t="str">
        <f>HYPERLINK("https://us2.cloudbeds.com/connect/10074733072513#/reservations/31724238938292?display=MXCFRJD1K&amp;reservation_id=31724238938292", "MXCFRJD1K")</f>
        <v>MXCFRJD1K</v>
      </c>
      <c r="B11924" t="s">
        <v>1789</v>
      </c>
      <c r="C11924">
        <v>73</v>
      </c>
      <c r="D11924">
        <v>79.36</v>
      </c>
      <c r="E11924">
        <v>79.349999999999994</v>
      </c>
      <c r="F11924">
        <v>0.01</v>
      </c>
    </row>
    <row r="11925" spans="1:6" x14ac:dyDescent="0.3">
      <c r="A11925" t="str">
        <f>HYPERLINK("https://us2.cloudbeds.com/connect/10074733072513#/reservations/31722670510218?display=MXB8P1XT5&amp;reservation_id=31722670510218", "MXB8P1XT5")</f>
        <v>MXB8P1XT5</v>
      </c>
      <c r="B11925" t="s">
        <v>1427</v>
      </c>
      <c r="C11925">
        <v>318</v>
      </c>
      <c r="D11925">
        <v>345.68</v>
      </c>
      <c r="E11925">
        <v>345.67</v>
      </c>
      <c r="F11925">
        <v>0.01</v>
      </c>
    </row>
    <row r="11926" spans="1:6" x14ac:dyDescent="0.3">
      <c r="A11926" t="str">
        <f>HYPERLINK("https://us2.cloudbeds.com/connect/10074733072513#/reservations/31720703463602?display=MX9ZGCJQV&amp;reservation_id=31720703463602", "MX9ZGCJQV")</f>
        <v>MX9ZGCJQV</v>
      </c>
      <c r="B11926" t="s">
        <v>1782</v>
      </c>
      <c r="C11926">
        <v>119</v>
      </c>
      <c r="D11926">
        <v>129.36000000000001</v>
      </c>
      <c r="E11926">
        <v>129.35</v>
      </c>
      <c r="F11926">
        <v>0.01</v>
      </c>
    </row>
    <row r="11927" spans="1:6" x14ac:dyDescent="0.3">
      <c r="A11927" t="str">
        <f>HYPERLINK("https://us2.cloudbeds.com/connect/10074733072513#/reservations/31721933746412?display=MXAMUQ137&amp;reservation_id=31721933746412", "MXAMUQ137")</f>
        <v>MXAMUQ137</v>
      </c>
      <c r="B11927" t="s">
        <v>1782</v>
      </c>
      <c r="C11927">
        <v>109</v>
      </c>
      <c r="D11927">
        <v>118.49</v>
      </c>
      <c r="E11927">
        <v>118.48</v>
      </c>
      <c r="F11927">
        <v>0.01</v>
      </c>
    </row>
    <row r="11928" spans="1:6" x14ac:dyDescent="0.3">
      <c r="A11928" t="str">
        <f>HYPERLINK("https://us2.cloudbeds.com/connect/10074733072513#/reservations/31721826111618?display=MXAK60UTQ&amp;reservation_id=31721826111618", "MXAK60UTQ")</f>
        <v>MXAK60UTQ</v>
      </c>
      <c r="B11928" t="s">
        <v>1732</v>
      </c>
      <c r="C11928">
        <v>73</v>
      </c>
      <c r="D11928">
        <v>79.36</v>
      </c>
      <c r="E11928">
        <v>79.349999999999994</v>
      </c>
      <c r="F11928">
        <v>0.01</v>
      </c>
    </row>
    <row r="11929" spans="1:6" x14ac:dyDescent="0.3">
      <c r="A11929" t="str">
        <f>HYPERLINK("https://us2.cloudbeds.com/connect/10074733072513#/reservations/31722119393431?display=MXARMAUSF&amp;reservation_id=31722119393431", "MXARMAUSF")</f>
        <v>MXARMAUSF</v>
      </c>
      <c r="B11929" t="s">
        <v>1763</v>
      </c>
      <c r="C11929">
        <v>87.82</v>
      </c>
      <c r="D11929">
        <v>95.47</v>
      </c>
      <c r="E11929">
        <v>95.46</v>
      </c>
      <c r="F11929">
        <v>0.01</v>
      </c>
    </row>
    <row r="11930" spans="1:6" x14ac:dyDescent="0.3">
      <c r="A11930" t="str">
        <f>HYPERLINK("https://us2.cloudbeds.com/connect/10074733072513#/reservations/31718786080999?display=MX88GJJTR&amp;reservation_id=31718786080999", "MX88GJJTR")</f>
        <v>MX88GJJTR</v>
      </c>
      <c r="B11930" t="s">
        <v>1769</v>
      </c>
      <c r="C11930">
        <v>336</v>
      </c>
      <c r="D11930">
        <v>365.24</v>
      </c>
      <c r="E11930">
        <v>365.23</v>
      </c>
      <c r="F11930">
        <v>0.01</v>
      </c>
    </row>
    <row r="11931" spans="1:6" x14ac:dyDescent="0.3">
      <c r="A11931" t="str">
        <f>HYPERLINK("https://us2.cloudbeds.com/connect/10074733072513#/reservations/31720982352065?display=MX9VKX2ZG&amp;reservation_id=31720982352065", "MX9VKX2ZG")</f>
        <v>MX9VKX2ZG</v>
      </c>
      <c r="B11931" t="s">
        <v>1782</v>
      </c>
      <c r="C11931">
        <v>109</v>
      </c>
      <c r="D11931">
        <v>118.49</v>
      </c>
      <c r="E11931">
        <v>118.48</v>
      </c>
      <c r="F11931">
        <v>0.01</v>
      </c>
    </row>
    <row r="11932" spans="1:6" x14ac:dyDescent="0.3">
      <c r="A11932" t="str">
        <f>HYPERLINK("https://us2.cloudbeds.com/connect/10074733072513#/reservations/31720673394917?display=MX9NZ0THM&amp;reservation_id=31720673394917", "MX9NZ0THM")</f>
        <v>MX9NZ0THM</v>
      </c>
      <c r="B11932" t="s">
        <v>1782</v>
      </c>
      <c r="C11932">
        <v>109</v>
      </c>
      <c r="D11932">
        <v>118.49</v>
      </c>
      <c r="E11932">
        <v>118.48</v>
      </c>
      <c r="F11932">
        <v>0.01</v>
      </c>
    </row>
    <row r="11933" spans="1:6" x14ac:dyDescent="0.3">
      <c r="A11933" t="str">
        <f>HYPERLINK("https://us2.cloudbeds.com/connect/10074733072513#/reservations/31721905778897?display=MXAM76Q8P&amp;reservation_id=31721905778897", "MXAM76Q8P")</f>
        <v>MXAM76Q8P</v>
      </c>
      <c r="B11933" t="s">
        <v>1782</v>
      </c>
      <c r="C11933">
        <v>109</v>
      </c>
      <c r="D11933">
        <v>118.49</v>
      </c>
      <c r="E11933">
        <v>118.48</v>
      </c>
      <c r="F11933">
        <v>0.01</v>
      </c>
    </row>
    <row r="11934" spans="1:6" x14ac:dyDescent="0.3">
      <c r="A11934" t="str">
        <f>HYPERLINK("https://us2.cloudbeds.com/connect/10074733072513#/reservations/31726504542407?display=MXE7Z05JP&amp;reservation_id=31726504542407", "MXE7Z05JP")</f>
        <v>MXE7Z05JP</v>
      </c>
      <c r="B11934" t="s">
        <v>1769</v>
      </c>
      <c r="C11934">
        <v>238</v>
      </c>
      <c r="D11934">
        <v>258.72000000000003</v>
      </c>
      <c r="E11934">
        <v>258.70999999999998</v>
      </c>
      <c r="F11934">
        <v>0.01</v>
      </c>
    </row>
    <row r="11935" spans="1:6" x14ac:dyDescent="0.3">
      <c r="A11935" t="str">
        <f>HYPERLINK("https://us2.cloudbeds.com/connect/10074733072513#/reservations/31726440206558?display=MXE62ZUMJ&amp;reservation_id=31726440206558", "MXE62ZUMJ")</f>
        <v>MXE62ZUMJ</v>
      </c>
      <c r="B11935" t="s">
        <v>1769</v>
      </c>
      <c r="C11935">
        <v>238</v>
      </c>
      <c r="D11935">
        <v>258.72000000000003</v>
      </c>
      <c r="E11935">
        <v>258.70999999999998</v>
      </c>
      <c r="F11935">
        <v>0.01</v>
      </c>
    </row>
    <row r="11936" spans="1:6" x14ac:dyDescent="0.3">
      <c r="A11936" t="str">
        <f>HYPERLINK("https://us2.cloudbeds.com/connect/10074733072513#/reservations/31721951760550?display=MXANCWA06&amp;reservation_id=31721951760550", "MXANCWA06")</f>
        <v>MXANCWA06</v>
      </c>
      <c r="B11936" t="s">
        <v>1791</v>
      </c>
      <c r="C11936">
        <v>139</v>
      </c>
      <c r="D11936">
        <v>151.1</v>
      </c>
      <c r="E11936">
        <v>151.09</v>
      </c>
      <c r="F11936">
        <v>0.01</v>
      </c>
    </row>
    <row r="11937" spans="1:6" x14ac:dyDescent="0.3">
      <c r="A11937" t="str">
        <f>HYPERLINK("https://us2.cloudbeds.com/connect/10074733072513#/reservations/31723411730566?display=MXBRN23WR&amp;reservation_id=31723411730566", "MXBRN23WR")</f>
        <v>MXBRN23WR</v>
      </c>
      <c r="B11937" t="s">
        <v>1752</v>
      </c>
      <c r="C11937">
        <v>234.1</v>
      </c>
      <c r="D11937">
        <v>254.48</v>
      </c>
      <c r="E11937">
        <v>254.47</v>
      </c>
      <c r="F11937">
        <v>0.01</v>
      </c>
    </row>
    <row r="11938" spans="1:6" x14ac:dyDescent="0.3">
      <c r="A11938" t="str">
        <f>HYPERLINK("https://us2.cloudbeds.com/connect/10074733072513#/reservations/31725230108818?display=MXD85C5R3&amp;reservation_id=31725230108818", "MXD85C5R3")</f>
        <v>MXD85C5R3</v>
      </c>
      <c r="B11938" t="s">
        <v>1427</v>
      </c>
      <c r="C11938">
        <v>159</v>
      </c>
      <c r="D11938">
        <v>172.84</v>
      </c>
      <c r="E11938">
        <v>172.83</v>
      </c>
      <c r="F11938">
        <v>0.01</v>
      </c>
    </row>
    <row r="11939" spans="1:6" x14ac:dyDescent="0.3">
      <c r="A11939" t="str">
        <f>HYPERLINK("https://us2.cloudbeds.com/connect/10074733072513#/reservations/31720638410936?display=MX9MRHDM1&amp;reservation_id=31720638410936", "MX9MRHDM1")</f>
        <v>MX9MRHDM1</v>
      </c>
      <c r="B11939" t="s">
        <v>1770</v>
      </c>
      <c r="C11939">
        <v>159</v>
      </c>
      <c r="D11939">
        <v>172.84</v>
      </c>
      <c r="E11939">
        <v>172.83</v>
      </c>
      <c r="F11939">
        <v>0.01</v>
      </c>
    </row>
    <row r="11940" spans="1:6" x14ac:dyDescent="0.3">
      <c r="A11940" t="str">
        <f>HYPERLINK("https://us2.cloudbeds.com/connect/10074733072513#/reservations/31726444585089?display=MXE66EPCB&amp;reservation_id=31726444585089", "MXE66EPCB")</f>
        <v>MXE66EPCB</v>
      </c>
      <c r="B11940" t="s">
        <v>1769</v>
      </c>
      <c r="C11940">
        <v>119</v>
      </c>
      <c r="D11940">
        <v>129.36000000000001</v>
      </c>
      <c r="E11940">
        <v>129.35</v>
      </c>
      <c r="F11940">
        <v>0.01</v>
      </c>
    </row>
    <row r="11941" spans="1:6" x14ac:dyDescent="0.3">
      <c r="A11941" t="str">
        <f>HYPERLINK("https://us2.cloudbeds.com/connect/10074733072513#/reservations/31716163350778?display=MX67G18SF&amp;reservation_id=31716163350778", "MX67G18SF")</f>
        <v>MX67G18SF</v>
      </c>
      <c r="B11941" t="s">
        <v>1760</v>
      </c>
      <c r="C11941">
        <v>298</v>
      </c>
      <c r="D11941">
        <v>323.94</v>
      </c>
      <c r="E11941">
        <v>323.93</v>
      </c>
      <c r="F11941">
        <v>0.01</v>
      </c>
    </row>
    <row r="11942" spans="1:6" x14ac:dyDescent="0.3">
      <c r="A11942" t="str">
        <f>HYPERLINK("https://us2.cloudbeds.com/connect/10074733072513#/reservations/31718802772194?display=MX88UM1WK&amp;reservation_id=31718802772194", "MX88UM1WK")</f>
        <v>MX88UM1WK</v>
      </c>
      <c r="B11942" t="s">
        <v>1769</v>
      </c>
      <c r="C11942">
        <v>73</v>
      </c>
      <c r="D11942">
        <v>79.36</v>
      </c>
      <c r="E11942">
        <v>79.349999999999994</v>
      </c>
      <c r="F11942">
        <v>0.01</v>
      </c>
    </row>
    <row r="11943" spans="1:6" x14ac:dyDescent="0.3">
      <c r="A11943" t="str">
        <f>HYPERLINK("https://us2.cloudbeds.com/connect/10074733072513#/reservations/31724869013731?display=MXCVUT5NZ&amp;reservation_id=31724869013731", "MXCVUT5NZ")</f>
        <v>MXCVUT5NZ</v>
      </c>
      <c r="B11943" t="s">
        <v>1760</v>
      </c>
      <c r="C11943">
        <v>318</v>
      </c>
      <c r="D11943">
        <v>345.68</v>
      </c>
      <c r="E11943">
        <v>345.67</v>
      </c>
      <c r="F11943">
        <v>0.01</v>
      </c>
    </row>
    <row r="11944" spans="1:6" x14ac:dyDescent="0.3">
      <c r="A11944" t="str">
        <f>HYPERLINK("https://us2.cloudbeds.com/connect/10074733072513#/reservations/31715917856988?display=MX61711CN&amp;reservation_id=31715917856988", "MX61711CN")</f>
        <v>MX61711CN</v>
      </c>
      <c r="B11944" t="s">
        <v>1760</v>
      </c>
      <c r="C11944">
        <v>318</v>
      </c>
      <c r="D11944">
        <v>345.68</v>
      </c>
      <c r="E11944">
        <v>345.67</v>
      </c>
      <c r="F11944">
        <v>0.01</v>
      </c>
    </row>
    <row r="11945" spans="1:6" x14ac:dyDescent="0.3">
      <c r="A11945" t="str">
        <f>HYPERLINK("https://us2.cloudbeds.com/connect/10074733072513#/reservations/31722171756748?display=MXAT0G0NK&amp;reservation_id=31722171756748", "MXAT0G0NK")</f>
        <v>MXAT0G0NK</v>
      </c>
      <c r="B11945" t="s">
        <v>1794</v>
      </c>
      <c r="C11945">
        <v>102.58</v>
      </c>
      <c r="D11945">
        <v>111.51</v>
      </c>
      <c r="E11945">
        <v>111.5</v>
      </c>
      <c r="F11945">
        <v>0.01</v>
      </c>
    </row>
    <row r="11946" spans="1:6" x14ac:dyDescent="0.3">
      <c r="A11946" t="str">
        <f>HYPERLINK("https://us2.cloudbeds.com/connect/10074733072513#/reservations/31726512509075?display=MXE7UNS5V&amp;reservation_id=31726512509075", "MXE7UNS5V")</f>
        <v>MXE7UNS5V</v>
      </c>
      <c r="B11946" t="s">
        <v>1769</v>
      </c>
      <c r="C11946">
        <v>109</v>
      </c>
      <c r="D11946">
        <v>118.49</v>
      </c>
      <c r="E11946">
        <v>118.48</v>
      </c>
      <c r="F11946">
        <v>0.01</v>
      </c>
    </row>
    <row r="11947" spans="1:6" x14ac:dyDescent="0.3">
      <c r="A11947" t="str">
        <f>HYPERLINK("https://us2.cloudbeds.com/connect/10074733072513#/reservations/31722150502619?display=MXASFXJK4&amp;reservation_id=31722150502619", "MXASFXJK4")</f>
        <v>MXASFXJK4</v>
      </c>
      <c r="B11947" t="s">
        <v>1794</v>
      </c>
      <c r="C11947">
        <v>109</v>
      </c>
      <c r="D11947">
        <v>118.49</v>
      </c>
      <c r="E11947">
        <v>118.48</v>
      </c>
      <c r="F11947">
        <v>0.01</v>
      </c>
    </row>
    <row r="11948" spans="1:6" x14ac:dyDescent="0.3">
      <c r="A11948" t="str">
        <f>HYPERLINK("https://us2.cloudbeds.com/connect/10074733072513#/reservations/31726408515800?display=MXE5912TJ&amp;reservation_id=31726408515800", "MXE5912TJ")</f>
        <v>MXE5912TJ</v>
      </c>
      <c r="B11948" t="s">
        <v>1794</v>
      </c>
      <c r="C11948">
        <v>73</v>
      </c>
      <c r="D11948">
        <v>79.36</v>
      </c>
      <c r="E11948">
        <v>79.349999999999994</v>
      </c>
      <c r="F11948">
        <v>0.01</v>
      </c>
    </row>
    <row r="11949" spans="1:6" x14ac:dyDescent="0.3">
      <c r="A11949" t="str">
        <f>HYPERLINK("https://us2.cloudbeds.com/connect/10074733072513#/reservations/31719398318220?display=MX8Z4S06T&amp;reservation_id=31719398318220", "MX8Z4S06T")</f>
        <v>MX8Z4S06T</v>
      </c>
      <c r="B11949" t="s">
        <v>1795</v>
      </c>
      <c r="C11949">
        <v>338</v>
      </c>
      <c r="D11949">
        <v>367.42</v>
      </c>
      <c r="E11949">
        <v>367.41</v>
      </c>
      <c r="F11949">
        <v>0.01</v>
      </c>
    </row>
    <row r="11950" spans="1:6" x14ac:dyDescent="0.3">
      <c r="A11950" t="str">
        <f>HYPERLINK("https://us2.cloudbeds.com/connect/10074733072513#/reservations/31715964489952?display=MX62DBM6R&amp;reservation_id=31715964489952", "MX62DBM6R")</f>
        <v>MX62DBM6R</v>
      </c>
      <c r="B11950" t="s">
        <v>1666</v>
      </c>
      <c r="C11950">
        <v>278</v>
      </c>
      <c r="D11950">
        <v>302.2</v>
      </c>
      <c r="E11950">
        <v>302.19</v>
      </c>
      <c r="F11950">
        <v>0.01</v>
      </c>
    </row>
    <row r="11951" spans="1:6" x14ac:dyDescent="0.3">
      <c r="A11951" t="str">
        <f>HYPERLINK("https://us2.cloudbeds.com/connect/10074733072513#/reservations/31722421334210?display=MXB2CUT41&amp;reservation_id=31722421334210", "MXB2CUT41")</f>
        <v>MXB2CUT41</v>
      </c>
      <c r="B11951" t="s">
        <v>1763</v>
      </c>
      <c r="C11951">
        <v>73</v>
      </c>
      <c r="D11951">
        <v>79.36</v>
      </c>
      <c r="E11951">
        <v>79.349999999999994</v>
      </c>
      <c r="F11951">
        <v>0.01</v>
      </c>
    </row>
    <row r="11952" spans="1:6" x14ac:dyDescent="0.3">
      <c r="A11952" t="str">
        <f>HYPERLINK("https://us2.cloudbeds.com/connect/10074733072513#/reservations/31724813529247?display=MXCUH37PZ&amp;reservation_id=31724813529247", "MXCUH37PZ")</f>
        <v>MXCUH37PZ</v>
      </c>
      <c r="B11952" t="s">
        <v>1752</v>
      </c>
      <c r="C11952">
        <v>87.82</v>
      </c>
      <c r="D11952">
        <v>95.47</v>
      </c>
      <c r="E11952">
        <v>95.46</v>
      </c>
      <c r="F11952">
        <v>0.01</v>
      </c>
    </row>
    <row r="11953" spans="1:6" x14ac:dyDescent="0.3">
      <c r="A11953" t="str">
        <f>HYPERLINK("https://us2.cloudbeds.com/connect/10074733072513#/reservations/31718969614579?display=MX8D6BMVF&amp;reservation_id=31718969614579", "MX8D6BMVF")</f>
        <v>MX8D6BMVF</v>
      </c>
      <c r="B11953" t="s">
        <v>1666</v>
      </c>
      <c r="C11953">
        <v>139</v>
      </c>
      <c r="D11953">
        <v>151.1</v>
      </c>
      <c r="E11953">
        <v>151.09</v>
      </c>
      <c r="F11953">
        <v>0.01</v>
      </c>
    </row>
    <row r="11954" spans="1:6" x14ac:dyDescent="0.3">
      <c r="A11954" t="str">
        <f>HYPERLINK("https://us2.cloudbeds.com/connect/10074733072513#/reservations/31712981995666?display=MX3P6ECA3&amp;reservation_id=31712981995666", "MX3P6ECA3")</f>
        <v>MX3P6ECA3</v>
      </c>
      <c r="B11954" t="s">
        <v>1711</v>
      </c>
      <c r="C11954">
        <v>159</v>
      </c>
      <c r="D11954">
        <v>172.84</v>
      </c>
      <c r="E11954">
        <v>172.83</v>
      </c>
      <c r="F11954">
        <v>0.01</v>
      </c>
    </row>
    <row r="11955" spans="1:6" x14ac:dyDescent="0.3">
      <c r="A11955" t="str">
        <f>HYPERLINK("https://us2.cloudbeds.com/connect/10074733072513#/reservations/31723853549707?display=MXC5WKCSY&amp;reservation_id=31723853549707", "MXC5WKCSY")</f>
        <v>MXC5WKCSY</v>
      </c>
      <c r="B11955" t="s">
        <v>1797</v>
      </c>
      <c r="C11955">
        <v>278</v>
      </c>
      <c r="D11955">
        <v>302.2</v>
      </c>
      <c r="E11955">
        <v>302.19</v>
      </c>
      <c r="F11955">
        <v>0.01</v>
      </c>
    </row>
    <row r="11956" spans="1:6" x14ac:dyDescent="0.3">
      <c r="A11956" t="str">
        <f>HYPERLINK("https://us2.cloudbeds.com/connect/10074733072513#/reservations/31723469844698?display=MXBT627M4&amp;reservation_id=31723469844698", "MXBT627M4")</f>
        <v>MXBT627M4</v>
      </c>
      <c r="B11956" t="s">
        <v>1792</v>
      </c>
      <c r="C11956">
        <v>139</v>
      </c>
      <c r="D11956">
        <v>151.1</v>
      </c>
      <c r="E11956">
        <v>151.09</v>
      </c>
      <c r="F11956">
        <v>0.01</v>
      </c>
    </row>
    <row r="11957" spans="1:6" x14ac:dyDescent="0.3">
      <c r="A11957" t="str">
        <f>HYPERLINK("https://us2.cloudbeds.com/connect/10074733072513#/reservations/31723817791722?display=MXC52FC8B&amp;reservation_id=31723817791722", "MXC52FC8B")</f>
        <v>MXC52FC8B</v>
      </c>
      <c r="B11957" t="s">
        <v>1797</v>
      </c>
      <c r="C11957">
        <v>278</v>
      </c>
      <c r="D11957">
        <v>302.2</v>
      </c>
      <c r="E11957">
        <v>302.19</v>
      </c>
      <c r="F11957">
        <v>0.01</v>
      </c>
    </row>
    <row r="11958" spans="1:6" x14ac:dyDescent="0.3">
      <c r="A11958" t="str">
        <f>HYPERLINK("https://us2.cloudbeds.com/connect/10074733072513#/reservations/31722399920338?display=MXB1RT0AQ&amp;reservation_id=31722399920338", "MXB1RT0AQ")</f>
        <v>MXB1RT0AQ</v>
      </c>
      <c r="B11958" t="s">
        <v>1770</v>
      </c>
      <c r="C11958">
        <v>139</v>
      </c>
      <c r="D11958">
        <v>151.1</v>
      </c>
      <c r="E11958">
        <v>151.09</v>
      </c>
      <c r="F11958">
        <v>0.01</v>
      </c>
    </row>
    <row r="11959" spans="1:6" x14ac:dyDescent="0.3">
      <c r="A11959" t="str">
        <f>HYPERLINK("https://us2.cloudbeds.com/connect/10074733072513#/reservations/31720629215460?display=MX9MJPHN8&amp;reservation_id=31720629215460", "MX9MJPHN8")</f>
        <v>MX9MJPHN8</v>
      </c>
      <c r="B11959" t="s">
        <v>1792</v>
      </c>
      <c r="C11959">
        <v>139</v>
      </c>
      <c r="D11959">
        <v>151.1</v>
      </c>
      <c r="E11959">
        <v>151.09</v>
      </c>
      <c r="F11959">
        <v>0.01</v>
      </c>
    </row>
    <row r="11960" spans="1:6" x14ac:dyDescent="0.3">
      <c r="A11960" t="str">
        <f>HYPERLINK("https://us2.cloudbeds.com/connect/10074733072513#/reservations/31721656905938?display=MXAFSBHPV&amp;reservation_id=31721656905938", "MXAFSBHPV")</f>
        <v>MXAFSBHPV</v>
      </c>
      <c r="B11960" t="s">
        <v>1798</v>
      </c>
      <c r="C11960">
        <v>554.4</v>
      </c>
      <c r="D11960">
        <v>602.64</v>
      </c>
      <c r="E11960">
        <v>602.63</v>
      </c>
      <c r="F11960">
        <v>0.01</v>
      </c>
    </row>
    <row r="11961" spans="1:6" x14ac:dyDescent="0.3">
      <c r="A11961" t="str">
        <f>HYPERLINK("https://us2.cloudbeds.com/connect/10074733072513#/reservations/31720595898595?display=MX9YZMAVS&amp;reservation_id=31720595898595", "MX9YZMAVS")</f>
        <v>MX9YZMAVS</v>
      </c>
      <c r="B11961" t="s">
        <v>1792</v>
      </c>
      <c r="C11961">
        <v>73</v>
      </c>
      <c r="D11961">
        <v>79.36</v>
      </c>
      <c r="E11961">
        <v>79.349999999999994</v>
      </c>
      <c r="F11961">
        <v>0.01</v>
      </c>
    </row>
    <row r="11962" spans="1:6" x14ac:dyDescent="0.3">
      <c r="A11962" t="str">
        <f>HYPERLINK("https://us2.cloudbeds.com/connect/10074733072513#/reservations/31720656728226?display=MX9N9W3VE&amp;reservation_id=31720656728226", "MX9N9W3VE")</f>
        <v>MX9N9W3VE</v>
      </c>
      <c r="B11962" t="s">
        <v>1770</v>
      </c>
      <c r="C11962">
        <v>139</v>
      </c>
      <c r="D11962">
        <v>151.1</v>
      </c>
      <c r="E11962">
        <v>151.09</v>
      </c>
      <c r="F11962">
        <v>0.01</v>
      </c>
    </row>
    <row r="11963" spans="1:6" x14ac:dyDescent="0.3">
      <c r="A11963" t="str">
        <f>HYPERLINK("https://us2.cloudbeds.com/connect/10074733072513#/reservations/31724978442470?display=MXD1Z5684&amp;reservation_id=31724978442470", "MXD1Z5684")</f>
        <v>MXD1Z5684</v>
      </c>
      <c r="B11963" t="s">
        <v>1752</v>
      </c>
      <c r="C11963">
        <v>258</v>
      </c>
      <c r="D11963">
        <v>280.45999999999998</v>
      </c>
      <c r="E11963">
        <v>280.45</v>
      </c>
      <c r="F11963">
        <v>0.01</v>
      </c>
    </row>
    <row r="11964" spans="1:6" x14ac:dyDescent="0.3">
      <c r="A11964" t="str">
        <f>HYPERLINK("https://us2.cloudbeds.com/connect/10074733072513#/reservations/31724879384765?display=MXCW6KP5G&amp;reservation_id=31724879384765", "MXCW6KP5G")</f>
        <v>MXCW6KP5G</v>
      </c>
      <c r="B11964" t="s">
        <v>1752</v>
      </c>
      <c r="C11964">
        <v>109</v>
      </c>
      <c r="D11964">
        <v>118.49</v>
      </c>
      <c r="E11964">
        <v>118.48</v>
      </c>
      <c r="F11964">
        <v>0.01</v>
      </c>
    </row>
    <row r="11965" spans="1:6" x14ac:dyDescent="0.3">
      <c r="A11965" t="str">
        <f>HYPERLINK("https://us2.cloudbeds.com/connect/10074733072513#/reservations/31724881498316?display=MXCW8DXWG&amp;reservation_id=31724881498316", "MXCW8DXWG")</f>
        <v>MXCW8DXWG</v>
      </c>
      <c r="B11965" t="s">
        <v>1752</v>
      </c>
      <c r="C11965">
        <v>139</v>
      </c>
      <c r="D11965">
        <v>151.1</v>
      </c>
      <c r="E11965">
        <v>151.09</v>
      </c>
      <c r="F11965">
        <v>0.01</v>
      </c>
    </row>
    <row r="11966" spans="1:6" x14ac:dyDescent="0.3">
      <c r="A11966" t="str">
        <f>HYPERLINK("https://us2.cloudbeds.com/connect/10074733072513#/reservations/31723446489270?display=MXBSJCAWT&amp;reservation_id=31723446489270", "MXBSJCAWT")</f>
        <v>MXBSJCAWT</v>
      </c>
      <c r="B11966" t="s">
        <v>1792</v>
      </c>
      <c r="C11966">
        <v>139</v>
      </c>
      <c r="D11966">
        <v>151.1</v>
      </c>
      <c r="E11966">
        <v>151.09</v>
      </c>
      <c r="F11966">
        <v>0.01</v>
      </c>
    </row>
    <row r="11967" spans="1:6" x14ac:dyDescent="0.3">
      <c r="A11967" t="str">
        <f>HYPERLINK("https://us2.cloudbeds.com/connect/10074733072513#/reservations/31721975795914?display=MXAZ0841X&amp;reservation_id=31721975795914", "MXAZ0841X")</f>
        <v>MXAZ0841X</v>
      </c>
      <c r="B11967" t="s">
        <v>1791</v>
      </c>
      <c r="C11967">
        <v>169</v>
      </c>
      <c r="D11967">
        <v>183.71</v>
      </c>
      <c r="E11967">
        <v>183.7</v>
      </c>
      <c r="F11967">
        <v>0.01</v>
      </c>
    </row>
    <row r="11968" spans="1:6" x14ac:dyDescent="0.3">
      <c r="A11968" t="str">
        <f>HYPERLINK("https://us2.cloudbeds.com/connect/10074733072513#/reservations/31724879855821?display=MXCW70SNU&amp;reservation_id=31724879855821", "MXCW70SNU")</f>
        <v>MXCW70SNU</v>
      </c>
      <c r="B11968" t="s">
        <v>1801</v>
      </c>
      <c r="C11968">
        <v>105.78</v>
      </c>
      <c r="D11968">
        <v>114.99</v>
      </c>
      <c r="E11968">
        <v>114.98</v>
      </c>
      <c r="F11968">
        <v>0.01</v>
      </c>
    </row>
    <row r="11969" spans="1:6" x14ac:dyDescent="0.3">
      <c r="A11969" t="str">
        <f>HYPERLINK("https://us2.cloudbeds.com/connect/10074733072513#/reservations/31724868071585?display=MXCVU2VXR&amp;reservation_id=31724868071585", "MXCVU2VXR")</f>
        <v>MXCVU2VXR</v>
      </c>
      <c r="B11969" t="s">
        <v>1801</v>
      </c>
      <c r="C11969">
        <v>105.78</v>
      </c>
      <c r="D11969">
        <v>114.99</v>
      </c>
      <c r="E11969">
        <v>114.98</v>
      </c>
      <c r="F11969">
        <v>0.01</v>
      </c>
    </row>
    <row r="11970" spans="1:6" x14ac:dyDescent="0.3">
      <c r="A11970" t="str">
        <f>HYPERLINK("https://us2.cloudbeds.com/connect/10074733072513#/reservations/31721257677018?display=MXA5YNDCT&amp;reservation_id=31721257677018", "MXA5YNDCT")</f>
        <v>MXA5YNDCT</v>
      </c>
      <c r="B11970" t="s">
        <v>1801</v>
      </c>
      <c r="C11970">
        <v>109</v>
      </c>
      <c r="D11970">
        <v>118.49</v>
      </c>
      <c r="E11970">
        <v>118.48</v>
      </c>
      <c r="F11970">
        <v>0.01</v>
      </c>
    </row>
    <row r="11971" spans="1:6" x14ac:dyDescent="0.3">
      <c r="A11971" t="str">
        <f>HYPERLINK("https://us2.cloudbeds.com/connect/10074733072513#/reservations/31724895256776?display=MXCWK0E0H&amp;reservation_id=31724895256776", "MXCWK0E0H")</f>
        <v>MXCWK0E0H</v>
      </c>
      <c r="B11971" t="s">
        <v>1801</v>
      </c>
      <c r="C11971">
        <v>73</v>
      </c>
      <c r="D11971">
        <v>79.36</v>
      </c>
      <c r="E11971">
        <v>79.349999999999994</v>
      </c>
      <c r="F11971">
        <v>0.01</v>
      </c>
    </row>
    <row r="11972" spans="1:6" x14ac:dyDescent="0.3">
      <c r="A11972" t="str">
        <f>HYPERLINK("https://us2.cloudbeds.com/connect/10074733072513#/reservations/31721670254734?display=MXAG6JWKU&amp;reservation_id=31721670254734", "MXAG6JWKU")</f>
        <v>MXAG6JWKU</v>
      </c>
      <c r="B11972" t="s">
        <v>1798</v>
      </c>
      <c r="C11972">
        <v>536</v>
      </c>
      <c r="D11972">
        <v>582.64</v>
      </c>
      <c r="E11972">
        <v>582.63</v>
      </c>
      <c r="F11972">
        <v>0.01</v>
      </c>
    </row>
    <row r="11973" spans="1:6" x14ac:dyDescent="0.3">
      <c r="A11973" t="str">
        <f>HYPERLINK("https://us2.cloudbeds.com/connect/10074733072513#/reservations/31723592601744?display=MXBWAJ47K&amp;reservation_id=31723592601744", "MXBWAJ47K")</f>
        <v>MXBWAJ47K</v>
      </c>
      <c r="B11973" t="s">
        <v>1800</v>
      </c>
      <c r="C11973">
        <v>218</v>
      </c>
      <c r="D11973">
        <v>236.98</v>
      </c>
      <c r="E11973">
        <v>236.97</v>
      </c>
      <c r="F11973">
        <v>0.01</v>
      </c>
    </row>
    <row r="11974" spans="1:6" x14ac:dyDescent="0.3">
      <c r="A11974" t="str">
        <f>HYPERLINK("https://us2.cloudbeds.com/connect/10074733072513#/reservations/31718838800543?display=MX89S1JSP&amp;reservation_id=31718838800543", "MX89S1JSP")</f>
        <v>MX89S1JSP</v>
      </c>
      <c r="B11974" t="s">
        <v>1793</v>
      </c>
      <c r="C11974">
        <v>252</v>
      </c>
      <c r="D11974">
        <v>273.93</v>
      </c>
      <c r="E11974">
        <v>273.92</v>
      </c>
      <c r="F11974">
        <v>0.01</v>
      </c>
    </row>
    <row r="11975" spans="1:6" x14ac:dyDescent="0.3">
      <c r="A11975" t="str">
        <f>HYPERLINK("https://us2.cloudbeds.com/connect/10074733072513#/reservations/31722486767773?display=MXB423M19&amp;reservation_id=31722486767773", "MXB423M19")</f>
        <v>MXB423M19</v>
      </c>
      <c r="B11975" t="s">
        <v>1802</v>
      </c>
      <c r="C11975">
        <v>278</v>
      </c>
      <c r="D11975">
        <v>302.2</v>
      </c>
      <c r="E11975">
        <v>302.19</v>
      </c>
      <c r="F11975">
        <v>0.01</v>
      </c>
    </row>
    <row r="11976" spans="1:6" x14ac:dyDescent="0.3">
      <c r="A11976" t="str">
        <f>HYPERLINK("https://us2.cloudbeds.com/connect/10074733072513#/reservations/31713921003656?display=MX4G67YJM&amp;reservation_id=31713921003656", "MX4G67YJM")</f>
        <v>MX4G67YJM</v>
      </c>
      <c r="B11976" t="s">
        <v>1731</v>
      </c>
      <c r="C11976">
        <v>338</v>
      </c>
      <c r="D11976">
        <v>367.42</v>
      </c>
      <c r="E11976">
        <v>367.41</v>
      </c>
      <c r="F11976">
        <v>0.01</v>
      </c>
    </row>
    <row r="11977" spans="1:6" x14ac:dyDescent="0.3">
      <c r="A11977" t="str">
        <f>HYPERLINK("https://us2.cloudbeds.com/connect/10074733072513#/reservations/31719555428492?display=MX8S5ARE7&amp;reservation_id=31719555428492", "MX8S5ARE7")</f>
        <v>MX8S5ARE7</v>
      </c>
      <c r="B11977" t="s">
        <v>1666</v>
      </c>
      <c r="C11977">
        <v>159</v>
      </c>
      <c r="D11977">
        <v>172.84</v>
      </c>
      <c r="E11977">
        <v>172.83</v>
      </c>
      <c r="F11977">
        <v>0.01</v>
      </c>
    </row>
    <row r="11978" spans="1:6" x14ac:dyDescent="0.3">
      <c r="A11978" t="str">
        <f>HYPERLINK("https://us2.cloudbeds.com/connect/10074733072513#/reservations/31721207238877?display=MXA4C5TCC&amp;reservation_id=31721207238877", "MXA4C5TCC")</f>
        <v>MXA4C5TCC</v>
      </c>
      <c r="B11978" t="s">
        <v>1800</v>
      </c>
      <c r="C11978">
        <v>218</v>
      </c>
      <c r="D11978">
        <v>236.98</v>
      </c>
      <c r="E11978">
        <v>236.97</v>
      </c>
      <c r="F11978">
        <v>0.01</v>
      </c>
    </row>
    <row r="11979" spans="1:6" x14ac:dyDescent="0.3">
      <c r="A11979" t="str">
        <f>HYPERLINK("https://us2.cloudbeds.com/connect/10074733072513#/reservations/31722593681553?display=MXB6Q8N4Q&amp;reservation_id=31722593681553", "MXB6Q8N4Q")</f>
        <v>MXB6Q8N4Q</v>
      </c>
      <c r="B11979" t="s">
        <v>1803</v>
      </c>
      <c r="C11979">
        <v>179</v>
      </c>
      <c r="D11979">
        <v>194.58</v>
      </c>
      <c r="E11979">
        <v>194.57</v>
      </c>
      <c r="F11979">
        <v>0.01</v>
      </c>
    </row>
    <row r="11980" spans="1:6" x14ac:dyDescent="0.3">
      <c r="A11980" t="str">
        <f>HYPERLINK("https://us2.cloudbeds.com/connect/10074733072513#/reservations/31713946382468?display=MX4GRKS9X&amp;reservation_id=31713946382468", "MX4GRKS9X")</f>
        <v>MX4GRKS9X</v>
      </c>
      <c r="B11980" t="s">
        <v>1731</v>
      </c>
      <c r="C11980">
        <v>338</v>
      </c>
      <c r="D11980">
        <v>367.42</v>
      </c>
      <c r="E11980">
        <v>367.41</v>
      </c>
      <c r="F11980">
        <v>0.01</v>
      </c>
    </row>
    <row r="11981" spans="1:6" x14ac:dyDescent="0.3">
      <c r="A11981" t="str">
        <f>HYPERLINK("https://us2.cloudbeds.com/connect/10074733072513#/reservations/31723194998985?display=MXBM5A835&amp;reservation_id=31723194998985", "MXBM5A835")</f>
        <v>MXBM5A835</v>
      </c>
      <c r="B11981" t="s">
        <v>1793</v>
      </c>
      <c r="C11981">
        <v>87.82</v>
      </c>
      <c r="D11981">
        <v>95.47</v>
      </c>
      <c r="E11981">
        <v>95.46</v>
      </c>
      <c r="F11981">
        <v>0.01</v>
      </c>
    </row>
    <row r="11982" spans="1:6" x14ac:dyDescent="0.3">
      <c r="A11982" t="str">
        <f>HYPERLINK("https://us2.cloudbeds.com/connect/10074733072513#/reservations/31723174523097?display=MXBYY1FKN&amp;reservation_id=31723174523097", "MXBYY1FKN")</f>
        <v>MXBYY1FKN</v>
      </c>
      <c r="B11982" t="s">
        <v>1793</v>
      </c>
      <c r="C11982">
        <v>73</v>
      </c>
      <c r="D11982">
        <v>79.36</v>
      </c>
      <c r="E11982">
        <v>79.349999999999994</v>
      </c>
      <c r="F11982">
        <v>0.01</v>
      </c>
    </row>
    <row r="11983" spans="1:6" x14ac:dyDescent="0.3">
      <c r="A11983" t="str">
        <f>HYPERLINK("https://us2.cloudbeds.com/connect/10074733072513#/reservations/31713960530051?display=MX4H6XHY7&amp;reservation_id=31713960530051", "MX4H6XHY7")</f>
        <v>MX4H6XHY7</v>
      </c>
      <c r="B11983" t="s">
        <v>1731</v>
      </c>
      <c r="C11983">
        <v>159</v>
      </c>
      <c r="D11983">
        <v>172.84</v>
      </c>
      <c r="E11983">
        <v>172.83</v>
      </c>
      <c r="F11983">
        <v>0.01</v>
      </c>
    </row>
    <row r="11984" spans="1:6" x14ac:dyDescent="0.3">
      <c r="A11984" t="str">
        <f>HYPERLINK("https://us2.cloudbeds.com/connect/10074733072513#/reservations/31722613231813?display=MXB79ZNKU&amp;reservation_id=31722613231813", "MXB79ZNKU")</f>
        <v>MXB79ZNKU</v>
      </c>
      <c r="B11984" t="s">
        <v>1803</v>
      </c>
      <c r="C11984">
        <v>258</v>
      </c>
      <c r="D11984">
        <v>280.45999999999998</v>
      </c>
      <c r="E11984">
        <v>280.45</v>
      </c>
      <c r="F11984">
        <v>0.01</v>
      </c>
    </row>
    <row r="11985" spans="1:6" x14ac:dyDescent="0.3">
      <c r="A11985" t="str">
        <f>HYPERLINK("https://us2.cloudbeds.com/connect/10074733072513#/reservations/31722788384946?display=MXBBPEK4K&amp;reservation_id=31722788384946", "MXBBPEK4K")</f>
        <v>MXBBPEK4K</v>
      </c>
      <c r="B11985" t="s">
        <v>1806</v>
      </c>
      <c r="C11985">
        <v>109</v>
      </c>
      <c r="D11985">
        <v>118.49</v>
      </c>
      <c r="E11985">
        <v>118.48</v>
      </c>
      <c r="F11985">
        <v>0.01</v>
      </c>
    </row>
    <row r="11986" spans="1:6" x14ac:dyDescent="0.3">
      <c r="A11986" t="str">
        <f>HYPERLINK("https://us2.cloudbeds.com/connect/10074733072513#/reservations/31717070295268?display=MX6UYQB2R&amp;reservation_id=31717070295268", "MX6UYQB2R")</f>
        <v>MX6UYQB2R</v>
      </c>
      <c r="B11986" t="s">
        <v>1690</v>
      </c>
      <c r="C11986">
        <v>378</v>
      </c>
      <c r="D11986">
        <v>410.9</v>
      </c>
      <c r="E11986">
        <v>410.89</v>
      </c>
      <c r="F11986">
        <v>0.01</v>
      </c>
    </row>
    <row r="11987" spans="1:6" x14ac:dyDescent="0.3">
      <c r="A11987" t="str">
        <f>HYPERLINK("https://us2.cloudbeds.com/connect/10074733072513#/reservations/31721398464707?display=MXA98E10G&amp;reservation_id=31721398464707", "MXA98E10G")</f>
        <v>MXA98E10G</v>
      </c>
      <c r="B11987" t="s">
        <v>1805</v>
      </c>
      <c r="C11987">
        <v>139</v>
      </c>
      <c r="D11987">
        <v>151.1</v>
      </c>
      <c r="E11987">
        <v>151.09</v>
      </c>
      <c r="F11987">
        <v>0.01</v>
      </c>
    </row>
    <row r="11988" spans="1:6" x14ac:dyDescent="0.3">
      <c r="A11988" t="str">
        <f>HYPERLINK("https://us2.cloudbeds.com/connect/10074733072513#/reservations/31722582245568?display=MXB6GKC2K&amp;reservation_id=31722582245568", "MXB6GKC2K")</f>
        <v>MXB6GKC2K</v>
      </c>
      <c r="B11988" t="s">
        <v>1803</v>
      </c>
      <c r="C11988">
        <v>129</v>
      </c>
      <c r="D11988">
        <v>140.22999999999999</v>
      </c>
      <c r="E11988">
        <v>140.22</v>
      </c>
      <c r="F11988">
        <v>0.01</v>
      </c>
    </row>
    <row r="11989" spans="1:6" x14ac:dyDescent="0.3">
      <c r="A11989" t="str">
        <f>HYPERLINK("https://us2.cloudbeds.com/connect/10074733072513#/reservations/31723716845707?display=MXC2GBD66&amp;reservation_id=31723716845707", "MXC2GBD66")</f>
        <v>MXC2GBD66</v>
      </c>
      <c r="B11989" t="s">
        <v>1808</v>
      </c>
      <c r="C11989">
        <v>109</v>
      </c>
      <c r="D11989">
        <v>118.49</v>
      </c>
      <c r="E11989">
        <v>118.48</v>
      </c>
      <c r="F11989">
        <v>0.01</v>
      </c>
    </row>
    <row r="11990" spans="1:6" x14ac:dyDescent="0.3">
      <c r="A11990" t="str">
        <f>HYPERLINK("https://us2.cloudbeds.com/connect/10074733072513#/reservations/31718759755988?display=MX87RD2B7&amp;reservation_id=31718759755988", "MX87RD2B7")</f>
        <v>MX87RD2B7</v>
      </c>
      <c r="B11990" t="s">
        <v>1786</v>
      </c>
      <c r="C11990">
        <v>258</v>
      </c>
      <c r="D11990">
        <v>280.45999999999998</v>
      </c>
      <c r="E11990">
        <v>280.45</v>
      </c>
      <c r="F11990">
        <v>0.01</v>
      </c>
    </row>
    <row r="11991" spans="1:6" x14ac:dyDescent="0.3">
      <c r="A11991" t="str">
        <f>HYPERLINK("https://us2.cloudbeds.com/connect/10074733072513#/reservations/31723700793500?display=MXC22QNSM&amp;reservation_id=31723700793500", "MXC22QNSM")</f>
        <v>MXC22QNSM</v>
      </c>
      <c r="B11991" t="s">
        <v>1808</v>
      </c>
      <c r="C11991">
        <v>109</v>
      </c>
      <c r="D11991">
        <v>118.49</v>
      </c>
      <c r="E11991">
        <v>118.48</v>
      </c>
      <c r="F11991">
        <v>0.01</v>
      </c>
    </row>
    <row r="11992" spans="1:6" x14ac:dyDescent="0.3">
      <c r="A11992" t="str">
        <f>HYPERLINK("https://us2.cloudbeds.com/connect/10074733072513#/reservations/31720554455230?display=MX9KMZ7BZ&amp;reservation_id=31720554455230", "MX9KMZ7BZ")</f>
        <v>MX9KMZ7BZ</v>
      </c>
      <c r="B11992" t="s">
        <v>1808</v>
      </c>
      <c r="C11992">
        <v>109</v>
      </c>
      <c r="D11992">
        <v>118.49</v>
      </c>
      <c r="E11992">
        <v>118.48</v>
      </c>
      <c r="F11992">
        <v>0.01</v>
      </c>
    </row>
    <row r="11993" spans="1:6" x14ac:dyDescent="0.3">
      <c r="A11993" t="str">
        <f>HYPERLINK("https://us2.cloudbeds.com/connect/10074733072513#/reservations/31722998870156?display=MXBH4UM5A&amp;reservation_id=31722998870156", "MXBH4UM5A")</f>
        <v>MXBH4UM5A</v>
      </c>
      <c r="B11993" t="s">
        <v>1809</v>
      </c>
      <c r="C11993">
        <v>102.58</v>
      </c>
      <c r="D11993">
        <v>111.51</v>
      </c>
      <c r="E11993">
        <v>111.5</v>
      </c>
      <c r="F11993">
        <v>0.01</v>
      </c>
    </row>
    <row r="11994" spans="1:6" x14ac:dyDescent="0.3">
      <c r="A11994" t="str">
        <f>HYPERLINK("https://us2.cloudbeds.com/connect/10074733072513#/reservations/31720500609237?display=MX9JAASWW&amp;reservation_id=31720500609237", "MX9JAASWW")</f>
        <v>MX9JAASWW</v>
      </c>
      <c r="B11994" t="s">
        <v>1810</v>
      </c>
      <c r="C11994">
        <v>73</v>
      </c>
      <c r="D11994">
        <v>79.36</v>
      </c>
      <c r="E11994">
        <v>79.349999999999994</v>
      </c>
      <c r="F11994">
        <v>0.01</v>
      </c>
    </row>
    <row r="11995" spans="1:6" x14ac:dyDescent="0.3">
      <c r="A11995" t="str">
        <f>HYPERLINK("https://us2.cloudbeds.com/connect/10074733072513#/reservations/31724496134364?display=MXCMDF8DW&amp;reservation_id=31724496134364", "MXCMDF8DW")</f>
        <v>MXCMDF8DW</v>
      </c>
      <c r="B11995" t="s">
        <v>1795</v>
      </c>
      <c r="C11995">
        <v>119</v>
      </c>
      <c r="D11995">
        <v>129.36000000000001</v>
      </c>
      <c r="E11995">
        <v>129.35</v>
      </c>
      <c r="F11995">
        <v>0.01</v>
      </c>
    </row>
    <row r="11996" spans="1:6" x14ac:dyDescent="0.3">
      <c r="A11996" t="str">
        <f>HYPERLINK("https://us2.cloudbeds.com/connect/10074733072513#/reservations/31718675259605?display=MX85M4RHP&amp;reservation_id=31718675259605", "MX85M4RHP")</f>
        <v>MX85M4RHP</v>
      </c>
      <c r="B11996" t="s">
        <v>1773</v>
      </c>
      <c r="C11996">
        <v>298</v>
      </c>
      <c r="D11996">
        <v>323.94</v>
      </c>
      <c r="E11996">
        <v>323.93</v>
      </c>
      <c r="F11996">
        <v>0.01</v>
      </c>
    </row>
    <row r="11997" spans="1:6" x14ac:dyDescent="0.3">
      <c r="A11997" t="str">
        <f>HYPERLINK("https://us2.cloudbeds.com/connect/10074733072513#/reservations/31720534180084?display=MX9K5Y17C&amp;reservation_id=31720534180084", "MX9K5Y17C")</f>
        <v>MX9K5Y17C</v>
      </c>
      <c r="B11997" t="s">
        <v>1810</v>
      </c>
      <c r="C11997">
        <v>109</v>
      </c>
      <c r="D11997">
        <v>118.49</v>
      </c>
      <c r="E11997">
        <v>118.48</v>
      </c>
      <c r="F11997">
        <v>0.01</v>
      </c>
    </row>
    <row r="11998" spans="1:6" x14ac:dyDescent="0.3">
      <c r="A11998" t="str">
        <f>HYPERLINK("https://us2.cloudbeds.com/connect/10074733072513#/reservations/31720475676865?display=MX9XMA38X&amp;reservation_id=31720475676865", "MX9XMA38X")</f>
        <v>MX9XMA38X</v>
      </c>
      <c r="B11998" t="s">
        <v>1810</v>
      </c>
      <c r="C11998">
        <v>87.82</v>
      </c>
      <c r="D11998">
        <v>95.47</v>
      </c>
      <c r="E11998">
        <v>95.46</v>
      </c>
      <c r="F11998">
        <v>0.01</v>
      </c>
    </row>
    <row r="11999" spans="1:6" x14ac:dyDescent="0.3">
      <c r="A11999" t="str">
        <f>HYPERLINK("https://us2.cloudbeds.com/connect/10074733072513#/reservations/31721977372857?display=MXAZ1J03N&amp;reservation_id=31721977372857", "MXAZ1J03N")</f>
        <v>MXAZ1J03N</v>
      </c>
      <c r="B11999" t="s">
        <v>1795</v>
      </c>
      <c r="C11999">
        <v>139</v>
      </c>
      <c r="D11999">
        <v>151.1</v>
      </c>
      <c r="E11999">
        <v>151.09</v>
      </c>
      <c r="F11999">
        <v>0.01</v>
      </c>
    </row>
    <row r="12000" spans="1:6" x14ac:dyDescent="0.3">
      <c r="A12000" t="str">
        <f>HYPERLINK("https://us2.cloudbeds.com/connect/10074733072513#/reservations/31723006505191?display=MXBHBC470&amp;reservation_id=31723006505191", "MXBHBC470")</f>
        <v>MXBHBC470</v>
      </c>
      <c r="B12000" t="s">
        <v>1809</v>
      </c>
      <c r="C12000">
        <v>102.58</v>
      </c>
      <c r="D12000">
        <v>111.51</v>
      </c>
      <c r="E12000">
        <v>111.5</v>
      </c>
      <c r="F12000">
        <v>0.01</v>
      </c>
    </row>
    <row r="12001" spans="1:6" x14ac:dyDescent="0.3">
      <c r="A12001" t="str">
        <f>HYPERLINK("https://us2.cloudbeds.com/connect/10074733072513#/reservations/31719195955378?display=MX8XW6VZX&amp;reservation_id=31719195955378", "MX8XW6VZX")</f>
        <v>MX8XW6VZX</v>
      </c>
      <c r="B12001" t="s">
        <v>1810</v>
      </c>
      <c r="C12001">
        <v>139</v>
      </c>
      <c r="D12001">
        <v>151.1</v>
      </c>
      <c r="E12001">
        <v>151.09</v>
      </c>
      <c r="F12001">
        <v>0.01</v>
      </c>
    </row>
    <row r="12002" spans="1:6" x14ac:dyDescent="0.3">
      <c r="A12002" t="str">
        <f>HYPERLINK("https://us2.cloudbeds.com/connect/10074733072513#/reservations/31720545550561?display=MX9KF7EE9&amp;reservation_id=31720545550561", "MX9KF7EE9")</f>
        <v>MX9KF7EE9</v>
      </c>
      <c r="B12002" t="s">
        <v>1810</v>
      </c>
      <c r="C12002">
        <v>119</v>
      </c>
      <c r="D12002">
        <v>129.36000000000001</v>
      </c>
      <c r="E12002">
        <v>129.35</v>
      </c>
      <c r="F12002">
        <v>0.01</v>
      </c>
    </row>
    <row r="12003" spans="1:6" x14ac:dyDescent="0.3">
      <c r="A12003" t="str">
        <f>HYPERLINK("https://us2.cloudbeds.com/connect/10074733072513#/reservations/31719172579569?display=MX8XCGGBN&amp;reservation_id=31719172579569", "MX8XCGGBN")</f>
        <v>MX8XCGGBN</v>
      </c>
      <c r="B12003" t="s">
        <v>1814</v>
      </c>
      <c r="C12003">
        <v>73</v>
      </c>
      <c r="D12003">
        <v>79.36</v>
      </c>
      <c r="E12003">
        <v>79.349999999999994</v>
      </c>
      <c r="F12003">
        <v>0.01</v>
      </c>
    </row>
    <row r="12004" spans="1:6" x14ac:dyDescent="0.3">
      <c r="A12004" t="str">
        <f>HYPERLINK("https://us2.cloudbeds.com/connect/10074733072513#/reservations/31722534719662?display=MXB59HWWR&amp;reservation_id=31722534719662", "MXB59HWWR")</f>
        <v>MXB59HWWR</v>
      </c>
      <c r="B12004" t="s">
        <v>1814</v>
      </c>
      <c r="C12004">
        <v>99</v>
      </c>
      <c r="D12004">
        <v>107.62</v>
      </c>
      <c r="E12004">
        <v>107.61</v>
      </c>
      <c r="F12004">
        <v>0.01</v>
      </c>
    </row>
    <row r="12005" spans="1:6" x14ac:dyDescent="0.3">
      <c r="A12005" t="str">
        <f>HYPERLINK("https://us2.cloudbeds.com/connect/10074733072513#/reservations/31721392279709?display=MXA936UGA&amp;reservation_id=31721392279709", "MXA936UGA")</f>
        <v>MXA936UGA</v>
      </c>
      <c r="B12005" t="s">
        <v>1805</v>
      </c>
      <c r="C12005">
        <v>73</v>
      </c>
      <c r="D12005">
        <v>79.36</v>
      </c>
      <c r="E12005">
        <v>79.349999999999994</v>
      </c>
      <c r="F12005">
        <v>0.01</v>
      </c>
    </row>
    <row r="12006" spans="1:6" x14ac:dyDescent="0.3">
      <c r="A12006" t="str">
        <f>HYPERLINK("https://us2.cloudbeds.com/connect/10074733072513#/reservations/31721353646214?display=MXA83KTCB&amp;reservation_id=31721353646214", "MXA83KTCB")</f>
        <v>MXA83KTCB</v>
      </c>
      <c r="B12006" t="s">
        <v>1805</v>
      </c>
      <c r="C12006">
        <v>150</v>
      </c>
      <c r="D12006">
        <v>163.06</v>
      </c>
      <c r="E12006">
        <v>163.05000000000001</v>
      </c>
      <c r="F12006">
        <v>0.01</v>
      </c>
    </row>
    <row r="12007" spans="1:6" x14ac:dyDescent="0.3">
      <c r="A12007" t="str">
        <f>HYPERLINK("https://us2.cloudbeds.com/connect/10074733072513#/reservations/31719601737877?display=MX8TBCF3U&amp;reservation_id=31719601737877", "MX8TBCF3U")</f>
        <v>MX8TBCF3U</v>
      </c>
      <c r="B12007" t="s">
        <v>1815</v>
      </c>
      <c r="C12007">
        <v>420</v>
      </c>
      <c r="D12007">
        <v>456.55</v>
      </c>
      <c r="E12007">
        <v>456.54</v>
      </c>
      <c r="F12007">
        <v>0.01</v>
      </c>
    </row>
    <row r="12008" spans="1:6" x14ac:dyDescent="0.3">
      <c r="A12008" t="str">
        <f>HYPERLINK("https://us2.cloudbeds.com/connect/10074733072513#/reservations/31719576817816?display=MX8SNC0MX&amp;reservation_id=31719576817816", "MX8SNC0MX")</f>
        <v>MX8SNC0MX</v>
      </c>
      <c r="B12008" t="s">
        <v>1815</v>
      </c>
      <c r="C12008">
        <v>109</v>
      </c>
      <c r="D12008">
        <v>118.49</v>
      </c>
      <c r="E12008">
        <v>118.48</v>
      </c>
      <c r="F12008">
        <v>0.01</v>
      </c>
    </row>
    <row r="12009" spans="1:6" x14ac:dyDescent="0.3">
      <c r="A12009" t="str">
        <f>HYPERLINK("https://us2.cloudbeds.com/connect/10074733072513#/reservations/31722516471942?display=MXB4R57JK&amp;reservation_id=31722516471942", "MXB4R57JK")</f>
        <v>MXB4R57JK</v>
      </c>
      <c r="B12009" t="s">
        <v>1814</v>
      </c>
      <c r="C12009">
        <v>73</v>
      </c>
      <c r="D12009">
        <v>79.36</v>
      </c>
      <c r="E12009">
        <v>79.349999999999994</v>
      </c>
      <c r="F12009">
        <v>0.01</v>
      </c>
    </row>
    <row r="12010" spans="1:6" x14ac:dyDescent="0.3">
      <c r="A12010" t="str">
        <f>HYPERLINK("https://us2.cloudbeds.com/connect/10074733072513#/reservations/31719188099278?display=MX8XPJBMU&amp;reservation_id=31719188099278", "MX8XPJBMU")</f>
        <v>MX8XPJBMU</v>
      </c>
      <c r="B12010" t="s">
        <v>1814</v>
      </c>
      <c r="C12010">
        <v>99</v>
      </c>
      <c r="D12010">
        <v>107.62</v>
      </c>
      <c r="E12010">
        <v>107.61</v>
      </c>
      <c r="F12010">
        <v>0.01</v>
      </c>
    </row>
    <row r="12011" spans="1:6" x14ac:dyDescent="0.3">
      <c r="A12011" t="str">
        <f>HYPERLINK("https://us2.cloudbeds.com/connect/10074733072513#/reservations/31722440216792?display=MXB2SSAGG&amp;reservation_id=31722440216792", "MXB2SSAGG")</f>
        <v>MXB2SSAGG</v>
      </c>
      <c r="B12011" t="s">
        <v>1805</v>
      </c>
      <c r="C12011">
        <v>119</v>
      </c>
      <c r="D12011">
        <v>129.36000000000001</v>
      </c>
      <c r="E12011">
        <v>129.35</v>
      </c>
      <c r="F12011">
        <v>0.01</v>
      </c>
    </row>
    <row r="12012" spans="1:6" x14ac:dyDescent="0.3">
      <c r="A12012" t="str">
        <f>HYPERLINK("https://us2.cloudbeds.com/connect/10074733072513#/reservations/31723148943562?display=MXBKWFMK9&amp;reservation_id=31723148943562", "MXBKWFMK9")</f>
        <v>MXBKWFMK9</v>
      </c>
      <c r="B12012" t="s">
        <v>1812</v>
      </c>
      <c r="C12012">
        <v>178</v>
      </c>
      <c r="D12012">
        <v>193.5</v>
      </c>
      <c r="E12012">
        <v>193.49</v>
      </c>
      <c r="F12012">
        <v>0.01</v>
      </c>
    </row>
    <row r="12013" spans="1:6" x14ac:dyDescent="0.3">
      <c r="A12013" t="str">
        <f>HYPERLINK("https://us2.cloudbeds.com/connect/10074733072513#/reservations/31715808112804?display=MX5VDG86C&amp;reservation_id=31715808112804", "MX5VDG86C")</f>
        <v>MX5VDG86C</v>
      </c>
      <c r="B12013" t="s">
        <v>1816</v>
      </c>
      <c r="C12013">
        <v>318</v>
      </c>
      <c r="D12013">
        <v>345.68</v>
      </c>
      <c r="E12013">
        <v>345.67</v>
      </c>
      <c r="F12013">
        <v>0.01</v>
      </c>
    </row>
    <row r="12014" spans="1:6" x14ac:dyDescent="0.3">
      <c r="A12014" t="str">
        <f>HYPERLINK("https://us2.cloudbeds.com/connect/10074733072513#/reservations/31715823698131?display=MX5VQKUQ0&amp;reservation_id=31715823698131", "MX5VQKUQ0")</f>
        <v>MX5VQKUQ0</v>
      </c>
      <c r="B12014" t="s">
        <v>1816</v>
      </c>
      <c r="C12014">
        <v>159</v>
      </c>
      <c r="D12014">
        <v>172.84</v>
      </c>
      <c r="E12014">
        <v>172.83</v>
      </c>
      <c r="F12014">
        <v>0.01</v>
      </c>
    </row>
    <row r="12015" spans="1:6" x14ac:dyDescent="0.3">
      <c r="A12015" t="str">
        <f>HYPERLINK("https://us2.cloudbeds.com/connect/10074733072513#/reservations/31724171825401?display=MXCE3WT1Y&amp;reservation_id=31724171825401", "MXCE3WT1Y")</f>
        <v>MXCE3WT1Y</v>
      </c>
      <c r="B12015" t="s">
        <v>1817</v>
      </c>
      <c r="C12015">
        <v>420</v>
      </c>
      <c r="D12015">
        <v>456.55</v>
      </c>
      <c r="E12015">
        <v>456.54</v>
      </c>
      <c r="F12015">
        <v>0.01</v>
      </c>
    </row>
    <row r="12016" spans="1:6" x14ac:dyDescent="0.3">
      <c r="A12016" t="str">
        <f>HYPERLINK("https://us2.cloudbeds.com/connect/10074733072513#/reservations/31722316730520?display=MXAWNZ4A8&amp;reservation_id=31722316730520", "MXAWNZ4A8")</f>
        <v>MXAWNZ4A8</v>
      </c>
      <c r="B12016" t="s">
        <v>1804</v>
      </c>
      <c r="C12016">
        <v>195.48</v>
      </c>
      <c r="D12016">
        <v>212.5</v>
      </c>
      <c r="E12016">
        <v>212.49</v>
      </c>
      <c r="F12016">
        <v>0.01</v>
      </c>
    </row>
    <row r="12017" spans="1:6" x14ac:dyDescent="0.3">
      <c r="A12017" t="str">
        <f>HYPERLINK("https://us2.cloudbeds.com/connect/10074733072513#/reservations/31719166468298?display=MX8X7BEHM&amp;reservation_id=31719166468298", "MX8X7BEHM")</f>
        <v>MX8X7BEHM</v>
      </c>
      <c r="B12017" t="s">
        <v>1799</v>
      </c>
      <c r="C12017">
        <v>139</v>
      </c>
      <c r="D12017">
        <v>151.1</v>
      </c>
      <c r="E12017">
        <v>151.09</v>
      </c>
      <c r="F12017">
        <v>0.01</v>
      </c>
    </row>
    <row r="12018" spans="1:6" x14ac:dyDescent="0.3">
      <c r="A12018" t="str">
        <f>HYPERLINK("https://us2.cloudbeds.com/connect/10074733072513#/reservations/31719199760529?display=MX8J2DRU5&amp;reservation_id=31719199760529", "MX8J2DRU5")</f>
        <v>MX8J2DRU5</v>
      </c>
      <c r="B12018" t="s">
        <v>1799</v>
      </c>
      <c r="C12018">
        <v>129</v>
      </c>
      <c r="D12018">
        <v>140.22999999999999</v>
      </c>
      <c r="E12018">
        <v>140.22</v>
      </c>
      <c r="F12018">
        <v>0.01</v>
      </c>
    </row>
    <row r="12019" spans="1:6" x14ac:dyDescent="0.3">
      <c r="A12019" t="str">
        <f>HYPERLINK("https://us2.cloudbeds.com/connect/10074733072513#/reservations/31720250400964?display=MX9CUBFB3&amp;reservation_id=31720250400964", "MX9CUBFB3")</f>
        <v>MX9CUBFB3</v>
      </c>
      <c r="B12019" t="s">
        <v>1818</v>
      </c>
      <c r="C12019">
        <v>129</v>
      </c>
      <c r="D12019">
        <v>140.22999999999999</v>
      </c>
      <c r="E12019">
        <v>140.22</v>
      </c>
      <c r="F12019">
        <v>0.01</v>
      </c>
    </row>
    <row r="12020" spans="1:6" x14ac:dyDescent="0.3">
      <c r="A12020" t="str">
        <f>HYPERLINK("https://us2.cloudbeds.com/connect/10074733072513#/reservations/31719209980145?display=MX8JB17AG&amp;reservation_id=31719209980145", "MX8JB17AG")</f>
        <v>MX8JB17AG</v>
      </c>
      <c r="B12020" t="s">
        <v>1799</v>
      </c>
      <c r="C12020">
        <v>129</v>
      </c>
      <c r="D12020">
        <v>140.22999999999999</v>
      </c>
      <c r="E12020">
        <v>140.22</v>
      </c>
      <c r="F12020">
        <v>0.01</v>
      </c>
    </row>
    <row r="12021" spans="1:6" x14ac:dyDescent="0.3">
      <c r="A12021" t="str">
        <f>HYPERLINK("https://us2.cloudbeds.com/connect/10074733072513#/reservations/31719070818504?display=MX8FPMRS2&amp;reservation_id=31719070818504", "MX8FPMRS2")</f>
        <v>MX8FPMRS2</v>
      </c>
      <c r="B12021" t="s">
        <v>1815</v>
      </c>
      <c r="C12021">
        <v>99</v>
      </c>
      <c r="D12021">
        <v>107.62</v>
      </c>
      <c r="E12021">
        <v>107.61</v>
      </c>
      <c r="F12021">
        <v>0.01</v>
      </c>
    </row>
    <row r="12022" spans="1:6" x14ac:dyDescent="0.3">
      <c r="A12022" t="str">
        <f>HYPERLINK("https://us2.cloudbeds.com/connect/10074733072513#/reservations/31723214635227?display=MXBMYSYHQ&amp;reservation_id=31723214635227", "MXBMYSYHQ")</f>
        <v>MXBMYSYHQ</v>
      </c>
      <c r="B12022" t="s">
        <v>1819</v>
      </c>
      <c r="C12022">
        <v>219.92</v>
      </c>
      <c r="D12022">
        <v>239.06</v>
      </c>
      <c r="E12022">
        <v>239.05</v>
      </c>
      <c r="F12022">
        <v>0.01</v>
      </c>
    </row>
    <row r="12023" spans="1:6" x14ac:dyDescent="0.3">
      <c r="A12023" t="str">
        <f>HYPERLINK("https://us2.cloudbeds.com/connect/10074733072513#/reservations/31724207308947?display=MXCF0U8YK&amp;reservation_id=31724207308947", "MXCF0U8YK")</f>
        <v>MXCF0U8YK</v>
      </c>
      <c r="B12023" t="s">
        <v>1817</v>
      </c>
      <c r="C12023">
        <v>198</v>
      </c>
      <c r="D12023">
        <v>215.24</v>
      </c>
      <c r="E12023">
        <v>215.23</v>
      </c>
      <c r="F12023">
        <v>0.01</v>
      </c>
    </row>
    <row r="12024" spans="1:6" x14ac:dyDescent="0.3">
      <c r="A12024" t="str">
        <f>HYPERLINK("https://us2.cloudbeds.com/connect/10074733072513#/reservations/31723121623186?display=MXBK9EF13&amp;reservation_id=31723121623186", "MXBK9EF13")</f>
        <v>MXBK9EF13</v>
      </c>
      <c r="B12024" t="s">
        <v>1812</v>
      </c>
      <c r="C12024">
        <v>99</v>
      </c>
      <c r="D12024">
        <v>107.62</v>
      </c>
      <c r="E12024">
        <v>107.61</v>
      </c>
      <c r="F12024">
        <v>0.01</v>
      </c>
    </row>
    <row r="12025" spans="1:6" x14ac:dyDescent="0.3">
      <c r="A12025" t="str">
        <f>HYPERLINK("https://us2.cloudbeds.com/connect/10074733072513#/reservations/31718501363907?display=MX817GUN5&amp;reservation_id=31718501363907", "MX817GUN5")</f>
        <v>MX817GUN5</v>
      </c>
      <c r="B12025" t="s">
        <v>1760</v>
      </c>
      <c r="C12025">
        <v>318</v>
      </c>
      <c r="D12025">
        <v>345.68</v>
      </c>
      <c r="E12025">
        <v>345.67</v>
      </c>
      <c r="F12025">
        <v>0.01</v>
      </c>
    </row>
    <row r="12026" spans="1:6" x14ac:dyDescent="0.3">
      <c r="A12026" t="str">
        <f>HYPERLINK("https://us2.cloudbeds.com/connect/10074733072513#/reservations/31724074156168?display=MXCBKY2VU&amp;reservation_id=31724074156168", "MXCBKY2VU")</f>
        <v>MXCBKY2VU</v>
      </c>
      <c r="B12026" t="s">
        <v>1820</v>
      </c>
      <c r="C12026">
        <v>99</v>
      </c>
      <c r="D12026">
        <v>107.62</v>
      </c>
      <c r="E12026">
        <v>107.61</v>
      </c>
      <c r="F12026">
        <v>0.01</v>
      </c>
    </row>
    <row r="12027" spans="1:6" x14ac:dyDescent="0.3">
      <c r="A12027" t="str">
        <f>HYPERLINK("https://us2.cloudbeds.com/connect/10074733072513#/reservations/31721984254159?display=MXAZ7CG10&amp;reservation_id=31721984254159", "MXAZ7CG10")</f>
        <v>MXAZ7CG10</v>
      </c>
      <c r="B12027" t="s">
        <v>1795</v>
      </c>
      <c r="C12027">
        <v>119</v>
      </c>
      <c r="D12027">
        <v>129.36000000000001</v>
      </c>
      <c r="E12027">
        <v>129.35</v>
      </c>
      <c r="F12027">
        <v>0.01</v>
      </c>
    </row>
    <row r="12028" spans="1:6" x14ac:dyDescent="0.3">
      <c r="A12028" t="str">
        <f>HYPERLINK("https://us2.cloudbeds.com/connect/10074733072513#/reservations/31717410881769?display=MX76BWYMT&amp;reservation_id=31717410881769", "MX76BWYMT")</f>
        <v>MX76BWYMT</v>
      </c>
      <c r="B12028" t="s">
        <v>1821</v>
      </c>
      <c r="C12028">
        <v>102.58</v>
      </c>
      <c r="D12028">
        <v>111.51</v>
      </c>
      <c r="E12028">
        <v>111.5</v>
      </c>
      <c r="F12028">
        <v>0.01</v>
      </c>
    </row>
    <row r="12029" spans="1:6" x14ac:dyDescent="0.3">
      <c r="A12029" t="str">
        <f>HYPERLINK("https://us2.cloudbeds.com/connect/10074733072513#/reservations/31724161478796?display=MXCDS8W14&amp;reservation_id=31724161478796", "MXCDS8W14")</f>
        <v>MXCDS8W14</v>
      </c>
      <c r="B12029" t="s">
        <v>1817</v>
      </c>
      <c r="C12029">
        <v>99</v>
      </c>
      <c r="D12029">
        <v>107.62</v>
      </c>
      <c r="E12029">
        <v>107.61</v>
      </c>
      <c r="F12029">
        <v>0.01</v>
      </c>
    </row>
    <row r="12030" spans="1:6" x14ac:dyDescent="0.3">
      <c r="A12030" t="str">
        <f>HYPERLINK("https://us2.cloudbeds.com/connect/10074733072513#/reservations/31715949478094?display=MX620MV71&amp;reservation_id=31715949478094", "MX620MV71")</f>
        <v>MX620MV71</v>
      </c>
      <c r="B12030" t="s">
        <v>1760</v>
      </c>
      <c r="C12030">
        <v>149</v>
      </c>
      <c r="D12030">
        <v>161.97</v>
      </c>
      <c r="E12030">
        <v>161.96</v>
      </c>
      <c r="F12030">
        <v>0.01</v>
      </c>
    </row>
    <row r="12031" spans="1:6" x14ac:dyDescent="0.3">
      <c r="A12031" t="str">
        <f>HYPERLINK("https://us2.cloudbeds.com/connect/10074733072513#/reservations/31724420288708?display=MXCKFGZBP&amp;reservation_id=31724420288708", "MXCKFGZBP")</f>
        <v>MXCKFGZBP</v>
      </c>
      <c r="B12031" t="s">
        <v>1822</v>
      </c>
      <c r="C12031">
        <v>99</v>
      </c>
      <c r="D12031">
        <v>107.62</v>
      </c>
      <c r="E12031">
        <v>107.61</v>
      </c>
      <c r="F12031">
        <v>0.01</v>
      </c>
    </row>
    <row r="12032" spans="1:6" x14ac:dyDescent="0.3">
      <c r="A12032" t="str">
        <f>HYPERLINK("https://us2.cloudbeds.com/connect/10074733072513#/reservations/31724413133052?display=MXCK9FKGN&amp;reservation_id=31724413133052", "MXCK9FKGN")</f>
        <v>MXCK9FKGN</v>
      </c>
      <c r="B12032" t="s">
        <v>1822</v>
      </c>
      <c r="C12032">
        <v>99</v>
      </c>
      <c r="D12032">
        <v>107.62</v>
      </c>
      <c r="E12032">
        <v>107.61</v>
      </c>
      <c r="F12032">
        <v>0.01</v>
      </c>
    </row>
    <row r="12033" spans="1:6" x14ac:dyDescent="0.3">
      <c r="A12033" t="str">
        <f>HYPERLINK("https://us2.cloudbeds.com/connect/10074733072513#/reservations/31724404240549?display=MXCK1W5ZU&amp;reservation_id=31724404240549", "MXCK1W5ZU")</f>
        <v>MXCK1W5ZU</v>
      </c>
      <c r="B12033" t="s">
        <v>1822</v>
      </c>
      <c r="C12033">
        <v>99</v>
      </c>
      <c r="D12033">
        <v>107.62</v>
      </c>
      <c r="E12033">
        <v>107.61</v>
      </c>
      <c r="F12033">
        <v>0.01</v>
      </c>
    </row>
    <row r="12034" spans="1:6" x14ac:dyDescent="0.3">
      <c r="A12034" t="str">
        <f>HYPERLINK("https://us2.cloudbeds.com/connect/10074733072513#/reservations/31715377066130?display=MX5KD0ZCV&amp;reservation_id=31715377066130", "MX5KD0ZCV")</f>
        <v>MX5KD0ZCV</v>
      </c>
      <c r="B12034" t="s">
        <v>1823</v>
      </c>
      <c r="C12034">
        <v>238</v>
      </c>
      <c r="D12034">
        <v>258.72000000000003</v>
      </c>
      <c r="E12034">
        <v>258.70999999999998</v>
      </c>
      <c r="F12034">
        <v>0.01</v>
      </c>
    </row>
    <row r="12035" spans="1:6" x14ac:dyDescent="0.3">
      <c r="A12035" t="str">
        <f>HYPERLINK("https://us2.cloudbeds.com/connect/10074733072513#/reservations/31724254281875?display=MXCG7HBYM&amp;reservation_id=31724254281875", "MXCG7HBYM")</f>
        <v>MXCG7HBYM</v>
      </c>
      <c r="B12035" t="s">
        <v>1817</v>
      </c>
      <c r="C12035">
        <v>99</v>
      </c>
      <c r="D12035">
        <v>107.62</v>
      </c>
      <c r="E12035">
        <v>107.61</v>
      </c>
      <c r="F12035">
        <v>0.01</v>
      </c>
    </row>
    <row r="12036" spans="1:6" x14ac:dyDescent="0.3">
      <c r="A12036" t="str">
        <f>HYPERLINK("https://us2.cloudbeds.com/connect/10074733072513#/reservations/31724289990839?display=MXCH4Y08G&amp;reservation_id=31724289990839", "MXCH4Y08G")</f>
        <v>MXCH4Y08G</v>
      </c>
      <c r="B12036" t="s">
        <v>1817</v>
      </c>
      <c r="C12036">
        <v>99</v>
      </c>
      <c r="D12036">
        <v>107.62</v>
      </c>
      <c r="E12036">
        <v>107.61</v>
      </c>
      <c r="F12036">
        <v>0.01</v>
      </c>
    </row>
    <row r="12037" spans="1:6" x14ac:dyDescent="0.3">
      <c r="A12037" t="str">
        <f>HYPERLINK("https://us2.cloudbeds.com/connect/10074733072513#/reservations/31719392821432?display=MX8Z071YX&amp;reservation_id=31719392821432", "MX8Z071YX")</f>
        <v>MX8Z071YX</v>
      </c>
      <c r="B12037" t="s">
        <v>1795</v>
      </c>
      <c r="C12037">
        <v>119</v>
      </c>
      <c r="D12037">
        <v>129.36000000000001</v>
      </c>
      <c r="E12037">
        <v>129.35</v>
      </c>
      <c r="F12037">
        <v>0.01</v>
      </c>
    </row>
    <row r="12038" spans="1:6" x14ac:dyDescent="0.3">
      <c r="A12038" t="str">
        <f>HYPERLINK("https://us2.cloudbeds.com/connect/10074733072513#/reservations/31719381405923?display=MX8NNJD31&amp;reservation_id=31719381405923", "MX8NNJD31")</f>
        <v>MX8NNJD31</v>
      </c>
      <c r="B12038" t="s">
        <v>1795</v>
      </c>
      <c r="C12038">
        <v>119</v>
      </c>
      <c r="D12038">
        <v>129.36000000000001</v>
      </c>
      <c r="E12038">
        <v>129.35</v>
      </c>
      <c r="F12038">
        <v>0.01</v>
      </c>
    </row>
    <row r="12039" spans="1:6" x14ac:dyDescent="0.3">
      <c r="A12039" t="str">
        <f>HYPERLINK("https://us2.cloudbeds.com/connect/10074733072513#/reservations/31721993347255?display=MXAZF1GWC&amp;reservation_id=31721993347255", "MXAZF1GWC")</f>
        <v>MXAZF1GWC</v>
      </c>
      <c r="B12039" t="s">
        <v>1795</v>
      </c>
      <c r="C12039">
        <v>119</v>
      </c>
      <c r="D12039">
        <v>129.36000000000001</v>
      </c>
      <c r="E12039">
        <v>129.35</v>
      </c>
      <c r="F12039">
        <v>0.01</v>
      </c>
    </row>
    <row r="12040" spans="1:6" x14ac:dyDescent="0.3">
      <c r="A12040" t="str">
        <f>HYPERLINK("https://us2.cloudbeds.com/connect/10074733072513#/reservations/31719450157252?display=MX8PFXGKY&amp;reservation_id=31719450157252", "MX8PFXGKY")</f>
        <v>MX8PFXGKY</v>
      </c>
      <c r="B12040" t="s">
        <v>1795</v>
      </c>
      <c r="C12040">
        <v>238</v>
      </c>
      <c r="D12040">
        <v>258.72000000000003</v>
      </c>
      <c r="E12040">
        <v>258.70999999999998</v>
      </c>
      <c r="F12040">
        <v>0.01</v>
      </c>
    </row>
    <row r="12041" spans="1:6" x14ac:dyDescent="0.3">
      <c r="A12041" t="str">
        <f>HYPERLINK("https://us2.cloudbeds.com/connect/10074733072513#/reservations/31722284544204?display=MXAVTJGFB&amp;reservation_id=31722284544204", "MXAVTJGFB")</f>
        <v>MXAVTJGFB</v>
      </c>
      <c r="B12041" t="s">
        <v>1822</v>
      </c>
      <c r="C12041">
        <v>109</v>
      </c>
      <c r="D12041">
        <v>118.49</v>
      </c>
      <c r="E12041">
        <v>118.48</v>
      </c>
      <c r="F12041">
        <v>0.01</v>
      </c>
    </row>
    <row r="12042" spans="1:6" x14ac:dyDescent="0.3">
      <c r="A12042" t="str">
        <f>HYPERLINK("https://us2.cloudbeds.com/connect/10074733072513#/reservations/31723430797498?display=MXBS64MYY&amp;reservation_id=31723430797498", "MXBS64MYY")</f>
        <v>MXBS64MYY</v>
      </c>
      <c r="B12042" t="s">
        <v>1802</v>
      </c>
      <c r="C12042">
        <v>278</v>
      </c>
      <c r="D12042">
        <v>302.2</v>
      </c>
      <c r="E12042">
        <v>302.19</v>
      </c>
      <c r="F12042">
        <v>0.01</v>
      </c>
    </row>
    <row r="12043" spans="1:6" x14ac:dyDescent="0.3">
      <c r="A12043" t="str">
        <f>HYPERLINK("https://us2.cloudbeds.com/connect/10074733072513#/reservations/31719434309801?display=MX8P26HAS&amp;reservation_id=31719434309801", "MX8P26HAS")</f>
        <v>MX8P26HAS</v>
      </c>
      <c r="B12043" t="s">
        <v>1795</v>
      </c>
      <c r="C12043">
        <v>129</v>
      </c>
      <c r="D12043">
        <v>140.22999999999999</v>
      </c>
      <c r="E12043">
        <v>140.22</v>
      </c>
      <c r="F12043">
        <v>0.01</v>
      </c>
    </row>
    <row r="12044" spans="1:6" x14ac:dyDescent="0.3">
      <c r="A12044" t="str">
        <f>HYPERLINK("https://us2.cloudbeds.com/connect/10074733072513#/reservations/31724086046958?display=MXCBUYVVT&amp;reservation_id=31724086046958", "MXCBUYVVT")</f>
        <v>MXCBUYVVT</v>
      </c>
      <c r="B12044" t="s">
        <v>1820</v>
      </c>
      <c r="C12044">
        <v>129</v>
      </c>
      <c r="D12044">
        <v>140.22999999999999</v>
      </c>
      <c r="E12044">
        <v>140.22</v>
      </c>
      <c r="F12044">
        <v>0.01</v>
      </c>
    </row>
    <row r="12045" spans="1:6" x14ac:dyDescent="0.3">
      <c r="A12045" t="str">
        <f>HYPERLINK("https://us2.cloudbeds.com/connect/10074733072513#/reservations/31723487461515?display=MXBTKUEZ2&amp;reservation_id=31723487461515", "MXBTKUEZ2")</f>
        <v>MXBTKUEZ2</v>
      </c>
      <c r="B12045" t="s">
        <v>1802</v>
      </c>
      <c r="C12045">
        <v>139</v>
      </c>
      <c r="D12045">
        <v>151.1</v>
      </c>
      <c r="E12045">
        <v>151.09</v>
      </c>
      <c r="F12045">
        <v>0.01</v>
      </c>
    </row>
    <row r="12046" spans="1:6" x14ac:dyDescent="0.3">
      <c r="A12046" t="str">
        <f>HYPERLINK("https://us2.cloudbeds.com/connect/10074733072513#/reservations/31720730345604?display=MX9P61KS2&amp;reservation_id=31720730345604", "MX9P61KS2")</f>
        <v>MX9P61KS2</v>
      </c>
      <c r="B12046" t="s">
        <v>1802</v>
      </c>
      <c r="C12046">
        <v>313.2</v>
      </c>
      <c r="D12046">
        <v>340.46</v>
      </c>
      <c r="E12046">
        <v>340.45</v>
      </c>
      <c r="F12046">
        <v>0.01</v>
      </c>
    </row>
    <row r="12047" spans="1:6" x14ac:dyDescent="0.3">
      <c r="A12047" t="str">
        <f>HYPERLINK("https://us2.cloudbeds.com/connect/10074733072513#/reservations/31723839955169?display=MXC5Y53BV&amp;reservation_id=31723839955169", "MXC5Y53BV")</f>
        <v>MXC5Y53BV</v>
      </c>
      <c r="B12047" t="s">
        <v>1797</v>
      </c>
      <c r="C12047">
        <v>119</v>
      </c>
      <c r="D12047">
        <v>129.36000000000001</v>
      </c>
      <c r="E12047">
        <v>129.35</v>
      </c>
      <c r="F12047">
        <v>0.01</v>
      </c>
    </row>
    <row r="12048" spans="1:6" x14ac:dyDescent="0.3">
      <c r="A12048" t="str">
        <f>HYPERLINK("https://us2.cloudbeds.com/connect/10074733072513#/reservations/31724125778142?display=MXCCV5X25&amp;reservation_id=31724125778142", "MXCCV5X25")</f>
        <v>MXCCV5X25</v>
      </c>
      <c r="B12048" t="s">
        <v>1820</v>
      </c>
      <c r="C12048">
        <v>73</v>
      </c>
      <c r="D12048">
        <v>79.36</v>
      </c>
      <c r="E12048">
        <v>79.349999999999994</v>
      </c>
      <c r="F12048">
        <v>0.01</v>
      </c>
    </row>
    <row r="12049" spans="1:6" x14ac:dyDescent="0.3">
      <c r="A12049" t="str">
        <f>HYPERLINK("https://us2.cloudbeds.com/connect/10074733072513#/reservations/31721306644642?display=MXA6U0029&amp;reservation_id=31721306644642", "MXA6U0029")</f>
        <v>MXA6U0029</v>
      </c>
      <c r="B12049" t="s">
        <v>1824</v>
      </c>
      <c r="C12049">
        <v>99</v>
      </c>
      <c r="D12049">
        <v>107.62</v>
      </c>
      <c r="E12049">
        <v>107.61</v>
      </c>
      <c r="F12049">
        <v>0.01</v>
      </c>
    </row>
    <row r="12050" spans="1:6" x14ac:dyDescent="0.3">
      <c r="A12050" t="str">
        <f>HYPERLINK("https://us2.cloudbeds.com/connect/10074733072513#/reservations/31721289384177?display=MXA6FEN7T&amp;reservation_id=31721289384177", "MXA6FEN7T")</f>
        <v>MXA6FEN7T</v>
      </c>
      <c r="B12050" t="s">
        <v>1824</v>
      </c>
      <c r="C12050">
        <v>129</v>
      </c>
      <c r="D12050">
        <v>140.22999999999999</v>
      </c>
      <c r="E12050">
        <v>140.22</v>
      </c>
      <c r="F12050">
        <v>0.01</v>
      </c>
    </row>
    <row r="12051" spans="1:6" x14ac:dyDescent="0.3">
      <c r="A12051" t="str">
        <f>HYPERLINK("https://us2.cloudbeds.com/connect/10074733072513#/reservations/31721282240648?display=MXA69DUHA&amp;reservation_id=31721282240648", "MXA69DUHA")</f>
        <v>MXA69DUHA</v>
      </c>
      <c r="B12051" t="s">
        <v>1824</v>
      </c>
      <c r="C12051">
        <v>252</v>
      </c>
      <c r="D12051">
        <v>273.93</v>
      </c>
      <c r="E12051">
        <v>273.92</v>
      </c>
      <c r="F12051">
        <v>0.01</v>
      </c>
    </row>
    <row r="12052" spans="1:6" x14ac:dyDescent="0.3">
      <c r="A12052" t="str">
        <f>HYPERLINK("https://us2.cloudbeds.com/connect/10074733072513#/reservations/31723037876363?display=MXBX4R2HJ&amp;reservation_id=31723037876363", "MXBX4R2HJ")</f>
        <v>MXBX4R2HJ</v>
      </c>
      <c r="B12052" t="s">
        <v>1809</v>
      </c>
      <c r="C12052">
        <v>119</v>
      </c>
      <c r="D12052">
        <v>129.36000000000001</v>
      </c>
      <c r="E12052">
        <v>129.35</v>
      </c>
      <c r="F12052">
        <v>0.01</v>
      </c>
    </row>
    <row r="12053" spans="1:6" x14ac:dyDescent="0.3">
      <c r="A12053" t="str">
        <f>HYPERLINK("https://us2.cloudbeds.com/connect/10074733072513#/reservations/31722429395100?display=MXB2JZ67E&amp;reservation_id=31722429395100", "MXB2JZ67E")</f>
        <v>MXB2JZ67E</v>
      </c>
      <c r="B12053" t="s">
        <v>1802</v>
      </c>
      <c r="C12053">
        <v>139</v>
      </c>
      <c r="D12053">
        <v>151.1</v>
      </c>
      <c r="E12053">
        <v>151.09</v>
      </c>
      <c r="F12053">
        <v>0.01</v>
      </c>
    </row>
    <row r="12054" spans="1:6" x14ac:dyDescent="0.3">
      <c r="A12054" t="str">
        <f>HYPERLINK("https://us2.cloudbeds.com/connect/10074733072513#/reservations/31721320816847?display=MXA78VC11&amp;reservation_id=31721320816847", "MXA78VC11")</f>
        <v>MXA78VC11</v>
      </c>
      <c r="B12054" t="s">
        <v>1824</v>
      </c>
      <c r="C12054">
        <v>73</v>
      </c>
      <c r="D12054">
        <v>79.36</v>
      </c>
      <c r="E12054">
        <v>79.349999999999994</v>
      </c>
      <c r="F12054">
        <v>0.01</v>
      </c>
    </row>
    <row r="12055" spans="1:6" x14ac:dyDescent="0.3">
      <c r="A12055" t="str">
        <f>HYPERLINK("https://us2.cloudbeds.com/connect/10074733072513#/reservations/31724471439613?display=MXCYPY2T6&amp;reservation_id=31724471439613", "MXCYPY2T6")</f>
        <v>MXCYPY2T6</v>
      </c>
      <c r="B12055" t="s">
        <v>1795</v>
      </c>
      <c r="C12055">
        <v>277.16000000000003</v>
      </c>
      <c r="D12055">
        <v>301.27999999999997</v>
      </c>
      <c r="E12055">
        <v>301.27</v>
      </c>
      <c r="F12055">
        <v>0.01</v>
      </c>
    </row>
    <row r="12056" spans="1:6" x14ac:dyDescent="0.3">
      <c r="A12056" t="str">
        <f>HYPERLINK("https://us2.cloudbeds.com/connect/10074733072513#/reservations/31721256505541?display=MXA5KNQYJ&amp;reservation_id=31721256505541", "MXA5KNQYJ")</f>
        <v>MXA5KNQYJ</v>
      </c>
      <c r="B12056" t="s">
        <v>1824</v>
      </c>
      <c r="C12056">
        <v>99</v>
      </c>
      <c r="D12056">
        <v>107.62</v>
      </c>
      <c r="E12056">
        <v>107.61</v>
      </c>
      <c r="F12056">
        <v>0.01</v>
      </c>
    </row>
    <row r="12057" spans="1:6" x14ac:dyDescent="0.3">
      <c r="A12057" t="str">
        <f>HYPERLINK("https://us2.cloudbeds.com/connect/10074733072513#/reservations/31721570271423?display=MXADY9QJK&amp;reservation_id=31721570271423", "MXADY9QJK")</f>
        <v>MXADY9QJK</v>
      </c>
      <c r="B12057" t="s">
        <v>1786</v>
      </c>
      <c r="C12057">
        <v>169</v>
      </c>
      <c r="D12057">
        <v>183.71</v>
      </c>
      <c r="E12057">
        <v>183.7</v>
      </c>
      <c r="F12057">
        <v>0.01</v>
      </c>
    </row>
    <row r="12058" spans="1:6" x14ac:dyDescent="0.3">
      <c r="A12058" t="str">
        <f>HYPERLINK("https://us2.cloudbeds.com/connect/10074733072513#/reservations/31723555717314?display=MXBVCFP7K&amp;reservation_id=31723555717314", "MXBVCFP7K")</f>
        <v>MXBVCFP7K</v>
      </c>
      <c r="B12058" t="s">
        <v>1797</v>
      </c>
      <c r="C12058">
        <v>102.58</v>
      </c>
      <c r="D12058">
        <v>111.51</v>
      </c>
      <c r="E12058">
        <v>111.5</v>
      </c>
      <c r="F12058">
        <v>0.01</v>
      </c>
    </row>
    <row r="12059" spans="1:6" x14ac:dyDescent="0.3">
      <c r="A12059" t="str">
        <f>HYPERLINK("https://us2.cloudbeds.com/connect/10074733072513#/reservations/31715930575024?display=MX61HZV0Z&amp;reservation_id=31715930575024", "MX61HZV0Z")</f>
        <v>MX61HZV0Z</v>
      </c>
      <c r="B12059" t="s">
        <v>1760</v>
      </c>
      <c r="C12059">
        <v>318</v>
      </c>
      <c r="D12059">
        <v>345.68</v>
      </c>
      <c r="E12059">
        <v>345.67</v>
      </c>
      <c r="F12059">
        <v>0.01</v>
      </c>
    </row>
    <row r="12060" spans="1:6" x14ac:dyDescent="0.3">
      <c r="A12060" t="str">
        <f>HYPERLINK("https://us2.cloudbeds.com/connect/10074733072513#/reservations/31723901190279?display=MXC76Q1VB&amp;reservation_id=31723901190279", "MXC76Q1VB")</f>
        <v>MXC76Q1VB</v>
      </c>
      <c r="B12060" t="s">
        <v>1824</v>
      </c>
      <c r="C12060">
        <v>99</v>
      </c>
      <c r="D12060">
        <v>107.62</v>
      </c>
      <c r="E12060">
        <v>107.61</v>
      </c>
      <c r="F12060">
        <v>0.01</v>
      </c>
    </row>
    <row r="12061" spans="1:6" x14ac:dyDescent="0.3">
      <c r="A12061" t="str">
        <f>HYPERLINK("https://us2.cloudbeds.com/connect/10074733072513#/reservations/31719484592324?display=MX8QBJNEM&amp;reservation_id=31719484592324", "MX8QBJNEM")</f>
        <v>MX8QBJNEM</v>
      </c>
      <c r="B12061" t="s">
        <v>1795</v>
      </c>
      <c r="C12061">
        <v>119</v>
      </c>
      <c r="D12061">
        <v>129.36000000000001</v>
      </c>
      <c r="E12061">
        <v>129.35</v>
      </c>
      <c r="F12061">
        <v>0.01</v>
      </c>
    </row>
    <row r="12062" spans="1:6" x14ac:dyDescent="0.3">
      <c r="A12062" t="str">
        <f>HYPERLINK("https://us2.cloudbeds.com/connect/10074733072513#/reservations/31718709674135?display=MX86X5FGA&amp;reservation_id=31718709674135", "MX86X5FGA")</f>
        <v>MX86X5FGA</v>
      </c>
      <c r="B12062" t="s">
        <v>1768</v>
      </c>
      <c r="C12062">
        <v>249</v>
      </c>
      <c r="D12062">
        <v>270.67</v>
      </c>
      <c r="E12062">
        <v>270.66000000000003</v>
      </c>
      <c r="F12062">
        <v>0.01</v>
      </c>
    </row>
    <row r="12063" spans="1:6" x14ac:dyDescent="0.3">
      <c r="A12063" t="str">
        <f>HYPERLINK("https://us2.cloudbeds.com/connect/10074733072513#/reservations/31719420375169?display=MX8ZNEPH9&amp;reservation_id=31719420375169", "MX8ZNEPH9")</f>
        <v>MX8ZNEPH9</v>
      </c>
      <c r="B12063" t="s">
        <v>1795</v>
      </c>
      <c r="C12063">
        <v>119</v>
      </c>
      <c r="D12063">
        <v>129.36000000000001</v>
      </c>
      <c r="E12063">
        <v>129.35</v>
      </c>
      <c r="F12063">
        <v>0.01</v>
      </c>
    </row>
    <row r="12064" spans="1:6" x14ac:dyDescent="0.3">
      <c r="A12064" t="str">
        <f>HYPERLINK("https://us2.cloudbeds.com/connect/10074733072513#/reservations/31722010452120?display=MXAZTFFUK&amp;reservation_id=31722010452120", "MXAZTFFUK")</f>
        <v>MXAZTFFUK</v>
      </c>
      <c r="B12064" t="s">
        <v>1795</v>
      </c>
      <c r="C12064">
        <v>87.82</v>
      </c>
      <c r="D12064">
        <v>95.47</v>
      </c>
      <c r="E12064">
        <v>95.46</v>
      </c>
      <c r="F12064">
        <v>0.01</v>
      </c>
    </row>
    <row r="12065" spans="1:6" x14ac:dyDescent="0.3">
      <c r="A12065" t="str">
        <f>HYPERLINK("https://us2.cloudbeds.com/connect/10074733072513#/reservations/31722263220368?display=MXAVBK4BG&amp;reservation_id=31722263220368", "MXAVBK4BG")</f>
        <v>MXAVBK4BG</v>
      </c>
      <c r="B12065" t="s">
        <v>1822</v>
      </c>
      <c r="C12065">
        <v>218</v>
      </c>
      <c r="D12065">
        <v>236.98</v>
      </c>
      <c r="E12065">
        <v>236.97</v>
      </c>
      <c r="F12065">
        <v>0.01</v>
      </c>
    </row>
    <row r="12066" spans="1:6" x14ac:dyDescent="0.3">
      <c r="A12066" t="str">
        <f>HYPERLINK("https://us2.cloudbeds.com/connect/10074733072513#/reservations/31723609387242?display=MXBWZZ6U2&amp;reservation_id=31723609387242", "MXBWZZ6U2")</f>
        <v>MXBWZZ6U2</v>
      </c>
      <c r="B12066" t="s">
        <v>1809</v>
      </c>
      <c r="C12066">
        <v>238</v>
      </c>
      <c r="D12066">
        <v>258.72000000000003</v>
      </c>
      <c r="E12066">
        <v>258.70999999999998</v>
      </c>
      <c r="F12066">
        <v>0.01</v>
      </c>
    </row>
    <row r="12067" spans="1:6" x14ac:dyDescent="0.3">
      <c r="A12067" t="str">
        <f>HYPERLINK("https://us2.cloudbeds.com/connect/10074733072513#/reservations/31719300813019?display=MX8YYKPZR&amp;reservation_id=31719300813019", "MX8YYKPZR")</f>
        <v>MX8YYKPZR</v>
      </c>
      <c r="B12067" t="s">
        <v>1804</v>
      </c>
      <c r="C12067">
        <v>298</v>
      </c>
      <c r="D12067">
        <v>323.94</v>
      </c>
      <c r="E12067">
        <v>323.93</v>
      </c>
      <c r="F12067">
        <v>0.01</v>
      </c>
    </row>
    <row r="12068" spans="1:6" x14ac:dyDescent="0.3">
      <c r="A12068" t="str">
        <f>HYPERLINK("https://us2.cloudbeds.com/connect/10074733072513#/reservations/31724830736596?display=MXCUVK1RX&amp;reservation_id=31724830736596", "MXCUVK1RX")</f>
        <v>MXCUVK1RX</v>
      </c>
      <c r="B12068" t="s">
        <v>1760</v>
      </c>
      <c r="C12068">
        <v>318</v>
      </c>
      <c r="D12068">
        <v>345.68</v>
      </c>
      <c r="E12068">
        <v>345.67</v>
      </c>
      <c r="F12068">
        <v>0.01</v>
      </c>
    </row>
    <row r="12069" spans="1:6" x14ac:dyDescent="0.3">
      <c r="A12069" t="str">
        <f>HYPERLINK("https://us2.cloudbeds.com/connect/10074733072513#/reservations/31722019066056?display=MXAP3Z5SW&amp;reservation_id=31722019066056", "MXAP3Z5SW")</f>
        <v>MXAP3Z5SW</v>
      </c>
      <c r="B12069" t="s">
        <v>1795</v>
      </c>
      <c r="C12069">
        <v>87.82</v>
      </c>
      <c r="D12069">
        <v>95.47</v>
      </c>
      <c r="E12069">
        <v>95.46</v>
      </c>
      <c r="F12069">
        <v>0.01</v>
      </c>
    </row>
    <row r="12070" spans="1:6" x14ac:dyDescent="0.3">
      <c r="A12070" t="str">
        <f>HYPERLINK("https://us2.cloudbeds.com/connect/10074733072513#/reservations/31722256392386?display=MXAV5S4CV&amp;reservation_id=31722256392386", "MXAV5S4CV")</f>
        <v>MXAV5S4CV</v>
      </c>
      <c r="B12070" t="s">
        <v>1822</v>
      </c>
      <c r="C12070">
        <v>109</v>
      </c>
      <c r="D12070">
        <v>118.49</v>
      </c>
      <c r="E12070">
        <v>118.48</v>
      </c>
      <c r="F12070">
        <v>0.01</v>
      </c>
    </row>
    <row r="12071" spans="1:6" x14ac:dyDescent="0.3">
      <c r="A12071" t="str">
        <f>HYPERLINK("https://us2.cloudbeds.com/connect/10074733072513#/reservations/31723655241861?display=MXC0UD5WW&amp;reservation_id=31723655241861", "MXC0UD5WW")</f>
        <v>MXC0UD5WW</v>
      </c>
      <c r="B12071" t="s">
        <v>1825</v>
      </c>
      <c r="C12071">
        <v>99</v>
      </c>
      <c r="D12071">
        <v>107.62</v>
      </c>
      <c r="E12071">
        <v>107.61</v>
      </c>
      <c r="F12071">
        <v>0.01</v>
      </c>
    </row>
    <row r="12072" spans="1:6" x14ac:dyDescent="0.3">
      <c r="A12072" t="str">
        <f>HYPERLINK("https://us2.cloudbeds.com/connect/10074733072513#/reservations/31721962070167?display=MXANYM61R&amp;reservation_id=31721962070167", "MXANYM61R")</f>
        <v>MXANYM61R</v>
      </c>
      <c r="B12072" t="s">
        <v>1795</v>
      </c>
      <c r="C12072">
        <v>119</v>
      </c>
      <c r="D12072">
        <v>129.36000000000001</v>
      </c>
      <c r="E12072">
        <v>129.35</v>
      </c>
      <c r="F12072">
        <v>0.01</v>
      </c>
    </row>
    <row r="12073" spans="1:6" x14ac:dyDescent="0.3">
      <c r="A12073" t="str">
        <f>HYPERLINK("https://us2.cloudbeds.com/connect/10074733072513#/reservations/31716232282330?display=MX6985CTC&amp;reservation_id=31716232282330", "MX6985CTC")</f>
        <v>MX6985CTC</v>
      </c>
      <c r="B12073" t="s">
        <v>1760</v>
      </c>
      <c r="C12073">
        <v>298</v>
      </c>
      <c r="D12073">
        <v>323.94</v>
      </c>
      <c r="E12073">
        <v>323.93</v>
      </c>
      <c r="F12073">
        <v>0.01</v>
      </c>
    </row>
    <row r="12074" spans="1:6" x14ac:dyDescent="0.3">
      <c r="A12074" t="str">
        <f>HYPERLINK("https://us2.cloudbeds.com/connect/10074733072513#/reservations/31723248902301?display=MXBNHP62W&amp;reservation_id=31723248902301", "MXBNHP62W")</f>
        <v>MXBNHP62W</v>
      </c>
      <c r="B12074" t="s">
        <v>1819</v>
      </c>
      <c r="C12074">
        <v>298</v>
      </c>
      <c r="D12074">
        <v>323.94</v>
      </c>
      <c r="E12074">
        <v>323.93</v>
      </c>
      <c r="F12074">
        <v>0.01</v>
      </c>
    </row>
    <row r="12075" spans="1:6" x14ac:dyDescent="0.3">
      <c r="A12075" t="str">
        <f>HYPERLINK("https://us2.cloudbeds.com/connect/10074733072513#/reservations/31723243053310?display=MXBNCRE3R&amp;reservation_id=31723243053310", "MXBNCRE3R")</f>
        <v>MXBNCRE3R</v>
      </c>
      <c r="B12075" t="s">
        <v>1819</v>
      </c>
      <c r="C12075">
        <v>298</v>
      </c>
      <c r="D12075">
        <v>323.94</v>
      </c>
      <c r="E12075">
        <v>323.93</v>
      </c>
      <c r="F12075">
        <v>0.01</v>
      </c>
    </row>
    <row r="12076" spans="1:6" x14ac:dyDescent="0.3">
      <c r="A12076" t="str">
        <f>HYPERLINK("https://us2.cloudbeds.com/connect/10074733072513#/reservations/31723686187162?display=MXC1NG98C&amp;reservation_id=31723686187162", "MXC1NG98C")</f>
        <v>MXC1NG98C</v>
      </c>
      <c r="B12076" t="s">
        <v>1825</v>
      </c>
      <c r="C12076">
        <v>89</v>
      </c>
      <c r="D12076">
        <v>96.75</v>
      </c>
      <c r="E12076">
        <v>96.74</v>
      </c>
      <c r="F12076">
        <v>0.01</v>
      </c>
    </row>
    <row r="12077" spans="1:6" x14ac:dyDescent="0.3">
      <c r="A12077" t="str">
        <f>HYPERLINK("https://us2.cloudbeds.com/connect/10074733072513#/reservations/31723580874987?display=MXBW0MQSB&amp;reservation_id=31723580874987", "MXBW0MQSB")</f>
        <v>MXBW0MQSB</v>
      </c>
      <c r="B12077" t="s">
        <v>1784</v>
      </c>
      <c r="C12077">
        <v>170</v>
      </c>
      <c r="D12077">
        <v>184.8</v>
      </c>
      <c r="E12077">
        <v>184.79</v>
      </c>
      <c r="F12077">
        <v>0.01</v>
      </c>
    </row>
    <row r="12078" spans="1:6" x14ac:dyDescent="0.3">
      <c r="A12078" t="str">
        <f>HYPERLINK("https://us2.cloudbeds.com/connect/10074733072513#/reservations/31721449316524?display=MXAAXA1TK&amp;reservation_id=31721449316524", "MXAAXA1TK")</f>
        <v>MXAAXA1TK</v>
      </c>
      <c r="B12078" t="s">
        <v>1809</v>
      </c>
      <c r="C12078">
        <v>119</v>
      </c>
      <c r="D12078">
        <v>129.36000000000001</v>
      </c>
      <c r="E12078">
        <v>129.35</v>
      </c>
      <c r="F12078">
        <v>0.01</v>
      </c>
    </row>
    <row r="12079" spans="1:6" x14ac:dyDescent="0.3">
      <c r="A12079" t="str">
        <f>HYPERLINK("https://us2.cloudbeds.com/connect/10074733072513#/reservations/31721522458847?display=MXACDWBXM&amp;reservation_id=31721522458847", "MXACDWBXM")</f>
        <v>MXACDWBXM</v>
      </c>
      <c r="B12079" t="s">
        <v>1786</v>
      </c>
      <c r="C12079">
        <v>89</v>
      </c>
      <c r="D12079">
        <v>96.75</v>
      </c>
      <c r="E12079">
        <v>96.74</v>
      </c>
      <c r="F12079">
        <v>0.01</v>
      </c>
    </row>
    <row r="12080" spans="1:6" x14ac:dyDescent="0.3">
      <c r="A12080" t="str">
        <f>HYPERLINK("https://us2.cloudbeds.com/connect/10074733072513#/reservations/31712413347969?display=MX3AYUU3N&amp;reservation_id=31712413347969", "MX3AYUU3N")</f>
        <v>MX3AYUU3N</v>
      </c>
      <c r="B12080" t="s">
        <v>1828</v>
      </c>
      <c r="C12080">
        <v>89</v>
      </c>
      <c r="D12080">
        <v>96.75</v>
      </c>
      <c r="E12080">
        <v>96.74</v>
      </c>
      <c r="F12080">
        <v>0.01</v>
      </c>
    </row>
    <row r="12081" spans="1:6" x14ac:dyDescent="0.3">
      <c r="A12081" t="str">
        <f>HYPERLINK("https://us2.cloudbeds.com/connect/10074733072513#/reservations/31724881494232?display=MXCW8DF7Z&amp;reservation_id=31724881494232", "MXCW8DF7Z")</f>
        <v>MXCW8DF7Z</v>
      </c>
      <c r="B12081" t="s">
        <v>1760</v>
      </c>
      <c r="C12081">
        <v>338</v>
      </c>
      <c r="D12081">
        <v>367.42</v>
      </c>
      <c r="E12081">
        <v>367.41</v>
      </c>
      <c r="F12081">
        <v>0.01</v>
      </c>
    </row>
    <row r="12082" spans="1:6" x14ac:dyDescent="0.3">
      <c r="A12082" t="str">
        <f>HYPERLINK("https://us2.cloudbeds.com/connect/10074733072513#/reservations/31723795292320?display=MXC4GG9Y9&amp;reservation_id=31723795292320", "MXC4GG9Y9")</f>
        <v>MXC4GG9Y9</v>
      </c>
      <c r="B12082" t="s">
        <v>1784</v>
      </c>
      <c r="C12082">
        <v>99</v>
      </c>
      <c r="D12082">
        <v>107.62</v>
      </c>
      <c r="E12082">
        <v>107.61</v>
      </c>
      <c r="F12082">
        <v>0.01</v>
      </c>
    </row>
    <row r="12083" spans="1:6" x14ac:dyDescent="0.3">
      <c r="A12083" t="str">
        <f>HYPERLINK("https://us2.cloudbeds.com/connect/10074733072513#/reservations/31723729162378?display=MXC2QZ48Y&amp;reservation_id=31723729162378", "MXC2QZ48Y")</f>
        <v>MXC2QZ48Y</v>
      </c>
      <c r="B12083" t="s">
        <v>1784</v>
      </c>
      <c r="C12083">
        <v>198</v>
      </c>
      <c r="D12083">
        <v>215.24</v>
      </c>
      <c r="E12083">
        <v>215.23</v>
      </c>
      <c r="F12083">
        <v>0.01</v>
      </c>
    </row>
    <row r="12084" spans="1:6" x14ac:dyDescent="0.3">
      <c r="A12084" t="str">
        <f>HYPERLINK("https://us2.cloudbeds.com/connect/10074733072513#/reservations/31723720204470?display=MXC2J5SET&amp;reservation_id=31723720204470", "MXC2J5SET")</f>
        <v>MXC2J5SET</v>
      </c>
      <c r="B12084" t="s">
        <v>1784</v>
      </c>
      <c r="C12084">
        <v>99</v>
      </c>
      <c r="D12084">
        <v>107.62</v>
      </c>
      <c r="E12084">
        <v>107.61</v>
      </c>
      <c r="F12084">
        <v>0.01</v>
      </c>
    </row>
    <row r="12085" spans="1:6" x14ac:dyDescent="0.3">
      <c r="A12085" t="str">
        <f>HYPERLINK("https://us2.cloudbeds.com/connect/10074733072513#/reservations/31722465423560?display=MXB3H3Z6V&amp;reservation_id=31722465423560", "MXB3H3Z6V")</f>
        <v>MXB3H3Z6V</v>
      </c>
      <c r="B12085" t="s">
        <v>1786</v>
      </c>
      <c r="C12085">
        <v>162.68</v>
      </c>
      <c r="D12085">
        <v>176.84</v>
      </c>
      <c r="E12085">
        <v>176.83</v>
      </c>
      <c r="F12085">
        <v>0.01</v>
      </c>
    </row>
    <row r="12086" spans="1:6" x14ac:dyDescent="0.3">
      <c r="A12086" t="str">
        <f>HYPERLINK("https://us2.cloudbeds.com/connect/10074733072513#/reservations/31723649061017?display=MXC0P669Y&amp;reservation_id=31723649061017", "MXC0P669Y")</f>
        <v>MXC0P669Y</v>
      </c>
      <c r="B12086" t="s">
        <v>1784</v>
      </c>
      <c r="C12086">
        <v>99</v>
      </c>
      <c r="D12086">
        <v>107.62</v>
      </c>
      <c r="E12086">
        <v>107.61</v>
      </c>
      <c r="F12086">
        <v>0.01</v>
      </c>
    </row>
    <row r="12087" spans="1:6" x14ac:dyDescent="0.3">
      <c r="A12087" t="str">
        <f>HYPERLINK("https://us2.cloudbeds.com/connect/10074733072513#/reservations/31723616657628?display=MXBWUSH3Q&amp;reservation_id=31723616657628", "MXBWUSH3Q")</f>
        <v>MXBWUSH3Q</v>
      </c>
      <c r="B12087" t="s">
        <v>1784</v>
      </c>
      <c r="C12087">
        <v>99</v>
      </c>
      <c r="D12087">
        <v>107.62</v>
      </c>
      <c r="E12087">
        <v>107.61</v>
      </c>
      <c r="F12087">
        <v>0.01</v>
      </c>
    </row>
    <row r="12088" spans="1:6" x14ac:dyDescent="0.3">
      <c r="A12088" t="str">
        <f>HYPERLINK("https://us2.cloudbeds.com/connect/10074733072513#/reservations/31724023111874?display=MXCAAJNB4&amp;reservation_id=31724023111874", "MXCAAJNB4")</f>
        <v>MXCAAJNB4</v>
      </c>
      <c r="B12088" t="s">
        <v>1827</v>
      </c>
      <c r="C12088">
        <v>259.94</v>
      </c>
      <c r="D12088">
        <v>282.56</v>
      </c>
      <c r="E12088">
        <v>282.55</v>
      </c>
      <c r="F12088">
        <v>0.01</v>
      </c>
    </row>
    <row r="12089" spans="1:6" x14ac:dyDescent="0.3">
      <c r="A12089" t="str">
        <f>HYPERLINK("https://us2.cloudbeds.com/connect/10074733072513#/reservations/31723561271440?display=MXBVH5AEF&amp;reservation_id=31723561271440", "MXBVH5AEF")</f>
        <v>MXBVH5AEF</v>
      </c>
      <c r="B12089" t="s">
        <v>1809</v>
      </c>
      <c r="C12089">
        <v>258</v>
      </c>
      <c r="D12089">
        <v>280.45999999999998</v>
      </c>
      <c r="E12089">
        <v>280.45</v>
      </c>
      <c r="F12089">
        <v>0.01</v>
      </c>
    </row>
    <row r="12090" spans="1:6" x14ac:dyDescent="0.3">
      <c r="A12090" t="str">
        <f>HYPERLINK("https://us2.cloudbeds.com/connect/10074733072513#/reservations/31724030566573?display=MXCAGT4Q3&amp;reservation_id=31724030566573", "MXCAGT4Q3")</f>
        <v>MXCAGT4Q3</v>
      </c>
      <c r="B12090" t="s">
        <v>1827</v>
      </c>
      <c r="C12090">
        <v>218</v>
      </c>
      <c r="D12090">
        <v>236.98</v>
      </c>
      <c r="E12090">
        <v>236.97</v>
      </c>
      <c r="F12090">
        <v>0.01</v>
      </c>
    </row>
    <row r="12091" spans="1:6" x14ac:dyDescent="0.3">
      <c r="A12091" t="str">
        <f>HYPERLINK("https://us2.cloudbeds.com/connect/10074733072513#/reservations/31721851691239?display=MXAKRJNWQ&amp;reservation_id=31721851691239", "MXAKRJNWQ")</f>
        <v>MXAKRJNWQ</v>
      </c>
      <c r="B12091" t="s">
        <v>1827</v>
      </c>
      <c r="C12091">
        <v>119</v>
      </c>
      <c r="D12091">
        <v>129.36000000000001</v>
      </c>
      <c r="E12091">
        <v>129.35</v>
      </c>
      <c r="F12091">
        <v>0.01</v>
      </c>
    </row>
    <row r="12092" spans="1:6" x14ac:dyDescent="0.3">
      <c r="A12092" t="str">
        <f>HYPERLINK("https://us2.cloudbeds.com/connect/10074733072513#/reservations/31721834688641?display=MXAKD8JVJ&amp;reservation_id=31721834688641", "MXAKD8JVJ")</f>
        <v>MXAKD8JVJ</v>
      </c>
      <c r="B12092" t="s">
        <v>1827</v>
      </c>
      <c r="C12092">
        <v>218</v>
      </c>
      <c r="D12092">
        <v>236.98</v>
      </c>
      <c r="E12092">
        <v>236.97</v>
      </c>
      <c r="F12092">
        <v>0.01</v>
      </c>
    </row>
    <row r="12093" spans="1:6" x14ac:dyDescent="0.3">
      <c r="A12093" t="str">
        <f>HYPERLINK("https://us2.cloudbeds.com/connect/10074733072513#/reservations/31711536230616?display=MX2Y8ARBW&amp;reservation_id=31711536230616", "MX2Y8ARBW")</f>
        <v>MX2Y8ARBW</v>
      </c>
      <c r="B12093" t="s">
        <v>1829</v>
      </c>
      <c r="C12093">
        <v>318</v>
      </c>
      <c r="D12093">
        <v>345.68</v>
      </c>
      <c r="E12093">
        <v>345.67</v>
      </c>
      <c r="F12093">
        <v>0.01</v>
      </c>
    </row>
    <row r="12094" spans="1:6" x14ac:dyDescent="0.3">
      <c r="A12094" t="str">
        <f>HYPERLINK("https://us2.cloudbeds.com/connect/10074733072513#/reservations/31712353595537?display=MX394X70V&amp;reservation_id=31712353595537", "MX394X70V")</f>
        <v>MX394X70V</v>
      </c>
      <c r="B12094" t="s">
        <v>1830</v>
      </c>
      <c r="C12094">
        <v>198</v>
      </c>
      <c r="D12094">
        <v>215.24</v>
      </c>
      <c r="E12094">
        <v>215.23</v>
      </c>
      <c r="F12094">
        <v>0.01</v>
      </c>
    </row>
    <row r="12095" spans="1:6" x14ac:dyDescent="0.3">
      <c r="A12095" t="str">
        <f>HYPERLINK("https://us2.cloudbeds.com/connect/10074733072513#/reservations/31723641802959?display=MXC0J27DG&amp;reservation_id=31723641802959", "MXC0J27DG")</f>
        <v>MXC0J27DG</v>
      </c>
      <c r="B12095" t="s">
        <v>1784</v>
      </c>
      <c r="C12095">
        <v>73</v>
      </c>
      <c r="D12095">
        <v>79.36</v>
      </c>
      <c r="E12095">
        <v>79.349999999999994</v>
      </c>
      <c r="F12095">
        <v>0.01</v>
      </c>
    </row>
    <row r="12096" spans="1:6" x14ac:dyDescent="0.3">
      <c r="A12096" t="str">
        <f>HYPERLINK("https://us2.cloudbeds.com/connect/10074733072513#/reservations/31712370102411?display=MX39XFHS8&amp;reservation_id=31712370102411", "MX39XFHS8")</f>
        <v>MX39XFHS8</v>
      </c>
      <c r="B12096" t="s">
        <v>1830</v>
      </c>
      <c r="C12096">
        <v>198</v>
      </c>
      <c r="D12096">
        <v>215.24</v>
      </c>
      <c r="E12096">
        <v>215.23</v>
      </c>
      <c r="F12096">
        <v>0.01</v>
      </c>
    </row>
    <row r="12097" spans="1:6" x14ac:dyDescent="0.3">
      <c r="A12097" t="str">
        <f>HYPERLINK("https://us2.cloudbeds.com/connect/10074733072513#/reservations/31712363524305?display=MX39CUGBN&amp;reservation_id=31712363524305", "MX39CUGBN")</f>
        <v>MX39CUGBN</v>
      </c>
      <c r="B12097" t="s">
        <v>1830</v>
      </c>
      <c r="C12097">
        <v>198</v>
      </c>
      <c r="D12097">
        <v>215.24</v>
      </c>
      <c r="E12097">
        <v>215.23</v>
      </c>
      <c r="F12097">
        <v>0.01</v>
      </c>
    </row>
    <row r="12098" spans="1:6" x14ac:dyDescent="0.3">
      <c r="A12098" t="str">
        <f>HYPERLINK("https://us2.cloudbeds.com/connect/10074733072513#/reservations/31723545227512?display=MXBV3KSNR&amp;reservation_id=31723545227512", "MXBV3KSNR")</f>
        <v>MXBV3KSNR</v>
      </c>
      <c r="B12098" t="s">
        <v>1809</v>
      </c>
      <c r="C12098">
        <v>119</v>
      </c>
      <c r="D12098">
        <v>129.36000000000001</v>
      </c>
      <c r="E12098">
        <v>129.35</v>
      </c>
      <c r="F12098">
        <v>0.01</v>
      </c>
    </row>
    <row r="12099" spans="1:6" x14ac:dyDescent="0.3">
      <c r="A12099" t="str">
        <f>HYPERLINK("https://us2.cloudbeds.com/connect/10074733072513#/reservations/31723632885890?display=MXC0BX33A&amp;reservation_id=31723632885890", "MXC0BX33A")</f>
        <v>MXC0BX33A</v>
      </c>
      <c r="B12099" t="s">
        <v>1784</v>
      </c>
      <c r="C12099">
        <v>73</v>
      </c>
      <c r="D12099">
        <v>79.36</v>
      </c>
      <c r="E12099">
        <v>79.349999999999994</v>
      </c>
      <c r="F12099">
        <v>0.01</v>
      </c>
    </row>
    <row r="12100" spans="1:6" x14ac:dyDescent="0.3">
      <c r="A12100" t="str">
        <f>HYPERLINK("https://us2.cloudbeds.com/connect/10074733072513#/reservations/31723950231738?display=MXC8F4NE5&amp;reservation_id=31723950231738", "MXC8F4NE5")</f>
        <v>MXC8F4NE5</v>
      </c>
      <c r="B12100" t="s">
        <v>1828</v>
      </c>
      <c r="C12100">
        <v>102.58</v>
      </c>
      <c r="D12100">
        <v>111.51</v>
      </c>
      <c r="E12100">
        <v>111.5</v>
      </c>
      <c r="F12100">
        <v>0.01</v>
      </c>
    </row>
    <row r="12101" spans="1:6" x14ac:dyDescent="0.3">
      <c r="A12101" t="str">
        <f>HYPERLINK("https://us2.cloudbeds.com/connect/10074733072513#/reservations/31723993850080?display=MXC9XUF03&amp;reservation_id=31723993850080", "MXC9XUF03")</f>
        <v>MXC9XUF03</v>
      </c>
      <c r="B12101" t="s">
        <v>1828</v>
      </c>
      <c r="C12101">
        <v>73</v>
      </c>
      <c r="D12101">
        <v>79.36</v>
      </c>
      <c r="E12101">
        <v>79.349999999999994</v>
      </c>
      <c r="F12101">
        <v>0.01</v>
      </c>
    </row>
    <row r="12102" spans="1:6" x14ac:dyDescent="0.3">
      <c r="A12102" t="str">
        <f>HYPERLINK("https://us2.cloudbeds.com/connect/10074733072513#/reservations/31712334401755?display=MX38YC3T6&amp;reservation_id=31712334401755", "MX38YC3T6")</f>
        <v>MX38YC3T6</v>
      </c>
      <c r="B12102" t="s">
        <v>1830</v>
      </c>
      <c r="C12102">
        <v>178</v>
      </c>
      <c r="D12102">
        <v>193.5</v>
      </c>
      <c r="E12102">
        <v>193.49</v>
      </c>
      <c r="F12102">
        <v>0.01</v>
      </c>
    </row>
    <row r="12103" spans="1:6" x14ac:dyDescent="0.3">
      <c r="A12103" t="str">
        <f>HYPERLINK("https://us2.cloudbeds.com/connect/10074733072513#/reservations/31711595913396?display=MX2MPYJG2&amp;reservation_id=31711595913396", "MX2MPYJG2")</f>
        <v>MX2MPYJG2</v>
      </c>
      <c r="B12103" t="s">
        <v>1829</v>
      </c>
      <c r="C12103">
        <v>318</v>
      </c>
      <c r="D12103">
        <v>345.68</v>
      </c>
      <c r="E12103">
        <v>345.67</v>
      </c>
      <c r="F12103">
        <v>0.01</v>
      </c>
    </row>
    <row r="12104" spans="1:6" x14ac:dyDescent="0.3">
      <c r="A12104" t="str">
        <f>HYPERLINK("https://us2.cloudbeds.com/connect/10074733072513#/reservations/31721815294092?display=MXAJTTUEW&amp;reservation_id=31721815294092", "MXAJTTUEW")</f>
        <v>MXAJTTUEW</v>
      </c>
      <c r="B12104" t="s">
        <v>1827</v>
      </c>
      <c r="C12104">
        <v>258</v>
      </c>
      <c r="D12104">
        <v>280.45999999999998</v>
      </c>
      <c r="E12104">
        <v>280.45</v>
      </c>
      <c r="F12104">
        <v>0.01</v>
      </c>
    </row>
    <row r="12105" spans="1:6" x14ac:dyDescent="0.3">
      <c r="A12105" t="str">
        <f>HYPERLINK("https://us2.cloudbeds.com/connect/10074733072513#/reservations/31722162172061?display=MXASPDABJ&amp;reservation_id=31722162172061", "MXASPDABJ")</f>
        <v>MXASPDABJ</v>
      </c>
      <c r="B12105" t="s">
        <v>1809</v>
      </c>
      <c r="C12105">
        <v>159</v>
      </c>
      <c r="D12105">
        <v>172.84</v>
      </c>
      <c r="E12105">
        <v>172.83</v>
      </c>
      <c r="F12105">
        <v>0.01</v>
      </c>
    </row>
    <row r="12106" spans="1:6" x14ac:dyDescent="0.3">
      <c r="A12106" t="str">
        <f>HYPERLINK("https://us2.cloudbeds.com/connect/10074733072513#/reservations/31723590189301?display=MXBW8HWV9&amp;reservation_id=31723590189301", "MXBW8HWV9")</f>
        <v>MXBW8HWV9</v>
      </c>
      <c r="B12106" t="s">
        <v>1809</v>
      </c>
      <c r="C12106">
        <v>318</v>
      </c>
      <c r="D12106">
        <v>345.68</v>
      </c>
      <c r="E12106">
        <v>345.67</v>
      </c>
      <c r="F12106">
        <v>0.01</v>
      </c>
    </row>
    <row r="12107" spans="1:6" x14ac:dyDescent="0.3">
      <c r="A12107" t="str">
        <f>HYPERLINK("https://us2.cloudbeds.com/connect/10074733072513#/reservations/31719663239397?display=MX8UU7RBB&amp;reservation_id=31719663239397", "MX8UU7RBB")</f>
        <v>MX8UU7RBB</v>
      </c>
      <c r="B12107" t="s">
        <v>1830</v>
      </c>
      <c r="C12107">
        <v>73</v>
      </c>
      <c r="D12107">
        <v>79.36</v>
      </c>
      <c r="E12107">
        <v>79.349999999999994</v>
      </c>
      <c r="F12107">
        <v>0.01</v>
      </c>
    </row>
    <row r="12108" spans="1:6" x14ac:dyDescent="0.3">
      <c r="A12108" t="str">
        <f>HYPERLINK("https://us2.cloudbeds.com/connect/10074733072513#/reservations/31719691804826?display=MX8VYAN7D&amp;reservation_id=31719691804826", "MX8VYAN7D")</f>
        <v>MX8VYAN7D</v>
      </c>
      <c r="B12108" t="s">
        <v>1830</v>
      </c>
      <c r="C12108">
        <v>109</v>
      </c>
      <c r="D12108">
        <v>118.49</v>
      </c>
      <c r="E12108">
        <v>118.48</v>
      </c>
      <c r="F12108">
        <v>0.01</v>
      </c>
    </row>
    <row r="12109" spans="1:6" x14ac:dyDescent="0.3">
      <c r="A12109" t="str">
        <f>HYPERLINK("https://us2.cloudbeds.com/connect/10074733072513#/reservations/31719663243490?display=MX8UU7V3C&amp;reservation_id=31719663243490", "MX8UU7V3C")</f>
        <v>MX8UU7V3C</v>
      </c>
      <c r="B12109" t="s">
        <v>1830</v>
      </c>
      <c r="C12109">
        <v>139</v>
      </c>
      <c r="D12109">
        <v>151.1</v>
      </c>
      <c r="E12109">
        <v>151.09</v>
      </c>
      <c r="F12109">
        <v>0.01</v>
      </c>
    </row>
    <row r="12110" spans="1:6" x14ac:dyDescent="0.3">
      <c r="A12110" t="str">
        <f>HYPERLINK("https://us2.cloudbeds.com/connect/10074733072513#/reservations/31721482154205?display=MXABCWQST&amp;reservation_id=31721482154205", "MXABCWQST")</f>
        <v>MXABCWQST</v>
      </c>
      <c r="B12110" t="s">
        <v>1830</v>
      </c>
      <c r="C12110">
        <v>89</v>
      </c>
      <c r="D12110">
        <v>96.75</v>
      </c>
      <c r="E12110">
        <v>96.74</v>
      </c>
      <c r="F12110">
        <v>0.01</v>
      </c>
    </row>
    <row r="12111" spans="1:6" x14ac:dyDescent="0.3">
      <c r="A12111" t="str">
        <f>HYPERLINK("https://us2.cloudbeds.com/connect/10074733072513#/reservations/31724017295545?display=MXCA5MSBZ&amp;reservation_id=31724017295545", "MXCA5MSBZ")</f>
        <v>MXCA5MSBZ</v>
      </c>
      <c r="B12111" t="s">
        <v>1828</v>
      </c>
      <c r="C12111">
        <v>102.58</v>
      </c>
      <c r="D12111">
        <v>111.51</v>
      </c>
      <c r="E12111">
        <v>111.5</v>
      </c>
      <c r="F12111">
        <v>0.01</v>
      </c>
    </row>
    <row r="12112" spans="1:6" x14ac:dyDescent="0.3">
      <c r="A12112" t="str">
        <f>HYPERLINK("https://us2.cloudbeds.com/connect/10074733072513#/reservations/31721790066886?display=MXAJ8KUW6&amp;reservation_id=31721790066886", "MXAJ8KUW6")</f>
        <v>MXAJ8KUW6</v>
      </c>
      <c r="B12112" t="s">
        <v>1827</v>
      </c>
      <c r="C12112">
        <v>119</v>
      </c>
      <c r="D12112">
        <v>129.36000000000001</v>
      </c>
      <c r="E12112">
        <v>129.35</v>
      </c>
      <c r="F12112">
        <v>0.01</v>
      </c>
    </row>
    <row r="12113" spans="1:6" x14ac:dyDescent="0.3">
      <c r="A12113" t="str">
        <f>HYPERLINK("https://us2.cloudbeds.com/connect/10074733072513#/reservations/31724854034661?display=MXCVX8BRH&amp;reservation_id=31724854034661", "MXCVX8BRH")</f>
        <v>MXCVX8BRH</v>
      </c>
      <c r="B12113" t="s">
        <v>1760</v>
      </c>
      <c r="C12113">
        <v>298</v>
      </c>
      <c r="D12113">
        <v>323.94</v>
      </c>
      <c r="E12113">
        <v>323.93</v>
      </c>
      <c r="F12113">
        <v>0.01</v>
      </c>
    </row>
    <row r="12114" spans="1:6" x14ac:dyDescent="0.3">
      <c r="A12114" t="str">
        <f>HYPERLINK("https://us2.cloudbeds.com/connect/10074733072513#/reservations/31722095673584?display=MXAR2ATX7&amp;reservation_id=31722095673584", "MXAR2ATX7")</f>
        <v>MXAR2ATX7</v>
      </c>
      <c r="B12114" t="s">
        <v>1831</v>
      </c>
      <c r="C12114">
        <v>99</v>
      </c>
      <c r="D12114">
        <v>107.62</v>
      </c>
      <c r="E12114">
        <v>107.61</v>
      </c>
      <c r="F12114">
        <v>0.01</v>
      </c>
    </row>
    <row r="12115" spans="1:6" x14ac:dyDescent="0.3">
      <c r="A12115" t="str">
        <f>HYPERLINK("https://us2.cloudbeds.com/connect/10074733072513#/reservations/31721539440836?display=MXACS9TMD&amp;reservation_id=31721539440836", "MXACS9TMD")</f>
        <v>MXACS9TMD</v>
      </c>
      <c r="B12115" t="s">
        <v>1830</v>
      </c>
      <c r="C12115">
        <v>109</v>
      </c>
      <c r="D12115">
        <v>118.49</v>
      </c>
      <c r="E12115">
        <v>118.48</v>
      </c>
      <c r="F12115">
        <v>0.01</v>
      </c>
    </row>
    <row r="12116" spans="1:6" x14ac:dyDescent="0.3">
      <c r="A12116" t="str">
        <f>HYPERLINK("https://us2.cloudbeds.com/connect/10074733072513#/reservations/31723632889984?display=MXC0BX356&amp;reservation_id=31723632889984", "MXC0BX356")</f>
        <v>MXC0BX356</v>
      </c>
      <c r="B12116" t="s">
        <v>1809</v>
      </c>
      <c r="C12116">
        <v>159</v>
      </c>
      <c r="D12116">
        <v>172.84</v>
      </c>
      <c r="E12116">
        <v>172.83</v>
      </c>
      <c r="F12116">
        <v>0.01</v>
      </c>
    </row>
    <row r="12117" spans="1:6" x14ac:dyDescent="0.3">
      <c r="A12117" t="str">
        <f>HYPERLINK("https://us2.cloudbeds.com/connect/10074733072513#/reservations/31721854275790?display=MXAKTPYAX&amp;reservation_id=31721854275790", "MXAKTPYAX")</f>
        <v>MXAKTPYAX</v>
      </c>
      <c r="B12117" t="s">
        <v>1827</v>
      </c>
      <c r="C12117">
        <v>105.78</v>
      </c>
      <c r="D12117">
        <v>114.99</v>
      </c>
      <c r="E12117">
        <v>114.98</v>
      </c>
      <c r="F12117">
        <v>0.01</v>
      </c>
    </row>
    <row r="12118" spans="1:6" x14ac:dyDescent="0.3">
      <c r="A12118" t="str">
        <f>HYPERLINK("https://us2.cloudbeds.com/connect/10074733072513#/reservations/31721863491748?display=MXAY4X330&amp;reservation_id=31721863491748", "MXAY4X330")</f>
        <v>MXAY4X330</v>
      </c>
      <c r="B12118" t="s">
        <v>1827</v>
      </c>
      <c r="C12118">
        <v>119</v>
      </c>
      <c r="D12118">
        <v>129.36000000000001</v>
      </c>
      <c r="E12118">
        <v>129.35</v>
      </c>
      <c r="F12118">
        <v>0.01</v>
      </c>
    </row>
    <row r="12119" spans="1:6" x14ac:dyDescent="0.3">
      <c r="A12119" t="str">
        <f>HYPERLINK("https://us2.cloudbeds.com/connect/10074733072513#/reservations/31721482150110?display=MXABCWN3Q&amp;reservation_id=31721482150110", "MXABCWN3Q")</f>
        <v>MXABCWN3Q</v>
      </c>
      <c r="B12119" t="s">
        <v>1827</v>
      </c>
      <c r="C12119">
        <v>129</v>
      </c>
      <c r="D12119">
        <v>140.22999999999999</v>
      </c>
      <c r="E12119">
        <v>140.22</v>
      </c>
      <c r="F12119">
        <v>0.01</v>
      </c>
    </row>
    <row r="12120" spans="1:6" x14ac:dyDescent="0.3">
      <c r="A12120" t="str">
        <f>HYPERLINK("https://us2.cloudbeds.com/connect/10074733072513#/reservations/31721465004253?display=MXAAVHJHC&amp;reservation_id=31721465004253", "MXAAVHJHC")</f>
        <v>MXAAVHJHC</v>
      </c>
      <c r="B12120" t="s">
        <v>1827</v>
      </c>
      <c r="C12120">
        <v>119</v>
      </c>
      <c r="D12120">
        <v>129.36000000000001</v>
      </c>
      <c r="E12120">
        <v>129.35</v>
      </c>
      <c r="F12120">
        <v>0.01</v>
      </c>
    </row>
    <row r="12121" spans="1:6" x14ac:dyDescent="0.3">
      <c r="A12121" t="str">
        <f>HYPERLINK("https://us2.cloudbeds.com/connect/10074733072513#/reservations/31722172915860?display=MXAT1F938&amp;reservation_id=31722172915860", "MXAT1F938")</f>
        <v>MXAT1F938</v>
      </c>
      <c r="B12121" t="s">
        <v>1809</v>
      </c>
      <c r="C12121">
        <v>119</v>
      </c>
      <c r="D12121">
        <v>129.36000000000001</v>
      </c>
      <c r="E12121">
        <v>129.35</v>
      </c>
      <c r="F12121">
        <v>0.01</v>
      </c>
    </row>
    <row r="12122" spans="1:6" x14ac:dyDescent="0.3">
      <c r="A12122" t="str">
        <f>HYPERLINK("https://us2.cloudbeds.com/connect/10074733072513#/reservations/31718742229212?display=MX87CKBVP&amp;reservation_id=31718742229212", "MX87CKBVP")</f>
        <v>MX87CKBVP</v>
      </c>
      <c r="B12122" t="s">
        <v>1798</v>
      </c>
      <c r="C12122">
        <v>322.2</v>
      </c>
      <c r="D12122">
        <v>350.24</v>
      </c>
      <c r="E12122">
        <v>350.23</v>
      </c>
      <c r="F12122">
        <v>0.01</v>
      </c>
    </row>
    <row r="12123" spans="1:6" x14ac:dyDescent="0.3">
      <c r="A12123" t="str">
        <f>HYPERLINK("https://us2.cloudbeds.com/connect/10074733072513#/reservations/31721514356987?display=MXAC74TRP&amp;reservation_id=31721514356987", "MXAC74TRP")</f>
        <v>MXAC74TRP</v>
      </c>
      <c r="B12123" t="s">
        <v>1830</v>
      </c>
      <c r="C12123">
        <v>109</v>
      </c>
      <c r="D12123">
        <v>118.49</v>
      </c>
      <c r="E12123">
        <v>118.48</v>
      </c>
      <c r="F12123">
        <v>0.01</v>
      </c>
    </row>
    <row r="12124" spans="1:6" x14ac:dyDescent="0.3">
      <c r="A12124" t="str">
        <f>HYPERLINK("https://us2.cloudbeds.com/connect/10074733072513#/reservations/31723571445979?display=MXBVPZEER&amp;reservation_id=31723571445979", "MXBVPZEER")</f>
        <v>MXBVPZEER</v>
      </c>
      <c r="B12124" t="s">
        <v>1809</v>
      </c>
      <c r="C12124">
        <v>238</v>
      </c>
      <c r="D12124">
        <v>258.72000000000003</v>
      </c>
      <c r="E12124">
        <v>258.70999999999998</v>
      </c>
      <c r="F12124">
        <v>0.01</v>
      </c>
    </row>
    <row r="12125" spans="1:6" x14ac:dyDescent="0.3">
      <c r="A12125" t="str">
        <f>HYPERLINK("https://us2.cloudbeds.com/connect/10074733072513#/reservations/31719655022736?display=MX8UNA66K&amp;reservation_id=31719655022736", "MX8UNA66K")</f>
        <v>MX8UNA66K</v>
      </c>
      <c r="B12125" t="s">
        <v>1830</v>
      </c>
      <c r="C12125">
        <v>73</v>
      </c>
      <c r="D12125">
        <v>79.36</v>
      </c>
      <c r="E12125">
        <v>79.349999999999994</v>
      </c>
      <c r="F12125">
        <v>0.01</v>
      </c>
    </row>
    <row r="12126" spans="1:6" x14ac:dyDescent="0.3">
      <c r="A12126" t="str">
        <f>HYPERLINK("https://us2.cloudbeds.com/connect/10074733072513#/reservations/31723985694941?display=MXC9C1HBM&amp;reservation_id=31723985694941", "MXC9C1HBM")</f>
        <v>MXC9C1HBM</v>
      </c>
      <c r="B12126" t="s">
        <v>1827</v>
      </c>
      <c r="C12126">
        <v>119</v>
      </c>
      <c r="D12126">
        <v>129.36000000000001</v>
      </c>
      <c r="E12126">
        <v>129.35</v>
      </c>
      <c r="F12126">
        <v>0.01</v>
      </c>
    </row>
    <row r="12127" spans="1:6" x14ac:dyDescent="0.3">
      <c r="A12127" t="str">
        <f>HYPERLINK("https://us2.cloudbeds.com/connect/10074733072513#/reservations/31722213261565?display=MXAU2FVGC&amp;reservation_id=31722213261565", "MXAU2FVGC")</f>
        <v>MXAU2FVGC</v>
      </c>
      <c r="B12127" t="s">
        <v>1809</v>
      </c>
      <c r="C12127">
        <v>97.74</v>
      </c>
      <c r="D12127">
        <v>106.25</v>
      </c>
      <c r="E12127">
        <v>106.24</v>
      </c>
      <c r="F12127">
        <v>0.01</v>
      </c>
    </row>
    <row r="12128" spans="1:6" x14ac:dyDescent="0.3">
      <c r="A12128" t="str">
        <f>HYPERLINK("https://us2.cloudbeds.com/connect/10074733072513#/reservations/31719316386011?display=MX8M1P40M&amp;reservation_id=31719316386011", "MX8M1P40M")</f>
        <v>MX8M1P40M</v>
      </c>
      <c r="B12128" t="s">
        <v>1804</v>
      </c>
      <c r="C12128">
        <v>178</v>
      </c>
      <c r="D12128">
        <v>193.5</v>
      </c>
      <c r="E12128">
        <v>193.49</v>
      </c>
      <c r="F12128">
        <v>0.01</v>
      </c>
    </row>
    <row r="12129" spans="1:6" x14ac:dyDescent="0.3">
      <c r="A12129" t="str">
        <f>HYPERLINK("https://us2.cloudbeds.com/connect/10074733072513#/reservations/31723651309737?display=MXC0R2P7N&amp;reservation_id=31723651309737", "MXC0R2P7N")</f>
        <v>MXC0R2P7N</v>
      </c>
      <c r="B12129" t="s">
        <v>1809</v>
      </c>
      <c r="C12129">
        <v>159</v>
      </c>
      <c r="D12129">
        <v>172.84</v>
      </c>
      <c r="E12129">
        <v>172.83</v>
      </c>
      <c r="F12129">
        <v>0.01</v>
      </c>
    </row>
    <row r="12130" spans="1:6" x14ac:dyDescent="0.3">
      <c r="A12130" t="str">
        <f>HYPERLINK("https://us2.cloudbeds.com/connect/10074733072513#/reservations/31722203746473?display=MXATRF618&amp;reservation_id=31722203746473", "MXATRF618")</f>
        <v>MXATRF618</v>
      </c>
      <c r="B12130" t="s">
        <v>1809</v>
      </c>
      <c r="C12130">
        <v>119</v>
      </c>
      <c r="D12130">
        <v>129.36000000000001</v>
      </c>
      <c r="E12130">
        <v>129.35</v>
      </c>
      <c r="F12130">
        <v>0.01</v>
      </c>
    </row>
    <row r="12131" spans="1:6" x14ac:dyDescent="0.3">
      <c r="A12131" t="str">
        <f>HYPERLINK("https://us2.cloudbeds.com/connect/10074733072513#/reservations/31722402181371?display=MXB1TPUXW&amp;reservation_id=31722402181371", "MXB1TPUXW")</f>
        <v>MXB1TPUXW</v>
      </c>
      <c r="B12131" t="s">
        <v>1802</v>
      </c>
      <c r="C12131">
        <v>198</v>
      </c>
      <c r="D12131">
        <v>215.24</v>
      </c>
      <c r="E12131">
        <v>215.23</v>
      </c>
      <c r="F12131">
        <v>0.01</v>
      </c>
    </row>
    <row r="12132" spans="1:6" x14ac:dyDescent="0.3">
      <c r="A12132" t="str">
        <f>HYPERLINK("https://us2.cloudbeds.com/connect/10074733072513#/reservations/31722978111652?display=MXBGKE15Z&amp;reservation_id=31722978111652", "MXBGKE15Z")</f>
        <v>MXBGKE15Z</v>
      </c>
      <c r="B12132" t="s">
        <v>1809</v>
      </c>
      <c r="C12132">
        <v>149</v>
      </c>
      <c r="D12132">
        <v>161.97</v>
      </c>
      <c r="E12132">
        <v>161.96</v>
      </c>
      <c r="F12132">
        <v>0.01</v>
      </c>
    </row>
    <row r="12133" spans="1:6" x14ac:dyDescent="0.3">
      <c r="A12133" t="str">
        <f>HYPERLINK("https://us2.cloudbeds.com/connect/10074733072513#/reservations/31715515334827?display=MX5NUK8TF&amp;reservation_id=31715515334827", "MX5NUK8TF")</f>
        <v>MX5NUK8TF</v>
      </c>
      <c r="B12133" t="s">
        <v>1729</v>
      </c>
      <c r="C12133">
        <v>298</v>
      </c>
      <c r="D12133">
        <v>323.94</v>
      </c>
      <c r="E12133">
        <v>323.93</v>
      </c>
      <c r="F12133">
        <v>0.01</v>
      </c>
    </row>
    <row r="12134" spans="1:6" x14ac:dyDescent="0.3">
      <c r="A12134" t="str">
        <f>HYPERLINK("https://us2.cloudbeds.com/connect/10074733072513#/reservations/31723450871955?display=MXBSN29GH&amp;reservation_id=31723450871955", "MXBSN29GH")</f>
        <v>MXBSN29GH</v>
      </c>
      <c r="B12134" t="s">
        <v>1802</v>
      </c>
      <c r="C12134">
        <v>298</v>
      </c>
      <c r="D12134">
        <v>323.94</v>
      </c>
      <c r="E12134">
        <v>323.93</v>
      </c>
      <c r="F12134">
        <v>0.01</v>
      </c>
    </row>
    <row r="12135" spans="1:6" x14ac:dyDescent="0.3">
      <c r="A12135" t="str">
        <f>HYPERLINK("https://us2.cloudbeds.com/connect/10074733072513#/reservations/31722423386358?display=MXB2EYWXB&amp;reservation_id=31722423386358", "MXB2EYWXB")</f>
        <v>MXB2EYWXB</v>
      </c>
      <c r="B12135" t="s">
        <v>1802</v>
      </c>
      <c r="C12135">
        <v>119</v>
      </c>
      <c r="D12135">
        <v>129.36000000000001</v>
      </c>
      <c r="E12135">
        <v>129.35</v>
      </c>
      <c r="F12135">
        <v>0.01</v>
      </c>
    </row>
    <row r="12136" spans="1:6" x14ac:dyDescent="0.3">
      <c r="A12136" t="str">
        <f>HYPERLINK("https://us2.cloudbeds.com/connect/10074733072513#/reservations/31722767675590?display=MXBB7WB9C&amp;reservation_id=31722767675590", "MXBB7WB9C")</f>
        <v>MXBB7WB9C</v>
      </c>
      <c r="B12136" t="s">
        <v>1811</v>
      </c>
      <c r="C12136">
        <v>642.6</v>
      </c>
      <c r="D12136">
        <v>698.52</v>
      </c>
      <c r="E12136">
        <v>698.51</v>
      </c>
      <c r="F12136">
        <v>0.01</v>
      </c>
    </row>
    <row r="12137" spans="1:6" x14ac:dyDescent="0.3">
      <c r="A12137" t="str">
        <f>HYPERLINK("https://us2.cloudbeds.com/connect/10074733072513#/reservations/31714567536797?display=MX4WNDCV1&amp;reservation_id=31714567536797", "MX4WNDCV1")</f>
        <v>MX4WNDCV1</v>
      </c>
      <c r="B12137" t="s">
        <v>1539</v>
      </c>
      <c r="C12137">
        <v>149</v>
      </c>
      <c r="D12137">
        <v>161.97</v>
      </c>
      <c r="E12137">
        <v>161.96</v>
      </c>
      <c r="F12137">
        <v>0.01</v>
      </c>
    </row>
    <row r="12138" spans="1:6" x14ac:dyDescent="0.3">
      <c r="A12138" t="str">
        <f>HYPERLINK("https://us2.cloudbeds.com/connect/10074733072513#/reservations/31701844443374?display=MHS4JVXXG&amp;reservation_id=31701844443374", "MHS4JVXXG")</f>
        <v>MHS4JVXXG</v>
      </c>
      <c r="B12138" t="s">
        <v>1833</v>
      </c>
      <c r="C12138">
        <v>189</v>
      </c>
      <c r="D12138">
        <v>205.45</v>
      </c>
      <c r="E12138">
        <v>205.44</v>
      </c>
      <c r="F12138">
        <v>0.01</v>
      </c>
    </row>
    <row r="12139" spans="1:6" x14ac:dyDescent="0.3">
      <c r="A12139" t="str">
        <f>HYPERLINK("https://us2.cloudbeds.com/connect/10074733072513#/reservations/31720648233193?display=MX9N2QZ66&amp;reservation_id=31720648233193", "MX9N2QZ66")</f>
        <v>MX9N2QZ66</v>
      </c>
      <c r="B12139" t="s">
        <v>1834</v>
      </c>
      <c r="C12139">
        <v>376</v>
      </c>
      <c r="D12139">
        <v>408.72</v>
      </c>
      <c r="E12139">
        <v>408.71</v>
      </c>
      <c r="F12139">
        <v>0.01</v>
      </c>
    </row>
    <row r="12140" spans="1:6" x14ac:dyDescent="0.3">
      <c r="A12140" t="str">
        <f>HYPERLINK("https://us2.cloudbeds.com/connect/10074733072513#/reservations/31700938330309?display=MHREETKQR&amp;reservation_id=31700938330309", "MHREETKQR")</f>
        <v>MHREETKQR</v>
      </c>
      <c r="B12140" t="s">
        <v>1788</v>
      </c>
      <c r="C12140">
        <v>229</v>
      </c>
      <c r="D12140">
        <v>248.93</v>
      </c>
      <c r="E12140">
        <v>248.92</v>
      </c>
      <c r="F12140">
        <v>0.01</v>
      </c>
    </row>
    <row r="12141" spans="1:6" x14ac:dyDescent="0.3">
      <c r="A12141" t="str">
        <f>HYPERLINK("https://us2.cloudbeds.com/connect/10074733072513#/reservations/31718428799174?display=MX7WCANDS&amp;reservation_id=31718428799174", "MX7WCANDS")</f>
        <v>MX7WCANDS</v>
      </c>
      <c r="B12141" t="s">
        <v>1819</v>
      </c>
      <c r="C12141">
        <v>149</v>
      </c>
      <c r="D12141">
        <v>161.97</v>
      </c>
      <c r="E12141">
        <v>161.96</v>
      </c>
      <c r="F12141">
        <v>0.01</v>
      </c>
    </row>
    <row r="12142" spans="1:6" x14ac:dyDescent="0.3">
      <c r="A12142" t="str">
        <f>HYPERLINK("https://us2.cloudbeds.com/connect/10074733072513#/reservations/31718982873338?display=MX8DHHY41&amp;reservation_id=31718982873338", "MX8DHHY41")</f>
        <v>MX8DHHY41</v>
      </c>
      <c r="B12142" t="s">
        <v>1666</v>
      </c>
      <c r="C12142">
        <v>149</v>
      </c>
      <c r="D12142">
        <v>161.97</v>
      </c>
      <c r="E12142">
        <v>161.96</v>
      </c>
      <c r="F12142">
        <v>0.01</v>
      </c>
    </row>
    <row r="12143" spans="1:6" x14ac:dyDescent="0.3">
      <c r="A12143" t="str">
        <f>HYPERLINK("https://us2.cloudbeds.com/connect/10074733072513#/reservations/31717499302039?display=MX78KX2N0&amp;reservation_id=31717499302039", "MX78KX2N0")</f>
        <v>MX78KX2N0</v>
      </c>
      <c r="B12143" t="s">
        <v>1832</v>
      </c>
      <c r="C12143">
        <v>198</v>
      </c>
      <c r="D12143">
        <v>215.24</v>
      </c>
      <c r="E12143">
        <v>215.23</v>
      </c>
      <c r="F12143">
        <v>0.01</v>
      </c>
    </row>
    <row r="12144" spans="1:6" x14ac:dyDescent="0.3">
      <c r="A12144" t="str">
        <f>HYPERLINK("https://us2.cloudbeds.com/connect/10074733072513#/reservations/31722771624071?display=MXBBBA72A&amp;reservation_id=31722771624071", "MXBBBA72A")</f>
        <v>MXBBBA72A</v>
      </c>
      <c r="B12144" t="s">
        <v>1806</v>
      </c>
      <c r="C12144">
        <v>99</v>
      </c>
      <c r="D12144">
        <v>107.62</v>
      </c>
      <c r="E12144">
        <v>107.61</v>
      </c>
      <c r="F12144">
        <v>0.01</v>
      </c>
    </row>
    <row r="12145" spans="1:6" x14ac:dyDescent="0.3">
      <c r="A12145" t="str">
        <f>HYPERLINK("https://us2.cloudbeds.com/connect/10074733072513#/reservations/31722687799456?display=MXB96KM4F&amp;reservation_id=31722687799456", "MXB96KM4F")</f>
        <v>MXB96KM4F</v>
      </c>
      <c r="B12145" t="s">
        <v>1811</v>
      </c>
      <c r="C12145">
        <v>149</v>
      </c>
      <c r="D12145">
        <v>161.97</v>
      </c>
      <c r="E12145">
        <v>161.96</v>
      </c>
      <c r="F12145">
        <v>0.01</v>
      </c>
    </row>
    <row r="12146" spans="1:6" x14ac:dyDescent="0.3">
      <c r="A12146" t="str">
        <f>HYPERLINK("https://us2.cloudbeds.com/connect/10074733072513#/reservations/31722474418321?display=MXB3ZN0SE&amp;reservation_id=31722474418321", "MXB3ZN0SE")</f>
        <v>MXB3ZN0SE</v>
      </c>
      <c r="B12146" t="s">
        <v>1786</v>
      </c>
      <c r="C12146">
        <v>298</v>
      </c>
      <c r="D12146">
        <v>323.94</v>
      </c>
      <c r="E12146">
        <v>323.93</v>
      </c>
      <c r="F12146">
        <v>0.01</v>
      </c>
    </row>
    <row r="12147" spans="1:6" x14ac:dyDescent="0.3">
      <c r="A12147" t="str">
        <f>HYPERLINK("https://us2.cloudbeds.com/connect/10074733072513#/reservations/31717474361522?display=MX77WH2FP&amp;reservation_id=31717474361522", "MX77WH2FP")</f>
        <v>MX77WH2FP</v>
      </c>
      <c r="B12147" t="s">
        <v>1832</v>
      </c>
      <c r="C12147">
        <v>99</v>
      </c>
      <c r="D12147">
        <v>107.62</v>
      </c>
      <c r="E12147">
        <v>107.61</v>
      </c>
      <c r="F12147">
        <v>0.01</v>
      </c>
    </row>
    <row r="12148" spans="1:6" x14ac:dyDescent="0.3">
      <c r="A12148" t="str">
        <f>HYPERLINK("https://us2.cloudbeds.com/connect/10074733072513#/reservations/31718794272916?display=MX88NGXAZ&amp;reservation_id=31718794272916", "MX88NGXAZ")</f>
        <v>MX88NGXAZ</v>
      </c>
      <c r="B12148" t="s">
        <v>1786</v>
      </c>
      <c r="C12148">
        <v>298</v>
      </c>
      <c r="D12148">
        <v>323.94</v>
      </c>
      <c r="E12148">
        <v>323.93</v>
      </c>
      <c r="F12148">
        <v>0.01</v>
      </c>
    </row>
    <row r="12149" spans="1:6" x14ac:dyDescent="0.3">
      <c r="A12149" t="str">
        <f>HYPERLINK("https://us2.cloudbeds.com/connect/10074733072513#/reservations/31717519245443?display=MX794C16J&amp;reservation_id=31717519245443", "MX794C16J")</f>
        <v>MX794C16J</v>
      </c>
      <c r="B12149" t="s">
        <v>1832</v>
      </c>
      <c r="C12149">
        <v>198</v>
      </c>
      <c r="D12149">
        <v>215.24</v>
      </c>
      <c r="E12149">
        <v>215.23</v>
      </c>
      <c r="F12149">
        <v>0.01</v>
      </c>
    </row>
    <row r="12150" spans="1:6" x14ac:dyDescent="0.3">
      <c r="A12150" t="str">
        <f>HYPERLINK("https://us2.cloudbeds.com/connect/10074733072513#/reservations/31720609697929?display=MX9M3AE8U&amp;reservation_id=31720609697929", "MX9M3AE8U")</f>
        <v>MX9M3AE8U</v>
      </c>
      <c r="B12150" t="s">
        <v>1834</v>
      </c>
      <c r="C12150">
        <v>89</v>
      </c>
      <c r="D12150">
        <v>96.75</v>
      </c>
      <c r="E12150">
        <v>96.74</v>
      </c>
      <c r="F12150">
        <v>0.01</v>
      </c>
    </row>
    <row r="12151" spans="1:6" x14ac:dyDescent="0.3">
      <c r="A12151" t="str">
        <f>HYPERLINK("https://us2.cloudbeds.com/connect/10074733072513#/reservations/31720618504415?display=MX9MAZG14&amp;reservation_id=31720618504415", "MX9MAZG14")</f>
        <v>MX9MAZG14</v>
      </c>
      <c r="B12151" t="s">
        <v>1834</v>
      </c>
      <c r="C12151">
        <v>149</v>
      </c>
      <c r="D12151">
        <v>161.97</v>
      </c>
      <c r="E12151">
        <v>161.96</v>
      </c>
      <c r="F12151">
        <v>0.01</v>
      </c>
    </row>
    <row r="12152" spans="1:6" x14ac:dyDescent="0.3">
      <c r="A12152" t="str">
        <f>HYPERLINK("https://us2.cloudbeds.com/connect/10074733072513#/reservations/31717463662813?display=MX77NGC4F&amp;reservation_id=31717463662813", "MX77NGC4F")</f>
        <v>MX77NGC4F</v>
      </c>
      <c r="B12152" t="s">
        <v>1832</v>
      </c>
      <c r="C12152">
        <v>119</v>
      </c>
      <c r="D12152">
        <v>129.36000000000001</v>
      </c>
      <c r="E12152">
        <v>129.35</v>
      </c>
      <c r="F12152">
        <v>0.01</v>
      </c>
    </row>
    <row r="12153" spans="1:6" x14ac:dyDescent="0.3">
      <c r="A12153" t="str">
        <f>HYPERLINK("https://us2.cloudbeds.com/connect/10074733072513#/reservations/31719337341077?display=MX8MJE7GM&amp;reservation_id=31719337341077", "MX8MJE7GM")</f>
        <v>MX8MJE7GM</v>
      </c>
      <c r="B12153" t="s">
        <v>1804</v>
      </c>
      <c r="C12153">
        <v>313.2</v>
      </c>
      <c r="D12153">
        <v>340.46</v>
      </c>
      <c r="E12153">
        <v>340.45</v>
      </c>
      <c r="F12153">
        <v>0.01</v>
      </c>
    </row>
    <row r="12154" spans="1:6" x14ac:dyDescent="0.3">
      <c r="A12154" t="str">
        <f>HYPERLINK("https://us2.cloudbeds.com/connect/10074733072513#/reservations/31720819380421?display=MX9RF455R&amp;reservation_id=31720819380421", "MX9RF455R")</f>
        <v>MX9RF455R</v>
      </c>
      <c r="B12154" t="s">
        <v>1802</v>
      </c>
      <c r="C12154">
        <v>119</v>
      </c>
      <c r="D12154">
        <v>129.36000000000001</v>
      </c>
      <c r="E12154">
        <v>129.35</v>
      </c>
      <c r="F12154">
        <v>0.01</v>
      </c>
    </row>
    <row r="12155" spans="1:6" x14ac:dyDescent="0.3">
      <c r="A12155" t="str">
        <f>HYPERLINK("https://us2.cloudbeds.com/connect/10074733072513#/reservations/31722220048531?display=MXAU86QQ0&amp;reservation_id=31722220048531", "MXAU86QQ0")</f>
        <v>MXAU86QQ0</v>
      </c>
      <c r="B12155" t="s">
        <v>1804</v>
      </c>
      <c r="C12155">
        <v>119</v>
      </c>
      <c r="D12155">
        <v>129.36000000000001</v>
      </c>
      <c r="E12155">
        <v>129.35</v>
      </c>
      <c r="F12155">
        <v>0.01</v>
      </c>
    </row>
    <row r="12156" spans="1:6" x14ac:dyDescent="0.3">
      <c r="A12156" t="str">
        <f>HYPERLINK("https://us2.cloudbeds.com/connect/10074733072513#/reservations/31722742177948?display=MXBAJFRFH&amp;reservation_id=31722742177948", "MXBAJFRFH")</f>
        <v>MXBAJFRFH</v>
      </c>
      <c r="B12156" t="s">
        <v>1806</v>
      </c>
      <c r="C12156">
        <v>99</v>
      </c>
      <c r="D12156">
        <v>107.62</v>
      </c>
      <c r="E12156">
        <v>107.61</v>
      </c>
      <c r="F12156">
        <v>0.01</v>
      </c>
    </row>
    <row r="12157" spans="1:6" x14ac:dyDescent="0.3">
      <c r="A12157" t="str">
        <f>HYPERLINK("https://us2.cloudbeds.com/connect/10074733072513#/reservations/31722793885907?display=MXBBU2MHD&amp;reservation_id=31722793885907", "MXBBU2MHD")</f>
        <v>MXBBU2MHD</v>
      </c>
      <c r="B12157" t="s">
        <v>1811</v>
      </c>
      <c r="C12157">
        <v>119</v>
      </c>
      <c r="D12157">
        <v>129.36000000000001</v>
      </c>
      <c r="E12157">
        <v>129.35</v>
      </c>
      <c r="F12157">
        <v>0.01</v>
      </c>
    </row>
    <row r="12158" spans="1:6" x14ac:dyDescent="0.3">
      <c r="A12158" t="str">
        <f>HYPERLINK("https://us2.cloudbeds.com/connect/10074733072513#/reservations/31720628785331?display=MX9MJDXZ1&amp;reservation_id=31720628785331", "MX9MJDXZ1")</f>
        <v>MX9MJDXZ1</v>
      </c>
      <c r="B12158" t="s">
        <v>1834</v>
      </c>
      <c r="C12158">
        <v>87.82</v>
      </c>
      <c r="D12158">
        <v>95.47</v>
      </c>
      <c r="E12158">
        <v>95.46</v>
      </c>
      <c r="F12158">
        <v>0.01</v>
      </c>
    </row>
    <row r="12159" spans="1:6" x14ac:dyDescent="0.3">
      <c r="A12159" t="str">
        <f>HYPERLINK("https://us2.cloudbeds.com/connect/10074733072513#/reservations/31720508973185?display=MX9JHCKCV&amp;reservation_id=31720508973185", "MX9JHCKCV")</f>
        <v>MX9JHCKCV</v>
      </c>
      <c r="B12159" t="s">
        <v>1742</v>
      </c>
      <c r="C12159">
        <v>149</v>
      </c>
      <c r="D12159">
        <v>161.97</v>
      </c>
      <c r="E12159">
        <v>161.96</v>
      </c>
      <c r="F12159">
        <v>0.01</v>
      </c>
    </row>
    <row r="12160" spans="1:6" x14ac:dyDescent="0.3">
      <c r="A12160" t="str">
        <f>HYPERLINK("https://us2.cloudbeds.com/connect/10074733072513#/reservations/31720684384392?display=MX9Z09MT2&amp;reservation_id=31720684384392", "MX9Z09MT2")</f>
        <v>MX9Z09MT2</v>
      </c>
      <c r="B12160" t="s">
        <v>1834</v>
      </c>
      <c r="C12160">
        <v>87.82</v>
      </c>
      <c r="D12160">
        <v>95.47</v>
      </c>
      <c r="E12160">
        <v>95.46</v>
      </c>
      <c r="F12160">
        <v>0.01</v>
      </c>
    </row>
    <row r="12161" spans="1:6" x14ac:dyDescent="0.3">
      <c r="A12161" t="str">
        <f>HYPERLINK("https://us2.cloudbeds.com/connect/10074733072513#/reservations/31718800527548?display=MX88SPJQ1&amp;reservation_id=31718800527548", "MX88SPJQ1")</f>
        <v>MX88SPJQ1</v>
      </c>
      <c r="B12161" t="s">
        <v>1786</v>
      </c>
      <c r="C12161">
        <v>149</v>
      </c>
      <c r="D12161">
        <v>161.97</v>
      </c>
      <c r="E12161">
        <v>161.96</v>
      </c>
      <c r="F12161">
        <v>0.01</v>
      </c>
    </row>
    <row r="12162" spans="1:6" x14ac:dyDescent="0.3">
      <c r="A12162" t="str">
        <f>HYPERLINK("https://us2.cloudbeds.com/connect/10074733072513#/reservations/31720707858639?display=MX9ZK2TYT&amp;reservation_id=31720707858639", "MX9ZK2TYT")</f>
        <v>MX9ZK2TYT</v>
      </c>
      <c r="B12162" t="s">
        <v>1832</v>
      </c>
      <c r="C12162">
        <v>99</v>
      </c>
      <c r="D12162">
        <v>107.62</v>
      </c>
      <c r="E12162">
        <v>107.61</v>
      </c>
      <c r="F12162">
        <v>0.01</v>
      </c>
    </row>
    <row r="12163" spans="1:6" x14ac:dyDescent="0.3">
      <c r="A12163" t="str">
        <f>HYPERLINK("https://us2.cloudbeds.com/connect/10074733072513#/reservations/31719576821905?display=MX8SNC4EF&amp;reservation_id=31719576821905", "MX8SNC4EF")</f>
        <v>MX8SNC4EF</v>
      </c>
      <c r="B12163" t="s">
        <v>1804</v>
      </c>
      <c r="C12163">
        <v>119</v>
      </c>
      <c r="D12163">
        <v>129.36000000000001</v>
      </c>
      <c r="E12163">
        <v>129.35</v>
      </c>
      <c r="F12163">
        <v>0.01</v>
      </c>
    </row>
    <row r="12164" spans="1:6" x14ac:dyDescent="0.3">
      <c r="A12164" t="str">
        <f>HYPERLINK("https://us2.cloudbeds.com/connect/10074733072513#/reservations/31722162176157?display=MXASPDE3N&amp;reservation_id=31722162176157", "MXASPDE3N")</f>
        <v>MXASPDE3N</v>
      </c>
      <c r="B12164" t="s">
        <v>1838</v>
      </c>
      <c r="C12164">
        <v>146.12</v>
      </c>
      <c r="D12164">
        <v>158.84</v>
      </c>
      <c r="E12164">
        <v>158.83000000000001</v>
      </c>
      <c r="F12164">
        <v>0.01</v>
      </c>
    </row>
    <row r="12165" spans="1:6" x14ac:dyDescent="0.3">
      <c r="A12165" t="str">
        <f>HYPERLINK("https://us2.cloudbeds.com/connect/10074733072513#/reservations/31720635125891?display=MX9MZP037&amp;reservation_id=31720635125891", "MX9MZP037")</f>
        <v>MX9MZP037</v>
      </c>
      <c r="B12165" t="s">
        <v>1834</v>
      </c>
      <c r="C12165">
        <v>119</v>
      </c>
      <c r="D12165">
        <v>129.36000000000001</v>
      </c>
      <c r="E12165">
        <v>129.35</v>
      </c>
      <c r="F12165">
        <v>0.01</v>
      </c>
    </row>
    <row r="12166" spans="1:6" x14ac:dyDescent="0.3">
      <c r="A12166" t="str">
        <f>HYPERLINK("https://us2.cloudbeds.com/connect/10074733072513#/reservations/31722239271129?display=MXAUZDNCW&amp;reservation_id=31722239271129", "MXAUZDNCW")</f>
        <v>MXAUZDNCW</v>
      </c>
      <c r="B12166" t="s">
        <v>1804</v>
      </c>
      <c r="C12166">
        <v>119</v>
      </c>
      <c r="D12166">
        <v>129.36000000000001</v>
      </c>
      <c r="E12166">
        <v>129.35</v>
      </c>
      <c r="F12166">
        <v>0.01</v>
      </c>
    </row>
    <row r="12167" spans="1:6" x14ac:dyDescent="0.3">
      <c r="A12167" t="str">
        <f>HYPERLINK("https://us2.cloudbeds.com/connect/10074733072513#/reservations/31723496874207?display=MXBTSSC55&amp;reservation_id=31723496874207", "MXBTSSC55")</f>
        <v>MXBTSSC55</v>
      </c>
      <c r="B12167" t="s">
        <v>1802</v>
      </c>
      <c r="C12167">
        <v>149</v>
      </c>
      <c r="D12167">
        <v>161.97</v>
      </c>
      <c r="E12167">
        <v>161.96</v>
      </c>
      <c r="F12167">
        <v>0.01</v>
      </c>
    </row>
    <row r="12168" spans="1:6" x14ac:dyDescent="0.3">
      <c r="A12168" t="str">
        <f>HYPERLINK("https://us2.cloudbeds.com/connect/10074733072513#/reservations/31715904991376?display=MX60T617M&amp;reservation_id=31715904991376", "MX60T617M")</f>
        <v>MX60T617M</v>
      </c>
      <c r="B12168" t="s">
        <v>1760</v>
      </c>
      <c r="C12168">
        <v>149</v>
      </c>
      <c r="D12168">
        <v>161.97</v>
      </c>
      <c r="E12168">
        <v>161.96</v>
      </c>
      <c r="F12168">
        <v>0.01</v>
      </c>
    </row>
    <row r="12169" spans="1:6" x14ac:dyDescent="0.3">
      <c r="A12169" t="str">
        <f>HYPERLINK("https://us2.cloudbeds.com/connect/10074733072513#/reservations/31723069944026?display=MXBXVSDDV&amp;reservation_id=31723069944026", "MXBXVSDDV")</f>
        <v>MXBXVSDDV</v>
      </c>
      <c r="B12169" t="s">
        <v>1839</v>
      </c>
      <c r="C12169">
        <v>99</v>
      </c>
      <c r="D12169">
        <v>107.62</v>
      </c>
      <c r="E12169">
        <v>107.61</v>
      </c>
      <c r="F12169">
        <v>0.01</v>
      </c>
    </row>
    <row r="12170" spans="1:6" x14ac:dyDescent="0.3">
      <c r="A12170" t="str">
        <f>HYPERLINK("https://us2.cloudbeds.com/connect/10074733072513#/reservations/31723335614698?display=MXBPZT2QC&amp;reservation_id=31723335614698", "MXBPZT2QC")</f>
        <v>MXBPZT2QC</v>
      </c>
      <c r="B12170" t="s">
        <v>1838</v>
      </c>
      <c r="C12170">
        <v>109</v>
      </c>
      <c r="D12170">
        <v>118.49</v>
      </c>
      <c r="E12170">
        <v>118.48</v>
      </c>
      <c r="F12170">
        <v>0.01</v>
      </c>
    </row>
    <row r="12171" spans="1:6" x14ac:dyDescent="0.3">
      <c r="A12171" t="str">
        <f>HYPERLINK("https://us2.cloudbeds.com/connect/10074733072513#/reservations/31715729166498?display=MX5TCUET2&amp;reservation_id=31715729166498", "MX5TCUET2")</f>
        <v>MX5TCUET2</v>
      </c>
      <c r="B12171" t="s">
        <v>1731</v>
      </c>
      <c r="C12171">
        <v>378</v>
      </c>
      <c r="D12171">
        <v>410.9</v>
      </c>
      <c r="E12171">
        <v>410.89</v>
      </c>
      <c r="F12171">
        <v>0.01</v>
      </c>
    </row>
    <row r="12172" spans="1:6" x14ac:dyDescent="0.3">
      <c r="A12172" t="str">
        <f>HYPERLINK("https://us2.cloudbeds.com/connect/10074733072513#/reservations/31717282328760?display=MX732JFS5&amp;reservation_id=31717282328760", "MX732JFS5")</f>
        <v>MX732JFS5</v>
      </c>
      <c r="B12172" t="s">
        <v>1768</v>
      </c>
      <c r="C12172">
        <v>371.94</v>
      </c>
      <c r="D12172">
        <v>404.31</v>
      </c>
      <c r="E12172">
        <v>404.3</v>
      </c>
      <c r="F12172">
        <v>0.01</v>
      </c>
    </row>
    <row r="12173" spans="1:6" x14ac:dyDescent="0.3">
      <c r="A12173" t="str">
        <f>HYPERLINK("https://us2.cloudbeds.com/connect/10074733072513#/reservations/31713917857981?display=MX4G3J406&amp;reservation_id=31713917857981", "MX4G3J406")</f>
        <v>MX4G3J406</v>
      </c>
      <c r="B12173" t="s">
        <v>1841</v>
      </c>
      <c r="C12173">
        <v>642.6</v>
      </c>
      <c r="D12173">
        <v>698.52</v>
      </c>
      <c r="E12173">
        <v>698.51</v>
      </c>
      <c r="F12173">
        <v>0.01</v>
      </c>
    </row>
    <row r="12174" spans="1:6" x14ac:dyDescent="0.3">
      <c r="A12174" t="str">
        <f>HYPERLINK("https://us2.cloudbeds.com/connect/10074733072513#/reservations/31722280370344?display=MXAVQ2BNZ&amp;reservation_id=31722280370344", "MXAVQ2BNZ")</f>
        <v>MXAVQ2BNZ</v>
      </c>
      <c r="B12174" t="s">
        <v>1804</v>
      </c>
      <c r="C12174">
        <v>149</v>
      </c>
      <c r="D12174">
        <v>161.97</v>
      </c>
      <c r="E12174">
        <v>161.96</v>
      </c>
      <c r="F12174">
        <v>0.01</v>
      </c>
    </row>
    <row r="12175" spans="1:6" x14ac:dyDescent="0.3">
      <c r="A12175" t="str">
        <f>HYPERLINK("https://us2.cloudbeds.com/connect/10074733072513#/reservations/31713413611738?display=MX437CNW0&amp;reservation_id=31713413611738", "MX437CNW0")</f>
        <v>MX437CNW0</v>
      </c>
      <c r="B12175" t="s">
        <v>1661</v>
      </c>
      <c r="C12175">
        <v>398</v>
      </c>
      <c r="D12175">
        <v>432.64</v>
      </c>
      <c r="E12175">
        <v>432.63</v>
      </c>
      <c r="F12175">
        <v>0.01</v>
      </c>
    </row>
    <row r="12176" spans="1:6" x14ac:dyDescent="0.3">
      <c r="A12176" t="str">
        <f>HYPERLINK("https://us2.cloudbeds.com/connect/10074733072513#/reservations/31717402632341?display=MX76513F7&amp;reservation_id=31717402632341", "MX76513F7")</f>
        <v>MX76513F7</v>
      </c>
      <c r="B12176" t="s">
        <v>1821</v>
      </c>
      <c r="C12176">
        <v>149</v>
      </c>
      <c r="D12176">
        <v>161.97</v>
      </c>
      <c r="E12176">
        <v>161.96</v>
      </c>
      <c r="F12176">
        <v>0.01</v>
      </c>
    </row>
    <row r="12177" spans="1:6" x14ac:dyDescent="0.3">
      <c r="A12177" t="str">
        <f>HYPERLINK("https://us2.cloudbeds.com/connect/10074733072513#/reservations/31713406156929?display=MX43139DN&amp;reservation_id=31713406156929", "MX43139DN")</f>
        <v>MX43139DN</v>
      </c>
      <c r="B12177" t="s">
        <v>1661</v>
      </c>
      <c r="C12177">
        <v>318</v>
      </c>
      <c r="D12177">
        <v>345.68</v>
      </c>
      <c r="E12177">
        <v>345.67</v>
      </c>
      <c r="F12177">
        <v>0.01</v>
      </c>
    </row>
    <row r="12178" spans="1:6" x14ac:dyDescent="0.3">
      <c r="A12178" t="str">
        <f>HYPERLINK("https://us2.cloudbeds.com/connect/10074733072513#/reservations/31722181763305?display=MXAT8UFFY&amp;reservation_id=31722181763305", "MXAT8UFFY")</f>
        <v>MXAT8UFFY</v>
      </c>
      <c r="B12178" t="s">
        <v>1838</v>
      </c>
      <c r="C12178">
        <v>119</v>
      </c>
      <c r="D12178">
        <v>129.36000000000001</v>
      </c>
      <c r="E12178">
        <v>129.35</v>
      </c>
      <c r="F12178">
        <v>0.01</v>
      </c>
    </row>
    <row r="12179" spans="1:6" x14ac:dyDescent="0.3">
      <c r="A12179" t="str">
        <f>HYPERLINK("https://us2.cloudbeds.com/connect/10074733072513#/reservations/31721100812516?display=MXA1YEDS4&amp;reservation_id=31721100812516", "MXA1YEDS4")</f>
        <v>MXA1YEDS4</v>
      </c>
      <c r="B12179" t="s">
        <v>1842</v>
      </c>
      <c r="C12179">
        <v>99</v>
      </c>
      <c r="D12179">
        <v>107.62</v>
      </c>
      <c r="E12179">
        <v>107.61</v>
      </c>
      <c r="F12179">
        <v>0.01</v>
      </c>
    </row>
    <row r="12180" spans="1:6" x14ac:dyDescent="0.3">
      <c r="A12180" t="str">
        <f>HYPERLINK("https://us2.cloudbeds.com/connect/10074733072513#/reservations/31717622178027?display=MX7BP59FQ&amp;reservation_id=31717622178027", "MX7BP59FQ")</f>
        <v>MX7BP59FQ</v>
      </c>
      <c r="B12180" t="s">
        <v>1768</v>
      </c>
      <c r="C12180">
        <v>371.94</v>
      </c>
      <c r="D12180">
        <v>404.31</v>
      </c>
      <c r="E12180">
        <v>404.3</v>
      </c>
      <c r="F12180">
        <v>0.01</v>
      </c>
    </row>
    <row r="12181" spans="1:6" x14ac:dyDescent="0.3">
      <c r="A12181" t="str">
        <f>HYPERLINK("https://us2.cloudbeds.com/connect/10074733072513#/reservations/31721081348322?display=MXA150QD2&amp;reservation_id=31721081348322", "MXA150QD2")</f>
        <v>MXA150QD2</v>
      </c>
      <c r="B12181" t="s">
        <v>1842</v>
      </c>
      <c r="C12181">
        <v>99</v>
      </c>
      <c r="D12181">
        <v>107.62</v>
      </c>
      <c r="E12181">
        <v>107.61</v>
      </c>
      <c r="F12181">
        <v>0.01</v>
      </c>
    </row>
    <row r="12182" spans="1:6" x14ac:dyDescent="0.3">
      <c r="A12182" t="str">
        <f>HYPERLINK("https://us2.cloudbeds.com/connect/10074733072513#/reservations/31721405505670?display=MXA9EBVHW&amp;reservation_id=31721405505670", "MXA9EBVHW")</f>
        <v>MXA9EBVHW</v>
      </c>
      <c r="B12182" t="s">
        <v>1836</v>
      </c>
      <c r="C12182">
        <v>139</v>
      </c>
      <c r="D12182">
        <v>151.1</v>
      </c>
      <c r="E12182">
        <v>151.09</v>
      </c>
      <c r="F12182">
        <v>0.01</v>
      </c>
    </row>
    <row r="12183" spans="1:6" x14ac:dyDescent="0.3">
      <c r="A12183" t="str">
        <f>HYPERLINK("https://us2.cloudbeds.com/connect/10074733072513#/reservations/31721557713127?display=MXADANBY6&amp;reservation_id=31721557713127", "MXADANBY6")</f>
        <v>MXADANBY6</v>
      </c>
      <c r="B12183" t="s">
        <v>1786</v>
      </c>
      <c r="C12183">
        <v>149</v>
      </c>
      <c r="D12183">
        <v>161.97</v>
      </c>
      <c r="E12183">
        <v>161.96</v>
      </c>
      <c r="F12183">
        <v>0.01</v>
      </c>
    </row>
    <row r="12184" spans="1:6" x14ac:dyDescent="0.3">
      <c r="A12184" t="str">
        <f>HYPERLINK("https://us2.cloudbeds.com/connect/10074733072513#/reservations/31720578785477?display=MX9YA885V&amp;reservation_id=31720578785477", "MX9YA885V")</f>
        <v>MX9YA885V</v>
      </c>
      <c r="B12184" t="s">
        <v>1742</v>
      </c>
      <c r="C12184">
        <v>179</v>
      </c>
      <c r="D12184">
        <v>194.58</v>
      </c>
      <c r="E12184">
        <v>194.57</v>
      </c>
      <c r="F12184">
        <v>0.01</v>
      </c>
    </row>
    <row r="12185" spans="1:6" x14ac:dyDescent="0.3">
      <c r="A12185" t="str">
        <f>HYPERLINK("https://us2.cloudbeds.com/connect/10074733072513#/reservations/31715013238976?display=MX5AREZSF&amp;reservation_id=31715013238976", "MX5AREZSF")</f>
        <v>MX5AREZSF</v>
      </c>
      <c r="B12185" t="s">
        <v>1843</v>
      </c>
      <c r="C12185">
        <v>129</v>
      </c>
      <c r="D12185">
        <v>140.22999999999999</v>
      </c>
      <c r="E12185">
        <v>140.22</v>
      </c>
      <c r="F12185">
        <v>0.01</v>
      </c>
    </row>
    <row r="12186" spans="1:6" x14ac:dyDescent="0.3">
      <c r="A12186" t="str">
        <f>HYPERLINK("https://us2.cloudbeds.com/connect/10074733072513#/reservations/31723142181044?display=MXBKQPGPG&amp;reservation_id=31723142181044", "MXBKQPGPG")</f>
        <v>MXBKQPGPG</v>
      </c>
      <c r="B12186" t="s">
        <v>1839</v>
      </c>
      <c r="C12186">
        <v>99</v>
      </c>
      <c r="D12186">
        <v>107.62</v>
      </c>
      <c r="E12186">
        <v>107.61</v>
      </c>
      <c r="F12186">
        <v>0.01</v>
      </c>
    </row>
    <row r="12187" spans="1:6" x14ac:dyDescent="0.3">
      <c r="A12187" t="str">
        <f>HYPERLINK("https://us2.cloudbeds.com/connect/10074733072513#/reservations/31719163986064?display=MX8X58C5F&amp;reservation_id=31719163986064", "MX8X58C5F")</f>
        <v>MX8X58C5F</v>
      </c>
      <c r="B12187" t="s">
        <v>1844</v>
      </c>
      <c r="C12187">
        <v>149</v>
      </c>
      <c r="D12187">
        <v>161.97</v>
      </c>
      <c r="E12187">
        <v>161.96</v>
      </c>
      <c r="F12187">
        <v>0.01</v>
      </c>
    </row>
    <row r="12188" spans="1:6" x14ac:dyDescent="0.3">
      <c r="A12188" t="str">
        <f>HYPERLINK("https://us2.cloudbeds.com/connect/10074733072513#/reservations/31714474389742?display=MX4UASEF0&amp;reservation_id=31714474389742", "MX4UASEF0")</f>
        <v>MX4UASEF0</v>
      </c>
      <c r="B12188" t="s">
        <v>1729</v>
      </c>
      <c r="C12188">
        <v>298</v>
      </c>
      <c r="D12188">
        <v>323.94</v>
      </c>
      <c r="E12188">
        <v>323.93</v>
      </c>
      <c r="F12188">
        <v>0.01</v>
      </c>
    </row>
    <row r="12189" spans="1:6" x14ac:dyDescent="0.3">
      <c r="A12189" t="str">
        <f>HYPERLINK("https://us2.cloudbeds.com/connect/10074733072513#/reservations/31717420318869?display=MX76JV8HJ&amp;reservation_id=31717420318869", "MX76JV8HJ")</f>
        <v>MX76JV8HJ</v>
      </c>
      <c r="B12189" t="s">
        <v>1821</v>
      </c>
      <c r="C12189">
        <v>119</v>
      </c>
      <c r="D12189">
        <v>129.36000000000001</v>
      </c>
      <c r="E12189">
        <v>129.35</v>
      </c>
      <c r="F12189">
        <v>0.01</v>
      </c>
    </row>
    <row r="12190" spans="1:6" x14ac:dyDescent="0.3">
      <c r="A12190" t="str">
        <f>HYPERLINK("https://us2.cloudbeds.com/connect/10074733072513#/reservations/31720774385808?display=MX9QA63QN&amp;reservation_id=31720774385808", "MX9QA63QN")</f>
        <v>MX9QA63QN</v>
      </c>
      <c r="B12190" t="s">
        <v>1802</v>
      </c>
      <c r="C12190">
        <v>149</v>
      </c>
      <c r="D12190">
        <v>161.97</v>
      </c>
      <c r="E12190">
        <v>161.96</v>
      </c>
      <c r="F12190">
        <v>0.01</v>
      </c>
    </row>
    <row r="12191" spans="1:6" x14ac:dyDescent="0.3">
      <c r="A12191" t="str">
        <f>HYPERLINK("https://us2.cloudbeds.com/connect/10074733072513#/reservations/31723039350924?display=MXBX623J8&amp;reservation_id=31723039350924", "MXBX623J8")</f>
        <v>MXBX623J8</v>
      </c>
      <c r="B12191" t="s">
        <v>1813</v>
      </c>
      <c r="C12191">
        <v>99</v>
      </c>
      <c r="D12191">
        <v>107.62</v>
      </c>
      <c r="E12191">
        <v>107.61</v>
      </c>
      <c r="F12191">
        <v>0.01</v>
      </c>
    </row>
    <row r="12192" spans="1:6" x14ac:dyDescent="0.3">
      <c r="A12192" t="str">
        <f>HYPERLINK("https://us2.cloudbeds.com/connect/10074733072513#/reservations/31718449692914?display=MX7WTV3JG&amp;reservation_id=31718449692914", "MX7WTV3JG")</f>
        <v>MX7WTV3JG</v>
      </c>
      <c r="B12192" t="s">
        <v>1819</v>
      </c>
      <c r="C12192">
        <v>278</v>
      </c>
      <c r="D12192">
        <v>302.2</v>
      </c>
      <c r="E12192">
        <v>302.19</v>
      </c>
      <c r="F12192">
        <v>0.01</v>
      </c>
    </row>
    <row r="12193" spans="1:6" x14ac:dyDescent="0.3">
      <c r="A12193" t="str">
        <f>HYPERLINK("https://us2.cloudbeds.com/connect/10074733072513#/reservations/31717385711861?display=MX75NP8RD&amp;reservation_id=31717385711861", "MX75NP8RD")</f>
        <v>MX75NP8RD</v>
      </c>
      <c r="B12193" t="s">
        <v>1821</v>
      </c>
      <c r="C12193">
        <v>119</v>
      </c>
      <c r="D12193">
        <v>129.36000000000001</v>
      </c>
      <c r="E12193">
        <v>129.35</v>
      </c>
      <c r="F12193">
        <v>0.01</v>
      </c>
    </row>
    <row r="12194" spans="1:6" x14ac:dyDescent="0.3">
      <c r="A12194" t="str">
        <f>HYPERLINK("https://us2.cloudbeds.com/connect/10074733072513#/reservations/31713344622786?display=MX41F707N&amp;reservation_id=31713344622786", "MX41F707N")</f>
        <v>MX41F707N</v>
      </c>
      <c r="B12194" t="s">
        <v>1539</v>
      </c>
      <c r="C12194">
        <v>318</v>
      </c>
      <c r="D12194">
        <v>345.68</v>
      </c>
      <c r="E12194">
        <v>345.67</v>
      </c>
      <c r="F12194">
        <v>0.01</v>
      </c>
    </row>
    <row r="12195" spans="1:6" x14ac:dyDescent="0.3">
      <c r="A12195" t="str">
        <f>HYPERLINK("https://us2.cloudbeds.com/connect/10074733072513#/reservations/31722228867303?display=MXAUFY6RH&amp;reservation_id=31722228867303", "MXAUFY6RH")</f>
        <v>MXAUFY6RH</v>
      </c>
      <c r="B12195" t="s">
        <v>1804</v>
      </c>
      <c r="C12195">
        <v>119</v>
      </c>
      <c r="D12195">
        <v>129.36000000000001</v>
      </c>
      <c r="E12195">
        <v>129.35</v>
      </c>
      <c r="F12195">
        <v>0.01</v>
      </c>
    </row>
    <row r="12196" spans="1:6" x14ac:dyDescent="0.3">
      <c r="A12196" t="str">
        <f>HYPERLINK("https://us2.cloudbeds.com/connect/10074733072513#/reservations/31722429399179?display=MXB2JZ9W1&amp;reservation_id=31722429399179", "MXB2JZ9W1")</f>
        <v>MXB2JZ9W1</v>
      </c>
      <c r="B12196" t="s">
        <v>1802</v>
      </c>
      <c r="C12196">
        <v>149</v>
      </c>
      <c r="D12196">
        <v>161.97</v>
      </c>
      <c r="E12196">
        <v>161.96</v>
      </c>
      <c r="F12196">
        <v>0.01</v>
      </c>
    </row>
    <row r="12197" spans="1:6" x14ac:dyDescent="0.3">
      <c r="A12197" t="str">
        <f>HYPERLINK("https://us2.cloudbeds.com/connect/10074733072513#/reservations/31717370687622?display=MX75B36FE&amp;reservation_id=31717370687622", "MX75B36FE")</f>
        <v>MX75B36FE</v>
      </c>
      <c r="B12197" t="s">
        <v>1821</v>
      </c>
      <c r="C12197">
        <v>149</v>
      </c>
      <c r="D12197">
        <v>161.97</v>
      </c>
      <c r="E12197">
        <v>161.96</v>
      </c>
      <c r="F12197">
        <v>0.01</v>
      </c>
    </row>
    <row r="12198" spans="1:6" x14ac:dyDescent="0.3">
      <c r="A12198" t="str">
        <f>HYPERLINK("https://us2.cloudbeds.com/connect/10074733072513#/reservations/31723317817487?display=MXBP9SS2V&amp;reservation_id=31723317817487", "MXBP9SS2V")</f>
        <v>MXBP9SS2V</v>
      </c>
      <c r="B12198" t="s">
        <v>1845</v>
      </c>
      <c r="C12198">
        <v>198</v>
      </c>
      <c r="D12198">
        <v>215.24</v>
      </c>
      <c r="E12198">
        <v>215.23</v>
      </c>
      <c r="F12198">
        <v>0.01</v>
      </c>
    </row>
    <row r="12199" spans="1:6" x14ac:dyDescent="0.3">
      <c r="A12199" t="str">
        <f>HYPERLINK("https://us2.cloudbeds.com/connect/10074733072513#/reservations/31716776063123?display=MX6N4MTF7&amp;reservation_id=31716776063123", "MX6N4MTF7")</f>
        <v>MX6N4MTF7</v>
      </c>
      <c r="B12199" t="s">
        <v>1846</v>
      </c>
      <c r="C12199">
        <v>189</v>
      </c>
      <c r="D12199">
        <v>205.45</v>
      </c>
      <c r="E12199">
        <v>205.44</v>
      </c>
      <c r="F12199">
        <v>0.01</v>
      </c>
    </row>
    <row r="12200" spans="1:6" x14ac:dyDescent="0.3">
      <c r="A12200" t="str">
        <f>HYPERLINK("https://us2.cloudbeds.com/connect/10074733072513#/reservations/31722437800178?display=MXB2QR2CP&amp;reservation_id=31722437800178", "MXB2QR2CP")</f>
        <v>MXB2QR2CP</v>
      </c>
      <c r="B12200" t="s">
        <v>1802</v>
      </c>
      <c r="C12200">
        <v>119</v>
      </c>
      <c r="D12200">
        <v>129.36000000000001</v>
      </c>
      <c r="E12200">
        <v>129.35</v>
      </c>
      <c r="F12200">
        <v>0.01</v>
      </c>
    </row>
    <row r="12201" spans="1:6" x14ac:dyDescent="0.3">
      <c r="A12201" t="str">
        <f>HYPERLINK("https://us2.cloudbeds.com/connect/10074733072513#/reservations/31722446229639?display=MXB30UKUW&amp;reservation_id=31722446229639", "MXB30UKUW")</f>
        <v>MXB30UKUW</v>
      </c>
      <c r="B12201" t="s">
        <v>1802</v>
      </c>
      <c r="C12201">
        <v>119</v>
      </c>
      <c r="D12201">
        <v>129.36000000000001</v>
      </c>
      <c r="E12201">
        <v>129.35</v>
      </c>
      <c r="F12201">
        <v>0.01</v>
      </c>
    </row>
    <row r="12202" spans="1:6" x14ac:dyDescent="0.3">
      <c r="A12202" t="str">
        <f>HYPERLINK("https://us2.cloudbeds.com/connect/10074733072513#/reservations/31717721219270?display=MX7E9M8EJ&amp;reservation_id=31717721219270", "MX7E9M8EJ")</f>
        <v>MX7E9M8EJ</v>
      </c>
      <c r="B12202" t="s">
        <v>1835</v>
      </c>
      <c r="C12202">
        <v>149</v>
      </c>
      <c r="D12202">
        <v>161.97</v>
      </c>
      <c r="E12202">
        <v>161.96</v>
      </c>
      <c r="F12202">
        <v>0.01</v>
      </c>
    </row>
    <row r="12203" spans="1:6" x14ac:dyDescent="0.3">
      <c r="A12203" t="str">
        <f>HYPERLINK("https://us2.cloudbeds.com/connect/10074733072513#/reservations/31722394050721?display=MXB1MUMDY&amp;reservation_id=31722394050721", "MXB1MUMDY")</f>
        <v>MXB1MUMDY</v>
      </c>
      <c r="B12203" t="s">
        <v>1847</v>
      </c>
      <c r="C12203">
        <v>105.78</v>
      </c>
      <c r="D12203">
        <v>114.99</v>
      </c>
      <c r="E12203">
        <v>114.98</v>
      </c>
      <c r="F12203">
        <v>0.01</v>
      </c>
    </row>
    <row r="12204" spans="1:6" x14ac:dyDescent="0.3">
      <c r="A12204" t="str">
        <f>HYPERLINK("https://us2.cloudbeds.com/connect/10074733072513#/reservations/31722329100436?display=MXB015B96&amp;reservation_id=31722329100436", "MXB015B96")</f>
        <v>MXB015B96</v>
      </c>
      <c r="B12204" t="s">
        <v>1804</v>
      </c>
      <c r="C12204">
        <v>336</v>
      </c>
      <c r="D12204">
        <v>365.24</v>
      </c>
      <c r="E12204">
        <v>365.23</v>
      </c>
      <c r="F12204">
        <v>0.01</v>
      </c>
    </row>
    <row r="12205" spans="1:6" x14ac:dyDescent="0.3">
      <c r="A12205" t="str">
        <f>HYPERLINK("https://us2.cloudbeds.com/connect/10074733072513#/reservations/31722423386311?display=MXB2EYWGU&amp;reservation_id=31722423386311", "MXB2EYWGU")</f>
        <v>MXB2EYWGU</v>
      </c>
      <c r="B12205" t="s">
        <v>1848</v>
      </c>
      <c r="C12205">
        <v>99</v>
      </c>
      <c r="D12205">
        <v>107.62</v>
      </c>
      <c r="E12205">
        <v>107.61</v>
      </c>
      <c r="F12205">
        <v>0.01</v>
      </c>
    </row>
    <row r="12206" spans="1:6" x14ac:dyDescent="0.3">
      <c r="A12206" t="str">
        <f>HYPERLINK("https://us2.cloudbeds.com/connect/10074733072513#/reservations/31723293376693?display=MXBZM8ZZR&amp;reservation_id=31723293376693", "MXBZM8ZZR")</f>
        <v>MXBZM8ZZR</v>
      </c>
      <c r="B12206" t="s">
        <v>1845</v>
      </c>
      <c r="C12206">
        <v>73</v>
      </c>
      <c r="D12206">
        <v>79.36</v>
      </c>
      <c r="E12206">
        <v>79.349999999999994</v>
      </c>
      <c r="F12206">
        <v>0.01</v>
      </c>
    </row>
    <row r="12207" spans="1:6" x14ac:dyDescent="0.3">
      <c r="A12207" t="str">
        <f>HYPERLINK("https://us2.cloudbeds.com/connect/10074733072513#/reservations/31717625024718?display=MX7BRXGH5&amp;reservation_id=31717625024718", "MX7BRXGH5")</f>
        <v>MX7BRXGH5</v>
      </c>
      <c r="B12207" t="s">
        <v>1768</v>
      </c>
      <c r="C12207">
        <v>418</v>
      </c>
      <c r="D12207">
        <v>454.38</v>
      </c>
      <c r="E12207">
        <v>454.37</v>
      </c>
      <c r="F12207">
        <v>0.01</v>
      </c>
    </row>
    <row r="12208" spans="1:6" x14ac:dyDescent="0.3">
      <c r="A12208" t="str">
        <f>HYPERLINK("https://us2.cloudbeds.com/connect/10074733072513#/reservations/31723351769251?display=MXBQ5GK39&amp;reservation_id=31723351769251", "MXBQ5GK39")</f>
        <v>MXBQ5GK39</v>
      </c>
      <c r="B12208" t="s">
        <v>1845</v>
      </c>
      <c r="C12208">
        <v>99</v>
      </c>
      <c r="D12208">
        <v>107.62</v>
      </c>
      <c r="E12208">
        <v>107.61</v>
      </c>
      <c r="F12208">
        <v>0.01</v>
      </c>
    </row>
    <row r="12209" spans="1:6" x14ac:dyDescent="0.3">
      <c r="A12209" t="str">
        <f>HYPERLINK("https://us2.cloudbeds.com/connect/10074733072513#/reservations/31712919896265?display=MX3NK2C21&amp;reservation_id=31712919896265", "MX3NK2C21")</f>
        <v>MX3NK2C21</v>
      </c>
      <c r="B12209" t="s">
        <v>1850</v>
      </c>
      <c r="C12209">
        <v>407</v>
      </c>
      <c r="D12209">
        <v>442.42</v>
      </c>
      <c r="E12209">
        <v>442.41</v>
      </c>
      <c r="F12209">
        <v>0.01</v>
      </c>
    </row>
    <row r="12210" spans="1:6" x14ac:dyDescent="0.3">
      <c r="A12210" t="str">
        <f>HYPERLINK("https://us2.cloudbeds.com/connect/10074733072513#/reservations/31723016847502?display=MXBHK2U9C&amp;reservation_id=31723016847502", "MXBHK2U9C")</f>
        <v>MXBHK2U9C</v>
      </c>
      <c r="B12210" t="s">
        <v>1813</v>
      </c>
      <c r="C12210">
        <v>146.12</v>
      </c>
      <c r="D12210">
        <v>158.84</v>
      </c>
      <c r="E12210">
        <v>158.83000000000001</v>
      </c>
      <c r="F12210">
        <v>0.01</v>
      </c>
    </row>
    <row r="12211" spans="1:6" x14ac:dyDescent="0.3">
      <c r="A12211" t="str">
        <f>HYPERLINK("https://us2.cloudbeds.com/connect/10074733072513#/reservations/31722998792433?display=MXBH4SGQ2&amp;reservation_id=31722998792433", "MXBH4SGQ2")</f>
        <v>MXBH4SGQ2</v>
      </c>
      <c r="B12211" t="s">
        <v>1813</v>
      </c>
      <c r="C12211">
        <v>198</v>
      </c>
      <c r="D12211">
        <v>215.24</v>
      </c>
      <c r="E12211">
        <v>215.23</v>
      </c>
      <c r="F12211">
        <v>0.01</v>
      </c>
    </row>
    <row r="12212" spans="1:6" x14ac:dyDescent="0.3">
      <c r="A12212" t="str">
        <f>HYPERLINK("https://us2.cloudbeds.com/connect/10074733072513#/reservations/31722971926733?display=MXBGF6UNV&amp;reservation_id=31722971926733", "MXBGF6UNV")</f>
        <v>MXBGF6UNV</v>
      </c>
      <c r="B12212" t="s">
        <v>1813</v>
      </c>
      <c r="C12212">
        <v>198</v>
      </c>
      <c r="D12212">
        <v>215.24</v>
      </c>
      <c r="E12212">
        <v>215.23</v>
      </c>
      <c r="F12212">
        <v>0.01</v>
      </c>
    </row>
    <row r="12213" spans="1:6" x14ac:dyDescent="0.3">
      <c r="A12213" t="str">
        <f>HYPERLINK("https://us2.cloudbeds.com/connect/10074733072513#/reservations/31722931286232?display=MXBFDV1KJ&amp;reservation_id=31722931286232", "MXBFDV1KJ")</f>
        <v>MXBFDV1KJ</v>
      </c>
      <c r="B12213" t="s">
        <v>1845</v>
      </c>
      <c r="C12213">
        <v>73</v>
      </c>
      <c r="D12213">
        <v>79.36</v>
      </c>
      <c r="E12213">
        <v>79.349999999999994</v>
      </c>
      <c r="F12213">
        <v>0.01</v>
      </c>
    </row>
    <row r="12214" spans="1:6" x14ac:dyDescent="0.3">
      <c r="A12214" t="str">
        <f>HYPERLINK("https://us2.cloudbeds.com/connect/10074733072513#/reservations/31721963299008?display=MXANCWDP8&amp;reservation_id=31721963299008", "MXANCWDP8")</f>
        <v>MXANCWDP8</v>
      </c>
      <c r="B12214" t="s">
        <v>1773</v>
      </c>
      <c r="C12214">
        <v>169</v>
      </c>
      <c r="D12214">
        <v>183.71</v>
      </c>
      <c r="E12214">
        <v>183.7</v>
      </c>
      <c r="F12214">
        <v>0.01</v>
      </c>
    </row>
    <row r="12215" spans="1:6" x14ac:dyDescent="0.3">
      <c r="A12215" t="str">
        <f>HYPERLINK("https://us2.cloudbeds.com/connect/10074733072513#/reservations/31723060273291?display=MXBXNNA1C&amp;reservation_id=31723060273291", "MXBXNNA1C")</f>
        <v>MXBXNNA1C</v>
      </c>
      <c r="B12215" t="s">
        <v>1813</v>
      </c>
      <c r="C12215">
        <v>99</v>
      </c>
      <c r="D12215">
        <v>107.62</v>
      </c>
      <c r="E12215">
        <v>107.61</v>
      </c>
      <c r="F12215">
        <v>0.01</v>
      </c>
    </row>
    <row r="12216" spans="1:6" x14ac:dyDescent="0.3">
      <c r="A12216" t="str">
        <f>HYPERLINK("https://us2.cloudbeds.com/connect/10074733072513#/reservations/31722291409089?display=MXAW2CHA5&amp;reservation_id=31722291409089", "MXAW2CHA5")</f>
        <v>MXAW2CHA5</v>
      </c>
      <c r="B12216" t="s">
        <v>1804</v>
      </c>
      <c r="C12216">
        <v>318</v>
      </c>
      <c r="D12216">
        <v>345.68</v>
      </c>
      <c r="E12216">
        <v>345.67</v>
      </c>
      <c r="F12216">
        <v>0.01</v>
      </c>
    </row>
    <row r="12217" spans="1:6" x14ac:dyDescent="0.3">
      <c r="A12217" t="str">
        <f>HYPERLINK("https://us2.cloudbeds.com/connect/10074733072513#/reservations/31713083060425?display=MX3RPYYDX&amp;reservation_id=31713083060425", "MX3RPYYDX")</f>
        <v>MX3RPYYDX</v>
      </c>
      <c r="B12217" t="s">
        <v>1853</v>
      </c>
      <c r="C12217">
        <v>149</v>
      </c>
      <c r="D12217">
        <v>161.97</v>
      </c>
      <c r="E12217">
        <v>161.96</v>
      </c>
      <c r="F12217">
        <v>0.01</v>
      </c>
    </row>
    <row r="12218" spans="1:6" x14ac:dyDescent="0.3">
      <c r="A12218" t="str">
        <f>HYPERLINK("https://us2.cloudbeds.com/connect/10074733072513#/reservations/31722882986120?display=MXBE670TS&amp;reservation_id=31722882986120", "MXBE670TS")</f>
        <v>MXBE670TS</v>
      </c>
      <c r="B12218" t="s">
        <v>1813</v>
      </c>
      <c r="C12218">
        <v>99</v>
      </c>
      <c r="D12218">
        <v>107.62</v>
      </c>
      <c r="E12218">
        <v>107.61</v>
      </c>
      <c r="F12218">
        <v>0.01</v>
      </c>
    </row>
    <row r="12219" spans="1:6" x14ac:dyDescent="0.3">
      <c r="A12219" t="str">
        <f>HYPERLINK("https://us2.cloudbeds.com/connect/10074733072513#/reservations/31717706772697?display=MX7DUG8HY&amp;reservation_id=31717706772697", "MX7DUG8HY")</f>
        <v>MX7DUG8HY</v>
      </c>
      <c r="B12219" t="s">
        <v>1854</v>
      </c>
      <c r="C12219">
        <v>110.86</v>
      </c>
      <c r="D12219">
        <v>120.51</v>
      </c>
      <c r="E12219">
        <v>120.5</v>
      </c>
      <c r="F12219">
        <v>0.01</v>
      </c>
    </row>
    <row r="12220" spans="1:6" x14ac:dyDescent="0.3">
      <c r="A12220" t="str">
        <f>HYPERLINK("https://us2.cloudbeds.com/connect/10074733072513#/reservations/31721511809224?display=MXAC5009R&amp;reservation_id=31721511809224", "MXAC5009R")</f>
        <v>MXAC5009R</v>
      </c>
      <c r="B12220" t="s">
        <v>1786</v>
      </c>
      <c r="C12220">
        <v>149</v>
      </c>
      <c r="D12220">
        <v>161.97</v>
      </c>
      <c r="E12220">
        <v>161.96</v>
      </c>
      <c r="F12220">
        <v>0.01</v>
      </c>
    </row>
    <row r="12221" spans="1:6" x14ac:dyDescent="0.3">
      <c r="A12221" t="str">
        <f>HYPERLINK("https://us2.cloudbeds.com/connect/10074733072513#/reservations/31712852197553?display=MX3YSWX3V&amp;reservation_id=31712852197553", "MX3YSWX3V")</f>
        <v>MX3YSWX3V</v>
      </c>
      <c r="B12221" t="s">
        <v>1661</v>
      </c>
      <c r="C12221">
        <v>398</v>
      </c>
      <c r="D12221">
        <v>432.64</v>
      </c>
      <c r="E12221">
        <v>432.63</v>
      </c>
      <c r="F12221">
        <v>0.01</v>
      </c>
    </row>
    <row r="12222" spans="1:6" x14ac:dyDescent="0.3">
      <c r="A12222" t="str">
        <f>HYPERLINK("https://us2.cloudbeds.com/connect/10074733072513#/reservations/31718263009420?display=MX7S4HC1U&amp;reservation_id=31718263009420", "MX7S4HC1U")</f>
        <v>MX7S4HC1U</v>
      </c>
      <c r="B12222" t="s">
        <v>1813</v>
      </c>
      <c r="C12222">
        <v>99</v>
      </c>
      <c r="D12222">
        <v>107.62</v>
      </c>
      <c r="E12222">
        <v>107.61</v>
      </c>
      <c r="F12222">
        <v>0.01</v>
      </c>
    </row>
    <row r="12223" spans="1:6" x14ac:dyDescent="0.3">
      <c r="A12223" t="str">
        <f>HYPERLINK("https://us2.cloudbeds.com/connect/10074733072513#/reservations/31722870579343?display=MXBDSZQ2U&amp;reservation_id=31722870579343", "MXBDSZQ2U")</f>
        <v>MXBDSZQ2U</v>
      </c>
      <c r="B12223" t="s">
        <v>1855</v>
      </c>
      <c r="C12223">
        <v>99</v>
      </c>
      <c r="D12223">
        <v>107.62</v>
      </c>
      <c r="E12223">
        <v>107.61</v>
      </c>
      <c r="F12223">
        <v>0.01</v>
      </c>
    </row>
    <row r="12224" spans="1:6" x14ac:dyDescent="0.3">
      <c r="A12224" t="str">
        <f>HYPERLINK("https://us2.cloudbeds.com/connect/10074733072513#/reservations/31718174085302?display=MX7PSHUCM&amp;reservation_id=31718174085302", "MX7PSHUCM")</f>
        <v>MX7PSHUCM</v>
      </c>
      <c r="B12224" t="s">
        <v>1819</v>
      </c>
      <c r="C12224">
        <v>159</v>
      </c>
      <c r="D12224">
        <v>172.84</v>
      </c>
      <c r="E12224">
        <v>172.83</v>
      </c>
      <c r="F12224">
        <v>0.01</v>
      </c>
    </row>
    <row r="12225" spans="1:6" x14ac:dyDescent="0.3">
      <c r="A12225" t="str">
        <f>HYPERLINK("https://us2.cloudbeds.com/connect/10074733072513#/reservations/31724991607018?display=MXD228GTR&amp;reservation_id=31724991607018", "MXD228GTR")</f>
        <v>MXD228GTR</v>
      </c>
      <c r="B12225" t="s">
        <v>1856</v>
      </c>
      <c r="C12225">
        <v>149</v>
      </c>
      <c r="D12225">
        <v>161.97</v>
      </c>
      <c r="E12225">
        <v>161.96</v>
      </c>
      <c r="F12225">
        <v>0.01</v>
      </c>
    </row>
    <row r="12226" spans="1:6" x14ac:dyDescent="0.3">
      <c r="A12226" t="str">
        <f>HYPERLINK("https://us2.cloudbeds.com/connect/10074733072513#/reservations/31720316281019?display=MX9EJTM8D&amp;reservation_id=31720316281019", "MX9EJTM8D")</f>
        <v>MX9EJTM8D</v>
      </c>
      <c r="B12226" t="s">
        <v>1773</v>
      </c>
      <c r="C12226">
        <v>318</v>
      </c>
      <c r="D12226">
        <v>345.68</v>
      </c>
      <c r="E12226">
        <v>345.67</v>
      </c>
      <c r="F12226">
        <v>0.01</v>
      </c>
    </row>
    <row r="12227" spans="1:6" x14ac:dyDescent="0.3">
      <c r="A12227" t="str">
        <f>HYPERLINK("https://us2.cloudbeds.com/connect/10074733072513#/reservations/31715757076653?display=MX5U3F31A&amp;reservation_id=31715757076653", "MX5U3F31A")</f>
        <v>MX5U3F31A</v>
      </c>
      <c r="B12227" t="s">
        <v>1846</v>
      </c>
      <c r="C12227">
        <v>189</v>
      </c>
      <c r="D12227">
        <v>205.45</v>
      </c>
      <c r="E12227">
        <v>205.44</v>
      </c>
      <c r="F12227">
        <v>0.01</v>
      </c>
    </row>
    <row r="12228" spans="1:6" x14ac:dyDescent="0.3">
      <c r="A12228" t="str">
        <f>HYPERLINK("https://us2.cloudbeds.com/connect/10074733072513#/reservations/31722857255135?display=MXBDHH0R1&amp;reservation_id=31722857255135", "MXBDHH0R1")</f>
        <v>MXBDHH0R1</v>
      </c>
      <c r="B12228" t="s">
        <v>1855</v>
      </c>
      <c r="C12228">
        <v>109</v>
      </c>
      <c r="D12228">
        <v>118.49</v>
      </c>
      <c r="E12228">
        <v>118.48</v>
      </c>
      <c r="F12228">
        <v>0.01</v>
      </c>
    </row>
    <row r="12229" spans="1:6" x14ac:dyDescent="0.3">
      <c r="A12229" t="str">
        <f>HYPERLINK("https://us2.cloudbeds.com/connect/10074733072513#/reservations/31722835292403?display=MXBCVWT0N&amp;reservation_id=31722835292403", "MXBCVWT0N")</f>
        <v>MXBCVWT0N</v>
      </c>
      <c r="B12229" t="s">
        <v>1855</v>
      </c>
      <c r="C12229">
        <v>99</v>
      </c>
      <c r="D12229">
        <v>107.62</v>
      </c>
      <c r="E12229">
        <v>107.61</v>
      </c>
      <c r="F12229">
        <v>0.01</v>
      </c>
    </row>
    <row r="12230" spans="1:6" x14ac:dyDescent="0.3">
      <c r="A12230" t="str">
        <f>HYPERLINK("https://us2.cloudbeds.com/connect/10074733072513#/reservations/31719166464198?display=MX8X7BAPE&amp;reservation_id=31719166464198", "MX8X7BAPE")</f>
        <v>MX8X7BAPE</v>
      </c>
      <c r="B12230" t="s">
        <v>1742</v>
      </c>
      <c r="C12230">
        <v>298</v>
      </c>
      <c r="D12230">
        <v>323.94</v>
      </c>
      <c r="E12230">
        <v>323.93</v>
      </c>
      <c r="F12230">
        <v>0.01</v>
      </c>
    </row>
    <row r="12231" spans="1:6" x14ac:dyDescent="0.3">
      <c r="A12231" t="str">
        <f>HYPERLINK("https://us2.cloudbeds.com/connect/10074733072513#/reservations/31719197528236?display=MX8J0HZ1U&amp;reservation_id=31719197528236", "MX8J0HZ1U")</f>
        <v>MX8J0HZ1U</v>
      </c>
      <c r="B12231" t="s">
        <v>1742</v>
      </c>
      <c r="C12231">
        <v>338</v>
      </c>
      <c r="D12231">
        <v>367.42</v>
      </c>
      <c r="E12231">
        <v>367.41</v>
      </c>
      <c r="F12231">
        <v>0.01</v>
      </c>
    </row>
    <row r="12232" spans="1:6" x14ac:dyDescent="0.3">
      <c r="A12232" t="str">
        <f>HYPERLINK("https://us2.cloudbeds.com/connect/10074733072513#/reservations/31718398537875?display=MX7VJQY8Q&amp;reservation_id=31718398537875", "MX7VJQY8Q")</f>
        <v>MX7VJQY8Q</v>
      </c>
      <c r="B12232" t="s">
        <v>1858</v>
      </c>
      <c r="C12232">
        <v>109</v>
      </c>
      <c r="D12232">
        <v>118.49</v>
      </c>
      <c r="E12232">
        <v>118.48</v>
      </c>
      <c r="F12232">
        <v>0.01</v>
      </c>
    </row>
    <row r="12233" spans="1:6" x14ac:dyDescent="0.3">
      <c r="A12233" t="str">
        <f>HYPERLINK("https://us2.cloudbeds.com/connect/10074733072513#/reservations/31722719424712?display=MXBA09MPX&amp;reservation_id=31722719424712", "MXBA09MPX")</f>
        <v>MXBA09MPX</v>
      </c>
      <c r="B12233" t="s">
        <v>1835</v>
      </c>
      <c r="C12233">
        <v>169</v>
      </c>
      <c r="D12233">
        <v>183.71</v>
      </c>
      <c r="E12233">
        <v>183.7</v>
      </c>
      <c r="F12233">
        <v>0.01</v>
      </c>
    </row>
    <row r="12234" spans="1:6" x14ac:dyDescent="0.3">
      <c r="A12234" t="str">
        <f>HYPERLINK("https://us2.cloudbeds.com/connect/10074733072513#/reservations/31720819380471?display=MX9RF457B&amp;reservation_id=31720819380471", "MX9RF457B")</f>
        <v>MX9RF457B</v>
      </c>
      <c r="B12234" t="s">
        <v>1729</v>
      </c>
      <c r="C12234">
        <v>278</v>
      </c>
      <c r="D12234">
        <v>302.2</v>
      </c>
      <c r="E12234">
        <v>302.19</v>
      </c>
      <c r="F12234">
        <v>0.01</v>
      </c>
    </row>
    <row r="12235" spans="1:6" x14ac:dyDescent="0.3">
      <c r="A12235" t="str">
        <f>HYPERLINK("https://us2.cloudbeds.com/connect/10074733072513#/reservations/31719218696332?display=MX8JXCP5C&amp;reservation_id=31719218696332", "MX8JXCP5C")</f>
        <v>MX8JXCP5C</v>
      </c>
      <c r="B12235" t="s">
        <v>1742</v>
      </c>
      <c r="C12235">
        <v>149</v>
      </c>
      <c r="D12235">
        <v>161.97</v>
      </c>
      <c r="E12235">
        <v>161.96</v>
      </c>
      <c r="F12235">
        <v>0.01</v>
      </c>
    </row>
    <row r="12236" spans="1:6" x14ac:dyDescent="0.3">
      <c r="A12236" t="str">
        <f>HYPERLINK("https://us2.cloudbeds.com/connect/10074733072513#/reservations/31719297941698?display=MX8YJ6T33&amp;reservation_id=31719297941698", "MX8YJ6T33")</f>
        <v>MX8YJ6T33</v>
      </c>
      <c r="B12236" t="s">
        <v>1859</v>
      </c>
      <c r="C12236">
        <v>102.58</v>
      </c>
      <c r="D12236">
        <v>111.51</v>
      </c>
      <c r="E12236">
        <v>111.5</v>
      </c>
      <c r="F12236">
        <v>0.01</v>
      </c>
    </row>
    <row r="12237" spans="1:6" x14ac:dyDescent="0.3">
      <c r="A12237" t="str">
        <f>HYPERLINK("https://us2.cloudbeds.com/connect/10074733072513#/reservations/31722555248801?display=MXB5QS8BU&amp;reservation_id=31722555248801", "MXB5QS8BU")</f>
        <v>MXB5QS8BU</v>
      </c>
      <c r="B12237" t="s">
        <v>1860</v>
      </c>
      <c r="C12237">
        <v>119</v>
      </c>
      <c r="D12237">
        <v>129.36000000000001</v>
      </c>
      <c r="E12237">
        <v>129.35</v>
      </c>
      <c r="F12237">
        <v>0.01</v>
      </c>
    </row>
    <row r="12238" spans="1:6" x14ac:dyDescent="0.3">
      <c r="A12238" t="str">
        <f>HYPERLINK("https://us2.cloudbeds.com/connect/10074733072513#/reservations/31719123570914?display=MX8H45ZWV&amp;reservation_id=31719123570914", "MX8H45ZWV")</f>
        <v>MX8H45ZWV</v>
      </c>
      <c r="B12238" t="s">
        <v>1742</v>
      </c>
      <c r="C12238">
        <v>130.38</v>
      </c>
      <c r="D12238">
        <v>141.72999999999999</v>
      </c>
      <c r="E12238">
        <v>141.72</v>
      </c>
      <c r="F12238">
        <v>0.01</v>
      </c>
    </row>
    <row r="12239" spans="1:6" x14ac:dyDescent="0.3">
      <c r="A12239" t="str">
        <f>HYPERLINK("https://us2.cloudbeds.com/connect/10074733072513#/reservations/31713100812494?display=MX3S7KKM1&amp;reservation_id=31713100812494", "MX3S7KKM1")</f>
        <v>MX3S7KKM1</v>
      </c>
      <c r="B12239" t="s">
        <v>1861</v>
      </c>
      <c r="C12239">
        <v>473.4</v>
      </c>
      <c r="D12239">
        <v>514.6</v>
      </c>
      <c r="E12239">
        <v>514.59</v>
      </c>
      <c r="F12239">
        <v>0.01</v>
      </c>
    </row>
    <row r="12240" spans="1:6" x14ac:dyDescent="0.3">
      <c r="A12240" t="str">
        <f>HYPERLINK("https://us2.cloudbeds.com/connect/10074733072513#/reservations/31722093781134?display=MXAR0Z7P8&amp;reservation_id=31722093781134", "MXAR0Z7P8")</f>
        <v>MXAR0Z7P8</v>
      </c>
      <c r="B12240" t="s">
        <v>1860</v>
      </c>
      <c r="C12240">
        <v>109</v>
      </c>
      <c r="D12240">
        <v>118.49</v>
      </c>
      <c r="E12240">
        <v>118.48</v>
      </c>
      <c r="F12240">
        <v>0.01</v>
      </c>
    </row>
    <row r="12241" spans="1:6" x14ac:dyDescent="0.3">
      <c r="A12241" t="str">
        <f>HYPERLINK("https://us2.cloudbeds.com/connect/10074733072513#/reservations/31721905033434?display=MXAM6J1NW&amp;reservation_id=31721905033434", "MXAM6J1NW")</f>
        <v>MXAM6J1NW</v>
      </c>
      <c r="B12241" t="s">
        <v>1778</v>
      </c>
      <c r="C12241">
        <v>99</v>
      </c>
      <c r="D12241">
        <v>107.62</v>
      </c>
      <c r="E12241">
        <v>107.61</v>
      </c>
      <c r="F12241">
        <v>0.01</v>
      </c>
    </row>
    <row r="12242" spans="1:6" x14ac:dyDescent="0.3">
      <c r="A12242" t="str">
        <f>HYPERLINK("https://us2.cloudbeds.com/connect/10074733072513#/reservations/31721895448709?display=MXAYVGBAP&amp;reservation_id=31721895448709", "MXAYVGBAP")</f>
        <v>MXAYVGBAP</v>
      </c>
      <c r="B12242" t="s">
        <v>1778</v>
      </c>
      <c r="C12242">
        <v>99</v>
      </c>
      <c r="D12242">
        <v>107.62</v>
      </c>
      <c r="E12242">
        <v>107.61</v>
      </c>
      <c r="F12242">
        <v>0.01</v>
      </c>
    </row>
    <row r="12243" spans="1:6" x14ac:dyDescent="0.3">
      <c r="A12243" t="str">
        <f>HYPERLINK("https://us2.cloudbeds.com/connect/10074733072513#/reservations/31711657332950?display=MX2ZBEMEM&amp;reservation_id=31711657332950", "MX2ZBEMEM")</f>
        <v>MX2ZBEMEM</v>
      </c>
      <c r="B12243" t="s">
        <v>1860</v>
      </c>
      <c r="C12243">
        <v>89</v>
      </c>
      <c r="D12243">
        <v>96.75</v>
      </c>
      <c r="E12243">
        <v>96.74</v>
      </c>
      <c r="F12243">
        <v>0.01</v>
      </c>
    </row>
    <row r="12244" spans="1:6" x14ac:dyDescent="0.3">
      <c r="A12244" t="str">
        <f>HYPERLINK("https://us2.cloudbeds.com/connect/10074733072513#/reservations/31711689515204?display=MX2P5J6XG&amp;reservation_id=31711689515204", "MX2P5J6XG")</f>
        <v>MX2P5J6XG</v>
      </c>
      <c r="B12244" t="s">
        <v>1860</v>
      </c>
      <c r="C12244">
        <v>109</v>
      </c>
      <c r="D12244">
        <v>118.49</v>
      </c>
      <c r="E12244">
        <v>118.48</v>
      </c>
      <c r="F12244">
        <v>0.01</v>
      </c>
    </row>
    <row r="12245" spans="1:6" x14ac:dyDescent="0.3">
      <c r="A12245" t="str">
        <f>HYPERLINK("https://us2.cloudbeds.com/connect/10074733072513#/reservations/31714611724514?display=MX50RYWBP&amp;reservation_id=31714611724514", "MX50RYWBP")</f>
        <v>MX50RYWBP</v>
      </c>
      <c r="B12245" t="s">
        <v>1862</v>
      </c>
      <c r="C12245">
        <v>149</v>
      </c>
      <c r="D12245">
        <v>161.97</v>
      </c>
      <c r="E12245">
        <v>161.96</v>
      </c>
      <c r="F12245">
        <v>0.01</v>
      </c>
    </row>
    <row r="12246" spans="1:6" x14ac:dyDescent="0.3">
      <c r="A12246" t="str">
        <f>HYPERLINK("https://us2.cloudbeds.com/connect/10074733072513#/reservations/31714619555975?display=MX5118TPP&amp;reservation_id=31714619555975", "MX5118TPP")</f>
        <v>MX5118TPP</v>
      </c>
      <c r="B12246" t="s">
        <v>1862</v>
      </c>
      <c r="C12246">
        <v>278</v>
      </c>
      <c r="D12246">
        <v>302.2</v>
      </c>
      <c r="E12246">
        <v>302.19</v>
      </c>
      <c r="F12246">
        <v>0.01</v>
      </c>
    </row>
    <row r="12247" spans="1:6" x14ac:dyDescent="0.3">
      <c r="A12247" t="str">
        <f>HYPERLINK("https://us2.cloudbeds.com/connect/10074733072513#/reservations/31718178857107?display=MX7PWXN6R&amp;reservation_id=31718178857107", "MX7PWXN6R")</f>
        <v>MX7PWXN6R</v>
      </c>
      <c r="B12247" t="s">
        <v>1862</v>
      </c>
      <c r="C12247">
        <v>139</v>
      </c>
      <c r="D12247">
        <v>151.1</v>
      </c>
      <c r="E12247">
        <v>151.09</v>
      </c>
      <c r="F12247">
        <v>0.01</v>
      </c>
    </row>
    <row r="12248" spans="1:6" x14ac:dyDescent="0.3">
      <c r="A12248" t="str">
        <f>HYPERLINK("https://us2.cloudbeds.com/connect/10074733072513#/reservations/31720540770470?display=MX9KB6E01&amp;reservation_id=31720540770470", "MX9KB6E01")</f>
        <v>MX9KB6E01</v>
      </c>
      <c r="B12248" t="s">
        <v>1742</v>
      </c>
      <c r="C12248">
        <v>149</v>
      </c>
      <c r="D12248">
        <v>161.97</v>
      </c>
      <c r="E12248">
        <v>161.96</v>
      </c>
      <c r="F12248">
        <v>0.01</v>
      </c>
    </row>
    <row r="12249" spans="1:6" x14ac:dyDescent="0.3">
      <c r="A12249" t="str">
        <f>HYPERLINK("https://us2.cloudbeds.com/connect/10074733072513#/reservations/31724915249330?display=MXD03SZYG&amp;reservation_id=31724915249330", "MXD03SZYG")</f>
        <v>MXD03SZYG</v>
      </c>
      <c r="B12249" t="s">
        <v>1760</v>
      </c>
      <c r="C12249">
        <v>338</v>
      </c>
      <c r="D12249">
        <v>367.42</v>
      </c>
      <c r="E12249">
        <v>367.41</v>
      </c>
      <c r="F12249">
        <v>0.01</v>
      </c>
    </row>
    <row r="12250" spans="1:6" x14ac:dyDescent="0.3">
      <c r="A12250" t="str">
        <f>HYPERLINK("https://us2.cloudbeds.com/connect/10074733072513#/reservations/31717716738225?display=MX7E5TXKB&amp;reservation_id=31717716738225", "MX7E5TXKB")</f>
        <v>MX7E5TXKB</v>
      </c>
      <c r="B12250" t="s">
        <v>1742</v>
      </c>
      <c r="C12250">
        <v>149</v>
      </c>
      <c r="D12250">
        <v>161.97</v>
      </c>
      <c r="E12250">
        <v>161.96</v>
      </c>
      <c r="F12250">
        <v>0.01</v>
      </c>
    </row>
    <row r="12251" spans="1:6" x14ac:dyDescent="0.3">
      <c r="A12251" t="str">
        <f>HYPERLINK("https://us2.cloudbeds.com/connect/10074733072513#/reservations/31720404492438?display=MX9GS99FN&amp;reservation_id=31720404492438", "MX9GS99FN")</f>
        <v>MX9GS99FN</v>
      </c>
      <c r="B12251" t="s">
        <v>1773</v>
      </c>
      <c r="C12251">
        <v>139</v>
      </c>
      <c r="D12251">
        <v>151.1</v>
      </c>
      <c r="E12251">
        <v>151.09</v>
      </c>
      <c r="F12251">
        <v>0.01</v>
      </c>
    </row>
    <row r="12252" spans="1:6" x14ac:dyDescent="0.3">
      <c r="A12252" t="str">
        <f>HYPERLINK("https://us2.cloudbeds.com/connect/10074733072513#/reservations/31718658232541?display=MX857Q114&amp;reservation_id=31718658232541", "MX857Q114")</f>
        <v>MX857Q114</v>
      </c>
      <c r="B12252" t="s">
        <v>1798</v>
      </c>
      <c r="C12252">
        <v>378</v>
      </c>
      <c r="D12252">
        <v>410.9</v>
      </c>
      <c r="E12252">
        <v>410.89</v>
      </c>
      <c r="F12252">
        <v>0.01</v>
      </c>
    </row>
    <row r="12253" spans="1:6" x14ac:dyDescent="0.3">
      <c r="A12253" t="str">
        <f>HYPERLINK("https://us2.cloudbeds.com/connect/10074733072513#/reservations/31720272404690?display=MX9DFTZPM&amp;reservation_id=31720272404690", "MX9DFTZPM")</f>
        <v>MX9DFTZPM</v>
      </c>
      <c r="B12253" t="s">
        <v>1836</v>
      </c>
      <c r="C12253">
        <v>149</v>
      </c>
      <c r="D12253">
        <v>161.97</v>
      </c>
      <c r="E12253">
        <v>161.96</v>
      </c>
      <c r="F12253">
        <v>0.01</v>
      </c>
    </row>
    <row r="12254" spans="1:6" x14ac:dyDescent="0.3">
      <c r="A12254" t="str">
        <f>HYPERLINK("https://us2.cloudbeds.com/connect/10074733072513#/reservations/31722540310704?display=MXB5E8J3B&amp;reservation_id=31722540310704", "MXB5E8J3B")</f>
        <v>MXB5E8J3B</v>
      </c>
      <c r="B12254" t="s">
        <v>1778</v>
      </c>
      <c r="C12254">
        <v>109</v>
      </c>
      <c r="D12254">
        <v>118.49</v>
      </c>
      <c r="E12254">
        <v>118.48</v>
      </c>
      <c r="F12254">
        <v>0.01</v>
      </c>
    </row>
    <row r="12255" spans="1:6" x14ac:dyDescent="0.3">
      <c r="A12255" t="str">
        <f>HYPERLINK("https://us2.cloudbeds.com/connect/10074733072513#/reservations/31723133636820?display=MXBKJXZRK&amp;reservation_id=31723133636820", "MXBKJXZRK")</f>
        <v>MXBKJXZRK</v>
      </c>
      <c r="B12255" t="s">
        <v>1742</v>
      </c>
      <c r="C12255">
        <v>149</v>
      </c>
      <c r="D12255">
        <v>161.97</v>
      </c>
      <c r="E12255">
        <v>161.96</v>
      </c>
      <c r="F12255">
        <v>0.01</v>
      </c>
    </row>
    <row r="12256" spans="1:6" x14ac:dyDescent="0.3">
      <c r="A12256" t="str">
        <f>HYPERLINK("https://us2.cloudbeds.com/connect/10074733072513#/reservations/31714604073102?display=MX50Y728Q&amp;reservation_id=31714604073102", "MX50Y728Q")</f>
        <v>MX50Y728Q</v>
      </c>
      <c r="B12256" t="s">
        <v>1862</v>
      </c>
      <c r="C12256">
        <v>149</v>
      </c>
      <c r="D12256">
        <v>161.97</v>
      </c>
      <c r="E12256">
        <v>161.96</v>
      </c>
      <c r="F12256">
        <v>0.01</v>
      </c>
    </row>
    <row r="12257" spans="1:6" x14ac:dyDescent="0.3">
      <c r="A12257" t="str">
        <f>HYPERLINK("https://us2.cloudbeds.com/connect/10074733072513#/reservations/31721920606410?display=MXAMJNCWB&amp;reservation_id=31721920606410", "MXAMJNCWB")</f>
        <v>MXAMJNCWB</v>
      </c>
      <c r="B12257" t="s">
        <v>1778</v>
      </c>
      <c r="C12257">
        <v>238</v>
      </c>
      <c r="D12257">
        <v>258.72000000000003</v>
      </c>
      <c r="E12257">
        <v>258.70999999999998</v>
      </c>
      <c r="F12257">
        <v>0.01</v>
      </c>
    </row>
    <row r="12258" spans="1:6" x14ac:dyDescent="0.3">
      <c r="A12258" t="str">
        <f>HYPERLINK("https://us2.cloudbeds.com/connect/10074733072513#/reservations/31721962074262?display=MXANYM9QU&amp;reservation_id=31721962074262", "MXANYM9QU")</f>
        <v>MXANYM9QU</v>
      </c>
      <c r="B12258" t="s">
        <v>1778</v>
      </c>
      <c r="C12258">
        <v>99</v>
      </c>
      <c r="D12258">
        <v>107.62</v>
      </c>
      <c r="E12258">
        <v>107.61</v>
      </c>
      <c r="F12258">
        <v>0.01</v>
      </c>
    </row>
    <row r="12259" spans="1:6" x14ac:dyDescent="0.3">
      <c r="A12259" t="str">
        <f>HYPERLINK("https://us2.cloudbeds.com/connect/10074733072513#/reservations/31719227244776?display=MX8JPJKW4&amp;reservation_id=31719227244776", "MX8JPJKW4")</f>
        <v>MX8JPJKW4</v>
      </c>
      <c r="B12259" t="s">
        <v>1742</v>
      </c>
      <c r="C12259">
        <v>139</v>
      </c>
      <c r="D12259">
        <v>151.1</v>
      </c>
      <c r="E12259">
        <v>151.09</v>
      </c>
      <c r="F12259">
        <v>0.01</v>
      </c>
    </row>
    <row r="12260" spans="1:6" x14ac:dyDescent="0.3">
      <c r="A12260" t="str">
        <f>HYPERLINK("https://us2.cloudbeds.com/connect/10074733072513#/reservations/31720226554096?display=MX9CA7TCZ&amp;reservation_id=31720226554096", "MX9CA7TCZ")</f>
        <v>MX9CA7TCZ</v>
      </c>
      <c r="B12260" t="s">
        <v>1861</v>
      </c>
      <c r="C12260">
        <v>89</v>
      </c>
      <c r="D12260">
        <v>96.75</v>
      </c>
      <c r="E12260">
        <v>96.74</v>
      </c>
      <c r="F12260">
        <v>0.01</v>
      </c>
    </row>
    <row r="12261" spans="1:6" x14ac:dyDescent="0.3">
      <c r="A12261" t="str">
        <f>HYPERLINK("https://us2.cloudbeds.com/connect/10074733072513#/reservations/31722468282514?display=MXB3JH9GU&amp;reservation_id=31722468282514", "MXB3JH9GU")</f>
        <v>MXB3JH9GU</v>
      </c>
      <c r="B12261" t="s">
        <v>1790</v>
      </c>
      <c r="C12261">
        <v>99</v>
      </c>
      <c r="D12261">
        <v>107.62</v>
      </c>
      <c r="E12261">
        <v>107.61</v>
      </c>
      <c r="F12261">
        <v>0.01</v>
      </c>
    </row>
    <row r="12262" spans="1:6" x14ac:dyDescent="0.3">
      <c r="A12262" t="str">
        <f>HYPERLINK("https://us2.cloudbeds.com/connect/10074733072513#/reservations/31722524758231?display=MXB514QM9&amp;reservation_id=31722524758231", "MXB514QM9")</f>
        <v>MXB514QM9</v>
      </c>
      <c r="B12262" t="s">
        <v>1860</v>
      </c>
      <c r="C12262">
        <v>109</v>
      </c>
      <c r="D12262">
        <v>118.49</v>
      </c>
      <c r="E12262">
        <v>118.48</v>
      </c>
      <c r="F12262">
        <v>0.01</v>
      </c>
    </row>
    <row r="12263" spans="1:6" x14ac:dyDescent="0.3">
      <c r="A12263" t="str">
        <f>HYPERLINK("https://us2.cloudbeds.com/connect/10074733072513#/reservations/31716734308484?display=MX6M2G094&amp;reservation_id=31716734308484", "MX6M2G094")</f>
        <v>MX6M2G094</v>
      </c>
      <c r="B12263" t="s">
        <v>1743</v>
      </c>
      <c r="C12263">
        <v>258</v>
      </c>
      <c r="D12263">
        <v>280.45999999999998</v>
      </c>
      <c r="E12263">
        <v>280.45</v>
      </c>
      <c r="F12263">
        <v>0.01</v>
      </c>
    </row>
    <row r="12264" spans="1:6" x14ac:dyDescent="0.3">
      <c r="A12264" t="str">
        <f>HYPERLINK("https://us2.cloudbeds.com/connect/10074733072513#/reservations/31722203750562?display=MXATRF9Q5&amp;reservation_id=31722203750562", "MXATRF9Q5")</f>
        <v>MXATRF9Q5</v>
      </c>
      <c r="B12264" t="s">
        <v>1804</v>
      </c>
      <c r="C12264">
        <v>189</v>
      </c>
      <c r="D12264">
        <v>205.45</v>
      </c>
      <c r="E12264">
        <v>205.44</v>
      </c>
      <c r="F12264">
        <v>0.01</v>
      </c>
    </row>
    <row r="12265" spans="1:6" x14ac:dyDescent="0.3">
      <c r="A12265" t="str">
        <f>HYPERLINK("https://us2.cloudbeds.com/connect/10074733072513#/reservations/31722193989840?display=MXATJ7MPN&amp;reservation_id=31722193989840", "MXATJ7MPN")</f>
        <v>MXATJ7MPN</v>
      </c>
      <c r="B12265" t="s">
        <v>1804</v>
      </c>
      <c r="C12265">
        <v>149</v>
      </c>
      <c r="D12265">
        <v>161.97</v>
      </c>
      <c r="E12265">
        <v>161.96</v>
      </c>
      <c r="F12265">
        <v>0.01</v>
      </c>
    </row>
    <row r="12266" spans="1:6" x14ac:dyDescent="0.3">
      <c r="A12266" t="str">
        <f>HYPERLINK("https://us2.cloudbeds.com/connect/10074733072513#/reservations/31716846948600?display=MX6ZVFCNW&amp;reservation_id=31716846948600", "MX6ZVFCNW")</f>
        <v>MX6ZVFCNW</v>
      </c>
      <c r="B12266" t="s">
        <v>1743</v>
      </c>
      <c r="C12266">
        <v>318</v>
      </c>
      <c r="D12266">
        <v>345.68</v>
      </c>
      <c r="E12266">
        <v>345.67</v>
      </c>
      <c r="F12266">
        <v>0.01</v>
      </c>
    </row>
    <row r="12267" spans="1:6" x14ac:dyDescent="0.3">
      <c r="A12267" t="str">
        <f>HYPERLINK("https://us2.cloudbeds.com/connect/10074733072513#/reservations/31718731948170?display=MX873V952&amp;reservation_id=31718731948170", "MX873V952")</f>
        <v>MX873V952</v>
      </c>
      <c r="B12267" t="s">
        <v>1786</v>
      </c>
      <c r="C12267">
        <v>189</v>
      </c>
      <c r="D12267">
        <v>205.45</v>
      </c>
      <c r="E12267">
        <v>205.44</v>
      </c>
      <c r="F12267">
        <v>0.01</v>
      </c>
    </row>
    <row r="12268" spans="1:6" x14ac:dyDescent="0.3">
      <c r="A12268" t="str">
        <f>HYPERLINK("https://us2.cloudbeds.com/connect/10074733072513#/reservations/31722373664978?display=MXB15ZDNS&amp;reservation_id=31722373664978", "MXB15ZDNS")</f>
        <v>MXB15ZDNS</v>
      </c>
      <c r="B12268" t="s">
        <v>1864</v>
      </c>
      <c r="C12268">
        <v>278</v>
      </c>
      <c r="D12268">
        <v>302.2</v>
      </c>
      <c r="E12268">
        <v>302.19</v>
      </c>
      <c r="F12268">
        <v>0.01</v>
      </c>
    </row>
    <row r="12269" spans="1:6" x14ac:dyDescent="0.3">
      <c r="A12269" t="str">
        <f>HYPERLINK("https://us2.cloudbeds.com/connect/10074733072513#/reservations/31721857274008?display=MXAKWA2GY&amp;reservation_id=31721857274008", "MXAKWA2GY")</f>
        <v>MXAKWA2GY</v>
      </c>
      <c r="B12269" t="s">
        <v>1861</v>
      </c>
      <c r="C12269">
        <v>73</v>
      </c>
      <c r="D12269">
        <v>79.36</v>
      </c>
      <c r="E12269">
        <v>79.349999999999994</v>
      </c>
      <c r="F12269">
        <v>0.01</v>
      </c>
    </row>
    <row r="12270" spans="1:6" x14ac:dyDescent="0.3">
      <c r="A12270" t="str">
        <f>HYPERLINK("https://us2.cloudbeds.com/connect/10074733072513#/reservations/31722531508443?display=MXB56RY75&amp;reservation_id=31722531508443", "MXB56RY75")</f>
        <v>MXB56RY75</v>
      </c>
      <c r="B12270" t="s">
        <v>1790</v>
      </c>
      <c r="C12270">
        <v>73</v>
      </c>
      <c r="D12270">
        <v>79.36</v>
      </c>
      <c r="E12270">
        <v>79.349999999999994</v>
      </c>
      <c r="F12270">
        <v>0.01</v>
      </c>
    </row>
    <row r="12271" spans="1:6" x14ac:dyDescent="0.3">
      <c r="A12271" t="str">
        <f>HYPERLINK("https://us2.cloudbeds.com/connect/10074733072513#/reservations/31719453483211?display=MX8PXC1P9&amp;reservation_id=31719453483211", "MX8PXC1P9")</f>
        <v>MX8PXC1P9</v>
      </c>
      <c r="B12271" t="s">
        <v>1852</v>
      </c>
      <c r="C12271">
        <v>238</v>
      </c>
      <c r="D12271">
        <v>258.72000000000003</v>
      </c>
      <c r="E12271">
        <v>258.70999999999998</v>
      </c>
      <c r="F12271">
        <v>0.01</v>
      </c>
    </row>
    <row r="12272" spans="1:6" x14ac:dyDescent="0.3">
      <c r="A12272" t="str">
        <f>HYPERLINK("https://us2.cloudbeds.com/connect/10074733072513#/reservations/31720176685284?display=MX9B1675K&amp;reservation_id=31720176685284", "MX9B1675K")</f>
        <v>MX9B1675K</v>
      </c>
      <c r="B12272" t="s">
        <v>1861</v>
      </c>
      <c r="C12272">
        <v>99</v>
      </c>
      <c r="D12272">
        <v>107.62</v>
      </c>
      <c r="E12272">
        <v>107.61</v>
      </c>
      <c r="F12272">
        <v>0.01</v>
      </c>
    </row>
    <row r="12273" spans="1:6" x14ac:dyDescent="0.3">
      <c r="A12273" t="str">
        <f>HYPERLINK("https://us2.cloudbeds.com/connect/10074733072513#/reservations/31713083064520?display=MX3RPYP5Y&amp;reservation_id=31713083064520", "MX3RPYP5Y")</f>
        <v>MX3RPYP5Y</v>
      </c>
      <c r="B12273" t="s">
        <v>1861</v>
      </c>
      <c r="C12273">
        <v>99</v>
      </c>
      <c r="D12273">
        <v>107.62</v>
      </c>
      <c r="E12273">
        <v>107.61</v>
      </c>
      <c r="F12273">
        <v>0.01</v>
      </c>
    </row>
    <row r="12274" spans="1:6" x14ac:dyDescent="0.3">
      <c r="A12274" t="str">
        <f>HYPERLINK("https://us2.cloudbeds.com/connect/10074733072513#/reservations/31722454425824?display=MXB37RN97&amp;reservation_id=31722454425824", "MXB37RN97")</f>
        <v>MXB37RN97</v>
      </c>
      <c r="B12274" t="s">
        <v>1790</v>
      </c>
      <c r="C12274">
        <v>99</v>
      </c>
      <c r="D12274">
        <v>107.62</v>
      </c>
      <c r="E12274">
        <v>107.61</v>
      </c>
      <c r="F12274">
        <v>0.01</v>
      </c>
    </row>
    <row r="12275" spans="1:6" x14ac:dyDescent="0.3">
      <c r="A12275" t="str">
        <f>HYPERLINK("https://us2.cloudbeds.com/connect/10074733072513#/reservations/31714525720765?display=MX4VY4QCX&amp;reservation_id=31714525720765", "MX4VY4QCX")</f>
        <v>MX4VY4QCX</v>
      </c>
      <c r="B12275" t="s">
        <v>1862</v>
      </c>
      <c r="C12275">
        <v>616</v>
      </c>
      <c r="D12275">
        <v>669.6</v>
      </c>
      <c r="E12275">
        <v>669.59</v>
      </c>
      <c r="F12275">
        <v>0.01</v>
      </c>
    </row>
    <row r="12276" spans="1:6" x14ac:dyDescent="0.3">
      <c r="A12276" t="str">
        <f>HYPERLINK("https://us2.cloudbeds.com/connect/10074733072513#/reservations/31717215219931?display=MX71C02J9&amp;reservation_id=31717215219931", "MX71C02J9")</f>
        <v>MX71C02J9</v>
      </c>
      <c r="B12276" t="s">
        <v>1854</v>
      </c>
      <c r="C12276">
        <v>97.74</v>
      </c>
      <c r="D12276">
        <v>106.25</v>
      </c>
      <c r="E12276">
        <v>106.24</v>
      </c>
      <c r="F12276">
        <v>0.01</v>
      </c>
    </row>
    <row r="12277" spans="1:6" x14ac:dyDescent="0.3">
      <c r="A12277" t="str">
        <f>HYPERLINK("https://us2.cloudbeds.com/connect/10074733072513#/reservations/31713029632163?display=MX3QDJUY9&amp;reservation_id=31713029632163", "MX3QDJUY9")</f>
        <v>MX3QDJUY9</v>
      </c>
      <c r="B12277" t="s">
        <v>1852</v>
      </c>
      <c r="C12277">
        <v>102.58</v>
      </c>
      <c r="D12277">
        <v>111.51</v>
      </c>
      <c r="E12277">
        <v>111.5</v>
      </c>
      <c r="F12277">
        <v>0.01</v>
      </c>
    </row>
    <row r="12278" spans="1:6" x14ac:dyDescent="0.3">
      <c r="A12278" t="str">
        <f>HYPERLINK("https://us2.cloudbeds.com/connect/10074733072513#/reservations/31716345467046?display=MX6C4JUE8&amp;reservation_id=31716345467046", "MX6C4JUE8")</f>
        <v>MX6C4JUE8</v>
      </c>
      <c r="B12278" t="s">
        <v>1862</v>
      </c>
      <c r="C12278">
        <v>616</v>
      </c>
      <c r="D12278">
        <v>669.6</v>
      </c>
      <c r="E12278">
        <v>669.59</v>
      </c>
      <c r="F12278">
        <v>0.01</v>
      </c>
    </row>
    <row r="12279" spans="1:6" x14ac:dyDescent="0.3">
      <c r="A12279" t="str">
        <f>HYPERLINK("https://us2.cloudbeds.com/connect/10074733072513#/reservations/31720231477384?display=MX9CECTA9&amp;reservation_id=31720231477384", "MX9CECTA9")</f>
        <v>MX9CECTA9</v>
      </c>
      <c r="B12279" t="s">
        <v>1861</v>
      </c>
      <c r="C12279">
        <v>99</v>
      </c>
      <c r="D12279">
        <v>107.62</v>
      </c>
      <c r="E12279">
        <v>107.61</v>
      </c>
      <c r="F12279">
        <v>0.01</v>
      </c>
    </row>
    <row r="12280" spans="1:6" x14ac:dyDescent="0.3">
      <c r="A12280" t="str">
        <f>HYPERLINK("https://us2.cloudbeds.com/connect/10074733072513#/reservations/31713056395508?display=MX3R35YNP&amp;reservation_id=31713056395508", "MX3R35YNP")</f>
        <v>MX3R35YNP</v>
      </c>
      <c r="B12280" t="s">
        <v>1852</v>
      </c>
      <c r="C12280">
        <v>89</v>
      </c>
      <c r="D12280">
        <v>96.75</v>
      </c>
      <c r="E12280">
        <v>96.74</v>
      </c>
      <c r="F12280">
        <v>0.01</v>
      </c>
    </row>
    <row r="12281" spans="1:6" x14ac:dyDescent="0.3">
      <c r="A12281" t="str">
        <f>HYPERLINK("https://us2.cloudbeds.com/connect/10074733072513#/reservations/31719479644315?display=MX8Q7E0R0&amp;reservation_id=31719479644315", "MX8Q7E0R0")</f>
        <v>MX8Q7E0R0</v>
      </c>
      <c r="B12281" t="s">
        <v>1851</v>
      </c>
      <c r="C12281">
        <v>179</v>
      </c>
      <c r="D12281">
        <v>194.58</v>
      </c>
      <c r="E12281">
        <v>194.57</v>
      </c>
      <c r="F12281">
        <v>0.01</v>
      </c>
    </row>
    <row r="12282" spans="1:6" x14ac:dyDescent="0.3">
      <c r="A12282" t="str">
        <f>HYPERLINK("https://us2.cloudbeds.com/connect/10074733072513#/reservations/31722160971942?display=MXASZCUAB&amp;reservation_id=31722160971942", "MXASZCUAB")</f>
        <v>MXASZCUAB</v>
      </c>
      <c r="B12282" t="s">
        <v>1860</v>
      </c>
      <c r="C12282">
        <v>87.82</v>
      </c>
      <c r="D12282">
        <v>95.47</v>
      </c>
      <c r="E12282">
        <v>95.46</v>
      </c>
      <c r="F12282">
        <v>0.01</v>
      </c>
    </row>
    <row r="12283" spans="1:6" x14ac:dyDescent="0.3">
      <c r="A12283" t="str">
        <f>HYPERLINK("https://us2.cloudbeds.com/connect/10074733072513#/reservations/31722171752671?display=MXAT0FTW3&amp;reservation_id=31722171752671", "MXAT0FTW3")</f>
        <v>MXAT0FTW3</v>
      </c>
      <c r="B12283" t="s">
        <v>1860</v>
      </c>
      <c r="C12283">
        <v>149</v>
      </c>
      <c r="D12283">
        <v>161.97</v>
      </c>
      <c r="E12283">
        <v>161.96</v>
      </c>
      <c r="F12283">
        <v>0.01</v>
      </c>
    </row>
    <row r="12284" spans="1:6" x14ac:dyDescent="0.3">
      <c r="A12284" t="str">
        <f>HYPERLINK("https://us2.cloudbeds.com/connect/10074733072513#/reservations/31722163470586?display=MXASQGEZR&amp;reservation_id=31722163470586", "MXASQGEZR")</f>
        <v>MXASQGEZR</v>
      </c>
      <c r="B12284" t="s">
        <v>1860</v>
      </c>
      <c r="C12284">
        <v>73</v>
      </c>
      <c r="D12284">
        <v>79.36</v>
      </c>
      <c r="E12284">
        <v>79.349999999999994</v>
      </c>
      <c r="F12284">
        <v>0.01</v>
      </c>
    </row>
    <row r="12285" spans="1:6" x14ac:dyDescent="0.3">
      <c r="A12285" t="str">
        <f>HYPERLINK("https://us2.cloudbeds.com/connect/10074733072513#/reservations/31719448539312?display=MX8PE6FU5&amp;reservation_id=31719448539312", "MX8PE6FU5")</f>
        <v>MX8PE6FU5</v>
      </c>
      <c r="B12285" t="s">
        <v>1852</v>
      </c>
      <c r="C12285">
        <v>99</v>
      </c>
      <c r="D12285">
        <v>107.62</v>
      </c>
      <c r="E12285">
        <v>107.61</v>
      </c>
      <c r="F12285">
        <v>0.01</v>
      </c>
    </row>
    <row r="12286" spans="1:6" x14ac:dyDescent="0.3">
      <c r="A12286" t="str">
        <f>HYPERLINK("https://us2.cloudbeds.com/connect/10074733072513#/reservations/31713449169082?display=MX444C5B9&amp;reservation_id=31713449169082", "MX444C5B9")</f>
        <v>MX444C5B9</v>
      </c>
      <c r="B12286" t="s">
        <v>1661</v>
      </c>
      <c r="C12286">
        <v>318</v>
      </c>
      <c r="D12286">
        <v>345.68</v>
      </c>
      <c r="E12286">
        <v>345.67</v>
      </c>
      <c r="F12286">
        <v>0.01</v>
      </c>
    </row>
    <row r="12287" spans="1:6" x14ac:dyDescent="0.3">
      <c r="A12287" t="str">
        <f>HYPERLINK("https://us2.cloudbeds.com/connect/10074733072513#/reservations/31719463108771?display=MX8PQFTYU&amp;reservation_id=31719463108771", "MX8PQFTYU")</f>
        <v>MX8PQFTYU</v>
      </c>
      <c r="B12287" t="s">
        <v>1852</v>
      </c>
      <c r="C12287">
        <v>99</v>
      </c>
      <c r="D12287">
        <v>107.62</v>
      </c>
      <c r="E12287">
        <v>107.61</v>
      </c>
      <c r="F12287">
        <v>0.01</v>
      </c>
    </row>
    <row r="12288" spans="1:6" x14ac:dyDescent="0.3">
      <c r="A12288" t="str">
        <f>HYPERLINK("https://us2.cloudbeds.com/connect/10074733072513#/reservations/31712862752977?display=MX3M4T8T9&amp;reservation_id=31712862752977", "MX3M4T8T9")</f>
        <v>MX3M4T8T9</v>
      </c>
      <c r="B12288" t="s">
        <v>1661</v>
      </c>
      <c r="C12288">
        <v>159</v>
      </c>
      <c r="D12288">
        <v>172.84</v>
      </c>
      <c r="E12288">
        <v>172.83</v>
      </c>
      <c r="F12288">
        <v>0.01</v>
      </c>
    </row>
    <row r="12289" spans="1:6" x14ac:dyDescent="0.3">
      <c r="A12289" t="str">
        <f>HYPERLINK("https://us2.cloudbeds.com/connect/10074733072513#/reservations/31721570271360?display=MXADANFD7&amp;reservation_id=31721570271360", "MXADANFD7")</f>
        <v>MXADANFD7</v>
      </c>
      <c r="B12289" t="s">
        <v>1786</v>
      </c>
      <c r="C12289">
        <v>179</v>
      </c>
      <c r="D12289">
        <v>194.58</v>
      </c>
      <c r="E12289">
        <v>194.57</v>
      </c>
      <c r="F12289">
        <v>0.01</v>
      </c>
    </row>
    <row r="12290" spans="1:6" x14ac:dyDescent="0.3">
      <c r="A12290" t="str">
        <f>HYPERLINK("https://us2.cloudbeds.com/connect/10074733072513#/reservations/31718769213619?display=MX882C813&amp;reservation_id=31718769213619", "MX882C813")</f>
        <v>MX882C813</v>
      </c>
      <c r="B12290" t="s">
        <v>1786</v>
      </c>
      <c r="C12290">
        <v>189</v>
      </c>
      <c r="D12290">
        <v>205.45</v>
      </c>
      <c r="E12290">
        <v>205.44</v>
      </c>
      <c r="F12290">
        <v>0.01</v>
      </c>
    </row>
    <row r="12291" spans="1:6" x14ac:dyDescent="0.3">
      <c r="A12291" t="str">
        <f>HYPERLINK("https://us2.cloudbeds.com/connect/10074733072513#/reservations/31721681678581?display=MXAGG7SS3&amp;reservation_id=31721681678581", "MXAGG7SS3")</f>
        <v>MXAGG7SS3</v>
      </c>
      <c r="B12291" t="s">
        <v>1866</v>
      </c>
      <c r="C12291">
        <v>402.2</v>
      </c>
      <c r="D12291">
        <v>437.2</v>
      </c>
      <c r="E12291">
        <v>437.19</v>
      </c>
      <c r="F12291">
        <v>0.01</v>
      </c>
    </row>
    <row r="12292" spans="1:6" x14ac:dyDescent="0.3">
      <c r="A12292" t="str">
        <f>HYPERLINK("https://us2.cloudbeds.com/connect/10074733072513#/reservations/31715932049557?display=MX61XWW1X&amp;reservation_id=31715932049557", "MX61XWW1X")</f>
        <v>MX61XWW1X</v>
      </c>
      <c r="B12292" t="s">
        <v>1768</v>
      </c>
      <c r="C12292">
        <v>438</v>
      </c>
      <c r="D12292">
        <v>476.12</v>
      </c>
      <c r="E12292">
        <v>476.11</v>
      </c>
      <c r="F12292">
        <v>0.01</v>
      </c>
    </row>
    <row r="12293" spans="1:6" x14ac:dyDescent="0.3">
      <c r="A12293" t="str">
        <f>HYPERLINK("https://us2.cloudbeds.com/connect/10074733072513#/reservations/31718641533154?display=MX84QNBE2&amp;reservation_id=31718641533154", "MX84QNBE2")</f>
        <v>MX84QNBE2</v>
      </c>
      <c r="B12293" t="s">
        <v>1798</v>
      </c>
      <c r="C12293">
        <v>358</v>
      </c>
      <c r="D12293">
        <v>389.16</v>
      </c>
      <c r="E12293">
        <v>389.15</v>
      </c>
      <c r="F12293">
        <v>0.01</v>
      </c>
    </row>
    <row r="12294" spans="1:6" x14ac:dyDescent="0.3">
      <c r="A12294" t="str">
        <f>HYPERLINK("https://us2.cloudbeds.com/connect/10074733072513#/reservations/31720166908098?display=MX9APV518&amp;reservation_id=31720166908098", "MX9APV518")</f>
        <v>MX9APV518</v>
      </c>
      <c r="B12294" t="s">
        <v>1867</v>
      </c>
      <c r="C12294">
        <v>252</v>
      </c>
      <c r="D12294">
        <v>273.93</v>
      </c>
      <c r="E12294">
        <v>273.92</v>
      </c>
      <c r="F12294">
        <v>0.01</v>
      </c>
    </row>
    <row r="12295" spans="1:6" x14ac:dyDescent="0.3">
      <c r="A12295" t="str">
        <f>HYPERLINK("https://us2.cloudbeds.com/connect/10074733072513#/reservations/31720295039142?display=MX9E1WJD5&amp;reservation_id=31720295039142", "MX9E1WJD5")</f>
        <v>MX9E1WJD5</v>
      </c>
      <c r="B12295" t="s">
        <v>1773</v>
      </c>
      <c r="C12295">
        <v>139</v>
      </c>
      <c r="D12295">
        <v>151.1</v>
      </c>
      <c r="E12295">
        <v>151.09</v>
      </c>
      <c r="F12295">
        <v>0.01</v>
      </c>
    </row>
    <row r="12296" spans="1:6" x14ac:dyDescent="0.3">
      <c r="A12296" t="str">
        <f>HYPERLINK("https://us2.cloudbeds.com/connect/10074733072513#/reservations/31714586493126?display=MX506CT18&amp;reservation_id=31714586493126", "MX506CT18")</f>
        <v>MX506CT18</v>
      </c>
      <c r="B12296" t="s">
        <v>1868</v>
      </c>
      <c r="C12296">
        <v>557</v>
      </c>
      <c r="D12296">
        <v>605.47</v>
      </c>
      <c r="E12296">
        <v>605.46</v>
      </c>
      <c r="F12296">
        <v>0.01</v>
      </c>
    </row>
    <row r="12297" spans="1:6" x14ac:dyDescent="0.3">
      <c r="A12297" t="str">
        <f>HYPERLINK("https://us2.cloudbeds.com/connect/10074733072513#/reservations/31714506756346?display=MX4V552S6&amp;reservation_id=31714506756346", "MX4V552S6")</f>
        <v>MX4V552S6</v>
      </c>
      <c r="B12297" t="s">
        <v>1816</v>
      </c>
      <c r="C12297">
        <v>378</v>
      </c>
      <c r="D12297">
        <v>410.9</v>
      </c>
      <c r="E12297">
        <v>410.89</v>
      </c>
      <c r="F12297">
        <v>0.01</v>
      </c>
    </row>
    <row r="12298" spans="1:6" x14ac:dyDescent="0.3">
      <c r="A12298" t="str">
        <f>HYPERLINK("https://us2.cloudbeds.com/connect/10074733072513#/reservations/31720149430405?display=MX9AB6QZ6&amp;reservation_id=31720149430405", "MX9AB6QZ6")</f>
        <v>MX9AB6QZ6</v>
      </c>
      <c r="B12298" t="s">
        <v>1867</v>
      </c>
      <c r="C12298">
        <v>252</v>
      </c>
      <c r="D12298">
        <v>273.93</v>
      </c>
      <c r="E12298">
        <v>273.92</v>
      </c>
      <c r="F12298">
        <v>0.01</v>
      </c>
    </row>
    <row r="12299" spans="1:6" x14ac:dyDescent="0.3">
      <c r="A12299" t="str">
        <f>HYPERLINK("https://us2.cloudbeds.com/connect/10074733072513#/reservations/31716804821194?display=MX6NSV47U&amp;reservation_id=31716804821194", "MX6NSV47U")</f>
        <v>MX6NSV47U</v>
      </c>
      <c r="B12299" t="s">
        <v>1729</v>
      </c>
      <c r="C12299">
        <v>313.2</v>
      </c>
      <c r="D12299">
        <v>340.46</v>
      </c>
      <c r="E12299">
        <v>340.45</v>
      </c>
      <c r="F12299">
        <v>0.01</v>
      </c>
    </row>
    <row r="12300" spans="1:6" x14ac:dyDescent="0.3">
      <c r="A12300" t="str">
        <f>HYPERLINK("https://us2.cloudbeds.com/connect/10074733072513#/reservations/31719417421952?display=MX8Z8S3H3&amp;reservation_id=31719417421952", "MX8Z8S3H3")</f>
        <v>MX8Z8S3H3</v>
      </c>
      <c r="B12300" t="s">
        <v>1860</v>
      </c>
      <c r="C12300">
        <v>149</v>
      </c>
      <c r="D12300">
        <v>161.97</v>
      </c>
      <c r="E12300">
        <v>161.96</v>
      </c>
      <c r="F12300">
        <v>0.01</v>
      </c>
    </row>
    <row r="12301" spans="1:6" x14ac:dyDescent="0.3">
      <c r="A12301" t="str">
        <f>HYPERLINK("https://us2.cloudbeds.com/connect/10074733072513#/reservations/31711672098950?display=MX2ZNTXM7&amp;reservation_id=31711672098950", "MX2ZNTXM7")</f>
        <v>MX2ZNTXM7</v>
      </c>
      <c r="B12301" t="s">
        <v>1860</v>
      </c>
      <c r="C12301">
        <v>149</v>
      </c>
      <c r="D12301">
        <v>161.97</v>
      </c>
      <c r="E12301">
        <v>161.96</v>
      </c>
      <c r="F12301">
        <v>0.01</v>
      </c>
    </row>
    <row r="12302" spans="1:6" x14ac:dyDescent="0.3">
      <c r="A12302" t="str">
        <f>HYPERLINK("https://us2.cloudbeds.com/connect/10074733072513#/reservations/31721325195394?display=MXA7CY6Z9&amp;reservation_id=31721325195394", "MXA7CY6Z9")</f>
        <v>MXA7CY6Z9</v>
      </c>
      <c r="B12302" t="s">
        <v>1836</v>
      </c>
      <c r="C12302">
        <v>189</v>
      </c>
      <c r="D12302">
        <v>205.45</v>
      </c>
      <c r="E12302">
        <v>205.44</v>
      </c>
      <c r="F12302">
        <v>0.01</v>
      </c>
    </row>
    <row r="12303" spans="1:6" x14ac:dyDescent="0.3">
      <c r="A12303" t="str">
        <f>HYPERLINK("https://us2.cloudbeds.com/connect/10074733072513#/reservations/31719638503653?display=MX8U9CH5B&amp;reservation_id=31719638503653", "MX8U9CH5B")</f>
        <v>MX8U9CH5B</v>
      </c>
      <c r="B12303" t="s">
        <v>1804</v>
      </c>
      <c r="C12303">
        <v>97.74</v>
      </c>
      <c r="D12303">
        <v>106.25</v>
      </c>
      <c r="E12303">
        <v>106.24</v>
      </c>
      <c r="F12303">
        <v>0.01</v>
      </c>
    </row>
    <row r="12304" spans="1:6" x14ac:dyDescent="0.3">
      <c r="A12304" t="str">
        <f>HYPERLINK("https://us2.cloudbeds.com/connect/10074733072513#/reservations/31716372402325?display=MX6CRAECR&amp;reservation_id=31716372402325", "MX6CRAECR")</f>
        <v>MX6CRAECR</v>
      </c>
      <c r="B12304" t="s">
        <v>1862</v>
      </c>
      <c r="C12304">
        <v>149</v>
      </c>
      <c r="D12304">
        <v>161.97</v>
      </c>
      <c r="E12304">
        <v>161.96</v>
      </c>
      <c r="F12304">
        <v>0.01</v>
      </c>
    </row>
    <row r="12305" spans="1:6" x14ac:dyDescent="0.3">
      <c r="A12305" t="str">
        <f>HYPERLINK("https://us2.cloudbeds.com/connect/10074733072513#/reservations/31715326738683?display=MX5J3JA0Q&amp;reservation_id=31715326738683", "MX5J3JA0Q")</f>
        <v>MX5J3JA0Q</v>
      </c>
      <c r="B12305" t="s">
        <v>1857</v>
      </c>
      <c r="C12305">
        <v>109</v>
      </c>
      <c r="D12305">
        <v>118.49</v>
      </c>
      <c r="E12305">
        <v>118.48</v>
      </c>
      <c r="F12305">
        <v>0.01</v>
      </c>
    </row>
    <row r="12306" spans="1:6" x14ac:dyDescent="0.3">
      <c r="A12306" t="str">
        <f>HYPERLINK("https://us2.cloudbeds.com/connect/10074733072513#/reservations/31715314270369?display=MX5XQ2BN3&amp;reservation_id=31715314270369", "MX5XQ2BN3")</f>
        <v>MX5XQ2BN3</v>
      </c>
      <c r="B12306" t="s">
        <v>1857</v>
      </c>
      <c r="C12306">
        <v>139</v>
      </c>
      <c r="D12306">
        <v>151.1</v>
      </c>
      <c r="E12306">
        <v>151.09</v>
      </c>
      <c r="F12306">
        <v>0.01</v>
      </c>
    </row>
    <row r="12307" spans="1:6" x14ac:dyDescent="0.3">
      <c r="A12307" t="str">
        <f>HYPERLINK("https://us2.cloudbeds.com/connect/10074733072513#/reservations/31721501774056?display=MXABTHP8R&amp;reservation_id=31721501774056", "MXABTHP8R")</f>
        <v>MXABTHP8R</v>
      </c>
      <c r="B12307" t="s">
        <v>1804</v>
      </c>
      <c r="C12307">
        <v>169</v>
      </c>
      <c r="D12307">
        <v>183.71</v>
      </c>
      <c r="E12307">
        <v>183.7</v>
      </c>
      <c r="F12307">
        <v>0.01</v>
      </c>
    </row>
    <row r="12308" spans="1:6" x14ac:dyDescent="0.3">
      <c r="A12308" t="str">
        <f>HYPERLINK("https://us2.cloudbeds.com/connect/10074733072513#/reservations/31722260717699?display=MXAV9GG71&amp;reservation_id=31722260717699", "MXAV9GG71")</f>
        <v>MXAV9GG71</v>
      </c>
      <c r="B12308" t="s">
        <v>1804</v>
      </c>
      <c r="C12308">
        <v>169</v>
      </c>
      <c r="D12308">
        <v>183.71</v>
      </c>
      <c r="E12308">
        <v>183.7</v>
      </c>
      <c r="F12308">
        <v>0.01</v>
      </c>
    </row>
    <row r="12309" spans="1:6" x14ac:dyDescent="0.3">
      <c r="A12309" t="str">
        <f>HYPERLINK("https://us2.cloudbeds.com/connect/10074733072513#/reservations/31711547572421?display=MX2YHTE81&amp;reservation_id=31711547572421", "MX2YHTE81")</f>
        <v>MX2YHTE81</v>
      </c>
      <c r="B12309" t="s">
        <v>1829</v>
      </c>
      <c r="C12309">
        <v>318</v>
      </c>
      <c r="D12309">
        <v>345.68</v>
      </c>
      <c r="E12309">
        <v>345.67</v>
      </c>
      <c r="F12309">
        <v>0.01</v>
      </c>
    </row>
    <row r="12310" spans="1:6" x14ac:dyDescent="0.3">
      <c r="A12310" t="str">
        <f>HYPERLINK("https://us2.cloudbeds.com/connect/10074733072513#/reservations/31718451392665?display=MX7WVCDE3&amp;reservation_id=31718451392665", "MX7WVCDE3")</f>
        <v>MX7WVCDE3</v>
      </c>
      <c r="B12310" t="s">
        <v>1858</v>
      </c>
      <c r="C12310">
        <v>218</v>
      </c>
      <c r="D12310">
        <v>236.98</v>
      </c>
      <c r="E12310">
        <v>236.97</v>
      </c>
      <c r="F12310">
        <v>0.01</v>
      </c>
    </row>
    <row r="12311" spans="1:6" x14ac:dyDescent="0.3">
      <c r="A12311" t="str">
        <f>HYPERLINK("https://us2.cloudbeds.com/connect/10074733072513#/reservations/31718449692864?display=MX7WY11GD&amp;reservation_id=31718449692864", "MX7WY11GD")</f>
        <v>MX7WY11GD</v>
      </c>
      <c r="B12311" t="s">
        <v>1858</v>
      </c>
      <c r="C12311">
        <v>109</v>
      </c>
      <c r="D12311">
        <v>118.49</v>
      </c>
      <c r="E12311">
        <v>118.48</v>
      </c>
      <c r="F12311">
        <v>0.01</v>
      </c>
    </row>
    <row r="12312" spans="1:6" x14ac:dyDescent="0.3">
      <c r="A12312" t="str">
        <f>HYPERLINK("https://us2.cloudbeds.com/connect/10074733072513#/reservations/31720334336224?display=MX9F242SR&amp;reservation_id=31720334336224", "MX9F242SR")</f>
        <v>MX9F242SR</v>
      </c>
      <c r="B12312" t="s">
        <v>1836</v>
      </c>
      <c r="C12312">
        <v>189</v>
      </c>
      <c r="D12312">
        <v>205.45</v>
      </c>
      <c r="E12312">
        <v>205.44</v>
      </c>
      <c r="F12312">
        <v>0.01</v>
      </c>
    </row>
    <row r="12313" spans="1:6" x14ac:dyDescent="0.3">
      <c r="A12313" t="str">
        <f>HYPERLINK("https://us2.cloudbeds.com/connect/10074733072513#/reservations/31719764619404?display=MX90GNSUP&amp;reservation_id=31719764619404", "MX90GNSUP")</f>
        <v>MX90GNSUP</v>
      </c>
      <c r="B12313" t="s">
        <v>1836</v>
      </c>
      <c r="C12313">
        <v>149</v>
      </c>
      <c r="D12313">
        <v>161.97</v>
      </c>
      <c r="E12313">
        <v>161.96</v>
      </c>
      <c r="F12313">
        <v>0.01</v>
      </c>
    </row>
    <row r="12314" spans="1:6" x14ac:dyDescent="0.3">
      <c r="A12314" t="str">
        <f>HYPERLINK("https://us2.cloudbeds.com/connect/10074733072513#/reservations/31717895524552?display=MX7XZYXCR&amp;reservation_id=31717895524552", "MX7XZYXCR")</f>
        <v>MX7XZYXCR</v>
      </c>
      <c r="B12314" t="s">
        <v>1869</v>
      </c>
      <c r="C12314">
        <v>150</v>
      </c>
      <c r="D12314">
        <v>163.06</v>
      </c>
      <c r="E12314">
        <v>163.05000000000001</v>
      </c>
      <c r="F12314">
        <v>0.01</v>
      </c>
    </row>
    <row r="12315" spans="1:6" x14ac:dyDescent="0.3">
      <c r="A12315" t="str">
        <f>HYPERLINK("https://us2.cloudbeds.com/connect/10074733072513#/reservations/31715894296774?display=MX60K5EYR&amp;reservation_id=31715894296774", "MX60K5EYR")</f>
        <v>MX60K5EYR</v>
      </c>
      <c r="B12315" t="s">
        <v>1768</v>
      </c>
      <c r="C12315">
        <v>209</v>
      </c>
      <c r="D12315">
        <v>227.19</v>
      </c>
      <c r="E12315">
        <v>227.18</v>
      </c>
      <c r="F12315">
        <v>0.01</v>
      </c>
    </row>
    <row r="12316" spans="1:6" x14ac:dyDescent="0.3">
      <c r="A12316" t="str">
        <f>HYPERLINK("https://us2.cloudbeds.com/connect/10074733072513#/reservations/31717233238231?display=MX71R6FAC&amp;reservation_id=31717233238231", "MX71R6FAC")</f>
        <v>MX71R6FAC</v>
      </c>
      <c r="B12316" t="s">
        <v>1871</v>
      </c>
      <c r="C12316">
        <v>109</v>
      </c>
      <c r="D12316">
        <v>118.49</v>
      </c>
      <c r="E12316">
        <v>118.48</v>
      </c>
      <c r="F12316">
        <v>0.01</v>
      </c>
    </row>
    <row r="12317" spans="1:6" x14ac:dyDescent="0.3">
      <c r="A12317" t="str">
        <f>HYPERLINK("https://us2.cloudbeds.com/connect/10074733072513#/reservations/31720459129046?display=MX9X8BKRG&amp;reservation_id=31720459129046", "MX9X8BKRG")</f>
        <v>MX9X8BKRG</v>
      </c>
      <c r="B12317" t="s">
        <v>1773</v>
      </c>
      <c r="C12317">
        <v>195.48</v>
      </c>
      <c r="D12317">
        <v>212.5</v>
      </c>
      <c r="E12317">
        <v>212.49</v>
      </c>
      <c r="F12317">
        <v>0.01</v>
      </c>
    </row>
    <row r="12318" spans="1:6" x14ac:dyDescent="0.3">
      <c r="A12318" t="str">
        <f>HYPERLINK("https://us2.cloudbeds.com/connect/10074733072513#/reservations/31720328781956?display=MX9EUEHHM&amp;reservation_id=31720328781956", "MX9EUEHHM")</f>
        <v>MX9EUEHHM</v>
      </c>
      <c r="B12318" t="s">
        <v>1836</v>
      </c>
      <c r="C12318">
        <v>179</v>
      </c>
      <c r="D12318">
        <v>194.58</v>
      </c>
      <c r="E12318">
        <v>194.57</v>
      </c>
      <c r="F12318">
        <v>0.01</v>
      </c>
    </row>
    <row r="12319" spans="1:6" x14ac:dyDescent="0.3">
      <c r="A12319" t="str">
        <f>HYPERLINK("https://us2.cloudbeds.com/connect/10074733072513#/reservations/31715290099905?display=MX5X5MPJQ&amp;reservation_id=31715290099905", "MX5X5MPJQ")</f>
        <v>MX5X5MPJQ</v>
      </c>
      <c r="B12319" t="s">
        <v>1858</v>
      </c>
      <c r="C12319">
        <v>73</v>
      </c>
      <c r="D12319">
        <v>79.36</v>
      </c>
      <c r="E12319">
        <v>79.349999999999994</v>
      </c>
      <c r="F12319">
        <v>0.01</v>
      </c>
    </row>
    <row r="12320" spans="1:6" x14ac:dyDescent="0.3">
      <c r="A12320" t="str">
        <f>HYPERLINK("https://us2.cloudbeds.com/connect/10074733072513#/reservations/31717891973358?display=MX7XYYZDT&amp;reservation_id=31717891973358", "MX7XYYZDT")</f>
        <v>MX7XYYZDT</v>
      </c>
      <c r="B12320" t="s">
        <v>1869</v>
      </c>
      <c r="C12320">
        <v>109</v>
      </c>
      <c r="D12320">
        <v>118.49</v>
      </c>
      <c r="E12320">
        <v>118.48</v>
      </c>
      <c r="F12320">
        <v>0.01</v>
      </c>
    </row>
    <row r="12321" spans="1:6" x14ac:dyDescent="0.3">
      <c r="A12321" t="str">
        <f>HYPERLINK("https://us2.cloudbeds.com/connect/10074733072513#/reservations/31718552658106?display=MX82HP8QR&amp;reservation_id=31718552658106", "MX82HP8QR")</f>
        <v>MX82HP8QR</v>
      </c>
      <c r="B12321" t="s">
        <v>1760</v>
      </c>
      <c r="C12321">
        <v>298</v>
      </c>
      <c r="D12321">
        <v>323.94</v>
      </c>
      <c r="E12321">
        <v>323.93</v>
      </c>
      <c r="F12321">
        <v>0.01</v>
      </c>
    </row>
    <row r="12322" spans="1:6" x14ac:dyDescent="0.3">
      <c r="A12322" t="str">
        <f>HYPERLINK("https://us2.cloudbeds.com/connect/10074733072513#/reservations/31721600389334?display=MXAEDMT2J&amp;reservation_id=31721600389334", "MXAEDMT2J")</f>
        <v>MXAEDMT2J</v>
      </c>
      <c r="B12322" t="s">
        <v>1869</v>
      </c>
      <c r="C12322">
        <v>105.78</v>
      </c>
      <c r="D12322">
        <v>114.99</v>
      </c>
      <c r="E12322">
        <v>114.98</v>
      </c>
      <c r="F12322">
        <v>0.01</v>
      </c>
    </row>
    <row r="12323" spans="1:6" x14ac:dyDescent="0.3">
      <c r="A12323" t="str">
        <f>HYPERLINK("https://us2.cloudbeds.com/connect/10074733072513#/reservations/31723278942443?display=MXBZA335A&amp;reservation_id=31723278942443", "MXBZA335A")</f>
        <v>MXBZA335A</v>
      </c>
      <c r="B12323" t="s">
        <v>1819</v>
      </c>
      <c r="C12323">
        <v>149</v>
      </c>
      <c r="D12323">
        <v>161.97</v>
      </c>
      <c r="E12323">
        <v>161.96</v>
      </c>
      <c r="F12323">
        <v>0.01</v>
      </c>
    </row>
    <row r="12324" spans="1:6" x14ac:dyDescent="0.3">
      <c r="A12324" t="str">
        <f>HYPERLINK("https://us2.cloudbeds.com/connect/10074733072513#/reservations/31720993910963?display=MX9VU9NW4&amp;reservation_id=31720993910963", "MX9VU9NW4")</f>
        <v>MX9VU9NW4</v>
      </c>
      <c r="B12324" t="s">
        <v>1869</v>
      </c>
      <c r="C12324">
        <v>99</v>
      </c>
      <c r="D12324">
        <v>107.62</v>
      </c>
      <c r="E12324">
        <v>107.61</v>
      </c>
      <c r="F12324">
        <v>0.01</v>
      </c>
    </row>
    <row r="12325" spans="1:6" x14ac:dyDescent="0.3">
      <c r="A12325" t="str">
        <f>HYPERLINK("https://us2.cloudbeds.com/connect/10074733072513#/reservations/31717865468129?display=MX7HWA6BW&amp;reservation_id=31717865468129", "MX7HWA6BW")</f>
        <v>MX7HWA6BW</v>
      </c>
      <c r="B12325" t="s">
        <v>1869</v>
      </c>
      <c r="C12325">
        <v>99</v>
      </c>
      <c r="D12325">
        <v>107.62</v>
      </c>
      <c r="E12325">
        <v>107.61</v>
      </c>
      <c r="F12325">
        <v>0.01</v>
      </c>
    </row>
    <row r="12326" spans="1:6" x14ac:dyDescent="0.3">
      <c r="A12326" t="str">
        <f>HYPERLINK("https://us2.cloudbeds.com/connect/10074733072513#/reservations/31718740824240?display=MX87BE8QT&amp;reservation_id=31718740824240", "MX87BE8QT")</f>
        <v>MX87BE8QT</v>
      </c>
      <c r="B12326" t="s">
        <v>1873</v>
      </c>
      <c r="C12326">
        <v>252</v>
      </c>
      <c r="D12326">
        <v>273.93</v>
      </c>
      <c r="E12326">
        <v>273.92</v>
      </c>
      <c r="F12326">
        <v>0.01</v>
      </c>
    </row>
    <row r="12327" spans="1:6" x14ac:dyDescent="0.3">
      <c r="A12327" t="str">
        <f>HYPERLINK("https://us2.cloudbeds.com/connect/10074733072513#/reservations/31700983341269?display=MHRFJS46A&amp;reservation_id=31700983341269", "MHRFJS46A")</f>
        <v>MHRFJS46A</v>
      </c>
      <c r="B12327" t="s">
        <v>1788</v>
      </c>
      <c r="C12327">
        <v>358</v>
      </c>
      <c r="D12327">
        <v>389.16</v>
      </c>
      <c r="E12327">
        <v>389.15</v>
      </c>
      <c r="F12327">
        <v>0.01</v>
      </c>
    </row>
    <row r="12328" spans="1:6" x14ac:dyDescent="0.3">
      <c r="A12328" t="str">
        <f>HYPERLINK("https://us2.cloudbeds.com/connect/10074733072513#/reservations/31719880589480?display=MX93FGU6G&amp;reservation_id=31719880589480", "MX93FGU6G")</f>
        <v>MX93FGU6G</v>
      </c>
      <c r="B12328" t="s">
        <v>1874</v>
      </c>
      <c r="C12328">
        <v>336</v>
      </c>
      <c r="D12328">
        <v>365.24</v>
      </c>
      <c r="E12328">
        <v>365.23</v>
      </c>
      <c r="F12328">
        <v>0.01</v>
      </c>
    </row>
    <row r="12329" spans="1:6" x14ac:dyDescent="0.3">
      <c r="A12329" t="str">
        <f>HYPERLINK("https://us2.cloudbeds.com/connect/10074733072513#/reservations/31722595430555?display=MXB6RZC6S&amp;reservation_id=31722595430555", "MXB6RZC6S")</f>
        <v>MXB6RZC6S</v>
      </c>
      <c r="B12329" t="s">
        <v>1875</v>
      </c>
      <c r="C12329">
        <v>193</v>
      </c>
      <c r="D12329">
        <v>209.8</v>
      </c>
      <c r="E12329">
        <v>209.79</v>
      </c>
      <c r="F12329">
        <v>0.01</v>
      </c>
    </row>
    <row r="12330" spans="1:6" x14ac:dyDescent="0.3">
      <c r="A12330" t="str">
        <f>HYPERLINK("https://us2.cloudbeds.com/connect/10074733072513#/reservations/31721680756968?display=MXAGFF7XE&amp;reservation_id=31721680756968", "MXAGFF7XE")</f>
        <v>MXAGFF7XE</v>
      </c>
      <c r="B12330" t="s">
        <v>1874</v>
      </c>
      <c r="C12330">
        <v>336</v>
      </c>
      <c r="D12330">
        <v>365.24</v>
      </c>
      <c r="E12330">
        <v>365.23</v>
      </c>
      <c r="F12330">
        <v>0.01</v>
      </c>
    </row>
    <row r="12331" spans="1:6" x14ac:dyDescent="0.3">
      <c r="A12331" t="str">
        <f>HYPERLINK("https://us2.cloudbeds.com/connect/10074733072513#/reservations/31715912409308?display=MX612EEUG&amp;reservation_id=31715912409308", "MX612EEUG")</f>
        <v>MX612EEUG</v>
      </c>
      <c r="B12331" t="s">
        <v>1666</v>
      </c>
      <c r="C12331">
        <v>159</v>
      </c>
      <c r="D12331">
        <v>172.84</v>
      </c>
      <c r="E12331">
        <v>172.83</v>
      </c>
      <c r="F12331">
        <v>0.01</v>
      </c>
    </row>
    <row r="12332" spans="1:6" x14ac:dyDescent="0.3">
      <c r="A12332" t="str">
        <f>HYPERLINK("https://us2.cloudbeds.com/connect/10074733072513#/reservations/31720730349701?display=MX9P61ZK7&amp;reservation_id=31720730349701", "MX9P61ZK7")</f>
        <v>MX9P61ZK7</v>
      </c>
      <c r="B12332" t="s">
        <v>1876</v>
      </c>
      <c r="C12332">
        <v>336</v>
      </c>
      <c r="D12332">
        <v>365.24</v>
      </c>
      <c r="E12332">
        <v>365.23</v>
      </c>
      <c r="F12332">
        <v>0.01</v>
      </c>
    </row>
    <row r="12333" spans="1:6" x14ac:dyDescent="0.3">
      <c r="A12333" t="str">
        <f>HYPERLINK("https://us2.cloudbeds.com/connect/10074733072513#/reservations/31715932053651?display=MX61J02QK&amp;reservation_id=31715932053651", "MX61J02QK")</f>
        <v>MX61J02QK</v>
      </c>
      <c r="B12333" t="s">
        <v>1760</v>
      </c>
      <c r="C12333">
        <v>318</v>
      </c>
      <c r="D12333">
        <v>345.68</v>
      </c>
      <c r="E12333">
        <v>345.67</v>
      </c>
      <c r="F12333">
        <v>0.01</v>
      </c>
    </row>
    <row r="12334" spans="1:6" x14ac:dyDescent="0.3">
      <c r="A12334" t="str">
        <f>HYPERLINK("https://us2.cloudbeds.com/connect/10074733072513#/reservations/31718161072337?display=MX7PHXQUD&amp;reservation_id=31718161072337", "MX7PHXQUD")</f>
        <v>MX7PHXQUD</v>
      </c>
      <c r="B12334" t="s">
        <v>1819</v>
      </c>
      <c r="C12334">
        <v>159</v>
      </c>
      <c r="D12334">
        <v>172.84</v>
      </c>
      <c r="E12334">
        <v>172.83</v>
      </c>
      <c r="F12334">
        <v>0.01</v>
      </c>
    </row>
    <row r="12335" spans="1:6" x14ac:dyDescent="0.3">
      <c r="A12335" t="str">
        <f>HYPERLINK("https://us2.cloudbeds.com/connect/10074733072513#/reservations/31718439121054?display=MX7WY0UZ3&amp;reservation_id=31718439121054", "MX7WY0UZ3")</f>
        <v>MX7WY0UZ3</v>
      </c>
      <c r="B12335" t="s">
        <v>1819</v>
      </c>
      <c r="C12335">
        <v>159</v>
      </c>
      <c r="D12335">
        <v>172.84</v>
      </c>
      <c r="E12335">
        <v>172.83</v>
      </c>
      <c r="F12335">
        <v>0.01</v>
      </c>
    </row>
    <row r="12336" spans="1:6" x14ac:dyDescent="0.3">
      <c r="A12336" t="str">
        <f>HYPERLINK("https://us2.cloudbeds.com/connect/10074733072513#/reservations/31720285118627?display=MX9DQKHYG&amp;reservation_id=31720285118627", "MX9DQKHYG")</f>
        <v>MX9DQKHYG</v>
      </c>
      <c r="B12336" t="s">
        <v>1836</v>
      </c>
      <c r="C12336">
        <v>159</v>
      </c>
      <c r="D12336">
        <v>172.84</v>
      </c>
      <c r="E12336">
        <v>172.83</v>
      </c>
      <c r="F12336">
        <v>0.01</v>
      </c>
    </row>
    <row r="12337" spans="1:6" x14ac:dyDescent="0.3">
      <c r="A12337" t="str">
        <f>HYPERLINK("https://us2.cloudbeds.com/connect/10074733072513#/reservations/31718521176224?display=MX81Z77RD&amp;reservation_id=31718521176224", "MX81Z77RD")</f>
        <v>MX81Z77RD</v>
      </c>
      <c r="B12337" t="s">
        <v>1760</v>
      </c>
      <c r="C12337">
        <v>318</v>
      </c>
      <c r="D12337">
        <v>345.68</v>
      </c>
      <c r="E12337">
        <v>345.67</v>
      </c>
      <c r="F12337">
        <v>0.01</v>
      </c>
    </row>
    <row r="12338" spans="1:6" x14ac:dyDescent="0.3">
      <c r="A12338" t="str">
        <f>HYPERLINK("https://us2.cloudbeds.com/connect/10074733072513#/reservations/31715968426179?display=MX62GM6ZE&amp;reservation_id=31715968426179", "MX62GM6ZE")</f>
        <v>MX62GM6ZE</v>
      </c>
      <c r="B12338" t="s">
        <v>1760</v>
      </c>
      <c r="C12338">
        <v>159</v>
      </c>
      <c r="D12338">
        <v>172.84</v>
      </c>
      <c r="E12338">
        <v>172.83</v>
      </c>
      <c r="F12338">
        <v>0.01</v>
      </c>
    </row>
    <row r="12339" spans="1:6" x14ac:dyDescent="0.3">
      <c r="A12339" t="str">
        <f>HYPERLINK("https://us2.cloudbeds.com/connect/10074733072513#/reservations/31718575079600?display=MX833M5T1&amp;reservation_id=31718575079600", "MX833M5T1")</f>
        <v>MX833M5T1</v>
      </c>
      <c r="B12339" t="s">
        <v>1760</v>
      </c>
      <c r="C12339">
        <v>318</v>
      </c>
      <c r="D12339">
        <v>345.68</v>
      </c>
      <c r="E12339">
        <v>345.67</v>
      </c>
      <c r="F12339">
        <v>0.01</v>
      </c>
    </row>
    <row r="12340" spans="1:6" x14ac:dyDescent="0.3">
      <c r="A12340" t="str">
        <f>HYPERLINK("https://us2.cloudbeds.com/connect/10074733072513#/reservations/31721935614101?display=MXAMWC04S&amp;reservation_id=31721935614101", "MXAMWC04S")</f>
        <v>MXAMWC04S</v>
      </c>
      <c r="B12340" t="s">
        <v>1791</v>
      </c>
      <c r="C12340">
        <v>119</v>
      </c>
      <c r="D12340">
        <v>129.36000000000001</v>
      </c>
      <c r="E12340">
        <v>129.35</v>
      </c>
      <c r="F12340">
        <v>0.01</v>
      </c>
    </row>
    <row r="12341" spans="1:6" x14ac:dyDescent="0.3">
      <c r="A12341" t="str">
        <f>HYPERLINK("https://us2.cloudbeds.com/connect/10074733072513#/reservations/31716891353256?display=MX6Q2U0BK&amp;reservation_id=31716891353256", "MX6Q2U0BK")</f>
        <v>MX6Q2U0BK</v>
      </c>
      <c r="B12341" t="s">
        <v>1877</v>
      </c>
      <c r="C12341">
        <v>139</v>
      </c>
      <c r="D12341">
        <v>151.1</v>
      </c>
      <c r="E12341">
        <v>151.09</v>
      </c>
      <c r="F12341">
        <v>0.01</v>
      </c>
    </row>
    <row r="12342" spans="1:6" x14ac:dyDescent="0.3">
      <c r="A12342" t="str">
        <f>HYPERLINK("https://us2.cloudbeds.com/connect/10074733072513#/reservations/31712839758062?display=MX3YXGD8M&amp;reservation_id=31712839758062", "MX3YXGD8M")</f>
        <v>MX3YXGD8M</v>
      </c>
      <c r="B12342" t="s">
        <v>1850</v>
      </c>
      <c r="C12342">
        <v>318</v>
      </c>
      <c r="D12342">
        <v>345.68</v>
      </c>
      <c r="E12342">
        <v>345.67</v>
      </c>
      <c r="F12342">
        <v>0.01</v>
      </c>
    </row>
    <row r="12343" spans="1:6" x14ac:dyDescent="0.3">
      <c r="A12343" t="str">
        <f>HYPERLINK("https://us2.cloudbeds.com/connect/10074733072513#/reservations/31718554398867?display=MX82J7NA5&amp;reservation_id=31718554398867", "MX82J7NA5")</f>
        <v>MX82J7NA5</v>
      </c>
      <c r="B12343" t="s">
        <v>1760</v>
      </c>
      <c r="C12343">
        <v>318</v>
      </c>
      <c r="D12343">
        <v>345.68</v>
      </c>
      <c r="E12343">
        <v>345.67</v>
      </c>
      <c r="F12343">
        <v>0.01</v>
      </c>
    </row>
    <row r="12344" spans="1:6" x14ac:dyDescent="0.3">
      <c r="A12344" t="str">
        <f>HYPERLINK("https://us2.cloudbeds.com/connect/10074733072513#/reservations/31715949473992?display=MX620MREZ&amp;reservation_id=31715949473992", "MX620MREZ")</f>
        <v>MX620MREZ</v>
      </c>
      <c r="B12344" t="s">
        <v>1760</v>
      </c>
      <c r="C12344">
        <v>318</v>
      </c>
      <c r="D12344">
        <v>345.68</v>
      </c>
      <c r="E12344">
        <v>345.67</v>
      </c>
      <c r="F12344">
        <v>0.01</v>
      </c>
    </row>
    <row r="12345" spans="1:6" x14ac:dyDescent="0.3">
      <c r="A12345" t="str">
        <f>HYPERLINK("https://us2.cloudbeds.com/connect/10074733072513#/reservations/31714551873746?display=MX4WA6HW4&amp;reservation_id=31714551873746", "MX4WA6HW4")</f>
        <v>MX4WA6HW4</v>
      </c>
      <c r="B12345" t="s">
        <v>1862</v>
      </c>
      <c r="C12345">
        <v>557</v>
      </c>
      <c r="D12345">
        <v>605.47</v>
      </c>
      <c r="E12345">
        <v>605.46</v>
      </c>
      <c r="F12345">
        <v>0.01</v>
      </c>
    </row>
    <row r="12346" spans="1:6" x14ac:dyDescent="0.3">
      <c r="A12346" t="str">
        <f>HYPERLINK("https://us2.cloudbeds.com/connect/10074733072513#/reservations/31718150750411?display=MX7P8SJXP&amp;reservation_id=31718150750411", "MX7P8SJXP")</f>
        <v>MX7P8SJXP</v>
      </c>
      <c r="B12346" t="s">
        <v>1819</v>
      </c>
      <c r="C12346">
        <v>199</v>
      </c>
      <c r="D12346">
        <v>216.32</v>
      </c>
      <c r="E12346">
        <v>216.31</v>
      </c>
      <c r="F12346">
        <v>0.01</v>
      </c>
    </row>
    <row r="12347" spans="1:6" x14ac:dyDescent="0.3">
      <c r="A12347" t="str">
        <f>HYPERLINK("https://us2.cloudbeds.com/connect/10074733072513#/reservations/31719837417676?display=MX92C3JM0&amp;reservation_id=31719837417676", "MX92C3JM0")</f>
        <v>MX92C3JM0</v>
      </c>
      <c r="B12347" t="s">
        <v>1879</v>
      </c>
      <c r="C12347">
        <v>149</v>
      </c>
      <c r="D12347">
        <v>161.97</v>
      </c>
      <c r="E12347">
        <v>161.96</v>
      </c>
      <c r="F12347">
        <v>0.01</v>
      </c>
    </row>
    <row r="12348" spans="1:6" x14ac:dyDescent="0.3">
      <c r="A12348" t="str">
        <f>HYPERLINK("https://us2.cloudbeds.com/connect/10074733072513#/reservations/31719610163336?display=MX8TXFTWS&amp;reservation_id=31719610163336", "MX8TXFTWS")</f>
        <v>MX8TXFTWS</v>
      </c>
      <c r="B12348" t="s">
        <v>1819</v>
      </c>
      <c r="C12348">
        <v>199</v>
      </c>
      <c r="D12348">
        <v>216.32</v>
      </c>
      <c r="E12348">
        <v>216.31</v>
      </c>
      <c r="F12348">
        <v>0.01</v>
      </c>
    </row>
    <row r="12349" spans="1:6" x14ac:dyDescent="0.3">
      <c r="A12349" t="str">
        <f>HYPERLINK("https://us2.cloudbeds.com/connect/10074733072513#/reservations/31722334683302?display=MXB05SMSV&amp;reservation_id=31722334683302", "MXB05SMSV")</f>
        <v>MXB05SMSV</v>
      </c>
      <c r="B12349" t="s">
        <v>1867</v>
      </c>
      <c r="C12349">
        <v>102.58</v>
      </c>
      <c r="D12349">
        <v>111.51</v>
      </c>
      <c r="E12349">
        <v>111.5</v>
      </c>
      <c r="F12349">
        <v>0.01</v>
      </c>
    </row>
    <row r="12350" spans="1:6" x14ac:dyDescent="0.3">
      <c r="A12350" t="str">
        <f>HYPERLINK("https://us2.cloudbeds.com/connect/10074733072513#/reservations/31716955603079?display=MX6RZ2S8V&amp;reservation_id=31716955603079", "MX6RZ2S8V")</f>
        <v>MX6RZ2S8V</v>
      </c>
      <c r="B12350" t="s">
        <v>1850</v>
      </c>
      <c r="C12350">
        <v>258</v>
      </c>
      <c r="D12350">
        <v>280.45999999999998</v>
      </c>
      <c r="E12350">
        <v>280.45</v>
      </c>
      <c r="F12350">
        <v>0.01</v>
      </c>
    </row>
    <row r="12351" spans="1:6" x14ac:dyDescent="0.3">
      <c r="A12351" t="str">
        <f>HYPERLINK("https://us2.cloudbeds.com/connect/10074733072513#/reservations/31717756813443?display=MX7F6MNKT&amp;reservation_id=31717756813443", "MX7F6MNKT")</f>
        <v>MX7F6MNKT</v>
      </c>
      <c r="B12351" t="s">
        <v>1881</v>
      </c>
      <c r="C12351">
        <v>119</v>
      </c>
      <c r="D12351">
        <v>129.36000000000001</v>
      </c>
      <c r="E12351">
        <v>129.35</v>
      </c>
      <c r="F12351">
        <v>0.01</v>
      </c>
    </row>
    <row r="12352" spans="1:6" x14ac:dyDescent="0.3">
      <c r="A12352" t="str">
        <f>HYPERLINK("https://us2.cloudbeds.com/connect/10074733072513#/reservations/31718126547079?display=MX7ZYF39F&amp;reservation_id=31718126547079", "MX7ZYF39F")</f>
        <v>MX7ZYF39F</v>
      </c>
      <c r="B12352" t="s">
        <v>1862</v>
      </c>
      <c r="C12352">
        <v>149</v>
      </c>
      <c r="D12352">
        <v>161.97</v>
      </c>
      <c r="E12352">
        <v>161.96</v>
      </c>
      <c r="F12352">
        <v>0.01</v>
      </c>
    </row>
    <row r="12353" spans="1:6" x14ac:dyDescent="0.3">
      <c r="A12353" t="str">
        <f>HYPERLINK("https://us2.cloudbeds.com/connect/10074733072513#/reservations/31714366414988?display=MX4RXQT2P&amp;reservation_id=31714366414988", "MX4RXQT2P")</f>
        <v>MX4RXQT2P</v>
      </c>
      <c r="B12353" t="s">
        <v>1731</v>
      </c>
      <c r="C12353">
        <v>159</v>
      </c>
      <c r="D12353">
        <v>172.84</v>
      </c>
      <c r="E12353">
        <v>172.83</v>
      </c>
      <c r="F12353">
        <v>0.01</v>
      </c>
    </row>
    <row r="12354" spans="1:6" x14ac:dyDescent="0.3">
      <c r="A12354" t="str">
        <f>HYPERLINK("https://us2.cloudbeds.com/connect/10074733072513#/reservations/31722399916253?display=MXB1RSTJ1&amp;reservation_id=31722399916253", "MXB1RSTJ1")</f>
        <v>MXB1RSTJ1</v>
      </c>
      <c r="B12354" t="s">
        <v>1864</v>
      </c>
      <c r="C12354">
        <v>238</v>
      </c>
      <c r="D12354">
        <v>258.72000000000003</v>
      </c>
      <c r="E12354">
        <v>258.70999999999998</v>
      </c>
      <c r="F12354">
        <v>0.01</v>
      </c>
    </row>
    <row r="12355" spans="1:6" x14ac:dyDescent="0.3">
      <c r="A12355" t="str">
        <f>HYPERLINK("https://us2.cloudbeds.com/connect/10074733072513#/reservations/31720385138833?display=MX9GBVZXR&amp;reservation_id=31720385138833", "MX9GBVZXR")</f>
        <v>MX9GBVZXR</v>
      </c>
      <c r="B12355" t="s">
        <v>1773</v>
      </c>
      <c r="C12355">
        <v>159</v>
      </c>
      <c r="D12355">
        <v>172.84</v>
      </c>
      <c r="E12355">
        <v>172.83</v>
      </c>
      <c r="F12355">
        <v>0.01</v>
      </c>
    </row>
    <row r="12356" spans="1:6" x14ac:dyDescent="0.3">
      <c r="A12356" t="str">
        <f>HYPERLINK("https://us2.cloudbeds.com/connect/10074733072513#/reservations/31721771896983?display=MXAXQAB12&amp;reservation_id=31721771896983", "MXAXQAB12")</f>
        <v>MXAXQAB12</v>
      </c>
      <c r="B12356" t="s">
        <v>1866</v>
      </c>
      <c r="C12356">
        <v>109</v>
      </c>
      <c r="D12356">
        <v>118.49</v>
      </c>
      <c r="E12356">
        <v>118.48</v>
      </c>
      <c r="F12356">
        <v>0.01</v>
      </c>
    </row>
    <row r="12357" spans="1:6" x14ac:dyDescent="0.3">
      <c r="A12357" t="str">
        <f>HYPERLINK("https://us2.cloudbeds.com/connect/10074733072513#/reservations/31718328291530?display=MX7TQXUTM&amp;reservation_id=31718328291530", "MX7TQXUTM")</f>
        <v>MX7TQXUTM</v>
      </c>
      <c r="B12357" t="s">
        <v>1865</v>
      </c>
      <c r="C12357">
        <v>139</v>
      </c>
      <c r="D12357">
        <v>151.1</v>
      </c>
      <c r="E12357">
        <v>151.09</v>
      </c>
      <c r="F12357">
        <v>0.01</v>
      </c>
    </row>
    <row r="12358" spans="1:6" x14ac:dyDescent="0.3">
      <c r="A12358" t="str">
        <f>HYPERLINK("https://us2.cloudbeds.com/connect/10074733072513#/reservations/31716344271060?display=MX6C3JY68&amp;reservation_id=31716344271060", "MX6C3JY68")</f>
        <v>MX6C3JY68</v>
      </c>
      <c r="B12358" t="s">
        <v>1882</v>
      </c>
      <c r="C12358">
        <v>681.3</v>
      </c>
      <c r="D12358">
        <v>740.58</v>
      </c>
      <c r="E12358">
        <v>740.57</v>
      </c>
      <c r="F12358">
        <v>0.01</v>
      </c>
    </row>
    <row r="12359" spans="1:6" x14ac:dyDescent="0.3">
      <c r="A12359" t="str">
        <f>HYPERLINK("https://us2.cloudbeds.com/connect/10074733072513#/reservations/31716918685915?display=MX6QPVJ70&amp;reservation_id=31716918685915", "MX6QPVJ70")</f>
        <v>MX6QPVJ70</v>
      </c>
      <c r="B12359" t="s">
        <v>1877</v>
      </c>
      <c r="C12359">
        <v>205.2</v>
      </c>
      <c r="D12359">
        <v>223.06</v>
      </c>
      <c r="E12359">
        <v>223.05</v>
      </c>
      <c r="F12359">
        <v>0.01</v>
      </c>
    </row>
    <row r="12360" spans="1:6" x14ac:dyDescent="0.3">
      <c r="A12360" t="str">
        <f>HYPERLINK("https://us2.cloudbeds.com/connect/10074733072513#/reservations/31718202851461?display=MX7QJQCJF&amp;reservation_id=31718202851461", "MX7QJQCJF")</f>
        <v>MX7QJQCJF</v>
      </c>
      <c r="B12360" t="s">
        <v>1883</v>
      </c>
      <c r="C12360">
        <v>321.3</v>
      </c>
      <c r="D12360">
        <v>349.26</v>
      </c>
      <c r="E12360">
        <v>349.25</v>
      </c>
      <c r="F12360">
        <v>0.01</v>
      </c>
    </row>
    <row r="12361" spans="1:6" x14ac:dyDescent="0.3">
      <c r="A12361" t="str">
        <f>HYPERLINK("https://us2.cloudbeds.com/connect/10074733072513#/reservations/31720826695825?display=MX9RY9NNZ&amp;reservation_id=31720826695825", "MX9RY9NNZ")</f>
        <v>MX9RY9NNZ</v>
      </c>
      <c r="B12361" t="s">
        <v>1729</v>
      </c>
      <c r="C12361">
        <v>278</v>
      </c>
      <c r="D12361">
        <v>302.2</v>
      </c>
      <c r="E12361">
        <v>302.19</v>
      </c>
      <c r="F12361">
        <v>0.01</v>
      </c>
    </row>
    <row r="12362" spans="1:6" x14ac:dyDescent="0.3">
      <c r="A12362" t="str">
        <f>HYPERLINK("https://us2.cloudbeds.com/connect/10074733072513#/reservations/31717552869513?display=MX79WNM9Q&amp;reservation_id=31717552869513", "MX79WNM9Q")</f>
        <v>MX79WNM9Q</v>
      </c>
      <c r="B12362" t="s">
        <v>1768</v>
      </c>
      <c r="C12362">
        <v>398</v>
      </c>
      <c r="D12362">
        <v>432.64</v>
      </c>
      <c r="E12362">
        <v>432.63</v>
      </c>
      <c r="F12362">
        <v>0.01</v>
      </c>
    </row>
    <row r="12363" spans="1:6" x14ac:dyDescent="0.3">
      <c r="A12363" t="str">
        <f>HYPERLINK("https://us2.cloudbeds.com/connect/10074733072513#/reservations/31720772042903?display=MX9Q86UCJ&amp;reservation_id=31720772042903", "MX9Q86UCJ")</f>
        <v>MX9Q86UCJ</v>
      </c>
      <c r="B12363" t="s">
        <v>1872</v>
      </c>
      <c r="C12363">
        <v>73</v>
      </c>
      <c r="D12363">
        <v>79.36</v>
      </c>
      <c r="E12363">
        <v>79.349999999999994</v>
      </c>
      <c r="F12363">
        <v>0.01</v>
      </c>
    </row>
    <row r="12364" spans="1:6" x14ac:dyDescent="0.3">
      <c r="A12364" t="str">
        <f>HYPERLINK("https://us2.cloudbeds.com/connect/10074733072513#/reservations/31719242735822?display=MX8K5YMWP&amp;reservation_id=31719242735822", "MX8K5YMWP")</f>
        <v>MX8K5YMWP</v>
      </c>
      <c r="B12364" t="s">
        <v>1884</v>
      </c>
      <c r="C12364">
        <v>321.76</v>
      </c>
      <c r="D12364">
        <v>349.76</v>
      </c>
      <c r="E12364">
        <v>349.75</v>
      </c>
      <c r="F12364">
        <v>0.01</v>
      </c>
    </row>
    <row r="12365" spans="1:6" x14ac:dyDescent="0.3">
      <c r="A12365" t="str">
        <f>HYPERLINK("https://us2.cloudbeds.com/connect/10074733072513#/reservations/31712769749234?display=MX3JPFA01&amp;reservation_id=31712769749234", "MX3JPFA01")</f>
        <v>MX3JPFA01</v>
      </c>
      <c r="B12365" t="s">
        <v>1853</v>
      </c>
      <c r="C12365">
        <v>298</v>
      </c>
      <c r="D12365">
        <v>323.94</v>
      </c>
      <c r="E12365">
        <v>323.93</v>
      </c>
      <c r="F12365">
        <v>0.01</v>
      </c>
    </row>
    <row r="12366" spans="1:6" x14ac:dyDescent="0.3">
      <c r="A12366" t="str">
        <f>HYPERLINK("https://us2.cloudbeds.com/connect/10074733072513#/reservations/31722391089288?display=MXB1KE908&amp;reservation_id=31722391089288", "MXB1KE908")</f>
        <v>MXB1KE908</v>
      </c>
      <c r="B12366" t="s">
        <v>1864</v>
      </c>
      <c r="C12366">
        <v>109</v>
      </c>
      <c r="D12366">
        <v>118.49</v>
      </c>
      <c r="E12366">
        <v>118.48</v>
      </c>
      <c r="F12366">
        <v>0.01</v>
      </c>
    </row>
    <row r="12367" spans="1:6" x14ac:dyDescent="0.3">
      <c r="A12367" t="str">
        <f>HYPERLINK("https://us2.cloudbeds.com/connect/10074733072513#/reservations/31720500613329?display=MX9JAAWZW&amp;reservation_id=31720500613329", "MX9JAAWZW")</f>
        <v>MX9JAAWZW</v>
      </c>
      <c r="B12367" t="s">
        <v>1872</v>
      </c>
      <c r="C12367">
        <v>109</v>
      </c>
      <c r="D12367">
        <v>118.49</v>
      </c>
      <c r="E12367">
        <v>118.48</v>
      </c>
      <c r="F12367">
        <v>0.01</v>
      </c>
    </row>
    <row r="12368" spans="1:6" x14ac:dyDescent="0.3">
      <c r="A12368" t="str">
        <f>HYPERLINK("https://us2.cloudbeds.com/connect/10074733072513#/reservations/31721790062791?display=MXAJ8KR73&amp;reservation_id=31721790062791", "MXAJ8KR73")</f>
        <v>MXAJ8KR73</v>
      </c>
      <c r="B12368" t="s">
        <v>1866</v>
      </c>
      <c r="C12368">
        <v>109</v>
      </c>
      <c r="D12368">
        <v>118.49</v>
      </c>
      <c r="E12368">
        <v>118.48</v>
      </c>
      <c r="F12368">
        <v>0.01</v>
      </c>
    </row>
    <row r="12369" spans="1:6" x14ac:dyDescent="0.3">
      <c r="A12369" t="str">
        <f>HYPERLINK("https://us2.cloudbeds.com/connect/10074733072513#/reservations/31720484552931?display=MX9XTQ2U8&amp;reservation_id=31720484552931", "MX9XTQ2U8")</f>
        <v>MX9XTQ2U8</v>
      </c>
      <c r="B12369" t="s">
        <v>1864</v>
      </c>
      <c r="C12369">
        <v>73</v>
      </c>
      <c r="D12369">
        <v>79.36</v>
      </c>
      <c r="E12369">
        <v>79.349999999999994</v>
      </c>
      <c r="F12369">
        <v>0.01</v>
      </c>
    </row>
    <row r="12370" spans="1:6" x14ac:dyDescent="0.3">
      <c r="A12370" t="str">
        <f>HYPERLINK("https://us2.cloudbeds.com/connect/10074733072513#/reservations/31720450085114?display=MX9X0NW0V&amp;reservation_id=31720450085114", "MX9X0NW0V")</f>
        <v>MX9X0NW0V</v>
      </c>
      <c r="B12370" t="s">
        <v>1773</v>
      </c>
      <c r="C12370">
        <v>318</v>
      </c>
      <c r="D12370">
        <v>345.68</v>
      </c>
      <c r="E12370">
        <v>345.67</v>
      </c>
      <c r="F12370">
        <v>0.01</v>
      </c>
    </row>
    <row r="12371" spans="1:6" x14ac:dyDescent="0.3">
      <c r="A12371" t="str">
        <f>HYPERLINK("https://us2.cloudbeds.com/connect/10074733072513#/reservations/31721106313442?display=MXA1Q2G6S&amp;reservation_id=31721106313442", "MXA1Q2G6S")</f>
        <v>MXA1Q2G6S</v>
      </c>
      <c r="B12371" t="s">
        <v>1864</v>
      </c>
      <c r="C12371">
        <v>102.58</v>
      </c>
      <c r="D12371">
        <v>111.51</v>
      </c>
      <c r="E12371">
        <v>111.5</v>
      </c>
      <c r="F12371">
        <v>0.01</v>
      </c>
    </row>
    <row r="12372" spans="1:6" x14ac:dyDescent="0.3">
      <c r="A12372" t="str">
        <f>HYPERLINK("https://us2.cloudbeds.com/connect/10074733072513#/reservations/31720468938931?display=MX9XGKJWZ&amp;reservation_id=31720468938931", "MX9XGKJWZ")</f>
        <v>MX9XGKJWZ</v>
      </c>
      <c r="B12372" t="s">
        <v>1864</v>
      </c>
      <c r="C12372">
        <v>73</v>
      </c>
      <c r="D12372">
        <v>79.36</v>
      </c>
      <c r="E12372">
        <v>79.349999999999994</v>
      </c>
      <c r="F12372">
        <v>0.01</v>
      </c>
    </row>
    <row r="12373" spans="1:6" x14ac:dyDescent="0.3">
      <c r="A12373" t="str">
        <f>HYPERLINK("https://us2.cloudbeds.com/connect/10074733072513#/reservations/31721205117086?display=MXA4ACRWM&amp;reservation_id=31721205117086", "MXA4ACRWM")</f>
        <v>MXA4ACRWM</v>
      </c>
      <c r="B12373" t="s">
        <v>1851</v>
      </c>
      <c r="C12373">
        <v>218</v>
      </c>
      <c r="D12373">
        <v>236.98</v>
      </c>
      <c r="E12373">
        <v>236.97</v>
      </c>
      <c r="F12373">
        <v>0.01</v>
      </c>
    </row>
    <row r="12374" spans="1:6" x14ac:dyDescent="0.3">
      <c r="A12374" t="str">
        <f>HYPERLINK("https://us2.cloudbeds.com/connect/10074733072513#/reservations/31721065332908?display=MXA0ZH4SG&amp;reservation_id=31721065332908", "MXA0ZH4SG")</f>
        <v>MXA0ZH4SG</v>
      </c>
      <c r="B12374" t="s">
        <v>1864</v>
      </c>
      <c r="C12374">
        <v>139</v>
      </c>
      <c r="D12374">
        <v>151.1</v>
      </c>
      <c r="E12374">
        <v>151.09</v>
      </c>
      <c r="F12374">
        <v>0.01</v>
      </c>
    </row>
    <row r="12375" spans="1:6" x14ac:dyDescent="0.3">
      <c r="A12375" t="str">
        <f>HYPERLINK("https://us2.cloudbeds.com/connect/10074733072513#/reservations/31720139063524?display=MX9A2FB39&amp;reservation_id=31720139063524", "MX9A2FB39")</f>
        <v>MX9A2FB39</v>
      </c>
      <c r="B12375" t="s">
        <v>1867</v>
      </c>
      <c r="C12375">
        <v>109</v>
      </c>
      <c r="D12375">
        <v>118.49</v>
      </c>
      <c r="E12375">
        <v>118.48</v>
      </c>
      <c r="F12375">
        <v>0.01</v>
      </c>
    </row>
    <row r="12376" spans="1:6" x14ac:dyDescent="0.3">
      <c r="A12376" t="str">
        <f>HYPERLINK("https://us2.cloudbeds.com/connect/10074733072513#/reservations/31715904995482?display=MX60T6503&amp;reservation_id=31715904995482", "MX60T6503")</f>
        <v>MX60T6503</v>
      </c>
      <c r="B12376" t="s">
        <v>1760</v>
      </c>
      <c r="C12376">
        <v>130.38</v>
      </c>
      <c r="D12376">
        <v>141.72999999999999</v>
      </c>
      <c r="E12376">
        <v>141.72</v>
      </c>
      <c r="F12376">
        <v>0.01</v>
      </c>
    </row>
    <row r="12377" spans="1:6" x14ac:dyDescent="0.3">
      <c r="A12377" t="str">
        <f>HYPERLINK("https://us2.cloudbeds.com/connect/10074733072513#/reservations/31721726996706?display=MXAHYEU9H&amp;reservation_id=31721726996706", "MXAHYEU9H")</f>
        <v>MXAHYEU9H</v>
      </c>
      <c r="B12377" t="s">
        <v>1866</v>
      </c>
      <c r="C12377">
        <v>278</v>
      </c>
      <c r="D12377">
        <v>302.2</v>
      </c>
      <c r="E12377">
        <v>302.19</v>
      </c>
      <c r="F12377">
        <v>0.01</v>
      </c>
    </row>
    <row r="12378" spans="1:6" x14ac:dyDescent="0.3">
      <c r="A12378" t="str">
        <f>HYPERLINK("https://us2.cloudbeds.com/connect/10074733072513#/reservations/31721118114002?display=MXA230SBJ&amp;reservation_id=31721118114002", "MXA230SBJ")</f>
        <v>MXA230SBJ</v>
      </c>
      <c r="B12378" t="s">
        <v>1851</v>
      </c>
      <c r="C12378">
        <v>252</v>
      </c>
      <c r="D12378">
        <v>273.93</v>
      </c>
      <c r="E12378">
        <v>273.92</v>
      </c>
      <c r="F12378">
        <v>0.01</v>
      </c>
    </row>
    <row r="12379" spans="1:6" x14ac:dyDescent="0.3">
      <c r="A12379" t="str">
        <f>HYPERLINK("https://us2.cloudbeds.com/connect/10074733072513#/reservations/31721656901832?display=MXAFSBE0H&amp;reservation_id=31721656901832", "MXAFSBE0H")</f>
        <v>MXAFSBE0H</v>
      </c>
      <c r="B12379" t="s">
        <v>1866</v>
      </c>
      <c r="C12379">
        <v>119</v>
      </c>
      <c r="D12379">
        <v>129.36000000000001</v>
      </c>
      <c r="E12379">
        <v>129.35</v>
      </c>
      <c r="F12379">
        <v>0.01</v>
      </c>
    </row>
    <row r="12380" spans="1:6" x14ac:dyDescent="0.3">
      <c r="A12380" t="str">
        <f>HYPERLINK("https://us2.cloudbeds.com/connect/10074733072513#/reservations/31703008850156?display=MHT1BQTKG&amp;reservation_id=31703008850156", "MHT1BQTKG")</f>
        <v>MHT1BQTKG</v>
      </c>
      <c r="B12380" t="s">
        <v>1886</v>
      </c>
      <c r="C12380">
        <v>318</v>
      </c>
      <c r="D12380">
        <v>345.68</v>
      </c>
      <c r="E12380">
        <v>345.67</v>
      </c>
      <c r="F12380">
        <v>0.01</v>
      </c>
    </row>
    <row r="12381" spans="1:6" x14ac:dyDescent="0.3">
      <c r="A12381" t="str">
        <f>HYPERLINK("https://us2.cloudbeds.com/connect/10074733072513#/reservations/31720119685276?display=MX99J43XY&amp;reservation_id=31720119685276", "MX99J43XY")</f>
        <v>MX99J43XY</v>
      </c>
      <c r="B12381" t="s">
        <v>1867</v>
      </c>
      <c r="C12381">
        <v>89</v>
      </c>
      <c r="D12381">
        <v>96.75</v>
      </c>
      <c r="E12381">
        <v>96.74</v>
      </c>
      <c r="F12381">
        <v>0.01</v>
      </c>
    </row>
    <row r="12382" spans="1:6" x14ac:dyDescent="0.3">
      <c r="A12382" t="str">
        <f>HYPERLINK("https://us2.cloudbeds.com/connect/10074733072513#/reservations/31701668110545?display=MHS038RPE&amp;reservation_id=31701668110545", "MHS038RPE")</f>
        <v>MHS038RPE</v>
      </c>
      <c r="B12382" t="s">
        <v>1886</v>
      </c>
      <c r="C12382">
        <v>159</v>
      </c>
      <c r="D12382">
        <v>172.84</v>
      </c>
      <c r="E12382">
        <v>172.83</v>
      </c>
      <c r="F12382">
        <v>0.01</v>
      </c>
    </row>
    <row r="12383" spans="1:6" x14ac:dyDescent="0.3">
      <c r="A12383" t="str">
        <f>HYPERLINK("https://us2.cloudbeds.com/connect/10074733072513#/reservations/31719896875204?display=MX93T82V9&amp;reservation_id=31719896875204", "MX93T82V9")</f>
        <v>MX93T82V9</v>
      </c>
      <c r="B12383" t="s">
        <v>1866</v>
      </c>
      <c r="C12383">
        <v>87.82</v>
      </c>
      <c r="D12383">
        <v>95.47</v>
      </c>
      <c r="E12383">
        <v>95.46</v>
      </c>
      <c r="F12383">
        <v>0.01</v>
      </c>
    </row>
    <row r="12384" spans="1:6" x14ac:dyDescent="0.3">
      <c r="A12384" t="str">
        <f>HYPERLINK("https://us2.cloudbeds.com/connect/10074733072513#/reservations/31721142296733?display=MXA2NDPNK&amp;reservation_id=31721142296733", "MXA2NDPNK")</f>
        <v>MXA2NDPNK</v>
      </c>
      <c r="B12384" t="s">
        <v>1851</v>
      </c>
      <c r="C12384">
        <v>169</v>
      </c>
      <c r="D12384">
        <v>183.71</v>
      </c>
      <c r="E12384">
        <v>183.7</v>
      </c>
      <c r="F12384">
        <v>0.01</v>
      </c>
    </row>
    <row r="12385" spans="1:6" x14ac:dyDescent="0.3">
      <c r="A12385" t="str">
        <f>HYPERLINK("https://us2.cloudbeds.com/connect/10074733072513#/reservations/31718610817254?display=MX840QKR8&amp;reservation_id=31718610817254", "MX840QKR8")</f>
        <v>MX840QKR8</v>
      </c>
      <c r="B12385" t="s">
        <v>1871</v>
      </c>
      <c r="C12385">
        <v>109</v>
      </c>
      <c r="D12385">
        <v>118.49</v>
      </c>
      <c r="E12385">
        <v>118.48</v>
      </c>
      <c r="F12385">
        <v>0.01</v>
      </c>
    </row>
    <row r="12386" spans="1:6" x14ac:dyDescent="0.3">
      <c r="A12386" t="str">
        <f>HYPERLINK("https://us2.cloudbeds.com/connect/10074733072513#/reservations/31720352809098?display=MX9FHN40T&amp;reservation_id=31720352809098", "MX9FHN40T")</f>
        <v>MX9FHN40T</v>
      </c>
      <c r="B12386" t="s">
        <v>1773</v>
      </c>
      <c r="C12386">
        <v>189</v>
      </c>
      <c r="D12386">
        <v>205.45</v>
      </c>
      <c r="E12386">
        <v>205.44</v>
      </c>
      <c r="F12386">
        <v>0.01</v>
      </c>
    </row>
    <row r="12387" spans="1:6" x14ac:dyDescent="0.3">
      <c r="A12387" t="str">
        <f>HYPERLINK("https://us2.cloudbeds.com/connect/10074733072513#/reservations/31717148864662?display=MX6WM1Y9X&amp;reservation_id=31717148864662", "MX6WM1Y9X")</f>
        <v>MX6WM1Y9X</v>
      </c>
      <c r="B12387" t="s">
        <v>1865</v>
      </c>
      <c r="C12387">
        <v>89</v>
      </c>
      <c r="D12387">
        <v>96.75</v>
      </c>
      <c r="E12387">
        <v>96.74</v>
      </c>
      <c r="F12387">
        <v>0.01</v>
      </c>
    </row>
    <row r="12388" spans="1:6" x14ac:dyDescent="0.3">
      <c r="A12388" t="str">
        <f>HYPERLINK("https://us2.cloudbeds.com/connect/10074733072513#/reservations/31722024653012?display=MXAP8EY7M&amp;reservation_id=31722024653012", "MXAP8EY7M")</f>
        <v>MXAP8EY7M</v>
      </c>
      <c r="B12388" t="s">
        <v>1773</v>
      </c>
      <c r="C12388">
        <v>159</v>
      </c>
      <c r="D12388">
        <v>172.84</v>
      </c>
      <c r="E12388">
        <v>172.83</v>
      </c>
      <c r="F12388">
        <v>0.01</v>
      </c>
    </row>
    <row r="12389" spans="1:6" x14ac:dyDescent="0.3">
      <c r="A12389" t="str">
        <f>HYPERLINK("https://us2.cloudbeds.com/connect/10074733072513#/reservations/31720888139926?display=MX9T73G76&amp;reservation_id=31720888139926", "MX9T73G76")</f>
        <v>MX9T73G76</v>
      </c>
      <c r="B12389" t="s">
        <v>1840</v>
      </c>
      <c r="C12389">
        <v>159</v>
      </c>
      <c r="D12389">
        <v>172.84</v>
      </c>
      <c r="E12389">
        <v>172.83</v>
      </c>
      <c r="F12389">
        <v>0.01</v>
      </c>
    </row>
    <row r="12390" spans="1:6" x14ac:dyDescent="0.3">
      <c r="A12390" t="str">
        <f>HYPERLINK("https://us2.cloudbeds.com/connect/10074733072513#/reservations/31719484596417?display=MX8QBJR6N&amp;reservation_id=31719484596417", "MX8QBJR6N")</f>
        <v>MX8QBJR6N</v>
      </c>
      <c r="B12390" t="s">
        <v>1859</v>
      </c>
      <c r="C12390">
        <v>496</v>
      </c>
      <c r="D12390">
        <v>539.16</v>
      </c>
      <c r="E12390">
        <v>539.15</v>
      </c>
      <c r="F12390">
        <v>0.01</v>
      </c>
    </row>
    <row r="12391" spans="1:6" x14ac:dyDescent="0.3">
      <c r="A12391" t="str">
        <f>HYPERLINK("https://us2.cloudbeds.com/connect/10074733072513#/reservations/31721935618193?display=MXAMWC3TS&amp;reservation_id=31721935618193", "MXAMWC3TS")</f>
        <v>MXAMWC3TS</v>
      </c>
      <c r="B12391" t="s">
        <v>1773</v>
      </c>
      <c r="C12391">
        <v>159</v>
      </c>
      <c r="D12391">
        <v>172.84</v>
      </c>
      <c r="E12391">
        <v>172.83</v>
      </c>
      <c r="F12391">
        <v>0.01</v>
      </c>
    </row>
    <row r="12392" spans="1:6" x14ac:dyDescent="0.3">
      <c r="A12392" t="str">
        <f>HYPERLINK("https://us2.cloudbeds.com/connect/10074733072513#/reservations/31713124561100?display=MX3SRYFCP&amp;reservation_id=31713124561100", "MX3SRYFCP")</f>
        <v>MX3SRYFCP</v>
      </c>
      <c r="B12392" t="s">
        <v>1661</v>
      </c>
      <c r="C12392">
        <v>318</v>
      </c>
      <c r="D12392">
        <v>345.68</v>
      </c>
      <c r="E12392">
        <v>345.67</v>
      </c>
      <c r="F12392">
        <v>0.01</v>
      </c>
    </row>
    <row r="12393" spans="1:6" x14ac:dyDescent="0.3">
      <c r="A12393" t="str">
        <f>HYPERLINK("https://us2.cloudbeds.com/connect/10074733072513#/reservations/31718326210689?display=MX7TZR13T&amp;reservation_id=31718326210689", "MX7TZR13T")</f>
        <v>MX7TZR13T</v>
      </c>
      <c r="B12393" t="s">
        <v>1865</v>
      </c>
      <c r="C12393">
        <v>218</v>
      </c>
      <c r="D12393">
        <v>236.98</v>
      </c>
      <c r="E12393">
        <v>236.97</v>
      </c>
      <c r="F12393">
        <v>0.01</v>
      </c>
    </row>
    <row r="12394" spans="1:6" x14ac:dyDescent="0.3">
      <c r="A12394" t="str">
        <f>HYPERLINK("https://us2.cloudbeds.com/connect/10074733072513#/reservations/31716784369814?display=MX6NBN194&amp;reservation_id=31716784369814", "MX6NBN194")</f>
        <v>MX6NBN194</v>
      </c>
      <c r="B12394" t="s">
        <v>1743</v>
      </c>
      <c r="C12394">
        <v>169</v>
      </c>
      <c r="D12394">
        <v>183.71</v>
      </c>
      <c r="E12394">
        <v>183.7</v>
      </c>
      <c r="F12394">
        <v>0.01</v>
      </c>
    </row>
    <row r="12395" spans="1:6" x14ac:dyDescent="0.3">
      <c r="A12395" t="str">
        <f>HYPERLINK("https://us2.cloudbeds.com/connect/10074733072513#/reservations/31713955762407?display=MX4H2HSY5&amp;reservation_id=31713955762407", "MX4H2HSY5")</f>
        <v>MX4H2HSY5</v>
      </c>
      <c r="B12395" t="s">
        <v>1731</v>
      </c>
      <c r="C12395">
        <v>318</v>
      </c>
      <c r="D12395">
        <v>345.68</v>
      </c>
      <c r="E12395">
        <v>345.67</v>
      </c>
      <c r="F12395">
        <v>0.01</v>
      </c>
    </row>
    <row r="12396" spans="1:6" x14ac:dyDescent="0.3">
      <c r="A12396" t="str">
        <f>HYPERLINK("https://us2.cloudbeds.com/connect/10074733072513#/reservations/31717178925219?display=MX70ED43H&amp;reservation_id=31717178925219", "MX70ED43H")</f>
        <v>MX70ED43H</v>
      </c>
      <c r="B12396" t="s">
        <v>1865</v>
      </c>
      <c r="C12396">
        <v>109</v>
      </c>
      <c r="D12396">
        <v>118.49</v>
      </c>
      <c r="E12396">
        <v>118.48</v>
      </c>
      <c r="F12396">
        <v>0.01</v>
      </c>
    </row>
    <row r="12397" spans="1:6" x14ac:dyDescent="0.3">
      <c r="A12397" t="str">
        <f>HYPERLINK("https://us2.cloudbeds.com/connect/10074733072513#/reservations/31719086178467?display=MX8G5Y8GG&amp;reservation_id=31719086178467", "MX8G5Y8GG")</f>
        <v>MX8G5Y8GG</v>
      </c>
      <c r="B12397" t="s">
        <v>1888</v>
      </c>
      <c r="C12397">
        <v>218</v>
      </c>
      <c r="D12397">
        <v>236.98</v>
      </c>
      <c r="E12397">
        <v>236.97</v>
      </c>
      <c r="F12397">
        <v>0.01</v>
      </c>
    </row>
    <row r="12398" spans="1:6" x14ac:dyDescent="0.3">
      <c r="A12398" t="str">
        <f>HYPERLINK("https://us2.cloudbeds.com/connect/10074733072513#/reservations/31715543908524?display=MX5ZYNCC2&amp;reservation_id=31715543908524", "MX5ZYNCC2")</f>
        <v>MX5ZYNCC2</v>
      </c>
      <c r="B12398" t="s">
        <v>1729</v>
      </c>
      <c r="C12398">
        <v>398</v>
      </c>
      <c r="D12398">
        <v>432.64</v>
      </c>
      <c r="E12398">
        <v>432.63</v>
      </c>
      <c r="F12398">
        <v>0.01</v>
      </c>
    </row>
    <row r="12399" spans="1:6" x14ac:dyDescent="0.3">
      <c r="A12399" t="str">
        <f>HYPERLINK("https://us2.cloudbeds.com/connect/10074733072513#/reservations/31718621241542?display=MX849JJEB&amp;reservation_id=31718621241542", "MX849JJEB")</f>
        <v>MX849JJEB</v>
      </c>
      <c r="B12399" t="s">
        <v>1871</v>
      </c>
      <c r="C12399">
        <v>109</v>
      </c>
      <c r="D12399">
        <v>118.49</v>
      </c>
      <c r="E12399">
        <v>118.48</v>
      </c>
      <c r="F12399">
        <v>0.01</v>
      </c>
    </row>
    <row r="12400" spans="1:6" x14ac:dyDescent="0.3">
      <c r="A12400" t="str">
        <f>HYPERLINK("https://us2.cloudbeds.com/connect/10074733072513#/reservations/31721285451936?display=MXA6C49C2&amp;reservation_id=31721285451936", "MXA6C49C2")</f>
        <v>MXA6C49C2</v>
      </c>
      <c r="B12400" t="s">
        <v>1840</v>
      </c>
      <c r="C12400">
        <v>278</v>
      </c>
      <c r="D12400">
        <v>302.2</v>
      </c>
      <c r="E12400">
        <v>302.19</v>
      </c>
      <c r="F12400">
        <v>0.01</v>
      </c>
    </row>
    <row r="12401" spans="1:6" x14ac:dyDescent="0.3">
      <c r="A12401" t="str">
        <f>HYPERLINK("https://us2.cloudbeds.com/connect/10074733072513#/reservations/31722998866062?display=MXBH4UXD8&amp;reservation_id=31722998866062", "MXBH4UXD8")</f>
        <v>MXBH4UXD8</v>
      </c>
      <c r="B12401" t="s">
        <v>1885</v>
      </c>
      <c r="C12401">
        <v>198</v>
      </c>
      <c r="D12401">
        <v>215.24</v>
      </c>
      <c r="E12401">
        <v>215.23</v>
      </c>
      <c r="F12401">
        <v>0.01</v>
      </c>
    </row>
    <row r="12402" spans="1:6" x14ac:dyDescent="0.3">
      <c r="A12402" t="str">
        <f>HYPERLINK("https://us2.cloudbeds.com/connect/10074733072513#/reservations/31720953290898?display=MX9UT1DY2&amp;reservation_id=31720953290898", "MX9UT1DY2")</f>
        <v>MX9UT1DY2</v>
      </c>
      <c r="B12402" t="s">
        <v>1859</v>
      </c>
      <c r="C12402">
        <v>97.74</v>
      </c>
      <c r="D12402">
        <v>106.25</v>
      </c>
      <c r="E12402">
        <v>106.24</v>
      </c>
      <c r="F12402">
        <v>0.01</v>
      </c>
    </row>
    <row r="12403" spans="1:6" x14ac:dyDescent="0.3">
      <c r="A12403" t="str">
        <f>HYPERLINK("https://us2.cloudbeds.com/connect/10074733072513#/reservations/31718599434449?display=MX83Z6T9P&amp;reservation_id=31718599434449", "MX83Z6T9P")</f>
        <v>MX83Z6T9P</v>
      </c>
      <c r="B12403" t="s">
        <v>1871</v>
      </c>
      <c r="C12403">
        <v>139</v>
      </c>
      <c r="D12403">
        <v>151.1</v>
      </c>
      <c r="E12403">
        <v>151.09</v>
      </c>
      <c r="F12403">
        <v>0.01</v>
      </c>
    </row>
    <row r="12404" spans="1:6" x14ac:dyDescent="0.3">
      <c r="A12404" t="str">
        <f>HYPERLINK("https://us2.cloudbeds.com/connect/10074733072513#/reservations/31718619222144?display=MX847TD3N&amp;reservation_id=31718619222144", "MX847TD3N")</f>
        <v>MX847TD3N</v>
      </c>
      <c r="B12404" t="s">
        <v>1871</v>
      </c>
      <c r="C12404">
        <v>109</v>
      </c>
      <c r="D12404">
        <v>118.49</v>
      </c>
      <c r="E12404">
        <v>118.48</v>
      </c>
      <c r="F12404">
        <v>0.01</v>
      </c>
    </row>
    <row r="12405" spans="1:6" x14ac:dyDescent="0.3">
      <c r="A12405" t="str">
        <f>HYPERLINK("https://us2.cloudbeds.com/connect/10074733072513#/reservations/31715984973995?display=MX62UKM5D&amp;reservation_id=31715984973995", "MX62UKM5D")</f>
        <v>MX62UKM5D</v>
      </c>
      <c r="B12405" t="s">
        <v>1760</v>
      </c>
      <c r="C12405">
        <v>149</v>
      </c>
      <c r="D12405">
        <v>161.97</v>
      </c>
      <c r="E12405">
        <v>161.96</v>
      </c>
      <c r="F12405">
        <v>0.01</v>
      </c>
    </row>
    <row r="12406" spans="1:6" x14ac:dyDescent="0.3">
      <c r="A12406" t="str">
        <f>HYPERLINK("https://us2.cloudbeds.com/connect/10074733072513#/reservations/31718349050057?display=MX7UB2XTV&amp;reservation_id=31718349050057", "MX7UB2XTV")</f>
        <v>MX7UB2XTV</v>
      </c>
      <c r="B12406" t="s">
        <v>1865</v>
      </c>
      <c r="C12406">
        <v>73</v>
      </c>
      <c r="D12406">
        <v>79.36</v>
      </c>
      <c r="E12406">
        <v>79.349999999999994</v>
      </c>
      <c r="F12406">
        <v>0.01</v>
      </c>
    </row>
    <row r="12407" spans="1:6" x14ac:dyDescent="0.3">
      <c r="A12407" t="str">
        <f>HYPERLINK("https://us2.cloudbeds.com/connect/10074733072513#/reservations/31717890199785?display=MX7XK5CQ8&amp;reservation_id=31717890199785", "MX7XK5CQ8")</f>
        <v>MX7XK5CQ8</v>
      </c>
      <c r="B12407" t="s">
        <v>1760</v>
      </c>
      <c r="C12407">
        <v>149</v>
      </c>
      <c r="D12407">
        <v>161.97</v>
      </c>
      <c r="E12407">
        <v>161.96</v>
      </c>
      <c r="F12407">
        <v>0.01</v>
      </c>
    </row>
    <row r="12408" spans="1:6" x14ac:dyDescent="0.3">
      <c r="A12408" t="str">
        <f>HYPERLINK("https://us2.cloudbeds.com/connect/10074733072513#/reservations/31716412678365?display=MX6DS95QT&amp;reservation_id=31716412678365", "MX6DS95QT")</f>
        <v>MX6DS95QT</v>
      </c>
      <c r="B12408" t="s">
        <v>1862</v>
      </c>
      <c r="C12408">
        <v>278</v>
      </c>
      <c r="D12408">
        <v>302.2</v>
      </c>
      <c r="E12408">
        <v>302.19</v>
      </c>
      <c r="F12408">
        <v>0.01</v>
      </c>
    </row>
    <row r="12409" spans="1:6" x14ac:dyDescent="0.3">
      <c r="A12409" t="str">
        <f>HYPERLINK("https://us2.cloudbeds.com/connect/10074733072513#/reservations/31713272828129?display=MX3WKM72P&amp;reservation_id=31713272828129", "MX3WKM72P")</f>
        <v>MX3WKM72P</v>
      </c>
      <c r="B12409" t="s">
        <v>1711</v>
      </c>
      <c r="C12409">
        <v>259</v>
      </c>
      <c r="D12409">
        <v>281.54000000000002</v>
      </c>
      <c r="E12409">
        <v>281.52999999999997</v>
      </c>
      <c r="F12409">
        <v>0.01</v>
      </c>
    </row>
    <row r="12410" spans="1:6" x14ac:dyDescent="0.3">
      <c r="A12410" t="str">
        <f>HYPERLINK("https://us2.cloudbeds.com/connect/10074733072513#/reservations/31715050430613?display=MX5C1JKJW&amp;reservation_id=31715050430613", "MX5C1JKJW")</f>
        <v>MX5C1JKJW</v>
      </c>
      <c r="B12410" t="s">
        <v>1768</v>
      </c>
      <c r="C12410">
        <v>378</v>
      </c>
      <c r="D12410">
        <v>410.9</v>
      </c>
      <c r="E12410">
        <v>410.89</v>
      </c>
      <c r="F12410">
        <v>0.01</v>
      </c>
    </row>
    <row r="12411" spans="1:6" x14ac:dyDescent="0.3">
      <c r="A12411" t="str">
        <f>HYPERLINK("https://us2.cloudbeds.com/connect/10074733072513#/reservations/31721633312973?display=MXAF8F0WK&amp;reservation_id=31721633312973", "MXAF8F0WK")</f>
        <v>MXAF8F0WK</v>
      </c>
      <c r="B12411" t="s">
        <v>1798</v>
      </c>
      <c r="C12411">
        <v>331.2</v>
      </c>
      <c r="D12411">
        <v>360.02</v>
      </c>
      <c r="E12411">
        <v>360.01</v>
      </c>
      <c r="F12411">
        <v>0.01</v>
      </c>
    </row>
    <row r="12412" spans="1:6" x14ac:dyDescent="0.3">
      <c r="A12412" t="str">
        <f>HYPERLINK("https://us2.cloudbeds.com/connect/10074733072513#/reservations/31717207314630?display=MX715B3BN&amp;reservation_id=31717207314630", "MX715B3BN")</f>
        <v>MX715B3BN</v>
      </c>
      <c r="B12412" t="s">
        <v>1865</v>
      </c>
      <c r="C12412">
        <v>73</v>
      </c>
      <c r="D12412">
        <v>79.36</v>
      </c>
      <c r="E12412">
        <v>79.349999999999994</v>
      </c>
      <c r="F12412">
        <v>0.01</v>
      </c>
    </row>
    <row r="12413" spans="1:6" x14ac:dyDescent="0.3">
      <c r="A12413" t="str">
        <f>HYPERLINK("https://us2.cloudbeds.com/connect/10074733072513#/reservations/31713826738317?display=MX4DPZJ78&amp;reservation_id=31713826738317", "MX4DPZJ78")</f>
        <v>MX4DPZJ78</v>
      </c>
      <c r="B12413" t="s">
        <v>1690</v>
      </c>
      <c r="C12413">
        <v>318</v>
      </c>
      <c r="D12413">
        <v>345.68</v>
      </c>
      <c r="E12413">
        <v>345.67</v>
      </c>
      <c r="F12413">
        <v>0.01</v>
      </c>
    </row>
    <row r="12414" spans="1:6" x14ac:dyDescent="0.3">
      <c r="A12414" t="str">
        <f>HYPERLINK("https://us2.cloudbeds.com/connect/10074733072513#/reservations/31713469264097?display=MX44YAB24&amp;reservation_id=31713469264097", "MX44YAB24")</f>
        <v>MX44YAB24</v>
      </c>
      <c r="B12414" t="s">
        <v>1661</v>
      </c>
      <c r="C12414">
        <v>318</v>
      </c>
      <c r="D12414">
        <v>345.68</v>
      </c>
      <c r="E12414">
        <v>345.67</v>
      </c>
      <c r="F12414">
        <v>0.01</v>
      </c>
    </row>
    <row r="12415" spans="1:6" x14ac:dyDescent="0.3">
      <c r="A12415" t="str">
        <f>HYPERLINK("https://us2.cloudbeds.com/connect/10074733072513#/reservations/31723054813431?display=MXBXJ3CD2&amp;reservation_id=31723054813431", "MXBXJ3CD2")</f>
        <v>MXBXJ3CD2</v>
      </c>
      <c r="B12415" t="s">
        <v>1885</v>
      </c>
      <c r="C12415">
        <v>109</v>
      </c>
      <c r="D12415">
        <v>118.49</v>
      </c>
      <c r="E12415">
        <v>118.48</v>
      </c>
      <c r="F12415">
        <v>0.01</v>
      </c>
    </row>
    <row r="12416" spans="1:6" x14ac:dyDescent="0.3">
      <c r="A12416" t="str">
        <f>HYPERLINK("https://us2.cloudbeds.com/connect/10074733072513#/reservations/31711888527564?display=MX2U8D0C2&amp;reservation_id=31711888527564", "MX2U8D0C2")</f>
        <v>MX2U8D0C2</v>
      </c>
      <c r="B12416" t="s">
        <v>1884</v>
      </c>
      <c r="C12416">
        <v>218</v>
      </c>
      <c r="D12416">
        <v>236.98</v>
      </c>
      <c r="E12416">
        <v>236.97</v>
      </c>
      <c r="F12416">
        <v>0.01</v>
      </c>
    </row>
    <row r="12417" spans="1:6" x14ac:dyDescent="0.3">
      <c r="A12417" t="str">
        <f>HYPERLINK("https://us2.cloudbeds.com/connect/10074733072513#/reservations/31721349128420?display=MXA7WR5QG&amp;reservation_id=31721349128420", "MXA7WR5QG")</f>
        <v>MXA7WR5QG</v>
      </c>
      <c r="B12417" t="s">
        <v>1890</v>
      </c>
      <c r="C12417">
        <v>89</v>
      </c>
      <c r="D12417">
        <v>96.75</v>
      </c>
      <c r="E12417">
        <v>96.74</v>
      </c>
      <c r="F12417">
        <v>0.01</v>
      </c>
    </row>
    <row r="12418" spans="1:6" x14ac:dyDescent="0.3">
      <c r="A12418" t="str">
        <f>HYPERLINK("https://us2.cloudbeds.com/connect/10074733072513#/reservations/31715700867279?display=MX5SM1WEW&amp;reservation_id=31715700867279", "MX5SM1WEW")</f>
        <v>MX5SM1WEW</v>
      </c>
      <c r="B12418" t="s">
        <v>1844</v>
      </c>
      <c r="C12418">
        <v>169</v>
      </c>
      <c r="D12418">
        <v>183.71</v>
      </c>
      <c r="E12418">
        <v>183.7</v>
      </c>
      <c r="F12418">
        <v>0.01</v>
      </c>
    </row>
    <row r="12419" spans="1:6" x14ac:dyDescent="0.3">
      <c r="A12419" t="str">
        <f>HYPERLINK("https://us2.cloudbeds.com/connect/10074733072513#/reservations/31724962099400?display=MXD1ACDRJ&amp;reservation_id=31724962099400", "MXD1ACDRJ")</f>
        <v>MXD1ACDRJ</v>
      </c>
      <c r="B12419" t="s">
        <v>1856</v>
      </c>
      <c r="C12419">
        <v>139</v>
      </c>
      <c r="D12419">
        <v>151.1</v>
      </c>
      <c r="E12419">
        <v>151.09</v>
      </c>
      <c r="F12419">
        <v>0.01</v>
      </c>
    </row>
    <row r="12420" spans="1:6" x14ac:dyDescent="0.3">
      <c r="A12420" t="str">
        <f>HYPERLINK("https://us2.cloudbeds.com/connect/10074733072513#/reservations/31721364938959?display=MXA8D546Z&amp;reservation_id=31721364938959", "MXA8D546Z")</f>
        <v>MXA8D546Z</v>
      </c>
      <c r="B12420" t="s">
        <v>1890</v>
      </c>
      <c r="C12420">
        <v>119</v>
      </c>
      <c r="D12420">
        <v>129.36000000000001</v>
      </c>
      <c r="E12420">
        <v>129.35</v>
      </c>
      <c r="F12420">
        <v>0.01</v>
      </c>
    </row>
    <row r="12421" spans="1:6" x14ac:dyDescent="0.3">
      <c r="A12421" t="str">
        <f>HYPERLINK("https://us2.cloudbeds.com/connect/10074733072513#/reservations/31719334658182?display=MX8MH5XSR&amp;reservation_id=31719334658182", "MX8MH5XSR")</f>
        <v>MX8MH5XSR</v>
      </c>
      <c r="B12421" t="s">
        <v>1859</v>
      </c>
      <c r="C12421">
        <v>149</v>
      </c>
      <c r="D12421">
        <v>161.97</v>
      </c>
      <c r="E12421">
        <v>161.96</v>
      </c>
      <c r="F12421">
        <v>0.01</v>
      </c>
    </row>
    <row r="12422" spans="1:6" x14ac:dyDescent="0.3">
      <c r="A12422" t="str">
        <f>HYPERLINK("https://us2.cloudbeds.com/connect/10074733072513#/reservations/31719328714988?display=MX8MC56D1&amp;reservation_id=31719328714988", "MX8MC56D1")</f>
        <v>MX8MC56D1</v>
      </c>
      <c r="B12422" t="s">
        <v>1859</v>
      </c>
      <c r="C12422">
        <v>169</v>
      </c>
      <c r="D12422">
        <v>183.71</v>
      </c>
      <c r="E12422">
        <v>183.7</v>
      </c>
      <c r="F12422">
        <v>0.01</v>
      </c>
    </row>
    <row r="12423" spans="1:6" x14ac:dyDescent="0.3">
      <c r="A12423" t="str">
        <f>HYPERLINK("https://us2.cloudbeds.com/connect/10074733072513#/reservations/31720953294995?display=MX9UT1HD7&amp;reservation_id=31720953294995", "MX9UT1HD7")</f>
        <v>MX9UT1HD7</v>
      </c>
      <c r="B12423" t="s">
        <v>1859</v>
      </c>
      <c r="C12423">
        <v>178</v>
      </c>
      <c r="D12423">
        <v>193.5</v>
      </c>
      <c r="E12423">
        <v>193.49</v>
      </c>
      <c r="F12423">
        <v>0.01</v>
      </c>
    </row>
    <row r="12424" spans="1:6" x14ac:dyDescent="0.3">
      <c r="A12424" t="str">
        <f>HYPERLINK("https://us2.cloudbeds.com/connect/10074733072513#/reservations/31718276493445?display=MX7SFTJ2Z&amp;reservation_id=31718276493445", "MX7SFTJ2Z")</f>
        <v>MX7SFTJ2Z</v>
      </c>
      <c r="B12424" t="s">
        <v>1885</v>
      </c>
      <c r="C12424">
        <v>73</v>
      </c>
      <c r="D12424">
        <v>79.36</v>
      </c>
      <c r="E12424">
        <v>79.349999999999994</v>
      </c>
      <c r="F12424">
        <v>0.01</v>
      </c>
    </row>
    <row r="12425" spans="1:6" x14ac:dyDescent="0.3">
      <c r="A12425" t="str">
        <f>HYPERLINK("https://us2.cloudbeds.com/connect/10074733072513#/reservations/31719044919453?display=MX8F3S5EB&amp;reservation_id=31719044919453", "MX8F3S5EB")</f>
        <v>MX8F3S5EB</v>
      </c>
      <c r="B12425" t="s">
        <v>1877</v>
      </c>
      <c r="C12425">
        <v>109</v>
      </c>
      <c r="D12425">
        <v>118.49</v>
      </c>
      <c r="E12425">
        <v>118.48</v>
      </c>
      <c r="F12425">
        <v>0.01</v>
      </c>
    </row>
    <row r="12426" spans="1:6" x14ac:dyDescent="0.3">
      <c r="A12426" t="str">
        <f>HYPERLINK("https://us2.cloudbeds.com/connect/10074733072513#/reservations/31719320584338?display=MX8M59V7N&amp;reservation_id=31719320584338", "MX8M59V7N")</f>
        <v>MX8M59V7N</v>
      </c>
      <c r="B12426" t="s">
        <v>1859</v>
      </c>
      <c r="C12426">
        <v>139</v>
      </c>
      <c r="D12426">
        <v>151.1</v>
      </c>
      <c r="E12426">
        <v>151.09</v>
      </c>
      <c r="F12426">
        <v>0.01</v>
      </c>
    </row>
    <row r="12427" spans="1:6" x14ac:dyDescent="0.3">
      <c r="A12427" t="str">
        <f>HYPERLINK("https://us2.cloudbeds.com/connect/10074733072513#/reservations/31722670514318?display=MXB8P1MYD&amp;reservation_id=31722670514318", "MXB8P1MYD")</f>
        <v>MXB8P1MYD</v>
      </c>
      <c r="B12427" t="s">
        <v>1888</v>
      </c>
      <c r="C12427">
        <v>73</v>
      </c>
      <c r="D12427">
        <v>79.36</v>
      </c>
      <c r="E12427">
        <v>79.349999999999994</v>
      </c>
      <c r="F12427">
        <v>0.01</v>
      </c>
    </row>
    <row r="12428" spans="1:6" x14ac:dyDescent="0.3">
      <c r="A12428" t="str">
        <f>HYPERLINK("https://us2.cloudbeds.com/connect/10074733072513#/reservations/31719253192860?display=MX8KEFMDN&amp;reservation_id=31719253192860", "MX8KEFMDN")</f>
        <v>MX8KEFMDN</v>
      </c>
      <c r="B12428" t="s">
        <v>1850</v>
      </c>
      <c r="C12428">
        <v>169</v>
      </c>
      <c r="D12428">
        <v>183.71</v>
      </c>
      <c r="E12428">
        <v>183.7</v>
      </c>
      <c r="F12428">
        <v>0.01</v>
      </c>
    </row>
    <row r="12429" spans="1:6" x14ac:dyDescent="0.3">
      <c r="A12429" t="str">
        <f>HYPERLINK("https://us2.cloudbeds.com/connect/10074733072513#/reservations/31718081974475?display=MX7NGSQEG&amp;reservation_id=31718081974475", "MX7NGSQEG")</f>
        <v>MX7NGSQEG</v>
      </c>
      <c r="B12429" t="s">
        <v>1862</v>
      </c>
      <c r="C12429">
        <v>139</v>
      </c>
      <c r="D12429">
        <v>151.1</v>
      </c>
      <c r="E12429">
        <v>151.09</v>
      </c>
      <c r="F12429">
        <v>0.01</v>
      </c>
    </row>
    <row r="12430" spans="1:6" x14ac:dyDescent="0.3">
      <c r="A12430" t="str">
        <f>HYPERLINK("https://us2.cloudbeds.com/connect/10074733072513#/reservations/31720973856959?display=MX9VDCMU1&amp;reservation_id=31720973856959", "MX9VDCMU1")</f>
        <v>MX9VDCMU1</v>
      </c>
      <c r="B12430" t="s">
        <v>1859</v>
      </c>
      <c r="C12430">
        <v>139</v>
      </c>
      <c r="D12430">
        <v>151.1</v>
      </c>
      <c r="E12430">
        <v>151.09</v>
      </c>
      <c r="F12430">
        <v>0.01</v>
      </c>
    </row>
    <row r="12431" spans="1:6" x14ac:dyDescent="0.3">
      <c r="A12431" t="str">
        <f>HYPERLINK("https://us2.cloudbeds.com/connect/10074733072513#/reservations/31716898234571?display=MX6Q8NG9A&amp;reservation_id=31716898234571", "MX6Q8NG9A")</f>
        <v>MX6Q8NG9A</v>
      </c>
      <c r="B12431" t="s">
        <v>1877</v>
      </c>
      <c r="C12431">
        <v>218</v>
      </c>
      <c r="D12431">
        <v>236.98</v>
      </c>
      <c r="E12431">
        <v>236.97</v>
      </c>
      <c r="F12431">
        <v>0.01</v>
      </c>
    </row>
    <row r="12432" spans="1:6" x14ac:dyDescent="0.3">
      <c r="A12432" t="str">
        <f>HYPERLINK("https://us2.cloudbeds.com/connect/10074733072513#/reservations/31719358288024?display=MX8N433HY&amp;reservation_id=31719358288024", "MX8N433HY")</f>
        <v>MX8N433HY</v>
      </c>
      <c r="B12432" t="s">
        <v>1859</v>
      </c>
      <c r="C12432">
        <v>298</v>
      </c>
      <c r="D12432">
        <v>323.94</v>
      </c>
      <c r="E12432">
        <v>323.93</v>
      </c>
      <c r="F12432">
        <v>0.01</v>
      </c>
    </row>
    <row r="12433" spans="1:6" x14ac:dyDescent="0.3">
      <c r="A12433" t="str">
        <f>HYPERLINK("https://us2.cloudbeds.com/connect/10074733072513#/reservations/31719563665609?display=MX8SC91BR&amp;reservation_id=31719563665609", "MX8SC91BR")</f>
        <v>MX8SC91BR</v>
      </c>
      <c r="B12433" t="s">
        <v>1859</v>
      </c>
      <c r="C12433">
        <v>139</v>
      </c>
      <c r="D12433">
        <v>151.1</v>
      </c>
      <c r="E12433">
        <v>151.09</v>
      </c>
      <c r="F12433">
        <v>0.01</v>
      </c>
    </row>
    <row r="12434" spans="1:6" x14ac:dyDescent="0.3">
      <c r="A12434" t="str">
        <f>HYPERLINK("https://us2.cloudbeds.com/connect/10074733072513#/reservations/31719352352903?display=MX8MW2VFG&amp;reservation_id=31719352352903", "MX8MW2VFG")</f>
        <v>MX8MW2VFG</v>
      </c>
      <c r="B12434" t="s">
        <v>1859</v>
      </c>
      <c r="C12434">
        <v>159</v>
      </c>
      <c r="D12434">
        <v>172.84</v>
      </c>
      <c r="E12434">
        <v>172.83</v>
      </c>
      <c r="F12434">
        <v>0.01</v>
      </c>
    </row>
    <row r="12435" spans="1:6" x14ac:dyDescent="0.3">
      <c r="A12435" t="str">
        <f>HYPERLINK("https://us2.cloudbeds.com/connect/10074733072513#/reservations/31721015656617?display=MX9WFKREB&amp;reservation_id=31721015656617", "MX9WFKREB")</f>
        <v>MX9WFKREB</v>
      </c>
      <c r="B12435" t="s">
        <v>1877</v>
      </c>
      <c r="C12435">
        <v>109</v>
      </c>
      <c r="D12435">
        <v>118.49</v>
      </c>
      <c r="E12435">
        <v>118.48</v>
      </c>
      <c r="F12435">
        <v>0.01</v>
      </c>
    </row>
    <row r="12436" spans="1:6" x14ac:dyDescent="0.3">
      <c r="A12436" t="str">
        <f>HYPERLINK("https://us2.cloudbeds.com/connect/10074733072513#/reservations/31719572742303?display=MX8SJUK85&amp;reservation_id=31719572742303", "MX8SJUK85")</f>
        <v>MX8SJUK85</v>
      </c>
      <c r="B12436" t="s">
        <v>1859</v>
      </c>
      <c r="C12436">
        <v>298</v>
      </c>
      <c r="D12436">
        <v>323.94</v>
      </c>
      <c r="E12436">
        <v>323.93</v>
      </c>
      <c r="F12436">
        <v>0.01</v>
      </c>
    </row>
    <row r="12437" spans="1:6" x14ac:dyDescent="0.3">
      <c r="A12437" t="str">
        <f>HYPERLINK("https://us2.cloudbeds.com/connect/10074733072513#/reservations/31715745833181?display=MX5TQW7F2&amp;reservation_id=31715745833181", "MX5TQW7F2")</f>
        <v>MX5TQW7F2</v>
      </c>
      <c r="B12437" t="s">
        <v>1731</v>
      </c>
      <c r="C12437">
        <v>159</v>
      </c>
      <c r="D12437">
        <v>172.84</v>
      </c>
      <c r="E12437">
        <v>172.83</v>
      </c>
      <c r="F12437">
        <v>0.01</v>
      </c>
    </row>
    <row r="12438" spans="1:6" x14ac:dyDescent="0.3">
      <c r="A12438" t="str">
        <f>HYPERLINK("https://us2.cloudbeds.com/connect/10074733072513#/reservations/31721207234785?display=MXA4C5PKC&amp;reservation_id=31721207234785", "MXA4C5PKC")</f>
        <v>MXA4C5PKC</v>
      </c>
      <c r="B12438" t="s">
        <v>1840</v>
      </c>
      <c r="C12438">
        <v>139</v>
      </c>
      <c r="D12438">
        <v>151.1</v>
      </c>
      <c r="E12438">
        <v>151.09</v>
      </c>
      <c r="F12438">
        <v>0.01</v>
      </c>
    </row>
    <row r="12439" spans="1:6" x14ac:dyDescent="0.3">
      <c r="A12439" t="str">
        <f>HYPERLINK("https://us2.cloudbeds.com/connect/10074733072513#/reservations/31721270091953?display=MXA5W5SN1&amp;reservation_id=31721270091953", "MXA5W5SN1")</f>
        <v>MXA5W5SN1</v>
      </c>
      <c r="B12439" t="s">
        <v>1840</v>
      </c>
      <c r="C12439">
        <v>102.58</v>
      </c>
      <c r="D12439">
        <v>111.51</v>
      </c>
      <c r="E12439">
        <v>111.5</v>
      </c>
      <c r="F12439">
        <v>0.01</v>
      </c>
    </row>
    <row r="12440" spans="1:6" x14ac:dyDescent="0.3">
      <c r="A12440" t="str">
        <f>HYPERLINK("https://us2.cloudbeds.com/connect/10074733072513#/reservations/31719307821281?display=MX8YRHQ8D&amp;reservation_id=31719307821281", "MX8YRHQ8D")</f>
        <v>MX8YRHQ8D</v>
      </c>
      <c r="B12440" t="s">
        <v>1859</v>
      </c>
      <c r="C12440">
        <v>97.74</v>
      </c>
      <c r="D12440">
        <v>106.25</v>
      </c>
      <c r="E12440">
        <v>106.24</v>
      </c>
      <c r="F12440">
        <v>0.01</v>
      </c>
    </row>
    <row r="12441" spans="1:6" x14ac:dyDescent="0.3">
      <c r="A12441" t="str">
        <f>HYPERLINK("https://us2.cloudbeds.com/connect/10074733072513#/reservations/31718414758066?display=MX7W0FWRZ&amp;reservation_id=31718414758066", "MX7W0FWRZ")</f>
        <v>MX7W0FWRZ</v>
      </c>
      <c r="B12441" t="s">
        <v>1891</v>
      </c>
      <c r="C12441">
        <v>179</v>
      </c>
      <c r="D12441">
        <v>194.58</v>
      </c>
      <c r="E12441">
        <v>194.57</v>
      </c>
      <c r="F12441">
        <v>0.01</v>
      </c>
    </row>
    <row r="12442" spans="1:6" x14ac:dyDescent="0.3">
      <c r="A12442" t="str">
        <f>HYPERLINK("https://us2.cloudbeds.com/connect/10074733072513#/reservations/31719551340765?display=MX8S1T2PN&amp;reservation_id=31719551340765", "MX8S1T2PN")</f>
        <v>MX8S1T2PN</v>
      </c>
      <c r="B12442" t="s">
        <v>1859</v>
      </c>
      <c r="C12442">
        <v>139</v>
      </c>
      <c r="D12442">
        <v>151.1</v>
      </c>
      <c r="E12442">
        <v>151.09</v>
      </c>
      <c r="F12442">
        <v>0.01</v>
      </c>
    </row>
    <row r="12443" spans="1:6" x14ac:dyDescent="0.3">
      <c r="A12443" t="str">
        <f>HYPERLINK("https://us2.cloudbeds.com/connect/10074733072513#/reservations/31719510212853?display=MX8R06Y3A&amp;reservation_id=31719510212853", "MX8R06Y3A")</f>
        <v>MX8R06Y3A</v>
      </c>
      <c r="B12443" t="s">
        <v>1859</v>
      </c>
      <c r="C12443">
        <v>139</v>
      </c>
      <c r="D12443">
        <v>151.1</v>
      </c>
      <c r="E12443">
        <v>151.09</v>
      </c>
      <c r="F12443">
        <v>0.01</v>
      </c>
    </row>
    <row r="12444" spans="1:6" x14ac:dyDescent="0.3">
      <c r="A12444" t="str">
        <f>HYPERLINK("https://us2.cloudbeds.com/connect/10074733072513#/reservations/31719022350528?display=MX8EASJQX&amp;reservation_id=31719022350528", "MX8EASJQX")</f>
        <v>MX8EASJQX</v>
      </c>
      <c r="B12444" t="s">
        <v>1772</v>
      </c>
      <c r="C12444">
        <v>179</v>
      </c>
      <c r="D12444">
        <v>194.58</v>
      </c>
      <c r="E12444">
        <v>194.57</v>
      </c>
      <c r="F12444">
        <v>0.01</v>
      </c>
    </row>
    <row r="12445" spans="1:6" x14ac:dyDescent="0.3">
      <c r="A12445" t="str">
        <f>HYPERLINK("https://us2.cloudbeds.com/connect/10074733072513#/reservations/31719868612801?display=MX935DYAR&amp;reservation_id=31719868612801", "MX935DYAR")</f>
        <v>MX935DYAR</v>
      </c>
      <c r="B12445" t="s">
        <v>1874</v>
      </c>
      <c r="C12445">
        <v>336</v>
      </c>
      <c r="D12445">
        <v>365.24</v>
      </c>
      <c r="E12445">
        <v>365.23</v>
      </c>
      <c r="F12445">
        <v>0.01</v>
      </c>
    </row>
    <row r="12446" spans="1:6" x14ac:dyDescent="0.3">
      <c r="A12446" t="str">
        <f>HYPERLINK("https://us2.cloudbeds.com/connect/10074733072513#/reservations/31721222443191?display=MXA4ZWW35&amp;reservation_id=31721222443191", "MXA4ZWW35")</f>
        <v>MXA4ZWW35</v>
      </c>
      <c r="B12446" t="s">
        <v>1840</v>
      </c>
      <c r="C12446">
        <v>149</v>
      </c>
      <c r="D12446">
        <v>161.97</v>
      </c>
      <c r="E12446">
        <v>161.96</v>
      </c>
      <c r="F12446">
        <v>0.01</v>
      </c>
    </row>
    <row r="12447" spans="1:6" x14ac:dyDescent="0.3">
      <c r="A12447" t="str">
        <f>HYPERLINK("https://us2.cloudbeds.com/connect/10074733072513#/reservations/31715671904427?display=MX5RUY1KQ&amp;reservation_id=31715671904427", "MX5RUY1KQ")</f>
        <v>MX5RUY1KQ</v>
      </c>
      <c r="B12447" t="s">
        <v>1844</v>
      </c>
      <c r="C12447">
        <v>139</v>
      </c>
      <c r="D12447">
        <v>151.1</v>
      </c>
      <c r="E12447">
        <v>151.09</v>
      </c>
      <c r="F12447">
        <v>0.01</v>
      </c>
    </row>
    <row r="12448" spans="1:6" x14ac:dyDescent="0.3">
      <c r="A12448" t="str">
        <f>HYPERLINK("https://us2.cloudbeds.com/connect/10074733072513#/reservations/31718044504216?display=MX7MX94G3&amp;reservation_id=31718044504216", "MX7MX94G3")</f>
        <v>MX7MX94G3</v>
      </c>
      <c r="B12448" t="s">
        <v>1892</v>
      </c>
      <c r="C12448">
        <v>139</v>
      </c>
      <c r="D12448">
        <v>151.1</v>
      </c>
      <c r="E12448">
        <v>151.09</v>
      </c>
      <c r="F12448">
        <v>0.01</v>
      </c>
    </row>
    <row r="12449" spans="1:6" x14ac:dyDescent="0.3">
      <c r="A12449" t="str">
        <f>HYPERLINK("https://us2.cloudbeds.com/connect/10074733072513#/reservations/31720231477436?display=MX9CECTBR&amp;reservation_id=31720231477436", "MX9CECTBR")</f>
        <v>MX9CECTBR</v>
      </c>
      <c r="B12449" t="s">
        <v>1879</v>
      </c>
      <c r="C12449">
        <v>318</v>
      </c>
      <c r="D12449">
        <v>345.68</v>
      </c>
      <c r="E12449">
        <v>345.67</v>
      </c>
      <c r="F12449">
        <v>0.01</v>
      </c>
    </row>
    <row r="12450" spans="1:6" x14ac:dyDescent="0.3">
      <c r="A12450" t="str">
        <f>HYPERLINK("https://us2.cloudbeds.com/connect/10074733072513#/reservations/31720733049031?display=MX9P8ASB3&amp;reservation_id=31720733049031", "MX9P8ASB3")</f>
        <v>MX9P8ASB3</v>
      </c>
      <c r="B12450" t="s">
        <v>1893</v>
      </c>
      <c r="C12450">
        <v>218</v>
      </c>
      <c r="D12450">
        <v>236.98</v>
      </c>
      <c r="E12450">
        <v>236.97</v>
      </c>
      <c r="F12450">
        <v>0.01</v>
      </c>
    </row>
    <row r="12451" spans="1:6" x14ac:dyDescent="0.3">
      <c r="A12451" t="str">
        <f>HYPERLINK("https://us2.cloudbeds.com/connect/10074733072513#/reservations/31712623755464?display=MX3G1BQPD&amp;reservation_id=31712623755464", "MX3G1BQPD")</f>
        <v>MX3G1BQPD</v>
      </c>
      <c r="B12451" t="s">
        <v>1850</v>
      </c>
      <c r="C12451">
        <v>150</v>
      </c>
      <c r="D12451">
        <v>163.06</v>
      </c>
      <c r="E12451">
        <v>163.05000000000001</v>
      </c>
      <c r="F12451">
        <v>0.01</v>
      </c>
    </row>
    <row r="12452" spans="1:6" x14ac:dyDescent="0.3">
      <c r="A12452" t="str">
        <f>HYPERLINK("https://us2.cloudbeds.com/connect/10074733072513#/reservations/31712617124023?display=MX3FSP99Y&amp;reservation_id=31712617124023", "MX3FSP99Y")</f>
        <v>MX3FSP99Y</v>
      </c>
      <c r="B12452" t="s">
        <v>1850</v>
      </c>
      <c r="C12452">
        <v>298</v>
      </c>
      <c r="D12452">
        <v>323.94</v>
      </c>
      <c r="E12452">
        <v>323.93</v>
      </c>
      <c r="F12452">
        <v>0.01</v>
      </c>
    </row>
    <row r="12453" spans="1:6" x14ac:dyDescent="0.3">
      <c r="A12453" t="str">
        <f>HYPERLINK("https://us2.cloudbeds.com/connect/10074733072513#/reservations/31720240095457?display=MX9CYYN20&amp;reservation_id=31720240095457", "MX9CYYN20")</f>
        <v>MX9CYYN20</v>
      </c>
      <c r="B12453" t="s">
        <v>1879</v>
      </c>
      <c r="C12453">
        <v>318</v>
      </c>
      <c r="D12453">
        <v>345.68</v>
      </c>
      <c r="E12453">
        <v>345.67</v>
      </c>
      <c r="F12453">
        <v>0.01</v>
      </c>
    </row>
    <row r="12454" spans="1:6" x14ac:dyDescent="0.3">
      <c r="A12454" t="str">
        <f>HYPERLINK("https://us2.cloudbeds.com/connect/10074733072513#/reservations/31720756285633?display=MX9PRUETX&amp;reservation_id=31720756285633", "MX9PRUETX")</f>
        <v>MX9PRUETX</v>
      </c>
      <c r="B12454" t="s">
        <v>1893</v>
      </c>
      <c r="C12454">
        <v>149</v>
      </c>
      <c r="D12454">
        <v>161.97</v>
      </c>
      <c r="E12454">
        <v>161.96</v>
      </c>
      <c r="F12454">
        <v>0.01</v>
      </c>
    </row>
    <row r="12455" spans="1:6" x14ac:dyDescent="0.3">
      <c r="A12455" t="str">
        <f>HYPERLINK("https://us2.cloudbeds.com/connect/10074733072513#/reservations/31720710467719?display=MX9ZM9GGU&amp;reservation_id=31720710467719", "MX9ZM9GGU")</f>
        <v>MX9ZM9GGU</v>
      </c>
      <c r="B12455" t="s">
        <v>1893</v>
      </c>
      <c r="C12455">
        <v>109</v>
      </c>
      <c r="D12455">
        <v>118.49</v>
      </c>
      <c r="E12455">
        <v>118.48</v>
      </c>
      <c r="F12455">
        <v>0.01</v>
      </c>
    </row>
    <row r="12456" spans="1:6" x14ac:dyDescent="0.3">
      <c r="A12456" t="str">
        <f>HYPERLINK("https://us2.cloudbeds.com/connect/10074733072513#/reservations/31712609476828?display=MX3FMAG2F&amp;reservation_id=31712609476828", "MX3FMAG2F")</f>
        <v>MX3FMAG2F</v>
      </c>
      <c r="B12456" t="s">
        <v>1850</v>
      </c>
      <c r="C12456">
        <v>338</v>
      </c>
      <c r="D12456">
        <v>367.42</v>
      </c>
      <c r="E12456">
        <v>367.41</v>
      </c>
      <c r="F12456">
        <v>0.01</v>
      </c>
    </row>
    <row r="12457" spans="1:6" x14ac:dyDescent="0.3">
      <c r="A12457" t="str">
        <f>HYPERLINK("https://us2.cloudbeds.com/connect/10074733072513#/reservations/31721275932872?display=MXA643D8J&amp;reservation_id=31721275932872", "MXA643D8J")</f>
        <v>MXA643D8J</v>
      </c>
      <c r="B12457" t="s">
        <v>1840</v>
      </c>
      <c r="C12457">
        <v>139</v>
      </c>
      <c r="D12457">
        <v>151.1</v>
      </c>
      <c r="E12457">
        <v>151.09</v>
      </c>
      <c r="F12457">
        <v>0.01</v>
      </c>
    </row>
    <row r="12458" spans="1:6" x14ac:dyDescent="0.3">
      <c r="A12458" t="str">
        <f>HYPERLINK("https://us2.cloudbeds.com/connect/10074733072513#/reservations/31720689320132?display=MX9Z4F17V&amp;reservation_id=31720689320132", "MX9Z4F17V")</f>
        <v>MX9Z4F17V</v>
      </c>
      <c r="B12458" t="s">
        <v>1893</v>
      </c>
      <c r="C12458">
        <v>129</v>
      </c>
      <c r="D12458">
        <v>140.22999999999999</v>
      </c>
      <c r="E12458">
        <v>140.22</v>
      </c>
      <c r="F12458">
        <v>0.01</v>
      </c>
    </row>
    <row r="12459" spans="1:6" x14ac:dyDescent="0.3">
      <c r="A12459" t="str">
        <f>HYPERLINK("https://us2.cloudbeds.com/connect/10074733072513#/reservations/31712546763002?display=MX3E2ECKG&amp;reservation_id=31712546763002", "MX3E2ECKG")</f>
        <v>MX3E2ECKG</v>
      </c>
      <c r="B12459" t="s">
        <v>1881</v>
      </c>
      <c r="C12459">
        <v>467</v>
      </c>
      <c r="D12459">
        <v>507.64</v>
      </c>
      <c r="E12459">
        <v>507.63</v>
      </c>
      <c r="F12459">
        <v>0.01</v>
      </c>
    </row>
    <row r="12460" spans="1:6" x14ac:dyDescent="0.3">
      <c r="A12460" t="str">
        <f>HYPERLINK("https://us2.cloudbeds.com/connect/10074733072513#/reservations/31715714318552?display=MX5T0D9DA&amp;reservation_id=31715714318552", "MX5T0D9DA")</f>
        <v>MX5T0D9DA</v>
      </c>
      <c r="B12460" t="s">
        <v>1731</v>
      </c>
      <c r="C12460">
        <v>159</v>
      </c>
      <c r="D12460">
        <v>172.84</v>
      </c>
      <c r="E12460">
        <v>172.83</v>
      </c>
      <c r="F12460">
        <v>0.01</v>
      </c>
    </row>
    <row r="12461" spans="1:6" x14ac:dyDescent="0.3">
      <c r="A12461" t="str">
        <f>HYPERLINK("https://us2.cloudbeds.com/connect/10074733072513#/reservations/31718071087232?display=MX7MVND1Q&amp;reservation_id=31718071087232", "MX7MVND1Q")</f>
        <v>MX7MVND1Q</v>
      </c>
      <c r="B12461" t="s">
        <v>1892</v>
      </c>
      <c r="C12461">
        <v>89</v>
      </c>
      <c r="D12461">
        <v>96.75</v>
      </c>
      <c r="E12461">
        <v>96.74</v>
      </c>
      <c r="F12461">
        <v>0.01</v>
      </c>
    </row>
    <row r="12462" spans="1:6" x14ac:dyDescent="0.3">
      <c r="A12462" t="str">
        <f>HYPERLINK("https://us2.cloudbeds.com/connect/10074733072513#/reservations/31721196945540?display=MXA43GF92&amp;reservation_id=31721196945540", "MXA43GF92")</f>
        <v>MXA43GF92</v>
      </c>
      <c r="B12462" t="s">
        <v>1840</v>
      </c>
      <c r="C12462">
        <v>139</v>
      </c>
      <c r="D12462">
        <v>151.1</v>
      </c>
      <c r="E12462">
        <v>151.09</v>
      </c>
      <c r="F12462">
        <v>0.01</v>
      </c>
    </row>
    <row r="12463" spans="1:6" x14ac:dyDescent="0.3">
      <c r="A12463" t="str">
        <f>HYPERLINK("https://us2.cloudbeds.com/connect/10074733072513#/reservations/31720756281541?display=MX9PRUB4X&amp;reservation_id=31720756281541", "MX9PRUB4X")</f>
        <v>MX9PRUB4X</v>
      </c>
      <c r="B12463" t="s">
        <v>1893</v>
      </c>
      <c r="C12463">
        <v>109</v>
      </c>
      <c r="D12463">
        <v>118.49</v>
      </c>
      <c r="E12463">
        <v>118.48</v>
      </c>
      <c r="F12463">
        <v>0.01</v>
      </c>
    </row>
    <row r="12464" spans="1:6" x14ac:dyDescent="0.3">
      <c r="A12464" t="str">
        <f>HYPERLINK("https://us2.cloudbeds.com/connect/10074733072513#/reservations/31716657426639?display=MX6K3YYN8&amp;reservation_id=31716657426639", "MX6K3YYN8")</f>
        <v>MX6K3YYN8</v>
      </c>
      <c r="B12464" t="s">
        <v>1879</v>
      </c>
      <c r="C12464">
        <v>331.2</v>
      </c>
      <c r="D12464">
        <v>360.02</v>
      </c>
      <c r="E12464">
        <v>360.01</v>
      </c>
      <c r="F12464">
        <v>0.01</v>
      </c>
    </row>
    <row r="12465" spans="1:6" x14ac:dyDescent="0.3">
      <c r="A12465" t="str">
        <f>HYPERLINK("https://us2.cloudbeds.com/connect/10074733072513#/reservations/31712685281420?display=MX3HK7SE9&amp;reservation_id=31712685281420", "MX3HK7SE9")</f>
        <v>MX3HK7SE9</v>
      </c>
      <c r="B12465" t="s">
        <v>1539</v>
      </c>
      <c r="C12465">
        <v>149</v>
      </c>
      <c r="D12465">
        <v>161.97</v>
      </c>
      <c r="E12465">
        <v>161.96</v>
      </c>
      <c r="F12465">
        <v>0.01</v>
      </c>
    </row>
    <row r="12466" spans="1:6" x14ac:dyDescent="0.3">
      <c r="A12466" t="str">
        <f>HYPERLINK("https://us2.cloudbeds.com/connect/10074733072513#/reservations/31720693055704?display=MX9Z7JWH3&amp;reservation_id=31720693055704", "MX9Z7JWH3")</f>
        <v>MX9Z7JWH3</v>
      </c>
      <c r="B12466" t="s">
        <v>1893</v>
      </c>
      <c r="C12466">
        <v>109</v>
      </c>
      <c r="D12466">
        <v>118.49</v>
      </c>
      <c r="E12466">
        <v>118.48</v>
      </c>
      <c r="F12466">
        <v>0.01</v>
      </c>
    </row>
    <row r="12467" spans="1:6" x14ac:dyDescent="0.3">
      <c r="A12467" t="str">
        <f>HYPERLINK("https://us2.cloudbeds.com/connect/10074733072513#/reservations/31722614661282?display=MXB7AVG95&amp;reservation_id=31722614661282", "MXB7AVG95")</f>
        <v>MXB7AVG95</v>
      </c>
      <c r="B12467" t="s">
        <v>1875</v>
      </c>
      <c r="C12467">
        <v>109</v>
      </c>
      <c r="D12467">
        <v>118.49</v>
      </c>
      <c r="E12467">
        <v>118.48</v>
      </c>
      <c r="F12467">
        <v>0.01</v>
      </c>
    </row>
    <row r="12468" spans="1:6" x14ac:dyDescent="0.3">
      <c r="A12468" t="str">
        <f>HYPERLINK("https://us2.cloudbeds.com/connect/10074733072513#/reservations/31719004532944?display=MX8E2QBXZ&amp;reservation_id=31719004532944", "MX8E2QBXZ")</f>
        <v>MX8E2QBXZ</v>
      </c>
      <c r="B12468" t="s">
        <v>1892</v>
      </c>
      <c r="C12468">
        <v>109</v>
      </c>
      <c r="D12468">
        <v>118.49</v>
      </c>
      <c r="E12468">
        <v>118.48</v>
      </c>
      <c r="F12468">
        <v>0.01</v>
      </c>
    </row>
    <row r="12469" spans="1:6" x14ac:dyDescent="0.3">
      <c r="A12469" t="str">
        <f>HYPERLINK("https://us2.cloudbeds.com/connect/10074733072513#/reservations/31720772038809?display=MX9Q86QKH&amp;reservation_id=31720772038809", "MX9Q86QKH")</f>
        <v>MX9Q86QKH</v>
      </c>
      <c r="B12469" t="s">
        <v>1893</v>
      </c>
      <c r="C12469">
        <v>109</v>
      </c>
      <c r="D12469">
        <v>118.49</v>
      </c>
      <c r="E12469">
        <v>118.48</v>
      </c>
      <c r="F12469">
        <v>0.01</v>
      </c>
    </row>
    <row r="12470" spans="1:6" x14ac:dyDescent="0.3">
      <c r="A12470" t="str">
        <f>HYPERLINK("https://us2.cloudbeds.com/connect/10074733072513#/reservations/31718986502300?display=MX8DKJKGJ&amp;reservation_id=31718986502300", "MX8DKJKGJ")</f>
        <v>MX8DKJKGJ</v>
      </c>
      <c r="B12470" t="s">
        <v>1892</v>
      </c>
      <c r="C12470">
        <v>258</v>
      </c>
      <c r="D12470">
        <v>280.45999999999998</v>
      </c>
      <c r="E12470">
        <v>280.45</v>
      </c>
      <c r="F12470">
        <v>0.01</v>
      </c>
    </row>
    <row r="12471" spans="1:6" x14ac:dyDescent="0.3">
      <c r="A12471" t="str">
        <f>HYPERLINK("https://us2.cloudbeds.com/connect/10074733072513#/reservations/31719081885847?display=MX8G20QN3&amp;reservation_id=31719081885847", "MX8G20QN3")</f>
        <v>MX8G20QN3</v>
      </c>
      <c r="B12471" t="s">
        <v>1892</v>
      </c>
      <c r="C12471">
        <v>109</v>
      </c>
      <c r="D12471">
        <v>118.49</v>
      </c>
      <c r="E12471">
        <v>118.48</v>
      </c>
      <c r="F12471">
        <v>0.01</v>
      </c>
    </row>
    <row r="12472" spans="1:6" x14ac:dyDescent="0.3">
      <c r="A12472" t="str">
        <f>HYPERLINK("https://us2.cloudbeds.com/connect/10074733072513#/reservations/31722614657185?display=MXB7AVCH0&amp;reservation_id=31722614657185", "MXB7AVCH0")</f>
        <v>MXB7AVCH0</v>
      </c>
      <c r="B12472" t="s">
        <v>1875</v>
      </c>
      <c r="C12472">
        <v>238</v>
      </c>
      <c r="D12472">
        <v>258.72000000000003</v>
      </c>
      <c r="E12472">
        <v>258.70999999999998</v>
      </c>
      <c r="F12472">
        <v>0.01</v>
      </c>
    </row>
    <row r="12473" spans="1:6" x14ac:dyDescent="0.3">
      <c r="A12473" t="str">
        <f>HYPERLINK("https://us2.cloudbeds.com/connect/10074733072513#/reservations/31718986506402?display=MX8DKJZ8T&amp;reservation_id=31718986506402", "MX8DKJZ8T")</f>
        <v>MX8DKJZ8T</v>
      </c>
      <c r="B12473" t="s">
        <v>1892</v>
      </c>
      <c r="C12473">
        <v>109</v>
      </c>
      <c r="D12473">
        <v>118.49</v>
      </c>
      <c r="E12473">
        <v>118.48</v>
      </c>
      <c r="F12473">
        <v>0.01</v>
      </c>
    </row>
    <row r="12474" spans="1:6" x14ac:dyDescent="0.3">
      <c r="A12474" t="str">
        <f>HYPERLINK("https://us2.cloudbeds.com/connect/10074733072513#/reservations/31721610072280?display=MXAEYSAM6&amp;reservation_id=31721610072280", "MXAEYSAM6")</f>
        <v>MXAEYSAM6</v>
      </c>
      <c r="B12474" t="s">
        <v>1894</v>
      </c>
      <c r="C12474">
        <v>258</v>
      </c>
      <c r="D12474">
        <v>280.45999999999998</v>
      </c>
      <c r="E12474">
        <v>280.45</v>
      </c>
      <c r="F12474">
        <v>0.01</v>
      </c>
    </row>
    <row r="12475" spans="1:6" x14ac:dyDescent="0.3">
      <c r="A12475" t="str">
        <f>HYPERLINK("https://us2.cloudbeds.com/connect/10074733072513#/reservations/31721341218959?display=MXA7Q52ZS&amp;reservation_id=31721341218959", "MXA7Q52ZS")</f>
        <v>MXA7Q52ZS</v>
      </c>
      <c r="B12475" t="s">
        <v>1890</v>
      </c>
      <c r="C12475">
        <v>109</v>
      </c>
      <c r="D12475">
        <v>118.49</v>
      </c>
      <c r="E12475">
        <v>118.48</v>
      </c>
      <c r="F12475">
        <v>0.01</v>
      </c>
    </row>
    <row r="12476" spans="1:6" x14ac:dyDescent="0.3">
      <c r="A12476" t="str">
        <f>HYPERLINK("https://us2.cloudbeds.com/connect/10074733072513#/reservations/31721320820941?display=MXA78VFQ3&amp;reservation_id=31721320820941", "MXA78VFQ3")</f>
        <v>MXA78VFQ3</v>
      </c>
      <c r="B12476" t="s">
        <v>1890</v>
      </c>
      <c r="C12476">
        <v>109</v>
      </c>
      <c r="D12476">
        <v>118.49</v>
      </c>
      <c r="E12476">
        <v>118.48</v>
      </c>
      <c r="F12476">
        <v>0.01</v>
      </c>
    </row>
    <row r="12477" spans="1:6" x14ac:dyDescent="0.3">
      <c r="A12477" t="str">
        <f>HYPERLINK("https://us2.cloudbeds.com/connect/10074733072513#/reservations/31720595894520?display=MX9YZMAVQ&amp;reservation_id=31720595894520", "MX9YZMAVQ")</f>
        <v>MX9YZMAVQ</v>
      </c>
      <c r="B12477" t="s">
        <v>1892</v>
      </c>
      <c r="C12477">
        <v>73</v>
      </c>
      <c r="D12477">
        <v>79.36</v>
      </c>
      <c r="E12477">
        <v>79.349999999999994</v>
      </c>
      <c r="F12477">
        <v>0.01</v>
      </c>
    </row>
    <row r="12478" spans="1:6" x14ac:dyDescent="0.3">
      <c r="A12478" t="str">
        <f>HYPERLINK("https://us2.cloudbeds.com/connect/10074733072513#/reservations/31714374922410?display=MX4RPWK7E&amp;reservation_id=31714374922410", "MX4RPWK7E")</f>
        <v>MX4RPWK7E</v>
      </c>
      <c r="B12478" t="s">
        <v>1731</v>
      </c>
      <c r="C12478">
        <v>179</v>
      </c>
      <c r="D12478">
        <v>194.58</v>
      </c>
      <c r="E12478">
        <v>194.57</v>
      </c>
      <c r="F12478">
        <v>0.01</v>
      </c>
    </row>
    <row r="12479" spans="1:6" x14ac:dyDescent="0.3">
      <c r="A12479" t="str">
        <f>HYPERLINK("https://us2.cloudbeds.com/connect/10074733072513#/reservations/31714099802317?display=MX4KZWWMU&amp;reservation_id=31714099802317", "MX4KZWWMU")</f>
        <v>MX4KZWWMU</v>
      </c>
      <c r="B12479" t="s">
        <v>1731</v>
      </c>
      <c r="C12479">
        <v>338</v>
      </c>
      <c r="D12479">
        <v>367.42</v>
      </c>
      <c r="E12479">
        <v>367.41</v>
      </c>
      <c r="F12479">
        <v>0.01</v>
      </c>
    </row>
    <row r="12480" spans="1:6" x14ac:dyDescent="0.3">
      <c r="A12480" t="str">
        <f>HYPERLINK("https://us2.cloudbeds.com/connect/10074733072513#/reservations/31713943838941?display=MX4GPG2Y0&amp;reservation_id=31713943838941", "MX4GPG2Y0")</f>
        <v>MX4GPG2Y0</v>
      </c>
      <c r="B12480" t="s">
        <v>1841</v>
      </c>
      <c r="C12480">
        <v>473.4</v>
      </c>
      <c r="D12480">
        <v>514.6</v>
      </c>
      <c r="E12480">
        <v>514.59</v>
      </c>
      <c r="F12480">
        <v>0.01</v>
      </c>
    </row>
    <row r="12481" spans="1:6" x14ac:dyDescent="0.3">
      <c r="A12481" t="str">
        <f>HYPERLINK("https://us2.cloudbeds.com/connect/10074733072513#/reservations/31701000650946?display=MHRG1EQ6W&amp;reservation_id=31701000650946", "MHRG1EQ6W")</f>
        <v>MHRG1EQ6W</v>
      </c>
      <c r="B12481" t="s">
        <v>1788</v>
      </c>
      <c r="C12481">
        <v>358</v>
      </c>
      <c r="D12481">
        <v>389.16</v>
      </c>
      <c r="E12481">
        <v>389.15</v>
      </c>
      <c r="F12481">
        <v>0.01</v>
      </c>
    </row>
    <row r="12482" spans="1:6" x14ac:dyDescent="0.3">
      <c r="A12482" t="str">
        <f>HYPERLINK("https://us2.cloudbeds.com/connect/10074733072513#/reservations/31701007253659?display=MHRG70HA6&amp;reservation_id=31701007253659", "MHRG70HA6")</f>
        <v>MHRG70HA6</v>
      </c>
      <c r="B12482" t="s">
        <v>1788</v>
      </c>
      <c r="C12482">
        <v>398</v>
      </c>
      <c r="D12482">
        <v>432.64</v>
      </c>
      <c r="E12482">
        <v>432.63</v>
      </c>
      <c r="F12482">
        <v>0.01</v>
      </c>
    </row>
    <row r="12483" spans="1:6" x14ac:dyDescent="0.3">
      <c r="A12483" t="str">
        <f>HYPERLINK("https://us2.cloudbeds.com/connect/10074733072513#/reservations/31700921315467?display=MHRE0X5HX&amp;reservation_id=31700921315467", "MHRE0X5HX")</f>
        <v>MHRE0X5HX</v>
      </c>
      <c r="B12483" t="s">
        <v>1788</v>
      </c>
      <c r="C12483">
        <v>298</v>
      </c>
      <c r="D12483">
        <v>323.94</v>
      </c>
      <c r="E12483">
        <v>323.93</v>
      </c>
      <c r="F12483">
        <v>0.01</v>
      </c>
    </row>
    <row r="12484" spans="1:6" x14ac:dyDescent="0.3">
      <c r="A12484" t="str">
        <f>HYPERLINK("https://us2.cloudbeds.com/connect/10074733072513#/reservations/31701814739184?display=MHS3RTWWH&amp;reservation_id=31701814739184", "MHS3RTWWH")</f>
        <v>MHS3RTWWH</v>
      </c>
      <c r="B12484" t="s">
        <v>1788</v>
      </c>
      <c r="C12484">
        <v>378</v>
      </c>
      <c r="D12484">
        <v>410.9</v>
      </c>
      <c r="E12484">
        <v>410.89</v>
      </c>
      <c r="F12484">
        <v>0.01</v>
      </c>
    </row>
    <row r="12485" spans="1:6" x14ac:dyDescent="0.3">
      <c r="A12485" t="str">
        <f>HYPERLINK("https://us2.cloudbeds.com/connect/10074733072513#/reservations/31718970331360?display=MX8D6VY53&amp;reservation_id=31718970331360", "MX8D6VY53")</f>
        <v>MX8D6VY53</v>
      </c>
      <c r="B12485" t="s">
        <v>1892</v>
      </c>
      <c r="C12485">
        <v>139</v>
      </c>
      <c r="D12485">
        <v>151.1</v>
      </c>
      <c r="E12485">
        <v>151.09</v>
      </c>
      <c r="F12485">
        <v>0.01</v>
      </c>
    </row>
    <row r="12486" spans="1:6" x14ac:dyDescent="0.3">
      <c r="A12486" t="str">
        <f>HYPERLINK("https://us2.cloudbeds.com/connect/10074733072513#/reservations/31713218662624?display=MX3V7WWB3&amp;reservation_id=31713218662624", "MX3V7WWB3")</f>
        <v>MX3V7WWB3</v>
      </c>
      <c r="B12486" t="s">
        <v>1895</v>
      </c>
      <c r="C12486">
        <v>250</v>
      </c>
      <c r="D12486">
        <v>271.76</v>
      </c>
      <c r="E12486">
        <v>271.75</v>
      </c>
      <c r="F12486">
        <v>0.01</v>
      </c>
    </row>
    <row r="12487" spans="1:6" x14ac:dyDescent="0.3">
      <c r="A12487" t="str">
        <f>HYPERLINK("https://us2.cloudbeds.com/connect/10074733072513#/reservations/31718007865505?display=MX7YKCK44&amp;reservation_id=31718007865505", "MX7YKCK44")</f>
        <v>MX7YKCK44</v>
      </c>
      <c r="B12487" t="s">
        <v>1875</v>
      </c>
      <c r="C12487">
        <v>73</v>
      </c>
      <c r="D12487">
        <v>79.36</v>
      </c>
      <c r="E12487">
        <v>79.349999999999994</v>
      </c>
      <c r="F12487">
        <v>0.01</v>
      </c>
    </row>
    <row r="12488" spans="1:6" x14ac:dyDescent="0.3">
      <c r="A12488" t="str">
        <f>HYPERLINK("https://us2.cloudbeds.com/connect/10074733072513#/reservations/31722586931395?display=MXB6KXSYX&amp;reservation_id=31722586931395", "MXB6KXSYX")</f>
        <v>MXB6KXSYX</v>
      </c>
      <c r="B12488" t="s">
        <v>1875</v>
      </c>
      <c r="C12488">
        <v>169</v>
      </c>
      <c r="D12488">
        <v>183.71</v>
      </c>
      <c r="E12488">
        <v>183.7</v>
      </c>
      <c r="F12488">
        <v>0.01</v>
      </c>
    </row>
    <row r="12489" spans="1:6" x14ac:dyDescent="0.3">
      <c r="A12489" t="str">
        <f>HYPERLINK("https://us2.cloudbeds.com/connect/10074733072513#/reservations/31711940862087?display=MX2VJH9PN&amp;reservation_id=31711940862087", "MX2VJH9PN")</f>
        <v>MX2VJH9PN</v>
      </c>
      <c r="B12489" t="s">
        <v>1884</v>
      </c>
      <c r="C12489">
        <v>218</v>
      </c>
      <c r="D12489">
        <v>236.98</v>
      </c>
      <c r="E12489">
        <v>236.97</v>
      </c>
      <c r="F12489">
        <v>0.01</v>
      </c>
    </row>
    <row r="12490" spans="1:6" x14ac:dyDescent="0.3">
      <c r="A12490" t="str">
        <f>HYPERLINK("https://us2.cloudbeds.com/connect/10074733072513#/reservations/31722576560350?display=MXB6BR96F&amp;reservation_id=31722576560350", "MXB6BR96F")</f>
        <v>MXB6BR96F</v>
      </c>
      <c r="B12490" t="s">
        <v>1874</v>
      </c>
      <c r="C12490">
        <v>73</v>
      </c>
      <c r="D12490">
        <v>79.36</v>
      </c>
      <c r="E12490">
        <v>79.349999999999994</v>
      </c>
      <c r="F12490">
        <v>0.01</v>
      </c>
    </row>
    <row r="12491" spans="1:6" x14ac:dyDescent="0.3">
      <c r="A12491" t="str">
        <f>HYPERLINK("https://us2.cloudbeds.com/connect/10074733072513#/reservations/31721758085272?display=MXAXEM03B&amp;reservation_id=31721758085272", "MXAXEM03B")</f>
        <v>MXAXEM03B</v>
      </c>
      <c r="B12491" t="s">
        <v>1874</v>
      </c>
      <c r="C12491">
        <v>135</v>
      </c>
      <c r="D12491">
        <v>146.76</v>
      </c>
      <c r="E12491">
        <v>146.75</v>
      </c>
      <c r="F12491">
        <v>0.01</v>
      </c>
    </row>
    <row r="12492" spans="1:6" x14ac:dyDescent="0.3">
      <c r="A12492" t="str">
        <f>HYPERLINK("https://us2.cloudbeds.com/connect/10074733072513#/reservations/31713763139782?display=MX4C53SBU&amp;reservation_id=31713763139782", "MX4C53SBU")</f>
        <v>MX4C53SBU</v>
      </c>
      <c r="B12492" t="s">
        <v>1853</v>
      </c>
      <c r="C12492">
        <v>159</v>
      </c>
      <c r="D12492">
        <v>172.84</v>
      </c>
      <c r="E12492">
        <v>172.83</v>
      </c>
      <c r="F12492">
        <v>0.01</v>
      </c>
    </row>
    <row r="12493" spans="1:6" x14ac:dyDescent="0.3">
      <c r="A12493" t="str">
        <f>HYPERLINK("https://us2.cloudbeds.com/connect/10074733072513#/reservations/31713151037577?display=MX3TGW718&amp;reservation_id=31713151037577", "MX3TGW718")</f>
        <v>MX3TGW718</v>
      </c>
      <c r="B12493" t="s">
        <v>1853</v>
      </c>
      <c r="C12493">
        <v>298</v>
      </c>
      <c r="D12493">
        <v>323.94</v>
      </c>
      <c r="E12493">
        <v>323.93</v>
      </c>
      <c r="F12493">
        <v>0.01</v>
      </c>
    </row>
    <row r="12494" spans="1:6" x14ac:dyDescent="0.3">
      <c r="A12494" t="str">
        <f>HYPERLINK("https://us2.cloudbeds.com/connect/10074733072513#/reservations/31718718496965?display=MX86PJW8Q&amp;reservation_id=31718718496965", "MX86PJW8Q")</f>
        <v>MX86PJW8Q</v>
      </c>
      <c r="B12494" t="s">
        <v>1873</v>
      </c>
      <c r="C12494">
        <v>218</v>
      </c>
      <c r="D12494">
        <v>236.98</v>
      </c>
      <c r="E12494">
        <v>236.97</v>
      </c>
      <c r="F12494">
        <v>0.01</v>
      </c>
    </row>
    <row r="12495" spans="1:6" x14ac:dyDescent="0.3">
      <c r="A12495" t="str">
        <f>HYPERLINK("https://us2.cloudbeds.com/connect/10074733072513#/reservations/31717402357901?display=MX764QFES&amp;reservation_id=31717402357901", "MX764QFES")</f>
        <v>MX764QFES</v>
      </c>
      <c r="B12495" t="s">
        <v>1897</v>
      </c>
      <c r="C12495">
        <v>119</v>
      </c>
      <c r="D12495">
        <v>129.36000000000001</v>
      </c>
      <c r="E12495">
        <v>129.35</v>
      </c>
      <c r="F12495">
        <v>0.01</v>
      </c>
    </row>
    <row r="12496" spans="1:6" x14ac:dyDescent="0.3">
      <c r="A12496" t="str">
        <f>HYPERLINK("https://us2.cloudbeds.com/connect/10074733072513#/reservations/31715961225379?display=MX62AJREC&amp;reservation_id=31715961225379", "MX62AJREC")</f>
        <v>MX62AJREC</v>
      </c>
      <c r="B12496" t="s">
        <v>1887</v>
      </c>
      <c r="C12496">
        <v>298</v>
      </c>
      <c r="D12496">
        <v>323.94</v>
      </c>
      <c r="E12496">
        <v>323.93</v>
      </c>
      <c r="F12496">
        <v>0.01</v>
      </c>
    </row>
    <row r="12497" spans="1:6" x14ac:dyDescent="0.3">
      <c r="A12497" t="str">
        <f>HYPERLINK("https://us2.cloudbeds.com/connect/10074733072513#/reservations/31720202924183?display=MX9BNABYP&amp;reservation_id=31720202924183", "MX9BNABYP")</f>
        <v>MX9BNABYP</v>
      </c>
      <c r="B12497" t="s">
        <v>1879</v>
      </c>
      <c r="C12497">
        <v>159</v>
      </c>
      <c r="D12497">
        <v>172.84</v>
      </c>
      <c r="E12497">
        <v>172.83</v>
      </c>
      <c r="F12497">
        <v>0.01</v>
      </c>
    </row>
    <row r="12498" spans="1:6" x14ac:dyDescent="0.3">
      <c r="A12498" t="str">
        <f>HYPERLINK("https://us2.cloudbeds.com/connect/10074733072513#/reservations/31713361465472?display=MX41TDXNV&amp;reservation_id=31713361465472", "MX41TDXNV")</f>
        <v>MX41TDXNV</v>
      </c>
      <c r="B12498" t="s">
        <v>1853</v>
      </c>
      <c r="C12498">
        <v>149</v>
      </c>
      <c r="D12498">
        <v>161.97</v>
      </c>
      <c r="E12498">
        <v>161.96</v>
      </c>
      <c r="F12498">
        <v>0.01</v>
      </c>
    </row>
    <row r="12499" spans="1:6" x14ac:dyDescent="0.3">
      <c r="A12499" t="str">
        <f>HYPERLINK("https://us2.cloudbeds.com/connect/10074733072513#/reservations/31717988683986?display=MX7Y46S7W&amp;reservation_id=31717988683986", "MX7Y46S7W")</f>
        <v>MX7Y46S7W</v>
      </c>
      <c r="B12499" t="s">
        <v>1776</v>
      </c>
      <c r="C12499">
        <v>149</v>
      </c>
      <c r="D12499">
        <v>161.97</v>
      </c>
      <c r="E12499">
        <v>161.96</v>
      </c>
      <c r="F12499">
        <v>0.01</v>
      </c>
    </row>
    <row r="12500" spans="1:6" x14ac:dyDescent="0.3">
      <c r="A12500" t="str">
        <f>HYPERLINK("https://us2.cloudbeds.com/connect/10074733072513#/reservations/31720166912202?display=MX9APV8QK&amp;reservation_id=31720166912202", "MX9APV8QK")</f>
        <v>MX9APV8QK</v>
      </c>
      <c r="B12500" t="s">
        <v>1798</v>
      </c>
      <c r="C12500">
        <v>97.74</v>
      </c>
      <c r="D12500">
        <v>106.25</v>
      </c>
      <c r="E12500">
        <v>106.24</v>
      </c>
      <c r="F12500">
        <v>0.01</v>
      </c>
    </row>
    <row r="12501" spans="1:6" x14ac:dyDescent="0.3">
      <c r="A12501" t="str">
        <f>HYPERLINK("https://us2.cloudbeds.com/connect/10074733072513#/reservations/31700910362763?display=MHRDZACVD&amp;reservation_id=31700910362763", "MHRDZACVD")</f>
        <v>MHRDZACVD</v>
      </c>
      <c r="B12501" t="s">
        <v>1788</v>
      </c>
      <c r="C12501">
        <v>298</v>
      </c>
      <c r="D12501">
        <v>323.94</v>
      </c>
      <c r="E12501">
        <v>323.93</v>
      </c>
      <c r="F12501">
        <v>0.01</v>
      </c>
    </row>
    <row r="12502" spans="1:6" x14ac:dyDescent="0.3">
      <c r="A12502" t="str">
        <f>HYPERLINK("https://us2.cloudbeds.com/connect/10074733072513#/reservations/31721641697446?display=MXAFFHB7X&amp;reservation_id=31721641697446", "MXAFFHB7X")</f>
        <v>MXAFFHB7X</v>
      </c>
      <c r="B12502" t="s">
        <v>1798</v>
      </c>
      <c r="C12502">
        <v>149</v>
      </c>
      <c r="D12502">
        <v>161.97</v>
      </c>
      <c r="E12502">
        <v>161.96</v>
      </c>
      <c r="F12502">
        <v>0.01</v>
      </c>
    </row>
    <row r="12503" spans="1:6" x14ac:dyDescent="0.3">
      <c r="A12503" t="str">
        <f>HYPERLINK("https://us2.cloudbeds.com/connect/10074733072513#/reservations/31714535977163?display=MX4VTQ6XG&amp;reservation_id=31714535977163", "MX4VTQ6XG")</f>
        <v>MX4VTQ6XG</v>
      </c>
      <c r="B12503" t="s">
        <v>1539</v>
      </c>
      <c r="C12503">
        <v>247.96</v>
      </c>
      <c r="D12503">
        <v>269.54000000000002</v>
      </c>
      <c r="E12503">
        <v>269.52999999999997</v>
      </c>
      <c r="F12503">
        <v>0.01</v>
      </c>
    </row>
    <row r="12504" spans="1:6" x14ac:dyDescent="0.3">
      <c r="A12504" t="str">
        <f>HYPERLINK("https://us2.cloudbeds.com/connect/10074733072513#/reservations/31717736599795?display=MX7EMY7W3&amp;reservation_id=31717736599795", "MX7EMY7W3")</f>
        <v>MX7EMY7W3</v>
      </c>
      <c r="B12504" t="s">
        <v>1854</v>
      </c>
      <c r="C12504">
        <v>149</v>
      </c>
      <c r="D12504">
        <v>161.97</v>
      </c>
      <c r="E12504">
        <v>161.96</v>
      </c>
      <c r="F12504">
        <v>0.01</v>
      </c>
    </row>
    <row r="12505" spans="1:6" x14ac:dyDescent="0.3">
      <c r="A12505" t="str">
        <f>HYPERLINK("https://us2.cloudbeds.com/connect/10074733072513#/reservations/31711951806679?display=MX2VSZRU0&amp;reservation_id=31711951806679", "MX2VSZRU0")</f>
        <v>MX2VSZRU0</v>
      </c>
      <c r="B12505" t="s">
        <v>1884</v>
      </c>
      <c r="C12505">
        <v>119</v>
      </c>
      <c r="D12505">
        <v>129.36000000000001</v>
      </c>
      <c r="E12505">
        <v>129.35</v>
      </c>
      <c r="F12505">
        <v>0.01</v>
      </c>
    </row>
    <row r="12506" spans="1:6" x14ac:dyDescent="0.3">
      <c r="A12506" t="str">
        <f>HYPERLINK("https://us2.cloudbeds.com/connect/10074733072513#/reservations/31718732177560?display=MX8744YQ8&amp;reservation_id=31718732177560", "MX8744YQ8")</f>
        <v>MX8744YQ8</v>
      </c>
      <c r="B12506" t="s">
        <v>1798</v>
      </c>
      <c r="C12506">
        <v>149</v>
      </c>
      <c r="D12506">
        <v>161.97</v>
      </c>
      <c r="E12506">
        <v>161.96</v>
      </c>
      <c r="F12506">
        <v>0.01</v>
      </c>
    </row>
    <row r="12507" spans="1:6" x14ac:dyDescent="0.3">
      <c r="A12507" t="str">
        <f>HYPERLINK("https://us2.cloudbeds.com/connect/10074733072513#/reservations/31712776581322?display=MX3JV7DZ0&amp;reservation_id=31712776581322", "MX3JV7DZ0")</f>
        <v>MX3JV7DZ0</v>
      </c>
      <c r="B12507" t="s">
        <v>1539</v>
      </c>
      <c r="C12507">
        <v>247.96</v>
      </c>
      <c r="D12507">
        <v>269.54000000000002</v>
      </c>
      <c r="E12507">
        <v>269.52999999999997</v>
      </c>
      <c r="F12507">
        <v>0.01</v>
      </c>
    </row>
    <row r="12508" spans="1:6" x14ac:dyDescent="0.3">
      <c r="A12508" t="str">
        <f>HYPERLINK("https://us2.cloudbeds.com/connect/10074733072513#/reservations/31711352299687?display=MX2GX7MEF&amp;reservation_id=31711352299687", "MX2GX7MEF")</f>
        <v>MX2GX7MEF</v>
      </c>
      <c r="B12508" t="s">
        <v>1539</v>
      </c>
      <c r="C12508">
        <v>378</v>
      </c>
      <c r="D12508">
        <v>410.9</v>
      </c>
      <c r="E12508">
        <v>410.89</v>
      </c>
      <c r="F12508">
        <v>0.01</v>
      </c>
    </row>
    <row r="12509" spans="1:6" x14ac:dyDescent="0.3">
      <c r="A12509" t="str">
        <f>HYPERLINK("https://us2.cloudbeds.com/connect/10074733072513#/reservations/31716993810585?display=MX6SNA174&amp;reservation_id=31716993810585", "MX6SNA174")</f>
        <v>MX6SNA174</v>
      </c>
      <c r="B12509" t="s">
        <v>1850</v>
      </c>
      <c r="C12509">
        <v>139</v>
      </c>
      <c r="D12509">
        <v>151.1</v>
      </c>
      <c r="E12509">
        <v>151.09</v>
      </c>
      <c r="F12509">
        <v>0.01</v>
      </c>
    </row>
    <row r="12510" spans="1:6" x14ac:dyDescent="0.3">
      <c r="A12510" t="str">
        <f>HYPERLINK("https://us2.cloudbeds.com/connect/10074733072513#/reservations/31714068971681?display=MX4JW02Z7&amp;reservation_id=31714068971681", "MX4JW02Z7")</f>
        <v>MX4JW02Z7</v>
      </c>
      <c r="B12510" t="s">
        <v>1781</v>
      </c>
      <c r="C12510">
        <v>209</v>
      </c>
      <c r="D12510">
        <v>227.19</v>
      </c>
      <c r="E12510">
        <v>227.18</v>
      </c>
      <c r="F12510">
        <v>0.01</v>
      </c>
    </row>
    <row r="12511" spans="1:6" x14ac:dyDescent="0.3">
      <c r="A12511" t="str">
        <f>HYPERLINK("https://us2.cloudbeds.com/connect/10074733072513#/reservations/31719269904524?display=MX8KSXN9P&amp;reservation_id=31719269904524", "MX8KSXN9P")</f>
        <v>MX8KSXN9P</v>
      </c>
      <c r="B12511" t="s">
        <v>1850</v>
      </c>
      <c r="C12511">
        <v>278</v>
      </c>
      <c r="D12511">
        <v>302.2</v>
      </c>
      <c r="E12511">
        <v>302.19</v>
      </c>
      <c r="F12511">
        <v>0.01</v>
      </c>
    </row>
    <row r="12512" spans="1:6" x14ac:dyDescent="0.3">
      <c r="A12512" t="str">
        <f>HYPERLINK("https://us2.cloudbeds.com/connect/10074733072513#/reservations/31713894633620?display=MX4FGWSMM&amp;reservation_id=31713894633620", "MX4FGWSMM")</f>
        <v>MX4FGWSMM</v>
      </c>
      <c r="B12512" t="s">
        <v>1841</v>
      </c>
      <c r="C12512">
        <v>109</v>
      </c>
      <c r="D12512">
        <v>118.49</v>
      </c>
      <c r="E12512">
        <v>118.48</v>
      </c>
      <c r="F12512">
        <v>0.01</v>
      </c>
    </row>
    <row r="12513" spans="1:6" x14ac:dyDescent="0.3">
      <c r="A12513" t="str">
        <f>HYPERLINK("https://us2.cloudbeds.com/connect/10074733072513#/reservations/31720089227487?display=MX98QEXWB&amp;reservation_id=31720089227487", "MX98QEXWB")</f>
        <v>MX98QEXWB</v>
      </c>
      <c r="B12513" t="s">
        <v>1900</v>
      </c>
      <c r="C12513">
        <v>109</v>
      </c>
      <c r="D12513">
        <v>118.49</v>
      </c>
      <c r="E12513">
        <v>118.48</v>
      </c>
      <c r="F12513">
        <v>0.01</v>
      </c>
    </row>
    <row r="12514" spans="1:6" x14ac:dyDescent="0.3">
      <c r="A12514" t="str">
        <f>HYPERLINK("https://us2.cloudbeds.com/connect/10074733072513#/reservations/31715630248129?display=MX5QSGTZZ&amp;reservation_id=31715630248129", "MX5QSGTZZ")</f>
        <v>MX5QSGTZZ</v>
      </c>
      <c r="B12514" t="s">
        <v>1844</v>
      </c>
      <c r="C12514">
        <v>298</v>
      </c>
      <c r="D12514">
        <v>323.94</v>
      </c>
      <c r="E12514">
        <v>323.93</v>
      </c>
      <c r="F12514">
        <v>0.01</v>
      </c>
    </row>
    <row r="12515" spans="1:6" x14ac:dyDescent="0.3">
      <c r="A12515" t="str">
        <f>HYPERLINK("https://us2.cloudbeds.com/connect/10074733072513#/reservations/31717357404364?display=MX74WTXQF&amp;reservation_id=31717357404364", "MX74WTXQF")</f>
        <v>MX74WTXQF</v>
      </c>
      <c r="B12515" t="s">
        <v>1897</v>
      </c>
      <c r="C12515">
        <v>252</v>
      </c>
      <c r="D12515">
        <v>273.93</v>
      </c>
      <c r="E12515">
        <v>273.92</v>
      </c>
      <c r="F12515">
        <v>0.01</v>
      </c>
    </row>
    <row r="12516" spans="1:6" x14ac:dyDescent="0.3">
      <c r="A12516" t="str">
        <f>HYPERLINK("https://us2.cloudbeds.com/connect/10074733072513#/reservations/31717350097076?display=MX74QZ7NG&amp;reservation_id=31717350097076", "MX74QZ7NG")</f>
        <v>MX74QZ7NG</v>
      </c>
      <c r="B12516" t="s">
        <v>1897</v>
      </c>
      <c r="C12516">
        <v>73</v>
      </c>
      <c r="D12516">
        <v>79.36</v>
      </c>
      <c r="E12516">
        <v>79.349999999999994</v>
      </c>
      <c r="F12516">
        <v>0.01</v>
      </c>
    </row>
    <row r="12517" spans="1:6" x14ac:dyDescent="0.3">
      <c r="A12517" t="str">
        <f>HYPERLINK("https://us2.cloudbeds.com/connect/10074733072513#/reservations/31715876028553?display=MX604P3EC&amp;reservation_id=31715876028553", "MX604P3EC")</f>
        <v>MX604P3EC</v>
      </c>
      <c r="B12517" t="s">
        <v>1768</v>
      </c>
      <c r="C12517">
        <v>378</v>
      </c>
      <c r="D12517">
        <v>410.9</v>
      </c>
      <c r="E12517">
        <v>410.89</v>
      </c>
      <c r="F12517">
        <v>0.01</v>
      </c>
    </row>
    <row r="12518" spans="1:6" x14ac:dyDescent="0.3">
      <c r="A12518" t="str">
        <f>HYPERLINK("https://us2.cloudbeds.com/connect/10074733072513#/reservations/31713818546431?display=MX4DXRKR9&amp;reservation_id=31713818546431", "MX4DXRKR9")</f>
        <v>MX4DXRKR9</v>
      </c>
      <c r="B12518" t="s">
        <v>1690</v>
      </c>
      <c r="C12518">
        <v>249</v>
      </c>
      <c r="D12518">
        <v>270.67</v>
      </c>
      <c r="E12518">
        <v>270.66000000000003</v>
      </c>
      <c r="F12518">
        <v>0.01</v>
      </c>
    </row>
    <row r="12519" spans="1:6" x14ac:dyDescent="0.3">
      <c r="A12519" t="str">
        <f>HYPERLINK("https://us2.cloudbeds.com/connect/10074733072513#/reservations/31720054526100?display=MX97U5VK5&amp;reservation_id=31720054526100", "MX97U5VK5")</f>
        <v>MX97U5VK5</v>
      </c>
      <c r="B12519" t="s">
        <v>1900</v>
      </c>
      <c r="C12519">
        <v>109</v>
      </c>
      <c r="D12519">
        <v>118.49</v>
      </c>
      <c r="E12519">
        <v>118.48</v>
      </c>
      <c r="F12519">
        <v>0.01</v>
      </c>
    </row>
    <row r="12520" spans="1:6" x14ac:dyDescent="0.3">
      <c r="A12520" t="str">
        <f>HYPERLINK("https://us2.cloudbeds.com/connect/10074733072513#/reservations/31715575419095?display=MX5PF96MQ&amp;reservation_id=31715575419095", "MX5PF96MQ")</f>
        <v>MX5PF96MQ</v>
      </c>
      <c r="B12520" t="s">
        <v>1901</v>
      </c>
      <c r="C12520">
        <v>322.2</v>
      </c>
      <c r="D12520">
        <v>350.24</v>
      </c>
      <c r="E12520">
        <v>350.23</v>
      </c>
      <c r="F12520">
        <v>0.01</v>
      </c>
    </row>
    <row r="12521" spans="1:6" x14ac:dyDescent="0.3">
      <c r="A12521" t="str">
        <f>HYPERLINK("https://us2.cloudbeds.com/connect/10074733072513#/reservations/31700859420894?display=MHRCEBSCE&amp;reservation_id=31700859420894", "MHRCEBSCE")</f>
        <v>MHRCEBSCE</v>
      </c>
      <c r="B12521" t="s">
        <v>1788</v>
      </c>
      <c r="C12521">
        <v>418</v>
      </c>
      <c r="D12521">
        <v>454.38</v>
      </c>
      <c r="E12521">
        <v>454.37</v>
      </c>
      <c r="F12521">
        <v>0.01</v>
      </c>
    </row>
    <row r="12522" spans="1:6" x14ac:dyDescent="0.3">
      <c r="A12522" t="str">
        <f>HYPERLINK("https://us2.cloudbeds.com/connect/10074733072513#/reservations/31720982347969?display=MX9VKHVWC&amp;reservation_id=31720982347969", "MX9VKHVWC")</f>
        <v>MX9VKHVWC</v>
      </c>
      <c r="B12522" t="s">
        <v>1898</v>
      </c>
      <c r="C12522">
        <v>119</v>
      </c>
      <c r="D12522">
        <v>129.36000000000001</v>
      </c>
      <c r="E12522">
        <v>129.35</v>
      </c>
      <c r="F12522">
        <v>0.01</v>
      </c>
    </row>
    <row r="12523" spans="1:6" x14ac:dyDescent="0.3">
      <c r="A12523" t="str">
        <f>HYPERLINK("https://us2.cloudbeds.com/connect/10074733072513#/reservations/31720946487497?display=MX9UNA38D&amp;reservation_id=31720946487497", "MX9UNA38D")</f>
        <v>MX9UNA38D</v>
      </c>
      <c r="B12523" t="s">
        <v>1898</v>
      </c>
      <c r="C12523">
        <v>73</v>
      </c>
      <c r="D12523">
        <v>79.36</v>
      </c>
      <c r="E12523">
        <v>79.349999999999994</v>
      </c>
      <c r="F12523">
        <v>0.01</v>
      </c>
    </row>
    <row r="12524" spans="1:6" x14ac:dyDescent="0.3">
      <c r="A12524" t="str">
        <f>HYPERLINK("https://us2.cloudbeds.com/connect/10074733072513#/reservations/31717914247368?display=MX7J7EX1T&amp;reservation_id=31717914247368", "MX7J7EX1T")</f>
        <v>MX7J7EX1T</v>
      </c>
      <c r="B12524" t="s">
        <v>1776</v>
      </c>
      <c r="C12524">
        <v>179</v>
      </c>
      <c r="D12524">
        <v>194.58</v>
      </c>
      <c r="E12524">
        <v>194.57</v>
      </c>
      <c r="F12524">
        <v>0.01</v>
      </c>
    </row>
    <row r="12525" spans="1:6" x14ac:dyDescent="0.3">
      <c r="A12525" t="str">
        <f>HYPERLINK("https://us2.cloudbeds.com/connect/10074733072513#/reservations/31719782711471?display=MX90VWAD7&amp;reservation_id=31719782711471", "MX90VWAD7")</f>
        <v>MX90VWAD7</v>
      </c>
      <c r="B12525" t="s">
        <v>1898</v>
      </c>
      <c r="C12525">
        <v>178</v>
      </c>
      <c r="D12525">
        <v>193.5</v>
      </c>
      <c r="E12525">
        <v>193.49</v>
      </c>
      <c r="F12525">
        <v>0.01</v>
      </c>
    </row>
    <row r="12526" spans="1:6" x14ac:dyDescent="0.3">
      <c r="A12526" t="str">
        <f>HYPERLINK("https://us2.cloudbeds.com/connect/10074733072513#/reservations/31718816104590?display=MX898U1PK&amp;reservation_id=31718816104590", "MX898U1PK")</f>
        <v>MX898U1PK</v>
      </c>
      <c r="B12526" t="s">
        <v>1897</v>
      </c>
      <c r="C12526">
        <v>109</v>
      </c>
      <c r="D12526">
        <v>118.49</v>
      </c>
      <c r="E12526">
        <v>118.48</v>
      </c>
      <c r="F12526">
        <v>0.01</v>
      </c>
    </row>
    <row r="12527" spans="1:6" x14ac:dyDescent="0.3">
      <c r="A12527" t="str">
        <f>HYPERLINK("https://us2.cloudbeds.com/connect/10074733072513#/reservations/31718802776285?display=MX88UM5ZJ&amp;reservation_id=31718802776285", "MX88UM5ZJ")</f>
        <v>MX88UM5ZJ</v>
      </c>
      <c r="B12527" t="s">
        <v>1897</v>
      </c>
      <c r="C12527">
        <v>102.58</v>
      </c>
      <c r="D12527">
        <v>111.51</v>
      </c>
      <c r="E12527">
        <v>111.5</v>
      </c>
      <c r="F12527">
        <v>0.01</v>
      </c>
    </row>
    <row r="12528" spans="1:6" x14ac:dyDescent="0.3">
      <c r="A12528" t="str">
        <f>HYPERLINK("https://us2.cloudbeds.com/connect/10074733072513#/reservations/31720911929501?display=MX9TR5FXD&amp;reservation_id=31720911929501", "MX9TR5FXD")</f>
        <v>MX9TR5FXD</v>
      </c>
      <c r="B12528" t="s">
        <v>1772</v>
      </c>
      <c r="C12528">
        <v>195.48</v>
      </c>
      <c r="D12528">
        <v>212.5</v>
      </c>
      <c r="E12528">
        <v>212.49</v>
      </c>
      <c r="F12528">
        <v>0.01</v>
      </c>
    </row>
    <row r="12529" spans="1:6" x14ac:dyDescent="0.3">
      <c r="A12529" t="str">
        <f>HYPERLINK("https://us2.cloudbeds.com/connect/10074733072513#/reservations/31718540230831?display=MX8279F5Z&amp;reservation_id=31718540230831", "MX8279F5Z")</f>
        <v>MX8279F5Z</v>
      </c>
      <c r="B12529" t="s">
        <v>1844</v>
      </c>
      <c r="C12529">
        <v>205.16</v>
      </c>
      <c r="D12529">
        <v>223.02</v>
      </c>
      <c r="E12529">
        <v>223.01</v>
      </c>
      <c r="F12529">
        <v>0.01</v>
      </c>
    </row>
    <row r="12530" spans="1:6" x14ac:dyDescent="0.3">
      <c r="A12530" t="str">
        <f>HYPERLINK("https://us2.cloudbeds.com/connect/10074733072513#/reservations/31717303275770?display=MX73K8BV1&amp;reservation_id=31717303275770", "MX73K8BV1")</f>
        <v>MX73K8BV1</v>
      </c>
      <c r="B12530" t="s">
        <v>1897</v>
      </c>
      <c r="C12530">
        <v>218</v>
      </c>
      <c r="D12530">
        <v>236.98</v>
      </c>
      <c r="E12530">
        <v>236.97</v>
      </c>
      <c r="F12530">
        <v>0.01</v>
      </c>
    </row>
    <row r="12531" spans="1:6" x14ac:dyDescent="0.3">
      <c r="A12531" t="str">
        <f>HYPERLINK("https://us2.cloudbeds.com/connect/10074733072513#/reservations/31720364634269?display=MX9FRM5PD&amp;reservation_id=31720364634269", "MX9FRM5PD")</f>
        <v>MX9FRM5PD</v>
      </c>
      <c r="B12531" t="s">
        <v>1776</v>
      </c>
      <c r="C12531">
        <v>179</v>
      </c>
      <c r="D12531">
        <v>194.58</v>
      </c>
      <c r="E12531">
        <v>194.57</v>
      </c>
      <c r="F12531">
        <v>0.01</v>
      </c>
    </row>
    <row r="12532" spans="1:6" x14ac:dyDescent="0.3">
      <c r="A12532" t="str">
        <f>HYPERLINK("https://us2.cloudbeds.com/connect/10074733072513#/reservations/31713132048598?display=MX3T0VQVY&amp;reservation_id=31713132048598", "MX3T0VQVY")</f>
        <v>MX3T0VQVY</v>
      </c>
      <c r="B12532" t="s">
        <v>1853</v>
      </c>
      <c r="C12532">
        <v>149</v>
      </c>
      <c r="D12532">
        <v>161.97</v>
      </c>
      <c r="E12532">
        <v>161.96</v>
      </c>
      <c r="F12532">
        <v>0.01</v>
      </c>
    </row>
    <row r="12533" spans="1:6" x14ac:dyDescent="0.3">
      <c r="A12533" t="str">
        <f>HYPERLINK("https://us2.cloudbeds.com/connect/10074733072513#/reservations/31711948693756?display=MX2VQ47D0&amp;reservation_id=31711948693756", "MX2VQ47D0")</f>
        <v>MX2VQ47D0</v>
      </c>
      <c r="B12533" t="s">
        <v>1884</v>
      </c>
      <c r="C12533">
        <v>109</v>
      </c>
      <c r="D12533">
        <v>118.49</v>
      </c>
      <c r="E12533">
        <v>118.48</v>
      </c>
      <c r="F12533">
        <v>0.01</v>
      </c>
    </row>
    <row r="12534" spans="1:6" x14ac:dyDescent="0.3">
      <c r="A12534" t="str">
        <f>HYPERLINK("https://us2.cloudbeds.com/connect/10074733072513#/reservations/31724983292052?display=MXD1S84G5&amp;reservation_id=31724983292052", "MXD1S84G5")</f>
        <v>MXD1S84G5</v>
      </c>
      <c r="B12534" t="s">
        <v>1856</v>
      </c>
      <c r="C12534">
        <v>139</v>
      </c>
      <c r="D12534">
        <v>151.1</v>
      </c>
      <c r="E12534">
        <v>151.09</v>
      </c>
      <c r="F12534">
        <v>0.01</v>
      </c>
    </row>
    <row r="12535" spans="1:6" x14ac:dyDescent="0.3">
      <c r="A12535" t="str">
        <f>HYPERLINK("https://us2.cloudbeds.com/connect/10074733072513#/reservations/31719717630091?display=MX8WA3AT6&amp;reservation_id=31719717630091", "MX8WA3AT6")</f>
        <v>MX8WA3AT6</v>
      </c>
      <c r="B12535" t="s">
        <v>1884</v>
      </c>
      <c r="C12535">
        <v>109</v>
      </c>
      <c r="D12535">
        <v>118.49</v>
      </c>
      <c r="E12535">
        <v>118.48</v>
      </c>
      <c r="F12535">
        <v>0.01</v>
      </c>
    </row>
    <row r="12536" spans="1:6" x14ac:dyDescent="0.3">
      <c r="A12536" t="str">
        <f>HYPERLINK("https://us2.cloudbeds.com/connect/10074733072513#/reservations/31724944973978?display=MXD0SUT0D&amp;reservation_id=31724944973978", "MXD0SUT0D")</f>
        <v>MXD0SUT0D</v>
      </c>
      <c r="B12536" t="s">
        <v>1856</v>
      </c>
      <c r="C12536">
        <v>139</v>
      </c>
      <c r="D12536">
        <v>151.1</v>
      </c>
      <c r="E12536">
        <v>151.09</v>
      </c>
      <c r="F12536">
        <v>0.01</v>
      </c>
    </row>
    <row r="12537" spans="1:6" x14ac:dyDescent="0.3">
      <c r="A12537" t="str">
        <f>HYPERLINK("https://us2.cloudbeds.com/connect/10074733072513#/reservations/31717181919363?display=MX70GUEX5&amp;reservation_id=31717181919363", "MX70GUEX5")</f>
        <v>MX70GUEX5</v>
      </c>
      <c r="B12537" t="s">
        <v>1826</v>
      </c>
      <c r="C12537">
        <v>338</v>
      </c>
      <c r="D12537">
        <v>367.42</v>
      </c>
      <c r="E12537">
        <v>367.41</v>
      </c>
      <c r="F12537">
        <v>0.01</v>
      </c>
    </row>
    <row r="12538" spans="1:6" x14ac:dyDescent="0.3">
      <c r="A12538" t="str">
        <f>HYPERLINK("https://us2.cloudbeds.com/connect/10074733072513#/reservations/31720399249653?display=MX9GNSD5D&amp;reservation_id=31720399249653", "MX9GNSD5D")</f>
        <v>MX9GNSD5D</v>
      </c>
      <c r="B12538" t="s">
        <v>1776</v>
      </c>
      <c r="C12538">
        <v>159</v>
      </c>
      <c r="D12538">
        <v>172.84</v>
      </c>
      <c r="E12538">
        <v>172.83</v>
      </c>
      <c r="F12538">
        <v>0.01</v>
      </c>
    </row>
    <row r="12539" spans="1:6" x14ac:dyDescent="0.3">
      <c r="A12539" t="str">
        <f>HYPERLINK("https://us2.cloudbeds.com/connect/10074733072513#/reservations/31717366866155?display=MX757SSAD&amp;reservation_id=31717366866155", "MX757SSAD")</f>
        <v>MX757SSAD</v>
      </c>
      <c r="B12539" t="s">
        <v>1903</v>
      </c>
      <c r="C12539">
        <v>97.74</v>
      </c>
      <c r="D12539">
        <v>106.25</v>
      </c>
      <c r="E12539">
        <v>106.24</v>
      </c>
      <c r="F12539">
        <v>0.01</v>
      </c>
    </row>
    <row r="12540" spans="1:6" x14ac:dyDescent="0.3">
      <c r="A12540" t="str">
        <f>HYPERLINK("https://us2.cloudbeds.com/connect/10074733072513#/reservations/31724937912505?display=MXD0MWCYC&amp;reservation_id=31724937912505", "MXD0MWCYC")</f>
        <v>MXD0MWCYC</v>
      </c>
      <c r="B12540" t="s">
        <v>1856</v>
      </c>
      <c r="C12540">
        <v>139</v>
      </c>
      <c r="D12540">
        <v>151.1</v>
      </c>
      <c r="E12540">
        <v>151.09</v>
      </c>
      <c r="F12540">
        <v>0.01</v>
      </c>
    </row>
    <row r="12541" spans="1:6" x14ac:dyDescent="0.3">
      <c r="A12541" t="str">
        <f>HYPERLINK("https://us2.cloudbeds.com/connect/10074733072513#/reservations/31719188095199?display=MX8XPJ7VA&amp;reservation_id=31719188095199", "MX8XPJ7VA")</f>
        <v>MX8XPJ7VA</v>
      </c>
      <c r="B12541" t="s">
        <v>1856</v>
      </c>
      <c r="C12541">
        <v>139</v>
      </c>
      <c r="D12541">
        <v>151.1</v>
      </c>
      <c r="E12541">
        <v>151.09</v>
      </c>
      <c r="F12541">
        <v>0.01</v>
      </c>
    </row>
    <row r="12542" spans="1:6" x14ac:dyDescent="0.3">
      <c r="A12542" t="str">
        <f>HYPERLINK("https://us2.cloudbeds.com/connect/10074733072513#/reservations/31719158997185?display=MX8X11X0A&amp;reservation_id=31719158997185", "MX8X11X0A")</f>
        <v>MX8X11X0A</v>
      </c>
      <c r="B12542" t="s">
        <v>1844</v>
      </c>
      <c r="C12542">
        <v>149</v>
      </c>
      <c r="D12542">
        <v>161.97</v>
      </c>
      <c r="E12542">
        <v>161.96</v>
      </c>
      <c r="F12542">
        <v>0.01</v>
      </c>
    </row>
    <row r="12543" spans="1:6" x14ac:dyDescent="0.3">
      <c r="A12543" t="str">
        <f>HYPERLINK("https://us2.cloudbeds.com/connect/10074733072513#/reservations/31719147061468?display=MX8HNWDZU&amp;reservation_id=31719147061468", "MX8HNWDZU")</f>
        <v>MX8HNWDZU</v>
      </c>
      <c r="B12543" t="s">
        <v>1844</v>
      </c>
      <c r="C12543">
        <v>149</v>
      </c>
      <c r="D12543">
        <v>161.97</v>
      </c>
      <c r="E12543">
        <v>161.96</v>
      </c>
      <c r="F12543">
        <v>0.01</v>
      </c>
    </row>
    <row r="12544" spans="1:6" x14ac:dyDescent="0.3">
      <c r="A12544" t="str">
        <f>HYPERLINK("https://us2.cloudbeds.com/connect/10074733072513#/reservations/31725007192281?display=MXD2FD6EH&amp;reservation_id=31725007192281", "MXD2FD6EH")</f>
        <v>MXD2FD6EH</v>
      </c>
      <c r="B12544" t="s">
        <v>1856</v>
      </c>
      <c r="C12544">
        <v>139</v>
      </c>
      <c r="D12544">
        <v>151.1</v>
      </c>
      <c r="E12544">
        <v>151.09</v>
      </c>
      <c r="F12544">
        <v>0.01</v>
      </c>
    </row>
    <row r="12545" spans="1:6" x14ac:dyDescent="0.3">
      <c r="A12545" t="str">
        <f>HYPERLINK("https://us2.cloudbeds.com/connect/10074733072513#/reservations/31724954226932?display=MXD13ZBZV&amp;reservation_id=31724954226932", "MXD13ZBZV")</f>
        <v>MXD13ZBZV</v>
      </c>
      <c r="B12545" t="s">
        <v>1856</v>
      </c>
      <c r="C12545">
        <v>139</v>
      </c>
      <c r="D12545">
        <v>151.1</v>
      </c>
      <c r="E12545">
        <v>151.09</v>
      </c>
      <c r="F12545">
        <v>0.01</v>
      </c>
    </row>
    <row r="12546" spans="1:6" x14ac:dyDescent="0.3">
      <c r="A12546" t="str">
        <f>HYPERLINK("https://us2.cloudbeds.com/connect/10074733072513#/reservations/31715633975524?display=MX5QVYKH3&amp;reservation_id=31715633975524", "MX5QVYKH3")</f>
        <v>MX5QVYKH3</v>
      </c>
      <c r="B12546" t="s">
        <v>1844</v>
      </c>
      <c r="C12546">
        <v>139</v>
      </c>
      <c r="D12546">
        <v>151.1</v>
      </c>
      <c r="E12546">
        <v>151.09</v>
      </c>
      <c r="F12546">
        <v>0.01</v>
      </c>
    </row>
    <row r="12547" spans="1:6" x14ac:dyDescent="0.3">
      <c r="A12547" t="str">
        <f>HYPERLINK("https://us2.cloudbeds.com/connect/10074733072513#/reservations/31718550257823?display=MX82FZFMW&amp;reservation_id=31718550257823", "MX82FZFMW")</f>
        <v>MX82FZFMW</v>
      </c>
      <c r="B12547" t="s">
        <v>1844</v>
      </c>
      <c r="C12547">
        <v>139</v>
      </c>
      <c r="D12547">
        <v>151.1</v>
      </c>
      <c r="E12547">
        <v>151.09</v>
      </c>
      <c r="F12547">
        <v>0.01</v>
      </c>
    </row>
    <row r="12548" spans="1:6" x14ac:dyDescent="0.3">
      <c r="A12548" t="str">
        <f>HYPERLINK("https://us2.cloudbeds.com/connect/10074733072513#/reservations/31718642434199?display=MX84RFDRG&amp;reservation_id=31718642434199", "MX84RFDRG")</f>
        <v>MX84RFDRG</v>
      </c>
      <c r="B12548" t="s">
        <v>1768</v>
      </c>
      <c r="C12548">
        <v>378</v>
      </c>
      <c r="D12548">
        <v>410.9</v>
      </c>
      <c r="E12548">
        <v>410.89</v>
      </c>
      <c r="F12548">
        <v>0.01</v>
      </c>
    </row>
    <row r="12549" spans="1:6" x14ac:dyDescent="0.3">
      <c r="A12549" t="str">
        <f>HYPERLINK("https://us2.cloudbeds.com/connect/10074733072513#/reservations/31718192509096?display=MX7QB2JFF&amp;reservation_id=31718192509096", "MX7QB2JFF")</f>
        <v>MX7QB2JFF</v>
      </c>
      <c r="B12549" t="s">
        <v>1883</v>
      </c>
      <c r="C12549">
        <v>89</v>
      </c>
      <c r="D12549">
        <v>96.75</v>
      </c>
      <c r="E12549">
        <v>96.74</v>
      </c>
      <c r="F12549">
        <v>0.01</v>
      </c>
    </row>
    <row r="12550" spans="1:6" x14ac:dyDescent="0.3">
      <c r="A12550" t="str">
        <f>HYPERLINK("https://us2.cloudbeds.com/connect/10074733072513#/reservations/31714683076781?display=MX52YRF8M&amp;reservation_id=31714683076781", "MX52YRF8M")</f>
        <v>MX52YRF8M</v>
      </c>
      <c r="B12550" t="s">
        <v>1905</v>
      </c>
      <c r="C12550">
        <v>338</v>
      </c>
      <c r="D12550">
        <v>367.42</v>
      </c>
      <c r="E12550">
        <v>367.41</v>
      </c>
      <c r="F12550">
        <v>0.01</v>
      </c>
    </row>
    <row r="12551" spans="1:6" x14ac:dyDescent="0.3">
      <c r="A12551" t="str">
        <f>HYPERLINK("https://us2.cloudbeds.com/connect/10074733072513#/reservations/31718506660055?display=MX81BWA0G&amp;reservation_id=31718506660055", "MX81BWA0G")</f>
        <v>MX81BWA0G</v>
      </c>
      <c r="B12551" t="s">
        <v>1844</v>
      </c>
      <c r="C12551">
        <v>139</v>
      </c>
      <c r="D12551">
        <v>151.1</v>
      </c>
      <c r="E12551">
        <v>151.09</v>
      </c>
      <c r="F12551">
        <v>0.01</v>
      </c>
    </row>
    <row r="12552" spans="1:6" x14ac:dyDescent="0.3">
      <c r="A12552" t="str">
        <f>HYPERLINK("https://us2.cloudbeds.com/connect/10074733072513#/reservations/31715645018296?display=MX5R7VTQX&amp;reservation_id=31715645018296", "MX5R7VTQX")</f>
        <v>MX5R7VTQX</v>
      </c>
      <c r="B12552" t="s">
        <v>1844</v>
      </c>
      <c r="C12552">
        <v>159</v>
      </c>
      <c r="D12552">
        <v>172.84</v>
      </c>
      <c r="E12552">
        <v>172.83</v>
      </c>
      <c r="F12552">
        <v>0.01</v>
      </c>
    </row>
    <row r="12553" spans="1:6" x14ac:dyDescent="0.3">
      <c r="A12553" t="str">
        <f>HYPERLINK("https://us2.cloudbeds.com/connect/10074733072513#/reservations/31719102435458?display=MX8GJBKSJ&amp;reservation_id=31719102435458", "MX8GJBKSJ")</f>
        <v>MX8GJBKSJ</v>
      </c>
      <c r="B12553" t="s">
        <v>1906</v>
      </c>
      <c r="C12553">
        <v>102.58</v>
      </c>
      <c r="D12553">
        <v>111.51</v>
      </c>
      <c r="E12553">
        <v>111.5</v>
      </c>
      <c r="F12553">
        <v>0.01</v>
      </c>
    </row>
    <row r="12554" spans="1:6" x14ac:dyDescent="0.3">
      <c r="A12554" t="str">
        <f>HYPERLINK("https://us2.cloudbeds.com/connect/10074733072513#/reservations/31719125647571?display=MX8H5UHUV&amp;reservation_id=31719125647571", "MX8H5UHUV")</f>
        <v>MX8H5UHUV</v>
      </c>
      <c r="B12554" t="s">
        <v>1906</v>
      </c>
      <c r="C12554">
        <v>109</v>
      </c>
      <c r="D12554">
        <v>118.49</v>
      </c>
      <c r="E12554">
        <v>118.48</v>
      </c>
      <c r="F12554">
        <v>0.01</v>
      </c>
    </row>
    <row r="12555" spans="1:6" x14ac:dyDescent="0.3">
      <c r="A12555" t="str">
        <f>HYPERLINK("https://us2.cloudbeds.com/connect/10074733072513#/reservations/31721593450750?display=MXAE7RQXF&amp;reservation_id=31721593450750", "MXAE7RQXF")</f>
        <v>MXAE7RQXF</v>
      </c>
      <c r="B12555" t="s">
        <v>1907</v>
      </c>
      <c r="C12555">
        <v>109</v>
      </c>
      <c r="D12555">
        <v>118.49</v>
      </c>
      <c r="E12555">
        <v>118.48</v>
      </c>
      <c r="F12555">
        <v>0.01</v>
      </c>
    </row>
    <row r="12556" spans="1:6" x14ac:dyDescent="0.3">
      <c r="A12556" t="str">
        <f>HYPERLINK("https://us2.cloudbeds.com/connect/10074733072513#/reservations/31712873570458?display=MX3ME099Z&amp;reservation_id=31712873570458", "MX3ME099Z")</f>
        <v>MX3ME099Z</v>
      </c>
      <c r="B12556" t="s">
        <v>1690</v>
      </c>
      <c r="C12556">
        <v>139</v>
      </c>
      <c r="D12556">
        <v>151.1</v>
      </c>
      <c r="E12556">
        <v>151.09</v>
      </c>
      <c r="F12556">
        <v>0.01</v>
      </c>
    </row>
    <row r="12557" spans="1:6" x14ac:dyDescent="0.3">
      <c r="A12557" t="str">
        <f>HYPERLINK("https://us2.cloudbeds.com/connect/10074733072513#/reservations/31700963016905?display=MHRF2NXSG&amp;reservation_id=31700963016905", "MHRF2NXSG")</f>
        <v>MHRF2NXSG</v>
      </c>
      <c r="B12557" t="s">
        <v>1788</v>
      </c>
      <c r="C12557">
        <v>179</v>
      </c>
      <c r="D12557">
        <v>194.58</v>
      </c>
      <c r="E12557">
        <v>194.57</v>
      </c>
      <c r="F12557">
        <v>0.01</v>
      </c>
    </row>
    <row r="12558" spans="1:6" x14ac:dyDescent="0.3">
      <c r="A12558" t="str">
        <f>HYPERLINK("https://us2.cloudbeds.com/connect/10074733072513#/reservations/31718259675377?display=MX7S1NJGA&amp;reservation_id=31718259675377", "MX7S1NJGA")</f>
        <v>MX7S1NJGA</v>
      </c>
      <c r="B12558" t="s">
        <v>1906</v>
      </c>
      <c r="C12558">
        <v>109</v>
      </c>
      <c r="D12558">
        <v>118.49</v>
      </c>
      <c r="E12558">
        <v>118.48</v>
      </c>
      <c r="F12558">
        <v>0.01</v>
      </c>
    </row>
    <row r="12559" spans="1:6" x14ac:dyDescent="0.3">
      <c r="A12559" t="str">
        <f>HYPERLINK("https://us2.cloudbeds.com/connect/10074733072513#/reservations/31718263013509?display=MX7S4HFQR&amp;reservation_id=31718263013509", "MX7S4HFQR")</f>
        <v>MX7S4HFQR</v>
      </c>
      <c r="B12559" t="s">
        <v>1906</v>
      </c>
      <c r="C12559">
        <v>109</v>
      </c>
      <c r="D12559">
        <v>118.49</v>
      </c>
      <c r="E12559">
        <v>118.48</v>
      </c>
      <c r="F12559">
        <v>0.01</v>
      </c>
    </row>
    <row r="12560" spans="1:6" x14ac:dyDescent="0.3">
      <c r="A12560" t="str">
        <f>HYPERLINK("https://us2.cloudbeds.com/connect/10074733072513#/reservations/31719930994925?display=MX94P0H67&amp;reservation_id=31719930994925", "MX94P0H67")</f>
        <v>MX94P0H67</v>
      </c>
      <c r="B12560" t="s">
        <v>1876</v>
      </c>
      <c r="C12560">
        <v>109</v>
      </c>
      <c r="D12560">
        <v>118.49</v>
      </c>
      <c r="E12560">
        <v>118.48</v>
      </c>
      <c r="F12560">
        <v>0.01</v>
      </c>
    </row>
    <row r="12561" spans="1:6" x14ac:dyDescent="0.3">
      <c r="A12561" t="str">
        <f>HYPERLINK("https://us2.cloudbeds.com/connect/10074733072513#/reservations/31720774381698?display=MX9QA6015&amp;reservation_id=31720774381698", "MX9QA6015")</f>
        <v>MX9QA6015</v>
      </c>
      <c r="B12561" t="s">
        <v>1876</v>
      </c>
      <c r="C12561">
        <v>218</v>
      </c>
      <c r="D12561">
        <v>236.98</v>
      </c>
      <c r="E12561">
        <v>236.97</v>
      </c>
      <c r="F12561">
        <v>0.01</v>
      </c>
    </row>
    <row r="12562" spans="1:6" x14ac:dyDescent="0.3">
      <c r="A12562" t="str">
        <f>HYPERLINK("https://us2.cloudbeds.com/connect/10074733072513#/reservations/31721770496236?display=MXAXP4BP6&amp;reservation_id=31721770496236", "MXAXP4BP6")</f>
        <v>MXAXP4BP6</v>
      </c>
      <c r="B12562" t="s">
        <v>1909</v>
      </c>
      <c r="C12562">
        <v>109</v>
      </c>
      <c r="D12562">
        <v>118.49</v>
      </c>
      <c r="E12562">
        <v>118.48</v>
      </c>
      <c r="F12562">
        <v>0.01</v>
      </c>
    </row>
    <row r="12563" spans="1:6" x14ac:dyDescent="0.3">
      <c r="A12563" t="str">
        <f>HYPERLINK("https://us2.cloudbeds.com/connect/10074733072513#/reservations/31719088300276?display=MX8G7E9TZ&amp;reservation_id=31719088300276", "MX8G7E9TZ")</f>
        <v>MX8G7E9TZ</v>
      </c>
      <c r="B12563" t="s">
        <v>1823</v>
      </c>
      <c r="C12563">
        <v>87.82</v>
      </c>
      <c r="D12563">
        <v>95.47</v>
      </c>
      <c r="E12563">
        <v>95.46</v>
      </c>
      <c r="F12563">
        <v>0.01</v>
      </c>
    </row>
    <row r="12564" spans="1:6" x14ac:dyDescent="0.3">
      <c r="A12564" t="str">
        <f>HYPERLINK("https://us2.cloudbeds.com/connect/10074733072513#/reservations/31715782344956?display=MX5UZP78G&amp;reservation_id=31715782344956", "MX5UZP78G")</f>
        <v>MX5UZP78G</v>
      </c>
      <c r="B12564" t="s">
        <v>1731</v>
      </c>
      <c r="C12564">
        <v>159</v>
      </c>
      <c r="D12564">
        <v>172.84</v>
      </c>
      <c r="E12564">
        <v>172.83</v>
      </c>
      <c r="F12564">
        <v>0.01</v>
      </c>
    </row>
    <row r="12565" spans="1:6" x14ac:dyDescent="0.3">
      <c r="A12565" t="str">
        <f>HYPERLINK("https://us2.cloudbeds.com/connect/10074733072513#/reservations/31714710446214?display=MX53BU1TE&amp;reservation_id=31714710446214", "MX53BU1TE")</f>
        <v>MX53BU1TE</v>
      </c>
      <c r="B12565" t="s">
        <v>1883</v>
      </c>
      <c r="C12565">
        <v>109</v>
      </c>
      <c r="D12565">
        <v>118.49</v>
      </c>
      <c r="E12565">
        <v>118.48</v>
      </c>
      <c r="F12565">
        <v>0.01</v>
      </c>
    </row>
    <row r="12566" spans="1:6" x14ac:dyDescent="0.3">
      <c r="A12566" t="str">
        <f>HYPERLINK("https://us2.cloudbeds.com/connect/10074733072513#/reservations/31717542129826?display=MX79NYRAZ&amp;reservation_id=31717542129826", "MX79NYRAZ")</f>
        <v>MX79NYRAZ</v>
      </c>
      <c r="B12566" t="s">
        <v>1768</v>
      </c>
      <c r="C12566">
        <v>219</v>
      </c>
      <c r="D12566">
        <v>238.06</v>
      </c>
      <c r="E12566">
        <v>238.05</v>
      </c>
      <c r="F12566">
        <v>0.01</v>
      </c>
    </row>
    <row r="12567" spans="1:6" x14ac:dyDescent="0.3">
      <c r="A12567" t="str">
        <f>HYPERLINK("https://us2.cloudbeds.com/connect/10074733072513#/reservations/31713968140510?display=MX4HCWA46&amp;reservation_id=31713968140510", "MX4HCWA46")</f>
        <v>MX4HCWA46</v>
      </c>
      <c r="B12567" t="s">
        <v>1841</v>
      </c>
      <c r="C12567">
        <v>109</v>
      </c>
      <c r="D12567">
        <v>118.49</v>
      </c>
      <c r="E12567">
        <v>118.48</v>
      </c>
      <c r="F12567">
        <v>0.01</v>
      </c>
    </row>
    <row r="12568" spans="1:6" x14ac:dyDescent="0.3">
      <c r="A12568" t="str">
        <f>HYPERLINK("https://us2.cloudbeds.com/connect/10074733072513#/reservations/31720648237271?display=MX9N2QRUP&amp;reservation_id=31720648237271", "MX9N2QRUP")</f>
        <v>MX9N2QRUP</v>
      </c>
      <c r="B12568" t="s">
        <v>1908</v>
      </c>
      <c r="C12568">
        <v>336</v>
      </c>
      <c r="D12568">
        <v>365.24</v>
      </c>
      <c r="E12568">
        <v>365.23</v>
      </c>
      <c r="F12568">
        <v>0.01</v>
      </c>
    </row>
    <row r="12569" spans="1:6" x14ac:dyDescent="0.3">
      <c r="A12569" t="str">
        <f>HYPERLINK("https://us2.cloudbeds.com/connect/10074733072513#/reservations/31718178861200?display=MX7PWXQVS&amp;reservation_id=31718178861200", "MX7PWXQVS")</f>
        <v>MX7PWXQVS</v>
      </c>
      <c r="B12569" t="s">
        <v>1883</v>
      </c>
      <c r="C12569">
        <v>109</v>
      </c>
      <c r="D12569">
        <v>118.49</v>
      </c>
      <c r="E12569">
        <v>118.48</v>
      </c>
      <c r="F12569">
        <v>0.01</v>
      </c>
    </row>
    <row r="12570" spans="1:6" x14ac:dyDescent="0.3">
      <c r="A12570" t="str">
        <f>HYPERLINK("https://us2.cloudbeds.com/connect/10074733072513#/reservations/31720692973788?display=MX9Z7HN9Q&amp;reservation_id=31720692973788", "MX9Z7HN9Q")</f>
        <v>MX9Z7HN9Q</v>
      </c>
      <c r="B12570" t="s">
        <v>1876</v>
      </c>
      <c r="C12570">
        <v>139</v>
      </c>
      <c r="D12570">
        <v>151.1</v>
      </c>
      <c r="E12570">
        <v>151.09</v>
      </c>
      <c r="F12570">
        <v>0.01</v>
      </c>
    </row>
    <row r="12571" spans="1:6" x14ac:dyDescent="0.3">
      <c r="A12571" t="str">
        <f>HYPERLINK("https://us2.cloudbeds.com/connect/10074733072513#/reservations/31718841708683?display=MX89UGHB6&amp;reservation_id=31718841708683", "MX89UGHB6")</f>
        <v>MX89UGHB6</v>
      </c>
      <c r="B12571" t="s">
        <v>1909</v>
      </c>
      <c r="C12571">
        <v>89</v>
      </c>
      <c r="D12571">
        <v>96.75</v>
      </c>
      <c r="E12571">
        <v>96.74</v>
      </c>
      <c r="F12571">
        <v>0.01</v>
      </c>
    </row>
    <row r="12572" spans="1:6" x14ac:dyDescent="0.3">
      <c r="A12572" t="str">
        <f>HYPERLINK("https://us2.cloudbeds.com/connect/10074733072513#/reservations/31718857277671?display=MX8AAKZUZ&amp;reservation_id=31718857277671", "MX8AAKZUZ")</f>
        <v>MX8AAKZUZ</v>
      </c>
      <c r="B12572" t="s">
        <v>1909</v>
      </c>
      <c r="C12572">
        <v>89</v>
      </c>
      <c r="D12572">
        <v>96.75</v>
      </c>
      <c r="E12572">
        <v>96.74</v>
      </c>
      <c r="F12572">
        <v>0.01</v>
      </c>
    </row>
    <row r="12573" spans="1:6" x14ac:dyDescent="0.3">
      <c r="A12573" t="str">
        <f>HYPERLINK("https://us2.cloudbeds.com/connect/10074733072513#/reservations/31718443340001?display=MX7WZJASW&amp;reservation_id=31718443340001", "MX7WZJASW")</f>
        <v>MX7WZJASW</v>
      </c>
      <c r="B12573" t="s">
        <v>1891</v>
      </c>
      <c r="C12573">
        <v>139</v>
      </c>
      <c r="D12573">
        <v>151.1</v>
      </c>
      <c r="E12573">
        <v>151.09</v>
      </c>
      <c r="F12573">
        <v>0.01</v>
      </c>
    </row>
    <row r="12574" spans="1:6" x14ac:dyDescent="0.3">
      <c r="A12574" t="str">
        <f>HYPERLINK("https://us2.cloudbeds.com/connect/10074733072513#/reservations/31720750096527?display=MX9PMN7JT&amp;reservation_id=31720750096527", "MX9PMN7JT")</f>
        <v>MX9PMN7JT</v>
      </c>
      <c r="B12574" t="s">
        <v>1876</v>
      </c>
      <c r="C12574">
        <v>238</v>
      </c>
      <c r="D12574">
        <v>258.72000000000003</v>
      </c>
      <c r="E12574">
        <v>258.70999999999998</v>
      </c>
      <c r="F12574">
        <v>0.01</v>
      </c>
    </row>
    <row r="12575" spans="1:6" x14ac:dyDescent="0.3">
      <c r="A12575" t="str">
        <f>HYPERLINK("https://us2.cloudbeds.com/connect/10074733072513#/reservations/31714733068427?display=MX53UWX91&amp;reservation_id=31714733068427", "MX53UWX91")</f>
        <v>MX53UWX91</v>
      </c>
      <c r="B12575" t="s">
        <v>1883</v>
      </c>
      <c r="C12575">
        <v>109</v>
      </c>
      <c r="D12575">
        <v>118.49</v>
      </c>
      <c r="E12575">
        <v>118.48</v>
      </c>
      <c r="F12575">
        <v>0.01</v>
      </c>
    </row>
    <row r="12576" spans="1:6" x14ac:dyDescent="0.3">
      <c r="A12576" t="str">
        <f>HYPERLINK("https://us2.cloudbeds.com/connect/10074733072513#/reservations/31718718501065?display=MX86PK311&amp;reservation_id=31718718501065", "MX86PK311")</f>
        <v>MX86PK311</v>
      </c>
      <c r="B12576" t="s">
        <v>1873</v>
      </c>
      <c r="C12576">
        <v>205.2</v>
      </c>
      <c r="D12576">
        <v>223.06</v>
      </c>
      <c r="E12576">
        <v>223.05</v>
      </c>
      <c r="F12576">
        <v>0.01</v>
      </c>
    </row>
    <row r="12577" spans="1:6" x14ac:dyDescent="0.3">
      <c r="A12577" t="str">
        <f>HYPERLINK("https://us2.cloudbeds.com/connect/10074733072513#/reservations/31717134844116?display=MX6WA7GJH&amp;reservation_id=31717134844116", "MX6WA7GJH")</f>
        <v>MX6WA7GJH</v>
      </c>
      <c r="B12577" t="s">
        <v>1903</v>
      </c>
      <c r="C12577">
        <v>282</v>
      </c>
      <c r="D12577">
        <v>306.54000000000002</v>
      </c>
      <c r="E12577">
        <v>306.52999999999997</v>
      </c>
      <c r="F12577">
        <v>0.01</v>
      </c>
    </row>
    <row r="12578" spans="1:6" x14ac:dyDescent="0.3">
      <c r="A12578" t="str">
        <f>HYPERLINK("https://us2.cloudbeds.com/connect/10074733072513#/reservations/31719988871408?display=MX967R0Y1&amp;reservation_id=31719988871408", "MX967R0Y1")</f>
        <v>MX967R0Y1</v>
      </c>
      <c r="B12578" t="s">
        <v>1876</v>
      </c>
      <c r="C12578">
        <v>87.82</v>
      </c>
      <c r="D12578">
        <v>95.47</v>
      </c>
      <c r="E12578">
        <v>95.46</v>
      </c>
      <c r="F12578">
        <v>0.01</v>
      </c>
    </row>
    <row r="12579" spans="1:6" x14ac:dyDescent="0.3">
      <c r="A12579" t="str">
        <f>HYPERLINK("https://us2.cloudbeds.com/connect/10074733072513#/reservations/31719999848581?display=MX96H2FMY&amp;reservation_id=31719999848581", "MX96H2FMY")</f>
        <v>MX96H2FMY</v>
      </c>
      <c r="B12579" t="s">
        <v>1876</v>
      </c>
      <c r="C12579">
        <v>109</v>
      </c>
      <c r="D12579">
        <v>118.49</v>
      </c>
      <c r="E12579">
        <v>118.48</v>
      </c>
      <c r="F12579">
        <v>0.01</v>
      </c>
    </row>
    <row r="12580" spans="1:6" x14ac:dyDescent="0.3">
      <c r="A12580" t="str">
        <f>HYPERLINK("https://us2.cloudbeds.com/connect/10074733072513#/reservations/31720016302301?display=MX96UVAN7&amp;reservation_id=31720016302301", "MX96UVAN7")</f>
        <v>MX96UVAN7</v>
      </c>
      <c r="B12580" t="s">
        <v>1876</v>
      </c>
      <c r="C12580">
        <v>109</v>
      </c>
      <c r="D12580">
        <v>118.49</v>
      </c>
      <c r="E12580">
        <v>118.48</v>
      </c>
      <c r="F12580">
        <v>0.01</v>
      </c>
    </row>
    <row r="12581" spans="1:6" x14ac:dyDescent="0.3">
      <c r="A12581" t="str">
        <f>HYPERLINK("https://us2.cloudbeds.com/connect/10074733072513#/reservations/31714648879282?display=MX51PWSJR&amp;reservation_id=31714648879282", "MX51PWSJR")</f>
        <v>MX51PWSJR</v>
      </c>
      <c r="B12581" t="s">
        <v>1876</v>
      </c>
      <c r="C12581">
        <v>238</v>
      </c>
      <c r="D12581">
        <v>258.72000000000003</v>
      </c>
      <c r="E12581">
        <v>258.70999999999998</v>
      </c>
      <c r="F12581">
        <v>0.01</v>
      </c>
    </row>
    <row r="12582" spans="1:6" x14ac:dyDescent="0.3">
      <c r="A12582" t="str">
        <f>HYPERLINK("https://us2.cloudbeds.com/connect/10074733072513#/reservations/31714629685381?display=MX519QPBF&amp;reservation_id=31714629685381", "MX519QPBF")</f>
        <v>MX519QPBF</v>
      </c>
      <c r="B12582" t="s">
        <v>1876</v>
      </c>
      <c r="C12582">
        <v>119</v>
      </c>
      <c r="D12582">
        <v>129.36000000000001</v>
      </c>
      <c r="E12582">
        <v>129.35</v>
      </c>
      <c r="F12582">
        <v>0.01</v>
      </c>
    </row>
    <row r="12583" spans="1:6" x14ac:dyDescent="0.3">
      <c r="A12583" t="str">
        <f>HYPERLINK("https://us2.cloudbeds.com/connect/10074733072513#/reservations/31700852682888?display=MHRC8MC1E&amp;reservation_id=31700852682888", "MHRC8MC1E")</f>
        <v>MHRC8MC1E</v>
      </c>
      <c r="B12583" t="s">
        <v>1788</v>
      </c>
      <c r="C12583">
        <v>199</v>
      </c>
      <c r="D12583">
        <v>216.32</v>
      </c>
      <c r="E12583">
        <v>216.31</v>
      </c>
      <c r="F12583">
        <v>0.01</v>
      </c>
    </row>
    <row r="12584" spans="1:6" x14ac:dyDescent="0.3">
      <c r="A12584" t="str">
        <f>HYPERLINK("https://us2.cloudbeds.com/connect/10074733072513#/reservations/31720578785534?display=MX9YA887M&amp;reservation_id=31720578785534", "MX9YA887M")</f>
        <v>MX9YA887M</v>
      </c>
      <c r="B12584" t="s">
        <v>1908</v>
      </c>
      <c r="C12584">
        <v>109</v>
      </c>
      <c r="D12584">
        <v>118.49</v>
      </c>
      <c r="E12584">
        <v>118.48</v>
      </c>
      <c r="F12584">
        <v>0.01</v>
      </c>
    </row>
    <row r="12585" spans="1:6" x14ac:dyDescent="0.3">
      <c r="A12585" t="str">
        <f>HYPERLINK("https://us2.cloudbeds.com/connect/10074733072513#/reservations/31714292613312?display=MX4PMJ485&amp;reservation_id=31714292613312", "MX4PMJ485")</f>
        <v>MX4PMJ485</v>
      </c>
      <c r="B12585" t="s">
        <v>1731</v>
      </c>
      <c r="C12585">
        <v>378</v>
      </c>
      <c r="D12585">
        <v>410.9</v>
      </c>
      <c r="E12585">
        <v>410.89</v>
      </c>
      <c r="F12585">
        <v>0.01</v>
      </c>
    </row>
    <row r="12586" spans="1:6" x14ac:dyDescent="0.3">
      <c r="A12586" t="str">
        <f>HYPERLINK("https://us2.cloudbeds.com/connect/10074733072513#/reservations/31717373653173?display=MX75DJNYK&amp;reservation_id=31717373653173", "MX75DJNYK")</f>
        <v>MX75DJNYK</v>
      </c>
      <c r="B12586" t="s">
        <v>1903</v>
      </c>
      <c r="C12586">
        <v>109</v>
      </c>
      <c r="D12586">
        <v>118.49</v>
      </c>
      <c r="E12586">
        <v>118.48</v>
      </c>
      <c r="F12586">
        <v>0.01</v>
      </c>
    </row>
    <row r="12587" spans="1:6" x14ac:dyDescent="0.3">
      <c r="A12587" t="str">
        <f>HYPERLINK("https://us2.cloudbeds.com/connect/10074733072513#/reservations/31716783050992?display=MX6NAJB7R&amp;reservation_id=31716783050992", "MX6NAJB7R")</f>
        <v>MX6NAJB7R</v>
      </c>
      <c r="B12587" t="s">
        <v>1743</v>
      </c>
      <c r="C12587">
        <v>159</v>
      </c>
      <c r="D12587">
        <v>172.84</v>
      </c>
      <c r="E12587">
        <v>172.83</v>
      </c>
      <c r="F12587">
        <v>0.01</v>
      </c>
    </row>
    <row r="12588" spans="1:6" x14ac:dyDescent="0.3">
      <c r="A12588" t="str">
        <f>HYPERLINK("https://us2.cloudbeds.com/connect/10074733072513#/reservations/31720635121804?display=MX9MZZTBC&amp;reservation_id=31720635121804", "MX9MZZTBC")</f>
        <v>MX9MZZTBC</v>
      </c>
      <c r="B12588" t="s">
        <v>1908</v>
      </c>
      <c r="C12588">
        <v>238</v>
      </c>
      <c r="D12588">
        <v>258.72000000000003</v>
      </c>
      <c r="E12588">
        <v>258.70999999999998</v>
      </c>
      <c r="F12588">
        <v>0.01</v>
      </c>
    </row>
    <row r="12589" spans="1:6" x14ac:dyDescent="0.3">
      <c r="A12589" t="str">
        <f>HYPERLINK("https://us2.cloudbeds.com/connect/10074733072513#/reservations/31720562200723?display=MX9KT8ZRY&amp;reservation_id=31720562200723", "MX9KT8ZRY")</f>
        <v>MX9KT8ZRY</v>
      </c>
      <c r="B12589" t="s">
        <v>1908</v>
      </c>
      <c r="C12589">
        <v>139</v>
      </c>
      <c r="D12589">
        <v>151.1</v>
      </c>
      <c r="E12589">
        <v>151.09</v>
      </c>
      <c r="F12589">
        <v>0.01</v>
      </c>
    </row>
    <row r="12590" spans="1:6" x14ac:dyDescent="0.3">
      <c r="A12590" t="str">
        <f>HYPERLINK("https://us2.cloudbeds.com/connect/10074733072513#/reservations/31718033469611?display=MX7M8W2N3&amp;reservation_id=31718033469611", "MX7M8W2N3")</f>
        <v>MX7M8W2N3</v>
      </c>
      <c r="B12590" t="s">
        <v>1873</v>
      </c>
      <c r="C12590">
        <v>109</v>
      </c>
      <c r="D12590">
        <v>118.49</v>
      </c>
      <c r="E12590">
        <v>118.48</v>
      </c>
      <c r="F12590">
        <v>0.01</v>
      </c>
    </row>
    <row r="12591" spans="1:6" x14ac:dyDescent="0.3">
      <c r="A12591" t="str">
        <f>HYPERLINK("https://us2.cloudbeds.com/connect/10074733072513#/reservations/31714301583504?display=MX4PU4S1B&amp;reservation_id=31714301583504", "MX4PU4S1B")</f>
        <v>MX4PU4S1B</v>
      </c>
      <c r="B12591" t="s">
        <v>1731</v>
      </c>
      <c r="C12591">
        <v>318</v>
      </c>
      <c r="D12591">
        <v>345.68</v>
      </c>
      <c r="E12591">
        <v>345.67</v>
      </c>
      <c r="F12591">
        <v>0.01</v>
      </c>
    </row>
    <row r="12592" spans="1:6" x14ac:dyDescent="0.3">
      <c r="A12592" t="str">
        <f>HYPERLINK("https://us2.cloudbeds.com/connect/10074733072513#/reservations/31720459124937?display=MX9X8BH1W&amp;reservation_id=31720459124937", "MX9X8BH1W")</f>
        <v>MX9X8BH1W</v>
      </c>
      <c r="B12592" t="s">
        <v>1908</v>
      </c>
      <c r="C12592">
        <v>102.58</v>
      </c>
      <c r="D12592">
        <v>111.51</v>
      </c>
      <c r="E12592">
        <v>111.5</v>
      </c>
      <c r="F12592">
        <v>0.01</v>
      </c>
    </row>
    <row r="12593" spans="1:6" x14ac:dyDescent="0.3">
      <c r="A12593" t="str">
        <f>HYPERLINK("https://us2.cloudbeds.com/connect/10074733072513#/reservations/31713255858343?display=MX3W6C063&amp;reservation_id=31713255858343", "MX3W6C063")</f>
        <v>MX3W6C063</v>
      </c>
      <c r="B12593" t="s">
        <v>1908</v>
      </c>
      <c r="C12593">
        <v>109</v>
      </c>
      <c r="D12593">
        <v>118.49</v>
      </c>
      <c r="E12593">
        <v>118.48</v>
      </c>
      <c r="F12593">
        <v>0.01</v>
      </c>
    </row>
    <row r="12594" spans="1:6" x14ac:dyDescent="0.3">
      <c r="A12594" t="str">
        <f>HYPERLINK("https://us2.cloudbeds.com/connect/10074733072513#/reservations/31713169801426?display=MX3TWQBCZ&amp;reservation_id=31713169801426", "MX3TWQBCZ")</f>
        <v>MX3TWQBCZ</v>
      </c>
      <c r="B12594" t="s">
        <v>1908</v>
      </c>
      <c r="C12594">
        <v>109</v>
      </c>
      <c r="D12594">
        <v>118.49</v>
      </c>
      <c r="E12594">
        <v>118.48</v>
      </c>
      <c r="F12594">
        <v>0.01</v>
      </c>
    </row>
    <row r="12595" spans="1:6" x14ac:dyDescent="0.3">
      <c r="A12595" t="str">
        <f>HYPERLINK("https://us2.cloudbeds.com/connect/10074733072513#/reservations/31719531401403?display=MX8RX27WK&amp;reservation_id=31719531401403", "MX8RX27WK")</f>
        <v>MX8RX27WK</v>
      </c>
      <c r="B12595" t="s">
        <v>1666</v>
      </c>
      <c r="C12595">
        <v>199</v>
      </c>
      <c r="D12595">
        <v>216.32</v>
      </c>
      <c r="E12595">
        <v>216.31</v>
      </c>
      <c r="F12595">
        <v>0.01</v>
      </c>
    </row>
    <row r="12596" spans="1:6" x14ac:dyDescent="0.3">
      <c r="A12596" t="str">
        <f>HYPERLINK("https://us2.cloudbeds.com/connect/10074733072513#/reservations/31720395145439?display=MX9GKD6CA&amp;reservation_id=31720395145439", "MX9GKD6CA")</f>
        <v>MX9GKD6CA</v>
      </c>
      <c r="B12596" t="s">
        <v>1776</v>
      </c>
      <c r="C12596">
        <v>219</v>
      </c>
      <c r="D12596">
        <v>238.06</v>
      </c>
      <c r="E12596">
        <v>238.05</v>
      </c>
      <c r="F12596">
        <v>0.01</v>
      </c>
    </row>
    <row r="12597" spans="1:6" x14ac:dyDescent="0.3">
      <c r="A12597" t="str">
        <f>HYPERLINK("https://us2.cloudbeds.com/connect/10074733072513#/reservations/31720618508507?display=MX9MAZJQ4&amp;reservation_id=31720618508507", "MX9MAZJQ4")</f>
        <v>MX9MAZJQ4</v>
      </c>
      <c r="B12597" t="s">
        <v>1908</v>
      </c>
      <c r="C12597">
        <v>119</v>
      </c>
      <c r="D12597">
        <v>129.36000000000001</v>
      </c>
      <c r="E12597">
        <v>129.35</v>
      </c>
      <c r="F12597">
        <v>0.01</v>
      </c>
    </row>
    <row r="12598" spans="1:6" x14ac:dyDescent="0.3">
      <c r="A12598" t="str">
        <f>HYPERLINK("https://us2.cloudbeds.com/connect/10074733072513#/reservations/31718501359815?display=MX817GQV5&amp;reservation_id=31718501359815", "MX817GQV5")</f>
        <v>MX817GQV5</v>
      </c>
      <c r="B12598" t="s">
        <v>1760</v>
      </c>
      <c r="C12598">
        <v>209</v>
      </c>
      <c r="D12598">
        <v>227.19</v>
      </c>
      <c r="E12598">
        <v>227.18</v>
      </c>
      <c r="F12598">
        <v>0.01</v>
      </c>
    </row>
    <row r="12599" spans="1:6" x14ac:dyDescent="0.3">
      <c r="A12599" t="str">
        <f>HYPERLINK("https://us2.cloudbeds.com/connect/10074733072513#/reservations/31713283530882?display=MX3WTN14T&amp;reservation_id=31713283530882", "MX3WTN14T")</f>
        <v>MX3WTN14T</v>
      </c>
      <c r="B12599" t="s">
        <v>1908</v>
      </c>
      <c r="C12599">
        <v>109</v>
      </c>
      <c r="D12599">
        <v>118.49</v>
      </c>
      <c r="E12599">
        <v>118.48</v>
      </c>
      <c r="F12599">
        <v>0.01</v>
      </c>
    </row>
    <row r="12600" spans="1:6" x14ac:dyDescent="0.3">
      <c r="A12600" t="str">
        <f>HYPERLINK("https://us2.cloudbeds.com/connect/10074733072513#/reservations/31718924189917?display=MX8C11MMX&amp;reservation_id=31718924189917", "MX8C11MMX")</f>
        <v>MX8C11MMX</v>
      </c>
      <c r="B12600" t="s">
        <v>1909</v>
      </c>
      <c r="C12600">
        <v>89</v>
      </c>
      <c r="D12600">
        <v>96.75</v>
      </c>
      <c r="E12600">
        <v>96.74</v>
      </c>
      <c r="F12600">
        <v>0.01</v>
      </c>
    </row>
    <row r="12601" spans="1:6" x14ac:dyDescent="0.3">
      <c r="A12601" t="str">
        <f>HYPERLINK("https://us2.cloudbeds.com/connect/10074733072513#/reservations/31714387787966?display=MX4S3RKAP&amp;reservation_id=31714387787966", "MX4S3RKAP")</f>
        <v>MX4S3RKAP</v>
      </c>
      <c r="B12601" t="s">
        <v>1731</v>
      </c>
      <c r="C12601">
        <v>209</v>
      </c>
      <c r="D12601">
        <v>227.19</v>
      </c>
      <c r="E12601">
        <v>227.18</v>
      </c>
      <c r="F12601">
        <v>0.01</v>
      </c>
    </row>
    <row r="12602" spans="1:6" x14ac:dyDescent="0.3">
      <c r="A12602" t="str">
        <f>HYPERLINK("https://us2.cloudbeds.com/connect/10074733072513#/reservations/31711689511106?display=MX2P5J2Q9&amp;reservation_id=31711689511106", "MX2P5J2Q9")</f>
        <v>MX2P5J2Q9</v>
      </c>
      <c r="B12602" t="s">
        <v>1910</v>
      </c>
      <c r="C12602">
        <v>159</v>
      </c>
      <c r="D12602">
        <v>172.84</v>
      </c>
      <c r="E12602">
        <v>172.83</v>
      </c>
      <c r="F12602">
        <v>0.01</v>
      </c>
    </row>
    <row r="12603" spans="1:6" x14ac:dyDescent="0.3">
      <c r="A12603" t="str">
        <f>HYPERLINK("https://us2.cloudbeds.com/connect/10074733072513#/reservations/31713198858388?display=MX3UZ9TKZ&amp;reservation_id=31713198858388", "MX3UZ9TKZ")</f>
        <v>MX3UZ9TKZ</v>
      </c>
      <c r="B12603" t="s">
        <v>1908</v>
      </c>
      <c r="C12603">
        <v>109</v>
      </c>
      <c r="D12603">
        <v>118.49</v>
      </c>
      <c r="E12603">
        <v>118.48</v>
      </c>
      <c r="F12603">
        <v>0.01</v>
      </c>
    </row>
    <row r="12604" spans="1:6" x14ac:dyDescent="0.3">
      <c r="A12604" t="str">
        <f>HYPERLINK("https://us2.cloudbeds.com/connect/10074733072513#/reservations/31716171899026?display=MX67N84G9&amp;reservation_id=31716171899026", "MX67N84G9")</f>
        <v>MX67N84G9</v>
      </c>
      <c r="B12604" t="s">
        <v>1911</v>
      </c>
      <c r="C12604">
        <v>336</v>
      </c>
      <c r="D12604">
        <v>365.24</v>
      </c>
      <c r="E12604">
        <v>365.23</v>
      </c>
      <c r="F12604">
        <v>0.01</v>
      </c>
    </row>
    <row r="12605" spans="1:6" x14ac:dyDescent="0.3">
      <c r="A12605" t="str">
        <f>HYPERLINK("https://us2.cloudbeds.com/connect/10074733072513#/reservations/31721430478980?display=MXAA2DSSW&amp;reservation_id=31721430478980", "MXAA2DSSW")</f>
        <v>MXAA2DSSW</v>
      </c>
      <c r="B12605" t="s">
        <v>1881</v>
      </c>
      <c r="C12605">
        <v>225</v>
      </c>
      <c r="D12605">
        <v>244.59</v>
      </c>
      <c r="E12605">
        <v>244.58</v>
      </c>
      <c r="F12605">
        <v>0.01</v>
      </c>
    </row>
    <row r="12606" spans="1:6" x14ac:dyDescent="0.3">
      <c r="A12606" t="str">
        <f>HYPERLINK("https://us2.cloudbeds.com/connect/10074733072513#/reservations/31716370579649?display=MX6CPPNM7&amp;reservation_id=31716370579649", "MX6CPPNM7")</f>
        <v>MX6CPPNM7</v>
      </c>
      <c r="B12606" t="s">
        <v>1862</v>
      </c>
      <c r="C12606">
        <v>229</v>
      </c>
      <c r="D12606">
        <v>248.93</v>
      </c>
      <c r="E12606">
        <v>248.92</v>
      </c>
      <c r="F12606">
        <v>0.01</v>
      </c>
    </row>
    <row r="12607" spans="1:6" x14ac:dyDescent="0.3">
      <c r="A12607" t="str">
        <f>HYPERLINK("https://us2.cloudbeds.com/connect/10074733072513#/reservations/31720866599065?display=MX9SYV2QR&amp;reservation_id=31720866599065", "MX9SYV2QR")</f>
        <v>MX9SYV2QR</v>
      </c>
      <c r="B12607" t="s">
        <v>1772</v>
      </c>
      <c r="C12607">
        <v>97.74</v>
      </c>
      <c r="D12607">
        <v>106.25</v>
      </c>
      <c r="E12607">
        <v>106.24</v>
      </c>
      <c r="F12607">
        <v>0.01</v>
      </c>
    </row>
    <row r="12608" spans="1:6" x14ac:dyDescent="0.3">
      <c r="A12608" t="str">
        <f>HYPERLINK("https://us2.cloudbeds.com/connect/10074733072513#/reservations/31721653579926?display=MXAFPHWJN&amp;reservation_id=31721653579926", "MXAFPHWJN")</f>
        <v>MXAFPHWJN</v>
      </c>
      <c r="B12608" t="s">
        <v>1907</v>
      </c>
      <c r="C12608">
        <v>238</v>
      </c>
      <c r="D12608">
        <v>258.72000000000003</v>
      </c>
      <c r="E12608">
        <v>258.70999999999998</v>
      </c>
      <c r="F12608">
        <v>0.01</v>
      </c>
    </row>
    <row r="12609" spans="1:6" x14ac:dyDescent="0.3">
      <c r="A12609" t="str">
        <f>HYPERLINK("https://us2.cloudbeds.com/connect/10074733072513#/reservations/31713870610634?display=MX4ETZD0D&amp;reservation_id=31713870610634", "MX4ETZD0D")</f>
        <v>MX4ETZD0D</v>
      </c>
      <c r="B12609" t="s">
        <v>1841</v>
      </c>
      <c r="C12609">
        <v>109</v>
      </c>
      <c r="D12609">
        <v>118.49</v>
      </c>
      <c r="E12609">
        <v>118.48</v>
      </c>
      <c r="F12609">
        <v>0.01</v>
      </c>
    </row>
    <row r="12610" spans="1:6" x14ac:dyDescent="0.3">
      <c r="A12610" t="str">
        <f>HYPERLINK("https://us2.cloudbeds.com/connect/10074733072513#/reservations/31718253863062?display=MX7RTQS6X&amp;reservation_id=31718253863062", "MX7RTQS6X")</f>
        <v>MX7RTQS6X</v>
      </c>
      <c r="B12610" t="s">
        <v>1772</v>
      </c>
      <c r="C12610">
        <v>149</v>
      </c>
      <c r="D12610">
        <v>161.97</v>
      </c>
      <c r="E12610">
        <v>161.96</v>
      </c>
      <c r="F12610">
        <v>0.01</v>
      </c>
    </row>
    <row r="12611" spans="1:6" x14ac:dyDescent="0.3">
      <c r="A12611" t="str">
        <f>HYPERLINK("https://us2.cloudbeds.com/connect/10074733072513#/reservations/31713908392156?display=MX4FSJNQ0&amp;reservation_id=31713908392156", "MX4FSJNQ0")</f>
        <v>MX4FSJNQ0</v>
      </c>
      <c r="B12611" t="s">
        <v>1841</v>
      </c>
      <c r="C12611">
        <v>109</v>
      </c>
      <c r="D12611">
        <v>118.49</v>
      </c>
      <c r="E12611">
        <v>118.48</v>
      </c>
      <c r="F12611">
        <v>0.01</v>
      </c>
    </row>
    <row r="12612" spans="1:6" x14ac:dyDescent="0.3">
      <c r="A12612" t="str">
        <f>HYPERLINK("https://us2.cloudbeds.com/connect/10074733072513#/reservations/31713968144603?display=MX4HCWDT7&amp;reservation_id=31713968144603", "MX4HCWDT7")</f>
        <v>MX4HCWDT7</v>
      </c>
      <c r="B12612" t="s">
        <v>1841</v>
      </c>
      <c r="C12612">
        <v>109</v>
      </c>
      <c r="D12612">
        <v>118.49</v>
      </c>
      <c r="E12612">
        <v>118.48</v>
      </c>
      <c r="F12612">
        <v>0.01</v>
      </c>
    </row>
    <row r="12613" spans="1:6" x14ac:dyDescent="0.3">
      <c r="A12613" t="str">
        <f>HYPERLINK("https://us2.cloudbeds.com/connect/10074733072513#/reservations/31719240413377?display=MX8K3MVYE&amp;reservation_id=31719240413377", "MX8K3MVYE")</f>
        <v>MX8K3MVYE</v>
      </c>
      <c r="B12613" t="s">
        <v>1850</v>
      </c>
      <c r="C12613">
        <v>298</v>
      </c>
      <c r="D12613">
        <v>323.94</v>
      </c>
      <c r="E12613">
        <v>323.93</v>
      </c>
      <c r="F12613">
        <v>0.01</v>
      </c>
    </row>
    <row r="12614" spans="1:6" x14ac:dyDescent="0.3">
      <c r="A12614" t="str">
        <f>HYPERLINK("https://us2.cloudbeds.com/connect/10074733072513#/reservations/31715936424141?display=MX61MMN3N&amp;reservation_id=31715936424141", "MX61MMN3N")</f>
        <v>MX61MMN3N</v>
      </c>
      <c r="B12614" t="s">
        <v>1914</v>
      </c>
      <c r="C12614">
        <v>418</v>
      </c>
      <c r="D12614">
        <v>454.38</v>
      </c>
      <c r="E12614">
        <v>454.37</v>
      </c>
      <c r="F12614">
        <v>0.01</v>
      </c>
    </row>
    <row r="12615" spans="1:6" x14ac:dyDescent="0.3">
      <c r="A12615" t="str">
        <f>HYPERLINK("https://us2.cloudbeds.com/connect/10074733072513#/reservations/31721783816432?display=MXAJ3C0BG&amp;reservation_id=31721783816432", "MXAJ3C0BG")</f>
        <v>MXAJ3C0BG</v>
      </c>
      <c r="B12615" t="s">
        <v>1909</v>
      </c>
      <c r="C12615">
        <v>109</v>
      </c>
      <c r="D12615">
        <v>118.49</v>
      </c>
      <c r="E12615">
        <v>118.48</v>
      </c>
      <c r="F12615">
        <v>0.01</v>
      </c>
    </row>
    <row r="12616" spans="1:6" x14ac:dyDescent="0.3">
      <c r="A12616" t="str">
        <f>HYPERLINK("https://us2.cloudbeds.com/connect/10074733072513#/reservations/31713449042105?display=MX4448KZG&amp;reservation_id=31713449042105", "MX4448KZG")</f>
        <v>MX4448KZG</v>
      </c>
      <c r="B12616" t="s">
        <v>1853</v>
      </c>
      <c r="C12616">
        <v>149</v>
      </c>
      <c r="D12616">
        <v>161.97</v>
      </c>
      <c r="E12616">
        <v>161.96</v>
      </c>
      <c r="F12616">
        <v>0.01</v>
      </c>
    </row>
    <row r="12617" spans="1:6" x14ac:dyDescent="0.3">
      <c r="A12617" t="str">
        <f>HYPERLINK("https://us2.cloudbeds.com/connect/10074733072513#/reservations/31718701859006?display=MX86BJ027&amp;reservation_id=31718701859006", "MX86BJ027")</f>
        <v>MX86BJ027</v>
      </c>
      <c r="B12617" t="s">
        <v>1768</v>
      </c>
      <c r="C12617">
        <v>169</v>
      </c>
      <c r="D12617">
        <v>183.71</v>
      </c>
      <c r="E12617">
        <v>183.7</v>
      </c>
      <c r="F12617">
        <v>0.01</v>
      </c>
    </row>
    <row r="12618" spans="1:6" x14ac:dyDescent="0.3">
      <c r="A12618" t="str">
        <f>HYPERLINK("https://us2.cloudbeds.com/connect/10074733072513#/reservations/31715392016588?display=MX5KPKP04&amp;reservation_id=31715392016588", "MX5KPKP04")</f>
        <v>MX5KPKP04</v>
      </c>
      <c r="B12618" t="s">
        <v>1914</v>
      </c>
      <c r="C12618">
        <v>209</v>
      </c>
      <c r="D12618">
        <v>227.19</v>
      </c>
      <c r="E12618">
        <v>227.18</v>
      </c>
      <c r="F12618">
        <v>0.01</v>
      </c>
    </row>
    <row r="12619" spans="1:6" x14ac:dyDescent="0.3">
      <c r="A12619" t="str">
        <f>HYPERLINK("https://us2.cloudbeds.com/connect/10074733072513#/reservations/31718686113924?display=MX85V9SPG&amp;reservation_id=31718686113924", "MX85V9SPG")</f>
        <v>MX85V9SPG</v>
      </c>
      <c r="B12619" t="s">
        <v>1768</v>
      </c>
      <c r="C12619">
        <v>209</v>
      </c>
      <c r="D12619">
        <v>227.19</v>
      </c>
      <c r="E12619">
        <v>227.18</v>
      </c>
      <c r="F12619">
        <v>0.01</v>
      </c>
    </row>
    <row r="12620" spans="1:6" x14ac:dyDescent="0.3">
      <c r="A12620" t="str">
        <f>HYPERLINK("https://us2.cloudbeds.com/connect/10074733072513#/reservations/31716776067214?display=MX6N4N076&amp;reservation_id=31716776067214", "MX6N4N076")</f>
        <v>MX6N4N076</v>
      </c>
      <c r="B12620" t="s">
        <v>1846</v>
      </c>
      <c r="C12620">
        <v>209</v>
      </c>
      <c r="D12620">
        <v>227.19</v>
      </c>
      <c r="E12620">
        <v>227.18</v>
      </c>
      <c r="F12620">
        <v>0.01</v>
      </c>
    </row>
    <row r="12621" spans="1:6" x14ac:dyDescent="0.3">
      <c r="A12621" t="str">
        <f>HYPERLINK("https://us2.cloudbeds.com/connect/10074733072513#/reservations/31716141932795?display=MX66UW99M&amp;reservation_id=31716141932795", "MX66UW99M")</f>
        <v>MX66UW99M</v>
      </c>
      <c r="B12621" t="s">
        <v>1911</v>
      </c>
      <c r="C12621">
        <v>336</v>
      </c>
      <c r="D12621">
        <v>365.24</v>
      </c>
      <c r="E12621">
        <v>365.23</v>
      </c>
      <c r="F12621">
        <v>0.01</v>
      </c>
    </row>
    <row r="12622" spans="1:6" x14ac:dyDescent="0.3">
      <c r="A12622" t="str">
        <f>HYPERLINK("https://us2.cloudbeds.com/connect/10074733072513#/reservations/31716703002802?display=MX6Y92T32&amp;reservation_id=31716703002802", "MX6Y92T32")</f>
        <v>MX6Y92T32</v>
      </c>
      <c r="B12622" t="s">
        <v>1743</v>
      </c>
      <c r="C12622">
        <v>159</v>
      </c>
      <c r="D12622">
        <v>172.84</v>
      </c>
      <c r="E12622">
        <v>172.83</v>
      </c>
      <c r="F12622">
        <v>0.01</v>
      </c>
    </row>
    <row r="12623" spans="1:6" x14ac:dyDescent="0.3">
      <c r="A12623" t="str">
        <f>HYPERLINK("https://us2.cloudbeds.com/connect/10074733072513#/reservations/31721699479695?display=MXAGV874Q&amp;reservation_id=31721699479695", "MXAGV874Q")</f>
        <v>MXAGV874Q</v>
      </c>
      <c r="B12623" t="s">
        <v>1907</v>
      </c>
      <c r="C12623">
        <v>73</v>
      </c>
      <c r="D12623">
        <v>79.36</v>
      </c>
      <c r="E12623">
        <v>79.349999999999994</v>
      </c>
      <c r="F12623">
        <v>0.01</v>
      </c>
    </row>
    <row r="12624" spans="1:6" x14ac:dyDescent="0.3">
      <c r="A12624" t="str">
        <f>HYPERLINK("https://us2.cloudbeds.com/connect/10074733072513#/reservations/31721716756622?display=MXAHCQW31&amp;reservation_id=31721716756622", "MXAHCQW31")</f>
        <v>MXAHCQW31</v>
      </c>
      <c r="B12624" t="s">
        <v>1907</v>
      </c>
      <c r="C12624">
        <v>109</v>
      </c>
      <c r="D12624">
        <v>118.49</v>
      </c>
      <c r="E12624">
        <v>118.48</v>
      </c>
      <c r="F12624">
        <v>0.01</v>
      </c>
    </row>
    <row r="12625" spans="1:6" x14ac:dyDescent="0.3">
      <c r="A12625" t="str">
        <f>HYPERLINK("https://us2.cloudbeds.com/connect/10074733072513#/reservations/31721716760717?display=MXAHCR2S4&amp;reservation_id=31721716760717", "MXAHCR2S4")</f>
        <v>MXAHCR2S4</v>
      </c>
      <c r="B12625" t="s">
        <v>1907</v>
      </c>
      <c r="C12625">
        <v>73</v>
      </c>
      <c r="D12625">
        <v>79.36</v>
      </c>
      <c r="E12625">
        <v>79.349999999999994</v>
      </c>
      <c r="F12625">
        <v>0.01</v>
      </c>
    </row>
    <row r="12626" spans="1:6" x14ac:dyDescent="0.3">
      <c r="A12626" t="str">
        <f>HYPERLINK("https://us2.cloudbeds.com/connect/10074733072513#/reservations/31721744306402?display=MXAX31JAS&amp;reservation_id=31721744306402", "MXAX31JAS")</f>
        <v>MXAX31JAS</v>
      </c>
      <c r="B12626" t="s">
        <v>1907</v>
      </c>
      <c r="C12626">
        <v>109</v>
      </c>
      <c r="D12626">
        <v>118.49</v>
      </c>
      <c r="E12626">
        <v>118.48</v>
      </c>
      <c r="F12626">
        <v>0.01</v>
      </c>
    </row>
    <row r="12627" spans="1:6" x14ac:dyDescent="0.3">
      <c r="A12627" t="str">
        <f>HYPERLINK("https://us2.cloudbeds.com/connect/10074733072513#/reservations/31718118662385?display=MX7ZEQMWB&amp;reservation_id=31718118662385", "MX7ZEQMWB")</f>
        <v>MX7ZEQMWB</v>
      </c>
      <c r="B12627" t="s">
        <v>1862</v>
      </c>
      <c r="C12627">
        <v>209</v>
      </c>
      <c r="D12627">
        <v>227.19</v>
      </c>
      <c r="E12627">
        <v>227.18</v>
      </c>
      <c r="F12627">
        <v>0.01</v>
      </c>
    </row>
    <row r="12628" spans="1:6" x14ac:dyDescent="0.3">
      <c r="A12628" t="str">
        <f>HYPERLINK("https://us2.cloudbeds.com/connect/10074733072513#/reservations/31715680489603?display=MX5S4SV5Y&amp;reservation_id=31715680489603", "MX5S4SV5Y")</f>
        <v>MX5S4SV5Y</v>
      </c>
      <c r="B12628" t="s">
        <v>1816</v>
      </c>
      <c r="C12628">
        <v>159</v>
      </c>
      <c r="D12628">
        <v>172.84</v>
      </c>
      <c r="E12628">
        <v>172.83</v>
      </c>
      <c r="F12628">
        <v>0.01</v>
      </c>
    </row>
    <row r="12629" spans="1:6" x14ac:dyDescent="0.3">
      <c r="A12629" t="str">
        <f>HYPERLINK("https://us2.cloudbeds.com/connect/10074733072513#/reservations/31716124573853?display=MX66GB814&amp;reservation_id=31716124573853", "MX66GB814")</f>
        <v>MX66GB814</v>
      </c>
      <c r="B12629" t="s">
        <v>1911</v>
      </c>
      <c r="C12629">
        <v>298</v>
      </c>
      <c r="D12629">
        <v>323.94</v>
      </c>
      <c r="E12629">
        <v>323.93</v>
      </c>
      <c r="F12629">
        <v>0.01</v>
      </c>
    </row>
    <row r="12630" spans="1:6" x14ac:dyDescent="0.3">
      <c r="A12630" t="str">
        <f>HYPERLINK("https://us2.cloudbeds.com/connect/10074733072513#/reservations/31718870761686?display=MX8AYWVV8&amp;reservation_id=31718870761686", "MX8AYWVV8")</f>
        <v>MX8AYWVV8</v>
      </c>
      <c r="B12630" t="s">
        <v>1909</v>
      </c>
      <c r="C12630">
        <v>139</v>
      </c>
      <c r="D12630">
        <v>151.1</v>
      </c>
      <c r="E12630">
        <v>151.09</v>
      </c>
      <c r="F12630">
        <v>0.01</v>
      </c>
    </row>
    <row r="12631" spans="1:6" x14ac:dyDescent="0.3">
      <c r="A12631" t="str">
        <f>HYPERLINK("https://us2.cloudbeds.com/connect/10074733072513#/reservations/31721272353008?display=MXA612PVS&amp;reservation_id=31721272353008", "MXA612PVS")</f>
        <v>MXA612PVS</v>
      </c>
      <c r="B12631" t="s">
        <v>1863</v>
      </c>
      <c r="C12631">
        <v>119</v>
      </c>
      <c r="D12631">
        <v>129.36000000000001</v>
      </c>
      <c r="E12631">
        <v>129.35</v>
      </c>
      <c r="F12631">
        <v>0.01</v>
      </c>
    </row>
    <row r="12632" spans="1:6" x14ac:dyDescent="0.3">
      <c r="A12632" t="str">
        <f>HYPERLINK("https://us2.cloudbeds.com/connect/10074733072513#/reservations/31720079818981?display=MX98XGPD3&amp;reservation_id=31720079818981", "MX98XGPD3")</f>
        <v>MX98XGPD3</v>
      </c>
      <c r="B12632" t="s">
        <v>1863</v>
      </c>
      <c r="C12632">
        <v>119</v>
      </c>
      <c r="D12632">
        <v>129.36000000000001</v>
      </c>
      <c r="E12632">
        <v>129.35</v>
      </c>
      <c r="F12632">
        <v>0.01</v>
      </c>
    </row>
    <row r="12633" spans="1:6" x14ac:dyDescent="0.3">
      <c r="A12633" t="str">
        <f>HYPERLINK("https://us2.cloudbeds.com/connect/10074733072513#/reservations/31715981025418?display=MX62R9Q9X&amp;reservation_id=31715981025418", "MX62R9Q9X")</f>
        <v>MX62R9Q9X</v>
      </c>
      <c r="B12633" t="s">
        <v>1666</v>
      </c>
      <c r="C12633">
        <v>298</v>
      </c>
      <c r="D12633">
        <v>323.94</v>
      </c>
      <c r="E12633">
        <v>323.93</v>
      </c>
      <c r="F12633">
        <v>0.01</v>
      </c>
    </row>
    <row r="12634" spans="1:6" x14ac:dyDescent="0.3">
      <c r="A12634" t="str">
        <f>HYPERLINK("https://us2.cloudbeds.com/connect/10074733072513#/reservations/31717827567847?display=MX7H0BXHZ&amp;reservation_id=31717827567847", "MX7H0BXHZ")</f>
        <v>MX7H0BXHZ</v>
      </c>
      <c r="B12634" t="s">
        <v>1863</v>
      </c>
      <c r="C12634">
        <v>119</v>
      </c>
      <c r="D12634">
        <v>129.36000000000001</v>
      </c>
      <c r="E12634">
        <v>129.35</v>
      </c>
      <c r="F12634">
        <v>0.01</v>
      </c>
    </row>
    <row r="12635" spans="1:6" x14ac:dyDescent="0.3">
      <c r="A12635" t="str">
        <f>HYPERLINK("https://us2.cloudbeds.com/connect/10074733072513#/reservations/31720119681183?display=MX99J3WQK&amp;reservation_id=31720119681183", "MX99J3WQK")</f>
        <v>MX99J3WQK</v>
      </c>
      <c r="B12635" t="s">
        <v>1863</v>
      </c>
      <c r="C12635">
        <v>89</v>
      </c>
      <c r="D12635">
        <v>96.75</v>
      </c>
      <c r="E12635">
        <v>96.74</v>
      </c>
      <c r="F12635">
        <v>0.01</v>
      </c>
    </row>
    <row r="12636" spans="1:6" x14ac:dyDescent="0.3">
      <c r="A12636" t="str">
        <f>HYPERLINK("https://us2.cloudbeds.com/connect/10074733072513#/reservations/31721563115707?display=MXADF8MMZ&amp;reservation_id=31721563115707", "MXADF8MMZ")</f>
        <v>MXADF8MMZ</v>
      </c>
      <c r="B12636" t="s">
        <v>1907</v>
      </c>
      <c r="C12636">
        <v>109</v>
      </c>
      <c r="D12636">
        <v>118.49</v>
      </c>
      <c r="E12636">
        <v>118.48</v>
      </c>
      <c r="F12636">
        <v>0.01</v>
      </c>
    </row>
    <row r="12637" spans="1:6" x14ac:dyDescent="0.3">
      <c r="A12637" t="str">
        <f>HYPERLINK("https://us2.cloudbeds.com/connect/10074733072513#/reservations/31721289388256?display=MXA6FEQWG&amp;reservation_id=31721289388256", "MXA6FEQWG")</f>
        <v>MXA6FEQWG</v>
      </c>
      <c r="B12637" t="s">
        <v>1863</v>
      </c>
      <c r="C12637">
        <v>87.82</v>
      </c>
      <c r="D12637">
        <v>95.47</v>
      </c>
      <c r="E12637">
        <v>95.46</v>
      </c>
      <c r="F12637">
        <v>0.01</v>
      </c>
    </row>
    <row r="12638" spans="1:6" x14ac:dyDescent="0.3">
      <c r="A12638" t="str">
        <f>HYPERLINK("https://us2.cloudbeds.com/connect/10074733072513#/reservations/31716998824177?display=MX6SRHX26&amp;reservation_id=31716998824177", "MX6SRHX26")</f>
        <v>MX6SRHX26</v>
      </c>
      <c r="B12638" t="s">
        <v>1850</v>
      </c>
      <c r="C12638">
        <v>169</v>
      </c>
      <c r="D12638">
        <v>183.71</v>
      </c>
      <c r="E12638">
        <v>183.7</v>
      </c>
      <c r="F12638">
        <v>0.01</v>
      </c>
    </row>
    <row r="12639" spans="1:6" x14ac:dyDescent="0.3">
      <c r="A12639" t="str">
        <f>HYPERLINK("https://us2.cloudbeds.com/connect/10074733072513#/reservations/31716143120579?display=MX66VWB04&amp;reservation_id=31716143120579", "MX66VWB04")</f>
        <v>MX66VWB04</v>
      </c>
      <c r="B12639" t="s">
        <v>1911</v>
      </c>
      <c r="C12639">
        <v>87.82</v>
      </c>
      <c r="D12639">
        <v>95.47</v>
      </c>
      <c r="E12639">
        <v>95.46</v>
      </c>
      <c r="F12639">
        <v>0.01</v>
      </c>
    </row>
    <row r="12640" spans="1:6" x14ac:dyDescent="0.3">
      <c r="A12640" t="str">
        <f>HYPERLINK("https://us2.cloudbeds.com/connect/10074733072513#/reservations/31717786763480?display=MX7FVV3VP&amp;reservation_id=31717786763480", "MX7FVV3VP")</f>
        <v>MX7FVV3VP</v>
      </c>
      <c r="B12640" t="s">
        <v>1911</v>
      </c>
      <c r="C12640">
        <v>73</v>
      </c>
      <c r="D12640">
        <v>79.36</v>
      </c>
      <c r="E12640">
        <v>79.349999999999994</v>
      </c>
      <c r="F12640">
        <v>0.01</v>
      </c>
    </row>
    <row r="12641" spans="1:6" x14ac:dyDescent="0.3">
      <c r="A12641" t="str">
        <f>HYPERLINK("https://us2.cloudbeds.com/connect/10074733072513#/reservations/31713408540858?display=MX4333KGW&amp;reservation_id=31713408540858", "MX4333KGW")</f>
        <v>MX4333KGW</v>
      </c>
      <c r="B12641" t="s">
        <v>1853</v>
      </c>
      <c r="C12641">
        <v>378</v>
      </c>
      <c r="D12641">
        <v>410.9</v>
      </c>
      <c r="E12641">
        <v>410.89</v>
      </c>
      <c r="F12641">
        <v>0.01</v>
      </c>
    </row>
    <row r="12642" spans="1:6" x14ac:dyDescent="0.3">
      <c r="A12642" t="str">
        <f>HYPERLINK("https://us2.cloudbeds.com/connect/10074733072513#/reservations/31716115280068?display=MX668GKQ9&amp;reservation_id=31716115280068", "MX668GKQ9")</f>
        <v>MX668GKQ9</v>
      </c>
      <c r="B12642" t="s">
        <v>1911</v>
      </c>
      <c r="C12642">
        <v>87.82</v>
      </c>
      <c r="D12642">
        <v>95.47</v>
      </c>
      <c r="E12642">
        <v>95.46</v>
      </c>
      <c r="F12642">
        <v>0.01</v>
      </c>
    </row>
    <row r="12643" spans="1:6" x14ac:dyDescent="0.3">
      <c r="A12643" t="str">
        <f>HYPERLINK("https://us2.cloudbeds.com/connect/10074733072513#/reservations/31717737951367?display=MX7ENPS2Q&amp;reservation_id=31717737951367", "MX7ENPS2Q")</f>
        <v>MX7ENPS2Q</v>
      </c>
      <c r="B12643" t="s">
        <v>1911</v>
      </c>
      <c r="C12643">
        <v>87.82</v>
      </c>
      <c r="D12643">
        <v>95.47</v>
      </c>
      <c r="E12643">
        <v>95.46</v>
      </c>
      <c r="F12643">
        <v>0.01</v>
      </c>
    </row>
    <row r="12644" spans="1:6" x14ac:dyDescent="0.3">
      <c r="A12644" t="str">
        <f>HYPERLINK("https://us2.cloudbeds.com/connect/10074733072513#/reservations/31701714419913?display=MHS19AFEK&amp;reservation_id=31701714419913", "MHS19AFEK")</f>
        <v>MHS19AFEK</v>
      </c>
      <c r="B12644" t="s">
        <v>1916</v>
      </c>
      <c r="C12644">
        <v>318</v>
      </c>
      <c r="D12644">
        <v>345.68</v>
      </c>
      <c r="E12644">
        <v>345.67</v>
      </c>
      <c r="F12644">
        <v>0.01</v>
      </c>
    </row>
    <row r="12645" spans="1:6" x14ac:dyDescent="0.3">
      <c r="A12645" t="str">
        <f>HYPERLINK("https://us2.cloudbeds.com/connect/10074733072513#/reservations/31716593262834?display=MX6XFX6PH&amp;reservation_id=31716593262834", "MX6XFX6PH")</f>
        <v>MX6XFX6PH</v>
      </c>
      <c r="B12645" t="s">
        <v>1887</v>
      </c>
      <c r="C12645">
        <v>139</v>
      </c>
      <c r="D12645">
        <v>151.1</v>
      </c>
      <c r="E12645">
        <v>151.09</v>
      </c>
      <c r="F12645">
        <v>0.01</v>
      </c>
    </row>
    <row r="12646" spans="1:6" x14ac:dyDescent="0.3">
      <c r="A12646" t="str">
        <f>HYPERLINK("https://us2.cloudbeds.com/connect/10074733072513#/reservations/31713414824072?display=MX438DF7D&amp;reservation_id=31713414824072", "MX438DF7D")</f>
        <v>MX438DF7D</v>
      </c>
      <c r="B12646" t="s">
        <v>1853</v>
      </c>
      <c r="C12646">
        <v>378</v>
      </c>
      <c r="D12646">
        <v>410.9</v>
      </c>
      <c r="E12646">
        <v>410.89</v>
      </c>
      <c r="F12646">
        <v>0.01</v>
      </c>
    </row>
    <row r="12647" spans="1:6" x14ac:dyDescent="0.3">
      <c r="A12647" t="str">
        <f>HYPERLINK("https://us2.cloudbeds.com/connect/10074733072513#/reservations/31716784373907?display=MX6NBN515&amp;reservation_id=31716784373907", "MX6NBN515")</f>
        <v>MX6NBN515</v>
      </c>
      <c r="B12647" t="s">
        <v>1729</v>
      </c>
      <c r="C12647">
        <v>149</v>
      </c>
      <c r="D12647">
        <v>161.97</v>
      </c>
      <c r="E12647">
        <v>161.96</v>
      </c>
      <c r="F12647">
        <v>0.01</v>
      </c>
    </row>
    <row r="12648" spans="1:6" x14ac:dyDescent="0.3">
      <c r="A12648" t="str">
        <f>HYPERLINK("https://us2.cloudbeds.com/connect/10074733072513#/reservations/31715351904402?display=MX5JZQJ1B&amp;reservation_id=31715351904402", "MX5JZQJ1B")</f>
        <v>MX5JZQJ1B</v>
      </c>
      <c r="B12648" t="s">
        <v>1878</v>
      </c>
      <c r="C12648">
        <v>189</v>
      </c>
      <c r="D12648">
        <v>205.45</v>
      </c>
      <c r="E12648">
        <v>205.44</v>
      </c>
      <c r="F12648">
        <v>0.01</v>
      </c>
    </row>
    <row r="12649" spans="1:6" x14ac:dyDescent="0.3">
      <c r="A12649" t="str">
        <f>HYPERLINK("https://us2.cloudbeds.com/connect/10074733072513#/reservations/31714756382892?display=MX54HYAAW&amp;reservation_id=31714756382892", "MX54HYAAW")</f>
        <v>MX54HYAAW</v>
      </c>
      <c r="B12649" t="s">
        <v>1731</v>
      </c>
      <c r="C12649">
        <v>159</v>
      </c>
      <c r="D12649">
        <v>172.84</v>
      </c>
      <c r="E12649">
        <v>172.83</v>
      </c>
      <c r="F12649">
        <v>0.01</v>
      </c>
    </row>
    <row r="12650" spans="1:6" x14ac:dyDescent="0.3">
      <c r="A12650" t="str">
        <f>HYPERLINK("https://us2.cloudbeds.com/connect/10074733072513#/reservations/31719278559466?display=MX8Y2SHTZ&amp;reservation_id=31719278559466", "MX8Y2SHTZ")</f>
        <v>MX8Y2SHTZ</v>
      </c>
      <c r="B12650" t="s">
        <v>1850</v>
      </c>
      <c r="C12650">
        <v>179</v>
      </c>
      <c r="D12650">
        <v>194.58</v>
      </c>
      <c r="E12650">
        <v>194.57</v>
      </c>
      <c r="F12650">
        <v>0.01</v>
      </c>
    </row>
    <row r="12651" spans="1:6" x14ac:dyDescent="0.3">
      <c r="A12651" t="str">
        <f>HYPERLINK("https://us2.cloudbeds.com/connect/10074733072513#/reservations/31702583091424?display=MHSNFQHJZ&amp;reservation_id=31702583091424", "MHSNFQHJZ")</f>
        <v>MHSNFQHJZ</v>
      </c>
      <c r="B12651" t="s">
        <v>1917</v>
      </c>
      <c r="C12651">
        <v>318</v>
      </c>
      <c r="D12651">
        <v>345.68</v>
      </c>
      <c r="E12651">
        <v>345.67</v>
      </c>
      <c r="F12651">
        <v>0.01</v>
      </c>
    </row>
    <row r="12652" spans="1:6" x14ac:dyDescent="0.3">
      <c r="A12652" t="str">
        <f>HYPERLINK("https://us2.cloudbeds.com/connect/10074733072513#/reservations/31702001107148?display=MHS8K1VPJ&amp;reservation_id=31702001107148", "MHS8K1VPJ")</f>
        <v>MHS8K1VPJ</v>
      </c>
      <c r="B12652" t="s">
        <v>1917</v>
      </c>
      <c r="C12652">
        <v>358</v>
      </c>
      <c r="D12652">
        <v>389.16</v>
      </c>
      <c r="E12652">
        <v>389.15</v>
      </c>
      <c r="F12652">
        <v>0.01</v>
      </c>
    </row>
    <row r="12653" spans="1:6" x14ac:dyDescent="0.3">
      <c r="A12653" t="str">
        <f>HYPERLINK("https://us2.cloudbeds.com/connect/10074733072513#/reservations/31716155388063?display=MX679AMU2&amp;reservation_id=31716155388063", "MX679AMU2")</f>
        <v>MX679AMU2</v>
      </c>
      <c r="B12653" t="s">
        <v>1911</v>
      </c>
      <c r="C12653">
        <v>109</v>
      </c>
      <c r="D12653">
        <v>118.49</v>
      </c>
      <c r="E12653">
        <v>118.48</v>
      </c>
      <c r="F12653">
        <v>0.01</v>
      </c>
    </row>
    <row r="12654" spans="1:6" x14ac:dyDescent="0.3">
      <c r="A12654" t="str">
        <f>HYPERLINK("https://us2.cloudbeds.com/connect/10074733072513#/reservations/31712533762192?display=MX3DZFKAX&amp;reservation_id=31712533762192", "MX3DZFKAX")</f>
        <v>MX3DZFKAX</v>
      </c>
      <c r="B12654" t="s">
        <v>1881</v>
      </c>
      <c r="C12654">
        <v>238</v>
      </c>
      <c r="D12654">
        <v>258.72000000000003</v>
      </c>
      <c r="E12654">
        <v>258.70999999999998</v>
      </c>
      <c r="F12654">
        <v>0.01</v>
      </c>
    </row>
    <row r="12655" spans="1:6" x14ac:dyDescent="0.3">
      <c r="A12655" t="str">
        <f>HYPERLINK("https://us2.cloudbeds.com/connect/10074733072513#/reservations/31719588045054?display=MX8SWREBT&amp;reservation_id=31719588045054", "MX8SWREBT")</f>
        <v>MX8SWREBT</v>
      </c>
      <c r="B12655" t="s">
        <v>1779</v>
      </c>
      <c r="C12655">
        <v>218</v>
      </c>
      <c r="D12655">
        <v>236.98</v>
      </c>
      <c r="E12655">
        <v>236.97</v>
      </c>
      <c r="F12655">
        <v>0.01</v>
      </c>
    </row>
    <row r="12656" spans="1:6" x14ac:dyDescent="0.3">
      <c r="A12656" t="str">
        <f>HYPERLINK("https://us2.cloudbeds.com/connect/10074733072513#/reservations/31716736798886?display=MX6M4JA4S&amp;reservation_id=31716736798886", "MX6M4JA4S")</f>
        <v>MX6M4JA4S</v>
      </c>
      <c r="B12656" t="s">
        <v>1846</v>
      </c>
      <c r="C12656">
        <v>179</v>
      </c>
      <c r="D12656">
        <v>194.58</v>
      </c>
      <c r="E12656">
        <v>194.57</v>
      </c>
      <c r="F12656">
        <v>0.01</v>
      </c>
    </row>
    <row r="12657" spans="1:6" x14ac:dyDescent="0.3">
      <c r="A12657" t="str">
        <f>HYPERLINK("https://us2.cloudbeds.com/connect/10074733072513#/reservations/31714701676751?display=MX534H144&amp;reservation_id=31714701676751", "MX534H144")</f>
        <v>MX534H144</v>
      </c>
      <c r="B12657" t="s">
        <v>1816</v>
      </c>
      <c r="C12657">
        <v>189</v>
      </c>
      <c r="D12657">
        <v>205.45</v>
      </c>
      <c r="E12657">
        <v>205.44</v>
      </c>
      <c r="F12657">
        <v>0.01</v>
      </c>
    </row>
    <row r="12658" spans="1:6" x14ac:dyDescent="0.3">
      <c r="A12658" t="str">
        <f>HYPERLINK("https://us2.cloudbeds.com/connect/10074733072513#/reservations/31701658071173?display=MHRWRQFT1&amp;reservation_id=31701658071173", "MHRWRQFT1")</f>
        <v>MHRWRQFT1</v>
      </c>
      <c r="B12658" t="s">
        <v>1916</v>
      </c>
      <c r="C12658">
        <v>318</v>
      </c>
      <c r="D12658">
        <v>345.68</v>
      </c>
      <c r="E12658">
        <v>345.67</v>
      </c>
      <c r="F12658">
        <v>0.01</v>
      </c>
    </row>
    <row r="12659" spans="1:6" x14ac:dyDescent="0.3">
      <c r="A12659" t="str">
        <f>HYPERLINK("https://us2.cloudbeds.com/connect/10074733072513#/reservations/31716909727900?display=MX6QXDAA0&amp;reservation_id=31716909727900", "MX6QXDAA0")</f>
        <v>MX6QXDAA0</v>
      </c>
      <c r="B12659" t="s">
        <v>1911</v>
      </c>
      <c r="C12659">
        <v>109</v>
      </c>
      <c r="D12659">
        <v>118.49</v>
      </c>
      <c r="E12659">
        <v>118.48</v>
      </c>
      <c r="F12659">
        <v>0.01</v>
      </c>
    </row>
    <row r="12660" spans="1:6" x14ac:dyDescent="0.3">
      <c r="A12660" t="str">
        <f>HYPERLINK("https://us2.cloudbeds.com/connect/10074733072513#/reservations/31712939679885?display=MX3Z3ZSRN&amp;reservation_id=31712939679885", "MX3Z3ZSRN")</f>
        <v>MX3Z3ZSRN</v>
      </c>
      <c r="B12660" t="s">
        <v>1850</v>
      </c>
      <c r="C12660">
        <v>189</v>
      </c>
      <c r="D12660">
        <v>205.45</v>
      </c>
      <c r="E12660">
        <v>205.44</v>
      </c>
      <c r="F12660">
        <v>0.01</v>
      </c>
    </row>
    <row r="12661" spans="1:6" x14ac:dyDescent="0.3">
      <c r="A12661" t="str">
        <f>HYPERLINK("https://us2.cloudbeds.com/connect/10074733072513#/reservations/31716182978774?display=MX67WJEZ7&amp;reservation_id=31716182978774", "MX67WJEZ7")</f>
        <v>MX67WJEZ7</v>
      </c>
      <c r="B12661" t="s">
        <v>1911</v>
      </c>
      <c r="C12661">
        <v>109</v>
      </c>
      <c r="D12661">
        <v>118.49</v>
      </c>
      <c r="E12661">
        <v>118.48</v>
      </c>
      <c r="F12661">
        <v>0.01</v>
      </c>
    </row>
    <row r="12662" spans="1:6" x14ac:dyDescent="0.3">
      <c r="A12662" t="str">
        <f>HYPERLINK("https://us2.cloudbeds.com/connect/10074733072513#/reservations/31716554019019?display=MX6HFF670&amp;reservation_id=31716554019019", "MX6HFF670")</f>
        <v>MX6HFF670</v>
      </c>
      <c r="B12662" t="s">
        <v>1918</v>
      </c>
      <c r="C12662">
        <v>109</v>
      </c>
      <c r="D12662">
        <v>118.49</v>
      </c>
      <c r="E12662">
        <v>118.48</v>
      </c>
      <c r="F12662">
        <v>0.01</v>
      </c>
    </row>
    <row r="12663" spans="1:6" x14ac:dyDescent="0.3">
      <c r="A12663" t="str">
        <f>HYPERLINK("https://us2.cloudbeds.com/connect/10074733072513#/reservations/31716635676889?display=MX6JXAEFU&amp;reservation_id=31716635676889", "MX6JXAEFU")</f>
        <v>MX6JXAEFU</v>
      </c>
      <c r="B12663" t="s">
        <v>1913</v>
      </c>
      <c r="C12663">
        <v>139</v>
      </c>
      <c r="D12663">
        <v>151.1</v>
      </c>
      <c r="E12663">
        <v>151.09</v>
      </c>
      <c r="F12663">
        <v>0.01</v>
      </c>
    </row>
    <row r="12664" spans="1:6" x14ac:dyDescent="0.3">
      <c r="A12664" t="str">
        <f>HYPERLINK("https://us2.cloudbeds.com/connect/10074733072513#/reservations/31718108377230?display=MX7Z64GCW&amp;reservation_id=31718108377230", "MX7Z64GCW")</f>
        <v>MX7Z64GCW</v>
      </c>
      <c r="B12664" t="s">
        <v>1862</v>
      </c>
      <c r="C12664">
        <v>398</v>
      </c>
      <c r="D12664">
        <v>432.64</v>
      </c>
      <c r="E12664">
        <v>432.63</v>
      </c>
      <c r="F12664">
        <v>0.01</v>
      </c>
    </row>
    <row r="12665" spans="1:6" x14ac:dyDescent="0.3">
      <c r="A12665" t="str">
        <f>HYPERLINK("https://us2.cloudbeds.com/connect/10074733072513#/reservations/31720496693479?display=MX9J70U8Y&amp;reservation_id=31720496693479", "MX9J70U8Y")</f>
        <v>MX9J70U8Y</v>
      </c>
      <c r="B12665" t="s">
        <v>1919</v>
      </c>
      <c r="C12665">
        <v>119</v>
      </c>
      <c r="D12665">
        <v>129.36000000000001</v>
      </c>
      <c r="E12665">
        <v>129.35</v>
      </c>
      <c r="F12665">
        <v>0.01</v>
      </c>
    </row>
    <row r="12666" spans="1:6" x14ac:dyDescent="0.3">
      <c r="A12666" t="str">
        <f>HYPERLINK("https://us2.cloudbeds.com/connect/10074733072513#/reservations/31712567812240?display=MX3EK63J6&amp;reservation_id=31712567812240", "MX3EK63J6")</f>
        <v>MX3EK63J6</v>
      </c>
      <c r="B12666" t="s">
        <v>1881</v>
      </c>
      <c r="C12666">
        <v>228</v>
      </c>
      <c r="D12666">
        <v>247.85</v>
      </c>
      <c r="E12666">
        <v>247.84</v>
      </c>
      <c r="F12666">
        <v>0.01</v>
      </c>
    </row>
    <row r="12667" spans="1:6" x14ac:dyDescent="0.3">
      <c r="A12667" t="str">
        <f>HYPERLINK("https://us2.cloudbeds.com/connect/10074733072513#/reservations/31712741818527?display=MX3J1U2VW&amp;reservation_id=31712741818527", "MX3J1U2VW")</f>
        <v>MX3J1U2VW</v>
      </c>
      <c r="B12667" t="s">
        <v>1781</v>
      </c>
      <c r="C12667">
        <v>458</v>
      </c>
      <c r="D12667">
        <v>497.86</v>
      </c>
      <c r="E12667">
        <v>497.85</v>
      </c>
      <c r="F12667">
        <v>0.01</v>
      </c>
    </row>
    <row r="12668" spans="1:6" x14ac:dyDescent="0.3">
      <c r="A12668" t="str">
        <f>HYPERLINK("https://us2.cloudbeds.com/connect/10074733072513#/reservations/31717756817537?display=MX7F6MRCV&amp;reservation_id=31717756817537", "MX7F6MRCV")</f>
        <v>MX7F6MRCV</v>
      </c>
      <c r="B12668" t="s">
        <v>1881</v>
      </c>
      <c r="C12668">
        <v>109</v>
      </c>
      <c r="D12668">
        <v>118.49</v>
      </c>
      <c r="E12668">
        <v>118.48</v>
      </c>
      <c r="F12668">
        <v>0.01</v>
      </c>
    </row>
    <row r="12669" spans="1:6" x14ac:dyDescent="0.3">
      <c r="A12669" t="str">
        <f>HYPERLINK("https://us2.cloudbeds.com/connect/10074733072513#/reservations/31712466739445?display=MX3C0VK37&amp;reservation_id=31712466739445", "MX3C0VK37")</f>
        <v>MX3C0VK37</v>
      </c>
      <c r="B12669" t="s">
        <v>1920</v>
      </c>
      <c r="C12669">
        <v>247.96</v>
      </c>
      <c r="D12669">
        <v>269.54000000000002</v>
      </c>
      <c r="E12669">
        <v>269.52999999999997</v>
      </c>
      <c r="F12669">
        <v>0.01</v>
      </c>
    </row>
    <row r="12670" spans="1:6" x14ac:dyDescent="0.3">
      <c r="A12670" t="str">
        <f>HYPERLINK("https://us2.cloudbeds.com/connect/10074733072513#/reservations/31718425206984?display=MX7W99ZQK&amp;reservation_id=31718425206984", "MX7W99ZQK")</f>
        <v>MX7W99ZQK</v>
      </c>
      <c r="B12670" t="s">
        <v>1891</v>
      </c>
      <c r="C12670">
        <v>175.8</v>
      </c>
      <c r="D12670">
        <v>191.1</v>
      </c>
      <c r="E12670">
        <v>191.09</v>
      </c>
      <c r="F12670">
        <v>0.01</v>
      </c>
    </row>
    <row r="12671" spans="1:6" x14ac:dyDescent="0.3">
      <c r="A12671" t="str">
        <f>HYPERLINK("https://us2.cloudbeds.com/connect/10074733072513#/reservations/31717340733594?display=MX74XRMFJ&amp;reservation_id=31717340733594", "MX74XRMFJ")</f>
        <v>MX74XRMFJ</v>
      </c>
      <c r="B12671" t="s">
        <v>1903</v>
      </c>
      <c r="C12671">
        <v>139</v>
      </c>
      <c r="D12671">
        <v>151.1</v>
      </c>
      <c r="E12671">
        <v>151.09</v>
      </c>
      <c r="F12671">
        <v>0.01</v>
      </c>
    </row>
    <row r="12672" spans="1:6" x14ac:dyDescent="0.3">
      <c r="A12672" t="str">
        <f>HYPERLINK("https://us2.cloudbeds.com/connect/10074733072513#/reservations/31717737955461?display=MX7ENPVRT&amp;reservation_id=31717737955461", "MX7ENPVRT")</f>
        <v>MX7ENPVRT</v>
      </c>
      <c r="B12672" t="s">
        <v>1881</v>
      </c>
      <c r="C12672">
        <v>109</v>
      </c>
      <c r="D12672">
        <v>118.49</v>
      </c>
      <c r="E12672">
        <v>118.48</v>
      </c>
      <c r="F12672">
        <v>0.01</v>
      </c>
    </row>
    <row r="12673" spans="1:6" x14ac:dyDescent="0.3">
      <c r="A12673" t="str">
        <f>HYPERLINK("https://us2.cloudbeds.com/connect/10074733072513#/reservations/31721398481123?display=MXA98EG2V&amp;reservation_id=31721398481123", "MXA98EG2V")</f>
        <v>MXA98EG2V</v>
      </c>
      <c r="B12673" t="s">
        <v>1881</v>
      </c>
      <c r="C12673">
        <v>109</v>
      </c>
      <c r="D12673">
        <v>118.49</v>
      </c>
      <c r="E12673">
        <v>118.48</v>
      </c>
      <c r="F12673">
        <v>0.01</v>
      </c>
    </row>
    <row r="12674" spans="1:6" x14ac:dyDescent="0.3">
      <c r="A12674" t="str">
        <f>HYPERLINK("https://us2.cloudbeds.com/connect/10074733072513#/reservations/31719563661520?display=MX8SC8UJU&amp;reservation_id=31719563661520", "MX8SC8UJU")</f>
        <v>MX8SC8UJU</v>
      </c>
      <c r="B12674" t="s">
        <v>1779</v>
      </c>
      <c r="C12674">
        <v>109</v>
      </c>
      <c r="D12674">
        <v>118.49</v>
      </c>
      <c r="E12674">
        <v>118.48</v>
      </c>
      <c r="F12674">
        <v>0.01</v>
      </c>
    </row>
    <row r="12675" spans="1:6" x14ac:dyDescent="0.3">
      <c r="A12675" t="str">
        <f>HYPERLINK("https://us2.cloudbeds.com/connect/10074733072513#/reservations/31717684842713?display=MX7DC00QM&amp;reservation_id=31717684842713", "MX7DC00QM")</f>
        <v>MX7DC00QM</v>
      </c>
      <c r="B12675" t="s">
        <v>1854</v>
      </c>
      <c r="C12675">
        <v>97.74</v>
      </c>
      <c r="D12675">
        <v>106.25</v>
      </c>
      <c r="E12675">
        <v>106.24</v>
      </c>
      <c r="F12675">
        <v>0.01</v>
      </c>
    </row>
    <row r="12676" spans="1:6" x14ac:dyDescent="0.3">
      <c r="A12676" t="str">
        <f>HYPERLINK("https://us2.cloudbeds.com/connect/10074733072513#/reservations/31721412886740?display=MXA9KJBCQ&amp;reservation_id=31721412886740", "MXA9KJBCQ")</f>
        <v>MXA9KJBCQ</v>
      </c>
      <c r="B12676" t="s">
        <v>1881</v>
      </c>
      <c r="C12676">
        <v>109</v>
      </c>
      <c r="D12676">
        <v>118.49</v>
      </c>
      <c r="E12676">
        <v>118.48</v>
      </c>
      <c r="F12676">
        <v>0.01</v>
      </c>
    </row>
    <row r="12677" spans="1:6" x14ac:dyDescent="0.3">
      <c r="A12677" t="str">
        <f>HYPERLINK("https://us2.cloudbeds.com/connect/10074733072513#/reservations/31717694988424?display=MX7DKXBBF&amp;reservation_id=31717694988424", "MX7DKXBBF")</f>
        <v>MX7DKXBBF</v>
      </c>
      <c r="B12677" t="s">
        <v>1921</v>
      </c>
      <c r="C12677">
        <v>102.58</v>
      </c>
      <c r="D12677">
        <v>111.51</v>
      </c>
      <c r="E12677">
        <v>111.5</v>
      </c>
      <c r="F12677">
        <v>0.01</v>
      </c>
    </row>
    <row r="12678" spans="1:6" x14ac:dyDescent="0.3">
      <c r="A12678" t="str">
        <f>HYPERLINK("https://us2.cloudbeds.com/connect/10074733072513#/reservations/31712585687246?display=MX3F28GZ1&amp;reservation_id=31712585687246", "MX3F28GZ1")</f>
        <v>MX3F28GZ1</v>
      </c>
      <c r="B12678" t="s">
        <v>1881</v>
      </c>
      <c r="C12678">
        <v>218</v>
      </c>
      <c r="D12678">
        <v>236.98</v>
      </c>
      <c r="E12678">
        <v>236.97</v>
      </c>
      <c r="F12678">
        <v>0.01</v>
      </c>
    </row>
    <row r="12679" spans="1:6" x14ac:dyDescent="0.3">
      <c r="A12679" t="str">
        <f>HYPERLINK("https://us2.cloudbeds.com/connect/10074733072513#/reservations/31715569102995?display=MX5P9VEPT&amp;reservation_id=31715569102995", "MX5P9VEPT")</f>
        <v>MX5P9VEPT</v>
      </c>
      <c r="B12679" t="s">
        <v>1729</v>
      </c>
      <c r="C12679">
        <v>298</v>
      </c>
      <c r="D12679">
        <v>323.94</v>
      </c>
      <c r="E12679">
        <v>323.93</v>
      </c>
      <c r="F12679">
        <v>0.01</v>
      </c>
    </row>
    <row r="12680" spans="1:6" x14ac:dyDescent="0.3">
      <c r="A12680" t="str">
        <f>HYPERLINK("https://us2.cloudbeds.com/connect/10074733072513#/reservations/31715592237265?display=MX5PTF6CC&amp;reservation_id=31715592237265", "MX5PTF6CC")</f>
        <v>MX5PTF6CC</v>
      </c>
      <c r="B12680" t="s">
        <v>1729</v>
      </c>
      <c r="C12680">
        <v>298</v>
      </c>
      <c r="D12680">
        <v>323.94</v>
      </c>
      <c r="E12680">
        <v>323.93</v>
      </c>
      <c r="F12680">
        <v>0.01</v>
      </c>
    </row>
    <row r="12681" spans="1:6" x14ac:dyDescent="0.3">
      <c r="A12681" t="str">
        <f>HYPERLINK("https://us2.cloudbeds.com/connect/10074733072513#/reservations/31718333796583?display=MX7TV741F&amp;reservation_id=31718333796583", "MX7TV741F")</f>
        <v>MX7TV741F</v>
      </c>
      <c r="B12681" t="s">
        <v>1918</v>
      </c>
      <c r="C12681">
        <v>336</v>
      </c>
      <c r="D12681">
        <v>365.24</v>
      </c>
      <c r="E12681">
        <v>365.23</v>
      </c>
      <c r="F12681">
        <v>0.01</v>
      </c>
    </row>
    <row r="12682" spans="1:6" x14ac:dyDescent="0.3">
      <c r="A12682" t="str">
        <f>HYPERLINK("https://us2.cloudbeds.com/connect/10074733072513#/reservations/31719424020686?display=MX8ZQH73G&amp;reservation_id=31719424020686", "MX8ZQH73G")</f>
        <v>MX8ZQH73G</v>
      </c>
      <c r="B12682" t="s">
        <v>1921</v>
      </c>
      <c r="C12682">
        <v>109</v>
      </c>
      <c r="D12682">
        <v>118.49</v>
      </c>
      <c r="E12682">
        <v>118.48</v>
      </c>
      <c r="F12682">
        <v>0.01</v>
      </c>
    </row>
    <row r="12683" spans="1:6" x14ac:dyDescent="0.3">
      <c r="A12683" t="str">
        <f>HYPERLINK("https://us2.cloudbeds.com/connect/10074733072513#/reservations/31721390133379?display=MXA91D6J0&amp;reservation_id=31721390133379", "MXA91D6J0")</f>
        <v>MXA91D6J0</v>
      </c>
      <c r="B12683" t="s">
        <v>1881</v>
      </c>
      <c r="C12683">
        <v>109</v>
      </c>
      <c r="D12683">
        <v>118.49</v>
      </c>
      <c r="E12683">
        <v>118.48</v>
      </c>
      <c r="F12683">
        <v>0.01</v>
      </c>
    </row>
    <row r="12684" spans="1:6" x14ac:dyDescent="0.3">
      <c r="A12684" t="str">
        <f>HYPERLINK("https://us2.cloudbeds.com/connect/10074733072513#/reservations/31721398477030?display=MXA98ECAU&amp;reservation_id=31721398477030", "MXA98ECAU")</f>
        <v>MXA98ECAU</v>
      </c>
      <c r="B12684" t="s">
        <v>1881</v>
      </c>
      <c r="C12684">
        <v>109</v>
      </c>
      <c r="D12684">
        <v>118.49</v>
      </c>
      <c r="E12684">
        <v>118.48</v>
      </c>
      <c r="F12684">
        <v>0.01</v>
      </c>
    </row>
    <row r="12685" spans="1:6" x14ac:dyDescent="0.3">
      <c r="A12685" t="str">
        <f>HYPERLINK("https://us2.cloudbeds.com/connect/10074733072513#/reservations/31716477501656?display=MX6FGUWB1&amp;reservation_id=31716477501656", "MX6FGUWB1")</f>
        <v>MX6FGUWB1</v>
      </c>
      <c r="B12685" t="s">
        <v>1922</v>
      </c>
      <c r="C12685">
        <v>252</v>
      </c>
      <c r="D12685">
        <v>273.93</v>
      </c>
      <c r="E12685">
        <v>273.92</v>
      </c>
      <c r="F12685">
        <v>0.01</v>
      </c>
    </row>
    <row r="12686" spans="1:6" x14ac:dyDescent="0.3">
      <c r="A12686" t="str">
        <f>HYPERLINK("https://us2.cloudbeds.com/connect/10074733072513#/reservations/31716447830211?display=MX6EZUARB&amp;reservation_id=31716447830211", "MX6EZUARB")</f>
        <v>MX6EZUARB</v>
      </c>
      <c r="B12686" t="s">
        <v>1918</v>
      </c>
      <c r="C12686">
        <v>149</v>
      </c>
      <c r="D12686">
        <v>161.97</v>
      </c>
      <c r="E12686">
        <v>161.96</v>
      </c>
      <c r="F12686">
        <v>0.01</v>
      </c>
    </row>
    <row r="12687" spans="1:6" x14ac:dyDescent="0.3">
      <c r="A12687" t="str">
        <f>HYPERLINK("https://us2.cloudbeds.com/connect/10074733072513#/reservations/31715115557116?display=MX5DNGSXC&amp;reservation_id=31715115557116", "MX5DNGSXC")</f>
        <v>MX5DNGSXC</v>
      </c>
      <c r="B12687" t="s">
        <v>1923</v>
      </c>
      <c r="C12687">
        <v>199</v>
      </c>
      <c r="D12687">
        <v>216.32</v>
      </c>
      <c r="E12687">
        <v>216.31</v>
      </c>
      <c r="F12687">
        <v>0.01</v>
      </c>
    </row>
    <row r="12688" spans="1:6" x14ac:dyDescent="0.3">
      <c r="A12688" t="str">
        <f>HYPERLINK("https://us2.cloudbeds.com/connect/10074733072513#/reservations/31719572738211?display=MX8SJUGG5&amp;reservation_id=31719572738211", "MX8SJUGG5")</f>
        <v>MX8SJUGG5</v>
      </c>
      <c r="B12688" t="s">
        <v>1779</v>
      </c>
      <c r="C12688">
        <v>109</v>
      </c>
      <c r="D12688">
        <v>118.49</v>
      </c>
      <c r="E12688">
        <v>118.48</v>
      </c>
      <c r="F12688">
        <v>0.01</v>
      </c>
    </row>
    <row r="12689" spans="1:6" x14ac:dyDescent="0.3">
      <c r="A12689" t="str">
        <f>HYPERLINK("https://us2.cloudbeds.com/connect/10074733072513#/reservations/31717670412541?display=MX7CWRFVZ&amp;reservation_id=31717670412541", "MX7CWRFVZ")</f>
        <v>MX7CWRFVZ</v>
      </c>
      <c r="B12689" t="s">
        <v>1921</v>
      </c>
      <c r="C12689">
        <v>79</v>
      </c>
      <c r="D12689">
        <v>85.88</v>
      </c>
      <c r="E12689">
        <v>85.87</v>
      </c>
      <c r="F12689">
        <v>0.01</v>
      </c>
    </row>
    <row r="12690" spans="1:6" x14ac:dyDescent="0.3">
      <c r="A12690" t="str">
        <f>HYPERLINK("https://us2.cloudbeds.com/connect/10074733072513#/reservations/31719408689384?display=MX8ZDJJPX&amp;reservation_id=31719408689384", "MX8ZDJJPX")</f>
        <v>MX8ZDJJPX</v>
      </c>
      <c r="B12690" t="s">
        <v>1779</v>
      </c>
      <c r="C12690">
        <v>129</v>
      </c>
      <c r="D12690">
        <v>140.22999999999999</v>
      </c>
      <c r="E12690">
        <v>140.22</v>
      </c>
      <c r="F12690">
        <v>0.01</v>
      </c>
    </row>
    <row r="12691" spans="1:6" x14ac:dyDescent="0.3">
      <c r="A12691" t="str">
        <f>HYPERLINK("https://us2.cloudbeds.com/connect/10074733072513#/reservations/31714868945096?display=MX57DXH7S&amp;reservation_id=31714868945096", "MX57DXH7S")</f>
        <v>MX57DXH7S</v>
      </c>
      <c r="B12691" t="s">
        <v>1924</v>
      </c>
      <c r="C12691">
        <v>199</v>
      </c>
      <c r="D12691">
        <v>216.32</v>
      </c>
      <c r="E12691">
        <v>216.31</v>
      </c>
      <c r="F12691">
        <v>0.01</v>
      </c>
    </row>
    <row r="12692" spans="1:6" x14ac:dyDescent="0.3">
      <c r="A12692" t="str">
        <f>HYPERLINK("https://us2.cloudbeds.com/connect/10074733072513#/reservations/31719499964587?display=MX8QZXFCR&amp;reservation_id=31719499964587", "MX8QZXFCR")</f>
        <v>MX8QZXFCR</v>
      </c>
      <c r="B12692" t="s">
        <v>1779</v>
      </c>
      <c r="C12692">
        <v>109</v>
      </c>
      <c r="D12692">
        <v>118.49</v>
      </c>
      <c r="E12692">
        <v>118.48</v>
      </c>
      <c r="F12692">
        <v>0.01</v>
      </c>
    </row>
    <row r="12693" spans="1:6" x14ac:dyDescent="0.3">
      <c r="A12693" t="str">
        <f>HYPERLINK("https://us2.cloudbeds.com/connect/10074733072513#/reservations/31701820313747?display=MHS3WK3VM&amp;reservation_id=31701820313747", "MHS3WK3VM")</f>
        <v>MHS3WK3VM</v>
      </c>
      <c r="B12693" t="s">
        <v>1788</v>
      </c>
      <c r="C12693">
        <v>179</v>
      </c>
      <c r="D12693">
        <v>194.58</v>
      </c>
      <c r="E12693">
        <v>194.57</v>
      </c>
      <c r="F12693">
        <v>0.01</v>
      </c>
    </row>
    <row r="12694" spans="1:6" x14ac:dyDescent="0.3">
      <c r="A12694" t="str">
        <f>HYPERLINK("https://us2.cloudbeds.com/connect/10074733072513#/reservations/31716462199019?display=MX6F415AP&amp;reservation_id=31716462199019", "MX6F415AP")</f>
        <v>MX6F415AP</v>
      </c>
      <c r="B12694" t="s">
        <v>1918</v>
      </c>
      <c r="C12694">
        <v>73</v>
      </c>
      <c r="D12694">
        <v>79.36</v>
      </c>
      <c r="E12694">
        <v>79.349999999999994</v>
      </c>
      <c r="F12694">
        <v>0.01</v>
      </c>
    </row>
    <row r="12695" spans="1:6" x14ac:dyDescent="0.3">
      <c r="A12695" t="str">
        <f>HYPERLINK("https://us2.cloudbeds.com/connect/10074733072513#/reservations/31716453208216?display=MX6ETEWA6&amp;reservation_id=31716453208216", "MX6ETEWA6")</f>
        <v>MX6ETEWA6</v>
      </c>
      <c r="B12695" t="s">
        <v>1918</v>
      </c>
      <c r="C12695">
        <v>109</v>
      </c>
      <c r="D12695">
        <v>118.49</v>
      </c>
      <c r="E12695">
        <v>118.48</v>
      </c>
      <c r="F12695">
        <v>0.01</v>
      </c>
    </row>
    <row r="12696" spans="1:6" x14ac:dyDescent="0.3">
      <c r="A12696" t="str">
        <f>HYPERLINK("https://us2.cloudbeds.com/connect/10074733072513#/reservations/31716470182079?display=MX6FAP9VM&amp;reservation_id=31716470182079", "MX6FAP9VM")</f>
        <v>MX6FAP9VM</v>
      </c>
      <c r="B12696" t="s">
        <v>1918</v>
      </c>
      <c r="C12696">
        <v>109</v>
      </c>
      <c r="D12696">
        <v>118.49</v>
      </c>
      <c r="E12696">
        <v>118.48</v>
      </c>
      <c r="F12696">
        <v>0.01</v>
      </c>
    </row>
    <row r="12697" spans="1:6" x14ac:dyDescent="0.3">
      <c r="A12697" t="str">
        <f>HYPERLINK("https://us2.cloudbeds.com/connect/10074733072513#/reservations/31719020306581?display=MX8EG392Z&amp;reservation_id=31719020306581", "MX8EG392Z")</f>
        <v>MX8EG392Z</v>
      </c>
      <c r="B12697" t="s">
        <v>1666</v>
      </c>
      <c r="C12697">
        <v>179</v>
      </c>
      <c r="D12697">
        <v>194.58</v>
      </c>
      <c r="E12697">
        <v>194.57</v>
      </c>
      <c r="F12697">
        <v>0.01</v>
      </c>
    </row>
    <row r="12698" spans="1:6" x14ac:dyDescent="0.3">
      <c r="A12698" t="str">
        <f>HYPERLINK("https://us2.cloudbeds.com/connect/10074733072513#/reservations/31716965703916?display=MX6RWJUJU&amp;reservation_id=31716965703916", "MX6RWJUJU")</f>
        <v>MX6RWJUJU</v>
      </c>
      <c r="B12698" t="s">
        <v>1926</v>
      </c>
      <c r="C12698">
        <v>218</v>
      </c>
      <c r="D12698">
        <v>236.98</v>
      </c>
      <c r="E12698">
        <v>236.97</v>
      </c>
      <c r="F12698">
        <v>0.01</v>
      </c>
    </row>
    <row r="12699" spans="1:6" x14ac:dyDescent="0.3">
      <c r="A12699" t="str">
        <f>HYPERLINK("https://us2.cloudbeds.com/connect/10074733072513#/reservations/31716048957678?display=MX64XJ3MT&amp;reservation_id=31716048957678", "MX64XJ3MT")</f>
        <v>MX64XJ3MT</v>
      </c>
      <c r="B12699" t="s">
        <v>1887</v>
      </c>
      <c r="C12699">
        <v>139</v>
      </c>
      <c r="D12699">
        <v>151.1</v>
      </c>
      <c r="E12699">
        <v>151.09</v>
      </c>
      <c r="F12699">
        <v>0.01</v>
      </c>
    </row>
    <row r="12700" spans="1:6" x14ac:dyDescent="0.3">
      <c r="A12700" t="str">
        <f>HYPERLINK("https://us2.cloudbeds.com/connect/10074733072513#/reservations/31717043159235?display=MX6TVU7PQ&amp;reservation_id=31717043159235", "MX6TVU7PQ")</f>
        <v>MX6TVU7PQ</v>
      </c>
      <c r="B12700" t="s">
        <v>1889</v>
      </c>
      <c r="C12700">
        <v>89</v>
      </c>
      <c r="D12700">
        <v>96.75</v>
      </c>
      <c r="E12700">
        <v>96.74</v>
      </c>
      <c r="F12700">
        <v>0.01</v>
      </c>
    </row>
    <row r="12701" spans="1:6" x14ac:dyDescent="0.3">
      <c r="A12701" t="str">
        <f>HYPERLINK("https://us2.cloudbeds.com/connect/10074733072513#/reservations/31718354702478?display=MX7UFRSCE&amp;reservation_id=31718354702478", "MX7UFRSCE")</f>
        <v>MX7UFRSCE</v>
      </c>
      <c r="B12701" t="s">
        <v>1666</v>
      </c>
      <c r="C12701">
        <v>110.86</v>
      </c>
      <c r="D12701">
        <v>120.51</v>
      </c>
      <c r="E12701">
        <v>120.5</v>
      </c>
      <c r="F12701">
        <v>0.01</v>
      </c>
    </row>
    <row r="12702" spans="1:6" x14ac:dyDescent="0.3">
      <c r="A12702" t="str">
        <f>HYPERLINK("https://us2.cloudbeds.com/connect/10074733072513#/reservations/31719547437294?display=MX8RVJFAN&amp;reservation_id=31719547437294", "MX8RVJFAN")</f>
        <v>MX8RVJFAN</v>
      </c>
      <c r="B12702" t="s">
        <v>1666</v>
      </c>
      <c r="C12702">
        <v>298</v>
      </c>
      <c r="D12702">
        <v>323.94</v>
      </c>
      <c r="E12702">
        <v>323.93</v>
      </c>
      <c r="F12702">
        <v>0.01</v>
      </c>
    </row>
    <row r="12703" spans="1:6" x14ac:dyDescent="0.3">
      <c r="A12703" t="str">
        <f>HYPERLINK("https://us2.cloudbeds.com/connect/10074733072513#/reservations/31719061696687?display=MX8FX00HC&amp;reservation_id=31719061696687", "MX8FX00HC")</f>
        <v>MX8FX00HC</v>
      </c>
      <c r="B12703" t="s">
        <v>1891</v>
      </c>
      <c r="C12703">
        <v>169</v>
      </c>
      <c r="D12703">
        <v>183.71</v>
      </c>
      <c r="E12703">
        <v>183.7</v>
      </c>
      <c r="F12703">
        <v>0.01</v>
      </c>
    </row>
    <row r="12704" spans="1:6" x14ac:dyDescent="0.3">
      <c r="A12704" t="str">
        <f>HYPERLINK("https://us2.cloudbeds.com/connect/10074733072513#/reservations/31719044923545?display=MX8F3S96B&amp;reservation_id=31719044923545", "MX8F3S96B")</f>
        <v>MX8F3S96B</v>
      </c>
      <c r="B12704" t="s">
        <v>1891</v>
      </c>
      <c r="C12704">
        <v>139</v>
      </c>
      <c r="D12704">
        <v>151.1</v>
      </c>
      <c r="E12704">
        <v>151.09</v>
      </c>
      <c r="F12704">
        <v>0.01</v>
      </c>
    </row>
    <row r="12705" spans="1:6" x14ac:dyDescent="0.3">
      <c r="A12705" t="str">
        <f>HYPERLINK("https://us2.cloudbeds.com/connect/10074733072513#/reservations/31719030046954?display=MX8EZAADX&amp;reservation_id=31719030046954", "MX8EZAADX")</f>
        <v>MX8EZAADX</v>
      </c>
      <c r="B12705" t="s">
        <v>1891</v>
      </c>
      <c r="C12705">
        <v>149</v>
      </c>
      <c r="D12705">
        <v>161.97</v>
      </c>
      <c r="E12705">
        <v>161.96</v>
      </c>
      <c r="F12705">
        <v>0.01</v>
      </c>
    </row>
    <row r="12706" spans="1:6" x14ac:dyDescent="0.3">
      <c r="A12706" t="str">
        <f>HYPERLINK("https://us2.cloudbeds.com/connect/10074733072513#/reservations/31716639047899?display=MX6JY57WZ&amp;reservation_id=31716639047899", "MX6JY57WZ")</f>
        <v>MX6JY57WZ</v>
      </c>
      <c r="B12706" t="s">
        <v>1918</v>
      </c>
      <c r="C12706">
        <v>73</v>
      </c>
      <c r="D12706">
        <v>79.36</v>
      </c>
      <c r="E12706">
        <v>79.349999999999994</v>
      </c>
      <c r="F12706">
        <v>0.01</v>
      </c>
    </row>
    <row r="12707" spans="1:6" x14ac:dyDescent="0.3">
      <c r="A12707" t="str">
        <f>HYPERLINK("https://us2.cloudbeds.com/connect/10074733072513#/reservations/31716620599522?display=MX6J5JTB0&amp;reservation_id=31716620599522", "MX6J5JTB0")</f>
        <v>MX6J5JTB0</v>
      </c>
      <c r="B12707" t="s">
        <v>1918</v>
      </c>
      <c r="C12707">
        <v>109</v>
      </c>
      <c r="D12707">
        <v>118.49</v>
      </c>
      <c r="E12707">
        <v>118.48</v>
      </c>
      <c r="F12707">
        <v>0.01</v>
      </c>
    </row>
    <row r="12708" spans="1:6" x14ac:dyDescent="0.3">
      <c r="A12708" t="str">
        <f>HYPERLINK("https://us2.cloudbeds.com/connect/10074733072513#/reservations/31714542215354?display=MX4W21PUJ&amp;reservation_id=31714542215354", "MX4W21PUJ")</f>
        <v>MX4W21PUJ</v>
      </c>
      <c r="B12708" t="s">
        <v>1862</v>
      </c>
      <c r="C12708">
        <v>398</v>
      </c>
      <c r="D12708">
        <v>432.64</v>
      </c>
      <c r="E12708">
        <v>432.63</v>
      </c>
      <c r="F12708">
        <v>0.01</v>
      </c>
    </row>
    <row r="12709" spans="1:6" x14ac:dyDescent="0.3">
      <c r="A12709" t="str">
        <f>HYPERLINK("https://us2.cloudbeds.com/connect/10074733072513#/reservations/31715506249941?display=MX5NMVFFT&amp;reservation_id=31715506249941", "MX5NMVFFT")</f>
        <v>MX5NMVFFT</v>
      </c>
      <c r="B12709" t="s">
        <v>1729</v>
      </c>
      <c r="C12709">
        <v>149</v>
      </c>
      <c r="D12709">
        <v>161.97</v>
      </c>
      <c r="E12709">
        <v>161.96</v>
      </c>
      <c r="F12709">
        <v>0.01</v>
      </c>
    </row>
    <row r="12710" spans="1:6" x14ac:dyDescent="0.3">
      <c r="A12710" t="str">
        <f>HYPERLINK("https://us2.cloudbeds.com/connect/10074733072513#/reservations/31715945611438?display=MX61UEBXY&amp;reservation_id=31715945611438", "MX61UEBXY")</f>
        <v>MX61UEBXY</v>
      </c>
      <c r="B12710" t="s">
        <v>1666</v>
      </c>
      <c r="C12710">
        <v>159</v>
      </c>
      <c r="D12710">
        <v>172.84</v>
      </c>
      <c r="E12710">
        <v>172.83</v>
      </c>
      <c r="F12710">
        <v>0.01</v>
      </c>
    </row>
    <row r="12711" spans="1:6" x14ac:dyDescent="0.3">
      <c r="A12711" t="str">
        <f>HYPERLINK("https://us2.cloudbeds.com/connect/10074733072513#/reservations/31717043155138?display=MX6TVU40Y&amp;reservation_id=31717043155138", "MX6TVU40Y")</f>
        <v>MX6TVU40Y</v>
      </c>
      <c r="B12711" t="s">
        <v>1889</v>
      </c>
      <c r="C12711">
        <v>109</v>
      </c>
      <c r="D12711">
        <v>118.49</v>
      </c>
      <c r="E12711">
        <v>118.48</v>
      </c>
      <c r="F12711">
        <v>0.01</v>
      </c>
    </row>
    <row r="12712" spans="1:6" x14ac:dyDescent="0.3">
      <c r="A12712" t="str">
        <f>HYPERLINK("https://us2.cloudbeds.com/connect/10074733072513#/reservations/31716428066953?display=MX6E88CZZ&amp;reservation_id=31716428066953", "MX6E88CZZ")</f>
        <v>MX6E88CZZ</v>
      </c>
      <c r="B12712" t="s">
        <v>1913</v>
      </c>
      <c r="C12712">
        <v>109</v>
      </c>
      <c r="D12712">
        <v>118.49</v>
      </c>
      <c r="E12712">
        <v>118.48</v>
      </c>
      <c r="F12712">
        <v>0.01</v>
      </c>
    </row>
    <row r="12713" spans="1:6" x14ac:dyDescent="0.3">
      <c r="A12713" t="str">
        <f>HYPERLINK("https://us2.cloudbeds.com/connect/10074733072513#/reservations/31717325078770?display=MX745Y220&amp;reservation_id=31717325078770", "MX745Y220")</f>
        <v>MX745Y220</v>
      </c>
      <c r="B12713" t="s">
        <v>1903</v>
      </c>
      <c r="C12713">
        <v>109</v>
      </c>
      <c r="D12713">
        <v>118.49</v>
      </c>
      <c r="E12713">
        <v>118.48</v>
      </c>
      <c r="F12713">
        <v>0.01</v>
      </c>
    </row>
    <row r="12714" spans="1:6" x14ac:dyDescent="0.3">
      <c r="A12714" t="str">
        <f>HYPERLINK("https://us2.cloudbeds.com/connect/10074733072513#/reservations/31711323410577?display=MX2FQSQAT&amp;reservation_id=31711323410577", "MX2FQSQAT")</f>
        <v>MX2FQSQAT</v>
      </c>
      <c r="B12714" t="s">
        <v>1927</v>
      </c>
      <c r="C12714">
        <v>318</v>
      </c>
      <c r="D12714">
        <v>345.68</v>
      </c>
      <c r="E12714">
        <v>345.67</v>
      </c>
      <c r="F12714">
        <v>0.01</v>
      </c>
    </row>
    <row r="12715" spans="1:6" x14ac:dyDescent="0.3">
      <c r="A12715" t="str">
        <f>HYPERLINK("https://us2.cloudbeds.com/connect/10074733072513#/reservations/31716008534238?display=MX63HG8U4&amp;reservation_id=31716008534238", "MX63HG8U4")</f>
        <v>MX63HG8U4</v>
      </c>
      <c r="B12715" t="s">
        <v>1887</v>
      </c>
      <c r="C12715">
        <v>102.58</v>
      </c>
      <c r="D12715">
        <v>111.51</v>
      </c>
      <c r="E12715">
        <v>111.5</v>
      </c>
      <c r="F12715">
        <v>0.01</v>
      </c>
    </row>
    <row r="12716" spans="1:6" x14ac:dyDescent="0.3">
      <c r="A12716" t="str">
        <f>HYPERLINK("https://us2.cloudbeds.com/connect/10074733072513#/reservations/31714387787905?display=MX4S3RK8U&amp;reservation_id=31714387787905", "MX4S3RK8U")</f>
        <v>MX4S3RK8U</v>
      </c>
      <c r="B12716" t="s">
        <v>1928</v>
      </c>
      <c r="C12716">
        <v>119</v>
      </c>
      <c r="D12716">
        <v>129.36000000000001</v>
      </c>
      <c r="E12716">
        <v>129.35</v>
      </c>
      <c r="F12716">
        <v>0.01</v>
      </c>
    </row>
    <row r="12717" spans="1:6" x14ac:dyDescent="0.3">
      <c r="A12717" t="str">
        <f>HYPERLINK("https://us2.cloudbeds.com/connect/10074733072513#/reservations/31716858159345?display=MX6P7UB8H&amp;reservation_id=31716858159345", "MX6P7UB8H")</f>
        <v>MX6P7UB8H</v>
      </c>
      <c r="B12717" t="s">
        <v>1913</v>
      </c>
      <c r="C12717">
        <v>336</v>
      </c>
      <c r="D12717">
        <v>365.24</v>
      </c>
      <c r="E12717">
        <v>365.23</v>
      </c>
      <c r="F12717">
        <v>0.01</v>
      </c>
    </row>
    <row r="12718" spans="1:6" x14ac:dyDescent="0.3">
      <c r="A12718" t="str">
        <f>HYPERLINK("https://us2.cloudbeds.com/connect/10074733072513#/reservations/31717618233536?display=MX7BYRDYJ&amp;reservation_id=31717618233536", "MX7BYRDYJ")</f>
        <v>MX7BYRDYJ</v>
      </c>
      <c r="B12718" t="s">
        <v>1926</v>
      </c>
      <c r="C12718">
        <v>109</v>
      </c>
      <c r="D12718">
        <v>118.49</v>
      </c>
      <c r="E12718">
        <v>118.48</v>
      </c>
      <c r="F12718">
        <v>0.01</v>
      </c>
    </row>
    <row r="12719" spans="1:6" x14ac:dyDescent="0.3">
      <c r="A12719" t="str">
        <f>HYPERLINK("https://us2.cloudbeds.com/connect/10074733072513#/reservations/31716490440853?display=MX6FRS11U&amp;reservation_id=31716490440853", "MX6FRS11U")</f>
        <v>MX6FRS11U</v>
      </c>
      <c r="B12719" t="s">
        <v>1929</v>
      </c>
      <c r="C12719">
        <v>218</v>
      </c>
      <c r="D12719">
        <v>236.98</v>
      </c>
      <c r="E12719">
        <v>236.97</v>
      </c>
      <c r="F12719">
        <v>0.01</v>
      </c>
    </row>
    <row r="12720" spans="1:6" x14ac:dyDescent="0.3">
      <c r="A12720" t="str">
        <f>HYPERLINK("https://us2.cloudbeds.com/connect/10074733072513#/reservations/31714480787698?display=MX4UG8FHF&amp;reservation_id=31714480787698", "MX4UG8FHF")</f>
        <v>MX4UG8FHF</v>
      </c>
      <c r="B12720" t="s">
        <v>1711</v>
      </c>
      <c r="C12720">
        <v>159</v>
      </c>
      <c r="D12720">
        <v>172.84</v>
      </c>
      <c r="E12720">
        <v>172.83</v>
      </c>
      <c r="F12720">
        <v>0.01</v>
      </c>
    </row>
    <row r="12721" spans="1:6" x14ac:dyDescent="0.3">
      <c r="A12721" t="str">
        <f>HYPERLINK("https://us2.cloudbeds.com/connect/10074733072513#/reservations/31714765041793?display=MX54ZV8XU&amp;reservation_id=31714765041793", "MX54ZV8XU")</f>
        <v>MX54ZV8XU</v>
      </c>
      <c r="B12721" t="s">
        <v>1731</v>
      </c>
      <c r="C12721">
        <v>169</v>
      </c>
      <c r="D12721">
        <v>183.71</v>
      </c>
      <c r="E12721">
        <v>183.7</v>
      </c>
      <c r="F12721">
        <v>0.01</v>
      </c>
    </row>
    <row r="12722" spans="1:6" x14ac:dyDescent="0.3">
      <c r="A12722" t="str">
        <f>HYPERLINK("https://us2.cloudbeds.com/connect/10074733072513#/reservations/31717024559249?display=MX6TG7YTS&amp;reservation_id=31717024559249", "MX6TG7YTS")</f>
        <v>MX6TG7YTS</v>
      </c>
      <c r="B12722" t="s">
        <v>1926</v>
      </c>
      <c r="C12722">
        <v>89</v>
      </c>
      <c r="D12722">
        <v>96.75</v>
      </c>
      <c r="E12722">
        <v>96.74</v>
      </c>
      <c r="F12722">
        <v>0.01</v>
      </c>
    </row>
    <row r="12723" spans="1:6" x14ac:dyDescent="0.3">
      <c r="A12723" t="str">
        <f>HYPERLINK("https://us2.cloudbeds.com/connect/10074733072513#/reservations/31716094836871?display=MX65Z8PBF&amp;reservation_id=31716094836871", "MX65Z8PBF")</f>
        <v>MX65Z8PBF</v>
      </c>
      <c r="B12723" t="s">
        <v>1887</v>
      </c>
      <c r="C12723">
        <v>358</v>
      </c>
      <c r="D12723">
        <v>389.16</v>
      </c>
      <c r="E12723">
        <v>389.15</v>
      </c>
      <c r="F12723">
        <v>0.01</v>
      </c>
    </row>
    <row r="12724" spans="1:6" x14ac:dyDescent="0.3">
      <c r="A12724" t="str">
        <f>HYPERLINK("https://us2.cloudbeds.com/connect/10074733072513#/reservations/31718011838600?display=MX7YNZ5GV&amp;reservation_id=31718011838600", "MX7YNZ5GV")</f>
        <v>MX7YNZ5GV</v>
      </c>
      <c r="B12724" t="s">
        <v>1862</v>
      </c>
      <c r="C12724">
        <v>278</v>
      </c>
      <c r="D12724">
        <v>302.2</v>
      </c>
      <c r="E12724">
        <v>302.19</v>
      </c>
      <c r="F12724">
        <v>0.01</v>
      </c>
    </row>
    <row r="12725" spans="1:6" x14ac:dyDescent="0.3">
      <c r="A12725" t="str">
        <f>HYPERLINK("https://us2.cloudbeds.com/connect/10074733072513#/reservations/31717573296282?display=MX7AGV2YQ&amp;reservation_id=31717573296282", "MX7AGV2YQ")</f>
        <v>MX7AGV2YQ</v>
      </c>
      <c r="B12725" t="s">
        <v>1929</v>
      </c>
      <c r="C12725">
        <v>73</v>
      </c>
      <c r="D12725">
        <v>79.36</v>
      </c>
      <c r="E12725">
        <v>79.349999999999994</v>
      </c>
      <c r="F12725">
        <v>0.01</v>
      </c>
    </row>
    <row r="12726" spans="1:6" x14ac:dyDescent="0.3">
      <c r="A12726" t="str">
        <f>HYPERLINK("https://us2.cloudbeds.com/connect/10074733072513#/reservations/31715065417868?display=MX5CE7M06&amp;reservation_id=31715065417868", "MX5CE7M06")</f>
        <v>MX5CE7M06</v>
      </c>
      <c r="B12726" t="s">
        <v>1768</v>
      </c>
      <c r="C12726">
        <v>229</v>
      </c>
      <c r="D12726">
        <v>248.93</v>
      </c>
      <c r="E12726">
        <v>248.92</v>
      </c>
      <c r="F12726">
        <v>0.01</v>
      </c>
    </row>
    <row r="12727" spans="1:6" x14ac:dyDescent="0.3">
      <c r="A12727" t="str">
        <f>HYPERLINK("https://us2.cloudbeds.com/connect/10074733072513#/reservations/31716505350284?display=MX6G7DTWS&amp;reservation_id=31716505350284", "MX6G7DTWS")</f>
        <v>MX6G7DTWS</v>
      </c>
      <c r="B12727" t="s">
        <v>1929</v>
      </c>
      <c r="C12727">
        <v>238</v>
      </c>
      <c r="D12727">
        <v>258.72000000000003</v>
      </c>
      <c r="E12727">
        <v>258.70999999999998</v>
      </c>
      <c r="F12727">
        <v>0.01</v>
      </c>
    </row>
    <row r="12728" spans="1:6" x14ac:dyDescent="0.3">
      <c r="A12728" t="str">
        <f>HYPERLINK("https://us2.cloudbeds.com/connect/10074733072513#/reservations/31717357400265?display=MX74WTF18&amp;reservation_id=31717357400265", "MX74WTF18")</f>
        <v>MX74WTF18</v>
      </c>
      <c r="B12728" t="s">
        <v>1903</v>
      </c>
      <c r="C12728">
        <v>218</v>
      </c>
      <c r="D12728">
        <v>236.98</v>
      </c>
      <c r="E12728">
        <v>236.97</v>
      </c>
      <c r="F12728">
        <v>0.01</v>
      </c>
    </row>
    <row r="12729" spans="1:6" x14ac:dyDescent="0.3">
      <c r="A12729" t="str">
        <f>HYPERLINK("https://us2.cloudbeds.com/connect/10074733072513#/reservations/31716380545261?display=MX6D160RF&amp;reservation_id=31716380545261", "MX6D160RF")</f>
        <v>MX6D160RF</v>
      </c>
      <c r="B12729" t="s">
        <v>1862</v>
      </c>
      <c r="C12729">
        <v>378</v>
      </c>
      <c r="D12729">
        <v>410.9</v>
      </c>
      <c r="E12729">
        <v>410.89</v>
      </c>
      <c r="F12729">
        <v>0.01</v>
      </c>
    </row>
    <row r="12730" spans="1:6" x14ac:dyDescent="0.3">
      <c r="A12730" t="str">
        <f>HYPERLINK("https://us2.cloudbeds.com/connect/10074733072513#/reservations/31717652791455?display=MX7CHW4WD&amp;reservation_id=31717652791455", "MX7CHW4WD")</f>
        <v>MX7CHW4WD</v>
      </c>
      <c r="B12730" t="s">
        <v>1926</v>
      </c>
      <c r="C12730">
        <v>73</v>
      </c>
      <c r="D12730">
        <v>79.36</v>
      </c>
      <c r="E12730">
        <v>79.349999999999994</v>
      </c>
      <c r="F12730">
        <v>0.01</v>
      </c>
    </row>
    <row r="12731" spans="1:6" x14ac:dyDescent="0.3">
      <c r="A12731" t="str">
        <f>HYPERLINK("https://us2.cloudbeds.com/connect/10074733072513#/reservations/31717643264205?display=MX7C9V1BT&amp;reservation_id=31717643264205", "MX7C9V1BT")</f>
        <v>MX7C9V1BT</v>
      </c>
      <c r="B12731" t="s">
        <v>1926</v>
      </c>
      <c r="C12731">
        <v>109</v>
      </c>
      <c r="D12731">
        <v>118.49</v>
      </c>
      <c r="E12731">
        <v>118.48</v>
      </c>
      <c r="F12731">
        <v>0.01</v>
      </c>
    </row>
    <row r="12732" spans="1:6" x14ac:dyDescent="0.3">
      <c r="A12732" t="str">
        <f>HYPERLINK("https://us2.cloudbeds.com/connect/10074733072513#/reservations/31713855975634?display=MX4EHD52X&amp;reservation_id=31713855975634", "MX4EHD52X")</f>
        <v>MX4EHD52X</v>
      </c>
      <c r="B12732" t="s">
        <v>1913</v>
      </c>
      <c r="C12732">
        <v>205.2</v>
      </c>
      <c r="D12732">
        <v>223.06</v>
      </c>
      <c r="E12732">
        <v>223.05</v>
      </c>
      <c r="F12732">
        <v>0.01</v>
      </c>
    </row>
    <row r="12733" spans="1:6" x14ac:dyDescent="0.3">
      <c r="A12733" t="str">
        <f>HYPERLINK("https://us2.cloudbeds.com/connect/10074733072513#/reservations/31717244113040?display=MX723C2C1&amp;reservation_id=31717244113040", "MX723C2C1")</f>
        <v>MX723C2C1</v>
      </c>
      <c r="B12733" t="s">
        <v>1854</v>
      </c>
      <c r="C12733">
        <v>149</v>
      </c>
      <c r="D12733">
        <v>161.97</v>
      </c>
      <c r="E12733">
        <v>161.96</v>
      </c>
      <c r="F12733">
        <v>0.01</v>
      </c>
    </row>
    <row r="12734" spans="1:6" x14ac:dyDescent="0.3">
      <c r="A12734" t="str">
        <f>HYPERLINK("https://us2.cloudbeds.com/connect/10074733072513#/reservations/31717597425887?display=MX7B49H7V&amp;reservation_id=31717597425887", "MX7B49H7V")</f>
        <v>MX7B49H7V</v>
      </c>
      <c r="B12734" t="s">
        <v>1929</v>
      </c>
      <c r="C12734">
        <v>238</v>
      </c>
      <c r="D12734">
        <v>258.72000000000003</v>
      </c>
      <c r="E12734">
        <v>258.70999999999998</v>
      </c>
      <c r="F12734">
        <v>0.01</v>
      </c>
    </row>
    <row r="12735" spans="1:6" x14ac:dyDescent="0.3">
      <c r="A12735" t="str">
        <f>HYPERLINK("https://us2.cloudbeds.com/connect/10074733072513#/reservations/31716317733086?display=MX6BE7627&amp;reservation_id=31716317733086", "MX6BE7627")</f>
        <v>MX6BE7627</v>
      </c>
      <c r="B12735" t="s">
        <v>1904</v>
      </c>
      <c r="C12735">
        <v>169</v>
      </c>
      <c r="D12735">
        <v>183.71</v>
      </c>
      <c r="E12735">
        <v>183.7</v>
      </c>
      <c r="F12735">
        <v>0.01</v>
      </c>
    </row>
    <row r="12736" spans="1:6" x14ac:dyDescent="0.3">
      <c r="A12736" t="str">
        <f>HYPERLINK("https://us2.cloudbeds.com/connect/10074733072513#/reservations/31716302319841?display=MX6B179G6&amp;reservation_id=31716302319841", "MX6B179G6")</f>
        <v>MX6B179G6</v>
      </c>
      <c r="B12736" t="s">
        <v>1896</v>
      </c>
      <c r="C12736">
        <v>109</v>
      </c>
      <c r="D12736">
        <v>118.49</v>
      </c>
      <c r="E12736">
        <v>118.48</v>
      </c>
      <c r="F12736">
        <v>0.01</v>
      </c>
    </row>
    <row r="12737" spans="1:6" x14ac:dyDescent="0.3">
      <c r="A12737" t="str">
        <f>HYPERLINK("https://us2.cloudbeds.com/connect/10074733072513#/reservations/31720106057966?display=MX997KTVS&amp;reservation_id=31720106057966", "MX997KTVS")</f>
        <v>MX997KTVS</v>
      </c>
      <c r="B12737" t="s">
        <v>1930</v>
      </c>
      <c r="C12737">
        <v>87.82</v>
      </c>
      <c r="D12737">
        <v>95.47</v>
      </c>
      <c r="E12737">
        <v>95.46</v>
      </c>
      <c r="F12737">
        <v>0.01</v>
      </c>
    </row>
    <row r="12738" spans="1:6" x14ac:dyDescent="0.3">
      <c r="A12738" t="str">
        <f>HYPERLINK("https://us2.cloudbeds.com/connect/10074733072513#/reservations/31716461932747?display=MX6F3QZQU&amp;reservation_id=31716461932747", "MX6F3QZQU")</f>
        <v>MX6F3QZQU</v>
      </c>
      <c r="B12738" t="s">
        <v>1913</v>
      </c>
      <c r="C12738">
        <v>129</v>
      </c>
      <c r="D12738">
        <v>140.22999999999999</v>
      </c>
      <c r="E12738">
        <v>140.22</v>
      </c>
      <c r="F12738">
        <v>0.01</v>
      </c>
    </row>
    <row r="12739" spans="1:6" x14ac:dyDescent="0.3">
      <c r="A12739" t="str">
        <f>HYPERLINK("https://us2.cloudbeds.com/connect/10074733072513#/reservations/31716525535413?display=MX6GZEJFE&amp;reservation_id=31716525535413", "MX6GZEJFE")</f>
        <v>MX6GZEJFE</v>
      </c>
      <c r="B12739" t="s">
        <v>1929</v>
      </c>
      <c r="C12739">
        <v>73</v>
      </c>
      <c r="D12739">
        <v>79.36</v>
      </c>
      <c r="E12739">
        <v>79.349999999999994</v>
      </c>
      <c r="F12739">
        <v>0.01</v>
      </c>
    </row>
    <row r="12740" spans="1:6" x14ac:dyDescent="0.3">
      <c r="A12740" t="str">
        <f>HYPERLINK("https://us2.cloudbeds.com/connect/10074733072513#/reservations/31718223024267?display=MX7R3QNZK&amp;reservation_id=31718223024267", "MX7R3QNZK")</f>
        <v>MX7R3QNZK</v>
      </c>
      <c r="B12740" t="s">
        <v>1931</v>
      </c>
      <c r="C12740">
        <v>109</v>
      </c>
      <c r="D12740">
        <v>118.49</v>
      </c>
      <c r="E12740">
        <v>118.48</v>
      </c>
      <c r="F12740">
        <v>0.01</v>
      </c>
    </row>
    <row r="12741" spans="1:6" x14ac:dyDescent="0.3">
      <c r="A12741" t="str">
        <f>HYPERLINK("https://us2.cloudbeds.com/connect/10074733072513#/reservations/31701784047835?display=MHS320VUY&amp;reservation_id=31701784047835", "MHS320VUY")</f>
        <v>MHS320VUY</v>
      </c>
      <c r="B12741" t="s">
        <v>1886</v>
      </c>
      <c r="C12741">
        <v>318</v>
      </c>
      <c r="D12741">
        <v>345.68</v>
      </c>
      <c r="E12741">
        <v>345.67</v>
      </c>
      <c r="F12741">
        <v>0.01</v>
      </c>
    </row>
    <row r="12742" spans="1:6" x14ac:dyDescent="0.3">
      <c r="A12742" t="str">
        <f>HYPERLINK("https://us2.cloudbeds.com/connect/10074733072513#/reservations/31717597429984?display=MX7B49Y03&amp;reservation_id=31717597429984", "MX7B49Y03")</f>
        <v>MX7B49Y03</v>
      </c>
      <c r="B12742" t="s">
        <v>1932</v>
      </c>
      <c r="C12742">
        <v>150</v>
      </c>
      <c r="D12742">
        <v>163.06</v>
      </c>
      <c r="E12742">
        <v>163.05000000000001</v>
      </c>
      <c r="F12742">
        <v>0.01</v>
      </c>
    </row>
    <row r="12743" spans="1:6" x14ac:dyDescent="0.3">
      <c r="A12743" t="str">
        <f>HYPERLINK("https://us2.cloudbeds.com/connect/10074733072513#/reservations/31715074334944?display=MX5CYZQAY&amp;reservation_id=31715074334944", "MX5CYZQAY")</f>
        <v>MX5CYZQAY</v>
      </c>
      <c r="B12743" t="s">
        <v>1768</v>
      </c>
      <c r="C12743">
        <v>209</v>
      </c>
      <c r="D12743">
        <v>227.19</v>
      </c>
      <c r="E12743">
        <v>227.18</v>
      </c>
      <c r="F12743">
        <v>0.01</v>
      </c>
    </row>
    <row r="12744" spans="1:6" x14ac:dyDescent="0.3">
      <c r="A12744" t="str">
        <f>HYPERLINK("https://us2.cloudbeds.com/connect/10074733072513#/reservations/31720482861199?display=MX9XSC0EY&amp;reservation_id=31720482861199", "MX9XSC0EY")</f>
        <v>MX9XSC0EY</v>
      </c>
      <c r="B12744" t="s">
        <v>1919</v>
      </c>
      <c r="C12744">
        <v>119</v>
      </c>
      <c r="D12744">
        <v>129.36000000000001</v>
      </c>
      <c r="E12744">
        <v>129.35</v>
      </c>
      <c r="F12744">
        <v>0.01</v>
      </c>
    </row>
    <row r="12745" spans="1:6" x14ac:dyDescent="0.3">
      <c r="A12745" t="str">
        <f>HYPERLINK("https://us2.cloudbeds.com/connect/10074733072513#/reservations/31718152929411?display=MX7PAN7G2&amp;reservation_id=31718152929411", "MX7PAN7G2")</f>
        <v>MX7PAN7G2</v>
      </c>
      <c r="B12745" t="s">
        <v>1896</v>
      </c>
      <c r="C12745">
        <v>218</v>
      </c>
      <c r="D12745">
        <v>236.98</v>
      </c>
      <c r="E12745">
        <v>236.97</v>
      </c>
      <c r="F12745">
        <v>0.01</v>
      </c>
    </row>
    <row r="12746" spans="1:6" x14ac:dyDescent="0.3">
      <c r="A12746" t="str">
        <f>HYPERLINK("https://us2.cloudbeds.com/connect/10074733072513#/reservations/31713763139839?display=MX4C53SDY&amp;reservation_id=31713763139839", "MX4C53SDY")</f>
        <v>MX4C53SDY</v>
      </c>
      <c r="B12746" t="s">
        <v>1915</v>
      </c>
      <c r="C12746">
        <v>119</v>
      </c>
      <c r="D12746">
        <v>129.36000000000001</v>
      </c>
      <c r="E12746">
        <v>129.35</v>
      </c>
      <c r="F12746">
        <v>0.01</v>
      </c>
    </row>
    <row r="12747" spans="1:6" x14ac:dyDescent="0.3">
      <c r="A12747" t="str">
        <f>HYPERLINK("https://us2.cloudbeds.com/connect/10074733072513#/reservations/31718179758281?display=MX7Q0APZ4&amp;reservation_id=31718179758281", "MX7Q0APZ4")</f>
        <v>MX7Q0APZ4</v>
      </c>
      <c r="B12747" t="s">
        <v>1931</v>
      </c>
      <c r="C12747">
        <v>109</v>
      </c>
      <c r="D12747">
        <v>118.49</v>
      </c>
      <c r="E12747">
        <v>118.48</v>
      </c>
      <c r="F12747">
        <v>0.01</v>
      </c>
    </row>
    <row r="12748" spans="1:6" x14ac:dyDescent="0.3">
      <c r="A12748" t="str">
        <f>HYPERLINK("https://us2.cloudbeds.com/connect/10074733072513#/reservations/31718206189712?display=MX7QMK90J&amp;reservation_id=31718206189712", "MX7QMK90J")</f>
        <v>MX7QMK90J</v>
      </c>
      <c r="B12748" t="s">
        <v>1931</v>
      </c>
      <c r="C12748">
        <v>109</v>
      </c>
      <c r="D12748">
        <v>118.49</v>
      </c>
      <c r="E12748">
        <v>118.48</v>
      </c>
      <c r="F12748">
        <v>0.01</v>
      </c>
    </row>
    <row r="12749" spans="1:6" x14ac:dyDescent="0.3">
      <c r="A12749" t="str">
        <f>HYPERLINK("https://us2.cloudbeds.com/connect/10074733072513#/reservations/31715315667144?display=MX5XR87AJ&amp;reservation_id=31715315667144", "MX5XR87AJ")</f>
        <v>MX5XR87AJ</v>
      </c>
      <c r="B12749" t="s">
        <v>1823</v>
      </c>
      <c r="C12749">
        <v>217</v>
      </c>
      <c r="D12749">
        <v>235.89</v>
      </c>
      <c r="E12749">
        <v>235.88</v>
      </c>
      <c r="F12749">
        <v>0.01</v>
      </c>
    </row>
    <row r="12750" spans="1:6" x14ac:dyDescent="0.3">
      <c r="A12750" t="str">
        <f>HYPERLINK("https://us2.cloudbeds.com/connect/10074733072513#/reservations/31719358283932?display=MX8N42WPY&amp;reservation_id=31719358283932", "MX8N42WPY")</f>
        <v>MX8N42WPY</v>
      </c>
      <c r="B12750" t="s">
        <v>1931</v>
      </c>
      <c r="C12750">
        <v>109</v>
      </c>
      <c r="D12750">
        <v>118.49</v>
      </c>
      <c r="E12750">
        <v>118.48</v>
      </c>
      <c r="F12750">
        <v>0.01</v>
      </c>
    </row>
    <row r="12751" spans="1:6" x14ac:dyDescent="0.3">
      <c r="A12751" t="str">
        <f>HYPERLINK("https://us2.cloudbeds.com/connect/10074733072513#/reservations/31720903889088?display=MX9TKCKXB&amp;reservation_id=31720903889088", "MX9TKCKXB")</f>
        <v>MX9TKCKXB</v>
      </c>
      <c r="B12751" t="s">
        <v>1772</v>
      </c>
      <c r="C12751">
        <v>149</v>
      </c>
      <c r="D12751">
        <v>161.97</v>
      </c>
      <c r="E12751">
        <v>161.96</v>
      </c>
      <c r="F12751">
        <v>0.01</v>
      </c>
    </row>
    <row r="12752" spans="1:6" x14ac:dyDescent="0.3">
      <c r="A12752" t="str">
        <f>HYPERLINK("https://us2.cloudbeds.com/connect/10074733072513#/reservations/31719374966932?display=MX8NX57B3&amp;reservation_id=31719374966932", "MX8NX57B3")</f>
        <v>MX8NX57B3</v>
      </c>
      <c r="B12752" t="s">
        <v>1887</v>
      </c>
      <c r="C12752">
        <v>298</v>
      </c>
      <c r="D12752">
        <v>323.94</v>
      </c>
      <c r="E12752">
        <v>323.93</v>
      </c>
      <c r="F12752">
        <v>0.01</v>
      </c>
    </row>
    <row r="12753" spans="1:6" x14ac:dyDescent="0.3">
      <c r="A12753" t="str">
        <f>HYPERLINK("https://us2.cloudbeds.com/connect/10074733072513#/reservations/31719372771564?display=MX8NGA4CQ&amp;reservation_id=31719372771564", "MX8NGA4CQ")</f>
        <v>MX8NGA4CQ</v>
      </c>
      <c r="B12753" t="s">
        <v>1931</v>
      </c>
      <c r="C12753">
        <v>109</v>
      </c>
      <c r="D12753">
        <v>118.49</v>
      </c>
      <c r="E12753">
        <v>118.48</v>
      </c>
      <c r="F12753">
        <v>0.01</v>
      </c>
    </row>
    <row r="12754" spans="1:6" x14ac:dyDescent="0.3">
      <c r="A12754" t="str">
        <f>HYPERLINK("https://us2.cloudbeds.com/connect/10074733072513#/reservations/31716548329616?display=MX6HAYSPS&amp;reservation_id=31716548329616", "MX6HAYSPS")</f>
        <v>MX6HAYSPS</v>
      </c>
      <c r="B12754" t="s">
        <v>1887</v>
      </c>
      <c r="C12754">
        <v>298</v>
      </c>
      <c r="D12754">
        <v>323.94</v>
      </c>
      <c r="E12754">
        <v>323.93</v>
      </c>
      <c r="F12754">
        <v>0.01</v>
      </c>
    </row>
    <row r="12755" spans="1:6" x14ac:dyDescent="0.3">
      <c r="A12755" t="str">
        <f>HYPERLINK("https://us2.cloudbeds.com/connect/10074733072513#/reservations/31718901706984?display=MX8BF326X&amp;reservation_id=31718901706984", "MX8BF326X")</f>
        <v>MX8BF326X</v>
      </c>
      <c r="B12755" t="s">
        <v>1915</v>
      </c>
      <c r="C12755">
        <v>87.82</v>
      </c>
      <c r="D12755">
        <v>95.47</v>
      </c>
      <c r="E12755">
        <v>95.46</v>
      </c>
      <c r="F12755">
        <v>0.01</v>
      </c>
    </row>
    <row r="12756" spans="1:6" x14ac:dyDescent="0.3">
      <c r="A12756" t="str">
        <f>HYPERLINK("https://us2.cloudbeds.com/connect/10074733072513#/reservations/31719352352947?display=MX8MW2VGQ&amp;reservation_id=31719352352947", "MX8MW2VGQ")</f>
        <v>MX8MW2VGQ</v>
      </c>
      <c r="B12756" t="s">
        <v>1931</v>
      </c>
      <c r="C12756">
        <v>109</v>
      </c>
      <c r="D12756">
        <v>118.49</v>
      </c>
      <c r="E12756">
        <v>118.48</v>
      </c>
      <c r="F12756">
        <v>0.01</v>
      </c>
    </row>
    <row r="12757" spans="1:6" x14ac:dyDescent="0.3">
      <c r="A12757" t="str">
        <f>HYPERLINK("https://us2.cloudbeds.com/connect/10074733072513#/reservations/31715905609859?display=MX60TN85J&amp;reservation_id=31715905609859", "MX60TN85J")</f>
        <v>MX60TN85J</v>
      </c>
      <c r="B12757" t="s">
        <v>1914</v>
      </c>
      <c r="C12757">
        <v>418</v>
      </c>
      <c r="D12757">
        <v>454.38</v>
      </c>
      <c r="E12757">
        <v>454.37</v>
      </c>
      <c r="F12757">
        <v>0.01</v>
      </c>
    </row>
    <row r="12758" spans="1:6" x14ac:dyDescent="0.3">
      <c r="A12758" t="str">
        <f>HYPERLINK("https://us2.cloudbeds.com/connect/10074733072513#/reservations/31717698904196?display=MX7DNSA37&amp;reservation_id=31717698904196", "MX7DNSA37")</f>
        <v>MX7DNSA37</v>
      </c>
      <c r="B12758" t="s">
        <v>1887</v>
      </c>
      <c r="C12758">
        <v>149</v>
      </c>
      <c r="D12758">
        <v>161.97</v>
      </c>
      <c r="E12758">
        <v>161.96</v>
      </c>
      <c r="F12758">
        <v>0.01</v>
      </c>
    </row>
    <row r="12759" spans="1:6" x14ac:dyDescent="0.3">
      <c r="A12759" t="str">
        <f>HYPERLINK("https://us2.cloudbeds.com/connect/10074733072513#/reservations/31717721215178?display=MX7E9M4MJ&amp;reservation_id=31717721215178", "MX7E9M4MJ")</f>
        <v>MX7E9M4MJ</v>
      </c>
      <c r="B12759" t="s">
        <v>1854</v>
      </c>
      <c r="C12759">
        <v>149</v>
      </c>
      <c r="D12759">
        <v>161.97</v>
      </c>
      <c r="E12759">
        <v>161.96</v>
      </c>
      <c r="F12759">
        <v>0.01</v>
      </c>
    </row>
    <row r="12760" spans="1:6" x14ac:dyDescent="0.3">
      <c r="A12760" t="str">
        <f>HYPERLINK("https://us2.cloudbeds.com/connect/10074733072513#/reservations/31718129856654?display=MX7ZZ86CK&amp;reservation_id=31718129856654", "MX7ZZ86CK")</f>
        <v>MX7ZZ86CK</v>
      </c>
      <c r="B12760" t="s">
        <v>1896</v>
      </c>
      <c r="C12760">
        <v>109</v>
      </c>
      <c r="D12760">
        <v>118.49</v>
      </c>
      <c r="E12760">
        <v>118.48</v>
      </c>
      <c r="F12760">
        <v>0.01</v>
      </c>
    </row>
    <row r="12761" spans="1:6" x14ac:dyDescent="0.3">
      <c r="A12761" t="str">
        <f>HYPERLINK("https://us2.cloudbeds.com/connect/10074733072513#/reservations/31718040776902?display=MX7MF4DQ6&amp;reservation_id=31718040776902", "MX7MF4DQ6")</f>
        <v>MX7MF4DQ6</v>
      </c>
      <c r="B12761" t="s">
        <v>1862</v>
      </c>
      <c r="C12761">
        <v>318</v>
      </c>
      <c r="D12761">
        <v>345.68</v>
      </c>
      <c r="E12761">
        <v>345.67</v>
      </c>
      <c r="F12761">
        <v>0.01</v>
      </c>
    </row>
    <row r="12762" spans="1:6" x14ac:dyDescent="0.3">
      <c r="A12762" t="str">
        <f>HYPERLINK("https://us2.cloudbeds.com/connect/10074733072513#/reservations/31715730133190?display=MX5TDZBXP&amp;reservation_id=31715730133190", "MX5TDZBXP")</f>
        <v>MX5TDZBXP</v>
      </c>
      <c r="B12762" t="s">
        <v>1933</v>
      </c>
      <c r="C12762">
        <v>328</v>
      </c>
      <c r="D12762">
        <v>356.55</v>
      </c>
      <c r="E12762">
        <v>356.54</v>
      </c>
      <c r="F12762">
        <v>0.01</v>
      </c>
    </row>
    <row r="12763" spans="1:6" x14ac:dyDescent="0.3">
      <c r="A12763" t="str">
        <f>HYPERLINK("https://us2.cloudbeds.com/connect/10074733072513#/reservations/31716428923092?display=MX6E8W6UB&amp;reservation_id=31716428923092", "MX6E8W6UB")</f>
        <v>MX6E8W6UB</v>
      </c>
      <c r="B12763" t="s">
        <v>1862</v>
      </c>
      <c r="C12763">
        <v>159</v>
      </c>
      <c r="D12763">
        <v>172.84</v>
      </c>
      <c r="E12763">
        <v>172.83</v>
      </c>
      <c r="F12763">
        <v>0.01</v>
      </c>
    </row>
    <row r="12764" spans="1:6" x14ac:dyDescent="0.3">
      <c r="A12764" t="str">
        <f>HYPERLINK("https://us2.cloudbeds.com/connect/10074733072513#/reservations/31713086378152?display=MX3RSEVWZ&amp;reservation_id=31713086378152", "MX3RSEVWZ")</f>
        <v>MX3RSEVWZ</v>
      </c>
      <c r="B12764" t="s">
        <v>1661</v>
      </c>
      <c r="C12764">
        <v>169</v>
      </c>
      <c r="D12764">
        <v>183.71</v>
      </c>
      <c r="E12764">
        <v>183.7</v>
      </c>
      <c r="F12764">
        <v>0.01</v>
      </c>
    </row>
    <row r="12765" spans="1:6" x14ac:dyDescent="0.3">
      <c r="A12765" t="str">
        <f>HYPERLINK("https://us2.cloudbeds.com/connect/10074733072513#/reservations/31718190284962?display=MX7Q96N3F&amp;reservation_id=31718190284962", "MX7Q96N3F")</f>
        <v>MX7Q96N3F</v>
      </c>
      <c r="B12765" t="s">
        <v>1896</v>
      </c>
      <c r="C12765">
        <v>119</v>
      </c>
      <c r="D12765">
        <v>129.36000000000001</v>
      </c>
      <c r="E12765">
        <v>129.35</v>
      </c>
      <c r="F12765">
        <v>0.01</v>
      </c>
    </row>
    <row r="12766" spans="1:6" x14ac:dyDescent="0.3">
      <c r="A12766" t="str">
        <f>HYPERLINK("https://us2.cloudbeds.com/connect/10074733072513#/reservations/31716905533694?display=MX6QESJSS&amp;reservation_id=31716905533694", "MX6QESJSS")</f>
        <v>MX6QESJSS</v>
      </c>
      <c r="B12766" t="s">
        <v>1729</v>
      </c>
      <c r="C12766">
        <v>97.74</v>
      </c>
      <c r="D12766">
        <v>106.25</v>
      </c>
      <c r="E12766">
        <v>106.24</v>
      </c>
      <c r="F12766">
        <v>0.01</v>
      </c>
    </row>
    <row r="12767" spans="1:6" x14ac:dyDescent="0.3">
      <c r="A12767" t="str">
        <f>HYPERLINK("https://us2.cloudbeds.com/connect/10074733072513#/reservations/31718179754190?display=MX7Q0AYW5&amp;reservation_id=31718179754190", "MX7Q0AYW5")</f>
        <v>MX7Q0AYW5</v>
      </c>
      <c r="B12767" t="s">
        <v>1896</v>
      </c>
      <c r="C12767">
        <v>109</v>
      </c>
      <c r="D12767">
        <v>118.49</v>
      </c>
      <c r="E12767">
        <v>118.48</v>
      </c>
      <c r="F12767">
        <v>0.01</v>
      </c>
    </row>
    <row r="12768" spans="1:6" x14ac:dyDescent="0.3">
      <c r="A12768" t="str">
        <f>HYPERLINK("https://us2.cloudbeds.com/connect/10074733072513#/reservations/31713616834712?display=MX48DZN8V&amp;reservation_id=31713616834712", "MX48DZN8V")</f>
        <v>MX48DZN8V</v>
      </c>
      <c r="B12768" t="s">
        <v>1902</v>
      </c>
      <c r="C12768">
        <v>189</v>
      </c>
      <c r="D12768">
        <v>205.45</v>
      </c>
      <c r="E12768">
        <v>205.44</v>
      </c>
      <c r="F12768">
        <v>0.01</v>
      </c>
    </row>
    <row r="12769" spans="1:6" x14ac:dyDescent="0.3">
      <c r="A12769" t="str">
        <f>HYPERLINK("https://us2.cloudbeds.com/connect/10074733072513#/reservations/31716248133841?display=MX69YHFU6&amp;reservation_id=31716248133841", "MX69YHFU6")</f>
        <v>MX69YHFU6</v>
      </c>
      <c r="B12769" t="s">
        <v>1934</v>
      </c>
      <c r="C12769">
        <v>89</v>
      </c>
      <c r="D12769">
        <v>96.75</v>
      </c>
      <c r="E12769">
        <v>96.74</v>
      </c>
      <c r="F12769">
        <v>0.01</v>
      </c>
    </row>
    <row r="12770" spans="1:6" x14ac:dyDescent="0.3">
      <c r="A12770" t="str">
        <f>HYPERLINK("https://us2.cloudbeds.com/connect/10074733072513#/reservations/31718139334885?display=MX7ZW7UWZ&amp;reservation_id=31718139334885", "MX7ZW7UWZ")</f>
        <v>MX7ZW7UWZ</v>
      </c>
      <c r="B12770" t="s">
        <v>1896</v>
      </c>
      <c r="C12770">
        <v>218</v>
      </c>
      <c r="D12770">
        <v>236.98</v>
      </c>
      <c r="E12770">
        <v>236.97</v>
      </c>
      <c r="F12770">
        <v>0.01</v>
      </c>
    </row>
    <row r="12771" spans="1:6" x14ac:dyDescent="0.3">
      <c r="A12771" t="str">
        <f>HYPERLINK("https://us2.cloudbeds.com/connect/10074733072513#/reservations/31712712233209?display=MX3X9VRX6&amp;reservation_id=31712712233209", "MX3X9VRX6")</f>
        <v>MX3X9VRX6</v>
      </c>
      <c r="B12771" t="s">
        <v>1853</v>
      </c>
      <c r="C12771">
        <v>298</v>
      </c>
      <c r="D12771">
        <v>323.94</v>
      </c>
      <c r="E12771">
        <v>323.93</v>
      </c>
      <c r="F12771">
        <v>0.01</v>
      </c>
    </row>
    <row r="12772" spans="1:6" x14ac:dyDescent="0.3">
      <c r="A12772" t="str">
        <f>HYPERLINK("https://us2.cloudbeds.com/connect/10074733072513#/reservations/31712218771661?display=MX35MSHQV&amp;reservation_id=31712218771661", "MX35MSHQV")</f>
        <v>MX35MSHQV</v>
      </c>
      <c r="B12772" t="s">
        <v>1829</v>
      </c>
      <c r="C12772">
        <v>318</v>
      </c>
      <c r="D12772">
        <v>345.68</v>
      </c>
      <c r="E12772">
        <v>345.67</v>
      </c>
      <c r="F12772">
        <v>0.01</v>
      </c>
    </row>
    <row r="12773" spans="1:6" x14ac:dyDescent="0.3">
      <c r="A12773" t="str">
        <f>HYPERLINK("https://us2.cloudbeds.com/connect/10074733072513#/reservations/31714655469712?display=MX51VX8DR&amp;reservation_id=31714655469712", "MX51VX8DR")</f>
        <v>MX51VX8DR</v>
      </c>
      <c r="B12773" t="s">
        <v>1816</v>
      </c>
      <c r="C12773">
        <v>398</v>
      </c>
      <c r="D12773">
        <v>432.64</v>
      </c>
      <c r="E12773">
        <v>432.63</v>
      </c>
      <c r="F12773">
        <v>0.01</v>
      </c>
    </row>
    <row r="12774" spans="1:6" x14ac:dyDescent="0.3">
      <c r="A12774" t="str">
        <f>HYPERLINK("https://us2.cloudbeds.com/connect/10074733072513#/reservations/31716257964195?display=MX69TR0SN&amp;reservation_id=31716257964195", "MX69TR0SN")</f>
        <v>MX69TR0SN</v>
      </c>
      <c r="B12774" t="s">
        <v>1934</v>
      </c>
      <c r="C12774">
        <v>73</v>
      </c>
      <c r="D12774">
        <v>79.36</v>
      </c>
      <c r="E12774">
        <v>79.349999999999994</v>
      </c>
      <c r="F12774">
        <v>0.01</v>
      </c>
    </row>
    <row r="12775" spans="1:6" x14ac:dyDescent="0.3">
      <c r="A12775" t="str">
        <f>HYPERLINK("https://us2.cloudbeds.com/connect/10074733072513#/reservations/31714496802979?display=MX4UTP3V0&amp;reservation_id=31714496802979", "MX4UTP3V0")</f>
        <v>MX4UTP3V0</v>
      </c>
      <c r="B12775" t="s">
        <v>1816</v>
      </c>
      <c r="C12775">
        <v>209</v>
      </c>
      <c r="D12775">
        <v>227.19</v>
      </c>
      <c r="E12775">
        <v>227.18</v>
      </c>
      <c r="F12775">
        <v>0.01</v>
      </c>
    </row>
    <row r="12776" spans="1:6" x14ac:dyDescent="0.3">
      <c r="A12776" t="str">
        <f>HYPERLINK("https://us2.cloudbeds.com/connect/10074733072513#/reservations/31717088346366?display=MX6V40KUQ&amp;reservation_id=31717088346366", "MX6V40KUQ")</f>
        <v>MX6V40KUQ</v>
      </c>
      <c r="B12776" t="s">
        <v>1823</v>
      </c>
      <c r="C12776">
        <v>149</v>
      </c>
      <c r="D12776">
        <v>161.97</v>
      </c>
      <c r="E12776">
        <v>161.96</v>
      </c>
      <c r="F12776">
        <v>0.01</v>
      </c>
    </row>
    <row r="12777" spans="1:6" x14ac:dyDescent="0.3">
      <c r="A12777" t="str">
        <f>HYPERLINK("https://us2.cloudbeds.com/connect/10074733072513#/reservations/31714240692461?display=MX4ZBQFD6&amp;reservation_id=31714240692461", "MX4ZBQFD6")</f>
        <v>MX4ZBQFD6</v>
      </c>
      <c r="B12777" t="s">
        <v>1935</v>
      </c>
      <c r="C12777">
        <v>150</v>
      </c>
      <c r="D12777">
        <v>163.06</v>
      </c>
      <c r="E12777">
        <v>163.05000000000001</v>
      </c>
      <c r="F12777">
        <v>0.01</v>
      </c>
    </row>
    <row r="12778" spans="1:6" x14ac:dyDescent="0.3">
      <c r="A12778" t="str">
        <f>HYPERLINK("https://us2.cloudbeds.com/connect/10074733072513#/reservations/31715176562881?display=MX5F8VEHU&amp;reservation_id=31715176562881", "MX5F8VEHU")</f>
        <v>MX5F8VEHU</v>
      </c>
      <c r="B12778" t="s">
        <v>1823</v>
      </c>
      <c r="C12778">
        <v>129</v>
      </c>
      <c r="D12778">
        <v>140.22999999999999</v>
      </c>
      <c r="E12778">
        <v>140.22</v>
      </c>
      <c r="F12778">
        <v>0.01</v>
      </c>
    </row>
    <row r="12779" spans="1:6" x14ac:dyDescent="0.3">
      <c r="A12779" t="str">
        <f>HYPERLINK("https://us2.cloudbeds.com/connect/10074733072513#/reservations/31715267551360?display=MX5HAUS7Q&amp;reservation_id=31715267551360", "MX5HAUS7Q")</f>
        <v>MX5HAUS7Q</v>
      </c>
      <c r="B12779" t="s">
        <v>1823</v>
      </c>
      <c r="C12779">
        <v>102.58</v>
      </c>
      <c r="D12779">
        <v>111.51</v>
      </c>
      <c r="E12779">
        <v>111.5</v>
      </c>
      <c r="F12779">
        <v>0.01</v>
      </c>
    </row>
    <row r="12780" spans="1:6" x14ac:dyDescent="0.3">
      <c r="A12780" t="str">
        <f>HYPERLINK("https://us2.cloudbeds.com/connect/10074733072513#/reservations/31711327359179?display=MX2FU6M7G&amp;reservation_id=31711327359179", "MX2FU6M7G")</f>
        <v>MX2FU6M7G</v>
      </c>
      <c r="B12780" t="s">
        <v>1880</v>
      </c>
      <c r="C12780">
        <v>478</v>
      </c>
      <c r="D12780">
        <v>519.6</v>
      </c>
      <c r="E12780">
        <v>519.59</v>
      </c>
      <c r="F12780">
        <v>0.01</v>
      </c>
    </row>
    <row r="12781" spans="1:6" x14ac:dyDescent="0.3">
      <c r="A12781" t="str">
        <f>HYPERLINK("https://us2.cloudbeds.com/connect/10074733072513#/reservations/31715080843507?display=MX5CR7TVR&amp;reservation_id=31715080843507", "MX5CR7TVR")</f>
        <v>MX5CR7TVR</v>
      </c>
      <c r="B12781" t="s">
        <v>1880</v>
      </c>
      <c r="C12781">
        <v>189</v>
      </c>
      <c r="D12781">
        <v>205.45</v>
      </c>
      <c r="E12781">
        <v>205.44</v>
      </c>
      <c r="F12781">
        <v>0.01</v>
      </c>
    </row>
    <row r="12782" spans="1:6" x14ac:dyDescent="0.3">
      <c r="A12782" t="str">
        <f>HYPERLINK("https://us2.cloudbeds.com/connect/10074733072513#/reservations/31718709670041?display=MX86X5BZ8&amp;reservation_id=31718709670041", "MX86X5BZ8")</f>
        <v>MX86X5BZ8</v>
      </c>
      <c r="B12782" t="s">
        <v>1932</v>
      </c>
      <c r="C12782">
        <v>285.60000000000002</v>
      </c>
      <c r="D12782">
        <v>310.45999999999998</v>
      </c>
      <c r="E12782">
        <v>310.45</v>
      </c>
      <c r="F12782">
        <v>0.01</v>
      </c>
    </row>
    <row r="12783" spans="1:6" x14ac:dyDescent="0.3">
      <c r="A12783" t="str">
        <f>HYPERLINK("https://us2.cloudbeds.com/connect/10074733072513#/reservations/31711006015695?display=MX27N7QW5&amp;reservation_id=31711006015695", "MX27N7QW5")</f>
        <v>MX27N7QW5</v>
      </c>
      <c r="B12783" t="s">
        <v>1697</v>
      </c>
      <c r="C12783">
        <v>159</v>
      </c>
      <c r="D12783">
        <v>172.84</v>
      </c>
      <c r="E12783">
        <v>172.83</v>
      </c>
      <c r="F12783">
        <v>0.01</v>
      </c>
    </row>
    <row r="12784" spans="1:6" x14ac:dyDescent="0.3">
      <c r="A12784" t="str">
        <f>HYPERLINK("https://us2.cloudbeds.com/connect/10074733072513#/reservations/31713057394900?display=MX3R40FEC&amp;reservation_id=31713057394900", "MX3R40FEC")</f>
        <v>MX3R40FEC</v>
      </c>
      <c r="B12784" t="s">
        <v>1936</v>
      </c>
      <c r="C12784">
        <v>378</v>
      </c>
      <c r="D12784">
        <v>410.9</v>
      </c>
      <c r="E12784">
        <v>410.89</v>
      </c>
      <c r="F12784">
        <v>0.01</v>
      </c>
    </row>
    <row r="12785" spans="1:6" x14ac:dyDescent="0.3">
      <c r="A12785" t="str">
        <f>HYPERLINK("https://us2.cloudbeds.com/connect/10074733072513#/reservations/31717392683261?display=MX75TY8FV&amp;reservation_id=31717392683261", "MX75TY8FV")</f>
        <v>MX75TY8FV</v>
      </c>
      <c r="B12785" t="s">
        <v>1903</v>
      </c>
      <c r="C12785">
        <v>102.58</v>
      </c>
      <c r="D12785">
        <v>111.51</v>
      </c>
      <c r="E12785">
        <v>111.5</v>
      </c>
      <c r="F12785">
        <v>0.01</v>
      </c>
    </row>
    <row r="12786" spans="1:6" x14ac:dyDescent="0.3">
      <c r="A12786" t="str">
        <f>HYPERLINK("https://us2.cloudbeds.com/connect/10074733072513#/reservations/31716829110525?display=MX6ZGE0G8&amp;reservation_id=31716829110525", "MX6ZGE0G8")</f>
        <v>MX6ZGE0G8</v>
      </c>
      <c r="B12786" t="s">
        <v>1729</v>
      </c>
      <c r="C12786">
        <v>247.96</v>
      </c>
      <c r="D12786">
        <v>269.54000000000002</v>
      </c>
      <c r="E12786">
        <v>269.52999999999997</v>
      </c>
      <c r="F12786">
        <v>0.01</v>
      </c>
    </row>
    <row r="12787" spans="1:6" x14ac:dyDescent="0.3">
      <c r="A12787" t="str">
        <f>HYPERLINK("https://us2.cloudbeds.com/connect/10074733072513#/reservations/31713019830508?display=MX3Q5B61F&amp;reservation_id=31713019830508", "MX3Q5B61F")</f>
        <v>MX3Q5B61F</v>
      </c>
      <c r="B12787" t="s">
        <v>1936</v>
      </c>
      <c r="C12787">
        <v>378</v>
      </c>
      <c r="D12787">
        <v>410.9</v>
      </c>
      <c r="E12787">
        <v>410.89</v>
      </c>
      <c r="F12787">
        <v>0.01</v>
      </c>
    </row>
    <row r="12788" spans="1:6" x14ac:dyDescent="0.3">
      <c r="A12788" t="str">
        <f>HYPERLINK("https://us2.cloudbeds.com/connect/10074733072513#/reservations/31716393017486?display=MX6DBN2ZM&amp;reservation_id=31716393017486", "MX6DBN2ZM")</f>
        <v>MX6DBN2ZM</v>
      </c>
      <c r="B12788" t="s">
        <v>1904</v>
      </c>
      <c r="C12788">
        <v>278</v>
      </c>
      <c r="D12788">
        <v>302.2</v>
      </c>
      <c r="E12788">
        <v>302.19</v>
      </c>
      <c r="F12788">
        <v>0.01</v>
      </c>
    </row>
    <row r="12789" spans="1:6" x14ac:dyDescent="0.3">
      <c r="A12789" t="str">
        <f>HYPERLINK("https://us2.cloudbeds.com/connect/10074733072513#/reservations/31716325941428?display=MX6BY4JXS&amp;reservation_id=31716325941428", "MX6BY4JXS")</f>
        <v>MX6BY4JXS</v>
      </c>
      <c r="B12789" t="s">
        <v>1904</v>
      </c>
      <c r="C12789">
        <v>278</v>
      </c>
      <c r="D12789">
        <v>302.2</v>
      </c>
      <c r="E12789">
        <v>302.19</v>
      </c>
      <c r="F12789">
        <v>0.01</v>
      </c>
    </row>
    <row r="12790" spans="1:6" x14ac:dyDescent="0.3">
      <c r="A12790" t="str">
        <f>HYPERLINK("https://us2.cloudbeds.com/connect/10074733072513#/reservations/31716293120138?display=MX6AQF9YA&amp;reservation_id=31716293120138", "MX6AQF9YA")</f>
        <v>MX6AQF9YA</v>
      </c>
      <c r="B12790" t="s">
        <v>1934</v>
      </c>
      <c r="C12790">
        <v>73</v>
      </c>
      <c r="D12790">
        <v>79.36</v>
      </c>
      <c r="E12790">
        <v>79.349999999999994</v>
      </c>
      <c r="F12790">
        <v>0.01</v>
      </c>
    </row>
    <row r="12791" spans="1:6" x14ac:dyDescent="0.3">
      <c r="A12791" t="str">
        <f>HYPERLINK("https://us2.cloudbeds.com/connect/10074733072513#/reservations/31715953848517?display=MX624CXF3&amp;reservation_id=31715953848517", "MX624CXF3")</f>
        <v>MX624CXF3</v>
      </c>
      <c r="B12791" t="s">
        <v>1925</v>
      </c>
      <c r="C12791">
        <v>229</v>
      </c>
      <c r="D12791">
        <v>248.93</v>
      </c>
      <c r="E12791">
        <v>248.92</v>
      </c>
      <c r="F12791">
        <v>0.01</v>
      </c>
    </row>
    <row r="12792" spans="1:6" x14ac:dyDescent="0.3">
      <c r="A12792" t="str">
        <f>HYPERLINK("https://us2.cloudbeds.com/connect/10074733072513#/reservations/31717332996231?display=MX74CACF2&amp;reservation_id=31717332996231", "MX74CACF2")</f>
        <v>MX74CACF2</v>
      </c>
      <c r="B12792" t="s">
        <v>1903</v>
      </c>
      <c r="C12792">
        <v>129</v>
      </c>
      <c r="D12792">
        <v>140.22999999999999</v>
      </c>
      <c r="E12792">
        <v>140.22</v>
      </c>
      <c r="F12792">
        <v>0.01</v>
      </c>
    </row>
    <row r="12793" spans="1:6" x14ac:dyDescent="0.3">
      <c r="A12793" t="str">
        <f>HYPERLINK("https://us2.cloudbeds.com/connect/10074733072513#/reservations/31716736802977?display=MX6M4JDTR&amp;reservation_id=31716736802977", "MX6M4JDTR")</f>
        <v>MX6M4JDTR</v>
      </c>
      <c r="B12793" t="s">
        <v>1846</v>
      </c>
      <c r="C12793">
        <v>963</v>
      </c>
      <c r="D12793">
        <v>1046.79</v>
      </c>
      <c r="E12793">
        <v>1046.78</v>
      </c>
      <c r="F12793">
        <v>0.01</v>
      </c>
    </row>
    <row r="12794" spans="1:6" x14ac:dyDescent="0.3">
      <c r="A12794" t="str">
        <f>HYPERLINK("https://us2.cloudbeds.com/connect/10074733072513#/reservations/31714624884904?display=MX515P66F&amp;reservation_id=31714624884904", "MX515P66F")</f>
        <v>MX515P66F</v>
      </c>
      <c r="B12794" t="s">
        <v>1937</v>
      </c>
      <c r="C12794">
        <v>278</v>
      </c>
      <c r="D12794">
        <v>302.2</v>
      </c>
      <c r="E12794">
        <v>302.19</v>
      </c>
      <c r="F12794">
        <v>0.01</v>
      </c>
    </row>
    <row r="12795" spans="1:6" x14ac:dyDescent="0.3">
      <c r="A12795" t="str">
        <f>HYPERLINK("https://us2.cloudbeds.com/connect/10074733072513#/reservations/31717095633044?display=MX6VA5D37&amp;reservation_id=31717095633044", "MX6VA5D37")</f>
        <v>MX6VA5D37</v>
      </c>
      <c r="B12795" t="s">
        <v>1823</v>
      </c>
      <c r="C12795">
        <v>109</v>
      </c>
      <c r="D12795">
        <v>118.49</v>
      </c>
      <c r="E12795">
        <v>118.48</v>
      </c>
      <c r="F12795">
        <v>0.01</v>
      </c>
    </row>
    <row r="12796" spans="1:6" x14ac:dyDescent="0.3">
      <c r="A12796" t="str">
        <f>HYPERLINK("https://us2.cloudbeds.com/connect/10074733072513#/reservations/31715276599527?display=MX5HRA3XE&amp;reservation_id=31715276599527", "MX5HRA3XE")</f>
        <v>MX5HRA3XE</v>
      </c>
      <c r="B12796" t="s">
        <v>1823</v>
      </c>
      <c r="C12796">
        <v>73</v>
      </c>
      <c r="D12796">
        <v>79.36</v>
      </c>
      <c r="E12796">
        <v>79.349999999999994</v>
      </c>
      <c r="F12796">
        <v>0.01</v>
      </c>
    </row>
    <row r="12797" spans="1:6" x14ac:dyDescent="0.3">
      <c r="A12797" t="str">
        <f>HYPERLINK("https://us2.cloudbeds.com/connect/10074733072513#/reservations/31719025250459?display=MX8EK8RU7&amp;reservation_id=31719025250459", "MX8EK8RU7")</f>
        <v>MX8EK8RU7</v>
      </c>
      <c r="B12797" t="s">
        <v>1772</v>
      </c>
      <c r="C12797">
        <v>159</v>
      </c>
      <c r="D12797">
        <v>172.84</v>
      </c>
      <c r="E12797">
        <v>172.83</v>
      </c>
      <c r="F12797">
        <v>0.01</v>
      </c>
    </row>
    <row r="12798" spans="1:6" x14ac:dyDescent="0.3">
      <c r="A12798" t="str">
        <f>HYPERLINK("https://us2.cloudbeds.com/connect/10074733072513#/reservations/31715182833814?display=MX5FE7UW6&amp;reservation_id=31715182833814", "MX5FE7UW6")</f>
        <v>MX5FE7UW6</v>
      </c>
      <c r="B12798" t="s">
        <v>1823</v>
      </c>
      <c r="C12798">
        <v>119</v>
      </c>
      <c r="D12798">
        <v>129.36000000000001</v>
      </c>
      <c r="E12798">
        <v>129.35</v>
      </c>
      <c r="F12798">
        <v>0.01</v>
      </c>
    </row>
    <row r="12799" spans="1:6" x14ac:dyDescent="0.3">
      <c r="A12799" t="str">
        <f>HYPERLINK("https://us2.cloudbeds.com/connect/10074733072513#/reservations/31720814641311?display=MX9RB49CE&amp;reservation_id=31720814641311", "MX9RB49CE")</f>
        <v>MX9RB49CE</v>
      </c>
      <c r="B12799" t="s">
        <v>1729</v>
      </c>
      <c r="C12799">
        <v>189</v>
      </c>
      <c r="D12799">
        <v>205.45</v>
      </c>
      <c r="E12799">
        <v>205.44</v>
      </c>
      <c r="F12799">
        <v>0.01</v>
      </c>
    </row>
    <row r="12800" spans="1:6" x14ac:dyDescent="0.3">
      <c r="A12800" t="str">
        <f>HYPERLINK("https://us2.cloudbeds.com/connect/10074733072513#/reservations/31714362507505?display=MX4RFH4V6&amp;reservation_id=31714362507505", "MX4RFH4V6")</f>
        <v>MX4RFH4V6</v>
      </c>
      <c r="B12800" t="s">
        <v>1928</v>
      </c>
      <c r="C12800">
        <v>119</v>
      </c>
      <c r="D12800">
        <v>129.36000000000001</v>
      </c>
      <c r="E12800">
        <v>129.35</v>
      </c>
      <c r="F12800">
        <v>0.01</v>
      </c>
    </row>
    <row r="12801" spans="1:6" x14ac:dyDescent="0.3">
      <c r="A12801" t="str">
        <f>HYPERLINK("https://us2.cloudbeds.com/connect/10074733072513#/reservations/31714770198741?display=MX54T9P22&amp;reservation_id=31714770198741", "MX54T9P22")</f>
        <v>MX54T9P22</v>
      </c>
      <c r="B12801" t="s">
        <v>1731</v>
      </c>
      <c r="C12801">
        <v>169</v>
      </c>
      <c r="D12801">
        <v>183.71</v>
      </c>
      <c r="E12801">
        <v>183.7</v>
      </c>
      <c r="F12801">
        <v>0.01</v>
      </c>
    </row>
    <row r="12802" spans="1:6" x14ac:dyDescent="0.3">
      <c r="A12802" t="str">
        <f>HYPERLINK("https://us2.cloudbeds.com/connect/10074733072513#/reservations/31714604077193?display=MX50Y760P&amp;reservation_id=31714604077193", "MX50Y760P")</f>
        <v>MX50Y760P</v>
      </c>
      <c r="B12802" t="s">
        <v>1937</v>
      </c>
      <c r="C12802">
        <v>169</v>
      </c>
      <c r="D12802">
        <v>183.71</v>
      </c>
      <c r="E12802">
        <v>183.7</v>
      </c>
      <c r="F12802">
        <v>0.01</v>
      </c>
    </row>
    <row r="12803" spans="1:6" x14ac:dyDescent="0.3">
      <c r="A12803" t="str">
        <f>HYPERLINK("https://us2.cloudbeds.com/connect/10074733072513#/reservations/31717829812428?display=MX7H280MB&amp;reservation_id=31717829812428", "MX7H280MB")</f>
        <v>MX7H280MB</v>
      </c>
      <c r="B12803" t="s">
        <v>1939</v>
      </c>
      <c r="C12803">
        <v>109</v>
      </c>
      <c r="D12803">
        <v>118.49</v>
      </c>
      <c r="E12803">
        <v>118.48</v>
      </c>
      <c r="F12803">
        <v>0.01</v>
      </c>
    </row>
    <row r="12804" spans="1:6" x14ac:dyDescent="0.3">
      <c r="A12804" t="str">
        <f>HYPERLINK("https://us2.cloudbeds.com/connect/10074733072513#/reservations/31714509160656?display=MX4V75WM2&amp;reservation_id=31714509160656", "MX4V75WM2")</f>
        <v>MX4V75WM2</v>
      </c>
      <c r="B12804" t="s">
        <v>1729</v>
      </c>
      <c r="C12804">
        <v>179</v>
      </c>
      <c r="D12804">
        <v>194.58</v>
      </c>
      <c r="E12804">
        <v>194.57</v>
      </c>
      <c r="F12804">
        <v>0.01</v>
      </c>
    </row>
    <row r="12805" spans="1:6" x14ac:dyDescent="0.3">
      <c r="A12805" t="str">
        <f>HYPERLINK("https://us2.cloudbeds.com/connect/10074733072513#/reservations/31714517291235?display=MX4VE17P8&amp;reservation_id=31714517291235", "MX4VE17P8")</f>
        <v>MX4VE17P8</v>
      </c>
      <c r="B12805" t="s">
        <v>1729</v>
      </c>
      <c r="C12805">
        <v>179</v>
      </c>
      <c r="D12805">
        <v>194.58</v>
      </c>
      <c r="E12805">
        <v>194.57</v>
      </c>
      <c r="F12805">
        <v>0.01</v>
      </c>
    </row>
    <row r="12806" spans="1:6" x14ac:dyDescent="0.3">
      <c r="A12806" t="str">
        <f>HYPERLINK("https://us2.cloudbeds.com/connect/10074733072513#/reservations/31715532746911?display=MX5ZC9PVB&amp;reservation_id=31715532746911", "MX5ZC9PVB")</f>
        <v>MX5ZC9PVB</v>
      </c>
      <c r="B12806" t="s">
        <v>1729</v>
      </c>
      <c r="C12806">
        <v>159</v>
      </c>
      <c r="D12806">
        <v>172.84</v>
      </c>
      <c r="E12806">
        <v>172.83</v>
      </c>
      <c r="F12806">
        <v>0.01</v>
      </c>
    </row>
    <row r="12807" spans="1:6" x14ac:dyDescent="0.3">
      <c r="A12807" t="str">
        <f>HYPERLINK("https://us2.cloudbeds.com/connect/10074733072513#/reservations/31718326210746?display=MX7TZR15F&amp;reservation_id=31718326210746", "MX7TZR15F")</f>
        <v>MX7TZR15F</v>
      </c>
      <c r="B12807" t="s">
        <v>1729</v>
      </c>
      <c r="C12807">
        <v>159</v>
      </c>
      <c r="D12807">
        <v>172.84</v>
      </c>
      <c r="E12807">
        <v>172.83</v>
      </c>
      <c r="F12807">
        <v>0.01</v>
      </c>
    </row>
    <row r="12808" spans="1:6" x14ac:dyDescent="0.3">
      <c r="A12808" t="str">
        <f>HYPERLINK("https://us2.cloudbeds.com/connect/10074733072513#/reservations/31716868092155?display=MX6PG9Z9P&amp;reservation_id=31716868092155", "MX6PG9Z9P")</f>
        <v>MX6PG9Z9P</v>
      </c>
      <c r="B12808" t="s">
        <v>1729</v>
      </c>
      <c r="C12808">
        <v>159</v>
      </c>
      <c r="D12808">
        <v>172.84</v>
      </c>
      <c r="E12808">
        <v>172.83</v>
      </c>
      <c r="F12808">
        <v>0.01</v>
      </c>
    </row>
    <row r="12809" spans="1:6" x14ac:dyDescent="0.3">
      <c r="A12809" t="str">
        <f>HYPERLINK("https://us2.cloudbeds.com/connect/10074733072513#/reservations/31714584105157?display=MX504CE7H&amp;reservation_id=31714584105157", "MX504CE7H")</f>
        <v>MX504CE7H</v>
      </c>
      <c r="B12809" t="s">
        <v>1862</v>
      </c>
      <c r="C12809">
        <v>398</v>
      </c>
      <c r="D12809">
        <v>432.64</v>
      </c>
      <c r="E12809">
        <v>432.63</v>
      </c>
      <c r="F12809">
        <v>0.01</v>
      </c>
    </row>
    <row r="12810" spans="1:6" x14ac:dyDescent="0.3">
      <c r="A12810" t="str">
        <f>HYPERLINK("https://us2.cloudbeds.com/connect/10074733072513#/reservations/31714393530519?display=MX4S8MDXH&amp;reservation_id=31714393530519", "MX4S8MDXH")</f>
        <v>MX4S8MDXH</v>
      </c>
      <c r="B12810" t="s">
        <v>1928</v>
      </c>
      <c r="C12810">
        <v>149</v>
      </c>
      <c r="D12810">
        <v>161.97</v>
      </c>
      <c r="E12810">
        <v>161.96</v>
      </c>
      <c r="F12810">
        <v>0.01</v>
      </c>
    </row>
    <row r="12811" spans="1:6" x14ac:dyDescent="0.3">
      <c r="A12811" t="str">
        <f>HYPERLINK("https://us2.cloudbeds.com/connect/10074733072513#/reservations/31714814730439?display=MX560RUBF&amp;reservation_id=31714814730439", "MX560RUBF")</f>
        <v>MX560RUBF</v>
      </c>
      <c r="B12811" t="s">
        <v>1938</v>
      </c>
      <c r="C12811">
        <v>139</v>
      </c>
      <c r="D12811">
        <v>151.1</v>
      </c>
      <c r="E12811">
        <v>151.09</v>
      </c>
      <c r="F12811">
        <v>0.01</v>
      </c>
    </row>
    <row r="12812" spans="1:6" x14ac:dyDescent="0.3">
      <c r="A12812" t="str">
        <f>HYPERLINK("https://us2.cloudbeds.com/connect/10074733072513#/reservations/31717637025968?display=MX7C4MEVD&amp;reservation_id=31717637025968", "MX7C4MEVD")</f>
        <v>MX7C4MEVD</v>
      </c>
      <c r="B12812" t="s">
        <v>1932</v>
      </c>
      <c r="C12812">
        <v>254.1</v>
      </c>
      <c r="D12812">
        <v>276.22000000000003</v>
      </c>
      <c r="E12812">
        <v>276.20999999999998</v>
      </c>
      <c r="F12812">
        <v>0.01</v>
      </c>
    </row>
    <row r="12813" spans="1:6" x14ac:dyDescent="0.3">
      <c r="A12813" t="str">
        <f>HYPERLINK("https://us2.cloudbeds.com/connect/10074733072513#/reservations/31714157662403?display=MX4M7Q12S&amp;reservation_id=31714157662403", "MX4M7Q12S")</f>
        <v>MX4M7Q12S</v>
      </c>
      <c r="B12813" t="s">
        <v>1731</v>
      </c>
      <c r="C12813">
        <v>209</v>
      </c>
      <c r="D12813">
        <v>227.19</v>
      </c>
      <c r="E12813">
        <v>227.18</v>
      </c>
      <c r="F12813">
        <v>0.01</v>
      </c>
    </row>
    <row r="12814" spans="1:6" x14ac:dyDescent="0.3">
      <c r="A12814" t="str">
        <f>HYPERLINK("https://us2.cloudbeds.com/connect/10074733072513#/reservations/31714580451568?display=MX5019P7N&amp;reservation_id=31714580451568", "MX5019P7N")</f>
        <v>MX5019P7N</v>
      </c>
      <c r="B12814" t="s">
        <v>1862</v>
      </c>
      <c r="C12814">
        <v>209</v>
      </c>
      <c r="D12814">
        <v>227.19</v>
      </c>
      <c r="E12814">
        <v>227.18</v>
      </c>
      <c r="F12814">
        <v>0.01</v>
      </c>
    </row>
    <row r="12815" spans="1:6" x14ac:dyDescent="0.3">
      <c r="A12815" t="str">
        <f>HYPERLINK("https://us2.cloudbeds.com/connect/10074733072513#/reservations/31713728716984?display=MX4B92WQQ&amp;reservation_id=31713728716984", "MX4B92WQQ")</f>
        <v>MX4B92WQQ</v>
      </c>
      <c r="B12815" t="s">
        <v>1853</v>
      </c>
      <c r="C12815">
        <v>318</v>
      </c>
      <c r="D12815">
        <v>345.68</v>
      </c>
      <c r="E12815">
        <v>345.67</v>
      </c>
      <c r="F12815">
        <v>0.01</v>
      </c>
    </row>
    <row r="12816" spans="1:6" x14ac:dyDescent="0.3">
      <c r="A12816" t="str">
        <f>HYPERLINK("https://us2.cloudbeds.com/connect/10074733072513#/reservations/31712302522568?display=MX37RG127&amp;reservation_id=31712302522568", "MX37RG127")</f>
        <v>MX37RG127</v>
      </c>
      <c r="B12816" t="s">
        <v>1829</v>
      </c>
      <c r="C12816">
        <v>318</v>
      </c>
      <c r="D12816">
        <v>345.68</v>
      </c>
      <c r="E12816">
        <v>345.67</v>
      </c>
      <c r="F12816">
        <v>0.01</v>
      </c>
    </row>
    <row r="12817" spans="1:6" x14ac:dyDescent="0.3">
      <c r="A12817" t="str">
        <f>HYPERLINK("https://us2.cloudbeds.com/connect/10074733072513#/reservations/31717162795247?display=MX700Q9CG&amp;reservation_id=31717162795247", "MX700Q9CG")</f>
        <v>MX700Q9CG</v>
      </c>
      <c r="B12817" t="s">
        <v>1940</v>
      </c>
      <c r="C12817">
        <v>252</v>
      </c>
      <c r="D12817">
        <v>273.93</v>
      </c>
      <c r="E12817">
        <v>273.92</v>
      </c>
      <c r="F12817">
        <v>0.01</v>
      </c>
    </row>
    <row r="12818" spans="1:6" x14ac:dyDescent="0.3">
      <c r="A12818" t="str">
        <f>HYPERLINK("https://us2.cloudbeds.com/connect/10074733072513#/reservations/31717148860560?display=MX6WM1HH8&amp;reservation_id=31717148860560", "MX6WM1HH8")</f>
        <v>MX6WM1HH8</v>
      </c>
      <c r="B12818" t="s">
        <v>1940</v>
      </c>
      <c r="C12818">
        <v>252</v>
      </c>
      <c r="D12818">
        <v>273.93</v>
      </c>
      <c r="E12818">
        <v>273.92</v>
      </c>
      <c r="F12818">
        <v>0.01</v>
      </c>
    </row>
    <row r="12819" spans="1:6" x14ac:dyDescent="0.3">
      <c r="A12819" t="str">
        <f>HYPERLINK("https://us2.cloudbeds.com/connect/10074733072513#/reservations/31712995225812?display=MX3PHJH6J&amp;reservation_id=31712995225812", "MX3PHJH6J")</f>
        <v>MX3PHJH6J</v>
      </c>
      <c r="B12819" t="s">
        <v>1940</v>
      </c>
      <c r="C12819">
        <v>252</v>
      </c>
      <c r="D12819">
        <v>273.93</v>
      </c>
      <c r="E12819">
        <v>273.92</v>
      </c>
      <c r="F12819">
        <v>0.01</v>
      </c>
    </row>
    <row r="12820" spans="1:6" x14ac:dyDescent="0.3">
      <c r="A12820" t="str">
        <f>HYPERLINK("https://us2.cloudbeds.com/connect/10074733072513#/reservations/31712971567313?display=MX3ZUY67D&amp;reservation_id=31712971567313", "MX3ZUY67D")</f>
        <v>MX3ZUY67D</v>
      </c>
      <c r="B12820" t="s">
        <v>1940</v>
      </c>
      <c r="C12820">
        <v>150</v>
      </c>
      <c r="D12820">
        <v>163.06</v>
      </c>
      <c r="E12820">
        <v>163.05000000000001</v>
      </c>
      <c r="F12820">
        <v>0.01</v>
      </c>
    </row>
    <row r="12821" spans="1:6" x14ac:dyDescent="0.3">
      <c r="A12821" t="str">
        <f>HYPERLINK("https://us2.cloudbeds.com/connect/10074733072513#/reservations/31718083068050?display=MX7NHQ7Y4&amp;reservation_id=31718083068050", "MX7NHQ7Y4")</f>
        <v>MX7NHQ7Y4</v>
      </c>
      <c r="B12821" t="s">
        <v>1715</v>
      </c>
      <c r="C12821">
        <v>102.58</v>
      </c>
      <c r="D12821">
        <v>111.51</v>
      </c>
      <c r="E12821">
        <v>111.5</v>
      </c>
      <c r="F12821">
        <v>0.01</v>
      </c>
    </row>
    <row r="12822" spans="1:6" x14ac:dyDescent="0.3">
      <c r="A12822" t="str">
        <f>HYPERLINK("https://us2.cloudbeds.com/connect/10074733072513#/reservations/31720082632895?display=MX98KT2B7&amp;reservation_id=31720082632895", "MX98KT2B7")</f>
        <v>MX98KT2B7</v>
      </c>
      <c r="B12822" t="s">
        <v>1930</v>
      </c>
      <c r="C12822">
        <v>252</v>
      </c>
      <c r="D12822">
        <v>273.93</v>
      </c>
      <c r="E12822">
        <v>273.92</v>
      </c>
      <c r="F12822">
        <v>0.01</v>
      </c>
    </row>
    <row r="12823" spans="1:6" x14ac:dyDescent="0.3">
      <c r="A12823" t="str">
        <f>HYPERLINK("https://us2.cloudbeds.com/connect/10074733072513#/reservations/31715685662935?display=MX5S97TN9&amp;reservation_id=31715685662935", "MX5S97TN9")</f>
        <v>MX5S97TN9</v>
      </c>
      <c r="B12823" t="s">
        <v>1816</v>
      </c>
      <c r="C12823">
        <v>169</v>
      </c>
      <c r="D12823">
        <v>183.71</v>
      </c>
      <c r="E12823">
        <v>183.7</v>
      </c>
      <c r="F12823">
        <v>0.01</v>
      </c>
    </row>
    <row r="12824" spans="1:6" x14ac:dyDescent="0.3">
      <c r="A12824" t="str">
        <f>HYPERLINK("https://us2.cloudbeds.com/connect/10074733072513#/reservations/31718642438299?display=MX84RFHJZ&amp;reservation_id=31718642438299", "MX84RFHJZ")</f>
        <v>MX84RFHJZ</v>
      </c>
      <c r="B12824" t="s">
        <v>1919</v>
      </c>
      <c r="C12824">
        <v>97.74</v>
      </c>
      <c r="D12824">
        <v>106.25</v>
      </c>
      <c r="E12824">
        <v>106.24</v>
      </c>
      <c r="F12824">
        <v>0.01</v>
      </c>
    </row>
    <row r="12825" spans="1:6" x14ac:dyDescent="0.3">
      <c r="A12825" t="str">
        <f>HYPERLINK("https://us2.cloudbeds.com/connect/10074733072513#/reservations/31718719963380?display=MX86QRPRK&amp;reservation_id=31718719963380", "MX86QRPRK")</f>
        <v>MX86QRPRK</v>
      </c>
      <c r="B12825" t="s">
        <v>1932</v>
      </c>
      <c r="C12825">
        <v>159</v>
      </c>
      <c r="D12825">
        <v>172.84</v>
      </c>
      <c r="E12825">
        <v>172.83</v>
      </c>
      <c r="F12825">
        <v>0.01</v>
      </c>
    </row>
    <row r="12826" spans="1:6" x14ac:dyDescent="0.3">
      <c r="A12826" t="str">
        <f>HYPERLINK("https://us2.cloudbeds.com/connect/10074733072513#/reservations/31718701858949?display=MX86BJ00G&amp;reservation_id=31718701858949", "MX86BJ00G")</f>
        <v>MX86BJ00G</v>
      </c>
      <c r="B12826" t="s">
        <v>1932</v>
      </c>
      <c r="C12826">
        <v>119</v>
      </c>
      <c r="D12826">
        <v>129.36000000000001</v>
      </c>
      <c r="E12826">
        <v>129.35</v>
      </c>
      <c r="F12826">
        <v>0.01</v>
      </c>
    </row>
    <row r="12827" spans="1:6" x14ac:dyDescent="0.3">
      <c r="A12827" t="str">
        <f>HYPERLINK("https://us2.cloudbeds.com/connect/10074733072513#/reservations/31718639816853?display=MX84P8JCW&amp;reservation_id=31718639816853", "MX84P8JCW")</f>
        <v>MX84P8JCW</v>
      </c>
      <c r="B12827" t="s">
        <v>1768</v>
      </c>
      <c r="C12827">
        <v>239</v>
      </c>
      <c r="D12827">
        <v>259.8</v>
      </c>
      <c r="E12827">
        <v>259.79000000000002</v>
      </c>
      <c r="F12827">
        <v>0.01</v>
      </c>
    </row>
    <row r="12828" spans="1:6" x14ac:dyDescent="0.3">
      <c r="A12828" t="str">
        <f>HYPERLINK("https://us2.cloudbeds.com/connect/10074733072513#/reservations/31712880021697?display=MX3MJEQ9R&amp;reservation_id=31712880021697", "MX3MJEQ9R")</f>
        <v>MX3MJEQ9R</v>
      </c>
      <c r="B12828" t="s">
        <v>1661</v>
      </c>
      <c r="C12828">
        <v>169</v>
      </c>
      <c r="D12828">
        <v>183.71</v>
      </c>
      <c r="E12828">
        <v>183.7</v>
      </c>
      <c r="F12828">
        <v>0.01</v>
      </c>
    </row>
    <row r="12829" spans="1:6" x14ac:dyDescent="0.3">
      <c r="A12829" t="str">
        <f>HYPERLINK("https://us2.cloudbeds.com/connect/10074733072513#/reservations/31712067510468?display=MX31RAFYE&amp;reservation_id=31712067510468", "MX31RAFYE")</f>
        <v>MX31RAFYE</v>
      </c>
      <c r="B12829" t="s">
        <v>1940</v>
      </c>
      <c r="C12829">
        <v>252</v>
      </c>
      <c r="D12829">
        <v>273.93</v>
      </c>
      <c r="E12829">
        <v>273.92</v>
      </c>
      <c r="F12829">
        <v>0.01</v>
      </c>
    </row>
    <row r="12830" spans="1:6" x14ac:dyDescent="0.3">
      <c r="A12830" t="str">
        <f>HYPERLINK("https://us2.cloudbeds.com/connect/10074733072513#/reservations/31713005879437?display=MX3PQXW4Z&amp;reservation_id=31713005879437", "MX3PQXW4Z")</f>
        <v>MX3PQXW4Z</v>
      </c>
      <c r="B12830" t="s">
        <v>1940</v>
      </c>
      <c r="C12830">
        <v>252</v>
      </c>
      <c r="D12830">
        <v>273.93</v>
      </c>
      <c r="E12830">
        <v>273.92</v>
      </c>
      <c r="F12830">
        <v>0.01</v>
      </c>
    </row>
    <row r="12831" spans="1:6" x14ac:dyDescent="0.3">
      <c r="A12831" t="str">
        <f>HYPERLINK("https://us2.cloudbeds.com/connect/10074733072513#/reservations/31712760270984?display=MX3JHFXCB&amp;reservation_id=31712760270984", "MX3JHFXCB")</f>
        <v>MX3JHFXCB</v>
      </c>
      <c r="B12831" t="s">
        <v>1853</v>
      </c>
      <c r="C12831">
        <v>437</v>
      </c>
      <c r="D12831">
        <v>475.03</v>
      </c>
      <c r="E12831">
        <v>475.02</v>
      </c>
      <c r="F12831">
        <v>0.01</v>
      </c>
    </row>
    <row r="12832" spans="1:6" x14ac:dyDescent="0.3">
      <c r="A12832" t="str">
        <f>HYPERLINK("https://us2.cloudbeds.com/connect/10074733072513#/reservations/31717267493091?display=MX72N2YYE&amp;reservation_id=31717267493091", "MX72N2YYE")</f>
        <v>MX72N2YYE</v>
      </c>
      <c r="B12832" t="s">
        <v>1768</v>
      </c>
      <c r="C12832">
        <v>249</v>
      </c>
      <c r="D12832">
        <v>270.67</v>
      </c>
      <c r="E12832">
        <v>270.66000000000003</v>
      </c>
      <c r="F12832">
        <v>0.01</v>
      </c>
    </row>
    <row r="12833" spans="1:6" x14ac:dyDescent="0.3">
      <c r="A12833" t="str">
        <f>HYPERLINK("https://us2.cloudbeds.com/connect/10074733072513#/reservations/31713090207901?display=MX3RVMHZZ&amp;reservation_id=31713090207901", "MX3RVMHZZ")</f>
        <v>MX3RVMHZZ</v>
      </c>
      <c r="B12833" t="s">
        <v>1853</v>
      </c>
      <c r="C12833">
        <v>249</v>
      </c>
      <c r="D12833">
        <v>270.67</v>
      </c>
      <c r="E12833">
        <v>270.66000000000003</v>
      </c>
      <c r="F12833">
        <v>0.01</v>
      </c>
    </row>
    <row r="12834" spans="1:6" x14ac:dyDescent="0.3">
      <c r="A12834" t="str">
        <f>HYPERLINK("https://us2.cloudbeds.com/connect/10074733072513#/reservations/31715118117056?display=MX5DPYWJ4&amp;reservation_id=31715118117056", "MX5DPYWJ4")</f>
        <v>MX5DPYWJ4</v>
      </c>
      <c r="B12834" t="s">
        <v>1880</v>
      </c>
      <c r="C12834">
        <v>219</v>
      </c>
      <c r="D12834">
        <v>238.06</v>
      </c>
      <c r="E12834">
        <v>238.05</v>
      </c>
      <c r="F12834">
        <v>0.01</v>
      </c>
    </row>
    <row r="12835" spans="1:6" x14ac:dyDescent="0.3">
      <c r="A12835" t="str">
        <f>HYPERLINK("https://us2.cloudbeds.com/connect/10074733072513#/reservations/31716717916369?display=MX6YYYSRC&amp;reservation_id=31716717916369", "MX6YYYSRC")</f>
        <v>MX6YYYSRC</v>
      </c>
      <c r="B12835" t="s">
        <v>1846</v>
      </c>
      <c r="C12835">
        <v>229</v>
      </c>
      <c r="D12835">
        <v>248.93</v>
      </c>
      <c r="E12835">
        <v>248.92</v>
      </c>
      <c r="F12835">
        <v>0.01</v>
      </c>
    </row>
    <row r="12836" spans="1:6" x14ac:dyDescent="0.3">
      <c r="A12836" t="str">
        <f>HYPERLINK("https://us2.cloudbeds.com/connect/10074733072513#/reservations/31718899613914?display=MX8BDAR61&amp;reservation_id=31718899613914", "MX8BDAR61")</f>
        <v>MX8BDAR61</v>
      </c>
      <c r="B12836" t="s">
        <v>1715</v>
      </c>
      <c r="C12836">
        <v>159</v>
      </c>
      <c r="D12836">
        <v>172.84</v>
      </c>
      <c r="E12836">
        <v>172.83</v>
      </c>
      <c r="F12836">
        <v>0.01</v>
      </c>
    </row>
    <row r="12837" spans="1:6" x14ac:dyDescent="0.3">
      <c r="A12837" t="str">
        <f>HYPERLINK("https://us2.cloudbeds.com/connect/10074733072513#/reservations/31720089231582?display=MX98QEMZE&amp;reservation_id=31720089231582", "MX98QEMZE")</f>
        <v>MX98QEMZE</v>
      </c>
      <c r="B12837" t="s">
        <v>1930</v>
      </c>
      <c r="C12837">
        <v>129</v>
      </c>
      <c r="D12837">
        <v>140.22999999999999</v>
      </c>
      <c r="E12837">
        <v>140.22</v>
      </c>
      <c r="F12837">
        <v>0.01</v>
      </c>
    </row>
    <row r="12838" spans="1:6" x14ac:dyDescent="0.3">
      <c r="A12838" t="str">
        <f>HYPERLINK("https://us2.cloudbeds.com/connect/10074733072513#/reservations/31716354953436?display=MX6CCJTHJ&amp;reservation_id=31716354953436", "MX6CCJTHJ")</f>
        <v>MX6CCJTHJ</v>
      </c>
      <c r="B12838" t="s">
        <v>1930</v>
      </c>
      <c r="C12838">
        <v>149</v>
      </c>
      <c r="D12838">
        <v>161.97</v>
      </c>
      <c r="E12838">
        <v>161.96</v>
      </c>
      <c r="F12838">
        <v>0.01</v>
      </c>
    </row>
    <row r="12839" spans="1:6" x14ac:dyDescent="0.3">
      <c r="A12839" t="str">
        <f>HYPERLINK("https://us2.cloudbeds.com/connect/10074733072513#/reservations/31720436474052?display=MX9HM87BH&amp;reservation_id=31720436474052", "MX9HM87BH")</f>
        <v>MX9HM87BH</v>
      </c>
      <c r="B12839" t="s">
        <v>1930</v>
      </c>
      <c r="C12839">
        <v>129</v>
      </c>
      <c r="D12839">
        <v>140.22999999999999</v>
      </c>
      <c r="E12839">
        <v>140.22</v>
      </c>
      <c r="F12839">
        <v>0.01</v>
      </c>
    </row>
    <row r="12840" spans="1:6" x14ac:dyDescent="0.3">
      <c r="A12840" t="str">
        <f>HYPERLINK("https://us2.cloudbeds.com/connect/10074733072513#/reservations/31720414372016?display=MX9H3K6KS&amp;reservation_id=31720414372016", "MX9H3K6KS")</f>
        <v>MX9H3K6KS</v>
      </c>
      <c r="B12840" t="s">
        <v>1930</v>
      </c>
      <c r="C12840">
        <v>129</v>
      </c>
      <c r="D12840">
        <v>140.22999999999999</v>
      </c>
      <c r="E12840">
        <v>140.22</v>
      </c>
      <c r="F12840">
        <v>0.01</v>
      </c>
    </row>
    <row r="12841" spans="1:6" x14ac:dyDescent="0.3">
      <c r="A12841" t="str">
        <f>HYPERLINK("https://us2.cloudbeds.com/connect/10074733072513#/reservations/31717947027651?display=MX7K22NAQ&amp;reservation_id=31717947027651", "MX7K22NAQ")</f>
        <v>MX7K22NAQ</v>
      </c>
      <c r="B12841" t="s">
        <v>1938</v>
      </c>
      <c r="C12841">
        <v>139</v>
      </c>
      <c r="D12841">
        <v>151.1</v>
      </c>
      <c r="E12841">
        <v>151.09</v>
      </c>
      <c r="F12841">
        <v>0.01</v>
      </c>
    </row>
    <row r="12842" spans="1:6" x14ac:dyDescent="0.3">
      <c r="A12842" t="str">
        <f>HYPERLINK("https://us2.cloudbeds.com/connect/10074733072513#/reservations/31714283987199?display=MX4PFA6QW&amp;reservation_id=31714283987199", "MX4PFA6QW")</f>
        <v>MX4PFA6QW</v>
      </c>
      <c r="B12842" t="s">
        <v>1690</v>
      </c>
      <c r="C12842">
        <v>278</v>
      </c>
      <c r="D12842">
        <v>302.2</v>
      </c>
      <c r="E12842">
        <v>302.19</v>
      </c>
      <c r="F12842">
        <v>0.01</v>
      </c>
    </row>
    <row r="12843" spans="1:6" x14ac:dyDescent="0.3">
      <c r="A12843" t="str">
        <f>HYPERLINK("https://us2.cloudbeds.com/connect/10074733072513#/reservations/31716302315759?display=MX6B175ZG&amp;reservation_id=31716302315759", "MX6B175ZG")</f>
        <v>MX6B175ZG</v>
      </c>
      <c r="B12843" t="s">
        <v>1923</v>
      </c>
      <c r="C12843">
        <v>219</v>
      </c>
      <c r="D12843">
        <v>238.06</v>
      </c>
      <c r="E12843">
        <v>238.05</v>
      </c>
      <c r="F12843">
        <v>0.01</v>
      </c>
    </row>
    <row r="12844" spans="1:6" x14ac:dyDescent="0.3">
      <c r="A12844" t="str">
        <f>HYPERLINK("https://us2.cloudbeds.com/connect/10074733072513#/reservations/31716620578981?display=MX6J5JAFX&amp;reservation_id=31716620578981", "MX6J5JAFX")</f>
        <v>MX6J5JAFX</v>
      </c>
      <c r="B12844" t="s">
        <v>1939</v>
      </c>
      <c r="C12844">
        <v>109</v>
      </c>
      <c r="D12844">
        <v>118.49</v>
      </c>
      <c r="E12844">
        <v>118.48</v>
      </c>
      <c r="F12844">
        <v>0.01</v>
      </c>
    </row>
    <row r="12845" spans="1:6" x14ac:dyDescent="0.3">
      <c r="A12845" t="str">
        <f>HYPERLINK("https://us2.cloudbeds.com/connect/10074733072513#/reservations/31716288745663?display=MX6AMPXMF&amp;reservation_id=31716288745663", "MX6AMPXMF")</f>
        <v>MX6AMPXMF</v>
      </c>
      <c r="B12845" t="s">
        <v>1923</v>
      </c>
      <c r="C12845">
        <v>169</v>
      </c>
      <c r="D12845">
        <v>183.71</v>
      </c>
      <c r="E12845">
        <v>183.7</v>
      </c>
      <c r="F12845">
        <v>0.01</v>
      </c>
    </row>
    <row r="12846" spans="1:6" x14ac:dyDescent="0.3">
      <c r="A12846" t="str">
        <f>HYPERLINK("https://us2.cloudbeds.com/connect/10074733072513#/reservations/31716386320544?display=MX6D61Z41&amp;reservation_id=31716386320544", "MX6D61Z41")</f>
        <v>MX6D61Z41</v>
      </c>
      <c r="B12846" t="s">
        <v>1930</v>
      </c>
      <c r="C12846">
        <v>149</v>
      </c>
      <c r="D12846">
        <v>161.97</v>
      </c>
      <c r="E12846">
        <v>161.96</v>
      </c>
      <c r="F12846">
        <v>0.01</v>
      </c>
    </row>
    <row r="12847" spans="1:6" x14ac:dyDescent="0.3">
      <c r="A12847" t="str">
        <f>HYPERLINK("https://us2.cloudbeds.com/connect/10074733072513#/reservations/31718123340019?display=MX7ZXZSAR&amp;reservation_id=31718123340019", "MX7ZXZSAR")</f>
        <v>MX7ZXZSAR</v>
      </c>
      <c r="B12847" t="s">
        <v>1862</v>
      </c>
      <c r="C12847">
        <v>239</v>
      </c>
      <c r="D12847">
        <v>259.8</v>
      </c>
      <c r="E12847">
        <v>259.79000000000002</v>
      </c>
      <c r="F12847">
        <v>0.01</v>
      </c>
    </row>
    <row r="12848" spans="1:6" x14ac:dyDescent="0.3">
      <c r="A12848" t="str">
        <f>HYPERLINK("https://us2.cloudbeds.com/connect/10074733072513#/reservations/31716344266959?display=MX6C3JHDW&amp;reservation_id=31716344266959", "MX6C3JHDW")</f>
        <v>MX6C3JHDW</v>
      </c>
      <c r="B12848" t="s">
        <v>1846</v>
      </c>
      <c r="C12848">
        <v>199</v>
      </c>
      <c r="D12848">
        <v>216.32</v>
      </c>
      <c r="E12848">
        <v>216.31</v>
      </c>
      <c r="F12848">
        <v>0.01</v>
      </c>
    </row>
    <row r="12849" spans="1:6" x14ac:dyDescent="0.3">
      <c r="A12849" t="str">
        <f>HYPERLINK("https://us2.cloudbeds.com/connect/10074733072513#/reservations/31720478388404?display=MX9XZJX6D&amp;reservation_id=31720478388404", "MX9XZJX6D")</f>
        <v>MX9XZJX6D</v>
      </c>
      <c r="B12849" t="s">
        <v>1930</v>
      </c>
      <c r="C12849">
        <v>159</v>
      </c>
      <c r="D12849">
        <v>172.84</v>
      </c>
      <c r="E12849">
        <v>172.83</v>
      </c>
      <c r="F12849">
        <v>0.01</v>
      </c>
    </row>
    <row r="12850" spans="1:6" x14ac:dyDescent="0.3">
      <c r="A12850" t="str">
        <f>HYPERLINK("https://us2.cloudbeds.com/connect/10074733072513#/reservations/31712370634949?display=MX39XUBSP&amp;reservation_id=31712370634949", "MX39XUBSP")</f>
        <v>MX39XUBSP</v>
      </c>
      <c r="B12850" t="s">
        <v>1829</v>
      </c>
      <c r="C12850">
        <v>318</v>
      </c>
      <c r="D12850">
        <v>345.68</v>
      </c>
      <c r="E12850">
        <v>345.67</v>
      </c>
      <c r="F12850">
        <v>0.01</v>
      </c>
    </row>
    <row r="12851" spans="1:6" x14ac:dyDescent="0.3">
      <c r="A12851" t="str">
        <f>HYPERLINK("https://us2.cloudbeds.com/connect/10074733072513#/reservations/31716789047462?display=MX6NFY6Y1&amp;reservation_id=31716789047462", "MX6NFY6Y1")</f>
        <v>MX6NFY6Y1</v>
      </c>
      <c r="B12851" t="s">
        <v>1846</v>
      </c>
      <c r="C12851">
        <v>219</v>
      </c>
      <c r="D12851">
        <v>238.06</v>
      </c>
      <c r="E12851">
        <v>238.05</v>
      </c>
      <c r="F12851">
        <v>0.01</v>
      </c>
    </row>
    <row r="12852" spans="1:6" x14ac:dyDescent="0.3">
      <c r="A12852" t="str">
        <f>HYPERLINK("https://us2.cloudbeds.com/connect/10074733072513#/reservations/31715912405214?display=MX612EB5E&amp;reservation_id=31715912405214", "MX612EB5E")</f>
        <v>MX612EB5E</v>
      </c>
      <c r="B12852" t="s">
        <v>1914</v>
      </c>
      <c r="C12852">
        <v>378</v>
      </c>
      <c r="D12852">
        <v>410.9</v>
      </c>
      <c r="E12852">
        <v>410.89</v>
      </c>
      <c r="F12852">
        <v>0.01</v>
      </c>
    </row>
    <row r="12853" spans="1:6" x14ac:dyDescent="0.3">
      <c r="A12853" t="str">
        <f>HYPERLINK("https://us2.cloudbeds.com/connect/10074733072513#/reservations/31712218767561?display=MX35MSE1N&amp;reservation_id=31712218767561", "MX35MSE1N")</f>
        <v>MX35MSE1N</v>
      </c>
      <c r="B12853" t="s">
        <v>1829</v>
      </c>
      <c r="C12853">
        <v>458</v>
      </c>
      <c r="D12853">
        <v>497.86</v>
      </c>
      <c r="E12853">
        <v>497.85</v>
      </c>
      <c r="F12853">
        <v>0.01</v>
      </c>
    </row>
    <row r="12854" spans="1:6" x14ac:dyDescent="0.3">
      <c r="A12854" t="str">
        <f>HYPERLINK("https://us2.cloudbeds.com/connect/10074733072513#/reservations/31711619100895?display=MX2NC6QVX&amp;reservation_id=31711619100895", "MX2NC6QVX")</f>
        <v>MX2NC6QVX</v>
      </c>
      <c r="B12854" t="s">
        <v>1829</v>
      </c>
      <c r="C12854">
        <v>458</v>
      </c>
      <c r="D12854">
        <v>497.86</v>
      </c>
      <c r="E12854">
        <v>497.85</v>
      </c>
      <c r="F12854">
        <v>0.01</v>
      </c>
    </row>
    <row r="12855" spans="1:6" x14ac:dyDescent="0.3">
      <c r="A12855" t="str">
        <f>HYPERLINK("https://us2.cloudbeds.com/connect/10074733072513#/reservations/31716881121412?display=MX6PR99NZ&amp;reservation_id=31716881121412", "MX6PR99NZ")</f>
        <v>MX6PR99NZ</v>
      </c>
      <c r="B12855" t="s">
        <v>1945</v>
      </c>
      <c r="C12855">
        <v>376</v>
      </c>
      <c r="D12855">
        <v>408.72</v>
      </c>
      <c r="E12855">
        <v>408.71</v>
      </c>
      <c r="F12855">
        <v>0.01</v>
      </c>
    </row>
    <row r="12856" spans="1:6" x14ac:dyDescent="0.3">
      <c r="A12856" t="str">
        <f>HYPERLINK("https://us2.cloudbeds.com/connect/10074733072513#/reservations/31717937053839?display=MX7JQM5Y2&amp;reservation_id=31717937053839", "MX7JQM5Y2")</f>
        <v>MX7JQM5Y2</v>
      </c>
      <c r="B12856" t="s">
        <v>1923</v>
      </c>
      <c r="C12856">
        <v>209</v>
      </c>
      <c r="D12856">
        <v>227.19</v>
      </c>
      <c r="E12856">
        <v>227.18</v>
      </c>
      <c r="F12856">
        <v>0.01</v>
      </c>
    </row>
    <row r="12857" spans="1:6" x14ac:dyDescent="0.3">
      <c r="A12857" t="str">
        <f>HYPERLINK("https://us2.cloudbeds.com/connect/10074733072513#/reservations/31712455282938?display=MX3BZ9QTB&amp;reservation_id=31712455282938", "MX3BZ9QTB")</f>
        <v>MX3BZ9QTB</v>
      </c>
      <c r="B12857" t="s">
        <v>1935</v>
      </c>
      <c r="C12857">
        <v>178</v>
      </c>
      <c r="D12857">
        <v>193.5</v>
      </c>
      <c r="E12857">
        <v>193.49</v>
      </c>
      <c r="F12857">
        <v>0.01</v>
      </c>
    </row>
    <row r="12858" spans="1:6" x14ac:dyDescent="0.3">
      <c r="A12858" t="str">
        <f>HYPERLINK("https://us2.cloudbeds.com/connect/10074733072513#/reservations/31718891434118?display=MX8B6E6TJ&amp;reservation_id=31718891434118", "MX8B6E6TJ")</f>
        <v>MX8B6E6TJ</v>
      </c>
      <c r="B12858" t="s">
        <v>1937</v>
      </c>
      <c r="C12858">
        <v>73</v>
      </c>
      <c r="D12858">
        <v>79.36</v>
      </c>
      <c r="E12858">
        <v>79.349999999999994</v>
      </c>
      <c r="F12858">
        <v>0.01</v>
      </c>
    </row>
    <row r="12859" spans="1:6" x14ac:dyDescent="0.3">
      <c r="A12859" t="str">
        <f>HYPERLINK("https://us2.cloudbeds.com/connect/10074733072513#/reservations/31715767447784?display=MX5UC6MJ1&amp;reservation_id=31715767447784", "MX5UC6MJ1")</f>
        <v>MX5UC6MJ1</v>
      </c>
      <c r="B12859" t="s">
        <v>1731</v>
      </c>
      <c r="C12859">
        <v>159</v>
      </c>
      <c r="D12859">
        <v>172.84</v>
      </c>
      <c r="E12859">
        <v>172.83</v>
      </c>
      <c r="F12859">
        <v>0.01</v>
      </c>
    </row>
    <row r="12860" spans="1:6" x14ac:dyDescent="0.3">
      <c r="A12860" t="str">
        <f>HYPERLINK("https://us2.cloudbeds.com/connect/10074733072513#/reservations/31714067202293?display=MX4JUGRVD&amp;reservation_id=31714067202293", "MX4JUGRVD")</f>
        <v>MX4JUGRVD</v>
      </c>
      <c r="B12860" t="s">
        <v>1946</v>
      </c>
      <c r="C12860">
        <v>179</v>
      </c>
      <c r="D12860">
        <v>194.58</v>
      </c>
      <c r="E12860">
        <v>194.57</v>
      </c>
      <c r="F12860">
        <v>0.01</v>
      </c>
    </row>
    <row r="12861" spans="1:6" x14ac:dyDescent="0.3">
      <c r="A12861" t="str">
        <f>HYPERLINK("https://us2.cloudbeds.com/connect/10074733072513#/reservations/31718930989223?display=MX8C6PTA4&amp;reservation_id=31718930989223", "MX8C6PTA4")</f>
        <v>MX8C6PTA4</v>
      </c>
      <c r="B12861" t="s">
        <v>1945</v>
      </c>
      <c r="C12861">
        <v>139</v>
      </c>
      <c r="D12861">
        <v>151.1</v>
      </c>
      <c r="E12861">
        <v>151.09</v>
      </c>
      <c r="F12861">
        <v>0.01</v>
      </c>
    </row>
    <row r="12862" spans="1:6" x14ac:dyDescent="0.3">
      <c r="A12862" t="str">
        <f>HYPERLINK("https://us2.cloudbeds.com/connect/10074733072513#/reservations/31715104342179?display=MX5DE1Q5Q&amp;reservation_id=31715104342179", "MX5DE1Q5Q")</f>
        <v>MX5DE1Q5Q</v>
      </c>
      <c r="B12862" t="s">
        <v>1923</v>
      </c>
      <c r="C12862">
        <v>298</v>
      </c>
      <c r="D12862">
        <v>323.94</v>
      </c>
      <c r="E12862">
        <v>323.93</v>
      </c>
      <c r="F12862">
        <v>0.01</v>
      </c>
    </row>
    <row r="12863" spans="1:6" x14ac:dyDescent="0.3">
      <c r="A12863" t="str">
        <f>HYPERLINK("https://us2.cloudbeds.com/connect/10074733072513#/reservations/31715058876611?display=MX5C8NYBA&amp;reservation_id=31715058876611", "MX5C8NYBA")</f>
        <v>MX5C8NYBA</v>
      </c>
      <c r="B12863" t="s">
        <v>1946</v>
      </c>
      <c r="C12863">
        <v>169</v>
      </c>
      <c r="D12863">
        <v>183.71</v>
      </c>
      <c r="E12863">
        <v>183.7</v>
      </c>
      <c r="F12863">
        <v>0.01</v>
      </c>
    </row>
    <row r="12864" spans="1:6" x14ac:dyDescent="0.3">
      <c r="A12864" t="str">
        <f>HYPERLINK("https://us2.cloudbeds.com/connect/10074733072513#/reservations/31712122290324?display=MX337GQX2&amp;reservation_id=31712122290324", "MX337GQX2")</f>
        <v>MX337GQX2</v>
      </c>
      <c r="B12864" t="s">
        <v>1940</v>
      </c>
      <c r="C12864">
        <v>252</v>
      </c>
      <c r="D12864">
        <v>273.93</v>
      </c>
      <c r="E12864">
        <v>273.92</v>
      </c>
      <c r="F12864">
        <v>0.01</v>
      </c>
    </row>
    <row r="12865" spans="1:6" x14ac:dyDescent="0.3">
      <c r="A12865" t="str">
        <f>HYPERLINK("https://us2.cloudbeds.com/connect/10074733072513#/reservations/31718951801064?display=MX8CZB08W&amp;reservation_id=31718951801064", "MX8CZB08W")</f>
        <v>MX8CZB08W</v>
      </c>
      <c r="B12865" t="s">
        <v>1715</v>
      </c>
      <c r="C12865">
        <v>149</v>
      </c>
      <c r="D12865">
        <v>161.97</v>
      </c>
      <c r="E12865">
        <v>161.96</v>
      </c>
      <c r="F12865">
        <v>0.01</v>
      </c>
    </row>
    <row r="12866" spans="1:6" x14ac:dyDescent="0.3">
      <c r="A12866" t="str">
        <f>HYPERLINK("https://us2.cloudbeds.com/connect/10074733072513#/reservations/31716170514632?display=MX67M2K7V&amp;reservation_id=31716170514632", "MX67M2K7V")</f>
        <v>MX67M2K7V</v>
      </c>
      <c r="B12866" t="s">
        <v>1925</v>
      </c>
      <c r="C12866">
        <v>199</v>
      </c>
      <c r="D12866">
        <v>216.32</v>
      </c>
      <c r="E12866">
        <v>216.31</v>
      </c>
      <c r="F12866">
        <v>0.01</v>
      </c>
    </row>
    <row r="12867" spans="1:6" x14ac:dyDescent="0.3">
      <c r="A12867" t="str">
        <f>HYPERLINK("https://us2.cloudbeds.com/connect/10074733072513#/reservations/31714600481013?display=MX50X63ZK&amp;reservation_id=31714600481013", "MX50X63ZK")</f>
        <v>MX50X63ZK</v>
      </c>
      <c r="B12867" t="s">
        <v>1937</v>
      </c>
      <c r="C12867">
        <v>89</v>
      </c>
      <c r="D12867">
        <v>96.75</v>
      </c>
      <c r="E12867">
        <v>96.74</v>
      </c>
      <c r="F12867">
        <v>0.01</v>
      </c>
    </row>
    <row r="12868" spans="1:6" x14ac:dyDescent="0.3">
      <c r="A12868" t="str">
        <f>HYPERLINK("https://us2.cloudbeds.com/connect/10074733072513#/reservations/31712130613473?display=MX33EHDFN&amp;reservation_id=31712130613473", "MX33EHDFN")</f>
        <v>MX33EHDFN</v>
      </c>
      <c r="B12868" t="s">
        <v>1940</v>
      </c>
      <c r="C12868">
        <v>252</v>
      </c>
      <c r="D12868">
        <v>273.93</v>
      </c>
      <c r="E12868">
        <v>273.92</v>
      </c>
      <c r="F12868">
        <v>0.01</v>
      </c>
    </row>
    <row r="12869" spans="1:6" x14ac:dyDescent="0.3">
      <c r="A12869" t="str">
        <f>HYPERLINK("https://us2.cloudbeds.com/connect/10074733072513#/reservations/31716632752383?display=MX6JFS1WH&amp;reservation_id=31716632752383", "MX6JFS1WH")</f>
        <v>MX6JFS1WH</v>
      </c>
      <c r="B12869" t="s">
        <v>1939</v>
      </c>
      <c r="C12869">
        <v>109</v>
      </c>
      <c r="D12869">
        <v>118.49</v>
      </c>
      <c r="E12869">
        <v>118.48</v>
      </c>
      <c r="F12869">
        <v>0.01</v>
      </c>
    </row>
    <row r="12870" spans="1:6" x14ac:dyDescent="0.3">
      <c r="A12870" t="str">
        <f>HYPERLINK("https://us2.cloudbeds.com/connect/10074733072513#/reservations/31714595160230?display=MX50DN1QP&amp;reservation_id=31714595160230", "MX50DN1QP")</f>
        <v>MX50DN1QP</v>
      </c>
      <c r="B12870" t="s">
        <v>1868</v>
      </c>
      <c r="C12870">
        <v>278</v>
      </c>
      <c r="D12870">
        <v>302.2</v>
      </c>
      <c r="E12870">
        <v>302.19</v>
      </c>
      <c r="F12870">
        <v>0.01</v>
      </c>
    </row>
    <row r="12871" spans="1:6" x14ac:dyDescent="0.3">
      <c r="A12871" t="str">
        <f>HYPERLINK("https://us2.cloudbeds.com/connect/10074733072513#/reservations/31712464986323?display=MX3BWFR8A&amp;reservation_id=31712464986323", "MX3BWFR8A")</f>
        <v>MX3BWFR8A</v>
      </c>
      <c r="B12871" t="s">
        <v>1935</v>
      </c>
      <c r="C12871">
        <v>318</v>
      </c>
      <c r="D12871">
        <v>345.68</v>
      </c>
      <c r="E12871">
        <v>345.67</v>
      </c>
      <c r="F12871">
        <v>0.01</v>
      </c>
    </row>
    <row r="12872" spans="1:6" x14ac:dyDescent="0.3">
      <c r="A12872" t="str">
        <f>HYPERLINK("https://us2.cloudbeds.com/connect/10074733072513#/reservations/31715477639341?display=MX5MVRB40&amp;reservation_id=31715477639341", "MX5MVRB40")</f>
        <v>MX5MVRB40</v>
      </c>
      <c r="B12872" t="s">
        <v>1941</v>
      </c>
      <c r="C12872">
        <v>109</v>
      </c>
      <c r="D12872">
        <v>118.49</v>
      </c>
      <c r="E12872">
        <v>118.48</v>
      </c>
      <c r="F12872">
        <v>0.01</v>
      </c>
    </row>
    <row r="12873" spans="1:6" x14ac:dyDescent="0.3">
      <c r="A12873" t="str">
        <f>HYPERLINK("https://us2.cloudbeds.com/connect/10074733072513#/reservations/31702523121833?display=MHSYV7Q3D&amp;reservation_id=31702523121833", "MHSYV7Q3D")</f>
        <v>MHSYV7Q3D</v>
      </c>
      <c r="B12873" t="s">
        <v>1947</v>
      </c>
      <c r="C12873">
        <v>209</v>
      </c>
      <c r="D12873">
        <v>227.19</v>
      </c>
      <c r="E12873">
        <v>227.18</v>
      </c>
      <c r="F12873">
        <v>0.01</v>
      </c>
    </row>
    <row r="12874" spans="1:6" x14ac:dyDescent="0.3">
      <c r="A12874" t="str">
        <f>HYPERLINK("https://us2.cloudbeds.com/connect/10074733072513#/reservations/31714572038298?display=MX4WR6YX5&amp;reservation_id=31714572038298", "MX4WR6YX5")</f>
        <v>MX4WR6YX5</v>
      </c>
      <c r="B12874" t="s">
        <v>1941</v>
      </c>
      <c r="C12874">
        <v>109</v>
      </c>
      <c r="D12874">
        <v>118.49</v>
      </c>
      <c r="E12874">
        <v>118.48</v>
      </c>
      <c r="F12874">
        <v>0.01</v>
      </c>
    </row>
    <row r="12875" spans="1:6" x14ac:dyDescent="0.3">
      <c r="A12875" t="str">
        <f>HYPERLINK("https://us2.cloudbeds.com/connect/10074733072513#/reservations/31716259299467?display=MX69UV60E&amp;reservation_id=31716259299467", "MX69UV60E")</f>
        <v>MX69UV60E</v>
      </c>
      <c r="B12875" t="s">
        <v>1923</v>
      </c>
      <c r="C12875">
        <v>473.4</v>
      </c>
      <c r="D12875">
        <v>514.6</v>
      </c>
      <c r="E12875">
        <v>514.59</v>
      </c>
      <c r="F12875">
        <v>0.01</v>
      </c>
    </row>
    <row r="12876" spans="1:6" x14ac:dyDescent="0.3">
      <c r="A12876" t="str">
        <f>HYPERLINK("https://us2.cloudbeds.com/connect/10074733072513#/reservations/31714584101066?display=MX504CAFJ&amp;reservation_id=31714584101066", "MX504CAFJ")</f>
        <v>MX504CAFJ</v>
      </c>
      <c r="B12876" t="s">
        <v>1941</v>
      </c>
      <c r="C12876">
        <v>109</v>
      </c>
      <c r="D12876">
        <v>118.49</v>
      </c>
      <c r="E12876">
        <v>118.48</v>
      </c>
      <c r="F12876">
        <v>0.01</v>
      </c>
    </row>
    <row r="12877" spans="1:6" x14ac:dyDescent="0.3">
      <c r="A12877" t="str">
        <f>HYPERLINK("https://us2.cloudbeds.com/connect/10074733072513#/reservations/31711658774687?display=MX2ZCYQBM&amp;reservation_id=31711658774687", "MX2ZCYQBM")</f>
        <v>MX2ZCYQBM</v>
      </c>
      <c r="B12877" t="s">
        <v>1948</v>
      </c>
      <c r="C12877">
        <v>504</v>
      </c>
      <c r="D12877">
        <v>547.86</v>
      </c>
      <c r="E12877">
        <v>547.85</v>
      </c>
      <c r="F12877">
        <v>0.01</v>
      </c>
    </row>
    <row r="12878" spans="1:6" x14ac:dyDescent="0.3">
      <c r="A12878" t="str">
        <f>HYPERLINK("https://us2.cloudbeds.com/connect/10074733072513#/reservations/31716248137944?display=MX69YHJMH&amp;reservation_id=31716248137944", "MX69YHJMH")</f>
        <v>MX69YHJMH</v>
      </c>
      <c r="B12878" t="s">
        <v>1923</v>
      </c>
      <c r="C12878">
        <v>189</v>
      </c>
      <c r="D12878">
        <v>205.45</v>
      </c>
      <c r="E12878">
        <v>205.44</v>
      </c>
      <c r="F12878">
        <v>0.01</v>
      </c>
    </row>
    <row r="12879" spans="1:6" x14ac:dyDescent="0.3">
      <c r="A12879" t="str">
        <f>HYPERLINK("https://us2.cloudbeds.com/connect/10074733072513#/reservations/31702621143225?display=MHSZETCXJ&amp;reservation_id=31702621143225", "MHSZETCXJ")</f>
        <v>MHSZETCXJ</v>
      </c>
      <c r="B12879" t="s">
        <v>1947</v>
      </c>
      <c r="C12879">
        <v>199</v>
      </c>
      <c r="D12879">
        <v>216.32</v>
      </c>
      <c r="E12879">
        <v>216.31</v>
      </c>
      <c r="F12879">
        <v>0.01</v>
      </c>
    </row>
    <row r="12880" spans="1:6" x14ac:dyDescent="0.3">
      <c r="A12880" t="str">
        <f>HYPERLINK("https://us2.cloudbeds.com/connect/10074733072513#/reservations/31712919892182?display=MX3NK28AB&amp;reservation_id=31712919892182", "MX3NK28AB")</f>
        <v>MX3NK28AB</v>
      </c>
      <c r="B12880" t="s">
        <v>1940</v>
      </c>
      <c r="C12880">
        <v>169</v>
      </c>
      <c r="D12880">
        <v>183.71</v>
      </c>
      <c r="E12880">
        <v>183.7</v>
      </c>
      <c r="F12880">
        <v>0.01</v>
      </c>
    </row>
    <row r="12881" spans="1:6" x14ac:dyDescent="0.3">
      <c r="A12881" t="str">
        <f>HYPERLINK("https://us2.cloudbeds.com/connect/10074733072513#/reservations/31715491438818?display=MX5NAFAQW&amp;reservation_id=31715491438818", "MX5NAFAQW")</f>
        <v>MX5NAFAQW</v>
      </c>
      <c r="B12881" t="s">
        <v>1941</v>
      </c>
      <c r="C12881">
        <v>109</v>
      </c>
      <c r="D12881">
        <v>118.49</v>
      </c>
      <c r="E12881">
        <v>118.48</v>
      </c>
      <c r="F12881">
        <v>0.01</v>
      </c>
    </row>
    <row r="12882" spans="1:6" x14ac:dyDescent="0.3">
      <c r="A12882" t="str">
        <f>HYPERLINK("https://us2.cloudbeds.com/connect/10074733072513#/reservations/31714559385796?display=MX4WGHJ30&amp;reservation_id=31714559385796", "MX4WGHJ30")</f>
        <v>MX4WGHJ30</v>
      </c>
      <c r="B12882" t="s">
        <v>1539</v>
      </c>
      <c r="C12882">
        <v>378</v>
      </c>
      <c r="D12882">
        <v>410.9</v>
      </c>
      <c r="E12882">
        <v>410.89</v>
      </c>
      <c r="F12882">
        <v>0.01</v>
      </c>
    </row>
    <row r="12883" spans="1:6" x14ac:dyDescent="0.3">
      <c r="A12883" t="str">
        <f>HYPERLINK("https://us2.cloudbeds.com/connect/10074733072513#/reservations/31716937199832?display=MX6R8XP1Q&amp;reservation_id=31716937199832", "MX6R8XP1Q")</f>
        <v>MX6R8XP1Q</v>
      </c>
      <c r="B12883" t="s">
        <v>1949</v>
      </c>
      <c r="C12883">
        <v>109</v>
      </c>
      <c r="D12883">
        <v>118.49</v>
      </c>
      <c r="E12883">
        <v>118.48</v>
      </c>
      <c r="F12883">
        <v>0.01</v>
      </c>
    </row>
    <row r="12884" spans="1:6" x14ac:dyDescent="0.3">
      <c r="A12884" t="str">
        <f>HYPERLINK("https://us2.cloudbeds.com/connect/10074733072513#/reservations/31710941450393?display=MX261Q6BS&amp;reservation_id=31710941450393", "MX261Q6BS")</f>
        <v>MX261Q6BS</v>
      </c>
      <c r="B12884" t="s">
        <v>1697</v>
      </c>
      <c r="C12884">
        <v>318</v>
      </c>
      <c r="D12884">
        <v>345.68</v>
      </c>
      <c r="E12884">
        <v>345.67</v>
      </c>
      <c r="F12884">
        <v>0.01</v>
      </c>
    </row>
    <row r="12885" spans="1:6" x14ac:dyDescent="0.3">
      <c r="A12885" t="str">
        <f>HYPERLINK("https://us2.cloudbeds.com/connect/10074733072513#/reservations/31702630703315?display=MHSZMVDBA&amp;reservation_id=31702630703315", "MHSZMVDBA")</f>
        <v>MHSZMVDBA</v>
      </c>
      <c r="B12885" t="s">
        <v>1947</v>
      </c>
      <c r="C12885">
        <v>209</v>
      </c>
      <c r="D12885">
        <v>227.19</v>
      </c>
      <c r="E12885">
        <v>227.18</v>
      </c>
      <c r="F12885">
        <v>0.01</v>
      </c>
    </row>
    <row r="12886" spans="1:6" x14ac:dyDescent="0.3">
      <c r="A12886" t="str">
        <f>HYPERLINK("https://us2.cloudbeds.com/connect/10074733072513#/reservations/31710954676473?display=MX26CV7H5&amp;reservation_id=31710954676473", "MX26CV7H5")</f>
        <v>MX26CV7H5</v>
      </c>
      <c r="B12886" t="s">
        <v>1697</v>
      </c>
      <c r="C12886">
        <v>318</v>
      </c>
      <c r="D12886">
        <v>345.68</v>
      </c>
      <c r="E12886">
        <v>345.67</v>
      </c>
      <c r="F12886">
        <v>0.01</v>
      </c>
    </row>
    <row r="12887" spans="1:6" x14ac:dyDescent="0.3">
      <c r="A12887" t="str">
        <f>HYPERLINK("https://us2.cloudbeds.com/connect/10074733072513#/reservations/31717223944387?display=MX71JBS0Z&amp;reservation_id=31717223944387", "MX71JBS0Z")</f>
        <v>MX71JBS0Z</v>
      </c>
      <c r="B12887" t="s">
        <v>1940</v>
      </c>
      <c r="C12887">
        <v>169</v>
      </c>
      <c r="D12887">
        <v>183.71</v>
      </c>
      <c r="E12887">
        <v>183.7</v>
      </c>
      <c r="F12887">
        <v>0.01</v>
      </c>
    </row>
    <row r="12888" spans="1:6" x14ac:dyDescent="0.3">
      <c r="A12888" t="str">
        <f>HYPERLINK("https://us2.cloudbeds.com/connect/10074733072513#/reservations/31716858163424?display=MX6P7UF04&amp;reservation_id=31716858163424", "MX6P7UF04")</f>
        <v>MX6P7UF04</v>
      </c>
      <c r="B12888" t="s">
        <v>1945</v>
      </c>
      <c r="C12888">
        <v>129</v>
      </c>
      <c r="D12888">
        <v>140.22999999999999</v>
      </c>
      <c r="E12888">
        <v>140.22</v>
      </c>
      <c r="F12888">
        <v>0.01</v>
      </c>
    </row>
    <row r="12889" spans="1:6" x14ac:dyDescent="0.3">
      <c r="A12889" t="str">
        <f>HYPERLINK("https://us2.cloudbeds.com/connect/10074733072513#/reservations/31718890057875?display=MX8B58U48&amp;reservation_id=31718890057875", "MX8B58U48")</f>
        <v>MX8B58U48</v>
      </c>
      <c r="B12889" t="s">
        <v>1945</v>
      </c>
      <c r="C12889">
        <v>109</v>
      </c>
      <c r="D12889">
        <v>118.49</v>
      </c>
      <c r="E12889">
        <v>118.48</v>
      </c>
      <c r="F12889">
        <v>0.01</v>
      </c>
    </row>
    <row r="12890" spans="1:6" x14ac:dyDescent="0.3">
      <c r="A12890" t="str">
        <f>HYPERLINK("https://us2.cloudbeds.com/connect/10074733072513#/reservations/31717168697550?display=MX705PHA5&amp;reservation_id=31717168697550", "MX705PHA5")</f>
        <v>MX705PHA5</v>
      </c>
      <c r="B12890" t="s">
        <v>1940</v>
      </c>
      <c r="C12890">
        <v>169</v>
      </c>
      <c r="D12890">
        <v>183.71</v>
      </c>
      <c r="E12890">
        <v>183.7</v>
      </c>
      <c r="F12890">
        <v>0.01</v>
      </c>
    </row>
    <row r="12891" spans="1:6" x14ac:dyDescent="0.3">
      <c r="A12891" t="str">
        <f>HYPERLINK("https://us2.cloudbeds.com/connect/10074733072513#/reservations/31715130310909?display=MX5E2VDJ0&amp;reservation_id=31715130310909", "MX5E2VDJ0")</f>
        <v>MX5E2VDJ0</v>
      </c>
      <c r="B12891" t="s">
        <v>1880</v>
      </c>
      <c r="C12891">
        <v>209</v>
      </c>
      <c r="D12891">
        <v>227.19</v>
      </c>
      <c r="E12891">
        <v>227.18</v>
      </c>
      <c r="F12891">
        <v>0.01</v>
      </c>
    </row>
    <row r="12892" spans="1:6" x14ac:dyDescent="0.3">
      <c r="A12892" t="str">
        <f>HYPERLINK("https://us2.cloudbeds.com/connect/10074733072513#/reservations/31715148763324?display=MX5EXGSV3&amp;reservation_id=31715148763324", "MX5EXGSV3")</f>
        <v>MX5EXGSV3</v>
      </c>
      <c r="B12892" t="s">
        <v>1949</v>
      </c>
      <c r="C12892">
        <v>139</v>
      </c>
      <c r="D12892">
        <v>151.1</v>
      </c>
      <c r="E12892">
        <v>151.09</v>
      </c>
      <c r="F12892">
        <v>0.01</v>
      </c>
    </row>
    <row r="12893" spans="1:6" x14ac:dyDescent="0.3">
      <c r="A12893" t="str">
        <f>HYPERLINK("https://us2.cloudbeds.com/connect/10074733072513#/reservations/31712501194979?display=MX3CU0CNA&amp;reservation_id=31712501194979", "MX3CU0CNA")</f>
        <v>MX3CU0CNA</v>
      </c>
      <c r="B12893" t="s">
        <v>1882</v>
      </c>
      <c r="C12893">
        <v>139</v>
      </c>
      <c r="D12893">
        <v>151.1</v>
      </c>
      <c r="E12893">
        <v>151.09</v>
      </c>
      <c r="F12893">
        <v>0.01</v>
      </c>
    </row>
    <row r="12894" spans="1:6" x14ac:dyDescent="0.3">
      <c r="A12894" t="str">
        <f>HYPERLINK("https://us2.cloudbeds.com/connect/10074733072513#/reservations/31714713485546?display=MX53EFKRD&amp;reservation_id=31714713485546", "MX53EFKRD")</f>
        <v>MX53EFKRD</v>
      </c>
      <c r="B12894" t="s">
        <v>1816</v>
      </c>
      <c r="C12894">
        <v>378</v>
      </c>
      <c r="D12894">
        <v>410.9</v>
      </c>
      <c r="E12894">
        <v>410.89</v>
      </c>
      <c r="F12894">
        <v>0.01</v>
      </c>
    </row>
    <row r="12895" spans="1:6" x14ac:dyDescent="0.3">
      <c r="A12895" t="str">
        <f>HYPERLINK("https://us2.cloudbeds.com/connect/10074733072513#/reservations/31716150263937?display=MX67503XH&amp;reservation_id=31716150263937", "MX67503XH")</f>
        <v>MX67503XH</v>
      </c>
      <c r="B12895" t="s">
        <v>1925</v>
      </c>
      <c r="C12895">
        <v>209</v>
      </c>
      <c r="D12895">
        <v>227.19</v>
      </c>
      <c r="E12895">
        <v>227.18</v>
      </c>
      <c r="F12895">
        <v>0.01</v>
      </c>
    </row>
    <row r="12896" spans="1:6" x14ac:dyDescent="0.3">
      <c r="A12896" t="str">
        <f>HYPERLINK("https://us2.cloudbeds.com/connect/10074733072513#/reservations/31713438265567?display=MX43S5ZUZ&amp;reservation_id=31713438265567", "MX43S5ZUZ")</f>
        <v>MX43S5ZUZ</v>
      </c>
      <c r="B12896" t="s">
        <v>1952</v>
      </c>
      <c r="C12896">
        <v>109</v>
      </c>
      <c r="D12896">
        <v>118.49</v>
      </c>
      <c r="E12896">
        <v>118.48</v>
      </c>
      <c r="F12896">
        <v>0.01</v>
      </c>
    </row>
    <row r="12897" spans="1:6" x14ac:dyDescent="0.3">
      <c r="A12897" t="str">
        <f>HYPERLINK("https://us2.cloudbeds.com/connect/10074733072513#/reservations/31718864175299?display=MX8AGEMRP&amp;reservation_id=31718864175299", "MX8AGEMRP")</f>
        <v>MX8AGEMRP</v>
      </c>
      <c r="B12897" t="s">
        <v>1945</v>
      </c>
      <c r="C12897">
        <v>73</v>
      </c>
      <c r="D12897">
        <v>79.36</v>
      </c>
      <c r="E12897">
        <v>79.349999999999994</v>
      </c>
      <c r="F12897">
        <v>0.01</v>
      </c>
    </row>
    <row r="12898" spans="1:6" x14ac:dyDescent="0.3">
      <c r="A12898" t="str">
        <f>HYPERLINK("https://us2.cloudbeds.com/connect/10074733072513#/reservations/31716867092629?display=MX6PFEUF3&amp;reservation_id=31716867092629", "MX6PFEUF3")</f>
        <v>MX6PFEUF3</v>
      </c>
      <c r="B12898" t="s">
        <v>1945</v>
      </c>
      <c r="C12898">
        <v>73</v>
      </c>
      <c r="D12898">
        <v>79.36</v>
      </c>
      <c r="E12898">
        <v>79.349999999999994</v>
      </c>
      <c r="F12898">
        <v>0.01</v>
      </c>
    </row>
    <row r="12899" spans="1:6" x14ac:dyDescent="0.3">
      <c r="A12899" t="str">
        <f>HYPERLINK("https://us2.cloudbeds.com/connect/10074733072513#/reservations/31716817826005?display=MX6Z6U073&amp;reservation_id=31716817826005", "MX6Z6U073")</f>
        <v>MX6Z6U073</v>
      </c>
      <c r="B12899" t="s">
        <v>1945</v>
      </c>
      <c r="C12899">
        <v>109</v>
      </c>
      <c r="D12899">
        <v>118.49</v>
      </c>
      <c r="E12899">
        <v>118.48</v>
      </c>
      <c r="F12899">
        <v>0.01</v>
      </c>
    </row>
    <row r="12900" spans="1:6" x14ac:dyDescent="0.3">
      <c r="A12900" t="str">
        <f>HYPERLINK("https://us2.cloudbeds.com/connect/10074733072513#/reservations/31715440824466?display=MX5M0PTWZ&amp;reservation_id=31715440824466", "MX5M0PTWZ")</f>
        <v>MX5M0PTWZ</v>
      </c>
      <c r="B12900" t="s">
        <v>1950</v>
      </c>
      <c r="C12900">
        <v>336</v>
      </c>
      <c r="D12900">
        <v>365.24</v>
      </c>
      <c r="E12900">
        <v>365.23</v>
      </c>
      <c r="F12900">
        <v>0.01</v>
      </c>
    </row>
    <row r="12901" spans="1:6" x14ac:dyDescent="0.3">
      <c r="A12901" t="str">
        <f>HYPERLINK("https://us2.cloudbeds.com/connect/10074733072513#/reservations/31715998748868?display=MX6397W8Q&amp;reservation_id=31715998748868", "MX6397W8Q")</f>
        <v>MX6397W8Q</v>
      </c>
      <c r="B12901" t="s">
        <v>1925</v>
      </c>
      <c r="C12901">
        <v>249</v>
      </c>
      <c r="D12901">
        <v>270.67</v>
      </c>
      <c r="E12901">
        <v>270.66000000000003</v>
      </c>
      <c r="F12901">
        <v>0.01</v>
      </c>
    </row>
    <row r="12902" spans="1:6" x14ac:dyDescent="0.3">
      <c r="A12902" t="str">
        <f>HYPERLINK("https://us2.cloudbeds.com/connect/10074733072513#/reservations/31715104346261?display=MX5DE1TUG&amp;reservation_id=31715104346261", "MX5DE1TUG")</f>
        <v>MX5DE1TUG</v>
      </c>
      <c r="B12902" t="s">
        <v>1925</v>
      </c>
      <c r="C12902">
        <v>183.76</v>
      </c>
      <c r="D12902">
        <v>199.76</v>
      </c>
      <c r="E12902">
        <v>199.75</v>
      </c>
      <c r="F12902">
        <v>0.01</v>
      </c>
    </row>
    <row r="12903" spans="1:6" x14ac:dyDescent="0.3">
      <c r="A12903" t="str">
        <f>HYPERLINK("https://us2.cloudbeds.com/connect/10074733072513#/reservations/31715864408276?display=MX5WRVZRP&amp;reservation_id=31715864408276", "MX5WRVZRP")</f>
        <v>MX5WRVZRP</v>
      </c>
      <c r="B12903" t="s">
        <v>1768</v>
      </c>
      <c r="C12903">
        <v>209</v>
      </c>
      <c r="D12903">
        <v>227.19</v>
      </c>
      <c r="E12903">
        <v>227.18</v>
      </c>
      <c r="F12903">
        <v>0.01</v>
      </c>
    </row>
    <row r="12904" spans="1:6" x14ac:dyDescent="0.3">
      <c r="A12904" t="str">
        <f>HYPERLINK("https://us2.cloudbeds.com/connect/10074733072513#/reservations/31715125416075?display=MX5DVR6PN&amp;reservation_id=31715125416075", "MX5DVR6PN")</f>
        <v>MX5DVR6PN</v>
      </c>
      <c r="B12904" t="s">
        <v>1925</v>
      </c>
      <c r="C12904">
        <v>169</v>
      </c>
      <c r="D12904">
        <v>183.71</v>
      </c>
      <c r="E12904">
        <v>183.7</v>
      </c>
      <c r="F12904">
        <v>0.01</v>
      </c>
    </row>
    <row r="12905" spans="1:6" x14ac:dyDescent="0.3">
      <c r="A12905" t="str">
        <f>HYPERLINK("https://us2.cloudbeds.com/connect/10074733072513#/reservations/31717170868457?display=MX707JUQ7&amp;reservation_id=31717170868457", "MX707JUQ7")</f>
        <v>MX707JUQ7</v>
      </c>
      <c r="B12905" t="s">
        <v>1826</v>
      </c>
      <c r="C12905">
        <v>109</v>
      </c>
      <c r="D12905">
        <v>118.49</v>
      </c>
      <c r="E12905">
        <v>118.48</v>
      </c>
      <c r="F12905">
        <v>0.01</v>
      </c>
    </row>
    <row r="12906" spans="1:6" x14ac:dyDescent="0.3">
      <c r="A12906" t="str">
        <f>HYPERLINK("https://us2.cloudbeds.com/connect/10074733072513#/reservations/31717215224009?display=MX71C06AS&amp;reservation_id=31717215224009", "MX71C06AS")</f>
        <v>MX71C06AS</v>
      </c>
      <c r="B12906" t="s">
        <v>1826</v>
      </c>
      <c r="C12906">
        <v>109</v>
      </c>
      <c r="D12906">
        <v>118.49</v>
      </c>
      <c r="E12906">
        <v>118.48</v>
      </c>
      <c r="F12906">
        <v>0.01</v>
      </c>
    </row>
    <row r="12907" spans="1:6" x14ac:dyDescent="0.3">
      <c r="A12907" t="str">
        <f>HYPERLINK("https://us2.cloudbeds.com/connect/10074733072513#/reservations/31716662022366?display=MX6K7HHRN&amp;reservation_id=31716662022366", "MX6K7HHRN")</f>
        <v>MX6K7HHRN</v>
      </c>
      <c r="B12907" t="s">
        <v>1826</v>
      </c>
      <c r="C12907">
        <v>149</v>
      </c>
      <c r="D12907">
        <v>161.97</v>
      </c>
      <c r="E12907">
        <v>161.96</v>
      </c>
      <c r="F12907">
        <v>0.01</v>
      </c>
    </row>
    <row r="12908" spans="1:6" x14ac:dyDescent="0.3">
      <c r="A12908" t="str">
        <f>HYPERLINK("https://us2.cloudbeds.com/connect/10074733072513#/reservations/31715452907765?display=MX5MAW4PA&amp;reservation_id=31715452907765", "MX5MAW4PA")</f>
        <v>MX5MAW4PA</v>
      </c>
      <c r="B12908" t="s">
        <v>1950</v>
      </c>
      <c r="C12908">
        <v>336</v>
      </c>
      <c r="D12908">
        <v>365.24</v>
      </c>
      <c r="E12908">
        <v>365.23</v>
      </c>
      <c r="F12908">
        <v>0.01</v>
      </c>
    </row>
    <row r="12909" spans="1:6" x14ac:dyDescent="0.3">
      <c r="A12909" t="str">
        <f>HYPERLINK("https://us2.cloudbeds.com/connect/10074733072513#/reservations/31717852987531?display=MX7HYPTP6&amp;reservation_id=31717852987531", "MX7HYPTP6")</f>
        <v>MX7HYPTP6</v>
      </c>
      <c r="B12909" t="s">
        <v>1939</v>
      </c>
      <c r="C12909">
        <v>109</v>
      </c>
      <c r="D12909">
        <v>118.49</v>
      </c>
      <c r="E12909">
        <v>118.48</v>
      </c>
      <c r="F12909">
        <v>0.01</v>
      </c>
    </row>
    <row r="12910" spans="1:6" x14ac:dyDescent="0.3">
      <c r="A12910" t="str">
        <f>HYPERLINK("https://us2.cloudbeds.com/connect/10074733072513#/reservations/31716648050862?display=MX6JSZP5Q&amp;reservation_id=31716648050862", "MX6JSZP5Q")</f>
        <v>MX6JSZP5Q</v>
      </c>
      <c r="B12910" t="s">
        <v>1826</v>
      </c>
      <c r="C12910">
        <v>109</v>
      </c>
      <c r="D12910">
        <v>118.49</v>
      </c>
      <c r="E12910">
        <v>118.48</v>
      </c>
      <c r="F12910">
        <v>0.01</v>
      </c>
    </row>
    <row r="12911" spans="1:6" x14ac:dyDescent="0.3">
      <c r="A12911" t="str">
        <f>HYPERLINK("https://us2.cloudbeds.com/connect/10074733072513#/reservations/31714856956038?display=MX573EU02&amp;reservation_id=31714856956038", "MX573EU02")</f>
        <v>MX573EU02</v>
      </c>
      <c r="B12911" t="s">
        <v>1938</v>
      </c>
      <c r="C12911">
        <v>316.10000000000002</v>
      </c>
      <c r="D12911">
        <v>343.61</v>
      </c>
      <c r="E12911">
        <v>343.6</v>
      </c>
      <c r="F12911">
        <v>0.01</v>
      </c>
    </row>
    <row r="12912" spans="1:6" x14ac:dyDescent="0.3">
      <c r="A12912" t="str">
        <f>HYPERLINK("https://us2.cloudbeds.com/connect/10074733072513#/reservations/31713100816599?display=MX3S7KZEE&amp;reservation_id=31713100816599", "MX3S7KZEE")</f>
        <v>MX3S7KZEE</v>
      </c>
      <c r="B12912" t="s">
        <v>1853</v>
      </c>
      <c r="C12912">
        <v>438</v>
      </c>
      <c r="D12912">
        <v>476.12</v>
      </c>
      <c r="E12912">
        <v>476.11</v>
      </c>
      <c r="F12912">
        <v>0.01</v>
      </c>
    </row>
    <row r="12913" spans="1:6" x14ac:dyDescent="0.3">
      <c r="A12913" t="str">
        <f>HYPERLINK("https://us2.cloudbeds.com/connect/10074733072513#/reservations/31717189308565?display=MX70N51SC&amp;reservation_id=31717189308565", "MX70N51SC")</f>
        <v>MX70N51SC</v>
      </c>
      <c r="B12913" t="s">
        <v>1939</v>
      </c>
      <c r="C12913">
        <v>109</v>
      </c>
      <c r="D12913">
        <v>118.49</v>
      </c>
      <c r="E12913">
        <v>118.48</v>
      </c>
      <c r="F12913">
        <v>0.01</v>
      </c>
    </row>
    <row r="12914" spans="1:6" x14ac:dyDescent="0.3">
      <c r="A12914" t="str">
        <f>HYPERLINK("https://us2.cloudbeds.com/connect/10074733072513#/reservations/31716427497641?display=MX6E7PHVS&amp;reservation_id=31716427497641", "MX6E7PHVS")</f>
        <v>MX6E7PHVS</v>
      </c>
      <c r="B12914" t="s">
        <v>1939</v>
      </c>
      <c r="C12914">
        <v>109</v>
      </c>
      <c r="D12914">
        <v>118.49</v>
      </c>
      <c r="E12914">
        <v>118.48</v>
      </c>
      <c r="F12914">
        <v>0.01</v>
      </c>
    </row>
    <row r="12915" spans="1:6" x14ac:dyDescent="0.3">
      <c r="A12915" t="str">
        <f>HYPERLINK("https://us2.cloudbeds.com/connect/10074733072513#/reservations/31713048400031?display=MX3QTE5MJ&amp;reservation_id=31713048400031", "MX3QTE5MJ")</f>
        <v>MX3QTE5MJ</v>
      </c>
      <c r="B12915" t="s">
        <v>1853</v>
      </c>
      <c r="C12915">
        <v>169</v>
      </c>
      <c r="D12915">
        <v>183.71</v>
      </c>
      <c r="E12915">
        <v>183.7</v>
      </c>
      <c r="F12915">
        <v>0.01</v>
      </c>
    </row>
    <row r="12916" spans="1:6" x14ac:dyDescent="0.3">
      <c r="A12916" t="str">
        <f>HYPERLINK("https://us2.cloudbeds.com/connect/10074733072513#/reservations/31714121568402?display=MX4YABYU8&amp;reservation_id=31714121568402", "MX4YABYU8")</f>
        <v>MX4YABYU8</v>
      </c>
      <c r="B12916" t="s">
        <v>1731</v>
      </c>
      <c r="C12916">
        <v>209</v>
      </c>
      <c r="D12916">
        <v>227.19</v>
      </c>
      <c r="E12916">
        <v>227.18</v>
      </c>
      <c r="F12916">
        <v>0.01</v>
      </c>
    </row>
    <row r="12917" spans="1:6" x14ac:dyDescent="0.3">
      <c r="A12917" t="str">
        <f>HYPERLINK("https://us2.cloudbeds.com/connect/10074733072513#/reservations/31711345381568?display=MX2G4E3NT&amp;reservation_id=31711345381568", "MX2G4E3NT")</f>
        <v>MX2G4E3NT</v>
      </c>
      <c r="B12917" t="s">
        <v>1880</v>
      </c>
      <c r="C12917">
        <v>149</v>
      </c>
      <c r="D12917">
        <v>161.97</v>
      </c>
      <c r="E12917">
        <v>161.96</v>
      </c>
      <c r="F12917">
        <v>0.01</v>
      </c>
    </row>
    <row r="12918" spans="1:6" x14ac:dyDescent="0.3">
      <c r="A12918" t="str">
        <f>HYPERLINK("https://us2.cloudbeds.com/connect/10074733072513#/reservations/31717852983424?display=MX7H996A1&amp;reservation_id=31717852983424", "MX7H996A1")</f>
        <v>MX7H996A1</v>
      </c>
      <c r="B12918" t="s">
        <v>1939</v>
      </c>
      <c r="C12918">
        <v>218</v>
      </c>
      <c r="D12918">
        <v>236.98</v>
      </c>
      <c r="E12918">
        <v>236.97</v>
      </c>
      <c r="F12918">
        <v>0.01</v>
      </c>
    </row>
    <row r="12919" spans="1:6" x14ac:dyDescent="0.3">
      <c r="A12919" t="str">
        <f>HYPERLINK("https://us2.cloudbeds.com/connect/10074733072513#/reservations/31716453212305?display=MX6ETF323&amp;reservation_id=31716453212305", "MX6ETF323")</f>
        <v>MX6ETF323</v>
      </c>
      <c r="B12919" t="s">
        <v>1939</v>
      </c>
      <c r="C12919">
        <v>109</v>
      </c>
      <c r="D12919">
        <v>118.49</v>
      </c>
      <c r="E12919">
        <v>118.48</v>
      </c>
      <c r="F12919">
        <v>0.01</v>
      </c>
    </row>
    <row r="12920" spans="1:6" x14ac:dyDescent="0.3">
      <c r="A12920" t="str">
        <f>HYPERLINK("https://us2.cloudbeds.com/connect/10074733072513#/reservations/31713628831945?display=MX48NSX0F&amp;reservation_id=31713628831945", "MX48NSX0F")</f>
        <v>MX48NSX0F</v>
      </c>
      <c r="B12920" t="s">
        <v>1902</v>
      </c>
      <c r="C12920">
        <v>109</v>
      </c>
      <c r="D12920">
        <v>118.49</v>
      </c>
      <c r="E12920">
        <v>118.48</v>
      </c>
      <c r="F12920">
        <v>0.01</v>
      </c>
    </row>
    <row r="12921" spans="1:6" x14ac:dyDescent="0.3">
      <c r="A12921" t="str">
        <f>HYPERLINK("https://us2.cloudbeds.com/connect/10074733072513#/reservations/31715832008884?display=MX5W0Y6AV&amp;reservation_id=31715832008884", "MX5W0Y6AV")</f>
        <v>MX5W0Y6AV</v>
      </c>
      <c r="B12921" t="s">
        <v>1914</v>
      </c>
      <c r="C12921">
        <v>199</v>
      </c>
      <c r="D12921">
        <v>216.32</v>
      </c>
      <c r="E12921">
        <v>216.31</v>
      </c>
      <c r="F12921">
        <v>0.01</v>
      </c>
    </row>
    <row r="12922" spans="1:6" x14ac:dyDescent="0.3">
      <c r="A12922" t="str">
        <f>HYPERLINK("https://us2.cloudbeds.com/connect/10074733072513#/reservations/31715521736853?display=MX5Z30DN8&amp;reservation_id=31715521736853", "MX5Z30DN8")</f>
        <v>MX5Z30DN8</v>
      </c>
      <c r="B12922" t="s">
        <v>1950</v>
      </c>
      <c r="C12922">
        <v>250</v>
      </c>
      <c r="D12922">
        <v>271.76</v>
      </c>
      <c r="E12922">
        <v>271.75</v>
      </c>
      <c r="F12922">
        <v>0.01</v>
      </c>
    </row>
    <row r="12923" spans="1:6" x14ac:dyDescent="0.3">
      <c r="A12923" t="str">
        <f>HYPERLINK("https://us2.cloudbeds.com/connect/10074733072513#/reservations/31715392012489?display=MX5KPKY7U&amp;reservation_id=31715392012489", "MX5KPKY7U")</f>
        <v>MX5KPKY7U</v>
      </c>
      <c r="B12923" t="s">
        <v>1950</v>
      </c>
      <c r="C12923">
        <v>258</v>
      </c>
      <c r="D12923">
        <v>280.45999999999998</v>
      </c>
      <c r="E12923">
        <v>280.45</v>
      </c>
      <c r="F12923">
        <v>0.01</v>
      </c>
    </row>
    <row r="12924" spans="1:6" x14ac:dyDescent="0.3">
      <c r="A12924" t="str">
        <f>HYPERLINK("https://us2.cloudbeds.com/connect/10074733072513#/reservations/31714719166598?display=MX53J8NJG&amp;reservation_id=31714719166598", "MX53J8NJG")</f>
        <v>MX53J8NJG</v>
      </c>
      <c r="B12924" t="s">
        <v>1816</v>
      </c>
      <c r="C12924">
        <v>247.96</v>
      </c>
      <c r="D12924">
        <v>269.54000000000002</v>
      </c>
      <c r="E12924">
        <v>269.52999999999997</v>
      </c>
      <c r="F12924">
        <v>0.01</v>
      </c>
    </row>
    <row r="12925" spans="1:6" x14ac:dyDescent="0.3">
      <c r="A12925" t="str">
        <f>HYPERLINK("https://us2.cloudbeds.com/connect/10074733072513#/reservations/31714785947779?display=MX559XWWY&amp;reservation_id=31714785947779", "MX559XWWY")</f>
        <v>MX559XWWY</v>
      </c>
      <c r="B12925" t="s">
        <v>1938</v>
      </c>
      <c r="C12925">
        <v>139</v>
      </c>
      <c r="D12925">
        <v>151.1</v>
      </c>
      <c r="E12925">
        <v>151.09</v>
      </c>
      <c r="F12925">
        <v>0.01</v>
      </c>
    </row>
    <row r="12926" spans="1:6" x14ac:dyDescent="0.3">
      <c r="A12926" t="str">
        <f>HYPERLINK("https://us2.cloudbeds.com/connect/10074733072513#/reservations/31714838040713?display=MX56KGXXD&amp;reservation_id=31714838040713", "MX56KGXXD")</f>
        <v>MX56KGXXD</v>
      </c>
      <c r="B12926" t="s">
        <v>1938</v>
      </c>
      <c r="C12926">
        <v>129</v>
      </c>
      <c r="D12926">
        <v>140.22999999999999</v>
      </c>
      <c r="E12926">
        <v>140.22</v>
      </c>
      <c r="F12926">
        <v>0.01</v>
      </c>
    </row>
    <row r="12927" spans="1:6" x14ac:dyDescent="0.3">
      <c r="A12927" t="str">
        <f>HYPERLINK("https://us2.cloudbeds.com/connect/10074733072513#/reservations/31712732442752?display=MX3XR02ZD&amp;reservation_id=31712732442752", "MX3XR02ZD")</f>
        <v>MX3XR02ZD</v>
      </c>
      <c r="B12927" t="s">
        <v>1853</v>
      </c>
      <c r="C12927">
        <v>298</v>
      </c>
      <c r="D12927">
        <v>323.94</v>
      </c>
      <c r="E12927">
        <v>323.93</v>
      </c>
      <c r="F12927">
        <v>0.01</v>
      </c>
    </row>
    <row r="12928" spans="1:6" x14ac:dyDescent="0.3">
      <c r="A12928" t="str">
        <f>HYPERLINK("https://us2.cloudbeds.com/connect/10074733072513#/reservations/31713576304848?display=MX47CXTP8&amp;reservation_id=31713576304848", "MX47CXTP8")</f>
        <v>MX47CXTP8</v>
      </c>
      <c r="B12928" t="s">
        <v>1902</v>
      </c>
      <c r="C12928">
        <v>149</v>
      </c>
      <c r="D12928">
        <v>161.97</v>
      </c>
      <c r="E12928">
        <v>161.96</v>
      </c>
      <c r="F12928">
        <v>0.01</v>
      </c>
    </row>
    <row r="12929" spans="1:6" x14ac:dyDescent="0.3">
      <c r="A12929" t="str">
        <f>HYPERLINK("https://us2.cloudbeds.com/connect/10074733072513#/reservations/31717986705573?display=MX7Y2HQH2&amp;reservation_id=31717986705573", "MX7Y2HQH2")</f>
        <v>MX7Y2HQH2</v>
      </c>
      <c r="B12929" t="s">
        <v>1938</v>
      </c>
      <c r="C12929">
        <v>159</v>
      </c>
      <c r="D12929">
        <v>172.84</v>
      </c>
      <c r="E12929">
        <v>172.83</v>
      </c>
      <c r="F12929">
        <v>0.01</v>
      </c>
    </row>
    <row r="12930" spans="1:6" x14ac:dyDescent="0.3">
      <c r="A12930" t="str">
        <f>HYPERLINK("https://us2.cloudbeds.com/connect/10074733072513#/reservations/31715601125553?display=MX5Q3VH8E&amp;reservation_id=31715601125553", "MX5Q3VH8E")</f>
        <v>MX5Q3VH8E</v>
      </c>
      <c r="B12930" t="s">
        <v>1950</v>
      </c>
      <c r="C12930">
        <v>159</v>
      </c>
      <c r="D12930">
        <v>172.84</v>
      </c>
      <c r="E12930">
        <v>172.83</v>
      </c>
      <c r="F12930">
        <v>0.01</v>
      </c>
    </row>
    <row r="12931" spans="1:6" x14ac:dyDescent="0.3">
      <c r="A12931" t="str">
        <f>HYPERLINK("https://us2.cloudbeds.com/connect/10074733072513#/reservations/31715389870236?display=MX5KNR125&amp;reservation_id=31715389870236", "MX5KNR125")</f>
        <v>MX5KNR125</v>
      </c>
      <c r="B12931" t="s">
        <v>1950</v>
      </c>
      <c r="C12931">
        <v>149</v>
      </c>
      <c r="D12931">
        <v>161.97</v>
      </c>
      <c r="E12931">
        <v>161.96</v>
      </c>
      <c r="F12931">
        <v>0.01</v>
      </c>
    </row>
    <row r="12932" spans="1:6" x14ac:dyDescent="0.3">
      <c r="A12932" t="str">
        <f>HYPERLINK("https://us2.cloudbeds.com/connect/10074733072513#/reservations/31714794352856?display=MX55GYT4V&amp;reservation_id=31714794352856", "MX55GYT4V")</f>
        <v>MX55GYT4V</v>
      </c>
      <c r="B12932" t="s">
        <v>1938</v>
      </c>
      <c r="C12932">
        <v>139</v>
      </c>
      <c r="D12932">
        <v>151.1</v>
      </c>
      <c r="E12932">
        <v>151.09</v>
      </c>
      <c r="F12932">
        <v>0.01</v>
      </c>
    </row>
    <row r="12933" spans="1:6" x14ac:dyDescent="0.3">
      <c r="A12933" t="str">
        <f>HYPERLINK("https://us2.cloudbeds.com/connect/10074733072513#/reservations/31714444275849?display=MX4TXFFYQ&amp;reservation_id=31714444275849", "MX4TXFFYQ")</f>
        <v>MX4TXFFYQ</v>
      </c>
      <c r="B12933" t="s">
        <v>1816</v>
      </c>
      <c r="C12933">
        <v>239</v>
      </c>
      <c r="D12933">
        <v>259.8</v>
      </c>
      <c r="E12933">
        <v>259.79000000000002</v>
      </c>
      <c r="F12933">
        <v>0.01</v>
      </c>
    </row>
    <row r="12934" spans="1:6" x14ac:dyDescent="0.3">
      <c r="A12934" t="str">
        <f>HYPERLINK("https://us2.cloudbeds.com/connect/10074733072513#/reservations/31716770967705?display=MX6N0D3FK&amp;reservation_id=31716770967705", "MX6N0D3FK")</f>
        <v>MX6N0D3FK</v>
      </c>
      <c r="B12934" t="s">
        <v>1656</v>
      </c>
      <c r="C12934">
        <v>139</v>
      </c>
      <c r="D12934">
        <v>151.1</v>
      </c>
      <c r="E12934">
        <v>151.09</v>
      </c>
      <c r="F12934">
        <v>0.01</v>
      </c>
    </row>
    <row r="12935" spans="1:6" x14ac:dyDescent="0.3">
      <c r="A12935" t="str">
        <f>HYPERLINK("https://us2.cloudbeds.com/connect/10074733072513#/reservations/31715639455966?display=MX5R39423&amp;reservation_id=31715639455966", "MX5R39423")</f>
        <v>MX5R39423</v>
      </c>
      <c r="B12935" t="s">
        <v>1950</v>
      </c>
      <c r="C12935">
        <v>159</v>
      </c>
      <c r="D12935">
        <v>172.84</v>
      </c>
      <c r="E12935">
        <v>172.83</v>
      </c>
      <c r="F12935">
        <v>0.01</v>
      </c>
    </row>
    <row r="12936" spans="1:6" x14ac:dyDescent="0.3">
      <c r="A12936" t="str">
        <f>HYPERLINK("https://us2.cloudbeds.com/connect/10074733072513#/reservations/31715868504276?display=MX5WVDZ2W&amp;reservation_id=31715868504276", "MX5WVDZ2W")</f>
        <v>MX5WVDZ2W</v>
      </c>
      <c r="B12936" t="s">
        <v>1914</v>
      </c>
      <c r="C12936">
        <v>189</v>
      </c>
      <c r="D12936">
        <v>205.45</v>
      </c>
      <c r="E12936">
        <v>205.44</v>
      </c>
      <c r="F12936">
        <v>0.01</v>
      </c>
    </row>
    <row r="12937" spans="1:6" x14ac:dyDescent="0.3">
      <c r="A12937" t="str">
        <f>HYPERLINK("https://us2.cloudbeds.com/connect/10074733072513#/reservations/31717307904182?display=MX73Z552U&amp;reservation_id=31717307904182", "MX73Z552U")</f>
        <v>MX73Z552U</v>
      </c>
      <c r="B12937" t="s">
        <v>1954</v>
      </c>
      <c r="C12937">
        <v>189</v>
      </c>
      <c r="D12937">
        <v>205.45</v>
      </c>
      <c r="E12937">
        <v>205.44</v>
      </c>
      <c r="F12937">
        <v>0.01</v>
      </c>
    </row>
    <row r="12938" spans="1:6" x14ac:dyDescent="0.3">
      <c r="A12938" t="str">
        <f>HYPERLINK("https://us2.cloudbeds.com/connect/10074733072513#/reservations/31713616830605?display=MX48DZJGF&amp;reservation_id=31713616830605", "MX48DZJGF")</f>
        <v>MX48DZJGF</v>
      </c>
      <c r="B12938" t="s">
        <v>1902</v>
      </c>
      <c r="C12938">
        <v>149</v>
      </c>
      <c r="D12938">
        <v>161.97</v>
      </c>
      <c r="E12938">
        <v>161.96</v>
      </c>
      <c r="F12938">
        <v>0.01</v>
      </c>
    </row>
    <row r="12939" spans="1:6" x14ac:dyDescent="0.3">
      <c r="A12939" t="str">
        <f>HYPERLINK("https://us2.cloudbeds.com/connect/10074733072513#/reservations/31712352080095?display=MX39391EF&amp;reservation_id=31712352080095", "MX39391EF")</f>
        <v>MX39391EF</v>
      </c>
      <c r="B12939" t="s">
        <v>1829</v>
      </c>
      <c r="C12939">
        <v>219</v>
      </c>
      <c r="D12939">
        <v>238.06</v>
      </c>
      <c r="E12939">
        <v>238.05</v>
      </c>
      <c r="F12939">
        <v>0.01</v>
      </c>
    </row>
    <row r="12940" spans="1:6" x14ac:dyDescent="0.3">
      <c r="A12940" t="str">
        <f>HYPERLINK("https://us2.cloudbeds.com/connect/10074733072513#/reservations/31715077697696?display=MX5CZJC87&amp;reservation_id=31715077697696", "MX5CZJC87")</f>
        <v>MX5CZJC87</v>
      </c>
      <c r="B12940" t="s">
        <v>1880</v>
      </c>
      <c r="C12940">
        <v>189</v>
      </c>
      <c r="D12940">
        <v>205.45</v>
      </c>
      <c r="E12940">
        <v>205.44</v>
      </c>
      <c r="F12940">
        <v>0.01</v>
      </c>
    </row>
    <row r="12941" spans="1:6" x14ac:dyDescent="0.3">
      <c r="A12941" t="str">
        <f>HYPERLINK("https://us2.cloudbeds.com/connect/10074733072513#/reservations/31716473471138?display=MX6FDHR74&amp;reservation_id=31716473471138", "MX6FDHR74")</f>
        <v>MX6FDHR74</v>
      </c>
      <c r="B12941" t="s">
        <v>1954</v>
      </c>
      <c r="C12941">
        <v>398</v>
      </c>
      <c r="D12941">
        <v>432.64</v>
      </c>
      <c r="E12941">
        <v>432.63</v>
      </c>
      <c r="F12941">
        <v>0.01</v>
      </c>
    </row>
    <row r="12942" spans="1:6" x14ac:dyDescent="0.3">
      <c r="A12942" t="str">
        <f>HYPERLINK("https://us2.cloudbeds.com/connect/10074733072513#/reservations/31712354267278?display=MX3953TSZ&amp;reservation_id=31712354267278", "MX3953TSZ")</f>
        <v>MX3953TSZ</v>
      </c>
      <c r="B12942" t="s">
        <v>1829</v>
      </c>
      <c r="C12942">
        <v>209</v>
      </c>
      <c r="D12942">
        <v>227.19</v>
      </c>
      <c r="E12942">
        <v>227.18</v>
      </c>
      <c r="F12942">
        <v>0.01</v>
      </c>
    </row>
    <row r="12943" spans="1:6" x14ac:dyDescent="0.3">
      <c r="A12943" t="str">
        <f>HYPERLINK("https://us2.cloudbeds.com/connect/10074733072513#/reservations/31716480229568?display=MX6FJ7PJS&amp;reservation_id=31716480229568", "MX6FJ7PJS")</f>
        <v>MX6FJ7PJS</v>
      </c>
      <c r="B12943" t="s">
        <v>1954</v>
      </c>
      <c r="C12943">
        <v>189</v>
      </c>
      <c r="D12943">
        <v>205.45</v>
      </c>
      <c r="E12943">
        <v>205.44</v>
      </c>
      <c r="F12943">
        <v>0.01</v>
      </c>
    </row>
    <row r="12944" spans="1:6" x14ac:dyDescent="0.3">
      <c r="A12944" t="str">
        <f>HYPERLINK("https://us2.cloudbeds.com/connect/10074733072513#/reservations/31717103620333?display=MX6VGTYK9&amp;reservation_id=31717103620333", "MX6VGTYK9")</f>
        <v>MX6VGTYK9</v>
      </c>
      <c r="B12944" t="s">
        <v>1949</v>
      </c>
      <c r="C12944">
        <v>411.3</v>
      </c>
      <c r="D12944">
        <v>447.09</v>
      </c>
      <c r="E12944">
        <v>447.08</v>
      </c>
      <c r="F12944">
        <v>0.01</v>
      </c>
    </row>
    <row r="12945" spans="1:6" x14ac:dyDescent="0.3">
      <c r="A12945" t="str">
        <f>HYPERLINK("https://us2.cloudbeds.com/connect/10074733072513#/reservations/31717806846188?display=MX7GFSVCM&amp;reservation_id=31717806846188", "MX7GFSVCM")</f>
        <v>MX7GFSVCM</v>
      </c>
      <c r="B12945" t="s">
        <v>1902</v>
      </c>
      <c r="C12945">
        <v>149</v>
      </c>
      <c r="D12945">
        <v>161.97</v>
      </c>
      <c r="E12945">
        <v>161.96</v>
      </c>
      <c r="F12945">
        <v>0.01</v>
      </c>
    </row>
    <row r="12946" spans="1:6" x14ac:dyDescent="0.3">
      <c r="A12946" t="str">
        <f>HYPERLINK("https://us2.cloudbeds.com/connect/10074733072513#/reservations/31717879914636?display=MX7XBG672&amp;reservation_id=31717879914636", "MX7XBG672")</f>
        <v>MX7XBG672</v>
      </c>
      <c r="B12946" t="s">
        <v>1950</v>
      </c>
      <c r="C12946">
        <v>169</v>
      </c>
      <c r="D12946">
        <v>183.71</v>
      </c>
      <c r="E12946">
        <v>183.7</v>
      </c>
      <c r="F12946">
        <v>0.01</v>
      </c>
    </row>
    <row r="12947" spans="1:6" x14ac:dyDescent="0.3">
      <c r="A12947" t="str">
        <f>HYPERLINK("https://us2.cloudbeds.com/connect/10074733072513#/reservations/31712422584502?display=MX3ATNUPY&amp;reservation_id=31712422584502", "MX3ATNUPY")</f>
        <v>MX3ATNUPY</v>
      </c>
      <c r="B12947" t="s">
        <v>1829</v>
      </c>
      <c r="C12947">
        <v>209</v>
      </c>
      <c r="D12947">
        <v>227.19</v>
      </c>
      <c r="E12947">
        <v>227.18</v>
      </c>
      <c r="F12947">
        <v>0.01</v>
      </c>
    </row>
    <row r="12948" spans="1:6" x14ac:dyDescent="0.3">
      <c r="A12948" t="str">
        <f>HYPERLINK("https://us2.cloudbeds.com/connect/10074733072513#/reservations/31714249810119?display=MX4ZJG5TT&amp;reservation_id=31714249810119", "MX4ZJG5TT")</f>
        <v>MX4ZJG5TT</v>
      </c>
      <c r="B12948" t="s">
        <v>1935</v>
      </c>
      <c r="C12948">
        <v>278</v>
      </c>
      <c r="D12948">
        <v>302.2</v>
      </c>
      <c r="E12948">
        <v>302.19</v>
      </c>
      <c r="F12948">
        <v>0.01</v>
      </c>
    </row>
    <row r="12949" spans="1:6" x14ac:dyDescent="0.3">
      <c r="A12949" t="str">
        <f>HYPERLINK("https://us2.cloudbeds.com/connect/10074733072513#/reservations/31712401273010?display=MX3ABZTWS&amp;reservation_id=31712401273010", "MX3ABZTWS")</f>
        <v>MX3ABZTWS</v>
      </c>
      <c r="B12949" t="s">
        <v>1829</v>
      </c>
      <c r="C12949">
        <v>318</v>
      </c>
      <c r="D12949">
        <v>345.68</v>
      </c>
      <c r="E12949">
        <v>345.67</v>
      </c>
      <c r="F12949">
        <v>0.01</v>
      </c>
    </row>
    <row r="12950" spans="1:6" x14ac:dyDescent="0.3">
      <c r="A12950" t="str">
        <f>HYPERLINK("https://us2.cloudbeds.com/connect/10074733072513#/reservations/31715847745713?display=MX5WDU31K&amp;reservation_id=31715847745713", "MX5WDU31K")</f>
        <v>MX5WDU31K</v>
      </c>
      <c r="B12950" t="s">
        <v>1925</v>
      </c>
      <c r="C12950">
        <v>189</v>
      </c>
      <c r="D12950">
        <v>205.45</v>
      </c>
      <c r="E12950">
        <v>205.44</v>
      </c>
      <c r="F12950">
        <v>0.01</v>
      </c>
    </row>
    <row r="12951" spans="1:6" x14ac:dyDescent="0.3">
      <c r="A12951" t="str">
        <f>HYPERLINK("https://us2.cloudbeds.com/connect/10074733072513#/reservations/31713567559870?display=MX4756XFT&amp;reservation_id=31713567559870", "MX4756XFT")</f>
        <v>MX4756XFT</v>
      </c>
      <c r="B12951" t="s">
        <v>1902</v>
      </c>
      <c r="C12951">
        <v>179</v>
      </c>
      <c r="D12951">
        <v>194.58</v>
      </c>
      <c r="E12951">
        <v>194.57</v>
      </c>
      <c r="F12951">
        <v>0.01</v>
      </c>
    </row>
    <row r="12952" spans="1:6" x14ac:dyDescent="0.3">
      <c r="A12952" t="str">
        <f>HYPERLINK("https://us2.cloudbeds.com/connect/10074733072513#/reservations/31717771858085?display=MX7FJCBZ4&amp;reservation_id=31717771858085", "MX7FJCBZ4")</f>
        <v>MX7FJCBZ4</v>
      </c>
      <c r="B12952" t="s">
        <v>1902</v>
      </c>
      <c r="C12952">
        <v>189</v>
      </c>
      <c r="D12952">
        <v>205.45</v>
      </c>
      <c r="E12952">
        <v>205.44</v>
      </c>
      <c r="F12952">
        <v>0.01</v>
      </c>
    </row>
    <row r="12953" spans="1:6" x14ac:dyDescent="0.3">
      <c r="A12953" t="str">
        <f>HYPERLINK("https://us2.cloudbeds.com/connect/10074733072513#/reservations/31717875376363?display=MX7X7YTRY&amp;reservation_id=31717875376363", "MX7X7YTRY")</f>
        <v>MX7X7YTRY</v>
      </c>
      <c r="B12953" t="s">
        <v>1902</v>
      </c>
      <c r="C12953">
        <v>189</v>
      </c>
      <c r="D12953">
        <v>205.45</v>
      </c>
      <c r="E12953">
        <v>205.44</v>
      </c>
      <c r="F12953">
        <v>0.01</v>
      </c>
    </row>
    <row r="12954" spans="1:6" x14ac:dyDescent="0.3">
      <c r="A12954" t="str">
        <f>HYPERLINK("https://us2.cloudbeds.com/connect/10074733072513#/reservations/31713564844199?display=MX472TWZS&amp;reservation_id=31713564844199", "MX472TWZS")</f>
        <v>MX472TWZS</v>
      </c>
      <c r="B12954" t="s">
        <v>1902</v>
      </c>
      <c r="C12954">
        <v>169</v>
      </c>
      <c r="D12954">
        <v>183.71</v>
      </c>
      <c r="E12954">
        <v>183.7</v>
      </c>
      <c r="F12954">
        <v>0.01</v>
      </c>
    </row>
    <row r="12955" spans="1:6" x14ac:dyDescent="0.3">
      <c r="A12955" t="str">
        <f>HYPERLINK("https://us2.cloudbeds.com/connect/10074733072513#/reservations/31715121602714?display=MX5DSK32A&amp;reservation_id=31715121602714", "MX5DSK32A")</f>
        <v>MX5DSK32A</v>
      </c>
      <c r="B12955" t="s">
        <v>1880</v>
      </c>
      <c r="C12955">
        <v>189</v>
      </c>
      <c r="D12955">
        <v>205.45</v>
      </c>
      <c r="E12955">
        <v>205.44</v>
      </c>
      <c r="F12955">
        <v>0.01</v>
      </c>
    </row>
    <row r="12956" spans="1:6" x14ac:dyDescent="0.3">
      <c r="A12956" t="str">
        <f>HYPERLINK("https://us2.cloudbeds.com/connect/10074733072513#/reservations/31715824894171?display=MX5VRY72Y&amp;reservation_id=31715824894171", "MX5VRY72Y")</f>
        <v>MX5VRY72Y</v>
      </c>
      <c r="B12956" t="s">
        <v>1880</v>
      </c>
      <c r="C12956">
        <v>189</v>
      </c>
      <c r="D12956">
        <v>205.45</v>
      </c>
      <c r="E12956">
        <v>205.44</v>
      </c>
      <c r="F12956">
        <v>0.01</v>
      </c>
    </row>
    <row r="12957" spans="1:6" x14ac:dyDescent="0.3">
      <c r="A12957" t="str">
        <f>HYPERLINK("https://us2.cloudbeds.com/connect/10074733072513#/reservations/31714334728365?display=MX4QP3532&amp;reservation_id=31714334728365", "MX4QP3532")</f>
        <v>MX4QP3532</v>
      </c>
      <c r="B12957" t="s">
        <v>1731</v>
      </c>
      <c r="C12957">
        <v>358</v>
      </c>
      <c r="D12957">
        <v>389.16</v>
      </c>
      <c r="E12957">
        <v>389.15</v>
      </c>
      <c r="F12957">
        <v>0.01</v>
      </c>
    </row>
    <row r="12958" spans="1:6" x14ac:dyDescent="0.3">
      <c r="A12958" t="str">
        <f>HYPERLINK("https://us2.cloudbeds.com/connect/10074733072513#/reservations/31713168269495?display=MX3TVGNYJ&amp;reservation_id=31713168269495", "MX3TVGNYJ")</f>
        <v>MX3TVGNYJ</v>
      </c>
      <c r="B12958" t="s">
        <v>1955</v>
      </c>
      <c r="C12958">
        <v>542.29999999999995</v>
      </c>
      <c r="D12958">
        <v>589.49</v>
      </c>
      <c r="E12958">
        <v>589.48</v>
      </c>
      <c r="F12958">
        <v>0.01</v>
      </c>
    </row>
    <row r="12959" spans="1:6" x14ac:dyDescent="0.3">
      <c r="A12959" t="str">
        <f>HYPERLINK("https://us2.cloudbeds.com/connect/10074733072513#/reservations/31711376670851?display=MX2H5PRRJ&amp;reservation_id=31711376670851", "MX2H5PRRJ")</f>
        <v>MX2H5PRRJ</v>
      </c>
      <c r="B12959" t="s">
        <v>1880</v>
      </c>
      <c r="C12959">
        <v>189</v>
      </c>
      <c r="D12959">
        <v>205.45</v>
      </c>
      <c r="E12959">
        <v>205.44</v>
      </c>
      <c r="F12959">
        <v>0.01</v>
      </c>
    </row>
    <row r="12960" spans="1:6" x14ac:dyDescent="0.3">
      <c r="A12960" t="str">
        <f>HYPERLINK("https://us2.cloudbeds.com/connect/10074733072513#/reservations/31715410120928?display=MX5Y7THZG&amp;reservation_id=31715410120928", "MX5Y7THZG")</f>
        <v>MX5Y7THZG</v>
      </c>
      <c r="B12960" t="s">
        <v>1904</v>
      </c>
      <c r="C12960">
        <v>102.58</v>
      </c>
      <c r="D12960">
        <v>111.51</v>
      </c>
      <c r="E12960">
        <v>111.5</v>
      </c>
      <c r="F12960">
        <v>0.01</v>
      </c>
    </row>
    <row r="12961" spans="1:6" x14ac:dyDescent="0.3">
      <c r="A12961" t="str">
        <f>HYPERLINK("https://us2.cloudbeds.com/connect/10074733072513#/reservations/31702594756756?display=MHSNPY4XY&amp;reservation_id=31702594756756", "MHSNPY4XY")</f>
        <v>MHSNPY4XY</v>
      </c>
      <c r="B12961" t="s">
        <v>1917</v>
      </c>
      <c r="C12961">
        <v>159</v>
      </c>
      <c r="D12961">
        <v>172.84</v>
      </c>
      <c r="E12961">
        <v>172.83</v>
      </c>
      <c r="F12961">
        <v>0.01</v>
      </c>
    </row>
    <row r="12962" spans="1:6" x14ac:dyDescent="0.3">
      <c r="A12962" t="str">
        <f>HYPERLINK("https://us2.cloudbeds.com/connect/10074733072513#/reservations/31714783273096?display=MX557AXTY&amp;reservation_id=31714783273096", "MX557AXTY")</f>
        <v>MX557AXTY</v>
      </c>
      <c r="B12962" t="s">
        <v>1731</v>
      </c>
      <c r="C12962">
        <v>209</v>
      </c>
      <c r="D12962">
        <v>227.19</v>
      </c>
      <c r="E12962">
        <v>227.18</v>
      </c>
      <c r="F12962">
        <v>0.01</v>
      </c>
    </row>
    <row r="12963" spans="1:6" x14ac:dyDescent="0.3">
      <c r="A12963" t="str">
        <f>HYPERLINK("https://us2.cloudbeds.com/connect/10074733072513#/reservations/31715397976203?display=MX5KUYJXH&amp;reservation_id=31715397976203", "MX5KUYJXH")</f>
        <v>MX5KUYJXH</v>
      </c>
      <c r="B12963" t="s">
        <v>1904</v>
      </c>
      <c r="C12963">
        <v>139</v>
      </c>
      <c r="D12963">
        <v>151.1</v>
      </c>
      <c r="E12963">
        <v>151.09</v>
      </c>
      <c r="F12963">
        <v>0.01</v>
      </c>
    </row>
    <row r="12964" spans="1:6" x14ac:dyDescent="0.3">
      <c r="A12964" t="str">
        <f>HYPERLINK("https://us2.cloudbeds.com/connect/10074733072513#/reservations/31714886807773?display=MX57SKJ23&amp;reservation_id=31714886807773", "MX57SKJ23")</f>
        <v>MX57SKJ23</v>
      </c>
      <c r="B12964" t="s">
        <v>1942</v>
      </c>
      <c r="C12964">
        <v>102.58</v>
      </c>
      <c r="D12964">
        <v>111.51</v>
      </c>
      <c r="E12964">
        <v>111.5</v>
      </c>
      <c r="F12964">
        <v>0.01</v>
      </c>
    </row>
    <row r="12965" spans="1:6" x14ac:dyDescent="0.3">
      <c r="A12965" t="str">
        <f>HYPERLINK("https://us2.cloudbeds.com/connect/10074733072513#/reservations/31711304405127?display=MX2FARV45&amp;reservation_id=31711304405127", "MX2FARV45")</f>
        <v>MX2FARV45</v>
      </c>
      <c r="B12965" t="s">
        <v>1904</v>
      </c>
      <c r="C12965">
        <v>139</v>
      </c>
      <c r="D12965">
        <v>151.1</v>
      </c>
      <c r="E12965">
        <v>151.09</v>
      </c>
      <c r="F12965">
        <v>0.01</v>
      </c>
    </row>
    <row r="12966" spans="1:6" x14ac:dyDescent="0.3">
      <c r="A12966" t="str">
        <f>HYPERLINK("https://us2.cloudbeds.com/connect/10074733072513#/reservations/31715261145237?display=MX5HE929K&amp;reservation_id=31715261145237", "MX5HE929K")</f>
        <v>MX5HE929K</v>
      </c>
      <c r="B12966" t="s">
        <v>1878</v>
      </c>
      <c r="C12966">
        <v>209</v>
      </c>
      <c r="D12966">
        <v>227.19</v>
      </c>
      <c r="E12966">
        <v>227.18</v>
      </c>
      <c r="F12966">
        <v>0.01</v>
      </c>
    </row>
    <row r="12967" spans="1:6" x14ac:dyDescent="0.3">
      <c r="A12967" t="str">
        <f>HYPERLINK("https://us2.cloudbeds.com/connect/10074733072513#/reservations/31715355177124?display=MX5JRXY9Z&amp;reservation_id=31715355177124", "MX5JRXY9Z")</f>
        <v>MX5JRXY9Z</v>
      </c>
      <c r="B12967" t="s">
        <v>1956</v>
      </c>
      <c r="C12967">
        <v>149</v>
      </c>
      <c r="D12967">
        <v>161.97</v>
      </c>
      <c r="E12967">
        <v>161.96</v>
      </c>
      <c r="F12967">
        <v>0.01</v>
      </c>
    </row>
    <row r="12968" spans="1:6" x14ac:dyDescent="0.3">
      <c r="A12968" t="str">
        <f>HYPERLINK("https://us2.cloudbeds.com/connect/10074733072513#/reservations/31715364237504?display=MX5K26YGH&amp;reservation_id=31715364237504", "MX5K26YGH")</f>
        <v>MX5K26YGH</v>
      </c>
      <c r="B12968" t="s">
        <v>1956</v>
      </c>
      <c r="C12968">
        <v>139</v>
      </c>
      <c r="D12968">
        <v>151.1</v>
      </c>
      <c r="E12968">
        <v>151.09</v>
      </c>
      <c r="F12968">
        <v>0.01</v>
      </c>
    </row>
    <row r="12969" spans="1:6" x14ac:dyDescent="0.3">
      <c r="A12969" t="str">
        <f>HYPERLINK("https://us2.cloudbeds.com/connect/10074733072513#/reservations/31715379437743?display=MX5KF0Z60&amp;reservation_id=31715379437743", "MX5KF0Z60")</f>
        <v>MX5KF0Z60</v>
      </c>
      <c r="B12969" t="s">
        <v>1956</v>
      </c>
      <c r="C12969">
        <v>169</v>
      </c>
      <c r="D12969">
        <v>183.71</v>
      </c>
      <c r="E12969">
        <v>183.7</v>
      </c>
      <c r="F12969">
        <v>0.01</v>
      </c>
    </row>
    <row r="12970" spans="1:6" x14ac:dyDescent="0.3">
      <c r="A12970" t="str">
        <f>HYPERLINK("https://us2.cloudbeds.com/connect/10074733072513#/reservations/31714884608180?display=MX57QPC7P&amp;reservation_id=31714884608180", "MX57QPC7P")</f>
        <v>MX57QPC7P</v>
      </c>
      <c r="B12970" t="s">
        <v>1942</v>
      </c>
      <c r="C12970">
        <v>139</v>
      </c>
      <c r="D12970">
        <v>151.1</v>
      </c>
      <c r="E12970">
        <v>151.09</v>
      </c>
      <c r="F12970">
        <v>0.01</v>
      </c>
    </row>
    <row r="12971" spans="1:6" x14ac:dyDescent="0.3">
      <c r="A12971" t="str">
        <f>HYPERLINK("https://us2.cloudbeds.com/connect/10074733072513#/reservations/31715182837908?display=MX5FE81Z8&amp;reservation_id=31715182837908", "MX5FE81Z8")</f>
        <v>MX5FE81Z8</v>
      </c>
      <c r="B12971" t="s">
        <v>1949</v>
      </c>
      <c r="C12971">
        <v>89</v>
      </c>
      <c r="D12971">
        <v>96.75</v>
      </c>
      <c r="E12971">
        <v>96.74</v>
      </c>
      <c r="F12971">
        <v>0.01</v>
      </c>
    </row>
    <row r="12972" spans="1:6" x14ac:dyDescent="0.3">
      <c r="A12972" t="str">
        <f>HYPERLINK("https://us2.cloudbeds.com/connect/10074733072513#/reservations/31714849099915?display=MX56TR9UZ&amp;reservation_id=31714849099915", "MX56TR9UZ")</f>
        <v>MX56TR9UZ</v>
      </c>
      <c r="B12972" t="s">
        <v>1942</v>
      </c>
      <c r="C12972">
        <v>109</v>
      </c>
      <c r="D12972">
        <v>118.49</v>
      </c>
      <c r="E12972">
        <v>118.48</v>
      </c>
      <c r="F12972">
        <v>0.01</v>
      </c>
    </row>
    <row r="12973" spans="1:6" x14ac:dyDescent="0.3">
      <c r="A12973" t="str">
        <f>HYPERLINK("https://us2.cloudbeds.com/connect/10074733072513#/reservations/31714884645112?display=MX57QQD4U&amp;reservation_id=31714884645112", "MX57QQD4U")</f>
        <v>MX57QQD4U</v>
      </c>
      <c r="B12973" t="s">
        <v>1942</v>
      </c>
      <c r="C12973">
        <v>89</v>
      </c>
      <c r="D12973">
        <v>96.75</v>
      </c>
      <c r="E12973">
        <v>96.74</v>
      </c>
      <c r="F12973">
        <v>0.01</v>
      </c>
    </row>
    <row r="12974" spans="1:6" x14ac:dyDescent="0.3">
      <c r="A12974" t="str">
        <f>HYPERLINK("https://us2.cloudbeds.com/connect/10074733072513#/reservations/31716243300504?display=MX69HEWJE&amp;reservation_id=31716243300504", "MX69HEWJE")</f>
        <v>MX69HEWJE</v>
      </c>
      <c r="B12974" t="s">
        <v>1914</v>
      </c>
      <c r="C12974">
        <v>378</v>
      </c>
      <c r="D12974">
        <v>410.9</v>
      </c>
      <c r="E12974">
        <v>410.89</v>
      </c>
      <c r="F12974">
        <v>0.01</v>
      </c>
    </row>
    <row r="12975" spans="1:6" x14ac:dyDescent="0.3">
      <c r="A12975" t="str">
        <f>HYPERLINK("https://us2.cloudbeds.com/connect/10074733072513#/reservations/31715419873473?display=MX5YG3U85&amp;reservation_id=31715419873473", "MX5YG3U85")</f>
        <v>MX5YG3U85</v>
      </c>
      <c r="B12975" t="s">
        <v>1914</v>
      </c>
      <c r="C12975">
        <v>318</v>
      </c>
      <c r="D12975">
        <v>345.68</v>
      </c>
      <c r="E12975">
        <v>345.67</v>
      </c>
      <c r="F12975">
        <v>0.01</v>
      </c>
    </row>
    <row r="12976" spans="1:6" x14ac:dyDescent="0.3">
      <c r="A12976" t="str">
        <f>HYPERLINK("https://us2.cloudbeds.com/connect/10074733072513#/reservations/31715440828570?display=MX5M0Q0P3&amp;reservation_id=31715440828570", "MX5M0Q0P3")</f>
        <v>MX5M0Q0P3</v>
      </c>
      <c r="B12976" t="s">
        <v>1914</v>
      </c>
      <c r="C12976">
        <v>159</v>
      </c>
      <c r="D12976">
        <v>172.84</v>
      </c>
      <c r="E12976">
        <v>172.83</v>
      </c>
      <c r="F12976">
        <v>0.01</v>
      </c>
    </row>
    <row r="12977" spans="1:6" x14ac:dyDescent="0.3">
      <c r="A12977" t="str">
        <f>HYPERLINK("https://us2.cloudbeds.com/connect/10074733072513#/reservations/31714665443562?display=MX526VQ4N&amp;reservation_id=31714665443562", "MX526VQ4N")</f>
        <v>MX526VQ4N</v>
      </c>
      <c r="B12977" t="s">
        <v>1816</v>
      </c>
      <c r="C12977">
        <v>219</v>
      </c>
      <c r="D12977">
        <v>238.06</v>
      </c>
      <c r="E12977">
        <v>238.05</v>
      </c>
      <c r="F12977">
        <v>0.01</v>
      </c>
    </row>
    <row r="12978" spans="1:6" x14ac:dyDescent="0.3">
      <c r="A12978" t="str">
        <f>HYPERLINK("https://us2.cloudbeds.com/connect/10074733072513#/reservations/31711015706787?display=MX27VDG1K&amp;reservation_id=31711015706787", "MX27VDG1K")</f>
        <v>MX27VDG1K</v>
      </c>
      <c r="B12978" t="s">
        <v>1697</v>
      </c>
      <c r="C12978">
        <v>159</v>
      </c>
      <c r="D12978">
        <v>172.84</v>
      </c>
      <c r="E12978">
        <v>172.83</v>
      </c>
      <c r="F12978">
        <v>0.01</v>
      </c>
    </row>
    <row r="12979" spans="1:6" x14ac:dyDescent="0.3">
      <c r="A12979" t="str">
        <f>HYPERLINK("https://us2.cloudbeds.com/connect/10074733072513#/reservations/31714020008084?display=MX4XNNJZS&amp;reservation_id=31714020008084", "MX4XNNJZS")</f>
        <v>MX4XNNJZS</v>
      </c>
      <c r="B12979" t="s">
        <v>1781</v>
      </c>
      <c r="C12979">
        <v>189</v>
      </c>
      <c r="D12979">
        <v>205.45</v>
      </c>
      <c r="E12979">
        <v>205.44</v>
      </c>
      <c r="F12979">
        <v>0.01</v>
      </c>
    </row>
    <row r="12980" spans="1:6" x14ac:dyDescent="0.3">
      <c r="A12980" t="str">
        <f>HYPERLINK("https://us2.cloudbeds.com/connect/10074733072513#/reservations/31714904715433?display=MX58ANT6E&amp;reservation_id=31714904715433", "MX58ANT6E")</f>
        <v>MX58ANT6E</v>
      </c>
      <c r="B12980" t="s">
        <v>1942</v>
      </c>
      <c r="C12980">
        <v>73</v>
      </c>
      <c r="D12980">
        <v>79.36</v>
      </c>
      <c r="E12980">
        <v>79.349999999999994</v>
      </c>
      <c r="F12980">
        <v>0.01</v>
      </c>
    </row>
    <row r="12981" spans="1:6" x14ac:dyDescent="0.3">
      <c r="A12981" t="str">
        <f>HYPERLINK("https://us2.cloudbeds.com/connect/10074733072513#/reservations/31715068756107?display=MX5CH1XDW&amp;reservation_id=31715068756107", "MX5CH1XDW")</f>
        <v>MX5CH1XDW</v>
      </c>
      <c r="B12981" t="s">
        <v>1946</v>
      </c>
      <c r="C12981">
        <v>102.58</v>
      </c>
      <c r="D12981">
        <v>111.51</v>
      </c>
      <c r="E12981">
        <v>111.5</v>
      </c>
      <c r="F12981">
        <v>0.01</v>
      </c>
    </row>
    <row r="12982" spans="1:6" x14ac:dyDescent="0.3">
      <c r="A12982" t="str">
        <f>HYPERLINK("https://us2.cloudbeds.com/connect/10074733072513#/reservations/31711323406477?display=MX2FQSMXY&amp;reservation_id=31711323406477", "MX2FQSMXY")</f>
        <v>MX2FQSMXY</v>
      </c>
      <c r="B12982" t="s">
        <v>1927</v>
      </c>
      <c r="C12982">
        <v>378</v>
      </c>
      <c r="D12982">
        <v>410.9</v>
      </c>
      <c r="E12982">
        <v>410.89</v>
      </c>
      <c r="F12982">
        <v>0.01</v>
      </c>
    </row>
    <row r="12983" spans="1:6" x14ac:dyDescent="0.3">
      <c r="A12983" t="str">
        <f>HYPERLINK("https://us2.cloudbeds.com/connect/10074733072513#/reservations/31712776577230?display=MX3JV79W0&amp;reservation_id=31712776577230", "MX3JV79W0")</f>
        <v>MX3JV79W0</v>
      </c>
      <c r="B12983" t="s">
        <v>1927</v>
      </c>
      <c r="C12983">
        <v>189</v>
      </c>
      <c r="D12983">
        <v>205.45</v>
      </c>
      <c r="E12983">
        <v>205.44</v>
      </c>
      <c r="F12983">
        <v>0.01</v>
      </c>
    </row>
    <row r="12984" spans="1:6" x14ac:dyDescent="0.3">
      <c r="A12984" t="str">
        <f>HYPERLINK("https://us2.cloudbeds.com/connect/10074733072513#/reservations/31714907574527?display=MX58D4EKM&amp;reservation_id=31714907574527", "MX58D4EKM")</f>
        <v>MX58D4EKM</v>
      </c>
      <c r="B12984" t="s">
        <v>1942</v>
      </c>
      <c r="C12984">
        <v>73</v>
      </c>
      <c r="D12984">
        <v>79.36</v>
      </c>
      <c r="E12984">
        <v>79.349999999999994</v>
      </c>
      <c r="F12984">
        <v>0.01</v>
      </c>
    </row>
    <row r="12985" spans="1:6" x14ac:dyDescent="0.3">
      <c r="A12985" t="str">
        <f>HYPERLINK("https://us2.cloudbeds.com/connect/10074733072513#/reservations/31714907070661?display=MX58CNDV0&amp;reservation_id=31714907070661", "MX58CNDV0")</f>
        <v>MX58CNDV0</v>
      </c>
      <c r="B12985" t="s">
        <v>1942</v>
      </c>
      <c r="C12985">
        <v>139</v>
      </c>
      <c r="D12985">
        <v>151.1</v>
      </c>
      <c r="E12985">
        <v>151.09</v>
      </c>
      <c r="F12985">
        <v>0.01</v>
      </c>
    </row>
    <row r="12986" spans="1:6" x14ac:dyDescent="0.3">
      <c r="A12986" t="str">
        <f>HYPERLINK("https://us2.cloudbeds.com/connect/10074733072513#/reservations/31715787657369?display=MX5UT81GN&amp;reservation_id=31715787657369", "MX5UT81GN")</f>
        <v>MX5UT81GN</v>
      </c>
      <c r="B12986" t="s">
        <v>1935</v>
      </c>
      <c r="C12986">
        <v>139</v>
      </c>
      <c r="D12986">
        <v>151.1</v>
      </c>
      <c r="E12986">
        <v>151.09</v>
      </c>
      <c r="F12986">
        <v>0.01</v>
      </c>
    </row>
    <row r="12987" spans="1:6" x14ac:dyDescent="0.3">
      <c r="A12987" t="str">
        <f>HYPERLINK("https://us2.cloudbeds.com/connect/10074733072513#/reservations/31716279951550?display=MX6AFBS96&amp;reservation_id=31716279951550", "MX6AFBS96")</f>
        <v>MX6AFBS96</v>
      </c>
      <c r="B12987" t="s">
        <v>1914</v>
      </c>
      <c r="C12987">
        <v>159</v>
      </c>
      <c r="D12987">
        <v>172.84</v>
      </c>
      <c r="E12987">
        <v>172.83</v>
      </c>
      <c r="F12987">
        <v>0.01</v>
      </c>
    </row>
    <row r="12988" spans="1:6" x14ac:dyDescent="0.3">
      <c r="A12988" t="str">
        <f>HYPERLINK("https://us2.cloudbeds.com/connect/10074733072513#/reservations/31715886088419?display=MX60D814Q&amp;reservation_id=31715886088419", "MX60D814Q")</f>
        <v>MX60D814Q</v>
      </c>
      <c r="B12988" t="s">
        <v>1954</v>
      </c>
      <c r="C12988">
        <v>331.2</v>
      </c>
      <c r="D12988">
        <v>360.02</v>
      </c>
      <c r="E12988">
        <v>360.01</v>
      </c>
      <c r="F12988">
        <v>0.01</v>
      </c>
    </row>
    <row r="12989" spans="1:6" x14ac:dyDescent="0.3">
      <c r="A12989" t="str">
        <f>HYPERLINK("https://us2.cloudbeds.com/connect/10074733072513#/reservations/31715693768885?display=MX5SG2F64&amp;reservation_id=31715693768885", "MX5SG2F64")</f>
        <v>MX5SG2F64</v>
      </c>
      <c r="B12989" t="s">
        <v>1816</v>
      </c>
      <c r="C12989">
        <v>189</v>
      </c>
      <c r="D12989">
        <v>205.45</v>
      </c>
      <c r="E12989">
        <v>205.44</v>
      </c>
      <c r="F12989">
        <v>0.01</v>
      </c>
    </row>
    <row r="12990" spans="1:6" x14ac:dyDescent="0.3">
      <c r="A12990" t="str">
        <f>HYPERLINK("https://us2.cloudbeds.com/connect/10074733072513#/reservations/31714415706307?display=MX4SRCG03&amp;reservation_id=31714415706307", "MX4SRCG03")</f>
        <v>MX4SRCG03</v>
      </c>
      <c r="B12990" t="s">
        <v>1816</v>
      </c>
      <c r="C12990">
        <v>169</v>
      </c>
      <c r="D12990">
        <v>183.71</v>
      </c>
      <c r="E12990">
        <v>183.7</v>
      </c>
      <c r="F12990">
        <v>0.01</v>
      </c>
    </row>
    <row r="12991" spans="1:6" x14ac:dyDescent="0.3">
      <c r="A12991" t="str">
        <f>HYPERLINK("https://us2.cloudbeds.com/connect/10074733072513#/reservations/31713756913820?display=MX4BWSK7D&amp;reservation_id=31713756913820", "MX4BWSK7D")</f>
        <v>MX4BWSK7D</v>
      </c>
      <c r="B12991" t="s">
        <v>1951</v>
      </c>
      <c r="C12991">
        <v>336</v>
      </c>
      <c r="D12991">
        <v>365.24</v>
      </c>
      <c r="E12991">
        <v>365.23</v>
      </c>
      <c r="F12991">
        <v>0.01</v>
      </c>
    </row>
    <row r="12992" spans="1:6" x14ac:dyDescent="0.3">
      <c r="A12992" t="str">
        <f>HYPERLINK("https://us2.cloudbeds.com/connect/10074733072513#/reservations/31717365751979?display=MX756US6G&amp;reservation_id=31717365751979", "MX756US6G")</f>
        <v>MX756US6G</v>
      </c>
      <c r="B12992" t="s">
        <v>1957</v>
      </c>
      <c r="C12992">
        <v>149</v>
      </c>
      <c r="D12992">
        <v>161.97</v>
      </c>
      <c r="E12992">
        <v>161.96</v>
      </c>
      <c r="F12992">
        <v>0.01</v>
      </c>
    </row>
    <row r="12993" spans="1:6" x14ac:dyDescent="0.3">
      <c r="A12993" t="str">
        <f>HYPERLINK("https://us2.cloudbeds.com/connect/10074733072513#/reservations/31715198013594?display=MX5FR1B5H&amp;reservation_id=31715198013594", "MX5FR1B5H")</f>
        <v>MX5FR1B5H</v>
      </c>
      <c r="B12993" t="s">
        <v>1958</v>
      </c>
      <c r="C12993">
        <v>278</v>
      </c>
      <c r="D12993">
        <v>302.2</v>
      </c>
      <c r="E12993">
        <v>302.19</v>
      </c>
      <c r="F12993">
        <v>0.01</v>
      </c>
    </row>
    <row r="12994" spans="1:6" x14ac:dyDescent="0.3">
      <c r="A12994" t="str">
        <f>HYPERLINK("https://us2.cloudbeds.com/connect/10074733072513#/reservations/31717611765910?display=MX7BGCXA3&amp;reservation_id=31717611765910", "MX7BGCXA3")</f>
        <v>MX7BGCXA3</v>
      </c>
      <c r="B12994" t="s">
        <v>1959</v>
      </c>
      <c r="C12994">
        <v>109</v>
      </c>
      <c r="D12994">
        <v>118.49</v>
      </c>
      <c r="E12994">
        <v>118.48</v>
      </c>
      <c r="F12994">
        <v>0.01</v>
      </c>
    </row>
    <row r="12995" spans="1:6" x14ac:dyDescent="0.3">
      <c r="A12995" t="str">
        <f>HYPERLINK("https://us2.cloudbeds.com/connect/10074733072513#/reservations/31717790171286?display=MX7G1QV8K&amp;reservation_id=31717790171286", "MX7G1QV8K")</f>
        <v>MX7G1QV8K</v>
      </c>
      <c r="B12995" t="s">
        <v>1959</v>
      </c>
      <c r="C12995">
        <v>109</v>
      </c>
      <c r="D12995">
        <v>118.49</v>
      </c>
      <c r="E12995">
        <v>118.48</v>
      </c>
      <c r="F12995">
        <v>0.01</v>
      </c>
    </row>
    <row r="12996" spans="1:6" x14ac:dyDescent="0.3">
      <c r="A12996" t="str">
        <f>HYPERLINK("https://us2.cloudbeds.com/connect/10074733072513#/reservations/31714915696793?display=MX58JWF2V&amp;reservation_id=31714915696793", "MX58JWF2V")</f>
        <v>MX58JWF2V</v>
      </c>
      <c r="B12996" t="s">
        <v>1942</v>
      </c>
      <c r="C12996">
        <v>73</v>
      </c>
      <c r="D12996">
        <v>79.36</v>
      </c>
      <c r="E12996">
        <v>79.349999999999994</v>
      </c>
      <c r="F12996">
        <v>0.01</v>
      </c>
    </row>
    <row r="12997" spans="1:6" x14ac:dyDescent="0.3">
      <c r="A12997" t="str">
        <f>HYPERLINK("https://us2.cloudbeds.com/connect/10074733072513#/reservations/31714858787040?display=MX574WSBW&amp;reservation_id=31714858787040", "MX574WSBW")</f>
        <v>MX574WSBW</v>
      </c>
      <c r="B12997" t="s">
        <v>1942</v>
      </c>
      <c r="C12997">
        <v>109</v>
      </c>
      <c r="D12997">
        <v>118.49</v>
      </c>
      <c r="E12997">
        <v>118.48</v>
      </c>
      <c r="F12997">
        <v>0.01</v>
      </c>
    </row>
    <row r="12998" spans="1:6" x14ac:dyDescent="0.3">
      <c r="A12998" t="str">
        <f>HYPERLINK("https://us2.cloudbeds.com/connect/10074733072513#/reservations/31714868941007?display=MX57DXDFV&amp;reservation_id=31714868941007", "MX57DXDFV")</f>
        <v>MX57DXDFV</v>
      </c>
      <c r="B12998" t="s">
        <v>1942</v>
      </c>
      <c r="C12998">
        <v>109</v>
      </c>
      <c r="D12998">
        <v>118.49</v>
      </c>
      <c r="E12998">
        <v>118.48</v>
      </c>
      <c r="F12998">
        <v>0.01</v>
      </c>
    </row>
    <row r="12999" spans="1:6" x14ac:dyDescent="0.3">
      <c r="A12999" t="str">
        <f>HYPERLINK("https://us2.cloudbeds.com/connect/10074733072513#/reservations/31717771862176?display=MX7FJCFG3&amp;reservation_id=31717771862176", "MX7FJCFG3")</f>
        <v>MX7FJCFG3</v>
      </c>
      <c r="B12999" t="s">
        <v>1959</v>
      </c>
      <c r="C12999">
        <v>109</v>
      </c>
      <c r="D12999">
        <v>118.49</v>
      </c>
      <c r="E12999">
        <v>118.48</v>
      </c>
      <c r="F12999">
        <v>0.01</v>
      </c>
    </row>
    <row r="13000" spans="1:6" x14ac:dyDescent="0.3">
      <c r="A13000" t="str">
        <f>HYPERLINK("https://us2.cloudbeds.com/connect/10074733072513#/reservations/31717762998478?display=MX7FBTR66&amp;reservation_id=31717762998478", "MX7FBTR66")</f>
        <v>MX7FBTR66</v>
      </c>
      <c r="B13000" t="s">
        <v>1959</v>
      </c>
      <c r="C13000">
        <v>129</v>
      </c>
      <c r="D13000">
        <v>140.22999999999999</v>
      </c>
      <c r="E13000">
        <v>140.22</v>
      </c>
      <c r="F13000">
        <v>0.01</v>
      </c>
    </row>
    <row r="13001" spans="1:6" x14ac:dyDescent="0.3">
      <c r="A13001" t="str">
        <f>HYPERLINK("https://us2.cloudbeds.com/connect/10074733072513#/reservations/31717593559253?display=MX7B10UK7&amp;reservation_id=31717593559253", "MX7B10UK7")</f>
        <v>MX7B10UK7</v>
      </c>
      <c r="B13001" t="s">
        <v>1960</v>
      </c>
      <c r="C13001">
        <v>64.5</v>
      </c>
      <c r="D13001">
        <v>70.12</v>
      </c>
      <c r="E13001">
        <v>70.11</v>
      </c>
      <c r="F13001">
        <v>0.01</v>
      </c>
    </row>
    <row r="13002" spans="1:6" x14ac:dyDescent="0.3">
      <c r="A13002" t="str">
        <f>HYPERLINK("https://us2.cloudbeds.com/connect/10074733072513#/reservations/31713796001971?display=MX4CWR9RR&amp;reservation_id=31713796001971", "MX4CWR9RR")</f>
        <v>MX4CWR9RR</v>
      </c>
      <c r="B13002" t="s">
        <v>1853</v>
      </c>
      <c r="C13002">
        <v>149</v>
      </c>
      <c r="D13002">
        <v>161.97</v>
      </c>
      <c r="E13002">
        <v>161.96</v>
      </c>
      <c r="F13002">
        <v>0.01</v>
      </c>
    </row>
    <row r="13003" spans="1:6" x14ac:dyDescent="0.3">
      <c r="A13003" t="str">
        <f>HYPERLINK("https://us2.cloudbeds.com/connect/10074733072513#/reservations/31717428683002?display=MX76R0036&amp;reservation_id=31717428683002", "MX76R0036")</f>
        <v>MX76R0036</v>
      </c>
      <c r="B13003" t="s">
        <v>1960</v>
      </c>
      <c r="C13003">
        <v>109</v>
      </c>
      <c r="D13003">
        <v>118.49</v>
      </c>
      <c r="E13003">
        <v>118.48</v>
      </c>
      <c r="F13003">
        <v>0.01</v>
      </c>
    </row>
    <row r="13004" spans="1:6" x14ac:dyDescent="0.3">
      <c r="A13004" t="str">
        <f>HYPERLINK("https://us2.cloudbeds.com/connect/10074733072513#/reservations/31715231592580?display=MX5GMBNSX&amp;reservation_id=31715231592580", "MX5GMBNSX")</f>
        <v>MX5GMBNSX</v>
      </c>
      <c r="B13004" t="s">
        <v>1958</v>
      </c>
      <c r="C13004">
        <v>102.58</v>
      </c>
      <c r="D13004">
        <v>111.51</v>
      </c>
      <c r="E13004">
        <v>111.5</v>
      </c>
      <c r="F13004">
        <v>0.01</v>
      </c>
    </row>
    <row r="13005" spans="1:6" x14ac:dyDescent="0.3">
      <c r="A13005" t="str">
        <f>HYPERLINK("https://us2.cloudbeds.com/connect/10074733072513#/reservations/31715839344835?display=MX5W6RAZX&amp;reservation_id=31715839344835", "MX5W6RAZX")</f>
        <v>MX5W6RAZX</v>
      </c>
      <c r="B13005" t="s">
        <v>1816</v>
      </c>
      <c r="C13005">
        <v>179</v>
      </c>
      <c r="D13005">
        <v>194.58</v>
      </c>
      <c r="E13005">
        <v>194.57</v>
      </c>
      <c r="F13005">
        <v>0.01</v>
      </c>
    </row>
    <row r="13006" spans="1:6" x14ac:dyDescent="0.3">
      <c r="A13006" t="str">
        <f>HYPERLINK("https://us2.cloudbeds.com/connect/10074733072513#/reservations/31712193777902?display=MX351Q1NA&amp;reservation_id=31712193777902", "MX351Q1NA")</f>
        <v>MX351Q1NA</v>
      </c>
      <c r="B13006" t="s">
        <v>1927</v>
      </c>
      <c r="C13006">
        <v>318</v>
      </c>
      <c r="D13006">
        <v>345.68</v>
      </c>
      <c r="E13006">
        <v>345.67</v>
      </c>
      <c r="F13006">
        <v>0.01</v>
      </c>
    </row>
    <row r="13007" spans="1:6" x14ac:dyDescent="0.3">
      <c r="A13007" t="str">
        <f>HYPERLINK("https://us2.cloudbeds.com/connect/10074733072513#/reservations/31717313687708?display=MX73T12VA&amp;reservation_id=31717313687708", "MX73T12VA")</f>
        <v>MX73T12VA</v>
      </c>
      <c r="B13007" t="s">
        <v>1954</v>
      </c>
      <c r="C13007">
        <v>89</v>
      </c>
      <c r="D13007">
        <v>96.75</v>
      </c>
      <c r="E13007">
        <v>96.74</v>
      </c>
      <c r="F13007">
        <v>0.01</v>
      </c>
    </row>
    <row r="13008" spans="1:6" x14ac:dyDescent="0.3">
      <c r="A13008" t="str">
        <f>HYPERLINK("https://us2.cloudbeds.com/connect/10074733072513#/reservations/31717570261246?display=MX7AECKM0&amp;reservation_id=31717570261246", "MX7AECKM0")</f>
        <v>MX7AECKM0</v>
      </c>
      <c r="B13008" t="s">
        <v>1953</v>
      </c>
      <c r="C13008">
        <v>198</v>
      </c>
      <c r="D13008">
        <v>215.24</v>
      </c>
      <c r="E13008">
        <v>215.23</v>
      </c>
      <c r="F13008">
        <v>0.01</v>
      </c>
    </row>
    <row r="13009" spans="1:6" x14ac:dyDescent="0.3">
      <c r="A13009" t="str">
        <f>HYPERLINK("https://us2.cloudbeds.com/connect/10074733072513#/reservations/31717420314790?display=MX76JV4Q0&amp;reservation_id=31717420314790", "MX76JV4Q0")</f>
        <v>MX76JV4Q0</v>
      </c>
      <c r="B13009" t="s">
        <v>1957</v>
      </c>
      <c r="C13009">
        <v>109</v>
      </c>
      <c r="D13009">
        <v>118.49</v>
      </c>
      <c r="E13009">
        <v>118.48</v>
      </c>
      <c r="F13009">
        <v>0.01</v>
      </c>
    </row>
    <row r="13010" spans="1:6" x14ac:dyDescent="0.3">
      <c r="A13010" t="str">
        <f>HYPERLINK("https://us2.cloudbeds.com/connect/10074733072513#/reservations/31700783055048?display=MHRAFVSKT&amp;reservation_id=31700783055048", "MHRAFVSKT")</f>
        <v>MHRAFVSKT</v>
      </c>
      <c r="B13010" t="s">
        <v>1788</v>
      </c>
      <c r="C13010">
        <v>358</v>
      </c>
      <c r="D13010">
        <v>389.16</v>
      </c>
      <c r="E13010">
        <v>389.15</v>
      </c>
      <c r="F13010">
        <v>0.01</v>
      </c>
    </row>
    <row r="13011" spans="1:6" x14ac:dyDescent="0.3">
      <c r="A13011" t="str">
        <f>HYPERLINK("https://us2.cloudbeds.com/connect/10074733072513#/reservations/31717402636446?display=MX765177K&amp;reservation_id=31717402636446", "MX765177K")</f>
        <v>MX765177K</v>
      </c>
      <c r="B13011" t="s">
        <v>1960</v>
      </c>
      <c r="C13011">
        <v>102.58</v>
      </c>
      <c r="D13011">
        <v>111.51</v>
      </c>
      <c r="E13011">
        <v>111.5</v>
      </c>
      <c r="F13011">
        <v>0.01</v>
      </c>
    </row>
    <row r="13012" spans="1:6" x14ac:dyDescent="0.3">
      <c r="A13012" t="str">
        <f>HYPERLINK("https://us2.cloudbeds.com/connect/10074733072513#/reservations/31717392642186?display=MX75TK3P8&amp;reservation_id=31717392642186", "MX75TK3P8")</f>
        <v>MX75TK3P8</v>
      </c>
      <c r="B13012" t="s">
        <v>1960</v>
      </c>
      <c r="C13012">
        <v>109</v>
      </c>
      <c r="D13012">
        <v>118.49</v>
      </c>
      <c r="E13012">
        <v>118.48</v>
      </c>
      <c r="F13012">
        <v>0.01</v>
      </c>
    </row>
    <row r="13013" spans="1:6" x14ac:dyDescent="0.3">
      <c r="A13013" t="str">
        <f>HYPERLINK("https://us2.cloudbeds.com/connect/10074733072513#/reservations/31716203208855?display=MX68GYCFW&amp;reservation_id=31716203208855", "MX68GYCFW")</f>
        <v>MX68GYCFW</v>
      </c>
      <c r="B13013" t="s">
        <v>1914</v>
      </c>
      <c r="C13013">
        <v>189</v>
      </c>
      <c r="D13013">
        <v>205.45</v>
      </c>
      <c r="E13013">
        <v>205.44</v>
      </c>
      <c r="F13013">
        <v>0.01</v>
      </c>
    </row>
    <row r="13014" spans="1:6" x14ac:dyDescent="0.3">
      <c r="A13014" t="str">
        <f>HYPERLINK("https://us2.cloudbeds.com/connect/10074733072513#/reservations/31710886051970?display=MX24Y2YEP&amp;reservation_id=31710886051970", "MX24Y2YEP")</f>
        <v>MX24Y2YEP</v>
      </c>
      <c r="B13014" t="s">
        <v>1697</v>
      </c>
      <c r="C13014">
        <v>159</v>
      </c>
      <c r="D13014">
        <v>172.84</v>
      </c>
      <c r="E13014">
        <v>172.83</v>
      </c>
      <c r="F13014">
        <v>0.01</v>
      </c>
    </row>
    <row r="13015" spans="1:6" x14ac:dyDescent="0.3">
      <c r="A13015" t="str">
        <f>HYPERLINK("https://us2.cloudbeds.com/connect/10074733072513#/reservations/31717248368838?display=MX726VGBK&amp;reservation_id=31717248368838", "MX726VGBK")</f>
        <v>MX726VGBK</v>
      </c>
      <c r="B13015" t="s">
        <v>1954</v>
      </c>
      <c r="C13015">
        <v>189</v>
      </c>
      <c r="D13015">
        <v>205.45</v>
      </c>
      <c r="E13015">
        <v>205.44</v>
      </c>
      <c r="F13015">
        <v>0.01</v>
      </c>
    </row>
    <row r="13016" spans="1:6" x14ac:dyDescent="0.3">
      <c r="A13016" t="str">
        <f>HYPERLINK("https://us2.cloudbeds.com/connect/10074733072513#/reservations/31714294706335?display=MX4PZBFU9&amp;reservation_id=31714294706335", "MX4PZBFU9")</f>
        <v>MX4PZBFU9</v>
      </c>
      <c r="B13016" t="s">
        <v>1961</v>
      </c>
      <c r="C13016">
        <v>178</v>
      </c>
      <c r="D13016">
        <v>193.5</v>
      </c>
      <c r="E13016">
        <v>193.49</v>
      </c>
      <c r="F13016">
        <v>0.01</v>
      </c>
    </row>
    <row r="13017" spans="1:6" x14ac:dyDescent="0.3">
      <c r="A13017" t="str">
        <f>HYPERLINK("https://us2.cloudbeds.com/connect/10074733072513#/reservations/31711025647863?display=MX286Q3MB&amp;reservation_id=31711025647863", "MX286Q3MB")</f>
        <v>MX286Q3MB</v>
      </c>
      <c r="B13017" t="s">
        <v>1697</v>
      </c>
      <c r="C13017">
        <v>159</v>
      </c>
      <c r="D13017">
        <v>172.84</v>
      </c>
      <c r="E13017">
        <v>172.83</v>
      </c>
      <c r="F13017">
        <v>0.01</v>
      </c>
    </row>
    <row r="13018" spans="1:6" x14ac:dyDescent="0.3">
      <c r="A13018" t="str">
        <f>HYPERLINK("https://us2.cloudbeds.com/connect/10074733072513#/reservations/31717106057439?display=MX6VXVFHW&amp;reservation_id=31717106057439", "MX6VXVFHW")</f>
        <v>MX6VXVFHW</v>
      </c>
      <c r="B13018" t="s">
        <v>1958</v>
      </c>
      <c r="C13018">
        <v>139</v>
      </c>
      <c r="D13018">
        <v>151.1</v>
      </c>
      <c r="E13018">
        <v>151.09</v>
      </c>
      <c r="F13018">
        <v>0.01</v>
      </c>
    </row>
    <row r="13019" spans="1:6" x14ac:dyDescent="0.3">
      <c r="A13019" t="str">
        <f>HYPERLINK("https://us2.cloudbeds.com/connect/10074733072513#/reservations/31712733180041?display=MX3XRKNFM&amp;reservation_id=31712733180041", "MX3XRKNFM")</f>
        <v>MX3XRKNFM</v>
      </c>
      <c r="B13019" t="s">
        <v>1539</v>
      </c>
      <c r="C13019">
        <v>378</v>
      </c>
      <c r="D13019">
        <v>410.9</v>
      </c>
      <c r="E13019">
        <v>410.89</v>
      </c>
      <c r="F13019">
        <v>0.01</v>
      </c>
    </row>
    <row r="13020" spans="1:6" x14ac:dyDescent="0.3">
      <c r="A13020" t="str">
        <f>HYPERLINK("https://us2.cloudbeds.com/connect/10074733072513#/reservations/31715476721875?display=MX5MV1QY0&amp;reservation_id=31715476721875", "MX5MV1QY0")</f>
        <v>MX5MV1QY0</v>
      </c>
      <c r="B13020" t="s">
        <v>1914</v>
      </c>
      <c r="C13020">
        <v>189</v>
      </c>
      <c r="D13020">
        <v>205.45</v>
      </c>
      <c r="E13020">
        <v>205.44</v>
      </c>
      <c r="F13020">
        <v>0.01</v>
      </c>
    </row>
    <row r="13021" spans="1:6" x14ac:dyDescent="0.3">
      <c r="A13021" t="str">
        <f>HYPERLINK("https://us2.cloudbeds.com/connect/10074733072513#/reservations/31717378003162?display=MX75H8P4F&amp;reservation_id=31717378003162", "MX75H8P4F")</f>
        <v>MX75H8P4F</v>
      </c>
      <c r="B13021" t="s">
        <v>1957</v>
      </c>
      <c r="C13021">
        <v>159</v>
      </c>
      <c r="D13021">
        <v>172.84</v>
      </c>
      <c r="E13021">
        <v>172.83</v>
      </c>
      <c r="F13021">
        <v>0.01</v>
      </c>
    </row>
    <row r="13022" spans="1:6" x14ac:dyDescent="0.3">
      <c r="A13022" t="str">
        <f>HYPERLINK("https://us2.cloudbeds.com/connect/10074733072513#/reservations/31714327208130?display=MX4QXZTF5&amp;reservation_id=31714327208130", "MX4QXZTF5")</f>
        <v>MX4QXZTF5</v>
      </c>
      <c r="B13022" t="s">
        <v>1914</v>
      </c>
      <c r="C13022">
        <v>189</v>
      </c>
      <c r="D13022">
        <v>205.45</v>
      </c>
      <c r="E13022">
        <v>205.44</v>
      </c>
      <c r="F13022">
        <v>0.01</v>
      </c>
    </row>
    <row r="13023" spans="1:6" x14ac:dyDescent="0.3">
      <c r="A13023" t="str">
        <f>HYPERLINK("https://us2.cloudbeds.com/connect/10074733072513#/reservations/31713379811469?display=MX42BT62E&amp;reservation_id=31713379811469", "MX42BT62E")</f>
        <v>MX42BT62E</v>
      </c>
      <c r="B13023" t="s">
        <v>1539</v>
      </c>
      <c r="C13023">
        <v>378</v>
      </c>
      <c r="D13023">
        <v>410.9</v>
      </c>
      <c r="E13023">
        <v>410.89</v>
      </c>
      <c r="F13023">
        <v>0.01</v>
      </c>
    </row>
    <row r="13024" spans="1:6" x14ac:dyDescent="0.3">
      <c r="A13024" t="str">
        <f>HYPERLINK("https://us2.cloudbeds.com/connect/10074733072513#/reservations/31716490444953?display=MX6FRS4R5&amp;reservation_id=31716490444953", "MX6FRS4R5")</f>
        <v>MX6FRS4R5</v>
      </c>
      <c r="B13024" t="s">
        <v>1954</v>
      </c>
      <c r="C13024">
        <v>313.2</v>
      </c>
      <c r="D13024">
        <v>340.46</v>
      </c>
      <c r="E13024">
        <v>340.45</v>
      </c>
      <c r="F13024">
        <v>0.01</v>
      </c>
    </row>
    <row r="13025" spans="1:6" x14ac:dyDescent="0.3">
      <c r="A13025" t="str">
        <f>HYPERLINK("https://us2.cloudbeds.com/connect/10074733072513#/reservations/31715859517632?display=MX5WDU6QB&amp;reservation_id=31715859517632", "MX5WDU6QB")</f>
        <v>MX5WDU6QB</v>
      </c>
      <c r="B13025" t="s">
        <v>1914</v>
      </c>
      <c r="C13025">
        <v>189</v>
      </c>
      <c r="D13025">
        <v>205.45</v>
      </c>
      <c r="E13025">
        <v>205.44</v>
      </c>
      <c r="F13025">
        <v>0.01</v>
      </c>
    </row>
    <row r="13026" spans="1:6" x14ac:dyDescent="0.3">
      <c r="A13026" t="str">
        <f>HYPERLINK("https://us2.cloudbeds.com/connect/10074733072513#/reservations/31714196500629?display=MX4N7HP6Q&amp;reservation_id=31714196500629", "MX4N7HP6Q")</f>
        <v>MX4N7HP6Q</v>
      </c>
      <c r="B13026" t="s">
        <v>1935</v>
      </c>
      <c r="C13026">
        <v>139</v>
      </c>
      <c r="D13026">
        <v>151.1</v>
      </c>
      <c r="E13026">
        <v>151.09</v>
      </c>
      <c r="F13026">
        <v>0.01</v>
      </c>
    </row>
    <row r="13027" spans="1:6" x14ac:dyDescent="0.3">
      <c r="A13027" t="str">
        <f>HYPERLINK("https://us2.cloudbeds.com/connect/10074733072513#/reservations/31715422691552?display=MX5YXGB0G&amp;reservation_id=31715422691552", "MX5YXGB0G")</f>
        <v>MX5YXGB0G</v>
      </c>
      <c r="B13027" t="s">
        <v>1914</v>
      </c>
      <c r="C13027">
        <v>189</v>
      </c>
      <c r="D13027">
        <v>205.45</v>
      </c>
      <c r="E13027">
        <v>205.44</v>
      </c>
      <c r="F13027">
        <v>0.01</v>
      </c>
    </row>
    <row r="13028" spans="1:6" x14ac:dyDescent="0.3">
      <c r="A13028" t="str">
        <f>HYPERLINK("https://us2.cloudbeds.com/connect/10074733072513#/reservations/31711404990619?display=MX2HTYT4C&amp;reservation_id=31711404990619", "MX2HTYT4C")</f>
        <v>MX2HTYT4C</v>
      </c>
      <c r="B13028" t="s">
        <v>1927</v>
      </c>
      <c r="C13028">
        <v>458</v>
      </c>
      <c r="D13028">
        <v>497.86</v>
      </c>
      <c r="E13028">
        <v>497.85</v>
      </c>
      <c r="F13028">
        <v>0.01</v>
      </c>
    </row>
    <row r="13029" spans="1:6" x14ac:dyDescent="0.3">
      <c r="A13029" t="str">
        <f>HYPERLINK("https://us2.cloudbeds.com/connect/10074733072513#/reservations/31714304188664?display=MX4PWBB9J&amp;reservation_id=31714304188664", "MX4PWBB9J")</f>
        <v>MX4PWBB9J</v>
      </c>
      <c r="B13029" t="s">
        <v>1961</v>
      </c>
      <c r="C13029">
        <v>139</v>
      </c>
      <c r="D13029">
        <v>151.1</v>
      </c>
      <c r="E13029">
        <v>151.09</v>
      </c>
      <c r="F13029">
        <v>0.01</v>
      </c>
    </row>
    <row r="13030" spans="1:6" x14ac:dyDescent="0.3">
      <c r="A13030" t="str">
        <f>HYPERLINK("https://us2.cloudbeds.com/connect/10074733072513#/reservations/31715461042334?display=MX5MHRGHD&amp;reservation_id=31715461042334", "MX5MHRGHD")</f>
        <v>MX5MHRGHD</v>
      </c>
      <c r="B13030" t="s">
        <v>1961</v>
      </c>
      <c r="C13030">
        <v>159</v>
      </c>
      <c r="D13030">
        <v>172.84</v>
      </c>
      <c r="E13030">
        <v>172.83</v>
      </c>
      <c r="F13030">
        <v>0.01</v>
      </c>
    </row>
    <row r="13031" spans="1:6" x14ac:dyDescent="0.3">
      <c r="A13031" t="str">
        <f>HYPERLINK("https://us2.cloudbeds.com/connect/10074733072513#/reservations/31700971937948?display=MHRFA7QR4&amp;reservation_id=31700971937948", "MHRFA7QR4")</f>
        <v>MHRFA7QR4</v>
      </c>
      <c r="B13031" t="s">
        <v>1788</v>
      </c>
      <c r="C13031">
        <v>179</v>
      </c>
      <c r="D13031">
        <v>194.58</v>
      </c>
      <c r="E13031">
        <v>194.57</v>
      </c>
      <c r="F13031">
        <v>0.01</v>
      </c>
    </row>
    <row r="13032" spans="1:6" x14ac:dyDescent="0.3">
      <c r="A13032" t="str">
        <f>HYPERLINK("https://us2.cloudbeds.com/connect/10074733072513#/reservations/31714311176333?display=MX4Q57PT4&amp;reservation_id=31714311176333", "MX4Q57PT4")</f>
        <v>MX4Q57PT4</v>
      </c>
      <c r="B13032" t="s">
        <v>1961</v>
      </c>
      <c r="C13032">
        <v>139</v>
      </c>
      <c r="D13032">
        <v>151.1</v>
      </c>
      <c r="E13032">
        <v>151.09</v>
      </c>
      <c r="F13032">
        <v>0.01</v>
      </c>
    </row>
    <row r="13033" spans="1:6" x14ac:dyDescent="0.3">
      <c r="A13033" t="str">
        <f>HYPERLINK("https://us2.cloudbeds.com/connect/10074733072513#/reservations/31717467848875?display=MX77R0S2R&amp;reservation_id=31717467848875", "MX77R0S2R")</f>
        <v>MX77R0S2R</v>
      </c>
      <c r="B13033" t="s">
        <v>1953</v>
      </c>
      <c r="C13033">
        <v>178</v>
      </c>
      <c r="D13033">
        <v>193.5</v>
      </c>
      <c r="E13033">
        <v>193.49</v>
      </c>
      <c r="F13033">
        <v>0.01</v>
      </c>
    </row>
    <row r="13034" spans="1:6" x14ac:dyDescent="0.3">
      <c r="A13034" t="str">
        <f>HYPERLINK("https://us2.cloudbeds.com/connect/10074733072513#/reservations/31715251671292?display=MX5H69EKC&amp;reservation_id=31715251671292", "MX5H69EKC")</f>
        <v>MX5H69EKC</v>
      </c>
      <c r="B13034" t="s">
        <v>1958</v>
      </c>
      <c r="C13034">
        <v>139</v>
      </c>
      <c r="D13034">
        <v>151.1</v>
      </c>
      <c r="E13034">
        <v>151.09</v>
      </c>
      <c r="F13034">
        <v>0.01</v>
      </c>
    </row>
    <row r="13035" spans="1:6" x14ac:dyDescent="0.3">
      <c r="A13035" t="str">
        <f>HYPERLINK("https://us2.cloudbeds.com/connect/10074733072513#/reservations/31713958297735?display=MX4H4MDP9&amp;reservation_id=31713958297735", "MX4H4MDP9")</f>
        <v>MX4H4MDP9</v>
      </c>
      <c r="B13035" t="s">
        <v>1656</v>
      </c>
      <c r="C13035">
        <v>139</v>
      </c>
      <c r="D13035">
        <v>151.1</v>
      </c>
      <c r="E13035">
        <v>151.09</v>
      </c>
      <c r="F13035">
        <v>0.01</v>
      </c>
    </row>
    <row r="13036" spans="1:6" x14ac:dyDescent="0.3">
      <c r="A13036" t="str">
        <f>HYPERLINK("https://us2.cloudbeds.com/connect/10074733072513#/reservations/31713995542705?display=MX4X32QRZ&amp;reservation_id=31713995542705", "MX4X32QRZ")</f>
        <v>MX4X32QRZ</v>
      </c>
      <c r="B13036" t="s">
        <v>1656</v>
      </c>
      <c r="C13036">
        <v>278</v>
      </c>
      <c r="D13036">
        <v>302.2</v>
      </c>
      <c r="E13036">
        <v>302.19</v>
      </c>
      <c r="F13036">
        <v>0.01</v>
      </c>
    </row>
    <row r="13037" spans="1:6" x14ac:dyDescent="0.3">
      <c r="A13037" t="str">
        <f>HYPERLINK("https://us2.cloudbeds.com/connect/10074733072513#/reservations/31717418295490?display=MX76X7VH3&amp;reservation_id=31717418295490", "MX76X7VH3")</f>
        <v>MX76X7VH3</v>
      </c>
      <c r="B13037" t="s">
        <v>1962</v>
      </c>
      <c r="C13037">
        <v>573.29999999999995</v>
      </c>
      <c r="D13037">
        <v>623.19000000000005</v>
      </c>
      <c r="E13037">
        <v>623.17999999999995</v>
      </c>
      <c r="F13037">
        <v>0.01</v>
      </c>
    </row>
    <row r="13038" spans="1:6" x14ac:dyDescent="0.3">
      <c r="A13038" t="str">
        <f>HYPERLINK("https://us2.cloudbeds.com/connect/10074733072513#/reservations/31712413343875?display=MX3AYUQBY&amp;reservation_id=31712413343875", "MX3AYUQBY")</f>
        <v>MX3AYUQBY</v>
      </c>
      <c r="B13038" t="s">
        <v>1711</v>
      </c>
      <c r="C13038">
        <v>159</v>
      </c>
      <c r="D13038">
        <v>172.84</v>
      </c>
      <c r="E13038">
        <v>172.83</v>
      </c>
      <c r="F13038">
        <v>0.01</v>
      </c>
    </row>
    <row r="13039" spans="1:6" x14ac:dyDescent="0.3">
      <c r="A13039" t="str">
        <f>HYPERLINK("https://us2.cloudbeds.com/connect/10074733072513#/reservations/31715662631115?display=MX5RMR06B&amp;reservation_id=31715662631115", "MX5RMR06B")</f>
        <v>MX5RMR06B</v>
      </c>
      <c r="B13039" t="s">
        <v>1816</v>
      </c>
      <c r="C13039">
        <v>378</v>
      </c>
      <c r="D13039">
        <v>410.9</v>
      </c>
      <c r="E13039">
        <v>410.89</v>
      </c>
      <c r="F13039">
        <v>0.01</v>
      </c>
    </row>
    <row r="13040" spans="1:6" x14ac:dyDescent="0.3">
      <c r="A13040" t="str">
        <f>HYPERLINK("https://us2.cloudbeds.com/connect/10074733072513#/reservations/31717117903064?display=MX6VSV32A&amp;reservation_id=31717117903064", "MX6VSV32A")</f>
        <v>MX6VSV32A</v>
      </c>
      <c r="B13040" t="s">
        <v>1958</v>
      </c>
      <c r="C13040">
        <v>139</v>
      </c>
      <c r="D13040">
        <v>151.1</v>
      </c>
      <c r="E13040">
        <v>151.09</v>
      </c>
      <c r="F13040">
        <v>0.01</v>
      </c>
    </row>
    <row r="13041" spans="1:6" x14ac:dyDescent="0.3">
      <c r="A13041" t="str">
        <f>HYPERLINK("https://us2.cloudbeds.com/connect/10074733072513#/reservations/31712334397665?display=MX38YC048&amp;reservation_id=31712334397665", "MX38YC048")</f>
        <v>MX38YC048</v>
      </c>
      <c r="B13041" t="s">
        <v>1882</v>
      </c>
      <c r="C13041">
        <v>139</v>
      </c>
      <c r="D13041">
        <v>151.1</v>
      </c>
      <c r="E13041">
        <v>151.09</v>
      </c>
      <c r="F13041">
        <v>0.01</v>
      </c>
    </row>
    <row r="13042" spans="1:6" x14ac:dyDescent="0.3">
      <c r="A13042" t="str">
        <f>HYPERLINK("https://us2.cloudbeds.com/connect/10074733072513#/reservations/31714907074756?display=MX58CNHN3&amp;reservation_id=31714907074756", "MX58CNHN3")</f>
        <v>MX58CNHN3</v>
      </c>
      <c r="B13042" t="s">
        <v>1924</v>
      </c>
      <c r="C13042">
        <v>209</v>
      </c>
      <c r="D13042">
        <v>227.19</v>
      </c>
      <c r="E13042">
        <v>227.18</v>
      </c>
      <c r="F13042">
        <v>0.01</v>
      </c>
    </row>
    <row r="13043" spans="1:6" x14ac:dyDescent="0.3">
      <c r="A13043" t="str">
        <f>HYPERLINK("https://us2.cloudbeds.com/connect/10074733072513#/reservations/31714517106838?display=MX4VDT3EF&amp;reservation_id=31714517106838", "MX4VDT3EF")</f>
        <v>MX4VDT3EF</v>
      </c>
      <c r="B13043" t="s">
        <v>1816</v>
      </c>
      <c r="C13043">
        <v>438</v>
      </c>
      <c r="D13043">
        <v>476.12</v>
      </c>
      <c r="E13043">
        <v>476.11</v>
      </c>
      <c r="F13043">
        <v>0.01</v>
      </c>
    </row>
    <row r="13044" spans="1:6" x14ac:dyDescent="0.3">
      <c r="A13044" t="str">
        <f>HYPERLINK("https://us2.cloudbeds.com/connect/10074733072513#/reservations/31701607313628?display=MHRVX02XK&amp;reservation_id=31701607313628", "MHRVX02XK")</f>
        <v>MHRVX02XK</v>
      </c>
      <c r="B13044" t="s">
        <v>1964</v>
      </c>
      <c r="C13044">
        <v>378</v>
      </c>
      <c r="D13044">
        <v>410.9</v>
      </c>
      <c r="E13044">
        <v>410.89</v>
      </c>
      <c r="F13044">
        <v>0.01</v>
      </c>
    </row>
    <row r="13045" spans="1:6" x14ac:dyDescent="0.3">
      <c r="A13045" t="str">
        <f>HYPERLINK("https://us2.cloudbeds.com/connect/10074733072513#/reservations/31717158121611?display=MX6WTS7N5&amp;reservation_id=31717158121611", "MX6WTS7N5")</f>
        <v>MX6WTS7N5</v>
      </c>
      <c r="B13045" t="s">
        <v>1958</v>
      </c>
      <c r="C13045">
        <v>139</v>
      </c>
      <c r="D13045">
        <v>151.1</v>
      </c>
      <c r="E13045">
        <v>151.09</v>
      </c>
      <c r="F13045">
        <v>0.01</v>
      </c>
    </row>
    <row r="13046" spans="1:6" x14ac:dyDescent="0.3">
      <c r="A13046" t="str">
        <f>HYPERLINK("https://us2.cloudbeds.com/connect/10074733072513#/reservations/31715240935642?display=MX5GU7NBY&amp;reservation_id=31715240935642", "MX5GU7NBY")</f>
        <v>MX5GU7NBY</v>
      </c>
      <c r="B13046" t="s">
        <v>1958</v>
      </c>
      <c r="C13046">
        <v>159</v>
      </c>
      <c r="D13046">
        <v>172.84</v>
      </c>
      <c r="E13046">
        <v>172.83</v>
      </c>
      <c r="F13046">
        <v>0.01</v>
      </c>
    </row>
    <row r="13047" spans="1:6" x14ac:dyDescent="0.3">
      <c r="A13047" t="str">
        <f>HYPERLINK("https://us2.cloudbeds.com/connect/10074733072513#/reservations/31716783050945?display=MX6NAJB6D&amp;reservation_id=31716783050945", "MX6NAJB6D")</f>
        <v>MX6NAJB6D</v>
      </c>
      <c r="B13047" t="s">
        <v>1656</v>
      </c>
      <c r="C13047">
        <v>159</v>
      </c>
      <c r="D13047">
        <v>172.84</v>
      </c>
      <c r="E13047">
        <v>172.83</v>
      </c>
      <c r="F13047">
        <v>0.01</v>
      </c>
    </row>
    <row r="13048" spans="1:6" x14ac:dyDescent="0.3">
      <c r="A13048" t="str">
        <f>HYPERLINK("https://us2.cloudbeds.com/connect/10074733072513#/reservations/31713855971536?display=MX4EHD1AC&amp;reservation_id=31713855971536", "MX4EHD1AC")</f>
        <v>MX4EHD1AC</v>
      </c>
      <c r="B13048" t="s">
        <v>1935</v>
      </c>
      <c r="C13048">
        <v>278</v>
      </c>
      <c r="D13048">
        <v>302.2</v>
      </c>
      <c r="E13048">
        <v>302.19</v>
      </c>
      <c r="F13048">
        <v>0.01</v>
      </c>
    </row>
    <row r="13049" spans="1:6" x14ac:dyDescent="0.3">
      <c r="A13049" t="str">
        <f>HYPERLINK("https://us2.cloudbeds.com/connect/10074733072513#/reservations/31714981540019?display=MX5A9GY67&amp;reservation_id=31714981540019", "MX5A9GY67")</f>
        <v>MX5A9GY67</v>
      </c>
      <c r="B13049" t="s">
        <v>1951</v>
      </c>
      <c r="C13049">
        <v>102.58</v>
      </c>
      <c r="D13049">
        <v>111.51</v>
      </c>
      <c r="E13049">
        <v>111.5</v>
      </c>
      <c r="F13049">
        <v>0.01</v>
      </c>
    </row>
    <row r="13050" spans="1:6" x14ac:dyDescent="0.3">
      <c r="A13050" t="str">
        <f>HYPERLINK("https://us2.cloudbeds.com/connect/10074733072513#/reservations/31716761247938?display=MX6MP6Y27&amp;reservation_id=31716761247938", "MX6MP6Y27")</f>
        <v>MX6MP6Y27</v>
      </c>
      <c r="B13050" t="s">
        <v>1656</v>
      </c>
      <c r="C13050">
        <v>159</v>
      </c>
      <c r="D13050">
        <v>172.84</v>
      </c>
      <c r="E13050">
        <v>172.83</v>
      </c>
      <c r="F13050">
        <v>0.01</v>
      </c>
    </row>
    <row r="13051" spans="1:6" x14ac:dyDescent="0.3">
      <c r="A13051" t="str">
        <f>HYPERLINK("https://us2.cloudbeds.com/connect/10074733072513#/reservations/31712320585926?display=MX389NM5N&amp;reservation_id=31712320585926", "MX389NM5N")</f>
        <v>MX389NM5N</v>
      </c>
      <c r="B13051" t="s">
        <v>1882</v>
      </c>
      <c r="C13051">
        <v>139</v>
      </c>
      <c r="D13051">
        <v>151.1</v>
      </c>
      <c r="E13051">
        <v>151.09</v>
      </c>
      <c r="F13051">
        <v>0.01</v>
      </c>
    </row>
    <row r="13052" spans="1:6" x14ac:dyDescent="0.3">
      <c r="A13052" t="str">
        <f>HYPERLINK("https://us2.cloudbeds.com/connect/10074733072513#/reservations/31716740853972?display=MX6M804R8&amp;reservation_id=31716740853972", "MX6M804R8")</f>
        <v>MX6M804R8</v>
      </c>
      <c r="B13052" t="s">
        <v>1656</v>
      </c>
      <c r="C13052">
        <v>139</v>
      </c>
      <c r="D13052">
        <v>151.1</v>
      </c>
      <c r="E13052">
        <v>151.09</v>
      </c>
      <c r="F13052">
        <v>0.01</v>
      </c>
    </row>
    <row r="13053" spans="1:6" x14ac:dyDescent="0.3">
      <c r="A13053" t="str">
        <f>HYPERLINK("https://us2.cloudbeds.com/connect/10074733072513#/reservations/31715229499568?display=MX5GKJFTV&amp;reservation_id=31715229499568", "MX5GKJFTV")</f>
        <v>MX5GKJFTV</v>
      </c>
      <c r="B13053" t="s">
        <v>1958</v>
      </c>
      <c r="C13053">
        <v>139</v>
      </c>
      <c r="D13053">
        <v>151.1</v>
      </c>
      <c r="E13053">
        <v>151.09</v>
      </c>
      <c r="F13053">
        <v>0.01</v>
      </c>
    </row>
    <row r="13054" spans="1:6" x14ac:dyDescent="0.3">
      <c r="A13054" t="str">
        <f>HYPERLINK("https://us2.cloudbeds.com/connect/10074733072513#/reservations/31716150259854?display=MX674WWQQ&amp;reservation_id=31716150259854", "MX674WWQQ")</f>
        <v>MX674WWQQ</v>
      </c>
      <c r="B13054" t="s">
        <v>1953</v>
      </c>
      <c r="C13054">
        <v>149</v>
      </c>
      <c r="D13054">
        <v>161.97</v>
      </c>
      <c r="E13054">
        <v>161.96</v>
      </c>
      <c r="F13054">
        <v>0.01</v>
      </c>
    </row>
    <row r="13055" spans="1:6" x14ac:dyDescent="0.3">
      <c r="A13055" t="str">
        <f>HYPERLINK("https://us2.cloudbeds.com/connect/10074733072513#/reservations/31717489762442?display=MX78CGKZA&amp;reservation_id=31717489762442", "MX78CGKZA")</f>
        <v>MX78CGKZA</v>
      </c>
      <c r="B13055" t="s">
        <v>1962</v>
      </c>
      <c r="C13055">
        <v>139</v>
      </c>
      <c r="D13055">
        <v>151.1</v>
      </c>
      <c r="E13055">
        <v>151.09</v>
      </c>
      <c r="F13055">
        <v>0.01</v>
      </c>
    </row>
    <row r="13056" spans="1:6" x14ac:dyDescent="0.3">
      <c r="A13056" t="str">
        <f>HYPERLINK("https://us2.cloudbeds.com/connect/10074733072513#/reservations/31717509337271?display=MX78T0APV&amp;reservation_id=31717509337271", "MX78T0APV")</f>
        <v>MX78T0APV</v>
      </c>
      <c r="B13056" t="s">
        <v>1953</v>
      </c>
      <c r="C13056">
        <v>97.74</v>
      </c>
      <c r="D13056">
        <v>106.25</v>
      </c>
      <c r="E13056">
        <v>106.24</v>
      </c>
      <c r="F13056">
        <v>0.01</v>
      </c>
    </row>
    <row r="13057" spans="1:6" x14ac:dyDescent="0.3">
      <c r="A13057" t="str">
        <f>HYPERLINK("https://us2.cloudbeds.com/connect/10074733072513#/reservations/31715141595267?display=MX5ECFDN8&amp;reservation_id=31715141595267", "MX5ECFDN8")</f>
        <v>MX5ECFDN8</v>
      </c>
      <c r="B13057" t="s">
        <v>1953</v>
      </c>
      <c r="C13057">
        <v>97.74</v>
      </c>
      <c r="D13057">
        <v>106.25</v>
      </c>
      <c r="E13057">
        <v>106.24</v>
      </c>
      <c r="F13057">
        <v>0.01</v>
      </c>
    </row>
    <row r="13058" spans="1:6" x14ac:dyDescent="0.3">
      <c r="A13058" t="str">
        <f>HYPERLINK("https://us2.cloudbeds.com/connect/10074733072513#/reservations/31716734312583?display=MX6M2G41B&amp;reservation_id=31716734312583", "MX6M2G41B")</f>
        <v>MX6M2G41B</v>
      </c>
      <c r="B13058" t="s">
        <v>1958</v>
      </c>
      <c r="C13058">
        <v>139</v>
      </c>
      <c r="D13058">
        <v>151.1</v>
      </c>
      <c r="E13058">
        <v>151.09</v>
      </c>
      <c r="F13058">
        <v>0.01</v>
      </c>
    </row>
    <row r="13059" spans="1:6" x14ac:dyDescent="0.3">
      <c r="A13059" t="str">
        <f>HYPERLINK("https://us2.cloudbeds.com/connect/10074733072513#/reservations/31717127790769?display=MX6W497MZ&amp;reservation_id=31717127790769", "MX6W497MZ")</f>
        <v>MX6W497MZ</v>
      </c>
      <c r="B13059" t="s">
        <v>1958</v>
      </c>
      <c r="C13059">
        <v>139</v>
      </c>
      <c r="D13059">
        <v>151.1</v>
      </c>
      <c r="E13059">
        <v>151.09</v>
      </c>
      <c r="F13059">
        <v>0.01</v>
      </c>
    </row>
    <row r="13060" spans="1:6" x14ac:dyDescent="0.3">
      <c r="A13060" t="str">
        <f>HYPERLINK("https://us2.cloudbeds.com/connect/10074733072513#/reservations/31713689272542?display=MX4A8RD0N&amp;reservation_id=31713689272542", "MX4A8RD0N")</f>
        <v>MX4A8RD0N</v>
      </c>
      <c r="B13060" t="s">
        <v>1951</v>
      </c>
      <c r="C13060">
        <v>110.86</v>
      </c>
      <c r="D13060">
        <v>120.51</v>
      </c>
      <c r="E13060">
        <v>120.5</v>
      </c>
      <c r="F13060">
        <v>0.01</v>
      </c>
    </row>
    <row r="13061" spans="1:6" x14ac:dyDescent="0.3">
      <c r="A13061" t="str">
        <f>HYPERLINK("https://us2.cloudbeds.com/connect/10074733072513#/reservations/31714890989709?display=MX57W4V7E&amp;reservation_id=31714890989709", "MX57W4V7E")</f>
        <v>MX57W4V7E</v>
      </c>
      <c r="B13061" t="s">
        <v>1924</v>
      </c>
      <c r="C13061">
        <v>219</v>
      </c>
      <c r="D13061">
        <v>238.06</v>
      </c>
      <c r="E13061">
        <v>238.05</v>
      </c>
      <c r="F13061">
        <v>0.01</v>
      </c>
    </row>
    <row r="13062" spans="1:6" x14ac:dyDescent="0.3">
      <c r="A13062" t="str">
        <f>HYPERLINK("https://us2.cloudbeds.com/connect/10074733072513#/reservations/31715007230169?display=MX5AV5GPK&amp;reservation_id=31715007230169", "MX5AV5GPK")</f>
        <v>MX5AV5GPK</v>
      </c>
      <c r="B13062" t="s">
        <v>1936</v>
      </c>
      <c r="C13062">
        <v>418</v>
      </c>
      <c r="D13062">
        <v>454.38</v>
      </c>
      <c r="E13062">
        <v>454.37</v>
      </c>
      <c r="F13062">
        <v>0.01</v>
      </c>
    </row>
    <row r="13063" spans="1:6" x14ac:dyDescent="0.3">
      <c r="A13063" t="str">
        <f>HYPERLINK("https://us2.cloudbeds.com/connect/10074733072513#/reservations/31714577383601?display=MX4WVND01&amp;reservation_id=31714577383601", "MX4WVND01")</f>
        <v>MX4WVND01</v>
      </c>
      <c r="B13063" t="s">
        <v>1539</v>
      </c>
      <c r="C13063">
        <v>159</v>
      </c>
      <c r="D13063">
        <v>172.84</v>
      </c>
      <c r="E13063">
        <v>172.83</v>
      </c>
      <c r="F13063">
        <v>0.01</v>
      </c>
    </row>
    <row r="13064" spans="1:6" x14ac:dyDescent="0.3">
      <c r="A13064" t="str">
        <f>HYPERLINK("https://us2.cloudbeds.com/connect/10074733072513#/reservations/31711787462885?display=MX2RM5ZB1&amp;reservation_id=31711787462885", "MX2RM5ZB1")</f>
        <v>MX2RM5ZB1</v>
      </c>
      <c r="B13064" t="s">
        <v>1965</v>
      </c>
      <c r="C13064">
        <v>89</v>
      </c>
      <c r="D13064">
        <v>96.75</v>
      </c>
      <c r="E13064">
        <v>96.74</v>
      </c>
      <c r="F13064">
        <v>0.01</v>
      </c>
    </row>
    <row r="13065" spans="1:6" x14ac:dyDescent="0.3">
      <c r="A13065" t="str">
        <f>HYPERLINK("https://us2.cloudbeds.com/connect/10074733072513#/reservations/31715175821510?display=MX5F8AQP4&amp;reservation_id=31715175821510", "MX5F8AQP4")</f>
        <v>MX5F8AQP4</v>
      </c>
      <c r="B13065" t="s">
        <v>1953</v>
      </c>
      <c r="C13065">
        <v>179</v>
      </c>
      <c r="D13065">
        <v>194.58</v>
      </c>
      <c r="E13065">
        <v>194.57</v>
      </c>
      <c r="F13065">
        <v>0.01</v>
      </c>
    </row>
    <row r="13066" spans="1:6" x14ac:dyDescent="0.3">
      <c r="A13066" t="str">
        <f>HYPERLINK("https://us2.cloudbeds.com/connect/10074733072513#/reservations/31714969530587?display=MX59WCF81&amp;reservation_id=31714969530587", "MX59WCF81")</f>
        <v>MX59WCF81</v>
      </c>
      <c r="B13066" t="s">
        <v>1951</v>
      </c>
      <c r="C13066">
        <v>139</v>
      </c>
      <c r="D13066">
        <v>151.1</v>
      </c>
      <c r="E13066">
        <v>151.09</v>
      </c>
      <c r="F13066">
        <v>0.01</v>
      </c>
    </row>
    <row r="13067" spans="1:6" x14ac:dyDescent="0.3">
      <c r="A13067" t="str">
        <f>HYPERLINK("https://us2.cloudbeds.com/connect/10074733072513#/reservations/31713576300769?display=MX47CXQ0Y&amp;reservation_id=31713576300769", "MX47CXQ0Y")</f>
        <v>MX47CXQ0Y</v>
      </c>
      <c r="B13067" t="s">
        <v>1966</v>
      </c>
      <c r="C13067">
        <v>89</v>
      </c>
      <c r="D13067">
        <v>96.75</v>
      </c>
      <c r="E13067">
        <v>96.74</v>
      </c>
      <c r="F13067">
        <v>0.01</v>
      </c>
    </row>
    <row r="13068" spans="1:6" x14ac:dyDescent="0.3">
      <c r="A13068" t="str">
        <f>HYPERLINK("https://us2.cloudbeds.com/connect/10074733072513#/reservations/31711176765677?display=MX2C27661&amp;reservation_id=31711176765677", "MX2C27661")</f>
        <v>MX2C27661</v>
      </c>
      <c r="B13068" t="s">
        <v>1966</v>
      </c>
      <c r="C13068">
        <v>89</v>
      </c>
      <c r="D13068">
        <v>96.75</v>
      </c>
      <c r="E13068">
        <v>96.74</v>
      </c>
      <c r="F13068">
        <v>0.01</v>
      </c>
    </row>
    <row r="13069" spans="1:6" x14ac:dyDescent="0.3">
      <c r="A13069" t="str">
        <f>HYPERLINK("https://us2.cloudbeds.com/connect/10074733072513#/reservations/31713074352288?display=MX3RXAAVK&amp;reservation_id=31713074352288", "MX3RXAAVK")</f>
        <v>MX3RXAAVK</v>
      </c>
      <c r="B13069" t="s">
        <v>1661</v>
      </c>
      <c r="C13069">
        <v>318</v>
      </c>
      <c r="D13069">
        <v>345.68</v>
      </c>
      <c r="E13069">
        <v>345.67</v>
      </c>
      <c r="F13069">
        <v>0.01</v>
      </c>
    </row>
    <row r="13070" spans="1:6" x14ac:dyDescent="0.3">
      <c r="A13070" t="str">
        <f>HYPERLINK("https://us2.cloudbeds.com/connect/10074733072513#/reservations/31717454663842?display=MX77FTVKC&amp;reservation_id=31717454663842", "MX77FTVKC")</f>
        <v>MX77FTVKC</v>
      </c>
      <c r="B13070" t="s">
        <v>1962</v>
      </c>
      <c r="C13070">
        <v>169</v>
      </c>
      <c r="D13070">
        <v>183.71</v>
      </c>
      <c r="E13070">
        <v>183.7</v>
      </c>
      <c r="F13070">
        <v>0.01</v>
      </c>
    </row>
    <row r="13071" spans="1:6" x14ac:dyDescent="0.3">
      <c r="A13071" t="str">
        <f>HYPERLINK("https://us2.cloudbeds.com/connect/10074733072513#/reservations/31700946768028?display=MHREM0DV9&amp;reservation_id=31700946768028", "MHREM0DV9")</f>
        <v>MHREM0DV9</v>
      </c>
      <c r="B13071" t="s">
        <v>1788</v>
      </c>
      <c r="C13071">
        <v>199</v>
      </c>
      <c r="D13071">
        <v>216.32</v>
      </c>
      <c r="E13071">
        <v>216.31</v>
      </c>
      <c r="F13071">
        <v>0.01</v>
      </c>
    </row>
    <row r="13072" spans="1:6" x14ac:dyDescent="0.3">
      <c r="A13072" t="str">
        <f>HYPERLINK("https://us2.cloudbeds.com/connect/10074733072513#/reservations/31715007226077?display=MX5AV5D0K&amp;reservation_id=31715007226077", "MX5AV5D0K")</f>
        <v>MX5AV5D0K</v>
      </c>
      <c r="B13072" t="s">
        <v>1951</v>
      </c>
      <c r="C13072">
        <v>102.58</v>
      </c>
      <c r="D13072">
        <v>111.51</v>
      </c>
      <c r="E13072">
        <v>111.5</v>
      </c>
      <c r="F13072">
        <v>0.01</v>
      </c>
    </row>
    <row r="13073" spans="1:6" x14ac:dyDescent="0.3">
      <c r="A13073" t="str">
        <f>HYPERLINK("https://us2.cloudbeds.com/connect/10074733072513#/reservations/31711813169354?display=MX2SAS1TV&amp;reservation_id=31711813169354", "MX2SAS1TV")</f>
        <v>MX2SAS1TV</v>
      </c>
      <c r="B13073" t="s">
        <v>1965</v>
      </c>
      <c r="C13073">
        <v>89</v>
      </c>
      <c r="D13073">
        <v>96.75</v>
      </c>
      <c r="E13073">
        <v>96.74</v>
      </c>
      <c r="F13073">
        <v>0.01</v>
      </c>
    </row>
    <row r="13074" spans="1:6" x14ac:dyDescent="0.3">
      <c r="A13074" t="str">
        <f>HYPERLINK("https://us2.cloudbeds.com/connect/10074733072513#/reservations/31716990132370?display=MX6SK6MK3&amp;reservation_id=31716990132370", "MX6SK6MK3")</f>
        <v>MX6SK6MK3</v>
      </c>
      <c r="B13074" t="s">
        <v>1949</v>
      </c>
      <c r="C13074">
        <v>169</v>
      </c>
      <c r="D13074">
        <v>183.71</v>
      </c>
      <c r="E13074">
        <v>183.7</v>
      </c>
      <c r="F13074">
        <v>0.01</v>
      </c>
    </row>
    <row r="13075" spans="1:6" x14ac:dyDescent="0.3">
      <c r="A13075" t="str">
        <f>HYPERLINK("https://us2.cloudbeds.com/connect/10074733072513#/reservations/31715284078786?display=MX5X0K7XY&amp;reservation_id=31715284078786", "MX5X0K7XY")</f>
        <v>MX5X0K7XY</v>
      </c>
      <c r="B13075" t="s">
        <v>1878</v>
      </c>
      <c r="C13075">
        <v>189</v>
      </c>
      <c r="D13075">
        <v>205.45</v>
      </c>
      <c r="E13075">
        <v>205.44</v>
      </c>
      <c r="F13075">
        <v>0.01</v>
      </c>
    </row>
    <row r="13076" spans="1:6" x14ac:dyDescent="0.3">
      <c r="A13076" t="str">
        <f>HYPERLINK("https://us2.cloudbeds.com/connect/10074733072513#/reservations/31716544618672?display=MX6H7HK40&amp;reservation_id=31716544618672", "MX6H7HK40")</f>
        <v>MX6H7HK40</v>
      </c>
      <c r="B13076" t="s">
        <v>1954</v>
      </c>
      <c r="C13076">
        <v>219</v>
      </c>
      <c r="D13076">
        <v>238.06</v>
      </c>
      <c r="E13076">
        <v>238.05</v>
      </c>
      <c r="F13076">
        <v>0.01</v>
      </c>
    </row>
    <row r="13077" spans="1:6" x14ac:dyDescent="0.3">
      <c r="A13077" t="str">
        <f>HYPERLINK("https://us2.cloudbeds.com/connect/10074733072513#/reservations/31716505346192?display=MX6G7DQ7S&amp;reservation_id=31716505346192", "MX6G7DQ7S")</f>
        <v>MX6G7DQ7S</v>
      </c>
      <c r="B13077" t="s">
        <v>1954</v>
      </c>
      <c r="C13077">
        <v>219</v>
      </c>
      <c r="D13077">
        <v>238.06</v>
      </c>
      <c r="E13077">
        <v>238.05</v>
      </c>
      <c r="F13077">
        <v>0.01</v>
      </c>
    </row>
    <row r="13078" spans="1:6" x14ac:dyDescent="0.3">
      <c r="A13078" t="str">
        <f>HYPERLINK("https://us2.cloudbeds.com/connect/10074733072513#/reservations/31711929467129?display=MX2V9U72V&amp;reservation_id=31711929467129", "MX2V9U72V")</f>
        <v>MX2V9U72V</v>
      </c>
      <c r="B13078" t="s">
        <v>1965</v>
      </c>
      <c r="C13078">
        <v>89</v>
      </c>
      <c r="D13078">
        <v>96.75</v>
      </c>
      <c r="E13078">
        <v>96.74</v>
      </c>
      <c r="F13078">
        <v>0.01</v>
      </c>
    </row>
    <row r="13079" spans="1:6" x14ac:dyDescent="0.3">
      <c r="A13079" t="str">
        <f>HYPERLINK("https://us2.cloudbeds.com/connect/10074733072513#/reservations/31711512617102?display=MX2KYDZMV&amp;reservation_id=31711512617102", "MX2KYDZMV")</f>
        <v>MX2KYDZMV</v>
      </c>
      <c r="B13079" t="s">
        <v>1968</v>
      </c>
      <c r="C13079">
        <v>169</v>
      </c>
      <c r="D13079">
        <v>183.71</v>
      </c>
      <c r="E13079">
        <v>183.7</v>
      </c>
      <c r="F13079">
        <v>0.01</v>
      </c>
    </row>
    <row r="13080" spans="1:6" x14ac:dyDescent="0.3">
      <c r="A13080" t="str">
        <f>HYPERLINK("https://us2.cloudbeds.com/connect/10074733072513#/reservations/31714367041787?display=MX4RJBAYM&amp;reservation_id=31714367041787", "MX4RJBAYM")</f>
        <v>MX4RJBAYM</v>
      </c>
      <c r="B13080" t="s">
        <v>1953</v>
      </c>
      <c r="C13080">
        <v>179</v>
      </c>
      <c r="D13080">
        <v>194.58</v>
      </c>
      <c r="E13080">
        <v>194.57</v>
      </c>
      <c r="F13080">
        <v>0.01</v>
      </c>
    </row>
    <row r="13081" spans="1:6" x14ac:dyDescent="0.3">
      <c r="A13081" t="str">
        <f>HYPERLINK("https://us2.cloudbeds.com/connect/10074733072513#/reservations/31714727649506?display=MX53QDP7A&amp;reservation_id=31714727649506", "MX53QDP7A")</f>
        <v>MX53QDP7A</v>
      </c>
      <c r="B13081" t="s">
        <v>1816</v>
      </c>
      <c r="C13081">
        <v>89</v>
      </c>
      <c r="D13081">
        <v>96.75</v>
      </c>
      <c r="E13081">
        <v>96.74</v>
      </c>
      <c r="F13081">
        <v>0.01</v>
      </c>
    </row>
    <row r="13082" spans="1:6" x14ac:dyDescent="0.3">
      <c r="A13082" t="str">
        <f>HYPERLINK("https://us2.cloudbeds.com/connect/10074733072513#/reservations/31711126851739?display=MX2AQ48HF&amp;reservation_id=31711126851739", "MX2AQ48HF")</f>
        <v>MX2AQ48HF</v>
      </c>
      <c r="B13082" t="s">
        <v>1966</v>
      </c>
      <c r="C13082">
        <v>89</v>
      </c>
      <c r="D13082">
        <v>96.75</v>
      </c>
      <c r="E13082">
        <v>96.74</v>
      </c>
      <c r="F13082">
        <v>0.01</v>
      </c>
    </row>
    <row r="13083" spans="1:6" x14ac:dyDescent="0.3">
      <c r="A13083" t="str">
        <f>HYPERLINK("https://us2.cloudbeds.com/connect/10074733072513#/reservations/31715174092940?display=MX5F6SNEW&amp;reservation_id=31715174092940", "MX5F6SNEW")</f>
        <v>MX5F6SNEW</v>
      </c>
      <c r="B13083" t="s">
        <v>1953</v>
      </c>
      <c r="C13083">
        <v>149</v>
      </c>
      <c r="D13083">
        <v>161.97</v>
      </c>
      <c r="E13083">
        <v>161.96</v>
      </c>
      <c r="F13083">
        <v>0.01</v>
      </c>
    </row>
    <row r="13084" spans="1:6" x14ac:dyDescent="0.3">
      <c r="A13084" t="str">
        <f>HYPERLINK("https://us2.cloudbeds.com/connect/10074733072513#/reservations/31717036056782?display=MX6TPUJPV&amp;reservation_id=31717036056782", "MX6TPUJPV")</f>
        <v>MX6TPUJPV</v>
      </c>
      <c r="B13084" t="s">
        <v>1949</v>
      </c>
      <c r="C13084">
        <v>336</v>
      </c>
      <c r="D13084">
        <v>365.24</v>
      </c>
      <c r="E13084">
        <v>365.23</v>
      </c>
      <c r="F13084">
        <v>0.01</v>
      </c>
    </row>
    <row r="13085" spans="1:6" x14ac:dyDescent="0.3">
      <c r="A13085" t="str">
        <f>HYPERLINK("https://us2.cloudbeds.com/connect/10074733072513#/reservations/31717330268364?display=MX74A0FHE&amp;reservation_id=31717330268364", "MX74A0FHE")</f>
        <v>MX74A0FHE</v>
      </c>
      <c r="B13085" t="s">
        <v>1954</v>
      </c>
      <c r="C13085">
        <v>229</v>
      </c>
      <c r="D13085">
        <v>248.93</v>
      </c>
      <c r="E13085">
        <v>248.92</v>
      </c>
      <c r="F13085">
        <v>0.01</v>
      </c>
    </row>
    <row r="13086" spans="1:6" x14ac:dyDescent="0.3">
      <c r="A13086" t="str">
        <f>HYPERLINK("https://us2.cloudbeds.com/connect/10074733072513#/reservations/31717269176512?display=MX72F0DAC&amp;reservation_id=31717269176512", "MX72F0DAC")</f>
        <v>MX72F0DAC</v>
      </c>
      <c r="B13086" t="s">
        <v>1954</v>
      </c>
      <c r="C13086">
        <v>189</v>
      </c>
      <c r="D13086">
        <v>205.45</v>
      </c>
      <c r="E13086">
        <v>205.44</v>
      </c>
      <c r="F13086">
        <v>0.01</v>
      </c>
    </row>
    <row r="13087" spans="1:6" x14ac:dyDescent="0.3">
      <c r="A13087" t="str">
        <f>HYPERLINK("https://us2.cloudbeds.com/connect/10074733072513#/reservations/31716134191347?display=MX66ZESHB&amp;reservation_id=31716134191347", "MX66ZESHB")</f>
        <v>MX66ZESHB</v>
      </c>
      <c r="B13087" t="s">
        <v>1951</v>
      </c>
      <c r="C13087">
        <v>73</v>
      </c>
      <c r="D13087">
        <v>79.36</v>
      </c>
      <c r="E13087">
        <v>79.349999999999994</v>
      </c>
      <c r="F13087">
        <v>0.01</v>
      </c>
    </row>
    <row r="13088" spans="1:6" x14ac:dyDescent="0.3">
      <c r="A13088" t="str">
        <f>HYPERLINK("https://us2.cloudbeds.com/connect/10074733072513#/reservations/31716063764616?display=MX64V24GW&amp;reservation_id=31716063764616", "MX64V24GW")</f>
        <v>MX64V24GW</v>
      </c>
      <c r="B13088" t="s">
        <v>1951</v>
      </c>
      <c r="C13088">
        <v>139</v>
      </c>
      <c r="D13088">
        <v>151.1</v>
      </c>
      <c r="E13088">
        <v>151.09</v>
      </c>
      <c r="F13088">
        <v>0.01</v>
      </c>
    </row>
    <row r="13089" spans="1:6" x14ac:dyDescent="0.3">
      <c r="A13089" t="str">
        <f>HYPERLINK("https://us2.cloudbeds.com/connect/10074733072513#/reservations/31715847807181?display=MX5WDVQG9&amp;reservation_id=31715847807181", "MX5WDVQG9")</f>
        <v>MX5WDVQG9</v>
      </c>
      <c r="B13089" t="s">
        <v>1816</v>
      </c>
      <c r="C13089">
        <v>209</v>
      </c>
      <c r="D13089">
        <v>227.19</v>
      </c>
      <c r="E13089">
        <v>227.18</v>
      </c>
      <c r="F13089">
        <v>0.01</v>
      </c>
    </row>
    <row r="13090" spans="1:6" x14ac:dyDescent="0.3">
      <c r="A13090" t="str">
        <f>HYPERLINK("https://us2.cloudbeds.com/connect/10074733072513#/reservations/31715520356489?display=MX5Z1S051&amp;reservation_id=31715520356489", "MX5Z1S051")</f>
        <v>MX5Z1S051</v>
      </c>
      <c r="B13090" t="s">
        <v>1868</v>
      </c>
      <c r="C13090">
        <v>89</v>
      </c>
      <c r="D13090">
        <v>96.75</v>
      </c>
      <c r="E13090">
        <v>96.74</v>
      </c>
      <c r="F13090">
        <v>0.01</v>
      </c>
    </row>
    <row r="13091" spans="1:6" x14ac:dyDescent="0.3">
      <c r="A13091" t="str">
        <f>HYPERLINK("https://us2.cloudbeds.com/connect/10074733072513#/reservations/31714958282975?display=MX59MTFSA&amp;reservation_id=31714958282975", "MX59MTFSA")</f>
        <v>MX59MTFSA</v>
      </c>
      <c r="B13091" t="s">
        <v>1951</v>
      </c>
      <c r="C13091">
        <v>139</v>
      </c>
      <c r="D13091">
        <v>151.1</v>
      </c>
      <c r="E13091">
        <v>151.09</v>
      </c>
      <c r="F13091">
        <v>0.01</v>
      </c>
    </row>
    <row r="13092" spans="1:6" x14ac:dyDescent="0.3">
      <c r="A13092" t="str">
        <f>HYPERLINK("https://us2.cloudbeds.com/connect/10074733072513#/reservations/31713704976531?display=MX4AM2CJ5&amp;reservation_id=31713704976531", "MX4AM2CJ5")</f>
        <v>MX4AM2CJ5</v>
      </c>
      <c r="B13092" t="s">
        <v>1954</v>
      </c>
      <c r="C13092">
        <v>169</v>
      </c>
      <c r="D13092">
        <v>183.71</v>
      </c>
      <c r="E13092">
        <v>183.7</v>
      </c>
      <c r="F13092">
        <v>0.01</v>
      </c>
    </row>
    <row r="13093" spans="1:6" x14ac:dyDescent="0.3">
      <c r="A13093" t="str">
        <f>HYPERLINK("https://us2.cloudbeds.com/connect/10074733072513#/reservations/31713592590566?display=MX47QA2GS&amp;reservation_id=31713592590566", "MX47QA2GS")</f>
        <v>MX47QA2GS</v>
      </c>
      <c r="B13093" t="s">
        <v>1901</v>
      </c>
      <c r="C13093">
        <v>73</v>
      </c>
      <c r="D13093">
        <v>79.36</v>
      </c>
      <c r="E13093">
        <v>79.349999999999994</v>
      </c>
      <c r="F13093">
        <v>0.01</v>
      </c>
    </row>
    <row r="13094" spans="1:6" x14ac:dyDescent="0.3">
      <c r="A13094" t="str">
        <f>HYPERLINK("https://us2.cloudbeds.com/connect/10074733072513#/reservations/31717442539718?display=MX775MJBM&amp;reservation_id=31717442539718", "MX775MJBM")</f>
        <v>MX775MJBM</v>
      </c>
      <c r="B13094" t="s">
        <v>1962</v>
      </c>
      <c r="C13094">
        <v>139</v>
      </c>
      <c r="D13094">
        <v>151.1</v>
      </c>
      <c r="E13094">
        <v>151.09</v>
      </c>
      <c r="F13094">
        <v>0.01</v>
      </c>
    </row>
    <row r="13095" spans="1:6" x14ac:dyDescent="0.3">
      <c r="A13095" t="str">
        <f>HYPERLINK("https://us2.cloudbeds.com/connect/10074733072513#/reservations/31710914719945?display=MX25C8CG9&amp;reservation_id=31710914719945", "MX25C8CG9")</f>
        <v>MX25C8CG9</v>
      </c>
      <c r="B13095" t="s">
        <v>1697</v>
      </c>
      <c r="C13095">
        <v>159</v>
      </c>
      <c r="D13095">
        <v>172.84</v>
      </c>
      <c r="E13095">
        <v>172.83</v>
      </c>
      <c r="F13095">
        <v>0.01</v>
      </c>
    </row>
    <row r="13096" spans="1:6" x14ac:dyDescent="0.3">
      <c r="A13096" t="str">
        <f>HYPERLINK("https://us2.cloudbeds.com/connect/10074733072513#/reservations/31717482635498?display=MX786GA8A&amp;reservation_id=31717482635498", "MX786GA8A")</f>
        <v>MX786GA8A</v>
      </c>
      <c r="B13096" t="s">
        <v>1962</v>
      </c>
      <c r="C13096">
        <v>313.2</v>
      </c>
      <c r="D13096">
        <v>340.46</v>
      </c>
      <c r="E13096">
        <v>340.45</v>
      </c>
      <c r="F13096">
        <v>0.01</v>
      </c>
    </row>
    <row r="13097" spans="1:6" x14ac:dyDescent="0.3">
      <c r="A13097" t="str">
        <f>HYPERLINK("https://us2.cloudbeds.com/connect/10074733072513#/reservations/31716519968992?display=MX6GJZMW0&amp;reservation_id=31716519968992", "MX6GJZMW0")</f>
        <v>MX6GJZMW0</v>
      </c>
      <c r="B13097" t="s">
        <v>1954</v>
      </c>
      <c r="C13097">
        <v>189</v>
      </c>
      <c r="D13097">
        <v>205.45</v>
      </c>
      <c r="E13097">
        <v>205.44</v>
      </c>
      <c r="F13097">
        <v>0.01</v>
      </c>
    </row>
    <row r="13098" spans="1:6" x14ac:dyDescent="0.3">
      <c r="A13098" t="str">
        <f>HYPERLINK("https://us2.cloudbeds.com/connect/10074733072513#/reservations/31712397508817?display=MX3A8J5ED&amp;reservation_id=31712397508817", "MX3A8J5ED")</f>
        <v>MX3A8J5ED</v>
      </c>
      <c r="B13098" t="s">
        <v>1711</v>
      </c>
      <c r="C13098">
        <v>189</v>
      </c>
      <c r="D13098">
        <v>205.45</v>
      </c>
      <c r="E13098">
        <v>205.44</v>
      </c>
      <c r="F13098">
        <v>0.01</v>
      </c>
    </row>
    <row r="13099" spans="1:6" x14ac:dyDescent="0.3">
      <c r="A13099" t="str">
        <f>HYPERLINK("https://us2.cloudbeds.com/connect/10074733072513#/reservations/31714488361159?display=MX4UMY719&amp;reservation_id=31714488361159", "MX4UMY719")</f>
        <v>MX4UMY719</v>
      </c>
      <c r="B13099" t="s">
        <v>1816</v>
      </c>
      <c r="C13099">
        <v>398</v>
      </c>
      <c r="D13099">
        <v>432.64</v>
      </c>
      <c r="E13099">
        <v>432.63</v>
      </c>
      <c r="F13099">
        <v>0.01</v>
      </c>
    </row>
    <row r="13100" spans="1:6" x14ac:dyDescent="0.3">
      <c r="A13100" t="str">
        <f>HYPERLINK("https://us2.cloudbeds.com/connect/10074733072513#/reservations/31715600441518?display=MX5Q3CG43&amp;reservation_id=31715600441518", "MX5Q3CG43")</f>
        <v>MX5Q3CG43</v>
      </c>
      <c r="B13100" t="s">
        <v>1962</v>
      </c>
      <c r="C13100">
        <v>102.58</v>
      </c>
      <c r="D13100">
        <v>111.51</v>
      </c>
      <c r="E13100">
        <v>111.5</v>
      </c>
      <c r="F13100">
        <v>0.01</v>
      </c>
    </row>
    <row r="13101" spans="1:6" x14ac:dyDescent="0.3">
      <c r="A13101" t="str">
        <f>HYPERLINK("https://us2.cloudbeds.com/connect/10074733072513#/reservations/31715560415478?display=MX5P2KN8Q&amp;reservation_id=31715560415478", "MX5P2KN8Q")</f>
        <v>MX5P2KN8Q</v>
      </c>
      <c r="B13101" t="s">
        <v>1868</v>
      </c>
      <c r="C13101">
        <v>89</v>
      </c>
      <c r="D13101">
        <v>96.75</v>
      </c>
      <c r="E13101">
        <v>96.74</v>
      </c>
      <c r="F13101">
        <v>0.01</v>
      </c>
    </row>
    <row r="13102" spans="1:6" x14ac:dyDescent="0.3">
      <c r="A13102" t="str">
        <f>HYPERLINK("https://us2.cloudbeds.com/connect/10074733072513#/reservations/31716259246223?display=MX69UTN41&amp;reservation_id=31716259246223", "MX69UTN41")</f>
        <v>MX69UTN41</v>
      </c>
      <c r="B13102" t="s">
        <v>1943</v>
      </c>
      <c r="C13102">
        <v>102.58</v>
      </c>
      <c r="D13102">
        <v>111.51</v>
      </c>
      <c r="E13102">
        <v>111.5</v>
      </c>
      <c r="F13102">
        <v>0.01</v>
      </c>
    </row>
    <row r="13103" spans="1:6" x14ac:dyDescent="0.3">
      <c r="A13103" t="str">
        <f>HYPERLINK("https://us2.cloudbeds.com/connect/10074733072513#/reservations/31714470080665?display=MX4U77HHU&amp;reservation_id=31714470080665", "MX4U77HHU")</f>
        <v>MX4U77HHU</v>
      </c>
      <c r="B13103" t="s">
        <v>1816</v>
      </c>
      <c r="C13103">
        <v>229</v>
      </c>
      <c r="D13103">
        <v>248.93</v>
      </c>
      <c r="E13103">
        <v>248.92</v>
      </c>
      <c r="F13103">
        <v>0.01</v>
      </c>
    </row>
    <row r="13104" spans="1:6" x14ac:dyDescent="0.3">
      <c r="A13104" t="str">
        <f>HYPERLINK("https://us2.cloudbeds.com/connect/10074733072513#/reservations/31714699681973?display=MX532RHCA&amp;reservation_id=31714699681973", "MX532RHCA")</f>
        <v>MX532RHCA</v>
      </c>
      <c r="B13104" t="s">
        <v>1816</v>
      </c>
      <c r="C13104">
        <v>219</v>
      </c>
      <c r="D13104">
        <v>238.06</v>
      </c>
      <c r="E13104">
        <v>238.05</v>
      </c>
      <c r="F13104">
        <v>0.01</v>
      </c>
    </row>
    <row r="13105" spans="1:6" x14ac:dyDescent="0.3">
      <c r="A13105" t="str">
        <f>HYPERLINK("https://us2.cloudbeds.com/connect/10074733072513#/reservations/31712806559936?display=MX3KNGGJY&amp;reservation_id=31712806559936", "MX3KNGGJY")</f>
        <v>MX3KNGGJY</v>
      </c>
      <c r="B13105" t="s">
        <v>1927</v>
      </c>
      <c r="C13105">
        <v>159</v>
      </c>
      <c r="D13105">
        <v>172.84</v>
      </c>
      <c r="E13105">
        <v>172.83</v>
      </c>
      <c r="F13105">
        <v>0.01</v>
      </c>
    </row>
    <row r="13106" spans="1:6" x14ac:dyDescent="0.3">
      <c r="A13106" t="str">
        <f>HYPERLINK("https://us2.cloudbeds.com/connect/10074733072513#/reservations/31714529018101?display=MX4VNUX7R&amp;reservation_id=31714529018101", "MX4VNUX7R")</f>
        <v>MX4VNUX7R</v>
      </c>
      <c r="B13106" t="s">
        <v>1868</v>
      </c>
      <c r="C13106">
        <v>102.58</v>
      </c>
      <c r="D13106">
        <v>111.51</v>
      </c>
      <c r="E13106">
        <v>111.5</v>
      </c>
      <c r="F13106">
        <v>0.01</v>
      </c>
    </row>
    <row r="13107" spans="1:6" x14ac:dyDescent="0.3">
      <c r="A13107" t="str">
        <f>HYPERLINK("https://us2.cloudbeds.com/connect/10074733072513#/reservations/31714567540886?display=MX4WNDGMV&amp;reservation_id=31714567540886", "MX4WNDGMV")</f>
        <v>MX4WNDGMV</v>
      </c>
      <c r="B13107" t="s">
        <v>1868</v>
      </c>
      <c r="C13107">
        <v>102.58</v>
      </c>
      <c r="D13107">
        <v>111.51</v>
      </c>
      <c r="E13107">
        <v>111.5</v>
      </c>
      <c r="F13107">
        <v>0.01</v>
      </c>
    </row>
    <row r="13108" spans="1:6" x14ac:dyDescent="0.3">
      <c r="A13108" t="str">
        <f>HYPERLINK("https://us2.cloudbeds.com/connect/10074733072513#/reservations/31717469757653?display=MX77SKVSJ&amp;reservation_id=31717469757653", "MX77SKVSJ")</f>
        <v>MX77SKVSJ</v>
      </c>
      <c r="B13108" t="s">
        <v>1962</v>
      </c>
      <c r="C13108">
        <v>169</v>
      </c>
      <c r="D13108">
        <v>183.71</v>
      </c>
      <c r="E13108">
        <v>183.7</v>
      </c>
      <c r="F13108">
        <v>0.01</v>
      </c>
    </row>
    <row r="13109" spans="1:6" x14ac:dyDescent="0.3">
      <c r="A13109" t="str">
        <f>HYPERLINK("https://us2.cloudbeds.com/connect/10074733072513#/reservations/31713704972452?display=MX4AM28RX&amp;reservation_id=31713704972452", "MX4AM28RX")</f>
        <v>MX4AM28RX</v>
      </c>
      <c r="B13109" t="s">
        <v>1969</v>
      </c>
      <c r="C13109">
        <v>278</v>
      </c>
      <c r="D13109">
        <v>302.2</v>
      </c>
      <c r="E13109">
        <v>302.19</v>
      </c>
      <c r="F13109">
        <v>0.01</v>
      </c>
    </row>
    <row r="13110" spans="1:6" x14ac:dyDescent="0.3">
      <c r="A13110" t="str">
        <f>HYPERLINK("https://us2.cloudbeds.com/connect/10074733072513#/reservations/31716928770235?display=MX6R1F6CF&amp;reservation_id=31716928770235", "MX6R1F6CF")</f>
        <v>MX6R1F6CF</v>
      </c>
      <c r="B13110" t="s">
        <v>1949</v>
      </c>
      <c r="C13110">
        <v>252</v>
      </c>
      <c r="D13110">
        <v>273.93</v>
      </c>
      <c r="E13110">
        <v>273.92</v>
      </c>
      <c r="F13110">
        <v>0.01</v>
      </c>
    </row>
    <row r="13111" spans="1:6" x14ac:dyDescent="0.3">
      <c r="A13111" t="str">
        <f>HYPERLINK("https://us2.cloudbeds.com/connect/10074733072513#/reservations/31714605236479?display=MX50M6EXY&amp;reservation_id=31714605236479", "MX50M6EXY")</f>
        <v>MX50M6EXY</v>
      </c>
      <c r="B13111" t="s">
        <v>1868</v>
      </c>
      <c r="C13111">
        <v>73</v>
      </c>
      <c r="D13111">
        <v>79.36</v>
      </c>
      <c r="E13111">
        <v>79.349999999999994</v>
      </c>
      <c r="F13111">
        <v>0.01</v>
      </c>
    </row>
    <row r="13112" spans="1:6" x14ac:dyDescent="0.3">
      <c r="A13112" t="str">
        <f>HYPERLINK("https://us2.cloudbeds.com/connect/10074733072513#/reservations/31714605236416?display=MX50DN5XR&amp;reservation_id=31714605236416", "MX50DN5XR")</f>
        <v>MX50DN5XR</v>
      </c>
      <c r="B13112" t="s">
        <v>1539</v>
      </c>
      <c r="C13112">
        <v>149</v>
      </c>
      <c r="D13112">
        <v>161.97</v>
      </c>
      <c r="E13112">
        <v>161.96</v>
      </c>
      <c r="F13112">
        <v>0.01</v>
      </c>
    </row>
    <row r="13113" spans="1:6" x14ac:dyDescent="0.3">
      <c r="A13113" t="str">
        <f>HYPERLINK("https://us2.cloudbeds.com/connect/10074733072513#/reservations/31714586497230?display=MX506CWQK&amp;reservation_id=31714586497230", "MX506CWQK")</f>
        <v>MX506CWQK</v>
      </c>
      <c r="B13113" t="s">
        <v>1539</v>
      </c>
      <c r="C13113">
        <v>159</v>
      </c>
      <c r="D13113">
        <v>172.84</v>
      </c>
      <c r="E13113">
        <v>172.83</v>
      </c>
      <c r="F13113">
        <v>0.01</v>
      </c>
    </row>
    <row r="13114" spans="1:6" x14ac:dyDescent="0.3">
      <c r="A13114" t="str">
        <f>HYPERLINK("https://us2.cloudbeds.com/connect/10074733072513#/reservations/31714488365259?display=MX4UMYAQH&amp;reservation_id=31714488365259", "MX4UMYAQH")</f>
        <v>MX4UMYAQH</v>
      </c>
      <c r="B13114" t="s">
        <v>1711</v>
      </c>
      <c r="C13114">
        <v>189</v>
      </c>
      <c r="D13114">
        <v>205.45</v>
      </c>
      <c r="E13114">
        <v>205.44</v>
      </c>
      <c r="F13114">
        <v>0.01</v>
      </c>
    </row>
    <row r="13115" spans="1:6" x14ac:dyDescent="0.3">
      <c r="A13115" t="str">
        <f>HYPERLINK("https://us2.cloudbeds.com/connect/10074733072513#/reservations/31714548646123?display=MX4W7FZ4C&amp;reservation_id=31714548646123", "MX4W7FZ4C")</f>
        <v>MX4W7FZ4C</v>
      </c>
      <c r="B13115" t="s">
        <v>1868</v>
      </c>
      <c r="C13115">
        <v>139</v>
      </c>
      <c r="D13115">
        <v>151.1</v>
      </c>
      <c r="E13115">
        <v>151.09</v>
      </c>
      <c r="F13115">
        <v>0.01</v>
      </c>
    </row>
    <row r="13116" spans="1:6" x14ac:dyDescent="0.3">
      <c r="A13116" t="str">
        <f>HYPERLINK("https://us2.cloudbeds.com/connect/10074733072513#/reservations/31716985368827?display=MX6SG64CA&amp;reservation_id=31716985368827", "MX6SG64CA")</f>
        <v>MX6SG64CA</v>
      </c>
      <c r="B13116" t="s">
        <v>1933</v>
      </c>
      <c r="C13116">
        <v>159</v>
      </c>
      <c r="D13116">
        <v>172.84</v>
      </c>
      <c r="E13116">
        <v>172.83</v>
      </c>
      <c r="F13116">
        <v>0.01</v>
      </c>
    </row>
    <row r="13117" spans="1:6" x14ac:dyDescent="0.3">
      <c r="A13117" t="str">
        <f>HYPERLINK("https://us2.cloudbeds.com/connect/10074733072513#/reservations/31713603727488?display=MX482MSX5&amp;reservation_id=31713603727488", "MX482MSX5")</f>
        <v>MX482MSX5</v>
      </c>
      <c r="B13117" t="s">
        <v>1901</v>
      </c>
      <c r="C13117">
        <v>89</v>
      </c>
      <c r="D13117">
        <v>96.75</v>
      </c>
      <c r="E13117">
        <v>96.74</v>
      </c>
      <c r="F13117">
        <v>0.01</v>
      </c>
    </row>
    <row r="13118" spans="1:6" x14ac:dyDescent="0.3">
      <c r="A13118" t="str">
        <f>HYPERLINK("https://us2.cloudbeds.com/connect/10074733072513#/reservations/31715592241352?display=MX5PTFA47&amp;reservation_id=31715592241352", "MX5PTFA47")</f>
        <v>MX5PTFA47</v>
      </c>
      <c r="B13118" t="s">
        <v>1868</v>
      </c>
      <c r="C13118">
        <v>109</v>
      </c>
      <c r="D13118">
        <v>118.49</v>
      </c>
      <c r="E13118">
        <v>118.48</v>
      </c>
      <c r="F13118">
        <v>0.01</v>
      </c>
    </row>
    <row r="13119" spans="1:6" x14ac:dyDescent="0.3">
      <c r="A13119" t="str">
        <f>HYPERLINK("https://us2.cloudbeds.com/connect/10074733072513#/reservations/31714415702215?display=MX4SRCC83&amp;reservation_id=31714415702215", "MX4SRCC83")</f>
        <v>MX4SRCC83</v>
      </c>
      <c r="B13119" t="s">
        <v>1711</v>
      </c>
      <c r="C13119">
        <v>209</v>
      </c>
      <c r="D13119">
        <v>227.19</v>
      </c>
      <c r="E13119">
        <v>227.18</v>
      </c>
      <c r="F13119">
        <v>0.01</v>
      </c>
    </row>
    <row r="13120" spans="1:6" x14ac:dyDescent="0.3">
      <c r="A13120" t="str">
        <f>HYPERLINK("https://us2.cloudbeds.com/connect/10074733072513#/reservations/31710876377321?display=MX24CUEFJ&amp;reservation_id=31710876377321", "MX24CUEFJ")</f>
        <v>MX24CUEFJ</v>
      </c>
      <c r="B13120" t="s">
        <v>1697</v>
      </c>
      <c r="C13120">
        <v>159</v>
      </c>
      <c r="D13120">
        <v>172.84</v>
      </c>
      <c r="E13120">
        <v>172.83</v>
      </c>
      <c r="F13120">
        <v>0.01</v>
      </c>
    </row>
    <row r="13121" spans="1:6" x14ac:dyDescent="0.3">
      <c r="A13121" t="str">
        <f>HYPERLINK("https://us2.cloudbeds.com/connect/10074733072513#/reservations/31712391299326?display=MX3A3BCE0&amp;reservation_id=31712391299326", "MX3A3BCE0")</f>
        <v>MX3A3BCE0</v>
      </c>
      <c r="B13121" t="s">
        <v>1711</v>
      </c>
      <c r="C13121">
        <v>159</v>
      </c>
      <c r="D13121">
        <v>172.84</v>
      </c>
      <c r="E13121">
        <v>172.83</v>
      </c>
      <c r="F13121">
        <v>0.01</v>
      </c>
    </row>
    <row r="13122" spans="1:6" x14ac:dyDescent="0.3">
      <c r="A13122" t="str">
        <f>HYPERLINK("https://us2.cloudbeds.com/connect/10074733072513#/reservations/31712429277405?display=MX3B2C5MT&amp;reservation_id=31712429277405", "MX3B2C5MT")</f>
        <v>MX3B2C5MT</v>
      </c>
      <c r="B13122" t="s">
        <v>1967</v>
      </c>
      <c r="C13122">
        <v>322.2</v>
      </c>
      <c r="D13122">
        <v>350.24</v>
      </c>
      <c r="E13122">
        <v>350.23</v>
      </c>
      <c r="F13122">
        <v>0.01</v>
      </c>
    </row>
    <row r="13123" spans="1:6" x14ac:dyDescent="0.3">
      <c r="A13123" t="str">
        <f>HYPERLINK("https://us2.cloudbeds.com/connect/10074733072513#/reservations/31715569098896?display=MX5P9VB0M&amp;reservation_id=31715569098896", "MX5P9VB0M")</f>
        <v>MX5P9VB0M</v>
      </c>
      <c r="B13123" t="s">
        <v>1868</v>
      </c>
      <c r="C13123">
        <v>278</v>
      </c>
      <c r="D13123">
        <v>302.2</v>
      </c>
      <c r="E13123">
        <v>302.19</v>
      </c>
      <c r="F13123">
        <v>0.01</v>
      </c>
    </row>
    <row r="13124" spans="1:6" x14ac:dyDescent="0.3">
      <c r="A13124" t="str">
        <f>HYPERLINK("https://us2.cloudbeds.com/connect/10074733072513#/reservations/31713546834071?display=MX46KNRHD&amp;reservation_id=31713546834071", "MX46KNRHD")</f>
        <v>MX46KNRHD</v>
      </c>
      <c r="B13124" t="s">
        <v>1901</v>
      </c>
      <c r="C13124">
        <v>278</v>
      </c>
      <c r="D13124">
        <v>302.2</v>
      </c>
      <c r="E13124">
        <v>302.19</v>
      </c>
      <c r="F13124">
        <v>0.01</v>
      </c>
    </row>
    <row r="13125" spans="1:6" x14ac:dyDescent="0.3">
      <c r="A13125" t="str">
        <f>HYPERLINK("https://us2.cloudbeds.com/connect/10074733072513#/reservations/31714271035584?display=MX4ZRQZNR&amp;reservation_id=31714271035584", "MX4ZRQZNR")</f>
        <v>MX4ZRQZNR</v>
      </c>
      <c r="B13125" t="s">
        <v>1935</v>
      </c>
      <c r="C13125">
        <v>149</v>
      </c>
      <c r="D13125">
        <v>161.97</v>
      </c>
      <c r="E13125">
        <v>161.96</v>
      </c>
      <c r="F13125">
        <v>0.01</v>
      </c>
    </row>
    <row r="13126" spans="1:6" x14ac:dyDescent="0.3">
      <c r="A13126" t="str">
        <f>HYPERLINK("https://us2.cloudbeds.com/connect/10074733072513#/reservations/31712518197452?display=MX3DBBGKZ&amp;reservation_id=31712518197452", "MX3DBBGKZ")</f>
        <v>MX3DBBGKZ</v>
      </c>
      <c r="B13126" t="s">
        <v>1882</v>
      </c>
      <c r="C13126">
        <v>149</v>
      </c>
      <c r="D13126">
        <v>161.97</v>
      </c>
      <c r="E13126">
        <v>161.96</v>
      </c>
      <c r="F13126">
        <v>0.01</v>
      </c>
    </row>
    <row r="13127" spans="1:6" x14ac:dyDescent="0.3">
      <c r="A13127" t="str">
        <f>HYPERLINK("https://us2.cloudbeds.com/connect/10074733072513#/reservations/31713608020117?display=MX486AE20&amp;reservation_id=31713608020117", "MX486AE20")</f>
        <v>MX486AE20</v>
      </c>
      <c r="B13127" t="s">
        <v>1901</v>
      </c>
      <c r="C13127">
        <v>102.58</v>
      </c>
      <c r="D13127">
        <v>111.51</v>
      </c>
      <c r="E13127">
        <v>111.5</v>
      </c>
      <c r="F13127">
        <v>0.01</v>
      </c>
    </row>
    <row r="13128" spans="1:6" x14ac:dyDescent="0.3">
      <c r="A13128" t="str">
        <f>HYPERLINK("https://us2.cloudbeds.com/connect/10074733072513#/reservations/31713532420252?display=MX468XZN0&amp;reservation_id=31713532420252", "MX468XZN0")</f>
        <v>MX468XZN0</v>
      </c>
      <c r="B13128" t="s">
        <v>1901</v>
      </c>
      <c r="C13128">
        <v>102.58</v>
      </c>
      <c r="D13128">
        <v>111.51</v>
      </c>
      <c r="E13128">
        <v>111.5</v>
      </c>
      <c r="F13128">
        <v>0.01</v>
      </c>
    </row>
    <row r="13129" spans="1:6" x14ac:dyDescent="0.3">
      <c r="A13129" t="str">
        <f>HYPERLINK("https://us2.cloudbeds.com/connect/10074733072513#/reservations/31711669285099?display=MX2ZYH8Q0&amp;reservation_id=31711669285099", "MX2ZYH8Q0")</f>
        <v>MX2ZYH8Q0</v>
      </c>
      <c r="B13129" t="s">
        <v>1910</v>
      </c>
      <c r="C13129">
        <v>149</v>
      </c>
      <c r="D13129">
        <v>161.97</v>
      </c>
      <c r="E13129">
        <v>161.96</v>
      </c>
      <c r="F13129">
        <v>0.01</v>
      </c>
    </row>
    <row r="13130" spans="1:6" x14ac:dyDescent="0.3">
      <c r="A13130" t="str">
        <f>HYPERLINK("https://us2.cloudbeds.com/connect/10074733072513#/reservations/31715577913487?display=MX5PHCK7G&amp;reservation_id=31715577913487", "MX5PHCK7G")</f>
        <v>MX5PHCK7G</v>
      </c>
      <c r="B13130" t="s">
        <v>1901</v>
      </c>
      <c r="C13130">
        <v>139</v>
      </c>
      <c r="D13130">
        <v>151.1</v>
      </c>
      <c r="E13130">
        <v>151.09</v>
      </c>
      <c r="F13130">
        <v>0.01</v>
      </c>
    </row>
    <row r="13131" spans="1:6" x14ac:dyDescent="0.3">
      <c r="A13131" t="str">
        <f>HYPERLINK("https://us2.cloudbeds.com/connect/10074733072513#/reservations/31701794332857?display=MHS3AN5CW&amp;reservation_id=31701794332857", "MHS3AN5CW")</f>
        <v>MHS3AN5CW</v>
      </c>
      <c r="B13131" t="s">
        <v>1886</v>
      </c>
      <c r="C13131">
        <v>298</v>
      </c>
      <c r="D13131">
        <v>323.94</v>
      </c>
      <c r="E13131">
        <v>323.93</v>
      </c>
      <c r="F13131">
        <v>0.01</v>
      </c>
    </row>
    <row r="13132" spans="1:6" x14ac:dyDescent="0.3">
      <c r="A13132" t="str">
        <f>HYPERLINK("https://us2.cloudbeds.com/connect/10074733072513#/reservations/31713826463904?display=MX4DPGV7N&amp;reservation_id=31713826463904", "MX4DPGV7N")</f>
        <v>MX4DPGV7N</v>
      </c>
      <c r="B13132" t="s">
        <v>1935</v>
      </c>
      <c r="C13132">
        <v>139</v>
      </c>
      <c r="D13132">
        <v>151.1</v>
      </c>
      <c r="E13132">
        <v>151.09</v>
      </c>
      <c r="F13132">
        <v>0.01</v>
      </c>
    </row>
    <row r="13133" spans="1:6" x14ac:dyDescent="0.3">
      <c r="A13133" t="str">
        <f>HYPERLINK("https://us2.cloudbeds.com/connect/10074733072513#/reservations/31716973916327?display=MX6S6HERS&amp;reservation_id=31716973916327", "MX6S6HERS")</f>
        <v>MX6S6HERS</v>
      </c>
      <c r="B13133" t="s">
        <v>1933</v>
      </c>
      <c r="C13133">
        <v>149</v>
      </c>
      <c r="D13133">
        <v>161.97</v>
      </c>
      <c r="E13133">
        <v>161.96</v>
      </c>
      <c r="F13133">
        <v>0.01</v>
      </c>
    </row>
    <row r="13134" spans="1:6" x14ac:dyDescent="0.3">
      <c r="A13134" t="str">
        <f>HYPERLINK("https://us2.cloudbeds.com/connect/10074733072513#/reservations/31712422867094?display=MX3ATVQ91&amp;reservation_id=31712422867094", "MX3ATVQ91")</f>
        <v>MX3ATVQ91</v>
      </c>
      <c r="B13134" t="s">
        <v>1711</v>
      </c>
      <c r="C13134">
        <v>209</v>
      </c>
      <c r="D13134">
        <v>227.19</v>
      </c>
      <c r="E13134">
        <v>227.18</v>
      </c>
      <c r="F13134">
        <v>0.01</v>
      </c>
    </row>
    <row r="13135" spans="1:6" x14ac:dyDescent="0.3">
      <c r="A13135" t="str">
        <f>HYPERLINK("https://us2.cloudbeds.com/connect/10074733072513#/reservations/31716965834952?display=MX6RWNXUN&amp;reservation_id=31716965834952", "MX6RWNXUN")</f>
        <v>MX6RWNXUN</v>
      </c>
      <c r="B13135" t="s">
        <v>1949</v>
      </c>
      <c r="C13135">
        <v>89</v>
      </c>
      <c r="D13135">
        <v>96.75</v>
      </c>
      <c r="E13135">
        <v>96.74</v>
      </c>
      <c r="F13135">
        <v>0.01</v>
      </c>
    </row>
    <row r="13136" spans="1:6" x14ac:dyDescent="0.3">
      <c r="A13136" t="str">
        <f>HYPERLINK("https://us2.cloudbeds.com/connect/10074733072513#/reservations/31712353599637?display=MX394XAQ6&amp;reservation_id=31712353599637", "MX394XAQ6")</f>
        <v>MX394XAQ6</v>
      </c>
      <c r="B13136" t="s">
        <v>1882</v>
      </c>
      <c r="C13136">
        <v>149</v>
      </c>
      <c r="D13136">
        <v>161.97</v>
      </c>
      <c r="E13136">
        <v>161.96</v>
      </c>
      <c r="F13136">
        <v>0.01</v>
      </c>
    </row>
    <row r="13137" spans="1:6" x14ac:dyDescent="0.3">
      <c r="A13137" t="str">
        <f>HYPERLINK("https://us2.cloudbeds.com/connect/10074733072513#/reservations/31716963352804?display=MX6RUKGY3&amp;reservation_id=31716963352804", "MX6RUKGY3")</f>
        <v>MX6RUKGY3</v>
      </c>
      <c r="B13137" t="s">
        <v>1949</v>
      </c>
      <c r="C13137">
        <v>89</v>
      </c>
      <c r="D13137">
        <v>96.75</v>
      </c>
      <c r="E13137">
        <v>96.74</v>
      </c>
      <c r="F13137">
        <v>0.01</v>
      </c>
    </row>
    <row r="13138" spans="1:6" x14ac:dyDescent="0.3">
      <c r="A13138" t="str">
        <f>HYPERLINK("https://us2.cloudbeds.com/connect/10074733072513#/reservations/31702608384196?display=MHSZ44B9C&amp;reservation_id=31702608384196", "MHSZ44B9C")</f>
        <v>MHSZ44B9C</v>
      </c>
      <c r="B13138" t="s">
        <v>1917</v>
      </c>
      <c r="C13138">
        <v>159</v>
      </c>
      <c r="D13138">
        <v>172.84</v>
      </c>
      <c r="E13138">
        <v>172.83</v>
      </c>
      <c r="F13138">
        <v>0.01</v>
      </c>
    </row>
    <row r="13139" spans="1:6" x14ac:dyDescent="0.3">
      <c r="A13139" t="str">
        <f>HYPERLINK("https://us2.cloudbeds.com/connect/10074733072513#/reservations/31711423058136?display=MX2XBTY1T&amp;reservation_id=31711423058136", "MX2XBTY1T")</f>
        <v>MX2XBTY1T</v>
      </c>
      <c r="B13139" t="s">
        <v>1927</v>
      </c>
      <c r="C13139">
        <v>378</v>
      </c>
      <c r="D13139">
        <v>410.9</v>
      </c>
      <c r="E13139">
        <v>410.89</v>
      </c>
      <c r="F13139">
        <v>0.01</v>
      </c>
    </row>
    <row r="13140" spans="1:6" x14ac:dyDescent="0.3">
      <c r="A13140" t="str">
        <f>HYPERLINK("https://us2.cloudbeds.com/connect/10074733072513#/reservations/31715678421129?display=MX5S34CZK&amp;reservation_id=31715678421129", "MX5S34CZK")</f>
        <v>MX5S34CZK</v>
      </c>
      <c r="B13140" t="s">
        <v>1943</v>
      </c>
      <c r="C13140">
        <v>278</v>
      </c>
      <c r="D13140">
        <v>302.2</v>
      </c>
      <c r="E13140">
        <v>302.19</v>
      </c>
      <c r="F13140">
        <v>0.01</v>
      </c>
    </row>
    <row r="13141" spans="1:6" x14ac:dyDescent="0.3">
      <c r="A13141" t="str">
        <f>HYPERLINK("https://us2.cloudbeds.com/connect/10074733072513#/reservations/31715121606796?display=MX5DSK6R0&amp;reservation_id=31715121606796", "MX5DSK6R0")</f>
        <v>MX5DSK6R0</v>
      </c>
      <c r="B13141" t="s">
        <v>1946</v>
      </c>
      <c r="C13141">
        <v>336</v>
      </c>
      <c r="D13141">
        <v>365.24</v>
      </c>
      <c r="E13141">
        <v>365.23</v>
      </c>
      <c r="F13141">
        <v>0.01</v>
      </c>
    </row>
    <row r="13142" spans="1:6" x14ac:dyDescent="0.3">
      <c r="A13142" t="str">
        <f>HYPERLINK("https://us2.cloudbeds.com/connect/10074733072513#/reservations/31711938633915?display=MX2VHY9NB&amp;reservation_id=31711938633915", "MX2VHY9NB")</f>
        <v>MX2VHY9NB</v>
      </c>
      <c r="B13142" t="s">
        <v>1966</v>
      </c>
      <c r="C13142">
        <v>252</v>
      </c>
      <c r="D13142">
        <v>273.93</v>
      </c>
      <c r="E13142">
        <v>273.92</v>
      </c>
      <c r="F13142">
        <v>0.01</v>
      </c>
    </row>
    <row r="13143" spans="1:6" x14ac:dyDescent="0.3">
      <c r="A13143" t="str">
        <f>HYPERLINK("https://us2.cloudbeds.com/connect/10074733072513#/reservations/31714294710429?display=MX4PZBJMB&amp;reservation_id=31714294710429", "MX4PZBJMB")</f>
        <v>MX4PZBJMB</v>
      </c>
      <c r="B13143" t="s">
        <v>1690</v>
      </c>
      <c r="C13143">
        <v>139</v>
      </c>
      <c r="D13143">
        <v>151.1</v>
      </c>
      <c r="E13143">
        <v>151.09</v>
      </c>
      <c r="F13143">
        <v>0.01</v>
      </c>
    </row>
    <row r="13144" spans="1:6" x14ac:dyDescent="0.3">
      <c r="A13144" t="str">
        <f>HYPERLINK("https://us2.cloudbeds.com/connect/10074733072513#/reservations/31715543748851?display=MX5ZYXUZG&amp;reservation_id=31715543748851", "MX5ZYXUZG")</f>
        <v>MX5ZYXUZG</v>
      </c>
      <c r="B13144" t="s">
        <v>1933</v>
      </c>
      <c r="C13144">
        <v>97.74</v>
      </c>
      <c r="D13144">
        <v>106.25</v>
      </c>
      <c r="E13144">
        <v>106.24</v>
      </c>
      <c r="F13144">
        <v>0.01</v>
      </c>
    </row>
    <row r="13145" spans="1:6" x14ac:dyDescent="0.3">
      <c r="A13145" t="str">
        <f>HYPERLINK("https://us2.cloudbeds.com/connect/10074733072513#/reservations/31712885244114?display=MX3MNS3TT&amp;reservation_id=31712885244114", "MX3MNS3TT")</f>
        <v>MX3MNS3TT</v>
      </c>
      <c r="B13145" t="s">
        <v>1690</v>
      </c>
      <c r="C13145">
        <v>249</v>
      </c>
      <c r="D13145">
        <v>270.67</v>
      </c>
      <c r="E13145">
        <v>270.66000000000003</v>
      </c>
      <c r="F13145">
        <v>0.01</v>
      </c>
    </row>
    <row r="13146" spans="1:6" x14ac:dyDescent="0.3">
      <c r="A13146" t="str">
        <f>HYPERLINK("https://us2.cloudbeds.com/connect/10074733072513#/reservations/31712012693709?display=MX30E33SH&amp;reservation_id=31712012693709", "MX30E33SH")</f>
        <v>MX30E33SH</v>
      </c>
      <c r="B13146" t="s">
        <v>1905</v>
      </c>
      <c r="C13146">
        <v>475.58</v>
      </c>
      <c r="D13146">
        <v>516.97</v>
      </c>
      <c r="E13146">
        <v>516.96</v>
      </c>
      <c r="F13146">
        <v>0.01</v>
      </c>
    </row>
    <row r="13147" spans="1:6" x14ac:dyDescent="0.3">
      <c r="A13147" t="str">
        <f>HYPERLINK("https://us2.cloudbeds.com/connect/10074733072513#/reservations/31712487641253?display=MX3CXJ7MB&amp;reservation_id=31712487641253", "MX3CXJ7MB")</f>
        <v>MX3CXJ7MB</v>
      </c>
      <c r="B13147" t="s">
        <v>1882</v>
      </c>
      <c r="C13147">
        <v>458</v>
      </c>
      <c r="D13147">
        <v>497.86</v>
      </c>
      <c r="E13147">
        <v>497.85</v>
      </c>
      <c r="F13147">
        <v>0.01</v>
      </c>
    </row>
    <row r="13148" spans="1:6" x14ac:dyDescent="0.3">
      <c r="A13148" t="str">
        <f>HYPERLINK("https://us2.cloudbeds.com/connect/10074733072513#/reservations/31713781182694?display=MX4CKAUMR&amp;reservation_id=31713781182694", "MX4CKAUMR")</f>
        <v>MX4CKAUMR</v>
      </c>
      <c r="B13148" t="s">
        <v>1711</v>
      </c>
      <c r="C13148">
        <v>169</v>
      </c>
      <c r="D13148">
        <v>183.71</v>
      </c>
      <c r="E13148">
        <v>183.7</v>
      </c>
      <c r="F13148">
        <v>0.01</v>
      </c>
    </row>
    <row r="13149" spans="1:6" x14ac:dyDescent="0.3">
      <c r="A13149" t="str">
        <f>HYPERLINK("https://us2.cloudbeds.com/connect/10074733072513#/reservations/31714164084889?display=MX4MD6ZMY&amp;reservation_id=31714164084889", "MX4MD6ZMY")</f>
        <v>MX4MD6ZMY</v>
      </c>
      <c r="B13149" t="s">
        <v>1661</v>
      </c>
      <c r="C13149">
        <v>169</v>
      </c>
      <c r="D13149">
        <v>183.71</v>
      </c>
      <c r="E13149">
        <v>183.7</v>
      </c>
      <c r="F13149">
        <v>0.01</v>
      </c>
    </row>
    <row r="13150" spans="1:6" x14ac:dyDescent="0.3">
      <c r="A13150" t="str">
        <f>HYPERLINK("https://us2.cloudbeds.com/connect/10074733072513#/reservations/31713289982176?display=MX4024X6Y&amp;reservation_id=31713289982176", "MX4024X6Y")</f>
        <v>MX4024X6Y</v>
      </c>
      <c r="B13150" t="s">
        <v>1711</v>
      </c>
      <c r="C13150">
        <v>229</v>
      </c>
      <c r="D13150">
        <v>248.93</v>
      </c>
      <c r="E13150">
        <v>248.92</v>
      </c>
      <c r="F13150">
        <v>0.01</v>
      </c>
    </row>
    <row r="13151" spans="1:6" x14ac:dyDescent="0.3">
      <c r="A13151" t="str">
        <f>HYPERLINK("https://us2.cloudbeds.com/connect/10074733072513#/reservations/31714188263679?display=MX4N0JXE8&amp;reservation_id=31714188263679", "MX4N0JXE8")</f>
        <v>MX4N0JXE8</v>
      </c>
      <c r="B13151" t="s">
        <v>1935</v>
      </c>
      <c r="C13151">
        <v>97.74</v>
      </c>
      <c r="D13151">
        <v>106.25</v>
      </c>
      <c r="E13151">
        <v>106.24</v>
      </c>
      <c r="F13151">
        <v>0.01</v>
      </c>
    </row>
    <row r="13152" spans="1:6" x14ac:dyDescent="0.3">
      <c r="A13152" t="str">
        <f>HYPERLINK("https://us2.cloudbeds.com/connect/10074733072513#/reservations/31702010441899?display=MHS8RUNKR&amp;reservation_id=31702010441899", "MHS8RUNKR")</f>
        <v>MHS8RUNKR</v>
      </c>
      <c r="B13152" t="s">
        <v>1917</v>
      </c>
      <c r="C13152">
        <v>159</v>
      </c>
      <c r="D13152">
        <v>172.84</v>
      </c>
      <c r="E13152">
        <v>172.83</v>
      </c>
      <c r="F13152">
        <v>0.01</v>
      </c>
    </row>
    <row r="13153" spans="1:6" x14ac:dyDescent="0.3">
      <c r="A13153" t="str">
        <f>HYPERLINK("https://us2.cloudbeds.com/connect/10074733072513#/reservations/31716407435467?display=MX6DNS9D6&amp;reservation_id=31716407435467", "MX6DNS9D6")</f>
        <v>MX6DNS9D6</v>
      </c>
      <c r="B13153" t="s">
        <v>1882</v>
      </c>
      <c r="C13153">
        <v>149</v>
      </c>
      <c r="D13153">
        <v>161.97</v>
      </c>
      <c r="E13153">
        <v>161.96</v>
      </c>
      <c r="F13153">
        <v>0.01</v>
      </c>
    </row>
    <row r="13154" spans="1:6" x14ac:dyDescent="0.3">
      <c r="A13154" t="str">
        <f>HYPERLINK("https://us2.cloudbeds.com/connect/10074733072513#/reservations/31713335881907?display=MX417RPNJ&amp;reservation_id=31713335881907", "MX417RPNJ")</f>
        <v>MX417RPNJ</v>
      </c>
      <c r="B13154" t="s">
        <v>1711</v>
      </c>
      <c r="C13154">
        <v>205.9</v>
      </c>
      <c r="D13154">
        <v>223.82</v>
      </c>
      <c r="E13154">
        <v>223.81</v>
      </c>
      <c r="F13154">
        <v>0.01</v>
      </c>
    </row>
    <row r="13155" spans="1:6" x14ac:dyDescent="0.3">
      <c r="A13155" t="str">
        <f>HYPERLINK("https://us2.cloudbeds.com/connect/10074733072513#/reservations/31716407439562?display=MX6DNSD59&amp;reservation_id=31716407439562", "MX6DNSD59")</f>
        <v>MX6DNSD59</v>
      </c>
      <c r="B13155" t="s">
        <v>1882</v>
      </c>
      <c r="C13155">
        <v>149</v>
      </c>
      <c r="D13155">
        <v>161.97</v>
      </c>
      <c r="E13155">
        <v>161.96</v>
      </c>
      <c r="F13155">
        <v>0.01</v>
      </c>
    </row>
    <row r="13156" spans="1:6" x14ac:dyDescent="0.3">
      <c r="A13156" t="str">
        <f>HYPERLINK("https://us2.cloudbeds.com/connect/10074733072513#/reservations/31713864691885?display=MX4EZZMWC&amp;reservation_id=31713864691885", "MX4EZZMWC")</f>
        <v>MX4EZZMWC</v>
      </c>
      <c r="B13156" t="s">
        <v>1935</v>
      </c>
      <c r="C13156">
        <v>219.92</v>
      </c>
      <c r="D13156">
        <v>239.06</v>
      </c>
      <c r="E13156">
        <v>239.05</v>
      </c>
      <c r="F13156">
        <v>0.01</v>
      </c>
    </row>
    <row r="13157" spans="1:6" x14ac:dyDescent="0.3">
      <c r="A13157" t="str">
        <f>HYPERLINK("https://us2.cloudbeds.com/connect/10074733072513#/reservations/31710892613849?display=MX24QK81J&amp;reservation_id=31710892613849", "MX24QK81J")</f>
        <v>MX24QK81J</v>
      </c>
      <c r="B13157" t="s">
        <v>1697</v>
      </c>
      <c r="C13157">
        <v>318</v>
      </c>
      <c r="D13157">
        <v>345.68</v>
      </c>
      <c r="E13157">
        <v>345.67</v>
      </c>
      <c r="F13157">
        <v>0.01</v>
      </c>
    </row>
    <row r="13158" spans="1:6" x14ac:dyDescent="0.3">
      <c r="A13158" t="str">
        <f>HYPERLINK("https://us2.cloudbeds.com/connect/10074733072513#/reservations/31712267030682?display=MX36UXDQH&amp;reservation_id=31712267030682", "MX36UXDQH")</f>
        <v>MX36UXDQH</v>
      </c>
      <c r="B13158" t="s">
        <v>1829</v>
      </c>
      <c r="C13158">
        <v>318</v>
      </c>
      <c r="D13158">
        <v>345.68</v>
      </c>
      <c r="E13158">
        <v>345.67</v>
      </c>
      <c r="F13158">
        <v>0.01</v>
      </c>
    </row>
    <row r="13159" spans="1:6" x14ac:dyDescent="0.3">
      <c r="A13159" t="str">
        <f>HYPERLINK("https://us2.cloudbeds.com/connect/10074733072513#/reservations/31712313741462?display=MX383V72Y&amp;reservation_id=31712313741462", "MX383V72Y")</f>
        <v>MX383V72Y</v>
      </c>
      <c r="B13159" t="s">
        <v>1968</v>
      </c>
      <c r="C13159">
        <v>338</v>
      </c>
      <c r="D13159">
        <v>367.42</v>
      </c>
      <c r="E13159">
        <v>367.41</v>
      </c>
      <c r="F13159">
        <v>0.01</v>
      </c>
    </row>
    <row r="13160" spans="1:6" x14ac:dyDescent="0.3">
      <c r="A13160" t="str">
        <f>HYPERLINK("https://us2.cloudbeds.com/connect/10074733072513#/reservations/31714410672351?display=MX4SN4DEV&amp;reservation_id=31714410672351", "MX4SN4DEV")</f>
        <v>MX4SN4DEV</v>
      </c>
      <c r="B13160" t="s">
        <v>1711</v>
      </c>
      <c r="C13160">
        <v>289</v>
      </c>
      <c r="D13160">
        <v>314.14999999999998</v>
      </c>
      <c r="E13160">
        <v>314.14</v>
      </c>
      <c r="F13160">
        <v>0.01</v>
      </c>
    </row>
    <row r="13161" spans="1:6" x14ac:dyDescent="0.3">
      <c r="A13161" t="str">
        <f>HYPERLINK("https://us2.cloudbeds.com/connect/10074733072513#/reservations/31712672686318?display=MX3H9KCMX&amp;reservation_id=31712672686318", "MX3H9KCMX")</f>
        <v>MX3H9KCMX</v>
      </c>
      <c r="B13161" t="s">
        <v>1781</v>
      </c>
      <c r="C13161">
        <v>924</v>
      </c>
      <c r="D13161">
        <v>1004.4</v>
      </c>
      <c r="E13161">
        <v>1004.39</v>
      </c>
      <c r="F13161">
        <v>0.01</v>
      </c>
    </row>
    <row r="13162" spans="1:6" x14ac:dyDescent="0.3">
      <c r="A13162" t="str">
        <f>HYPERLINK("https://us2.cloudbeds.com/connect/10074733072513#/reservations/31712496619713?display=MX3CQ52BT&amp;reservation_id=31712496619713", "MX3CQ52BT")</f>
        <v>MX3CQ52BT</v>
      </c>
      <c r="B13162" t="s">
        <v>1967</v>
      </c>
      <c r="C13162">
        <v>497</v>
      </c>
      <c r="D13162">
        <v>540.25</v>
      </c>
      <c r="E13162">
        <v>540.24</v>
      </c>
      <c r="F13162">
        <v>0.01</v>
      </c>
    </row>
    <row r="13163" spans="1:6" x14ac:dyDescent="0.3">
      <c r="A13163" t="str">
        <f>HYPERLINK("https://us2.cloudbeds.com/connect/10074733072513#/reservations/31712708071583?display=MX3X6F11A&amp;reservation_id=31712708071583", "MX3X6F11A")</f>
        <v>MX3X6F11A</v>
      </c>
      <c r="B13163" t="s">
        <v>1539</v>
      </c>
      <c r="C13163">
        <v>338</v>
      </c>
      <c r="D13163">
        <v>367.42</v>
      </c>
      <c r="E13163">
        <v>367.41</v>
      </c>
      <c r="F13163">
        <v>0.01</v>
      </c>
    </row>
    <row r="13164" spans="1:6" x14ac:dyDescent="0.3">
      <c r="A13164" t="str">
        <f>HYPERLINK("https://us2.cloudbeds.com/connect/10074733072513#/reservations/31713960525959?display=MX4H6XDT7&amp;reservation_id=31713960525959", "MX4H6XDT7")</f>
        <v>MX4H6XDT7</v>
      </c>
      <c r="B13164" t="s">
        <v>1943</v>
      </c>
      <c r="C13164">
        <v>179</v>
      </c>
      <c r="D13164">
        <v>194.58</v>
      </c>
      <c r="E13164">
        <v>194.57</v>
      </c>
      <c r="F13164">
        <v>0.01</v>
      </c>
    </row>
    <row r="13165" spans="1:6" x14ac:dyDescent="0.3">
      <c r="A13165" t="str">
        <f>HYPERLINK("https://us2.cloudbeds.com/connect/10074733072513#/reservations/31713890496698?display=MX4FDGZSD&amp;reservation_id=31713890496698", "MX4FDGZSD")</f>
        <v>MX4FDGZSD</v>
      </c>
      <c r="B13165" t="s">
        <v>1935</v>
      </c>
      <c r="C13165">
        <v>189</v>
      </c>
      <c r="D13165">
        <v>205.45</v>
      </c>
      <c r="E13165">
        <v>205.44</v>
      </c>
      <c r="F13165">
        <v>0.01</v>
      </c>
    </row>
    <row r="13166" spans="1:6" x14ac:dyDescent="0.3">
      <c r="A13166" t="str">
        <f>HYPERLINK("https://us2.cloudbeds.com/connect/10074733072513#/reservations/31713881424101?display=MX4F5S9Z7&amp;reservation_id=31713881424101", "MX4F5S9Z7")</f>
        <v>MX4F5S9Z7</v>
      </c>
      <c r="B13166" t="s">
        <v>1935</v>
      </c>
      <c r="C13166">
        <v>169</v>
      </c>
      <c r="D13166">
        <v>183.71</v>
      </c>
      <c r="E13166">
        <v>183.7</v>
      </c>
      <c r="F13166">
        <v>0.01</v>
      </c>
    </row>
    <row r="13167" spans="1:6" x14ac:dyDescent="0.3">
      <c r="A13167" t="str">
        <f>HYPERLINK("https://us2.cloudbeds.com/connect/10074733072513#/reservations/31716290322632?display=MX6AZ3EPD&amp;reservation_id=31716290322632", "MX6AZ3EPD")</f>
        <v>MX6AZ3EPD</v>
      </c>
      <c r="B13167" t="s">
        <v>1943</v>
      </c>
      <c r="C13167">
        <v>179</v>
      </c>
      <c r="D13167">
        <v>194.58</v>
      </c>
      <c r="E13167">
        <v>194.57</v>
      </c>
      <c r="F13167">
        <v>0.01</v>
      </c>
    </row>
    <row r="13168" spans="1:6" x14ac:dyDescent="0.3">
      <c r="A13168" t="str">
        <f>HYPERLINK("https://us2.cloudbeds.com/connect/10074733072513#/reservations/31712429281503?display=MX3B2C9F2&amp;reservation_id=31712429281503", "MX3B2C9F2")</f>
        <v>MX3B2C9F2</v>
      </c>
      <c r="B13168" t="s">
        <v>1935</v>
      </c>
      <c r="C13168">
        <v>169</v>
      </c>
      <c r="D13168">
        <v>183.71</v>
      </c>
      <c r="E13168">
        <v>183.7</v>
      </c>
      <c r="F13168">
        <v>0.01</v>
      </c>
    </row>
    <row r="13169" spans="1:6" x14ac:dyDescent="0.3">
      <c r="A13169" t="str">
        <f>HYPERLINK("https://us2.cloudbeds.com/connect/10074733072513#/reservations/31713971036378?display=MX4HFDTAP&amp;reservation_id=31713971036378", "MX4HFDTAP")</f>
        <v>MX4HFDTAP</v>
      </c>
      <c r="B13169" t="s">
        <v>1943</v>
      </c>
      <c r="C13169">
        <v>189</v>
      </c>
      <c r="D13169">
        <v>205.45</v>
      </c>
      <c r="E13169">
        <v>205.44</v>
      </c>
      <c r="F13169">
        <v>0.01</v>
      </c>
    </row>
    <row r="13170" spans="1:6" x14ac:dyDescent="0.3">
      <c r="A13170" t="str">
        <f>HYPERLINK("https://us2.cloudbeds.com/connect/10074733072513#/reservations/31713814331618?display=MX4DF9BFM&amp;reservation_id=31713814331618", "MX4DF9BFM")</f>
        <v>MX4DF9BFM</v>
      </c>
      <c r="B13170" t="s">
        <v>1935</v>
      </c>
      <c r="C13170">
        <v>199</v>
      </c>
      <c r="D13170">
        <v>216.32</v>
      </c>
      <c r="E13170">
        <v>216.31</v>
      </c>
      <c r="F13170">
        <v>0.01</v>
      </c>
    </row>
    <row r="13171" spans="1:6" x14ac:dyDescent="0.3">
      <c r="A13171" t="str">
        <f>HYPERLINK("https://us2.cloudbeds.com/connect/10074733072513#/reservations/31714701680843?display=MX534H4T4&amp;reservation_id=31714701680843", "MX534H4T4")</f>
        <v>MX534H4T4</v>
      </c>
      <c r="B13171" t="s">
        <v>1905</v>
      </c>
      <c r="C13171">
        <v>252</v>
      </c>
      <c r="D13171">
        <v>273.93</v>
      </c>
      <c r="E13171">
        <v>273.92</v>
      </c>
      <c r="F13171">
        <v>0.01</v>
      </c>
    </row>
    <row r="13172" spans="1:6" x14ac:dyDescent="0.3">
      <c r="A13172" t="str">
        <f>HYPERLINK("https://us2.cloudbeds.com/connect/10074733072513#/reservations/31712442564789?display=MX3BDXU4T&amp;reservation_id=31712442564789", "MX3BDXU4T")</f>
        <v>MX3BDXU4T</v>
      </c>
      <c r="B13172" t="s">
        <v>1967</v>
      </c>
      <c r="C13172">
        <v>338</v>
      </c>
      <c r="D13172">
        <v>367.42</v>
      </c>
      <c r="E13172">
        <v>367.41</v>
      </c>
      <c r="F13172">
        <v>0.01</v>
      </c>
    </row>
    <row r="13173" spans="1:6" x14ac:dyDescent="0.3">
      <c r="A13173" t="str">
        <f>HYPERLINK("https://us2.cloudbeds.com/connect/10074733072513#/reservations/31714011791540?display=MX4XGPVNM&amp;reservation_id=31714011791540", "MX4XGPVNM")</f>
        <v>MX4XGPVNM</v>
      </c>
      <c r="B13173" t="s">
        <v>1943</v>
      </c>
      <c r="C13173">
        <v>169</v>
      </c>
      <c r="D13173">
        <v>183.71</v>
      </c>
      <c r="E13173">
        <v>183.7</v>
      </c>
      <c r="F13173">
        <v>0.01</v>
      </c>
    </row>
    <row r="13174" spans="1:6" x14ac:dyDescent="0.3">
      <c r="A13174" t="str">
        <f>HYPERLINK("https://us2.cloudbeds.com/connect/10074733072513#/reservations/31713998688460?display=MX4X5ZBGY&amp;reservation_id=31713998688460", "MX4X5ZBGY")</f>
        <v>MX4X5ZBGY</v>
      </c>
      <c r="B13174" t="s">
        <v>1781</v>
      </c>
      <c r="C13174">
        <v>229</v>
      </c>
      <c r="D13174">
        <v>248.93</v>
      </c>
      <c r="E13174">
        <v>248.92</v>
      </c>
      <c r="F13174">
        <v>0.01</v>
      </c>
    </row>
    <row r="13175" spans="1:6" x14ac:dyDescent="0.3">
      <c r="A13175" t="str">
        <f>HYPERLINK("https://us2.cloudbeds.com/connect/10074733072513#/reservations/31713202577653?display=MX3URECUZ&amp;reservation_id=31713202577653", "MX3URECUZ")</f>
        <v>MX3URECUZ</v>
      </c>
      <c r="B13175" t="s">
        <v>1955</v>
      </c>
      <c r="C13175">
        <v>139</v>
      </c>
      <c r="D13175">
        <v>151.1</v>
      </c>
      <c r="E13175">
        <v>151.09</v>
      </c>
      <c r="F13175">
        <v>0.01</v>
      </c>
    </row>
    <row r="13176" spans="1:6" x14ac:dyDescent="0.3">
      <c r="A13176" t="str">
        <f>HYPERLINK("https://us2.cloudbeds.com/connect/10074733072513#/reservations/31714642043061?display=MX51K7Y2K&amp;reservation_id=31714642043061", "MX51K7Y2K")</f>
        <v>MX51K7Y2K</v>
      </c>
      <c r="B13176" t="s">
        <v>1905</v>
      </c>
      <c r="C13176">
        <v>195.48</v>
      </c>
      <c r="D13176">
        <v>212.5</v>
      </c>
      <c r="E13176">
        <v>212.49</v>
      </c>
      <c r="F13176">
        <v>0.01</v>
      </c>
    </row>
    <row r="13177" spans="1:6" x14ac:dyDescent="0.3">
      <c r="A13177" t="str">
        <f>HYPERLINK("https://us2.cloudbeds.com/connect/10074733072513#/reservations/31712253739222?display=MX36JBXK0&amp;reservation_id=31712253739222", "MX36JBXK0")</f>
        <v>MX36JBXK0</v>
      </c>
      <c r="B13177" t="s">
        <v>1967</v>
      </c>
      <c r="C13177">
        <v>139</v>
      </c>
      <c r="D13177">
        <v>151.1</v>
      </c>
      <c r="E13177">
        <v>151.09</v>
      </c>
      <c r="F13177">
        <v>0.01</v>
      </c>
    </row>
    <row r="13178" spans="1:6" x14ac:dyDescent="0.3">
      <c r="A13178" t="str">
        <f>HYPERLINK("https://us2.cloudbeds.com/connect/10074733072513#/reservations/31714741903520?display=MX545EDA4&amp;reservation_id=31714741903520", "MX545EDA4")</f>
        <v>MX545EDA4</v>
      </c>
      <c r="B13178" t="s">
        <v>1973</v>
      </c>
      <c r="C13178">
        <v>278</v>
      </c>
      <c r="D13178">
        <v>302.2</v>
      </c>
      <c r="E13178">
        <v>302.19</v>
      </c>
      <c r="F13178">
        <v>0.01</v>
      </c>
    </row>
    <row r="13179" spans="1:6" x14ac:dyDescent="0.3">
      <c r="A13179" t="str">
        <f>HYPERLINK("https://us2.cloudbeds.com/connect/10074733072513#/reservations/31701833257108?display=MHS4AH9GZ&amp;reservation_id=31701833257108", "MHS4AH9GZ")</f>
        <v>MHS4AH9GZ</v>
      </c>
      <c r="B13179" t="s">
        <v>1788</v>
      </c>
      <c r="C13179">
        <v>179</v>
      </c>
      <c r="D13179">
        <v>194.58</v>
      </c>
      <c r="E13179">
        <v>194.57</v>
      </c>
      <c r="F13179">
        <v>0.01</v>
      </c>
    </row>
    <row r="13180" spans="1:6" x14ac:dyDescent="0.3">
      <c r="A13180" t="str">
        <f>HYPERLINK("https://us2.cloudbeds.com/connect/10074733072513#/reservations/31712185331916?display=MX34RM0WB&amp;reservation_id=31712185331916", "MX34RM0WB")</f>
        <v>MX34RM0WB</v>
      </c>
      <c r="B13180" t="s">
        <v>1927</v>
      </c>
      <c r="C13180">
        <v>378</v>
      </c>
      <c r="D13180">
        <v>410.9</v>
      </c>
      <c r="E13180">
        <v>410.89</v>
      </c>
      <c r="F13180">
        <v>0.01</v>
      </c>
    </row>
    <row r="13181" spans="1:6" x14ac:dyDescent="0.3">
      <c r="A13181" t="str">
        <f>HYPERLINK("https://us2.cloudbeds.com/connect/10074733072513#/reservations/31712282329288?display=MX37AF43Y&amp;reservation_id=31712282329288", "MX37AF43Y")</f>
        <v>MX37AF43Y</v>
      </c>
      <c r="B13181" t="s">
        <v>1967</v>
      </c>
      <c r="C13181">
        <v>102.58</v>
      </c>
      <c r="D13181">
        <v>111.51</v>
      </c>
      <c r="E13181">
        <v>111.5</v>
      </c>
      <c r="F13181">
        <v>0.01</v>
      </c>
    </row>
    <row r="13182" spans="1:6" x14ac:dyDescent="0.3">
      <c r="A13182" t="str">
        <f>HYPERLINK("https://us2.cloudbeds.com/connect/10074733072513#/reservations/31711998759132?display=MX302BC3K&amp;reservation_id=31711998759132", "MX302BC3K")</f>
        <v>MX302BC3K</v>
      </c>
      <c r="B13182" t="s">
        <v>1905</v>
      </c>
      <c r="C13182">
        <v>102.58</v>
      </c>
      <c r="D13182">
        <v>111.51</v>
      </c>
      <c r="E13182">
        <v>111.5</v>
      </c>
      <c r="F13182">
        <v>0.01</v>
      </c>
    </row>
    <row r="13183" spans="1:6" x14ac:dyDescent="0.3">
      <c r="A13183" t="str">
        <f>HYPERLINK("https://us2.cloudbeds.com/connect/10074733072513#/reservations/31712050409610?display=MX31CTKCK&amp;reservation_id=31712050409610", "MX31CTKCK")</f>
        <v>MX31CTKCK</v>
      </c>
      <c r="B13183" t="s">
        <v>1905</v>
      </c>
      <c r="C13183">
        <v>139</v>
      </c>
      <c r="D13183">
        <v>151.1</v>
      </c>
      <c r="E13183">
        <v>151.09</v>
      </c>
      <c r="F13183">
        <v>0.01</v>
      </c>
    </row>
    <row r="13184" spans="1:6" x14ac:dyDescent="0.3">
      <c r="A13184" t="str">
        <f>HYPERLINK("https://us2.cloudbeds.com/connect/10074733072513#/reservations/31714816917716?display=MX562MPSH&amp;reservation_id=31714816917716", "MX562MPSH")</f>
        <v>MX562MPSH</v>
      </c>
      <c r="B13184" t="s">
        <v>1781</v>
      </c>
      <c r="C13184">
        <v>313.2</v>
      </c>
      <c r="D13184">
        <v>340.46</v>
      </c>
      <c r="E13184">
        <v>340.45</v>
      </c>
      <c r="F13184">
        <v>0.01</v>
      </c>
    </row>
    <row r="13185" spans="1:6" x14ac:dyDescent="0.3">
      <c r="A13185" t="str">
        <f>HYPERLINK("https://us2.cloudbeds.com/connect/10074733072513#/reservations/31714765037699?display=MX54ZV4QS&amp;reservation_id=31714765037699", "MX54ZV4QS")</f>
        <v>MX54ZV4QS</v>
      </c>
      <c r="B13185" t="s">
        <v>1974</v>
      </c>
      <c r="C13185">
        <v>169</v>
      </c>
      <c r="D13185">
        <v>183.71</v>
      </c>
      <c r="E13185">
        <v>183.7</v>
      </c>
      <c r="F13185">
        <v>0.01</v>
      </c>
    </row>
    <row r="13186" spans="1:6" x14ac:dyDescent="0.3">
      <c r="A13186" t="str">
        <f>HYPERLINK("https://us2.cloudbeds.com/connect/10074733072513#/reservations/31715335807126?display=MX5JB7YB3&amp;reservation_id=31715335807126", "MX5JB7YB3")</f>
        <v>MX5JB7YB3</v>
      </c>
      <c r="B13186" t="s">
        <v>1878</v>
      </c>
      <c r="C13186">
        <v>189</v>
      </c>
      <c r="D13186">
        <v>205.45</v>
      </c>
      <c r="E13186">
        <v>205.44</v>
      </c>
      <c r="F13186">
        <v>0.01</v>
      </c>
    </row>
    <row r="13187" spans="1:6" x14ac:dyDescent="0.3">
      <c r="A13187" t="str">
        <f>HYPERLINK("https://us2.cloudbeds.com/connect/10074733072513#/reservations/31712253743316?display=MX36JBMC2&amp;reservation_id=31712253743316", "MX36JBMC2")</f>
        <v>MX36JBMC2</v>
      </c>
      <c r="B13187" t="s">
        <v>1967</v>
      </c>
      <c r="C13187">
        <v>169</v>
      </c>
      <c r="D13187">
        <v>183.71</v>
      </c>
      <c r="E13187">
        <v>183.7</v>
      </c>
      <c r="F13187">
        <v>0.01</v>
      </c>
    </row>
    <row r="13188" spans="1:6" x14ac:dyDescent="0.3">
      <c r="A13188" t="str">
        <f>HYPERLINK("https://us2.cloudbeds.com/connect/10074733072513#/reservations/31712302518473?display=MX37RFUA4&amp;reservation_id=31712302518473", "MX37RFUA4")</f>
        <v>MX37RFUA4</v>
      </c>
      <c r="B13188" t="s">
        <v>1829</v>
      </c>
      <c r="C13188">
        <v>209</v>
      </c>
      <c r="D13188">
        <v>227.19</v>
      </c>
      <c r="E13188">
        <v>227.18</v>
      </c>
      <c r="F13188">
        <v>0.01</v>
      </c>
    </row>
    <row r="13189" spans="1:6" x14ac:dyDescent="0.3">
      <c r="A13189" t="str">
        <f>HYPERLINK("https://us2.cloudbeds.com/connect/10074733072513#/reservations/31716203204763?display=MX68GY8NW&amp;reservation_id=31716203204763", "MX68GY8NW")</f>
        <v>MX68GY8NW</v>
      </c>
      <c r="B13189" t="s">
        <v>1967</v>
      </c>
      <c r="C13189">
        <v>102.58</v>
      </c>
      <c r="D13189">
        <v>111.51</v>
      </c>
      <c r="E13189">
        <v>111.5</v>
      </c>
      <c r="F13189">
        <v>0.01</v>
      </c>
    </row>
    <row r="13190" spans="1:6" x14ac:dyDescent="0.3">
      <c r="A13190" t="str">
        <f>HYPERLINK("https://us2.cloudbeds.com/connect/10074733072513#/reservations/31714096169145?display=MX4KYUTEQ&amp;reservation_id=31714096169145", "MX4KYUTEQ")</f>
        <v>MX4KYUTEQ</v>
      </c>
      <c r="B13190" t="s">
        <v>1905</v>
      </c>
      <c r="C13190">
        <v>169</v>
      </c>
      <c r="D13190">
        <v>183.71</v>
      </c>
      <c r="E13190">
        <v>183.7</v>
      </c>
      <c r="F13190">
        <v>0.01</v>
      </c>
    </row>
    <row r="13191" spans="1:6" x14ac:dyDescent="0.3">
      <c r="A13191" t="str">
        <f>HYPERLINK("https://us2.cloudbeds.com/connect/10074733072513#/reservations/31713751023812?display=MX4BRTNJA&amp;reservation_id=31713751023812", "MX4BRTNJA")</f>
        <v>MX4BRTNJA</v>
      </c>
      <c r="B13191" t="s">
        <v>1853</v>
      </c>
      <c r="C13191">
        <v>261.08</v>
      </c>
      <c r="D13191">
        <v>283.8</v>
      </c>
      <c r="E13191">
        <v>283.79000000000002</v>
      </c>
      <c r="F13191">
        <v>0.01</v>
      </c>
    </row>
    <row r="13192" spans="1:6" x14ac:dyDescent="0.3">
      <c r="A13192" t="str">
        <f>HYPERLINK("https://us2.cloudbeds.com/connect/10074733072513#/reservations/31712501190887?display=MX3CU08VA&amp;reservation_id=31712501190887", "MX3CU08VA")</f>
        <v>MX3CU08VA</v>
      </c>
      <c r="B13192" t="s">
        <v>1967</v>
      </c>
      <c r="C13192">
        <v>102.58</v>
      </c>
      <c r="D13192">
        <v>111.51</v>
      </c>
      <c r="E13192">
        <v>111.5</v>
      </c>
      <c r="F13192">
        <v>0.01</v>
      </c>
    </row>
    <row r="13193" spans="1:6" x14ac:dyDescent="0.3">
      <c r="A13193" t="str">
        <f>HYPERLINK("https://us2.cloudbeds.com/connect/10074733072513#/reservations/31715469926613?display=MX5MPANNW&amp;reservation_id=31715469926613", "MX5MPANNW")</f>
        <v>MX5MPANNW</v>
      </c>
      <c r="B13193" t="s">
        <v>1878</v>
      </c>
      <c r="C13193">
        <v>183.76</v>
      </c>
      <c r="D13193">
        <v>199.76</v>
      </c>
      <c r="E13193">
        <v>199.75</v>
      </c>
      <c r="F13193">
        <v>0.01</v>
      </c>
    </row>
    <row r="13194" spans="1:6" x14ac:dyDescent="0.3">
      <c r="A13194" t="str">
        <f>HYPERLINK("https://us2.cloudbeds.com/connect/10074733072513#/reservations/31715080843460?display=MX5CR7TUD&amp;reservation_id=31715080843460", "MX5CR7TUD")</f>
        <v>MX5CR7TUD</v>
      </c>
      <c r="B13194" t="s">
        <v>1946</v>
      </c>
      <c r="C13194">
        <v>336</v>
      </c>
      <c r="D13194">
        <v>365.24</v>
      </c>
      <c r="E13194">
        <v>365.23</v>
      </c>
      <c r="F13194">
        <v>0.01</v>
      </c>
    </row>
    <row r="13195" spans="1:6" x14ac:dyDescent="0.3">
      <c r="A13195" t="str">
        <f>HYPERLINK("https://us2.cloudbeds.com/connect/10074733072513#/reservations/31714093215974?display=MX4KJENKZ&amp;reservation_id=31714093215974", "MX4KJENKZ")</f>
        <v>MX4KJENKZ</v>
      </c>
      <c r="B13195" t="s">
        <v>1781</v>
      </c>
      <c r="C13195">
        <v>73</v>
      </c>
      <c r="D13195">
        <v>79.36</v>
      </c>
      <c r="E13195">
        <v>79.349999999999994</v>
      </c>
      <c r="F13195">
        <v>0.01</v>
      </c>
    </row>
    <row r="13196" spans="1:6" x14ac:dyDescent="0.3">
      <c r="A13196" t="str">
        <f>HYPERLINK("https://us2.cloudbeds.com/connect/10074733072513#/reservations/31702969299144?display=MHT0BFAVW&amp;reservation_id=31702969299144", "MHT0BFAVW")</f>
        <v>MHT0BFAVW</v>
      </c>
      <c r="B13196" t="s">
        <v>1886</v>
      </c>
      <c r="C13196">
        <v>318</v>
      </c>
      <c r="D13196">
        <v>345.68</v>
      </c>
      <c r="E13196">
        <v>345.67</v>
      </c>
      <c r="F13196">
        <v>0.01</v>
      </c>
    </row>
    <row r="13197" spans="1:6" x14ac:dyDescent="0.3">
      <c r="A13197" t="str">
        <f>HYPERLINK("https://us2.cloudbeds.com/connect/10074733072513#/reservations/31711988764800?display=MX2WQU4ST&amp;reservation_id=31711988764800", "MX2WQU4ST")</f>
        <v>MX2WQU4ST</v>
      </c>
      <c r="B13197" t="s">
        <v>1905</v>
      </c>
      <c r="C13197">
        <v>139</v>
      </c>
      <c r="D13197">
        <v>151.1</v>
      </c>
      <c r="E13197">
        <v>151.09</v>
      </c>
      <c r="F13197">
        <v>0.01</v>
      </c>
    </row>
    <row r="13198" spans="1:6" x14ac:dyDescent="0.3">
      <c r="A13198" t="str">
        <f>HYPERLINK("https://us2.cloudbeds.com/connect/10074733072513#/reservations/31713021739223?display=MX3Q6V9PA&amp;reservation_id=31713021739223", "MX3Q6V9PA")</f>
        <v>MX3Q6V9PA</v>
      </c>
      <c r="B13198" t="s">
        <v>1853</v>
      </c>
      <c r="C13198">
        <v>239</v>
      </c>
      <c r="D13198">
        <v>259.8</v>
      </c>
      <c r="E13198">
        <v>259.79000000000002</v>
      </c>
      <c r="F13198">
        <v>0.01</v>
      </c>
    </row>
    <row r="13199" spans="1:6" x14ac:dyDescent="0.3">
      <c r="A13199" t="str">
        <f>HYPERLINK("https://us2.cloudbeds.com/connect/10074733072513#/reservations/31714639286487?display=MX51HTUQ2&amp;reservation_id=31714639286487", "MX51HTUQ2")</f>
        <v>MX51HTUQ2</v>
      </c>
      <c r="B13199" t="s">
        <v>1924</v>
      </c>
      <c r="C13199">
        <v>189</v>
      </c>
      <c r="D13199">
        <v>205.45</v>
      </c>
      <c r="E13199">
        <v>205.44</v>
      </c>
      <c r="F13199">
        <v>0.01</v>
      </c>
    </row>
    <row r="13200" spans="1:6" x14ac:dyDescent="0.3">
      <c r="A13200" t="str">
        <f>HYPERLINK("https://us2.cloudbeds.com/connect/10074733072513#/reservations/31714719162507?display=MX53J8JRH&amp;reservation_id=31714719162507", "MX53J8JRH")</f>
        <v>MX53J8JRH</v>
      </c>
      <c r="B13200" t="s">
        <v>1905</v>
      </c>
      <c r="C13200">
        <v>139</v>
      </c>
      <c r="D13200">
        <v>151.1</v>
      </c>
      <c r="E13200">
        <v>151.09</v>
      </c>
      <c r="F13200">
        <v>0.01</v>
      </c>
    </row>
    <row r="13201" spans="1:6" x14ac:dyDescent="0.3">
      <c r="A13201" t="str">
        <f>HYPERLINK("https://us2.cloudbeds.com/connect/10074733072513#/reservations/31714901606629?display=MX5883CF9&amp;reservation_id=31714901606629", "MX5883CF9")</f>
        <v>MX5883CF9</v>
      </c>
      <c r="B13201" t="s">
        <v>1924</v>
      </c>
      <c r="C13201">
        <v>408</v>
      </c>
      <c r="D13201">
        <v>443.51</v>
      </c>
      <c r="E13201">
        <v>443.5</v>
      </c>
      <c r="F13201">
        <v>0.01</v>
      </c>
    </row>
    <row r="13202" spans="1:6" x14ac:dyDescent="0.3">
      <c r="A13202" t="str">
        <f>HYPERLINK("https://us2.cloudbeds.com/connect/10074733072513#/reservations/31713734258841?display=MX4BDP6ZT&amp;reservation_id=31713734258841", "MX4BDP6ZT")</f>
        <v>MX4BDP6ZT</v>
      </c>
      <c r="B13202" t="s">
        <v>1853</v>
      </c>
      <c r="C13202">
        <v>249</v>
      </c>
      <c r="D13202">
        <v>270.67</v>
      </c>
      <c r="E13202">
        <v>270.66000000000003</v>
      </c>
      <c r="F13202">
        <v>0.01</v>
      </c>
    </row>
    <row r="13203" spans="1:6" x14ac:dyDescent="0.3">
      <c r="A13203" t="str">
        <f>HYPERLINK("https://us2.cloudbeds.com/connect/10074733072513#/reservations/31714053587167?display=MX4JJ0WHR&amp;reservation_id=31714053587167", "MX4JJ0WHR")</f>
        <v>MX4JJ0WHR</v>
      </c>
      <c r="B13203" t="s">
        <v>1955</v>
      </c>
      <c r="C13203">
        <v>102.58</v>
      </c>
      <c r="D13203">
        <v>111.51</v>
      </c>
      <c r="E13203">
        <v>111.5</v>
      </c>
      <c r="F13203">
        <v>0.01</v>
      </c>
    </row>
    <row r="13204" spans="1:6" x14ac:dyDescent="0.3">
      <c r="A13204" t="str">
        <f>HYPERLINK("https://us2.cloudbeds.com/connect/10074733072513#/reservations/31711344865479?display=MX2GBVQQE&amp;reservation_id=31711344865479", "MX2GBVQQE")</f>
        <v>MX2GBVQQE</v>
      </c>
      <c r="B13204" t="s">
        <v>1927</v>
      </c>
      <c r="C13204">
        <v>339.14</v>
      </c>
      <c r="D13204">
        <v>368.66</v>
      </c>
      <c r="E13204">
        <v>368.65</v>
      </c>
      <c r="F13204">
        <v>0.01</v>
      </c>
    </row>
    <row r="13205" spans="1:6" x14ac:dyDescent="0.3">
      <c r="A13205" t="str">
        <f>HYPERLINK("https://us2.cloudbeds.com/connect/10074733072513#/reservations/31713193734304?display=MX3UJWAAF&amp;reservation_id=31713193734304", "MX3UJWAAF")</f>
        <v>MX3UJWAAF</v>
      </c>
      <c r="B13205" t="s">
        <v>1955</v>
      </c>
      <c r="C13205">
        <v>139</v>
      </c>
      <c r="D13205">
        <v>151.1</v>
      </c>
      <c r="E13205">
        <v>151.09</v>
      </c>
      <c r="F13205">
        <v>0.01</v>
      </c>
    </row>
    <row r="13206" spans="1:6" x14ac:dyDescent="0.3">
      <c r="A13206" t="str">
        <f>HYPERLINK("https://us2.cloudbeds.com/connect/10074733072513#/reservations/31714070380687?display=MX4K069JC&amp;reservation_id=31714070380687", "MX4K069JC")</f>
        <v>MX4K069JC</v>
      </c>
      <c r="B13206" t="s">
        <v>1955</v>
      </c>
      <c r="C13206">
        <v>102.58</v>
      </c>
      <c r="D13206">
        <v>111.51</v>
      </c>
      <c r="E13206">
        <v>111.5</v>
      </c>
      <c r="F13206">
        <v>0.01</v>
      </c>
    </row>
    <row r="13207" spans="1:6" x14ac:dyDescent="0.3">
      <c r="A13207" t="str">
        <f>HYPERLINK("https://us2.cloudbeds.com/connect/10074733072513#/reservations/31713118064845?display=MX3SM5N1X&amp;reservation_id=31713118064845", "MX3SM5N1X")</f>
        <v>MX3SM5N1X</v>
      </c>
      <c r="B13207" t="s">
        <v>1853</v>
      </c>
      <c r="C13207">
        <v>588</v>
      </c>
      <c r="D13207">
        <v>639.16999999999996</v>
      </c>
      <c r="E13207">
        <v>639.16</v>
      </c>
      <c r="F13207">
        <v>0.01</v>
      </c>
    </row>
    <row r="13208" spans="1:6" x14ac:dyDescent="0.3">
      <c r="A13208" t="str">
        <f>HYPERLINK("https://us2.cloudbeds.com/connect/10074733072513#/reservations/31714475683988?display=MX4UBVEUJ&amp;reservation_id=31714475683988", "MX4UBVEUJ")</f>
        <v>MX4UBVEUJ</v>
      </c>
      <c r="B13208" t="s">
        <v>1924</v>
      </c>
      <c r="C13208">
        <v>676</v>
      </c>
      <c r="D13208">
        <v>734.82</v>
      </c>
      <c r="E13208">
        <v>734.81</v>
      </c>
      <c r="F13208">
        <v>0.01</v>
      </c>
    </row>
    <row r="13209" spans="1:6" x14ac:dyDescent="0.3">
      <c r="A13209" t="str">
        <f>HYPERLINK("https://us2.cloudbeds.com/connect/10074733072513#/reservations/31713782120623?display=MX4CY40VU&amp;reservation_id=31713782120623", "MX4CY40VU")</f>
        <v>MX4CY40VU</v>
      </c>
      <c r="B13209" t="s">
        <v>1853</v>
      </c>
      <c r="C13209">
        <v>352.76</v>
      </c>
      <c r="D13209">
        <v>383.46</v>
      </c>
      <c r="E13209">
        <v>383.45</v>
      </c>
      <c r="F13209">
        <v>0.01</v>
      </c>
    </row>
    <row r="13210" spans="1:6" x14ac:dyDescent="0.3">
      <c r="A13210" t="str">
        <f>HYPERLINK("https://us2.cloudbeds.com/connect/10074733072513#/reservations/31714502467768?display=MX4V1HZP9&amp;reservation_id=31714502467768", "MX4V1HZP9")</f>
        <v>MX4V1HZP9</v>
      </c>
      <c r="B13210" t="s">
        <v>1924</v>
      </c>
      <c r="C13210">
        <v>199</v>
      </c>
      <c r="D13210">
        <v>216.32</v>
      </c>
      <c r="E13210">
        <v>216.31</v>
      </c>
      <c r="F13210">
        <v>0.01</v>
      </c>
    </row>
    <row r="13211" spans="1:6" x14ac:dyDescent="0.3">
      <c r="A13211" t="str">
        <f>HYPERLINK("https://us2.cloudbeds.com/connect/10074733072513#/reservations/31713465139425?display=MX44HRXG2&amp;reservation_id=31713465139425", "MX44HRXG2")</f>
        <v>MX44HRXG2</v>
      </c>
      <c r="B13211" t="s">
        <v>1946</v>
      </c>
      <c r="C13211">
        <v>139</v>
      </c>
      <c r="D13211">
        <v>151.1</v>
      </c>
      <c r="E13211">
        <v>151.09</v>
      </c>
      <c r="F13211">
        <v>0.01</v>
      </c>
    </row>
    <row r="13212" spans="1:6" x14ac:dyDescent="0.3">
      <c r="A13212" t="str">
        <f>HYPERLINK("https://us2.cloudbeds.com/connect/10074733072513#/reservations/31711649288376?display=MX2Z4YRAN&amp;reservation_id=31711649288376", "MX2Z4YRAN")</f>
        <v>MX2Z4YRAN</v>
      </c>
      <c r="B13212" t="s">
        <v>1910</v>
      </c>
      <c r="C13212">
        <v>497</v>
      </c>
      <c r="D13212">
        <v>540.25</v>
      </c>
      <c r="E13212">
        <v>540.24</v>
      </c>
      <c r="F13212">
        <v>0.01</v>
      </c>
    </row>
    <row r="13213" spans="1:6" x14ac:dyDescent="0.3">
      <c r="A13213" t="str">
        <f>HYPERLINK("https://us2.cloudbeds.com/connect/10074733072513#/reservations/31711645429997?display=MX2Z1DF94&amp;reservation_id=31711645429997", "MX2Z1DF94")</f>
        <v>MX2Z1DF94</v>
      </c>
      <c r="B13213" t="s">
        <v>1948</v>
      </c>
      <c r="C13213">
        <v>209</v>
      </c>
      <c r="D13213">
        <v>227.19</v>
      </c>
      <c r="E13213">
        <v>227.18</v>
      </c>
      <c r="F13213">
        <v>0.01</v>
      </c>
    </row>
    <row r="13214" spans="1:6" x14ac:dyDescent="0.3">
      <c r="A13214" t="str">
        <f>HYPERLINK("https://us2.cloudbeds.com/connect/10074733072513#/reservations/31713151041671?display=MX3TGWAQA&amp;reservation_id=31713151041671", "MX3TGWAQA")</f>
        <v>MX3TGWAQA</v>
      </c>
      <c r="B13214" t="s">
        <v>1955</v>
      </c>
      <c r="C13214">
        <v>139</v>
      </c>
      <c r="D13214">
        <v>151.1</v>
      </c>
      <c r="E13214">
        <v>151.09</v>
      </c>
      <c r="F13214">
        <v>0.01</v>
      </c>
    </row>
    <row r="13215" spans="1:6" x14ac:dyDescent="0.3">
      <c r="A13215" t="str">
        <f>HYPERLINK("https://us2.cloudbeds.com/connect/10074733072513#/reservations/31713103245505?display=MX3S9MARY&amp;reservation_id=31713103245505", "MX3S9MARY")</f>
        <v>MX3S9MARY</v>
      </c>
      <c r="B13215" t="s">
        <v>1975</v>
      </c>
      <c r="C13215">
        <v>169</v>
      </c>
      <c r="D13215">
        <v>183.71</v>
      </c>
      <c r="E13215">
        <v>183.7</v>
      </c>
      <c r="F13215">
        <v>0.01</v>
      </c>
    </row>
    <row r="13216" spans="1:6" x14ac:dyDescent="0.3">
      <c r="A13216" t="str">
        <f>HYPERLINK("https://us2.cloudbeds.com/connect/10074733072513#/reservations/31712370630852?display=MX39XU83K&amp;reservation_id=31712370630852", "MX39XU83K")</f>
        <v>MX39XU83K</v>
      </c>
      <c r="B13216" t="s">
        <v>1968</v>
      </c>
      <c r="C13216">
        <v>338</v>
      </c>
      <c r="D13216">
        <v>367.42</v>
      </c>
      <c r="E13216">
        <v>367.41</v>
      </c>
      <c r="F13216">
        <v>0.01</v>
      </c>
    </row>
    <row r="13217" spans="1:6" x14ac:dyDescent="0.3">
      <c r="A13217" t="str">
        <f>HYPERLINK("https://us2.cloudbeds.com/connect/10074733072513#/reservations/31715044286664?display=MX5BTDYPN&amp;reservation_id=31715044286664", "MX5BTDYPN")</f>
        <v>MX5BTDYPN</v>
      </c>
      <c r="B13217" t="s">
        <v>1963</v>
      </c>
      <c r="C13217">
        <v>298</v>
      </c>
      <c r="D13217">
        <v>323.94</v>
      </c>
      <c r="E13217">
        <v>323.93</v>
      </c>
      <c r="F13217">
        <v>0.01</v>
      </c>
    </row>
    <row r="13218" spans="1:6" x14ac:dyDescent="0.3">
      <c r="A13218" t="str">
        <f>HYPERLINK("https://us2.cloudbeds.com/connect/10074733072513#/reservations/31712245014688?display=MX36BWQ36&amp;reservation_id=31712245014688", "MX36BWQ36")</f>
        <v>MX36BWQ36</v>
      </c>
      <c r="B13218" t="s">
        <v>1829</v>
      </c>
      <c r="C13218">
        <v>318</v>
      </c>
      <c r="D13218">
        <v>345.68</v>
      </c>
      <c r="E13218">
        <v>345.67</v>
      </c>
      <c r="F13218">
        <v>0.01</v>
      </c>
    </row>
    <row r="13219" spans="1:6" x14ac:dyDescent="0.3">
      <c r="A13219" t="str">
        <f>HYPERLINK("https://us2.cloudbeds.com/connect/10074733072513#/reservations/31713163059447?display=MX3TR3ZDB&amp;reservation_id=31713163059447", "MX3TR3ZDB")</f>
        <v>MX3TR3ZDB</v>
      </c>
      <c r="B13219" t="s">
        <v>1975</v>
      </c>
      <c r="C13219">
        <v>169</v>
      </c>
      <c r="D13219">
        <v>183.71</v>
      </c>
      <c r="E13219">
        <v>183.7</v>
      </c>
      <c r="F13219">
        <v>0.01</v>
      </c>
    </row>
    <row r="13220" spans="1:6" x14ac:dyDescent="0.3">
      <c r="A13220" t="str">
        <f>HYPERLINK("https://us2.cloudbeds.com/connect/10074733072513#/reservations/31714046931114?display=MX4JDDPF8&amp;reservation_id=31714046931114", "MX4JDDPF8")</f>
        <v>MX4JDDPF8</v>
      </c>
      <c r="B13220" t="s">
        <v>1946</v>
      </c>
      <c r="C13220">
        <v>149</v>
      </c>
      <c r="D13220">
        <v>161.97</v>
      </c>
      <c r="E13220">
        <v>161.96</v>
      </c>
      <c r="F13220">
        <v>0.01</v>
      </c>
    </row>
    <row r="13221" spans="1:6" x14ac:dyDescent="0.3">
      <c r="A13221" t="str">
        <f>HYPERLINK("https://us2.cloudbeds.com/connect/10074733072513#/reservations/31712193093771?display=MX35170G2&amp;reservation_id=31712193093771", "MX35170G2")</f>
        <v>MX35170G2</v>
      </c>
      <c r="B13221" t="s">
        <v>1968</v>
      </c>
      <c r="C13221">
        <v>169</v>
      </c>
      <c r="D13221">
        <v>183.71</v>
      </c>
      <c r="E13221">
        <v>183.7</v>
      </c>
      <c r="F13221">
        <v>0.01</v>
      </c>
    </row>
    <row r="13222" spans="1:6" x14ac:dyDescent="0.3">
      <c r="A13222" t="str">
        <f>HYPERLINK("https://us2.cloudbeds.com/connect/10074733072513#/reservations/31712378806498?display=MX39PQZJF&amp;reservation_id=31712378806498", "MX39PQZJF")</f>
        <v>MX39PQZJF</v>
      </c>
      <c r="B13222" t="s">
        <v>1968</v>
      </c>
      <c r="C13222">
        <v>338</v>
      </c>
      <c r="D13222">
        <v>367.42</v>
      </c>
      <c r="E13222">
        <v>367.41</v>
      </c>
      <c r="F13222">
        <v>0.01</v>
      </c>
    </row>
    <row r="13223" spans="1:6" x14ac:dyDescent="0.3">
      <c r="A13223" t="str">
        <f>HYPERLINK("https://us2.cloudbeds.com/connect/10074733072513#/reservations/31712080556196?display=MX325AG6H&amp;reservation_id=31712080556196", "MX325AG6H")</f>
        <v>MX325AG6H</v>
      </c>
      <c r="B13223" t="s">
        <v>1973</v>
      </c>
      <c r="C13223">
        <v>159</v>
      </c>
      <c r="D13223">
        <v>172.84</v>
      </c>
      <c r="E13223">
        <v>172.83</v>
      </c>
      <c r="F13223">
        <v>0.01</v>
      </c>
    </row>
    <row r="13224" spans="1:6" x14ac:dyDescent="0.3">
      <c r="A13224" t="str">
        <f>HYPERLINK("https://us2.cloudbeds.com/connect/10074733072513#/reservations/31712354271370?display=MX39540KZ&amp;reservation_id=31712354271370", "MX39540KZ")</f>
        <v>MX39540KZ</v>
      </c>
      <c r="B13224" t="s">
        <v>1968</v>
      </c>
      <c r="C13224">
        <v>338</v>
      </c>
      <c r="D13224">
        <v>367.42</v>
      </c>
      <c r="E13224">
        <v>367.41</v>
      </c>
      <c r="F13224">
        <v>0.01</v>
      </c>
    </row>
    <row r="13225" spans="1:6" x14ac:dyDescent="0.3">
      <c r="A13225" t="str">
        <f>HYPERLINK("https://us2.cloudbeds.com/connect/10074733072513#/reservations/31714229457032?display=MX4Z2AR6M&amp;reservation_id=31714229457032", "MX4Z2AR6M")</f>
        <v>MX4Z2AR6M</v>
      </c>
      <c r="B13225" t="s">
        <v>1661</v>
      </c>
      <c r="C13225">
        <v>591.29999999999995</v>
      </c>
      <c r="D13225">
        <v>642.75</v>
      </c>
      <c r="E13225">
        <v>642.74</v>
      </c>
      <c r="F13225">
        <v>0.01</v>
      </c>
    </row>
    <row r="13226" spans="1:6" x14ac:dyDescent="0.3">
      <c r="A13226" t="str">
        <f>HYPERLINK("https://us2.cloudbeds.com/connect/10074733072513#/reservations/31714119332063?display=MX4Y8FEBD&amp;reservation_id=31714119332063", "MX4Y8FEBD")</f>
        <v>MX4Y8FEBD</v>
      </c>
      <c r="B13226" t="s">
        <v>1946</v>
      </c>
      <c r="C13226">
        <v>576</v>
      </c>
      <c r="D13226">
        <v>626.12</v>
      </c>
      <c r="E13226">
        <v>626.11</v>
      </c>
      <c r="F13226">
        <v>0.01</v>
      </c>
    </row>
    <row r="13227" spans="1:6" x14ac:dyDescent="0.3">
      <c r="A13227" t="str">
        <f>HYPERLINK("https://us2.cloudbeds.com/connect/10074733072513#/reservations/31714679324901?display=MX52XM20A&amp;reservation_id=31714679324901", "MX52XM20A")</f>
        <v>MX52XM20A</v>
      </c>
      <c r="B13227" t="s">
        <v>1977</v>
      </c>
      <c r="C13227">
        <v>149</v>
      </c>
      <c r="D13227">
        <v>161.97</v>
      </c>
      <c r="E13227">
        <v>161.96</v>
      </c>
      <c r="F13227">
        <v>0.01</v>
      </c>
    </row>
    <row r="13228" spans="1:6" x14ac:dyDescent="0.3">
      <c r="A13228" t="str">
        <f>HYPERLINK("https://us2.cloudbeds.com/connect/10074733072513#/reservations/31714116591780?display=MX4Y6560H&amp;reservation_id=31714116591780", "MX4Y6560H")</f>
        <v>MX4Y6560H</v>
      </c>
      <c r="B13228" t="s">
        <v>1977</v>
      </c>
      <c r="C13228">
        <v>97.74</v>
      </c>
      <c r="D13228">
        <v>106.25</v>
      </c>
      <c r="E13228">
        <v>106.24</v>
      </c>
      <c r="F13228">
        <v>0.01</v>
      </c>
    </row>
    <row r="13229" spans="1:6" x14ac:dyDescent="0.3">
      <c r="A13229" t="str">
        <f>HYPERLINK("https://us2.cloudbeds.com/connect/10074733072513#/reservations/31714085408919?display=MX4KCSFKB&amp;reservation_id=31714085408919", "MX4KCSFKB")</f>
        <v>MX4KCSFKB</v>
      </c>
      <c r="B13229" t="s">
        <v>1977</v>
      </c>
      <c r="C13229">
        <v>159</v>
      </c>
      <c r="D13229">
        <v>172.84</v>
      </c>
      <c r="E13229">
        <v>172.83</v>
      </c>
      <c r="F13229">
        <v>0.01</v>
      </c>
    </row>
    <row r="13230" spans="1:6" x14ac:dyDescent="0.3">
      <c r="A13230" t="str">
        <f>HYPERLINK("https://us2.cloudbeds.com/connect/10074733072513#/reservations/31714077774019?display=MX4K6E0MZ&amp;reservation_id=31714077774019", "MX4K6E0MZ")</f>
        <v>MX4K6E0MZ</v>
      </c>
      <c r="B13230" t="s">
        <v>1977</v>
      </c>
      <c r="C13230">
        <v>149</v>
      </c>
      <c r="D13230">
        <v>161.97</v>
      </c>
      <c r="E13230">
        <v>161.96</v>
      </c>
      <c r="F13230">
        <v>0.01</v>
      </c>
    </row>
    <row r="13231" spans="1:6" x14ac:dyDescent="0.3">
      <c r="A13231" t="str">
        <f>HYPERLINK("https://us2.cloudbeds.com/connect/10074733072513#/reservations/31714029457633?display=MX4XVMX0R&amp;reservation_id=31714029457633", "MX4XVMX0R")</f>
        <v>MX4XVMX0R</v>
      </c>
      <c r="B13231" t="s">
        <v>1946</v>
      </c>
      <c r="C13231">
        <v>89</v>
      </c>
      <c r="D13231">
        <v>96.75</v>
      </c>
      <c r="E13231">
        <v>96.74</v>
      </c>
      <c r="F13231">
        <v>0.01</v>
      </c>
    </row>
    <row r="13232" spans="1:6" x14ac:dyDescent="0.3">
      <c r="A13232" t="str">
        <f>HYPERLINK("https://us2.cloudbeds.com/connect/10074733072513#/reservations/31712387928253?display=MX3A0GXS9&amp;reservation_id=31712387928253", "MX3A0GXS9")</f>
        <v>MX3A0GXS9</v>
      </c>
      <c r="B13232" t="s">
        <v>1968</v>
      </c>
      <c r="C13232">
        <v>199</v>
      </c>
      <c r="D13232">
        <v>216.32</v>
      </c>
      <c r="E13232">
        <v>216.31</v>
      </c>
      <c r="F13232">
        <v>0.01</v>
      </c>
    </row>
    <row r="13233" spans="1:6" x14ac:dyDescent="0.3">
      <c r="A13233" t="str">
        <f>HYPERLINK("https://us2.cloudbeds.com/connect/10074733072513#/reservations/31712141340885?display=MX33NXU5Q&amp;reservation_id=31712141340885", "MX33NXU5Q")</f>
        <v>MX33NXU5Q</v>
      </c>
      <c r="B13233" t="s">
        <v>1973</v>
      </c>
      <c r="C13233">
        <v>149</v>
      </c>
      <c r="D13233">
        <v>161.97</v>
      </c>
      <c r="E13233">
        <v>161.96</v>
      </c>
      <c r="F13233">
        <v>0.01</v>
      </c>
    </row>
    <row r="13234" spans="1:6" x14ac:dyDescent="0.3">
      <c r="A13234" t="str">
        <f>HYPERLINK("https://us2.cloudbeds.com/connect/10074733072513#/reservations/31715104964823?display=MX5DEJ3UQ&amp;reservation_id=31715104964823", "MX5DEJ3UQ")</f>
        <v>MX5DEJ3UQ</v>
      </c>
      <c r="B13234" t="s">
        <v>1946</v>
      </c>
      <c r="C13234">
        <v>282</v>
      </c>
      <c r="D13234">
        <v>306.54000000000002</v>
      </c>
      <c r="E13234">
        <v>306.52999999999997</v>
      </c>
      <c r="F13234">
        <v>0.01</v>
      </c>
    </row>
    <row r="13235" spans="1:6" x14ac:dyDescent="0.3">
      <c r="A13235" t="str">
        <f>HYPERLINK("https://us2.cloudbeds.com/connect/10074733072513#/reservations/31713470271622?display=MX44M5C86&amp;reservation_id=31713470271622", "MX44M5C86")</f>
        <v>MX44M5C86</v>
      </c>
      <c r="B13235" t="s">
        <v>1946</v>
      </c>
      <c r="C13235">
        <v>298</v>
      </c>
      <c r="D13235">
        <v>323.94</v>
      </c>
      <c r="E13235">
        <v>323.93</v>
      </c>
      <c r="F13235">
        <v>0.01</v>
      </c>
    </row>
    <row r="13236" spans="1:6" x14ac:dyDescent="0.3">
      <c r="A13236" t="str">
        <f>HYPERLINK("https://us2.cloudbeds.com/connect/10074733072513#/reservations/31713108283576?display=MX3SDUH5F&amp;reservation_id=31713108283576", "MX3SDUH5F")</f>
        <v>MX3SDUH5F</v>
      </c>
      <c r="B13236" t="s">
        <v>1853</v>
      </c>
      <c r="C13236">
        <v>209</v>
      </c>
      <c r="D13236">
        <v>227.19</v>
      </c>
      <c r="E13236">
        <v>227.18</v>
      </c>
      <c r="F13236">
        <v>0.01</v>
      </c>
    </row>
    <row r="13237" spans="1:6" x14ac:dyDescent="0.3">
      <c r="A13237" t="str">
        <f>HYPERLINK("https://us2.cloudbeds.com/connect/10074733072513#/reservations/31712591450314?display=MX3F73SQF&amp;reservation_id=31712591450314", "MX3F73SQF")</f>
        <v>MX3F73SQF</v>
      </c>
      <c r="B13237" t="s">
        <v>1969</v>
      </c>
      <c r="C13237">
        <v>338</v>
      </c>
      <c r="D13237">
        <v>367.42</v>
      </c>
      <c r="E13237">
        <v>367.41</v>
      </c>
      <c r="F13237">
        <v>0.01</v>
      </c>
    </row>
    <row r="13238" spans="1:6" x14ac:dyDescent="0.3">
      <c r="A13238" t="str">
        <f>HYPERLINK("https://us2.cloudbeds.com/connect/10074733072513#/reservations/31714710442119?display=MX53BTV4B&amp;reservation_id=31714710442119", "MX53BTV4B")</f>
        <v>MX53BTV4B</v>
      </c>
      <c r="B13238" t="s">
        <v>1977</v>
      </c>
      <c r="C13238">
        <v>159</v>
      </c>
      <c r="D13238">
        <v>172.84</v>
      </c>
      <c r="E13238">
        <v>172.83</v>
      </c>
      <c r="F13238">
        <v>0.01</v>
      </c>
    </row>
    <row r="13239" spans="1:6" x14ac:dyDescent="0.3">
      <c r="A13239" t="str">
        <f>HYPERLINK("https://us2.cloudbeds.com/connect/10074733072513#/reservations/31713500725401?display=MX45ERQ4W&amp;reservation_id=31713500725401", "MX45ERQ4W")</f>
        <v>MX45ERQ4W</v>
      </c>
      <c r="B13239" t="s">
        <v>1946</v>
      </c>
      <c r="C13239">
        <v>97.74</v>
      </c>
      <c r="D13239">
        <v>106.25</v>
      </c>
      <c r="E13239">
        <v>106.24</v>
      </c>
      <c r="F13239">
        <v>0.01</v>
      </c>
    </row>
    <row r="13240" spans="1:6" x14ac:dyDescent="0.3">
      <c r="A13240" t="str">
        <f>HYPERLINK("https://us2.cloudbeds.com/connect/10074733072513#/reservations/31714718679259?display=MX53XS52Y&amp;reservation_id=31714718679259", "MX53XS52Y")</f>
        <v>MX53XS52Y</v>
      </c>
      <c r="B13240" t="s">
        <v>1977</v>
      </c>
      <c r="C13240">
        <v>189</v>
      </c>
      <c r="D13240">
        <v>205.45</v>
      </c>
      <c r="E13240">
        <v>205.44</v>
      </c>
      <c r="F13240">
        <v>0.01</v>
      </c>
    </row>
    <row r="13241" spans="1:6" x14ac:dyDescent="0.3">
      <c r="A13241" t="str">
        <f>HYPERLINK("https://us2.cloudbeds.com/connect/10074733072513#/reservations/31714682134781?display=MX52Y1886&amp;reservation_id=31714682134781", "MX52Y1886")</f>
        <v>MX52Y1886</v>
      </c>
      <c r="B13241" t="s">
        <v>1977</v>
      </c>
      <c r="C13241">
        <v>149</v>
      </c>
      <c r="D13241">
        <v>161.97</v>
      </c>
      <c r="E13241">
        <v>161.96</v>
      </c>
      <c r="F13241">
        <v>0.01</v>
      </c>
    </row>
    <row r="13242" spans="1:6" x14ac:dyDescent="0.3">
      <c r="A13242" t="str">
        <f>HYPERLINK("https://us2.cloudbeds.com/connect/10074733072513#/reservations/31713026568338?display=MX3QB0M74&amp;reservation_id=31713026568338", "MX3QB0M74")</f>
        <v>MX3QB0M74</v>
      </c>
      <c r="B13242" t="s">
        <v>1936</v>
      </c>
      <c r="C13242">
        <v>229</v>
      </c>
      <c r="D13242">
        <v>248.93</v>
      </c>
      <c r="E13242">
        <v>248.92</v>
      </c>
      <c r="F13242">
        <v>0.01</v>
      </c>
    </row>
    <row r="13243" spans="1:6" x14ac:dyDescent="0.3">
      <c r="A13243" t="str">
        <f>HYPERLINK("https://us2.cloudbeds.com/connect/10074733072513#/reservations/31714690592919?display=MX52S5K4E&amp;reservation_id=31714690592919", "MX52S5K4E")</f>
        <v>MX52S5K4E</v>
      </c>
      <c r="B13243" t="s">
        <v>1977</v>
      </c>
      <c r="C13243">
        <v>169</v>
      </c>
      <c r="D13243">
        <v>183.71</v>
      </c>
      <c r="E13243">
        <v>183.7</v>
      </c>
      <c r="F13243">
        <v>0.01</v>
      </c>
    </row>
    <row r="13244" spans="1:6" x14ac:dyDescent="0.3">
      <c r="A13244" t="str">
        <f>HYPERLINK("https://us2.cloudbeds.com/connect/10074733072513#/reservations/31715034812664?display=MX5BYE11Q&amp;reservation_id=31715034812664", "MX5BYE11Q")</f>
        <v>MX5BYE11Q</v>
      </c>
      <c r="B13244" t="s">
        <v>1946</v>
      </c>
      <c r="C13244">
        <v>189</v>
      </c>
      <c r="D13244">
        <v>205.45</v>
      </c>
      <c r="E13244">
        <v>205.44</v>
      </c>
      <c r="F13244">
        <v>0.01</v>
      </c>
    </row>
    <row r="13245" spans="1:6" x14ac:dyDescent="0.3">
      <c r="A13245" t="str">
        <f>HYPERLINK("https://us2.cloudbeds.com/connect/10074733072513#/reservations/31713735393472?display=MX4B580P6&amp;reservation_id=31713735393472", "MX4B580P6")</f>
        <v>MX4B580P6</v>
      </c>
      <c r="B13245" t="s">
        <v>1969</v>
      </c>
      <c r="C13245">
        <v>178</v>
      </c>
      <c r="D13245">
        <v>193.5</v>
      </c>
      <c r="E13245">
        <v>193.49</v>
      </c>
      <c r="F13245">
        <v>0.01</v>
      </c>
    </row>
    <row r="13246" spans="1:6" x14ac:dyDescent="0.3">
      <c r="A13246" t="str">
        <f>HYPERLINK("https://us2.cloudbeds.com/connect/10074733072513#/reservations/31714096169095?display=MX4KYUTD9&amp;reservation_id=31714096169095", "MX4KYUTD9")</f>
        <v>MX4KYUTD9</v>
      </c>
      <c r="B13246" t="s">
        <v>1977</v>
      </c>
      <c r="C13246">
        <v>169</v>
      </c>
      <c r="D13246">
        <v>183.71</v>
      </c>
      <c r="E13246">
        <v>183.7</v>
      </c>
      <c r="F13246">
        <v>0.01</v>
      </c>
    </row>
    <row r="13247" spans="1:6" x14ac:dyDescent="0.3">
      <c r="A13247" t="str">
        <f>HYPERLINK("https://us2.cloudbeds.com/connect/10074733072513#/reservations/31711556268255?display=MX2YP7DD5&amp;reservation_id=31711556268255", "MX2YP7DD5")</f>
        <v>MX2YP7DD5</v>
      </c>
      <c r="B13247" t="s">
        <v>1972</v>
      </c>
      <c r="C13247">
        <v>139</v>
      </c>
      <c r="D13247">
        <v>151.1</v>
      </c>
      <c r="E13247">
        <v>151.09</v>
      </c>
      <c r="F13247">
        <v>0.01</v>
      </c>
    </row>
    <row r="13248" spans="1:6" x14ac:dyDescent="0.3">
      <c r="A13248" t="str">
        <f>HYPERLINK("https://us2.cloudbeds.com/connect/10074733072513#/reservations/31710906241233?display=MX2553ENK&amp;reservation_id=31710906241233", "MX2553ENK")</f>
        <v>MX2553ENK</v>
      </c>
      <c r="B13248" t="s">
        <v>1697</v>
      </c>
      <c r="C13248">
        <v>318</v>
      </c>
      <c r="D13248">
        <v>345.68</v>
      </c>
      <c r="E13248">
        <v>345.67</v>
      </c>
      <c r="F13248">
        <v>0.01</v>
      </c>
    </row>
    <row r="13249" spans="1:6" x14ac:dyDescent="0.3">
      <c r="A13249" t="str">
        <f>HYPERLINK("https://us2.cloudbeds.com/connect/10074733072513#/reservations/31714733072516?display=MX53UWM0V&amp;reservation_id=31714733072516", "MX53UWM0V")</f>
        <v>MX53UWM0V</v>
      </c>
      <c r="B13249" t="s">
        <v>1977</v>
      </c>
      <c r="C13249">
        <v>149</v>
      </c>
      <c r="D13249">
        <v>161.97</v>
      </c>
      <c r="E13249">
        <v>161.96</v>
      </c>
      <c r="F13249">
        <v>0.01</v>
      </c>
    </row>
    <row r="13250" spans="1:6" x14ac:dyDescent="0.3">
      <c r="A13250" t="str">
        <f>HYPERLINK("https://us2.cloudbeds.com/connect/10074733072513#/reservations/31714068967599?display=MX4JVWVWH&amp;reservation_id=31714068967599", "MX4JVWVWH")</f>
        <v>MX4JVWVWH</v>
      </c>
      <c r="B13250" t="s">
        <v>1946</v>
      </c>
      <c r="C13250">
        <v>149</v>
      </c>
      <c r="D13250">
        <v>161.97</v>
      </c>
      <c r="E13250">
        <v>161.96</v>
      </c>
      <c r="F13250">
        <v>0.01</v>
      </c>
    </row>
    <row r="13251" spans="1:6" x14ac:dyDescent="0.3">
      <c r="A13251" t="str">
        <f>HYPERLINK("https://us2.cloudbeds.com/connect/10074733072513#/reservations/31713424789746?display=MX43GQPEH&amp;reservation_id=31713424789746", "MX43GQPEH")</f>
        <v>MX43GQPEH</v>
      </c>
      <c r="B13251" t="s">
        <v>1878</v>
      </c>
      <c r="C13251">
        <v>189</v>
      </c>
      <c r="D13251">
        <v>205.45</v>
      </c>
      <c r="E13251">
        <v>205.44</v>
      </c>
      <c r="F13251">
        <v>0.01</v>
      </c>
    </row>
    <row r="13252" spans="1:6" x14ac:dyDescent="0.3">
      <c r="A13252" t="str">
        <f>HYPERLINK("https://us2.cloudbeds.com/connect/10074733072513#/reservations/31712318693566?display=MX38840FF&amp;reservation_id=31712318693566", "MX38840FF")</f>
        <v>MX38840FF</v>
      </c>
      <c r="B13252" t="s">
        <v>1968</v>
      </c>
      <c r="C13252">
        <v>97.74</v>
      </c>
      <c r="D13252">
        <v>106.25</v>
      </c>
      <c r="E13252">
        <v>106.24</v>
      </c>
      <c r="F13252">
        <v>0.01</v>
      </c>
    </row>
    <row r="13253" spans="1:6" x14ac:dyDescent="0.3">
      <c r="A13253" t="str">
        <f>HYPERLINK("https://us2.cloudbeds.com/connect/10074733072513#/reservations/31714418798739?display=MX4STWHN5&amp;reservation_id=31714418798739", "MX4STWHN5")</f>
        <v>MX4STWHN5</v>
      </c>
      <c r="B13253" t="s">
        <v>1980</v>
      </c>
      <c r="C13253">
        <v>139</v>
      </c>
      <c r="D13253">
        <v>151.1</v>
      </c>
      <c r="E13253">
        <v>151.09</v>
      </c>
      <c r="F13253">
        <v>0.01</v>
      </c>
    </row>
    <row r="13254" spans="1:6" x14ac:dyDescent="0.3">
      <c r="A13254" t="str">
        <f>HYPERLINK("https://us2.cloudbeds.com/connect/10074733072513#/reservations/31715044290769?display=MX5BTDPX3&amp;reservation_id=31715044290769", "MX5BTDPX3")</f>
        <v>MX5BTDPX3</v>
      </c>
      <c r="B13254" t="s">
        <v>1946</v>
      </c>
      <c r="C13254">
        <v>97.74</v>
      </c>
      <c r="D13254">
        <v>106.25</v>
      </c>
      <c r="E13254">
        <v>106.24</v>
      </c>
      <c r="F13254">
        <v>0.01</v>
      </c>
    </row>
    <row r="13255" spans="1:6" x14ac:dyDescent="0.3">
      <c r="A13255" t="str">
        <f>HYPERLINK("https://us2.cloudbeds.com/connect/10074733072513#/reservations/31712139313301?display=MX33YSG9S&amp;reservation_id=31712139313301", "MX33YSG9S")</f>
        <v>MX33YSG9S</v>
      </c>
      <c r="B13255" t="s">
        <v>1927</v>
      </c>
      <c r="C13255">
        <v>139</v>
      </c>
      <c r="D13255">
        <v>151.1</v>
      </c>
      <c r="E13255">
        <v>151.09</v>
      </c>
      <c r="F13255">
        <v>0.01</v>
      </c>
    </row>
    <row r="13256" spans="1:6" x14ac:dyDescent="0.3">
      <c r="A13256" t="str">
        <f>HYPERLINK("https://us2.cloudbeds.com/connect/10074733072513#/reservations/31715379441826?display=MX5KF0RUZ&amp;reservation_id=31715379441826", "MX5KF0RUZ")</f>
        <v>MX5KF0RUZ</v>
      </c>
      <c r="B13256" t="s">
        <v>1853</v>
      </c>
      <c r="C13256">
        <v>179</v>
      </c>
      <c r="D13256">
        <v>194.58</v>
      </c>
      <c r="E13256">
        <v>194.57</v>
      </c>
      <c r="F13256">
        <v>0.01</v>
      </c>
    </row>
    <row r="13257" spans="1:6" x14ac:dyDescent="0.3">
      <c r="A13257" t="str">
        <f>HYPERLINK("https://us2.cloudbeds.com/connect/10074733072513#/reservations/31712826466526?display=MX3Y79HWS&amp;reservation_id=31712826466526", "MX3Y79HWS")</f>
        <v>MX3Y79HWS</v>
      </c>
      <c r="B13257" t="s">
        <v>1853</v>
      </c>
      <c r="C13257">
        <v>189</v>
      </c>
      <c r="D13257">
        <v>205.45</v>
      </c>
      <c r="E13257">
        <v>205.44</v>
      </c>
      <c r="F13257">
        <v>0.01</v>
      </c>
    </row>
    <row r="13258" spans="1:6" x14ac:dyDescent="0.3">
      <c r="A13258" t="str">
        <f>HYPERLINK("https://us2.cloudbeds.com/connect/10074733072513#/reservations/31702190198914?display=MHSDEGNP3&amp;reservation_id=31702190198914", "MHSDEGNP3")</f>
        <v>MHSDEGNP3</v>
      </c>
      <c r="B13258" t="s">
        <v>1981</v>
      </c>
      <c r="C13258">
        <v>338</v>
      </c>
      <c r="D13258">
        <v>367.42</v>
      </c>
      <c r="E13258">
        <v>367.41</v>
      </c>
      <c r="F13258">
        <v>0.01</v>
      </c>
    </row>
    <row r="13259" spans="1:6" x14ac:dyDescent="0.3">
      <c r="A13259" t="str">
        <f>HYPERLINK("https://us2.cloudbeds.com/connect/10074733072513#/reservations/31712756359315?display=MX3JE5NCU&amp;reservation_id=31712756359315", "MX3JE5NCU")</f>
        <v>MX3JE5NCU</v>
      </c>
      <c r="B13259" t="s">
        <v>1927</v>
      </c>
      <c r="C13259">
        <v>352.76</v>
      </c>
      <c r="D13259">
        <v>383.46</v>
      </c>
      <c r="E13259">
        <v>383.45</v>
      </c>
      <c r="F13259">
        <v>0.01</v>
      </c>
    </row>
    <row r="13260" spans="1:6" x14ac:dyDescent="0.3">
      <c r="A13260" t="str">
        <f>HYPERLINK("https://us2.cloudbeds.com/connect/10074733072513#/reservations/31701722566816?display=MHS1G65HF&amp;reservation_id=31701722566816", "MHS1G65HF")</f>
        <v>MHS1G65HF</v>
      </c>
      <c r="B13260" t="s">
        <v>1886</v>
      </c>
      <c r="C13260">
        <v>159</v>
      </c>
      <c r="D13260">
        <v>172.84</v>
      </c>
      <c r="E13260">
        <v>172.83</v>
      </c>
      <c r="F13260">
        <v>0.01</v>
      </c>
    </row>
    <row r="13261" spans="1:6" x14ac:dyDescent="0.3">
      <c r="A13261" t="str">
        <f>HYPERLINK("https://us2.cloudbeds.com/connect/10074733072513#/reservations/31713041113315?display=MX3QN9DG0&amp;reservation_id=31713041113315", "MX3QN9DG0")</f>
        <v>MX3QN9DG0</v>
      </c>
      <c r="B13261" t="s">
        <v>1936</v>
      </c>
      <c r="C13261">
        <v>189</v>
      </c>
      <c r="D13261">
        <v>205.45</v>
      </c>
      <c r="E13261">
        <v>205.44</v>
      </c>
      <c r="F13261">
        <v>0.01</v>
      </c>
    </row>
    <row r="13262" spans="1:6" x14ac:dyDescent="0.3">
      <c r="A13262" t="str">
        <f>HYPERLINK("https://us2.cloudbeds.com/connect/10074733072513#/reservations/31715065417910?display=MX5CE7M07&amp;reservation_id=31715065417910", "MX5CE7M07")</f>
        <v>MX5CE7M07</v>
      </c>
      <c r="B13262" t="s">
        <v>1963</v>
      </c>
      <c r="C13262">
        <v>139</v>
      </c>
      <c r="D13262">
        <v>151.1</v>
      </c>
      <c r="E13262">
        <v>151.09</v>
      </c>
      <c r="F13262">
        <v>0.01</v>
      </c>
    </row>
    <row r="13263" spans="1:6" x14ac:dyDescent="0.3">
      <c r="A13263" t="str">
        <f>HYPERLINK("https://us2.cloudbeds.com/connect/10074733072513#/reservations/31712593535147?display=MX3F8ST87&amp;reservation_id=31712593535147", "MX3F8ST87")</f>
        <v>MX3F8ST87</v>
      </c>
      <c r="B13263" t="s">
        <v>1982</v>
      </c>
      <c r="C13263">
        <v>139</v>
      </c>
      <c r="D13263">
        <v>151.1</v>
      </c>
      <c r="E13263">
        <v>151.09</v>
      </c>
      <c r="F13263">
        <v>0.01</v>
      </c>
    </row>
    <row r="13264" spans="1:6" x14ac:dyDescent="0.3">
      <c r="A13264" t="str">
        <f>HYPERLINK("https://us2.cloudbeds.com/connect/10074733072513#/reservations/31713694638214?display=MX4ADBN5R&amp;reservation_id=31713694638214", "MX4ADBN5R")</f>
        <v>MX4ADBN5R</v>
      </c>
      <c r="B13264" t="s">
        <v>1969</v>
      </c>
      <c r="C13264">
        <v>252</v>
      </c>
      <c r="D13264">
        <v>273.93</v>
      </c>
      <c r="E13264">
        <v>273.92</v>
      </c>
      <c r="F13264">
        <v>0.01</v>
      </c>
    </row>
    <row r="13265" spans="1:6" x14ac:dyDescent="0.3">
      <c r="A13265" t="str">
        <f>HYPERLINK("https://us2.cloudbeds.com/connect/10074733072513#/reservations/31715013239039?display=MX5B37NXJ&amp;reservation_id=31715013239039", "MX5B37NXJ")</f>
        <v>MX5B37NXJ</v>
      </c>
      <c r="B13265" t="s">
        <v>1963</v>
      </c>
      <c r="C13265">
        <v>139</v>
      </c>
      <c r="D13265">
        <v>151.1</v>
      </c>
      <c r="E13265">
        <v>151.09</v>
      </c>
      <c r="F13265">
        <v>0.01</v>
      </c>
    </row>
    <row r="13266" spans="1:6" x14ac:dyDescent="0.3">
      <c r="A13266" t="str">
        <f>HYPERLINK("https://us2.cloudbeds.com/connect/10074733072513#/reservations/31711831118022?display=MX2SPWCWX&amp;reservation_id=31711831118022", "MX2SPWCWX")</f>
        <v>MX2SPWCWX</v>
      </c>
      <c r="B13266" t="s">
        <v>1974</v>
      </c>
      <c r="C13266">
        <v>336</v>
      </c>
      <c r="D13266">
        <v>365.24</v>
      </c>
      <c r="E13266">
        <v>365.23</v>
      </c>
      <c r="F13266">
        <v>0.01</v>
      </c>
    </row>
    <row r="13267" spans="1:6" x14ac:dyDescent="0.3">
      <c r="A13267" t="str">
        <f>HYPERLINK("https://us2.cloudbeds.com/connect/10074733072513#/reservations/31703136411833?display=MHT4KCG4S&amp;reservation_id=31703136411833", "MHT4KCG4S")</f>
        <v>MHT4KCG4S</v>
      </c>
      <c r="B13267" t="s">
        <v>1981</v>
      </c>
      <c r="C13267">
        <v>169</v>
      </c>
      <c r="D13267">
        <v>183.71</v>
      </c>
      <c r="E13267">
        <v>183.7</v>
      </c>
      <c r="F13267">
        <v>0.01</v>
      </c>
    </row>
    <row r="13268" spans="1:6" x14ac:dyDescent="0.3">
      <c r="A13268" t="str">
        <f>HYPERLINK("https://us2.cloudbeds.com/connect/10074733072513#/reservations/31712635076812?display=MX3GATRSX&amp;reservation_id=31712635076812", "MX3GATRSX")</f>
        <v>MX3GATRSX</v>
      </c>
      <c r="B13268" t="s">
        <v>1983</v>
      </c>
      <c r="C13268">
        <v>102.58</v>
      </c>
      <c r="D13268">
        <v>111.51</v>
      </c>
      <c r="E13268">
        <v>111.5</v>
      </c>
      <c r="F13268">
        <v>0.01</v>
      </c>
    </row>
    <row r="13269" spans="1:6" x14ac:dyDescent="0.3">
      <c r="A13269" t="str">
        <f>HYPERLINK("https://us2.cloudbeds.com/connect/10074733072513#/reservations/31712997404801?display=MX3PJE53J&amp;reservation_id=31712997404801", "MX3PJE53J")</f>
        <v>MX3PJE53J</v>
      </c>
      <c r="B13269" t="s">
        <v>1983</v>
      </c>
      <c r="C13269">
        <v>139</v>
      </c>
      <c r="D13269">
        <v>151.1</v>
      </c>
      <c r="E13269">
        <v>151.09</v>
      </c>
      <c r="F13269">
        <v>0.01</v>
      </c>
    </row>
    <row r="13270" spans="1:6" x14ac:dyDescent="0.3">
      <c r="A13270" t="str">
        <f>HYPERLINK("https://us2.cloudbeds.com/connect/10074733072513#/reservations/31713014694085?display=MX3Q108D9&amp;reservation_id=31713014694085", "MX3Q108D9")</f>
        <v>MX3Q108D9</v>
      </c>
      <c r="B13270" t="s">
        <v>1983</v>
      </c>
      <c r="C13270">
        <v>139</v>
      </c>
      <c r="D13270">
        <v>151.1</v>
      </c>
      <c r="E13270">
        <v>151.09</v>
      </c>
      <c r="F13270">
        <v>0.01</v>
      </c>
    </row>
    <row r="13271" spans="1:6" x14ac:dyDescent="0.3">
      <c r="A13271" t="str">
        <f>HYPERLINK("https://us2.cloudbeds.com/connect/10074733072513#/reservations/31712656711882?display=MX3GT4SPN&amp;reservation_id=31712656711882", "MX3GT4SPN")</f>
        <v>MX3GT4SPN</v>
      </c>
      <c r="B13271" t="s">
        <v>1983</v>
      </c>
      <c r="C13271">
        <v>129</v>
      </c>
      <c r="D13271">
        <v>140.22999999999999</v>
      </c>
      <c r="E13271">
        <v>140.22</v>
      </c>
      <c r="F13271">
        <v>0.01</v>
      </c>
    </row>
    <row r="13272" spans="1:6" x14ac:dyDescent="0.3">
      <c r="A13272" t="str">
        <f>HYPERLINK("https://us2.cloudbeds.com/connect/10074733072513#/reservations/31713554559184?display=MX46R7Q9A&amp;reservation_id=31713554559184", "MX46R7Q9A")</f>
        <v>MX46R7Q9A</v>
      </c>
      <c r="B13272" t="s">
        <v>1966</v>
      </c>
      <c r="C13272">
        <v>139</v>
      </c>
      <c r="D13272">
        <v>151.1</v>
      </c>
      <c r="E13272">
        <v>151.09</v>
      </c>
      <c r="F13272">
        <v>0.01</v>
      </c>
    </row>
    <row r="13273" spans="1:6" x14ac:dyDescent="0.3">
      <c r="A13273" t="str">
        <f>HYPERLINK("https://us2.cloudbeds.com/connect/10074733072513#/reservations/31713103245556?display=MX3S9MAT6&amp;reservation_id=31713103245556", "MX3S9MAT6")</f>
        <v>MX3S9MAT6</v>
      </c>
      <c r="B13273" t="s">
        <v>1661</v>
      </c>
      <c r="C13273">
        <v>398</v>
      </c>
      <c r="D13273">
        <v>432.64</v>
      </c>
      <c r="E13273">
        <v>432.63</v>
      </c>
      <c r="F13273">
        <v>0.01</v>
      </c>
    </row>
    <row r="13274" spans="1:6" x14ac:dyDescent="0.3">
      <c r="A13274" t="str">
        <f>HYPERLINK("https://us2.cloudbeds.com/connect/10074733072513#/reservations/31713751044224?display=MX4BRU5KM&amp;reservation_id=31713751044224", "MX4BRU5KM")</f>
        <v>MX4BRU5KM</v>
      </c>
      <c r="B13274" t="s">
        <v>1969</v>
      </c>
      <c r="C13274">
        <v>149</v>
      </c>
      <c r="D13274">
        <v>161.97</v>
      </c>
      <c r="E13274">
        <v>161.96</v>
      </c>
      <c r="F13274">
        <v>0.01</v>
      </c>
    </row>
    <row r="13275" spans="1:6" x14ac:dyDescent="0.3">
      <c r="A13275" t="str">
        <f>HYPERLINK("https://us2.cloudbeds.com/connect/10074733072513#/reservations/31702212137174?display=MHSE0062S&amp;reservation_id=31702212137174", "MHSE0062S")</f>
        <v>MHSE0062S</v>
      </c>
      <c r="B13275" t="s">
        <v>1916</v>
      </c>
      <c r="C13275">
        <v>318</v>
      </c>
      <c r="D13275">
        <v>345.68</v>
      </c>
      <c r="E13275">
        <v>345.67</v>
      </c>
      <c r="F13275">
        <v>0.01</v>
      </c>
    </row>
    <row r="13276" spans="1:6" x14ac:dyDescent="0.3">
      <c r="A13276" t="str">
        <f>HYPERLINK("https://us2.cloudbeds.com/connect/10074733072513#/reservations/31712960798970?display=MX3ZYXHUW&amp;reservation_id=31712960798970", "MX3ZYXHUW")</f>
        <v>MX3ZYXHUW</v>
      </c>
      <c r="B13276" t="s">
        <v>1983</v>
      </c>
      <c r="C13276">
        <v>139</v>
      </c>
      <c r="D13276">
        <v>151.1</v>
      </c>
      <c r="E13276">
        <v>151.09</v>
      </c>
      <c r="F13276">
        <v>0.01</v>
      </c>
    </row>
    <row r="13277" spans="1:6" x14ac:dyDescent="0.3">
      <c r="A13277" t="str">
        <f>HYPERLINK("https://us2.cloudbeds.com/connect/10074733072513#/reservations/31713133777066?display=MX3T2DU5F&amp;reservation_id=31713133777066", "MX3T2DU5F")</f>
        <v>MX3T2DU5F</v>
      </c>
      <c r="B13277" t="s">
        <v>1661</v>
      </c>
      <c r="C13277">
        <v>229</v>
      </c>
      <c r="D13277">
        <v>248.93</v>
      </c>
      <c r="E13277">
        <v>248.92</v>
      </c>
      <c r="F13277">
        <v>0.01</v>
      </c>
    </row>
    <row r="13278" spans="1:6" x14ac:dyDescent="0.3">
      <c r="A13278" t="str">
        <f>HYPERLINK("https://us2.cloudbeds.com/connect/10074733072513#/reservations/31714343440556?display=MX4QWEJ8S&amp;reservation_id=31714343440556", "MX4QWEJ8S")</f>
        <v>MX4QWEJ8S</v>
      </c>
      <c r="B13278" t="s">
        <v>1963</v>
      </c>
      <c r="C13278">
        <v>219.92</v>
      </c>
      <c r="D13278">
        <v>239.06</v>
      </c>
      <c r="E13278">
        <v>239.05</v>
      </c>
      <c r="F13278">
        <v>0.01</v>
      </c>
    </row>
    <row r="13279" spans="1:6" x14ac:dyDescent="0.3">
      <c r="A13279" t="str">
        <f>HYPERLINK("https://us2.cloudbeds.com/connect/10074733072513#/reservations/31714867085493?display=MX57BWPK8&amp;reservation_id=31714867085493", "MX57BWPK8")</f>
        <v>MX57BWPK8</v>
      </c>
      <c r="B13279" t="s">
        <v>1924</v>
      </c>
      <c r="C13279">
        <v>199</v>
      </c>
      <c r="D13279">
        <v>216.32</v>
      </c>
      <c r="E13279">
        <v>216.31</v>
      </c>
      <c r="F13279">
        <v>0.01</v>
      </c>
    </row>
    <row r="13280" spans="1:6" x14ac:dyDescent="0.3">
      <c r="A13280" t="str">
        <f>HYPERLINK("https://us2.cloudbeds.com/connect/10074733072513#/reservations/31702015267013?display=MHS8VWWDD&amp;reservation_id=31702015267013", "MHS8VWWDD")</f>
        <v>MHS8VWWDD</v>
      </c>
      <c r="B13280" t="s">
        <v>1917</v>
      </c>
      <c r="C13280">
        <v>159</v>
      </c>
      <c r="D13280">
        <v>172.84</v>
      </c>
      <c r="E13280">
        <v>172.83</v>
      </c>
      <c r="F13280">
        <v>0.01</v>
      </c>
    </row>
    <row r="13281" spans="1:6" x14ac:dyDescent="0.3">
      <c r="A13281" t="str">
        <f>HYPERLINK("https://us2.cloudbeds.com/connect/10074733072513#/reservations/31712122294423?display=MX337GUA9&amp;reservation_id=31712122294423", "MX337GUA9")</f>
        <v>MX337GUA9</v>
      </c>
      <c r="B13281" t="s">
        <v>1927</v>
      </c>
      <c r="C13281">
        <v>219</v>
      </c>
      <c r="D13281">
        <v>238.06</v>
      </c>
      <c r="E13281">
        <v>238.05</v>
      </c>
      <c r="F13281">
        <v>0.01</v>
      </c>
    </row>
    <row r="13282" spans="1:6" x14ac:dyDescent="0.3">
      <c r="A13282" t="str">
        <f>HYPERLINK("https://us2.cloudbeds.com/connect/10074733072513#/reservations/31712986398927?display=MX3PA4TN8&amp;reservation_id=31712986398927", "MX3PA4TN8")</f>
        <v>MX3PA4TN8</v>
      </c>
      <c r="B13282" t="s">
        <v>1936</v>
      </c>
      <c r="C13282">
        <v>239</v>
      </c>
      <c r="D13282">
        <v>259.8</v>
      </c>
      <c r="E13282">
        <v>259.79000000000002</v>
      </c>
      <c r="F13282">
        <v>0.01</v>
      </c>
    </row>
    <row r="13283" spans="1:6" x14ac:dyDescent="0.3">
      <c r="A13283" t="str">
        <f>HYPERLINK("https://us2.cloudbeds.com/connect/10074733072513#/reservations/31715050426512?display=MX5C1JGRN&amp;reservation_id=31715050426512", "MX5C1JGRN")</f>
        <v>MX5C1JGRN</v>
      </c>
      <c r="B13283" t="s">
        <v>1963</v>
      </c>
      <c r="C13283">
        <v>149</v>
      </c>
      <c r="D13283">
        <v>161.97</v>
      </c>
      <c r="E13283">
        <v>161.96</v>
      </c>
      <c r="F13283">
        <v>0.01</v>
      </c>
    </row>
    <row r="13284" spans="1:6" x14ac:dyDescent="0.3">
      <c r="A13284" t="str">
        <f>HYPERLINK("https://us2.cloudbeds.com/connect/10074733072513#/reservations/31713472159885?display=MX44NZU69&amp;reservation_id=31713472159885", "MX44NZU69")</f>
        <v>MX44NZU69</v>
      </c>
      <c r="B13284" t="s">
        <v>1952</v>
      </c>
      <c r="C13284">
        <v>139</v>
      </c>
      <c r="D13284">
        <v>151.1</v>
      </c>
      <c r="E13284">
        <v>151.09</v>
      </c>
      <c r="F13284">
        <v>0.01</v>
      </c>
    </row>
    <row r="13285" spans="1:6" x14ac:dyDescent="0.3">
      <c r="A13285" t="str">
        <f>HYPERLINK("https://us2.cloudbeds.com/connect/10074733072513#/reservations/31714374963337?display=MX4RQ0ZQY&amp;reservation_id=31714374963337", "MX4RQ0ZQY")</f>
        <v>MX4RQ0ZQY</v>
      </c>
      <c r="B13285" t="s">
        <v>1980</v>
      </c>
      <c r="C13285">
        <v>129</v>
      </c>
      <c r="D13285">
        <v>140.22999999999999</v>
      </c>
      <c r="E13285">
        <v>140.22</v>
      </c>
      <c r="F13285">
        <v>0.01</v>
      </c>
    </row>
    <row r="13286" spans="1:6" x14ac:dyDescent="0.3">
      <c r="A13286" t="str">
        <f>HYPERLINK("https://us2.cloudbeds.com/connect/10074733072513#/reservations/31714357059737?display=MX4RAUXD9&amp;reservation_id=31714357059737", "MX4RAUXD9")</f>
        <v>MX4RAUXD9</v>
      </c>
      <c r="B13286" t="s">
        <v>1980</v>
      </c>
      <c r="C13286">
        <v>129</v>
      </c>
      <c r="D13286">
        <v>140.22999999999999</v>
      </c>
      <c r="E13286">
        <v>140.22</v>
      </c>
      <c r="F13286">
        <v>0.01</v>
      </c>
    </row>
    <row r="13287" spans="1:6" x14ac:dyDescent="0.3">
      <c r="A13287" t="str">
        <f>HYPERLINK("https://us2.cloudbeds.com/connect/10074733072513#/reservations/31713026572430?display=MX3QB0PW4&amp;reservation_id=31713026572430", "MX3QB0PW4")</f>
        <v>MX3QB0PW4</v>
      </c>
      <c r="B13287" t="s">
        <v>1661</v>
      </c>
      <c r="C13287">
        <v>209</v>
      </c>
      <c r="D13287">
        <v>227.19</v>
      </c>
      <c r="E13287">
        <v>227.18</v>
      </c>
      <c r="F13287">
        <v>0.01</v>
      </c>
    </row>
    <row r="13288" spans="1:6" x14ac:dyDescent="0.3">
      <c r="A13288" t="str">
        <f>HYPERLINK("https://us2.cloudbeds.com/connect/10074733072513#/reservations/31715052724455?display=MX5C3HEWB&amp;reservation_id=31715052724455", "MX5C3HEWB")</f>
        <v>MX5C3HEWB</v>
      </c>
      <c r="B13288" t="s">
        <v>1963</v>
      </c>
      <c r="C13288">
        <v>129</v>
      </c>
      <c r="D13288">
        <v>140.22999999999999</v>
      </c>
      <c r="E13288">
        <v>140.22</v>
      </c>
      <c r="F13288">
        <v>0.01</v>
      </c>
    </row>
    <row r="13289" spans="1:6" x14ac:dyDescent="0.3">
      <c r="A13289" t="str">
        <f>HYPERLINK("https://us2.cloudbeds.com/connect/10074733072513#/reservations/31715030786209?display=MX5BX0WM0&amp;reservation_id=31715030786209", "MX5BX0WM0")</f>
        <v>MX5BX0WM0</v>
      </c>
      <c r="B13289" t="s">
        <v>1963</v>
      </c>
      <c r="C13289">
        <v>159</v>
      </c>
      <c r="D13289">
        <v>172.84</v>
      </c>
      <c r="E13289">
        <v>172.83</v>
      </c>
      <c r="F13289">
        <v>0.01</v>
      </c>
    </row>
    <row r="13290" spans="1:6" x14ac:dyDescent="0.3">
      <c r="A13290" t="str">
        <f>HYPERLINK("https://us2.cloudbeds.com/connect/10074733072513#/reservations/31715095228619?display=MX5D6C6EA&amp;reservation_id=31715095228619", "MX5D6C6EA")</f>
        <v>MX5D6C6EA</v>
      </c>
      <c r="B13290" t="s">
        <v>1963</v>
      </c>
      <c r="C13290">
        <v>129</v>
      </c>
      <c r="D13290">
        <v>140.22999999999999</v>
      </c>
      <c r="E13290">
        <v>140.22</v>
      </c>
      <c r="F13290">
        <v>0.01</v>
      </c>
    </row>
    <row r="13291" spans="1:6" x14ac:dyDescent="0.3">
      <c r="A13291" t="str">
        <f>HYPERLINK("https://us2.cloudbeds.com/connect/10074733072513#/reservations/31701760471246?display=MHS2F4U5X&amp;reservation_id=31701760471246", "MHS2F4U5X")</f>
        <v>MHS2F4U5X</v>
      </c>
      <c r="B13291" t="s">
        <v>1886</v>
      </c>
      <c r="C13291">
        <v>159</v>
      </c>
      <c r="D13291">
        <v>172.84</v>
      </c>
      <c r="E13291">
        <v>172.83</v>
      </c>
      <c r="F13291">
        <v>0.01</v>
      </c>
    </row>
    <row r="13292" spans="1:6" x14ac:dyDescent="0.3">
      <c r="A13292" t="str">
        <f>HYPERLINK("https://us2.cloudbeds.com/connect/10074733072513#/reservations/31711735443658?display=MX2QBA7ER&amp;reservation_id=31711735443658", "MX2QBA7ER")</f>
        <v>MX2QBA7ER</v>
      </c>
      <c r="B13292" t="s">
        <v>1944</v>
      </c>
      <c r="C13292">
        <v>169</v>
      </c>
      <c r="D13292">
        <v>183.71</v>
      </c>
      <c r="E13292">
        <v>183.7</v>
      </c>
      <c r="F13292">
        <v>0.01</v>
      </c>
    </row>
    <row r="13293" spans="1:6" x14ac:dyDescent="0.3">
      <c r="A13293" t="str">
        <f>HYPERLINK("https://us2.cloudbeds.com/connect/10074733072513#/reservations/31713458000070?display=MX44BQTJW&amp;reservation_id=31713458000070", "MX44BQTJW")</f>
        <v>MX44BQTJW</v>
      </c>
      <c r="B13293" t="s">
        <v>1952</v>
      </c>
      <c r="C13293">
        <v>149</v>
      </c>
      <c r="D13293">
        <v>161.97</v>
      </c>
      <c r="E13293">
        <v>161.96</v>
      </c>
      <c r="F13293">
        <v>0.01</v>
      </c>
    </row>
    <row r="13294" spans="1:6" x14ac:dyDescent="0.3">
      <c r="A13294" t="str">
        <f>HYPERLINK("https://us2.cloudbeds.com/connect/10074733072513#/reservations/31713650598077?display=MX4997797&amp;reservation_id=31713650598077", "MX4997797")</f>
        <v>MX4997797</v>
      </c>
      <c r="B13294" t="s">
        <v>1986</v>
      </c>
      <c r="C13294">
        <v>102.58</v>
      </c>
      <c r="D13294">
        <v>111.51</v>
      </c>
      <c r="E13294">
        <v>111.5</v>
      </c>
      <c r="F13294">
        <v>0.01</v>
      </c>
    </row>
    <row r="13295" spans="1:6" x14ac:dyDescent="0.3">
      <c r="A13295" t="str">
        <f>HYPERLINK("https://us2.cloudbeds.com/connect/10074733072513#/reservations/31713492992202?display=MX458AJVK&amp;reservation_id=31713492992202", "MX458AJVK")</f>
        <v>MX458AJVK</v>
      </c>
      <c r="B13295" t="s">
        <v>1986</v>
      </c>
      <c r="C13295">
        <v>102.58</v>
      </c>
      <c r="D13295">
        <v>111.51</v>
      </c>
      <c r="E13295">
        <v>111.5</v>
      </c>
      <c r="F13295">
        <v>0.01</v>
      </c>
    </row>
    <row r="13296" spans="1:6" x14ac:dyDescent="0.3">
      <c r="A13296" t="str">
        <f>HYPERLINK("https://us2.cloudbeds.com/connect/10074733072513#/reservations/31713504059560?display=MX45HYXR3&amp;reservation_id=31713504059560", "MX45HYXR3")</f>
        <v>MX45HYXR3</v>
      </c>
      <c r="B13296" t="s">
        <v>1952</v>
      </c>
      <c r="C13296">
        <v>139</v>
      </c>
      <c r="D13296">
        <v>151.1</v>
      </c>
      <c r="E13296">
        <v>151.09</v>
      </c>
      <c r="F13296">
        <v>0.01</v>
      </c>
    </row>
    <row r="13297" spans="1:6" x14ac:dyDescent="0.3">
      <c r="A13297" t="str">
        <f>HYPERLINK("https://us2.cloudbeds.com/connect/10074733072513#/reservations/31713622933707?display=MX48XTDQW&amp;reservation_id=31713622933707", "MX48XTDQW")</f>
        <v>MX48XTDQW</v>
      </c>
      <c r="B13297" t="s">
        <v>1986</v>
      </c>
      <c r="C13297">
        <v>149</v>
      </c>
      <c r="D13297">
        <v>161.97</v>
      </c>
      <c r="E13297">
        <v>161.96</v>
      </c>
      <c r="F13297">
        <v>0.01</v>
      </c>
    </row>
    <row r="13298" spans="1:6" x14ac:dyDescent="0.3">
      <c r="A13298" t="str">
        <f>HYPERLINK("https://us2.cloudbeds.com/connect/10074733072513#/reservations/31701693886595?display=MHS0P037S&amp;reservation_id=31701693886595", "MHS0P037S")</f>
        <v>MHS0P037S</v>
      </c>
      <c r="B13298" t="s">
        <v>1886</v>
      </c>
      <c r="C13298">
        <v>169</v>
      </c>
      <c r="D13298">
        <v>183.71</v>
      </c>
      <c r="E13298">
        <v>183.7</v>
      </c>
      <c r="F13298">
        <v>0.01</v>
      </c>
    </row>
    <row r="13299" spans="1:6" x14ac:dyDescent="0.3">
      <c r="A13299" t="str">
        <f>HYPERLINK("https://us2.cloudbeds.com/connect/10074733072513#/reservations/31711802446055?display=MX2S1QYWG&amp;reservation_id=31711802446055", "MX2S1QYWG")</f>
        <v>MX2S1QYWG</v>
      </c>
      <c r="B13299" t="s">
        <v>1974</v>
      </c>
      <c r="C13299">
        <v>336</v>
      </c>
      <c r="D13299">
        <v>365.24</v>
      </c>
      <c r="E13299">
        <v>365.23</v>
      </c>
      <c r="F13299">
        <v>0.01</v>
      </c>
    </row>
    <row r="13300" spans="1:6" x14ac:dyDescent="0.3">
      <c r="A13300" t="str">
        <f>HYPERLINK("https://us2.cloudbeds.com/connect/10074733072513#/reservations/31712091599005?display=MX32EKPH3&amp;reservation_id=31712091599005", "MX32EKPH3")</f>
        <v>MX32EKPH3</v>
      </c>
      <c r="B13300" t="s">
        <v>1895</v>
      </c>
      <c r="C13300">
        <v>102.58</v>
      </c>
      <c r="D13300">
        <v>111.51</v>
      </c>
      <c r="E13300">
        <v>111.5</v>
      </c>
      <c r="F13300">
        <v>0.01</v>
      </c>
    </row>
    <row r="13301" spans="1:6" x14ac:dyDescent="0.3">
      <c r="A13301" t="str">
        <f>HYPERLINK("https://us2.cloudbeds.com/connect/10074733072513#/reservations/31701770440870?display=MHS2NXB0C&amp;reservation_id=31701770440870", "MHS2NXB0C")</f>
        <v>MHS2NXB0C</v>
      </c>
      <c r="B13301" t="s">
        <v>1886</v>
      </c>
      <c r="C13301">
        <v>179</v>
      </c>
      <c r="D13301">
        <v>194.58</v>
      </c>
      <c r="E13301">
        <v>194.57</v>
      </c>
      <c r="F13301">
        <v>0.01</v>
      </c>
    </row>
    <row r="13302" spans="1:6" x14ac:dyDescent="0.3">
      <c r="A13302" t="str">
        <f>HYPERLINK("https://us2.cloudbeds.com/connect/10074733072513#/reservations/31712405229701?display=MX3AF30AJ&amp;reservation_id=31712405229701", "MX3AF30AJ")</f>
        <v>MX3AF30AJ</v>
      </c>
      <c r="B13302" t="s">
        <v>1829</v>
      </c>
      <c r="C13302">
        <v>219</v>
      </c>
      <c r="D13302">
        <v>238.06</v>
      </c>
      <c r="E13302">
        <v>238.05</v>
      </c>
      <c r="F13302">
        <v>0.01</v>
      </c>
    </row>
    <row r="13303" spans="1:6" x14ac:dyDescent="0.3">
      <c r="A13303" t="str">
        <f>HYPERLINK("https://us2.cloudbeds.com/connect/10074733072513#/reservations/31711588126940?display=MX2MJ2UCS&amp;reservation_id=31711588126940", "MX2MJ2UCS")</f>
        <v>MX2MJ2UCS</v>
      </c>
      <c r="B13303" t="s">
        <v>1829</v>
      </c>
      <c r="C13303">
        <v>219</v>
      </c>
      <c r="D13303">
        <v>238.06</v>
      </c>
      <c r="E13303">
        <v>238.05</v>
      </c>
      <c r="F13303">
        <v>0.01</v>
      </c>
    </row>
    <row r="13304" spans="1:6" x14ac:dyDescent="0.3">
      <c r="A13304" t="str">
        <f>HYPERLINK("https://us2.cloudbeds.com/connect/10074733072513#/reservations/31711763824858?display=MX2R27W56&amp;reservation_id=31711763824858", "MX2R27W56")</f>
        <v>MX2R27W56</v>
      </c>
      <c r="B13304" t="s">
        <v>1971</v>
      </c>
      <c r="C13304">
        <v>178</v>
      </c>
      <c r="D13304">
        <v>193.5</v>
      </c>
      <c r="E13304">
        <v>193.49</v>
      </c>
      <c r="F13304">
        <v>0.01</v>
      </c>
    </row>
    <row r="13305" spans="1:6" x14ac:dyDescent="0.3">
      <c r="A13305" t="str">
        <f>HYPERLINK("https://us2.cloudbeds.com/connect/10074733072513#/reservations/31713172582615?display=MX3U24Z96&amp;reservation_id=31713172582615", "MX3U24Z96")</f>
        <v>MX3U24Z96</v>
      </c>
      <c r="B13305" t="s">
        <v>1895</v>
      </c>
      <c r="C13305">
        <v>105.78</v>
      </c>
      <c r="D13305">
        <v>114.99</v>
      </c>
      <c r="E13305">
        <v>114.98</v>
      </c>
      <c r="F13305">
        <v>0.01</v>
      </c>
    </row>
    <row r="13306" spans="1:6" x14ac:dyDescent="0.3">
      <c r="A13306" t="str">
        <f>HYPERLINK("https://us2.cloudbeds.com/connect/10074733072513#/reservations/31713592594657?display=MX47QA68R&amp;reservation_id=31713592594657", "MX47QA68R")</f>
        <v>MX47QA68R</v>
      </c>
      <c r="B13306" t="s">
        <v>1944</v>
      </c>
      <c r="C13306">
        <v>398</v>
      </c>
      <c r="D13306">
        <v>432.64</v>
      </c>
      <c r="E13306">
        <v>432.63</v>
      </c>
      <c r="F13306">
        <v>0.01</v>
      </c>
    </row>
    <row r="13307" spans="1:6" x14ac:dyDescent="0.3">
      <c r="A13307" t="str">
        <f>HYPERLINK("https://us2.cloudbeds.com/connect/10074733072513#/reservations/31712067514567?display=MX31RAJDY&amp;reservation_id=31712067514567", "MX31RAJDY")</f>
        <v>MX31RAJDY</v>
      </c>
      <c r="B13307" t="s">
        <v>1972</v>
      </c>
      <c r="C13307">
        <v>129</v>
      </c>
      <c r="D13307">
        <v>140.22999999999999</v>
      </c>
      <c r="E13307">
        <v>140.22</v>
      </c>
      <c r="F13307">
        <v>0.01</v>
      </c>
    </row>
    <row r="13308" spans="1:6" x14ac:dyDescent="0.3">
      <c r="A13308" t="str">
        <f>HYPERLINK("https://us2.cloudbeds.com/connect/10074733072513#/reservations/31713234645145?display=MX3VYFNYU&amp;reservation_id=31713234645145", "MX3VYFNYU")</f>
        <v>MX3VYFNYU</v>
      </c>
      <c r="B13308" t="s">
        <v>1895</v>
      </c>
      <c r="C13308">
        <v>73</v>
      </c>
      <c r="D13308">
        <v>79.36</v>
      </c>
      <c r="E13308">
        <v>79.349999999999994</v>
      </c>
      <c r="F13308">
        <v>0.01</v>
      </c>
    </row>
    <row r="13309" spans="1:6" x14ac:dyDescent="0.3">
      <c r="A13309" t="str">
        <f>HYPERLINK("https://us2.cloudbeds.com/connect/10074733072513#/reservations/31712917577983?display=MX3NX3S83&amp;reservation_id=31712917577983", "MX3NX3S83")</f>
        <v>MX3NX3S83</v>
      </c>
      <c r="B13309" t="s">
        <v>1972</v>
      </c>
      <c r="C13309">
        <v>205.16</v>
      </c>
      <c r="D13309">
        <v>223.02</v>
      </c>
      <c r="E13309">
        <v>223.01</v>
      </c>
      <c r="F13309">
        <v>0.01</v>
      </c>
    </row>
    <row r="13310" spans="1:6" x14ac:dyDescent="0.3">
      <c r="A13310" t="str">
        <f>HYPERLINK("https://us2.cloudbeds.com/connect/10074733072513#/reservations/31702594752661?display=MHSNPY0QX&amp;reservation_id=31702594752661", "MHSNPY0QX")</f>
        <v>MHSNPY0QX</v>
      </c>
      <c r="B13310" t="s">
        <v>1917</v>
      </c>
      <c r="C13310">
        <v>159</v>
      </c>
      <c r="D13310">
        <v>172.84</v>
      </c>
      <c r="E13310">
        <v>172.83</v>
      </c>
      <c r="F13310">
        <v>0.01</v>
      </c>
    </row>
    <row r="13311" spans="1:6" x14ac:dyDescent="0.3">
      <c r="A13311" t="str">
        <f>HYPERLINK("https://us2.cloudbeds.com/connect/10074733072513#/reservations/31712914464939?display=MX3NFG7KE&amp;reservation_id=31712914464939", "MX3NFG7KE")</f>
        <v>MX3NFG7KE</v>
      </c>
      <c r="B13311" t="s">
        <v>1972</v>
      </c>
      <c r="C13311">
        <v>129</v>
      </c>
      <c r="D13311">
        <v>140.22999999999999</v>
      </c>
      <c r="E13311">
        <v>140.22</v>
      </c>
      <c r="F13311">
        <v>0.01</v>
      </c>
    </row>
    <row r="13312" spans="1:6" x14ac:dyDescent="0.3">
      <c r="A13312" t="str">
        <f>HYPERLINK("https://us2.cloudbeds.com/connect/10074733072513#/reservations/31713172586711?display=MX3U24S1A&amp;reservation_id=31713172586711", "MX3U24S1A")</f>
        <v>MX3U24S1A</v>
      </c>
      <c r="B13312" t="s">
        <v>1895</v>
      </c>
      <c r="C13312">
        <v>129</v>
      </c>
      <c r="D13312">
        <v>140.22999999999999</v>
      </c>
      <c r="E13312">
        <v>140.22</v>
      </c>
      <c r="F13312">
        <v>0.01</v>
      </c>
    </row>
    <row r="13313" spans="1:6" x14ac:dyDescent="0.3">
      <c r="A13313" t="str">
        <f>HYPERLINK("https://us2.cloudbeds.com/connect/10074733072513#/reservations/31711912317141?display=MX2USEWNB&amp;reservation_id=31711912317141", "MX2USEWNB")</f>
        <v>MX2USEWNB</v>
      </c>
      <c r="B13313" t="s">
        <v>1965</v>
      </c>
      <c r="C13313">
        <v>527</v>
      </c>
      <c r="D13313">
        <v>572.86</v>
      </c>
      <c r="E13313">
        <v>572.85</v>
      </c>
      <c r="F13313">
        <v>0.01</v>
      </c>
    </row>
    <row r="13314" spans="1:6" x14ac:dyDescent="0.3">
      <c r="A13314" t="str">
        <f>HYPERLINK("https://us2.cloudbeds.com/connect/10074733072513#/reservations/31712256729280?display=MX36YSYJY&amp;reservation_id=31712256729280", "MX36YSYJY")</f>
        <v>MX36YSYJY</v>
      </c>
      <c r="B13314" t="s">
        <v>1968</v>
      </c>
      <c r="C13314">
        <v>322.2</v>
      </c>
      <c r="D13314">
        <v>350.24</v>
      </c>
      <c r="E13314">
        <v>350.23</v>
      </c>
      <c r="F13314">
        <v>0.01</v>
      </c>
    </row>
    <row r="13315" spans="1:6" x14ac:dyDescent="0.3">
      <c r="A13315" t="str">
        <f>HYPERLINK("https://us2.cloudbeds.com/connect/10074733072513#/reservations/31712084496513?display=MX328Y4G2&amp;reservation_id=31712084496513", "MX328Y4G2")</f>
        <v>MX328Y4G2</v>
      </c>
      <c r="B13315" t="s">
        <v>1972</v>
      </c>
      <c r="C13315">
        <v>73</v>
      </c>
      <c r="D13315">
        <v>79.36</v>
      </c>
      <c r="E13315">
        <v>79.349999999999994</v>
      </c>
      <c r="F13315">
        <v>0.01</v>
      </c>
    </row>
    <row r="13316" spans="1:6" x14ac:dyDescent="0.3">
      <c r="A13316" t="str">
        <f>HYPERLINK("https://us2.cloudbeds.com/connect/10074733072513#/reservations/31712939131084?display=MX3Z39JTC&amp;reservation_id=31712939131084", "MX3Z39JTC")</f>
        <v>MX3Z39JTC</v>
      </c>
      <c r="B13316" t="s">
        <v>1972</v>
      </c>
      <c r="C13316">
        <v>129</v>
      </c>
      <c r="D13316">
        <v>140.22999999999999</v>
      </c>
      <c r="E13316">
        <v>140.22</v>
      </c>
      <c r="F13316">
        <v>0.01</v>
      </c>
    </row>
    <row r="13317" spans="1:6" x14ac:dyDescent="0.3">
      <c r="A13317" t="str">
        <f>HYPERLINK("https://us2.cloudbeds.com/connect/10074733072513#/reservations/31712769552622?display=MX3JP9RF3&amp;reservation_id=31712769552622", "MX3JP9RF3")</f>
        <v>MX3JP9RF3</v>
      </c>
      <c r="B13317" t="s">
        <v>1539</v>
      </c>
      <c r="C13317">
        <v>418</v>
      </c>
      <c r="D13317">
        <v>454.38</v>
      </c>
      <c r="E13317">
        <v>454.37</v>
      </c>
      <c r="F13317">
        <v>0.01</v>
      </c>
    </row>
    <row r="13318" spans="1:6" x14ac:dyDescent="0.3">
      <c r="A13318" t="str">
        <f>HYPERLINK("https://us2.cloudbeds.com/connect/10074733072513#/reservations/31714534207645?display=MX4VS9VYZ&amp;reservation_id=31714534207645", "MX4VS9VYZ")</f>
        <v>MX4VS9VYZ</v>
      </c>
      <c r="B13318" t="s">
        <v>1974</v>
      </c>
      <c r="C13318">
        <v>129</v>
      </c>
      <c r="D13318">
        <v>140.22999999999999</v>
      </c>
      <c r="E13318">
        <v>140.22</v>
      </c>
      <c r="F13318">
        <v>0.01</v>
      </c>
    </row>
    <row r="13319" spans="1:6" x14ac:dyDescent="0.3">
      <c r="A13319" t="str">
        <f>HYPERLINK("https://us2.cloudbeds.com/connect/10074733072513#/reservations/31714770194648?display=MX54T9YA1&amp;reservation_id=31714770194648", "MX54T9YA1")</f>
        <v>MX54T9YA1</v>
      </c>
      <c r="B13319" t="s">
        <v>1974</v>
      </c>
      <c r="C13319">
        <v>129</v>
      </c>
      <c r="D13319">
        <v>140.22999999999999</v>
      </c>
      <c r="E13319">
        <v>140.22</v>
      </c>
      <c r="F13319">
        <v>0.01</v>
      </c>
    </row>
    <row r="13320" spans="1:6" x14ac:dyDescent="0.3">
      <c r="A13320" t="str">
        <f>HYPERLINK("https://us2.cloudbeds.com/connect/10074733072513#/reservations/31712898572420?display=MX3N22WUV&amp;reservation_id=31712898572420", "MX3N22WUV")</f>
        <v>MX3N22WUV</v>
      </c>
      <c r="B13320" t="s">
        <v>1974</v>
      </c>
      <c r="C13320">
        <v>73</v>
      </c>
      <c r="D13320">
        <v>79.36</v>
      </c>
      <c r="E13320">
        <v>79.349999999999994</v>
      </c>
      <c r="F13320">
        <v>0.01</v>
      </c>
    </row>
    <row r="13321" spans="1:6" x14ac:dyDescent="0.3">
      <c r="A13321" t="str">
        <f>HYPERLINK("https://us2.cloudbeds.com/connect/10074733072513#/reservations/31712050675919?display=MX31D40UJ&amp;reservation_id=31712050675919", "MX31D40UJ")</f>
        <v>MX31D40UJ</v>
      </c>
      <c r="B13321" t="s">
        <v>1972</v>
      </c>
      <c r="C13321">
        <v>102.58</v>
      </c>
      <c r="D13321">
        <v>111.51</v>
      </c>
      <c r="E13321">
        <v>111.5</v>
      </c>
      <c r="F13321">
        <v>0.01</v>
      </c>
    </row>
    <row r="13322" spans="1:6" x14ac:dyDescent="0.3">
      <c r="A13322" t="str">
        <f>HYPERLINK("https://us2.cloudbeds.com/connect/10074733072513#/reservations/31712024424629?display=MX30NWX1V&amp;reservation_id=31712024424629", "MX30NWX1V")</f>
        <v>MX30NWX1V</v>
      </c>
      <c r="B13322" t="s">
        <v>1972</v>
      </c>
      <c r="C13322">
        <v>129</v>
      </c>
      <c r="D13322">
        <v>140.22999999999999</v>
      </c>
      <c r="E13322">
        <v>140.22</v>
      </c>
      <c r="F13322">
        <v>0.01</v>
      </c>
    </row>
    <row r="13323" spans="1:6" x14ac:dyDescent="0.3">
      <c r="A13323" t="str">
        <f>HYPERLINK("https://us2.cloudbeds.com/connect/10074733072513#/reservations/31714464407708?display=MX4U2EM74&amp;reservation_id=31714464407708", "MX4U2EM74")</f>
        <v>MX4U2EM74</v>
      </c>
      <c r="B13323" t="s">
        <v>1924</v>
      </c>
      <c r="C13323">
        <v>209</v>
      </c>
      <c r="D13323">
        <v>227.19</v>
      </c>
      <c r="E13323">
        <v>227.18</v>
      </c>
      <c r="F13323">
        <v>0.01</v>
      </c>
    </row>
    <row r="13324" spans="1:6" x14ac:dyDescent="0.3">
      <c r="A13324" t="str">
        <f>HYPERLINK("https://us2.cloudbeds.com/connect/10074733072513#/reservations/31711576871121?display=MX2M9JNFD&amp;reservation_id=31711576871121", "MX2M9JNFD")</f>
        <v>MX2M9JNFD</v>
      </c>
      <c r="B13324" t="s">
        <v>1948</v>
      </c>
      <c r="C13324">
        <v>189</v>
      </c>
      <c r="D13324">
        <v>205.45</v>
      </c>
      <c r="E13324">
        <v>205.44</v>
      </c>
      <c r="F13324">
        <v>0.01</v>
      </c>
    </row>
    <row r="13325" spans="1:6" x14ac:dyDescent="0.3">
      <c r="A13325" t="str">
        <f>HYPERLINK("https://us2.cloudbeds.com/connect/10074733072513#/reservations/31711522410723?display=MX2KTM8UB&amp;reservation_id=31711522410723", "MX2KTM8UB")</f>
        <v>MX2KTM8UB</v>
      </c>
      <c r="B13325" t="s">
        <v>1972</v>
      </c>
      <c r="C13325">
        <v>129</v>
      </c>
      <c r="D13325">
        <v>140.22999999999999</v>
      </c>
      <c r="E13325">
        <v>140.22</v>
      </c>
      <c r="F13325">
        <v>0.01</v>
      </c>
    </row>
    <row r="13326" spans="1:6" x14ac:dyDescent="0.3">
      <c r="A13326" t="str">
        <f>HYPERLINK("https://us2.cloudbeds.com/connect/10074733072513#/reservations/31711512613007?display=MX2KYDKUS&amp;reservation_id=31711512613007", "MX2KYDKUS")</f>
        <v>MX2KYDKUS</v>
      </c>
      <c r="B13326" t="s">
        <v>1972</v>
      </c>
      <c r="C13326">
        <v>129</v>
      </c>
      <c r="D13326">
        <v>140.22999999999999</v>
      </c>
      <c r="E13326">
        <v>140.22</v>
      </c>
      <c r="F13326">
        <v>0.01</v>
      </c>
    </row>
    <row r="13327" spans="1:6" x14ac:dyDescent="0.3">
      <c r="A13327" t="str">
        <f>HYPERLINK("https://us2.cloudbeds.com/connect/10074733072513#/reservations/31712884318418?display=MX3MN2BSG&amp;reservation_id=31712884318418", "MX3MN2BSG")</f>
        <v>MX3MN2BSG</v>
      </c>
      <c r="B13327" t="s">
        <v>1974</v>
      </c>
      <c r="C13327">
        <v>102.58</v>
      </c>
      <c r="D13327">
        <v>111.51</v>
      </c>
      <c r="E13327">
        <v>111.5</v>
      </c>
      <c r="F13327">
        <v>0.01</v>
      </c>
    </row>
    <row r="13328" spans="1:6" x14ac:dyDescent="0.3">
      <c r="A13328" t="str">
        <f>HYPERLINK("https://us2.cloudbeds.com/connect/10074733072513#/reservations/31712906170582?display=MX3N8GE49&amp;reservation_id=31712906170582", "MX3N8GE49")</f>
        <v>MX3N8GE49</v>
      </c>
      <c r="B13328" t="s">
        <v>1972</v>
      </c>
      <c r="C13328">
        <v>129</v>
      </c>
      <c r="D13328">
        <v>140.22999999999999</v>
      </c>
      <c r="E13328">
        <v>140.22</v>
      </c>
      <c r="F13328">
        <v>0.01</v>
      </c>
    </row>
    <row r="13329" spans="1:6" x14ac:dyDescent="0.3">
      <c r="A13329" t="str">
        <f>HYPERLINK("https://us2.cloudbeds.com/connect/10074733072513#/reservations/31711525630088?display=MX2KWCS5S&amp;reservation_id=31711525630088", "MX2KWCS5S")</f>
        <v>MX2KWCS5S</v>
      </c>
      <c r="B13329" t="s">
        <v>1987</v>
      </c>
      <c r="C13329">
        <v>129</v>
      </c>
      <c r="D13329">
        <v>140.22999999999999</v>
      </c>
      <c r="E13329">
        <v>140.22</v>
      </c>
      <c r="F13329">
        <v>0.01</v>
      </c>
    </row>
    <row r="13330" spans="1:6" x14ac:dyDescent="0.3">
      <c r="A13330" t="str">
        <f>HYPERLINK("https://us2.cloudbeds.com/connect/10074733072513#/reservations/31703140921551?display=MHT4Z5W9W&amp;reservation_id=31703140921551", "MHT4Z5W9W")</f>
        <v>MHT4Z5W9W</v>
      </c>
      <c r="B13330" t="s">
        <v>1981</v>
      </c>
      <c r="C13330">
        <v>169</v>
      </c>
      <c r="D13330">
        <v>183.71</v>
      </c>
      <c r="E13330">
        <v>183.7</v>
      </c>
      <c r="F13330">
        <v>0.01</v>
      </c>
    </row>
    <row r="13331" spans="1:6" x14ac:dyDescent="0.3">
      <c r="A13331" t="str">
        <f>HYPERLINK("https://us2.cloudbeds.com/connect/10074733072513#/reservations/31711568302265?display=MX2M2C8U4&amp;reservation_id=31711568302265", "MX2M2C8U4")</f>
        <v>MX2M2C8U4</v>
      </c>
      <c r="B13331" t="s">
        <v>1829</v>
      </c>
      <c r="C13331">
        <v>864.68</v>
      </c>
      <c r="D13331">
        <v>939.92</v>
      </c>
      <c r="E13331">
        <v>939.91</v>
      </c>
      <c r="F13331">
        <v>0.01</v>
      </c>
    </row>
    <row r="13332" spans="1:6" x14ac:dyDescent="0.3">
      <c r="A13332" t="str">
        <f>HYPERLINK("https://us2.cloudbeds.com/connect/10074733072513#/reservations/31712917577926?display=MX3NX3S6C&amp;reservation_id=31712917577926", "MX3NX3S6C")</f>
        <v>MX3NX3S6C</v>
      </c>
      <c r="B13332" t="s">
        <v>1661</v>
      </c>
      <c r="C13332">
        <v>229</v>
      </c>
      <c r="D13332">
        <v>248.93</v>
      </c>
      <c r="E13332">
        <v>248.92</v>
      </c>
      <c r="F13332">
        <v>0.01</v>
      </c>
    </row>
    <row r="13333" spans="1:6" x14ac:dyDescent="0.3">
      <c r="A13333" t="str">
        <f>HYPERLINK("https://us2.cloudbeds.com/connect/10074733072513#/reservations/31714534203528?display=MX4VS9RSW&amp;reservation_id=31714534203528", "MX4VS9RSW")</f>
        <v>MX4VS9RSW</v>
      </c>
      <c r="B13333" t="s">
        <v>1974</v>
      </c>
      <c r="C13333">
        <v>129</v>
      </c>
      <c r="D13333">
        <v>140.22999999999999</v>
      </c>
      <c r="E13333">
        <v>140.22</v>
      </c>
      <c r="F13333">
        <v>0.01</v>
      </c>
    </row>
    <row r="13334" spans="1:6" x14ac:dyDescent="0.3">
      <c r="A13334" t="str">
        <f>HYPERLINK("https://us2.cloudbeds.com/connect/10074733072513#/reservations/31711735439564?display=MX2QBA3MP&amp;reservation_id=31711735439564", "MX2QBA3MP")</f>
        <v>MX2QBA3MP</v>
      </c>
      <c r="B13334" t="s">
        <v>1971</v>
      </c>
      <c r="C13334">
        <v>258</v>
      </c>
      <c r="D13334">
        <v>280.45999999999998</v>
      </c>
      <c r="E13334">
        <v>280.45</v>
      </c>
      <c r="F13334">
        <v>0.01</v>
      </c>
    </row>
    <row r="13335" spans="1:6" x14ac:dyDescent="0.3">
      <c r="A13335" t="str">
        <f>HYPERLINK("https://us2.cloudbeds.com/connect/10074733072513#/reservations/31713894396102?display=MX4FGQ8J5&amp;reservation_id=31713894396102", "MX4FGQ8J5")</f>
        <v>MX4FGQ8J5</v>
      </c>
      <c r="B13335" t="s">
        <v>1989</v>
      </c>
      <c r="C13335">
        <v>178</v>
      </c>
      <c r="D13335">
        <v>193.5</v>
      </c>
      <c r="E13335">
        <v>193.49</v>
      </c>
      <c r="F13335">
        <v>0.01</v>
      </c>
    </row>
    <row r="13336" spans="1:6" x14ac:dyDescent="0.3">
      <c r="A13336" t="str">
        <f>HYPERLINK("https://us2.cloudbeds.com/connect/10074733072513#/reservations/31713361461380?display=MX41TDXM4&amp;reservation_id=31713361461380", "MX41TDXM4")</f>
        <v>MX41TDXM4</v>
      </c>
      <c r="B13336" t="s">
        <v>1539</v>
      </c>
      <c r="C13336">
        <v>229</v>
      </c>
      <c r="D13336">
        <v>248.93</v>
      </c>
      <c r="E13336">
        <v>248.92</v>
      </c>
      <c r="F13336">
        <v>0.01</v>
      </c>
    </row>
    <row r="13337" spans="1:6" x14ac:dyDescent="0.3">
      <c r="A13337" t="str">
        <f>HYPERLINK("https://us2.cloudbeds.com/connect/10074733072513#/reservations/31711051726982?display=MX28SPQEM&amp;reservation_id=31711051726982", "MX28SPQEM")</f>
        <v>MX28SPQEM</v>
      </c>
      <c r="B13337" t="s">
        <v>1990</v>
      </c>
      <c r="C13337">
        <v>129</v>
      </c>
      <c r="D13337">
        <v>140.22999999999999</v>
      </c>
      <c r="E13337">
        <v>140.22</v>
      </c>
      <c r="F13337">
        <v>0.01</v>
      </c>
    </row>
    <row r="13338" spans="1:6" x14ac:dyDescent="0.3">
      <c r="A13338" t="str">
        <f>HYPERLINK("https://us2.cloudbeds.com/connect/10074733072513#/reservations/31710852911247?display=MX23Q4F6E&amp;reservation_id=31710852911247", "MX23Q4F6E")</f>
        <v>MX23Q4F6E</v>
      </c>
      <c r="B13338" t="s">
        <v>1697</v>
      </c>
      <c r="C13338">
        <v>378</v>
      </c>
      <c r="D13338">
        <v>410.9</v>
      </c>
      <c r="E13338">
        <v>410.89</v>
      </c>
      <c r="F13338">
        <v>0.01</v>
      </c>
    </row>
    <row r="13339" spans="1:6" x14ac:dyDescent="0.3">
      <c r="A13339" t="str">
        <f>HYPERLINK("https://us2.cloudbeds.com/connect/10074733072513#/reservations/31711928508640?display=MX2V93HUR&amp;reservation_id=31711928508640", "MX2V93HUR")</f>
        <v>MX2V93HUR</v>
      </c>
      <c r="B13339" t="s">
        <v>1991</v>
      </c>
      <c r="C13339">
        <v>129</v>
      </c>
      <c r="D13339">
        <v>140.22999999999999</v>
      </c>
      <c r="E13339">
        <v>140.22</v>
      </c>
      <c r="F13339">
        <v>0.01</v>
      </c>
    </row>
    <row r="13340" spans="1:6" x14ac:dyDescent="0.3">
      <c r="A13340" t="str">
        <f>HYPERLINK("https://us2.cloudbeds.com/connect/10074733072513#/reservations/31713303359696?display=MX40DDQE1&amp;reservation_id=31713303359696", "MX40DDQE1")</f>
        <v>MX40DDQE1</v>
      </c>
      <c r="B13340" t="s">
        <v>1991</v>
      </c>
      <c r="C13340">
        <v>102.58</v>
      </c>
      <c r="D13340">
        <v>111.51</v>
      </c>
      <c r="E13340">
        <v>111.5</v>
      </c>
      <c r="F13340">
        <v>0.01</v>
      </c>
    </row>
    <row r="13341" spans="1:6" x14ac:dyDescent="0.3">
      <c r="A13341" t="str">
        <f>HYPERLINK("https://us2.cloudbeds.com/connect/10074733072513#/reservations/31712524152987?display=MX3DGC7EH&amp;reservation_id=31712524152987", "MX3DGC7EH")</f>
        <v>MX3DGC7EH</v>
      </c>
      <c r="B13341" t="s">
        <v>1920</v>
      </c>
      <c r="C13341">
        <v>169</v>
      </c>
      <c r="D13341">
        <v>183.71</v>
      </c>
      <c r="E13341">
        <v>183.7</v>
      </c>
      <c r="F13341">
        <v>0.01</v>
      </c>
    </row>
    <row r="13342" spans="1:6" x14ac:dyDescent="0.3">
      <c r="A13342" t="str">
        <f>HYPERLINK("https://us2.cloudbeds.com/connect/10074733072513#/reservations/31714129334405?display=MX4YGTP7M&amp;reservation_id=31714129334405", "MX4YGTP7M")</f>
        <v>MX4YGTP7M</v>
      </c>
      <c r="B13342" t="s">
        <v>1989</v>
      </c>
      <c r="C13342">
        <v>89</v>
      </c>
      <c r="D13342">
        <v>96.75</v>
      </c>
      <c r="E13342">
        <v>96.74</v>
      </c>
      <c r="F13342">
        <v>0.01</v>
      </c>
    </row>
    <row r="13343" spans="1:6" x14ac:dyDescent="0.3">
      <c r="A13343" t="str">
        <f>HYPERLINK("https://us2.cloudbeds.com/connect/10074733072513#/reservations/31711823196317?display=MX2SJA2DA&amp;reservation_id=31711823196317", "MX2SJA2DA")</f>
        <v>MX2SJA2DA</v>
      </c>
      <c r="B13343" t="s">
        <v>1965</v>
      </c>
      <c r="C13343">
        <v>420</v>
      </c>
      <c r="D13343">
        <v>456.55</v>
      </c>
      <c r="E13343">
        <v>456.54</v>
      </c>
      <c r="F13343">
        <v>0.01</v>
      </c>
    </row>
    <row r="13344" spans="1:6" x14ac:dyDescent="0.3">
      <c r="A13344" t="str">
        <f>HYPERLINK("https://us2.cloudbeds.com/connect/10074733072513#/reservations/31712460841105?display=MX3BSWFQY&amp;reservation_id=31712460841105", "MX3BSWFQY")</f>
        <v>MX3BSWFQY</v>
      </c>
      <c r="B13344" t="s">
        <v>1920</v>
      </c>
      <c r="C13344">
        <v>258</v>
      </c>
      <c r="D13344">
        <v>280.45999999999998</v>
      </c>
      <c r="E13344">
        <v>280.45</v>
      </c>
      <c r="F13344">
        <v>0.01</v>
      </c>
    </row>
    <row r="13345" spans="1:6" x14ac:dyDescent="0.3">
      <c r="A13345" t="str">
        <f>HYPERLINK("https://us2.cloudbeds.com/connect/10074733072513#/reservations/31713597898885?display=MX47UPQ00&amp;reservation_id=31713597898885", "MX47UPQ00")</f>
        <v>MX47UPQ00</v>
      </c>
      <c r="B13345" t="s">
        <v>1966</v>
      </c>
      <c r="C13345">
        <v>129</v>
      </c>
      <c r="D13345">
        <v>140.22999999999999</v>
      </c>
      <c r="E13345">
        <v>140.22</v>
      </c>
      <c r="F13345">
        <v>0.01</v>
      </c>
    </row>
    <row r="13346" spans="1:6" x14ac:dyDescent="0.3">
      <c r="A13346" t="str">
        <f>HYPERLINK("https://us2.cloudbeds.com/connect/10074733072513#/reservations/31711872811186?display=MX2TS4ME6&amp;reservation_id=31711872811186", "MX2TS4ME6")</f>
        <v>MX2TS4ME6</v>
      </c>
      <c r="B13346" t="s">
        <v>1991</v>
      </c>
      <c r="C13346">
        <v>336</v>
      </c>
      <c r="D13346">
        <v>365.24</v>
      </c>
      <c r="E13346">
        <v>365.23</v>
      </c>
      <c r="F13346">
        <v>0.01</v>
      </c>
    </row>
    <row r="13347" spans="1:6" x14ac:dyDescent="0.3">
      <c r="A13347" t="str">
        <f>HYPERLINK("https://us2.cloudbeds.com/connect/10074733072513#/reservations/31702590746858?display=MHSNM8XCJ&amp;reservation_id=31702590746858", "MHSNM8XCJ")</f>
        <v>MHSNM8XCJ</v>
      </c>
      <c r="B13347" t="s">
        <v>1988</v>
      </c>
      <c r="C13347">
        <v>336</v>
      </c>
      <c r="D13347">
        <v>365.24</v>
      </c>
      <c r="E13347">
        <v>365.23</v>
      </c>
      <c r="F13347">
        <v>0.01</v>
      </c>
    </row>
    <row r="13348" spans="1:6" x14ac:dyDescent="0.3">
      <c r="A13348" t="str">
        <f>HYPERLINK("https://us2.cloudbeds.com/connect/10074733072513#/reservations/31713862897913?display=MX4EN7PKJ&amp;reservation_id=31713862897913", "MX4EN7PKJ")</f>
        <v>MX4EN7PKJ</v>
      </c>
      <c r="B13348" t="s">
        <v>1989</v>
      </c>
      <c r="C13348">
        <v>89</v>
      </c>
      <c r="D13348">
        <v>96.75</v>
      </c>
      <c r="E13348">
        <v>96.74</v>
      </c>
      <c r="F13348">
        <v>0.01</v>
      </c>
    </row>
    <row r="13349" spans="1:6" x14ac:dyDescent="0.3">
      <c r="A13349" t="str">
        <f>HYPERLINK("https://us2.cloudbeds.com/connect/10074733072513#/reservations/31714794348767?display=MX55GYPD1&amp;reservation_id=31714794348767", "MX55GYPD1")</f>
        <v>MX55GYPD1</v>
      </c>
      <c r="B13349" t="s">
        <v>1971</v>
      </c>
      <c r="C13349">
        <v>73</v>
      </c>
      <c r="D13349">
        <v>79.36</v>
      </c>
      <c r="E13349">
        <v>79.349999999999994</v>
      </c>
      <c r="F13349">
        <v>0.01</v>
      </c>
    </row>
    <row r="13350" spans="1:6" x14ac:dyDescent="0.3">
      <c r="A13350" t="str">
        <f>HYPERLINK("https://us2.cloudbeds.com/connect/10074733072513#/reservations/31713106034836?display=MX3SC0V6R&amp;reservation_id=31713106034836", "MX3SC0V6R")</f>
        <v>MX3SC0V6R</v>
      </c>
      <c r="B13350" t="s">
        <v>1661</v>
      </c>
      <c r="C13350">
        <v>418</v>
      </c>
      <c r="D13350">
        <v>454.38</v>
      </c>
      <c r="E13350">
        <v>454.37</v>
      </c>
      <c r="F13350">
        <v>0.01</v>
      </c>
    </row>
    <row r="13351" spans="1:6" x14ac:dyDescent="0.3">
      <c r="A13351" t="str">
        <f>HYPERLINK("https://us2.cloudbeds.com/connect/10074733072513#/reservations/31714822963353?display=MX567Q0DN&amp;reservation_id=31714822963353", "MX567Q0DN")</f>
        <v>MX567Q0DN</v>
      </c>
      <c r="B13351" t="s">
        <v>1989</v>
      </c>
      <c r="C13351">
        <v>130.38</v>
      </c>
      <c r="D13351">
        <v>141.72999999999999</v>
      </c>
      <c r="E13351">
        <v>141.72</v>
      </c>
      <c r="F13351">
        <v>0.01</v>
      </c>
    </row>
    <row r="13352" spans="1:6" x14ac:dyDescent="0.3">
      <c r="A13352" t="str">
        <f>HYPERLINK("https://us2.cloudbeds.com/connect/10074733072513#/reservations/31710956794111?display=MX26EZ530&amp;reservation_id=31710956794111", "MX26EZ530")</f>
        <v>MX26EZ530</v>
      </c>
      <c r="B13352" t="s">
        <v>1987</v>
      </c>
      <c r="C13352">
        <v>336</v>
      </c>
      <c r="D13352">
        <v>365.24</v>
      </c>
      <c r="E13352">
        <v>365.23</v>
      </c>
      <c r="F13352">
        <v>0.01</v>
      </c>
    </row>
    <row r="13353" spans="1:6" x14ac:dyDescent="0.3">
      <c r="A13353" t="str">
        <f>HYPERLINK("https://us2.cloudbeds.com/connect/10074733072513#/reservations/31713870778524?display=MX4ETT25W&amp;reservation_id=31713870778524", "MX4ETT25W")</f>
        <v>MX4ETT25W</v>
      </c>
      <c r="B13353" t="s">
        <v>1989</v>
      </c>
      <c r="C13353">
        <v>89</v>
      </c>
      <c r="D13353">
        <v>96.75</v>
      </c>
      <c r="E13353">
        <v>96.74</v>
      </c>
      <c r="F13353">
        <v>0.01</v>
      </c>
    </row>
    <row r="13354" spans="1:6" x14ac:dyDescent="0.3">
      <c r="A13354" t="str">
        <f>HYPERLINK("https://us2.cloudbeds.com/connect/10074733072513#/reservations/31713515516103?display=MX45RAC22&amp;reservation_id=31713515516103", "MX45RAC22")</f>
        <v>MX45RAC22</v>
      </c>
      <c r="B13354" t="s">
        <v>1986</v>
      </c>
      <c r="C13354">
        <v>159</v>
      </c>
      <c r="D13354">
        <v>172.84</v>
      </c>
      <c r="E13354">
        <v>172.83</v>
      </c>
      <c r="F13354">
        <v>0.01</v>
      </c>
    </row>
    <row r="13355" spans="1:6" x14ac:dyDescent="0.3">
      <c r="A13355" t="str">
        <f>HYPERLINK("https://us2.cloudbeds.com/connect/10074733072513#/reservations/31711749427429?display=MX2QN3BCF&amp;reservation_id=31711749427429", "MX2QN3BCF")</f>
        <v>MX2QN3BCF</v>
      </c>
      <c r="B13355" t="s">
        <v>1971</v>
      </c>
      <c r="C13355">
        <v>129</v>
      </c>
      <c r="D13355">
        <v>140.22999999999999</v>
      </c>
      <c r="E13355">
        <v>140.22</v>
      </c>
      <c r="F13355">
        <v>0.01</v>
      </c>
    </row>
    <row r="13356" spans="1:6" x14ac:dyDescent="0.3">
      <c r="A13356" t="str">
        <f>HYPERLINK("https://us2.cloudbeds.com/connect/10074733072513#/reservations/31712509173894?display=MX3D3ZDHK&amp;reservation_id=31712509173894", "MX3D3ZDHK")</f>
        <v>MX3D3ZDHK</v>
      </c>
      <c r="B13356" t="s">
        <v>1971</v>
      </c>
      <c r="C13356">
        <v>338</v>
      </c>
      <c r="D13356">
        <v>367.42</v>
      </c>
      <c r="E13356">
        <v>367.41</v>
      </c>
      <c r="F13356">
        <v>0.01</v>
      </c>
    </row>
    <row r="13357" spans="1:6" x14ac:dyDescent="0.3">
      <c r="A13357" t="str">
        <f>HYPERLINK("https://us2.cloudbeds.com/connect/10074733072513#/reservations/31712466739398?display=MX3C0VK1Q&amp;reservation_id=31712466739398", "MX3C0VK1Q")</f>
        <v>MX3C0VK1Q</v>
      </c>
      <c r="B13357" t="s">
        <v>1971</v>
      </c>
      <c r="C13357">
        <v>129</v>
      </c>
      <c r="D13357">
        <v>140.22999999999999</v>
      </c>
      <c r="E13357">
        <v>140.22</v>
      </c>
      <c r="F13357">
        <v>0.01</v>
      </c>
    </row>
    <row r="13358" spans="1:6" x14ac:dyDescent="0.3">
      <c r="A13358" t="str">
        <f>HYPERLINK("https://us2.cloudbeds.com/connect/10074733072513#/reservations/31711775465654?display=MX2RC1TJJ&amp;reservation_id=31711775465654", "MX2RC1TJJ")</f>
        <v>MX2RC1TJJ</v>
      </c>
      <c r="B13358" t="s">
        <v>1971</v>
      </c>
      <c r="C13358">
        <v>129</v>
      </c>
      <c r="D13358">
        <v>140.22999999999999</v>
      </c>
      <c r="E13358">
        <v>140.22</v>
      </c>
      <c r="F13358">
        <v>0.01</v>
      </c>
    </row>
    <row r="13359" spans="1:6" x14ac:dyDescent="0.3">
      <c r="A13359" t="str">
        <f>HYPERLINK("https://us2.cloudbeds.com/connect/10074733072513#/reservations/31713675632858?display=MX49UAS1V&amp;reservation_id=31713675632858", "MX49UAS1V")</f>
        <v>MX49UAS1V</v>
      </c>
      <c r="B13359" t="s">
        <v>1986</v>
      </c>
      <c r="C13359">
        <v>97.74</v>
      </c>
      <c r="D13359">
        <v>106.25</v>
      </c>
      <c r="E13359">
        <v>106.24</v>
      </c>
      <c r="F13359">
        <v>0.01</v>
      </c>
    </row>
    <row r="13360" spans="1:6" x14ac:dyDescent="0.3">
      <c r="A13360" t="str">
        <f>HYPERLINK("https://us2.cloudbeds.com/connect/10074733072513#/reservations/31713567559822?display=MX4756XEF&amp;reservation_id=31713567559822", "MX4756XEF")</f>
        <v>MX4756XEF</v>
      </c>
      <c r="B13360" t="s">
        <v>1966</v>
      </c>
      <c r="C13360">
        <v>129</v>
      </c>
      <c r="D13360">
        <v>140.22999999999999</v>
      </c>
      <c r="E13360">
        <v>140.22</v>
      </c>
      <c r="F13360">
        <v>0.01</v>
      </c>
    </row>
    <row r="13361" spans="1:6" x14ac:dyDescent="0.3">
      <c r="A13361" t="str">
        <f>HYPERLINK("https://us2.cloudbeds.com/connect/10074733072513#/reservations/31712549007537?display=MX3E4ARNN&amp;reservation_id=31712549007537", "MX3E4ARNN")</f>
        <v>MX3E4ARNN</v>
      </c>
      <c r="B13361" t="s">
        <v>1971</v>
      </c>
      <c r="C13361">
        <v>129</v>
      </c>
      <c r="D13361">
        <v>140.22999999999999</v>
      </c>
      <c r="E13361">
        <v>140.22</v>
      </c>
      <c r="F13361">
        <v>0.01</v>
      </c>
    </row>
    <row r="13362" spans="1:6" x14ac:dyDescent="0.3">
      <c r="A13362" t="str">
        <f>HYPERLINK("https://us2.cloudbeds.com/connect/10074733072513#/reservations/31713475907808?display=MX44QU6QN&amp;reservation_id=31713475907808", "MX44QU6QN")</f>
        <v>MX44QU6QN</v>
      </c>
      <c r="B13362" t="s">
        <v>1986</v>
      </c>
      <c r="C13362">
        <v>97.74</v>
      </c>
      <c r="D13362">
        <v>106.25</v>
      </c>
      <c r="E13362">
        <v>106.24</v>
      </c>
      <c r="F13362">
        <v>0.01</v>
      </c>
    </row>
    <row r="13363" spans="1:6" x14ac:dyDescent="0.3">
      <c r="A13363" t="str">
        <f>HYPERLINK("https://us2.cloudbeds.com/connect/10074733072513#/reservations/31710923714718?display=MX25JRM55&amp;reservation_id=31710923714718", "MX25JRM55")</f>
        <v>MX25JRM55</v>
      </c>
      <c r="B13363" t="s">
        <v>1697</v>
      </c>
      <c r="C13363">
        <v>338</v>
      </c>
      <c r="D13363">
        <v>367.42</v>
      </c>
      <c r="E13363">
        <v>367.41</v>
      </c>
      <c r="F13363">
        <v>0.01</v>
      </c>
    </row>
    <row r="13364" spans="1:6" x14ac:dyDescent="0.3">
      <c r="A13364" t="str">
        <f>HYPERLINK("https://us2.cloudbeds.com/connect/10074733072513#/reservations/31712282325192?display=MX37AF0BH&amp;reservation_id=31712282325192", "MX37AF0BH")</f>
        <v>MX37AF0BH</v>
      </c>
      <c r="B13364" t="s">
        <v>1986</v>
      </c>
      <c r="C13364">
        <v>102.58</v>
      </c>
      <c r="D13364">
        <v>111.51</v>
      </c>
      <c r="E13364">
        <v>111.5</v>
      </c>
      <c r="F13364">
        <v>0.01</v>
      </c>
    </row>
    <row r="13365" spans="1:6" x14ac:dyDescent="0.3">
      <c r="A13365" t="str">
        <f>HYPERLINK("https://us2.cloudbeds.com/connect/10074733072513#/reservations/31711625457912?display=MX2NHXNEE&amp;reservation_id=31711625457912", "MX2NHXNEE")</f>
        <v>MX2NHXNEE</v>
      </c>
      <c r="B13365" t="s">
        <v>1948</v>
      </c>
      <c r="C13365">
        <v>261.08</v>
      </c>
      <c r="D13365">
        <v>283.8</v>
      </c>
      <c r="E13365">
        <v>283.79000000000002</v>
      </c>
      <c r="F13365">
        <v>0.01</v>
      </c>
    </row>
    <row r="13366" spans="1:6" x14ac:dyDescent="0.3">
      <c r="A13366" t="str">
        <f>HYPERLINK("https://us2.cloudbeds.com/connect/10074733072513#/reservations/31710851223746?display=MX23ZNGK1&amp;reservation_id=31710851223746", "MX23ZNGK1")</f>
        <v>MX23ZNGK1</v>
      </c>
      <c r="B13366" t="s">
        <v>1992</v>
      </c>
      <c r="C13366">
        <v>129</v>
      </c>
      <c r="D13366">
        <v>140.22999999999999</v>
      </c>
      <c r="E13366">
        <v>140.22</v>
      </c>
      <c r="F13366">
        <v>0.01</v>
      </c>
    </row>
    <row r="13367" spans="1:6" x14ac:dyDescent="0.3">
      <c r="A13367" t="str">
        <f>HYPERLINK("https://us2.cloudbeds.com/connect/10074733072513#/reservations/31713515520210?display=MX45RAFRH&amp;reservation_id=31713515520210", "MX45RAFRH")</f>
        <v>MX45RAFRH</v>
      </c>
      <c r="B13367" t="s">
        <v>1986</v>
      </c>
      <c r="C13367">
        <v>169</v>
      </c>
      <c r="D13367">
        <v>183.71</v>
      </c>
      <c r="E13367">
        <v>183.7</v>
      </c>
      <c r="F13367">
        <v>0.01</v>
      </c>
    </row>
    <row r="13368" spans="1:6" x14ac:dyDescent="0.3">
      <c r="A13368" t="str">
        <f>HYPERLINK("https://us2.cloudbeds.com/connect/10074733072513#/reservations/31711763828955?display=MX2R282UB&amp;reservation_id=31711763828955", "MX2R282UB")</f>
        <v>MX2R282UB</v>
      </c>
      <c r="B13368" t="s">
        <v>1965</v>
      </c>
      <c r="C13368">
        <v>205.16</v>
      </c>
      <c r="D13368">
        <v>223.02</v>
      </c>
      <c r="E13368">
        <v>223.01</v>
      </c>
      <c r="F13368">
        <v>0.01</v>
      </c>
    </row>
    <row r="13369" spans="1:6" x14ac:dyDescent="0.3">
      <c r="A13369" t="str">
        <f>HYPERLINK("https://us2.cloudbeds.com/connect/10074733072513#/reservations/31713470271669?display=MX44M5C9K&amp;reservation_id=31713470271669", "MX44M5C9K")</f>
        <v>MX44M5C9K</v>
      </c>
      <c r="B13369" t="s">
        <v>1986</v>
      </c>
      <c r="C13369">
        <v>97.74</v>
      </c>
      <c r="D13369">
        <v>106.25</v>
      </c>
      <c r="E13369">
        <v>106.24</v>
      </c>
      <c r="F13369">
        <v>0.01</v>
      </c>
    </row>
    <row r="13370" spans="1:6" x14ac:dyDescent="0.3">
      <c r="A13370" t="str">
        <f>HYPERLINK("https://us2.cloudbeds.com/connect/10074733072513#/reservations/31702228131980?display=MHSEDG8MV&amp;reservation_id=31702228131980", "MHSEDG8MV")</f>
        <v>MHSEDG8MV</v>
      </c>
      <c r="B13370" t="s">
        <v>1916</v>
      </c>
      <c r="C13370">
        <v>179</v>
      </c>
      <c r="D13370">
        <v>194.58</v>
      </c>
      <c r="E13370">
        <v>194.57</v>
      </c>
      <c r="F13370">
        <v>0.01</v>
      </c>
    </row>
    <row r="13371" spans="1:6" x14ac:dyDescent="0.3">
      <c r="A13371" t="str">
        <f>HYPERLINK("https://us2.cloudbeds.com/connect/10074733072513#/reservations/31712649052333?display=MX3GMMZ76&amp;reservation_id=31712649052333", "MX3GMMZ76")</f>
        <v>MX3GMMZ76</v>
      </c>
      <c r="B13371" t="s">
        <v>1982</v>
      </c>
      <c r="C13371">
        <v>129</v>
      </c>
      <c r="D13371">
        <v>140.22999999999999</v>
      </c>
      <c r="E13371">
        <v>140.22</v>
      </c>
      <c r="F13371">
        <v>0.01</v>
      </c>
    </row>
    <row r="13372" spans="1:6" x14ac:dyDescent="0.3">
      <c r="A13372" t="str">
        <f>HYPERLINK("https://us2.cloudbeds.com/connect/10074733072513#/reservations/31710915424496?display=MX25CRWFA&amp;reservation_id=31710915424496", "MX25CRWFA")</f>
        <v>MX25CRWFA</v>
      </c>
      <c r="B13372" t="s">
        <v>1697</v>
      </c>
      <c r="C13372">
        <v>358</v>
      </c>
      <c r="D13372">
        <v>389.16</v>
      </c>
      <c r="E13372">
        <v>389.15</v>
      </c>
      <c r="F13372">
        <v>0.01</v>
      </c>
    </row>
    <row r="13373" spans="1:6" x14ac:dyDescent="0.3">
      <c r="A13373" t="str">
        <f>HYPERLINK("https://us2.cloudbeds.com/connect/10074733072513#/reservations/31712186061036?display=MX34S9AGT&amp;reservation_id=31712186061036", "MX34S9AGT")</f>
        <v>MX34S9AGT</v>
      </c>
      <c r="B13373" t="s">
        <v>1965</v>
      </c>
      <c r="C13373">
        <v>109</v>
      </c>
      <c r="D13373">
        <v>118.49</v>
      </c>
      <c r="E13373">
        <v>118.48</v>
      </c>
      <c r="F13373">
        <v>0.01</v>
      </c>
    </row>
    <row r="13374" spans="1:6" x14ac:dyDescent="0.3">
      <c r="A13374" t="str">
        <f>HYPERLINK("https://us2.cloudbeds.com/connect/10074733072513#/reservations/31712175722645?display=MX34JXY1A&amp;reservation_id=31712175722645", "MX34JXY1A")</f>
        <v>MX34JXY1A</v>
      </c>
      <c r="B13374" t="s">
        <v>1965</v>
      </c>
      <c r="C13374">
        <v>102.58</v>
      </c>
      <c r="D13374">
        <v>111.51</v>
      </c>
      <c r="E13374">
        <v>111.5</v>
      </c>
      <c r="F13374">
        <v>0.01</v>
      </c>
    </row>
    <row r="13375" spans="1:6" x14ac:dyDescent="0.3">
      <c r="A13375" t="str">
        <f>HYPERLINK("https://us2.cloudbeds.com/connect/10074733072513#/reservations/31711478661297?display=MX2JPPSW5&amp;reservation_id=31711478661297", "MX2JPPSW5")</f>
        <v>MX2JPPSW5</v>
      </c>
      <c r="B13375" t="s">
        <v>1993</v>
      </c>
      <c r="C13375">
        <v>169</v>
      </c>
      <c r="D13375">
        <v>183.71</v>
      </c>
      <c r="E13375">
        <v>183.7</v>
      </c>
      <c r="F13375">
        <v>0.01</v>
      </c>
    </row>
    <row r="13376" spans="1:6" x14ac:dyDescent="0.3">
      <c r="A13376" t="str">
        <f>HYPERLINK("https://us2.cloudbeds.com/connect/10074733072513#/reservations/31713709191343?display=MX4APKYUZ&amp;reservation_id=31713709191343", "MX4APKYUZ")</f>
        <v>MX4APKYUZ</v>
      </c>
      <c r="B13376" t="s">
        <v>1986</v>
      </c>
      <c r="C13376">
        <v>139</v>
      </c>
      <c r="D13376">
        <v>151.1</v>
      </c>
      <c r="E13376">
        <v>151.09</v>
      </c>
      <c r="F13376">
        <v>0.01</v>
      </c>
    </row>
    <row r="13377" spans="1:6" x14ac:dyDescent="0.3">
      <c r="A13377" t="str">
        <f>HYPERLINK("https://us2.cloudbeds.com/connect/10074733072513#/reservations/31712813605049?display=MX3KTEYY4&amp;reservation_id=31712813605049", "MX3KTEYY4")</f>
        <v>MX3KTEYY4</v>
      </c>
      <c r="B13377" t="s">
        <v>1979</v>
      </c>
      <c r="C13377">
        <v>338</v>
      </c>
      <c r="D13377">
        <v>367.42</v>
      </c>
      <c r="E13377">
        <v>367.41</v>
      </c>
      <c r="F13377">
        <v>0.01</v>
      </c>
    </row>
    <row r="13378" spans="1:6" x14ac:dyDescent="0.3">
      <c r="A13378" t="str">
        <f>HYPERLINK("https://us2.cloudbeds.com/connect/10074733072513#/reservations/31702608388288?display=MHSZ44BB6&amp;reservation_id=31702608388288", "MHSZ44BB6")</f>
        <v>MHSZ44BB6</v>
      </c>
      <c r="B13378" t="s">
        <v>1917</v>
      </c>
      <c r="C13378">
        <v>159</v>
      </c>
      <c r="D13378">
        <v>172.84</v>
      </c>
      <c r="E13378">
        <v>172.83</v>
      </c>
      <c r="F13378">
        <v>0.01</v>
      </c>
    </row>
    <row r="13379" spans="1:6" x14ac:dyDescent="0.3">
      <c r="A13379" t="str">
        <f>HYPERLINK("https://us2.cloudbeds.com/connect/10074733072513#/reservations/31710967349395?display=MX26NKSZ3&amp;reservation_id=31710967349395", "MX26NKSZ3")</f>
        <v>MX26NKSZ3</v>
      </c>
      <c r="B13379" t="s">
        <v>1697</v>
      </c>
      <c r="C13379">
        <v>318</v>
      </c>
      <c r="D13379">
        <v>345.68</v>
      </c>
      <c r="E13379">
        <v>345.67</v>
      </c>
      <c r="F13379">
        <v>0.01</v>
      </c>
    </row>
    <row r="13380" spans="1:6" x14ac:dyDescent="0.3">
      <c r="A13380" t="str">
        <f>HYPERLINK("https://us2.cloudbeds.com/connect/10074733072513#/reservations/31711991414992?display=MX2WT505U&amp;reservation_id=31711991414992", "MX2WT505U")</f>
        <v>MX2WT505U</v>
      </c>
      <c r="B13380" t="s">
        <v>1991</v>
      </c>
      <c r="C13380">
        <v>139</v>
      </c>
      <c r="D13380">
        <v>151.1</v>
      </c>
      <c r="E13380">
        <v>151.09</v>
      </c>
      <c r="F13380">
        <v>0.01</v>
      </c>
    </row>
    <row r="13381" spans="1:6" x14ac:dyDescent="0.3">
      <c r="A13381" t="str">
        <f>HYPERLINK("https://us2.cloudbeds.com/connect/10074733072513#/reservations/31712934007029?display=MX3NVW0JW&amp;reservation_id=31712934007029", "MX3NVW0JW")</f>
        <v>MX3NVW0JW</v>
      </c>
      <c r="B13381" t="s">
        <v>1944</v>
      </c>
      <c r="C13381">
        <v>229</v>
      </c>
      <c r="D13381">
        <v>248.93</v>
      </c>
      <c r="E13381">
        <v>248.92</v>
      </c>
      <c r="F13381">
        <v>0.01</v>
      </c>
    </row>
    <row r="13382" spans="1:6" x14ac:dyDescent="0.3">
      <c r="A13382" t="str">
        <f>HYPERLINK("https://us2.cloudbeds.com/connect/10074733072513#/reservations/31711224844495?display=MX2D9P1MU&amp;reservation_id=31711224844495", "MX2D9P1MU")</f>
        <v>MX2D9P1MU</v>
      </c>
      <c r="B13382" t="s">
        <v>1979</v>
      </c>
      <c r="C13382">
        <v>129</v>
      </c>
      <c r="D13382">
        <v>140.22999999999999</v>
      </c>
      <c r="E13382">
        <v>140.22</v>
      </c>
      <c r="F13382">
        <v>0.01</v>
      </c>
    </row>
    <row r="13383" spans="1:6" x14ac:dyDescent="0.3">
      <c r="A13383" t="str">
        <f>HYPERLINK("https://us2.cloudbeds.com/connect/10074733072513#/reservations/31711100588282?display=MX2A3WEG4&amp;reservation_id=31711100588282", "MX2A3WEG4")</f>
        <v>MX2A3WEG4</v>
      </c>
      <c r="B13383" t="s">
        <v>1979</v>
      </c>
      <c r="C13383">
        <v>105.78</v>
      </c>
      <c r="D13383">
        <v>114.99</v>
      </c>
      <c r="E13383">
        <v>114.98</v>
      </c>
      <c r="F13383">
        <v>0.01</v>
      </c>
    </row>
    <row r="13384" spans="1:6" x14ac:dyDescent="0.3">
      <c r="A13384" t="str">
        <f>HYPERLINK("https://us2.cloudbeds.com/connect/10074733072513#/reservations/31711084490978?display=MX29NDGP1&amp;reservation_id=31711084490978", "MX29NDGP1")</f>
        <v>MX29NDGP1</v>
      </c>
      <c r="B13384" t="s">
        <v>1993</v>
      </c>
      <c r="C13384">
        <v>209</v>
      </c>
      <c r="D13384">
        <v>227.19</v>
      </c>
      <c r="E13384">
        <v>227.18</v>
      </c>
      <c r="F13384">
        <v>0.01</v>
      </c>
    </row>
    <row r="13385" spans="1:6" x14ac:dyDescent="0.3">
      <c r="A13385" t="str">
        <f>HYPERLINK("https://us2.cloudbeds.com/connect/10074733072513#/reservations/31702510543070?display=MHSYKKPBP&amp;reservation_id=31702510543070", "MHSYKKPBP")</f>
        <v>MHSYKKPBP</v>
      </c>
      <c r="B13385" t="s">
        <v>1947</v>
      </c>
      <c r="C13385">
        <v>189</v>
      </c>
      <c r="D13385">
        <v>205.45</v>
      </c>
      <c r="E13385">
        <v>205.44</v>
      </c>
      <c r="F13385">
        <v>0.01</v>
      </c>
    </row>
    <row r="13386" spans="1:6" x14ac:dyDescent="0.3">
      <c r="A13386" t="str">
        <f>HYPERLINK("https://us2.cloudbeds.com/connect/10074733072513#/reservations/31713343533307?display=MX41E9MQ6&amp;reservation_id=31713343533307", "MX41E9MQ6")</f>
        <v>MX41E9MQ6</v>
      </c>
      <c r="B13386" t="s">
        <v>1649</v>
      </c>
      <c r="C13386">
        <v>252</v>
      </c>
      <c r="D13386">
        <v>273.93</v>
      </c>
      <c r="E13386">
        <v>273.92</v>
      </c>
      <c r="F13386">
        <v>0.01</v>
      </c>
    </row>
    <row r="13387" spans="1:6" x14ac:dyDescent="0.3">
      <c r="A13387" t="str">
        <f>HYPERLINK("https://us2.cloudbeds.com/connect/10074733072513#/reservations/31714259673249?display=MX4ZRQKVK&amp;reservation_id=31714259673249", "MX4ZRQKVK")</f>
        <v>MX4ZRQKVK</v>
      </c>
      <c r="B13387" t="s">
        <v>1661</v>
      </c>
      <c r="C13387">
        <v>150</v>
      </c>
      <c r="D13387">
        <v>163.06</v>
      </c>
      <c r="E13387">
        <v>163.05000000000001</v>
      </c>
      <c r="F13387">
        <v>0.01</v>
      </c>
    </row>
    <row r="13388" spans="1:6" x14ac:dyDescent="0.3">
      <c r="A13388" t="str">
        <f>HYPERLINK("https://us2.cloudbeds.com/connect/10074733072513#/reservations/31714196496550?display=MX4N7HYF6&amp;reservation_id=31714196496550", "MX4N7HYF6")</f>
        <v>MX4N7HYF6</v>
      </c>
      <c r="B13388" t="s">
        <v>1661</v>
      </c>
      <c r="C13388">
        <v>209</v>
      </c>
      <c r="D13388">
        <v>227.19</v>
      </c>
      <c r="E13388">
        <v>227.18</v>
      </c>
      <c r="F13388">
        <v>0.01</v>
      </c>
    </row>
    <row r="13389" spans="1:6" x14ac:dyDescent="0.3">
      <c r="A13389" t="str">
        <f>HYPERLINK("https://us2.cloudbeds.com/connect/10074733072513#/reservations/31711965683944?display=MX2W7F016&amp;reservation_id=31711965683944", "MX2W7F016")</f>
        <v>MX2W7F016</v>
      </c>
      <c r="B13389" t="s">
        <v>1944</v>
      </c>
      <c r="C13389">
        <v>229</v>
      </c>
      <c r="D13389">
        <v>248.93</v>
      </c>
      <c r="E13389">
        <v>248.92</v>
      </c>
      <c r="F13389">
        <v>0.01</v>
      </c>
    </row>
    <row r="13390" spans="1:6" x14ac:dyDescent="0.3">
      <c r="A13390" t="str">
        <f>HYPERLINK("https://us2.cloudbeds.com/connect/10074733072513#/reservations/31713546838173?display=MX46KNV9N&amp;reservation_id=31713546838173", "MX46KNV9N")</f>
        <v>MX46KNV9N</v>
      </c>
      <c r="B13390" t="s">
        <v>1944</v>
      </c>
      <c r="C13390">
        <v>209</v>
      </c>
      <c r="D13390">
        <v>227.19</v>
      </c>
      <c r="E13390">
        <v>227.18</v>
      </c>
      <c r="F13390">
        <v>0.01</v>
      </c>
    </row>
    <row r="13391" spans="1:6" x14ac:dyDescent="0.3">
      <c r="A13391" t="str">
        <f>HYPERLINK("https://us2.cloudbeds.com/connect/10074733072513#/reservations/31712133968000?display=MX33HBY4S&amp;reservation_id=31712133968000", "MX33HBY4S")</f>
        <v>MX33HBY4S</v>
      </c>
      <c r="B13391" t="s">
        <v>1965</v>
      </c>
      <c r="C13391">
        <v>139</v>
      </c>
      <c r="D13391">
        <v>151.1</v>
      </c>
      <c r="E13391">
        <v>151.09</v>
      </c>
      <c r="F13391">
        <v>0.01</v>
      </c>
    </row>
    <row r="13392" spans="1:6" x14ac:dyDescent="0.3">
      <c r="A13392" t="str">
        <f>HYPERLINK("https://us2.cloudbeds.com/connect/10074733072513#/reservations/31712280441025?display=MX378SJ5X&amp;reservation_id=31712280441025", "MX378SJ5X")</f>
        <v>MX378SJ5X</v>
      </c>
      <c r="B13392" t="s">
        <v>1829</v>
      </c>
      <c r="C13392">
        <v>338</v>
      </c>
      <c r="D13392">
        <v>367.42</v>
      </c>
      <c r="E13392">
        <v>367.41</v>
      </c>
      <c r="F13392">
        <v>0.01</v>
      </c>
    </row>
    <row r="13393" spans="1:6" x14ac:dyDescent="0.3">
      <c r="A13393" t="str">
        <f>HYPERLINK("https://us2.cloudbeds.com/connect/10074733072513#/reservations/31703150334115?display=MHT4W3TK6&amp;reservation_id=31703150334115", "MHT4W3TK6")</f>
        <v>MHT4W3TK6</v>
      </c>
      <c r="B13393" t="s">
        <v>1981</v>
      </c>
      <c r="C13393">
        <v>189</v>
      </c>
      <c r="D13393">
        <v>205.45</v>
      </c>
      <c r="E13393">
        <v>205.44</v>
      </c>
      <c r="F13393">
        <v>0.01</v>
      </c>
    </row>
    <row r="13394" spans="1:6" x14ac:dyDescent="0.3">
      <c r="A13394" t="str">
        <f>HYPERLINK("https://us2.cloudbeds.com/connect/10074733072513#/reservations/31711221272709?display=MX2D6ZYQW&amp;reservation_id=31711221272709", "MX2D6ZYQW")</f>
        <v>MX2D6ZYQW</v>
      </c>
      <c r="B13394" t="s">
        <v>1995</v>
      </c>
      <c r="C13394">
        <v>159</v>
      </c>
      <c r="D13394">
        <v>172.84</v>
      </c>
      <c r="E13394">
        <v>172.83</v>
      </c>
      <c r="F13394">
        <v>0.01</v>
      </c>
    </row>
    <row r="13395" spans="1:6" x14ac:dyDescent="0.3">
      <c r="A13395" t="str">
        <f>HYPERLINK("https://us2.cloudbeds.com/connect/10074733072513#/reservations/31700889088194?display=MHRD6CD2H&amp;reservation_id=31700889088194", "MHRD6CD2H")</f>
        <v>MHRD6CD2H</v>
      </c>
      <c r="B13395" t="s">
        <v>1788</v>
      </c>
      <c r="C13395">
        <v>159</v>
      </c>
      <c r="D13395">
        <v>172.84</v>
      </c>
      <c r="E13395">
        <v>172.83</v>
      </c>
      <c r="F13395">
        <v>0.01</v>
      </c>
    </row>
    <row r="13396" spans="1:6" x14ac:dyDescent="0.3">
      <c r="A13396" t="str">
        <f>HYPERLINK("https://us2.cloudbeds.com/connect/10074733072513#/reservations/31713333227680?display=MX415JUDF&amp;reservation_id=31713333227680", "MX415JUDF")</f>
        <v>MX415JUDF</v>
      </c>
      <c r="B13396" t="s">
        <v>1649</v>
      </c>
      <c r="C13396">
        <v>129</v>
      </c>
      <c r="D13396">
        <v>140.22999999999999</v>
      </c>
      <c r="E13396">
        <v>140.22</v>
      </c>
      <c r="F13396">
        <v>0.01</v>
      </c>
    </row>
    <row r="13397" spans="1:6" x14ac:dyDescent="0.3">
      <c r="A13397" t="str">
        <f>HYPERLINK("https://us2.cloudbeds.com/connect/10074733072513#/reservations/31713597902980?display=MX47UPTP3&amp;reservation_id=31713597902980", "MX47UPTP3")</f>
        <v>MX47UPTP3</v>
      </c>
      <c r="B13397" t="s">
        <v>1966</v>
      </c>
      <c r="C13397">
        <v>149</v>
      </c>
      <c r="D13397">
        <v>161.97</v>
      </c>
      <c r="E13397">
        <v>161.96</v>
      </c>
      <c r="F13397">
        <v>0.01</v>
      </c>
    </row>
    <row r="13398" spans="1:6" x14ac:dyDescent="0.3">
      <c r="A13398" t="str">
        <f>HYPERLINK("https://us2.cloudbeds.com/connect/10074733072513#/reservations/31712237515004?display=MX365M3B1&amp;reservation_id=31712237515004", "MX365M3B1")</f>
        <v>MX365M3B1</v>
      </c>
      <c r="B13398" t="s">
        <v>1829</v>
      </c>
      <c r="C13398">
        <v>338</v>
      </c>
      <c r="D13398">
        <v>367.42</v>
      </c>
      <c r="E13398">
        <v>367.41</v>
      </c>
      <c r="F13398">
        <v>0.01</v>
      </c>
    </row>
    <row r="13399" spans="1:6" x14ac:dyDescent="0.3">
      <c r="A13399" t="str">
        <f>HYPERLINK("https://us2.cloudbeds.com/connect/10074733072513#/reservations/31711859765471?display=MX2TH4YTG&amp;reservation_id=31711859765471", "MX2TH4YTG")</f>
        <v>MX2TH4YTG</v>
      </c>
      <c r="B13399" t="s">
        <v>1966</v>
      </c>
      <c r="C13399">
        <v>129</v>
      </c>
      <c r="D13399">
        <v>140.22999999999999</v>
      </c>
      <c r="E13399">
        <v>140.22</v>
      </c>
      <c r="F13399">
        <v>0.01</v>
      </c>
    </row>
    <row r="13400" spans="1:6" x14ac:dyDescent="0.3">
      <c r="A13400" t="str">
        <f>HYPERLINK("https://us2.cloudbeds.com/connect/10074733072513#/reservations/31712806555872?display=MX3KNGGXN&amp;reservation_id=31712806555872", "MX3KNGGXN")</f>
        <v>MX3KNGGXN</v>
      </c>
      <c r="B13400" t="s">
        <v>1979</v>
      </c>
      <c r="C13400">
        <v>105.78</v>
      </c>
      <c r="D13400">
        <v>114.99</v>
      </c>
      <c r="E13400">
        <v>114.98</v>
      </c>
      <c r="F13400">
        <v>0.01</v>
      </c>
    </row>
    <row r="13401" spans="1:6" x14ac:dyDescent="0.3">
      <c r="A13401" t="str">
        <f>HYPERLINK("https://us2.cloudbeds.com/connect/10074733072513#/reservations/31711282266357?display=MX2EP5TMB&amp;reservation_id=31711282266357", "MX2EP5TMB")</f>
        <v>MX2EP5TMB</v>
      </c>
      <c r="B13401" t="s">
        <v>1649</v>
      </c>
      <c r="C13401">
        <v>129</v>
      </c>
      <c r="D13401">
        <v>140.22999999999999</v>
      </c>
      <c r="E13401">
        <v>140.22</v>
      </c>
      <c r="F13401">
        <v>0.01</v>
      </c>
    </row>
    <row r="13402" spans="1:6" x14ac:dyDescent="0.3">
      <c r="A13402" t="str">
        <f>HYPERLINK("https://us2.cloudbeds.com/connect/10074733072513#/reservations/31711138078960?display=MX2B2JM69&amp;reservation_id=31711138078960", "MX2B2JM69")</f>
        <v>MX2B2JM69</v>
      </c>
      <c r="B13402" t="s">
        <v>1966</v>
      </c>
      <c r="C13402">
        <v>129</v>
      </c>
      <c r="D13402">
        <v>140.22999999999999</v>
      </c>
      <c r="E13402">
        <v>140.22</v>
      </c>
      <c r="F13402">
        <v>0.01</v>
      </c>
    </row>
    <row r="13403" spans="1:6" x14ac:dyDescent="0.3">
      <c r="A13403" t="str">
        <f>HYPERLINK("https://us2.cloudbeds.com/connect/10074733072513#/reservations/31711106080928?display=MX2A8K97V&amp;reservation_id=31711106080928", "MX2A8K97V")</f>
        <v>MX2A8K97V</v>
      </c>
      <c r="B13403" t="s">
        <v>1979</v>
      </c>
      <c r="C13403">
        <v>129</v>
      </c>
      <c r="D13403">
        <v>140.22999999999999</v>
      </c>
      <c r="E13403">
        <v>140.22</v>
      </c>
      <c r="F13403">
        <v>0.01</v>
      </c>
    </row>
    <row r="13404" spans="1:6" x14ac:dyDescent="0.3">
      <c r="A13404" t="str">
        <f>HYPERLINK("https://us2.cloudbeds.com/connect/10074733072513#/reservations/31711835496604?display=MX2STMBE9&amp;reservation_id=31711835496604", "MX2STMBE9")</f>
        <v>MX2STMBE9</v>
      </c>
      <c r="B13404" t="s">
        <v>1966</v>
      </c>
      <c r="C13404">
        <v>139</v>
      </c>
      <c r="D13404">
        <v>151.1</v>
      </c>
      <c r="E13404">
        <v>151.09</v>
      </c>
      <c r="F13404">
        <v>0.01</v>
      </c>
    </row>
    <row r="13405" spans="1:6" x14ac:dyDescent="0.3">
      <c r="A13405" t="str">
        <f>HYPERLINK("https://us2.cloudbeds.com/connect/10074733072513#/reservations/31712623751381?display=MX3G1BN0M&amp;reservation_id=31712623751381", "MX3G1BN0M")</f>
        <v>MX3G1BN0M</v>
      </c>
      <c r="B13405" t="s">
        <v>1982</v>
      </c>
      <c r="C13405">
        <v>278</v>
      </c>
      <c r="D13405">
        <v>302.2</v>
      </c>
      <c r="E13405">
        <v>302.19</v>
      </c>
      <c r="F13405">
        <v>0.01</v>
      </c>
    </row>
    <row r="13406" spans="1:6" x14ac:dyDescent="0.3">
      <c r="A13406" t="str">
        <f>HYPERLINK("https://us2.cloudbeds.com/connect/10074733072513#/reservations/31711215050938?display=MX2D1GHHF&amp;reservation_id=31711215050938", "MX2D1GHHF")</f>
        <v>MX2D1GHHF</v>
      </c>
      <c r="B13406" t="s">
        <v>1979</v>
      </c>
      <c r="C13406">
        <v>105.78</v>
      </c>
      <c r="D13406">
        <v>114.99</v>
      </c>
      <c r="E13406">
        <v>114.98</v>
      </c>
      <c r="F13406">
        <v>0.01</v>
      </c>
    </row>
    <row r="13407" spans="1:6" x14ac:dyDescent="0.3">
      <c r="A13407" t="str">
        <f>HYPERLINK("https://us2.cloudbeds.com/connect/10074733072513#/reservations/31711158595824?display=MX2BJTJ9E&amp;reservation_id=31711158595824", "MX2BJTJ9E")</f>
        <v>MX2BJTJ9E</v>
      </c>
      <c r="B13407" t="s">
        <v>1979</v>
      </c>
      <c r="C13407">
        <v>149</v>
      </c>
      <c r="D13407">
        <v>161.97</v>
      </c>
      <c r="E13407">
        <v>161.96</v>
      </c>
      <c r="F13407">
        <v>0.01</v>
      </c>
    </row>
    <row r="13408" spans="1:6" x14ac:dyDescent="0.3">
      <c r="A13408" t="str">
        <f>HYPERLINK("https://us2.cloudbeds.com/connect/10074733072513#/reservations/31703210750100?display=MHT6H220K&amp;reservation_id=31703210750100", "MHT6H220K")</f>
        <v>MHT6H220K</v>
      </c>
      <c r="B13408" t="s">
        <v>1697</v>
      </c>
      <c r="C13408">
        <v>398</v>
      </c>
      <c r="D13408">
        <v>432.64</v>
      </c>
      <c r="E13408">
        <v>432.63</v>
      </c>
      <c r="F13408">
        <v>0.01</v>
      </c>
    </row>
    <row r="13409" spans="1:6" x14ac:dyDescent="0.3">
      <c r="A13409" t="str">
        <f>HYPERLINK("https://us2.cloudbeds.com/connect/10074733072513#/reservations/31711115698427?display=MX2AGNTZA&amp;reservation_id=31711115698427", "MX2AGNTZA")</f>
        <v>MX2AGNTZA</v>
      </c>
      <c r="B13409" t="s">
        <v>1979</v>
      </c>
      <c r="C13409">
        <v>129</v>
      </c>
      <c r="D13409">
        <v>140.22999999999999</v>
      </c>
      <c r="E13409">
        <v>140.22</v>
      </c>
      <c r="F13409">
        <v>0.01</v>
      </c>
    </row>
    <row r="13410" spans="1:6" x14ac:dyDescent="0.3">
      <c r="A13410" t="str">
        <f>HYPERLINK("https://us2.cloudbeds.com/connect/10074733072513#/reservations/31711176753286?display=MX2C26RQX&amp;reservation_id=31711176753286", "MX2C26RQX")</f>
        <v>MX2C26RQX</v>
      </c>
      <c r="B13410" t="s">
        <v>1979</v>
      </c>
      <c r="C13410">
        <v>129</v>
      </c>
      <c r="D13410">
        <v>140.22999999999999</v>
      </c>
      <c r="E13410">
        <v>140.22</v>
      </c>
      <c r="F13410">
        <v>0.01</v>
      </c>
    </row>
    <row r="13411" spans="1:6" x14ac:dyDescent="0.3">
      <c r="A13411" t="str">
        <f>HYPERLINK("https://us2.cloudbeds.com/connect/10074733072513#/reservations/31711467643040?display=MX2JGG96J&amp;reservation_id=31711467643040", "MX2JGG96J")</f>
        <v>MX2JGG96J</v>
      </c>
      <c r="B13411" t="s">
        <v>1994</v>
      </c>
      <c r="C13411">
        <v>129</v>
      </c>
      <c r="D13411">
        <v>140.22999999999999</v>
      </c>
      <c r="E13411">
        <v>140.22</v>
      </c>
      <c r="F13411">
        <v>0.01</v>
      </c>
    </row>
    <row r="13412" spans="1:6" x14ac:dyDescent="0.3">
      <c r="A13412" t="str">
        <f>HYPERLINK("https://us2.cloudbeds.com/connect/10074733072513#/reservations/31711876505753?display=MX2TV8G1P&amp;reservation_id=31711876505753", "MX2TV8G1P")</f>
        <v>MX2TV8G1P</v>
      </c>
      <c r="B13412" t="s">
        <v>1966</v>
      </c>
      <c r="C13412">
        <v>139</v>
      </c>
      <c r="D13412">
        <v>151.1</v>
      </c>
      <c r="E13412">
        <v>151.09</v>
      </c>
      <c r="F13412">
        <v>0.01</v>
      </c>
    </row>
    <row r="13413" spans="1:6" x14ac:dyDescent="0.3">
      <c r="A13413" t="str">
        <f>HYPERLINK("https://us2.cloudbeds.com/connect/10074733072513#/reservations/31711859769565?display=MX2TH4PYX&amp;reservation_id=31711859769565", "MX2TH4PYX")</f>
        <v>MX2TH4PYX</v>
      </c>
      <c r="B13413" t="s">
        <v>1966</v>
      </c>
      <c r="C13413">
        <v>129</v>
      </c>
      <c r="D13413">
        <v>140.22999999999999</v>
      </c>
      <c r="E13413">
        <v>140.22</v>
      </c>
      <c r="F13413">
        <v>0.01</v>
      </c>
    </row>
    <row r="13414" spans="1:6" x14ac:dyDescent="0.3">
      <c r="A13414" t="str">
        <f>HYPERLINK("https://us2.cloudbeds.com/connect/10074733072513#/reservations/31702538842330?display=MHSMBG7R3&amp;reservation_id=31702538842330", "MHSMBG7R3")</f>
        <v>MHSMBG7R3</v>
      </c>
      <c r="B13414" t="s">
        <v>1947</v>
      </c>
      <c r="C13414">
        <v>199</v>
      </c>
      <c r="D13414">
        <v>216.32</v>
      </c>
      <c r="E13414">
        <v>216.31</v>
      </c>
      <c r="F13414">
        <v>0.01</v>
      </c>
    </row>
    <row r="13415" spans="1:6" x14ac:dyDescent="0.3">
      <c r="A13415" t="str">
        <f>HYPERLINK("https://us2.cloudbeds.com/connect/10074733072513#/reservations/31711104209038?display=MX2A716B0&amp;reservation_id=31711104209038", "MX2A716B0")</f>
        <v>MX2A716B0</v>
      </c>
      <c r="B13415" t="s">
        <v>1966</v>
      </c>
      <c r="C13415">
        <v>179</v>
      </c>
      <c r="D13415">
        <v>194.58</v>
      </c>
      <c r="E13415">
        <v>194.57</v>
      </c>
      <c r="F13415">
        <v>0.01</v>
      </c>
    </row>
    <row r="13416" spans="1:6" x14ac:dyDescent="0.3">
      <c r="A13416" t="str">
        <f>HYPERLINK("https://us2.cloudbeds.com/connect/10074733072513#/reservations/31711327355081?display=MX2FU6XFA&amp;reservation_id=31711327355081", "MX2FU6XFA")</f>
        <v>MX2FU6XFA</v>
      </c>
      <c r="B13416" t="s">
        <v>1994</v>
      </c>
      <c r="C13416">
        <v>129</v>
      </c>
      <c r="D13416">
        <v>140.22999999999999</v>
      </c>
      <c r="E13416">
        <v>140.22</v>
      </c>
      <c r="F13416">
        <v>0.01</v>
      </c>
    </row>
    <row r="13417" spans="1:6" x14ac:dyDescent="0.3">
      <c r="A13417" t="str">
        <f>HYPERLINK("https://us2.cloudbeds.com/connect/10074733072513#/reservations/31711416516861?display=MX2X6CKCE&amp;reservation_id=31711416516861", "MX2X6CKCE")</f>
        <v>MX2X6CKCE</v>
      </c>
      <c r="B13417" t="s">
        <v>1990</v>
      </c>
      <c r="C13417">
        <v>97.74</v>
      </c>
      <c r="D13417">
        <v>106.25</v>
      </c>
      <c r="E13417">
        <v>106.24</v>
      </c>
      <c r="F13417">
        <v>0.01</v>
      </c>
    </row>
    <row r="13418" spans="1:6" x14ac:dyDescent="0.3">
      <c r="A13418" t="str">
        <f>HYPERLINK("https://us2.cloudbeds.com/connect/10074733072513#/reservations/31710829527198?display=MX236DP7T&amp;reservation_id=31710829527198", "MX236DP7T")</f>
        <v>MX236DP7T</v>
      </c>
      <c r="B13418" t="s">
        <v>1697</v>
      </c>
      <c r="C13418">
        <v>318</v>
      </c>
      <c r="D13418">
        <v>345.68</v>
      </c>
      <c r="E13418">
        <v>345.67</v>
      </c>
      <c r="F13418">
        <v>0.01</v>
      </c>
    </row>
    <row r="13419" spans="1:6" x14ac:dyDescent="0.3">
      <c r="A13419" t="str">
        <f>HYPERLINK("https://us2.cloudbeds.com/connect/10074733072513#/reservations/31712789184742?display=MX3K8S43R&amp;reservation_id=31712789184742", "MX3K8S43R")</f>
        <v>MX3K8S43R</v>
      </c>
      <c r="B13419" t="s">
        <v>1979</v>
      </c>
      <c r="C13419">
        <v>129</v>
      </c>
      <c r="D13419">
        <v>140.22999999999999</v>
      </c>
      <c r="E13419">
        <v>140.22</v>
      </c>
      <c r="F13419">
        <v>0.01</v>
      </c>
    </row>
    <row r="13420" spans="1:6" x14ac:dyDescent="0.3">
      <c r="A13420" t="str">
        <f>HYPERLINK("https://us2.cloudbeds.com/connect/10074733072513#/reservations/31712694358211?display=MX3HRTEDJ&amp;reservation_id=31712694358211", "MX3HRTEDJ")</f>
        <v>MX3HRTEDJ</v>
      </c>
      <c r="B13420" t="s">
        <v>1982</v>
      </c>
      <c r="C13420">
        <v>129</v>
      </c>
      <c r="D13420">
        <v>140.22999999999999</v>
      </c>
      <c r="E13420">
        <v>140.22</v>
      </c>
      <c r="F13420">
        <v>0.01</v>
      </c>
    </row>
    <row r="13421" spans="1:6" x14ac:dyDescent="0.3">
      <c r="A13421" t="str">
        <f>HYPERLINK("https://us2.cloudbeds.com/connect/10074733072513#/reservations/31712842944721?display=MX3YY62G3&amp;reservation_id=31712842944721", "MX3YY62G3")</f>
        <v>MX3YY62G3</v>
      </c>
      <c r="B13421" t="s">
        <v>1979</v>
      </c>
      <c r="C13421">
        <v>129</v>
      </c>
      <c r="D13421">
        <v>140.22999999999999</v>
      </c>
      <c r="E13421">
        <v>140.22</v>
      </c>
      <c r="F13421">
        <v>0.01</v>
      </c>
    </row>
    <row r="13422" spans="1:6" x14ac:dyDescent="0.3">
      <c r="A13422" t="str">
        <f>HYPERLINK("https://us2.cloudbeds.com/connect/10074733072513#/reservations/31712664899731?display=MX3H31NFC&amp;reservation_id=31712664899731", "MX3H31NFC")</f>
        <v>MX3H31NFC</v>
      </c>
      <c r="B13422" t="s">
        <v>1982</v>
      </c>
      <c r="C13422">
        <v>129</v>
      </c>
      <c r="D13422">
        <v>140.22999999999999</v>
      </c>
      <c r="E13422">
        <v>140.22</v>
      </c>
      <c r="F13422">
        <v>0.01</v>
      </c>
    </row>
    <row r="13423" spans="1:6" x14ac:dyDescent="0.3">
      <c r="A13423" t="str">
        <f>HYPERLINK("https://us2.cloudbeds.com/connect/10074733072513#/reservations/31712567808146?display=MX3EK5WR4&amp;reservation_id=31712567808146", "MX3EK5WR4")</f>
        <v>MX3EK5WR4</v>
      </c>
      <c r="B13423" t="s">
        <v>1982</v>
      </c>
      <c r="C13423">
        <v>278</v>
      </c>
      <c r="D13423">
        <v>302.2</v>
      </c>
      <c r="E13423">
        <v>302.19</v>
      </c>
      <c r="F13423">
        <v>0.01</v>
      </c>
    </row>
    <row r="13424" spans="1:6" x14ac:dyDescent="0.3">
      <c r="A13424" t="str">
        <f>HYPERLINK("https://us2.cloudbeds.com/connect/10074733072513#/reservations/31712413651182?display=MX3AM6BHW&amp;reservation_id=31712413651182", "MX3AM6BHW")</f>
        <v>MX3AM6BHW</v>
      </c>
      <c r="B13424" t="s">
        <v>1829</v>
      </c>
      <c r="C13424">
        <v>229</v>
      </c>
      <c r="D13424">
        <v>248.93</v>
      </c>
      <c r="E13424">
        <v>248.92</v>
      </c>
      <c r="F13424">
        <v>0.01</v>
      </c>
    </row>
    <row r="13425" spans="1:6" x14ac:dyDescent="0.3">
      <c r="A13425" t="str">
        <f>HYPERLINK("https://us2.cloudbeds.com/connect/10074733072513#/reservations/31711554048150?display=MX2YNBKZ8&amp;reservation_id=31711554048150", "MX2YNBKZ8")</f>
        <v>MX2YNBKZ8</v>
      </c>
      <c r="B13425" t="s">
        <v>1996</v>
      </c>
      <c r="C13425">
        <v>129</v>
      </c>
      <c r="D13425">
        <v>140.22999999999999</v>
      </c>
      <c r="E13425">
        <v>140.22</v>
      </c>
      <c r="F13425">
        <v>0.01</v>
      </c>
    </row>
    <row r="13426" spans="1:6" x14ac:dyDescent="0.3">
      <c r="A13426" t="str">
        <f>HYPERLINK("https://us2.cloudbeds.com/connect/10074733072513#/reservations/31711998427306?display=MX30224D9&amp;reservation_id=31711998427306", "MX30224D9")</f>
        <v>MX30224D9</v>
      </c>
      <c r="B13426" t="s">
        <v>1991</v>
      </c>
      <c r="C13426">
        <v>261.08</v>
      </c>
      <c r="D13426">
        <v>283.8</v>
      </c>
      <c r="E13426">
        <v>283.79000000000002</v>
      </c>
      <c r="F13426">
        <v>0.01</v>
      </c>
    </row>
    <row r="13427" spans="1:6" x14ac:dyDescent="0.3">
      <c r="A13427" t="str">
        <f>HYPERLINK("https://us2.cloudbeds.com/connect/10074733072513#/reservations/31702176481528?display=MHSD2V0EZ&amp;reservation_id=31702176481528", "MHSD2V0EZ")</f>
        <v>MHSD2V0EZ</v>
      </c>
      <c r="B13427" t="s">
        <v>1916</v>
      </c>
      <c r="C13427">
        <v>159</v>
      </c>
      <c r="D13427">
        <v>172.84</v>
      </c>
      <c r="E13427">
        <v>172.83</v>
      </c>
      <c r="F13427">
        <v>0.01</v>
      </c>
    </row>
    <row r="13428" spans="1:6" x14ac:dyDescent="0.3">
      <c r="A13428" t="str">
        <f>HYPERLINK("https://us2.cloudbeds.com/connect/10074733072513#/reservations/31711720091793?display=MX2PVC17Q&amp;reservation_id=31711720091793", "MX2PVC17Q")</f>
        <v>MX2PVC17Q</v>
      </c>
      <c r="B13428" t="s">
        <v>1991</v>
      </c>
      <c r="C13428">
        <v>258</v>
      </c>
      <c r="D13428">
        <v>280.45999999999998</v>
      </c>
      <c r="E13428">
        <v>280.45</v>
      </c>
      <c r="F13428">
        <v>0.01</v>
      </c>
    </row>
    <row r="13429" spans="1:6" x14ac:dyDescent="0.3">
      <c r="A13429" t="str">
        <f>HYPERLINK("https://us2.cloudbeds.com/connect/10074733072513#/reservations/31711730381037?display=MX2Q71BJ2&amp;reservation_id=31711730381037", "MX2Q71BJ2")</f>
        <v>MX2Q71BJ2</v>
      </c>
      <c r="B13429" t="s">
        <v>1991</v>
      </c>
      <c r="C13429">
        <v>261.08</v>
      </c>
      <c r="D13429">
        <v>283.8</v>
      </c>
      <c r="E13429">
        <v>283.79000000000002</v>
      </c>
      <c r="F13429">
        <v>0.01</v>
      </c>
    </row>
    <row r="13430" spans="1:6" x14ac:dyDescent="0.3">
      <c r="A13430" t="str">
        <f>HYPERLINK("https://us2.cloudbeds.com/connect/10074733072513#/reservations/31711749116123?display=MX2QMRMGV&amp;reservation_id=31711749116123", "MX2QMRMGV")</f>
        <v>MX2QMRMGV</v>
      </c>
      <c r="B13430" t="s">
        <v>1991</v>
      </c>
      <c r="C13430">
        <v>378</v>
      </c>
      <c r="D13430">
        <v>410.9</v>
      </c>
      <c r="E13430">
        <v>410.89</v>
      </c>
      <c r="F13430">
        <v>0.01</v>
      </c>
    </row>
    <row r="13431" spans="1:6" x14ac:dyDescent="0.3">
      <c r="A13431" t="str">
        <f>HYPERLINK("https://us2.cloudbeds.com/connect/10074733072513#/reservations/31712193097860?display=MX351747W&amp;reservation_id=31712193097860", "MX351747W")</f>
        <v>MX351747W</v>
      </c>
      <c r="B13431" t="s">
        <v>1829</v>
      </c>
      <c r="C13431">
        <v>169</v>
      </c>
      <c r="D13431">
        <v>183.71</v>
      </c>
      <c r="E13431">
        <v>183.7</v>
      </c>
      <c r="F13431">
        <v>0.01</v>
      </c>
    </row>
    <row r="13432" spans="1:6" x14ac:dyDescent="0.3">
      <c r="A13432" t="str">
        <f>HYPERLINK("https://us2.cloudbeds.com/connect/10074733072513#/reservations/31712704221334?display=MX3X36TF3&amp;reservation_id=31712704221334", "MX3X36TF3")</f>
        <v>MX3X36TF3</v>
      </c>
      <c r="B13432" t="s">
        <v>1982</v>
      </c>
      <c r="C13432">
        <v>102.58</v>
      </c>
      <c r="D13432">
        <v>111.51</v>
      </c>
      <c r="E13432">
        <v>111.5</v>
      </c>
      <c r="F13432">
        <v>0.01</v>
      </c>
    </row>
    <row r="13433" spans="1:6" x14ac:dyDescent="0.3">
      <c r="A13433" t="str">
        <f>HYPERLINK("https://us2.cloudbeds.com/connect/10074733072513#/reservations/31713247150284?display=MX3VW0MQH&amp;reservation_id=31713247150284", "MX3VW0MQH")</f>
        <v>MX3VW0MQH</v>
      </c>
      <c r="B13433" t="s">
        <v>1991</v>
      </c>
      <c r="C13433">
        <v>149</v>
      </c>
      <c r="D13433">
        <v>161.97</v>
      </c>
      <c r="E13433">
        <v>161.96</v>
      </c>
      <c r="F13433">
        <v>0.01</v>
      </c>
    </row>
    <row r="13434" spans="1:6" x14ac:dyDescent="0.3">
      <c r="A13434" t="str">
        <f>HYPERLINK("https://us2.cloudbeds.com/connect/10074733072513#/reservations/31712039055519?display=MX313AM78&amp;reservation_id=31712039055519", "MX313AM78")</f>
        <v>MX313AM78</v>
      </c>
      <c r="B13434" t="s">
        <v>1991</v>
      </c>
      <c r="C13434">
        <v>149</v>
      </c>
      <c r="D13434">
        <v>161.97</v>
      </c>
      <c r="E13434">
        <v>161.96</v>
      </c>
      <c r="F13434">
        <v>0.01</v>
      </c>
    </row>
    <row r="13435" spans="1:6" x14ac:dyDescent="0.3">
      <c r="A13435" t="str">
        <f>HYPERLINK("https://us2.cloudbeds.com/connect/10074733072513#/reservations/31713257922788?display=MX3W83EU1&amp;reservation_id=31713257922788", "MX3W83EU1")</f>
        <v>MX3W83EU1</v>
      </c>
      <c r="B13435" t="s">
        <v>1991</v>
      </c>
      <c r="C13435">
        <v>97.74</v>
      </c>
      <c r="D13435">
        <v>106.25</v>
      </c>
      <c r="E13435">
        <v>106.24</v>
      </c>
      <c r="F13435">
        <v>0.01</v>
      </c>
    </row>
    <row r="13436" spans="1:6" x14ac:dyDescent="0.3">
      <c r="A13436" t="str">
        <f>HYPERLINK("https://us2.cloudbeds.com/connect/10074733072513#/reservations/31711569977527?display=MX2M3PT8K&amp;reservation_id=31711569977527", "MX2M3PT8K")</f>
        <v>MX2M3PT8K</v>
      </c>
      <c r="B13436" t="s">
        <v>1987</v>
      </c>
      <c r="C13436">
        <v>149</v>
      </c>
      <c r="D13436">
        <v>161.97</v>
      </c>
      <c r="E13436">
        <v>161.96</v>
      </c>
      <c r="F13436">
        <v>0.01</v>
      </c>
    </row>
    <row r="13437" spans="1:6" x14ac:dyDescent="0.3">
      <c r="A13437" t="str">
        <f>HYPERLINK("https://us2.cloudbeds.com/connect/10074733072513#/reservations/31712751931646?display=MX3JAEGJ4&amp;reservation_id=31712751931646", "MX3JAEGJ4")</f>
        <v>MX3JAEGJ4</v>
      </c>
      <c r="B13437" t="s">
        <v>1982</v>
      </c>
      <c r="C13437">
        <v>149</v>
      </c>
      <c r="D13437">
        <v>161.97</v>
      </c>
      <c r="E13437">
        <v>161.96</v>
      </c>
      <c r="F13437">
        <v>0.01</v>
      </c>
    </row>
    <row r="13438" spans="1:6" x14ac:dyDescent="0.3">
      <c r="A13438" t="str">
        <f>HYPERLINK("https://us2.cloudbeds.com/connect/10074733072513#/reservations/31711302324446?display=MX2F931G7&amp;reservation_id=31711302324446", "MX2F931G7")</f>
        <v>MX2F931G7</v>
      </c>
      <c r="B13438" t="s">
        <v>1994</v>
      </c>
      <c r="C13438">
        <v>129</v>
      </c>
      <c r="D13438">
        <v>140.22999999999999</v>
      </c>
      <c r="E13438">
        <v>140.22</v>
      </c>
      <c r="F13438">
        <v>0.01</v>
      </c>
    </row>
    <row r="13439" spans="1:6" x14ac:dyDescent="0.3">
      <c r="A13439" t="str">
        <f>HYPERLINK("https://us2.cloudbeds.com/connect/10074733072513#/reservations/31712563679479?display=MX3EGN3J0&amp;reservation_id=31712563679479", "MX3EGN3J0")</f>
        <v>MX3EGN3J0</v>
      </c>
      <c r="B13439" t="s">
        <v>1982</v>
      </c>
      <c r="C13439">
        <v>139</v>
      </c>
      <c r="D13439">
        <v>151.1</v>
      </c>
      <c r="E13439">
        <v>151.09</v>
      </c>
      <c r="F13439">
        <v>0.01</v>
      </c>
    </row>
    <row r="13440" spans="1:6" x14ac:dyDescent="0.3">
      <c r="A13440" t="str">
        <f>HYPERLINK("https://us2.cloudbeds.com/connect/10074733072513#/reservations/31712772845710?display=MX3JS2FDY&amp;reservation_id=31712772845710", "MX3JS2FDY")</f>
        <v>MX3JS2FDY</v>
      </c>
      <c r="B13440" t="s">
        <v>1982</v>
      </c>
      <c r="C13440">
        <v>129</v>
      </c>
      <c r="D13440">
        <v>140.22999999999999</v>
      </c>
      <c r="E13440">
        <v>140.22</v>
      </c>
      <c r="F13440">
        <v>0.01</v>
      </c>
    </row>
    <row r="13441" spans="1:6" x14ac:dyDescent="0.3">
      <c r="A13441" t="str">
        <f>HYPERLINK("https://us2.cloudbeds.com/connect/10074733072513#/reservations/31712047349942?display=MX31AAFPD&amp;reservation_id=31712047349942", "MX31AAFPD")</f>
        <v>MX31AAFPD</v>
      </c>
      <c r="B13441" t="s">
        <v>1991</v>
      </c>
      <c r="C13441">
        <v>189</v>
      </c>
      <c r="D13441">
        <v>205.45</v>
      </c>
      <c r="E13441">
        <v>205.44</v>
      </c>
      <c r="F13441">
        <v>0.01</v>
      </c>
    </row>
    <row r="13442" spans="1:6" x14ac:dyDescent="0.3">
      <c r="A13442" t="str">
        <f>HYPERLINK("https://us2.cloudbeds.com/connect/10074733072513#/reservations/31702953918618?display=MHSWVGBEE&amp;reservation_id=31702953918618", "MHSWVGBEE")</f>
        <v>MHSWVGBEE</v>
      </c>
      <c r="B13442" t="s">
        <v>1912</v>
      </c>
      <c r="C13442">
        <v>129</v>
      </c>
      <c r="D13442">
        <v>140.22999999999999</v>
      </c>
      <c r="E13442">
        <v>140.22</v>
      </c>
      <c r="F13442">
        <v>0.01</v>
      </c>
    </row>
    <row r="13443" spans="1:6" x14ac:dyDescent="0.3">
      <c r="A13443" t="str">
        <f>HYPERLINK("https://us2.cloudbeds.com/connect/10074733072513#/reservations/31710982570124?display=MX273FDHA&amp;reservation_id=31710982570124", "MX273FDHA")</f>
        <v>MX273FDHA</v>
      </c>
      <c r="B13443" t="s">
        <v>1992</v>
      </c>
      <c r="C13443">
        <v>129</v>
      </c>
      <c r="D13443">
        <v>140.22999999999999</v>
      </c>
      <c r="E13443">
        <v>140.22</v>
      </c>
      <c r="F13443">
        <v>0.01</v>
      </c>
    </row>
    <row r="13444" spans="1:6" x14ac:dyDescent="0.3">
      <c r="A13444" t="str">
        <f>HYPERLINK("https://us2.cloudbeds.com/connect/10074733072513#/reservations/31713521987828?display=MX45WPESU&amp;reservation_id=31713521987828", "MX45WPESU")</f>
        <v>MX45WPESU</v>
      </c>
      <c r="B13444" t="s">
        <v>1991</v>
      </c>
      <c r="C13444">
        <v>159</v>
      </c>
      <c r="D13444">
        <v>172.84</v>
      </c>
      <c r="E13444">
        <v>172.83</v>
      </c>
      <c r="F13444">
        <v>0.01</v>
      </c>
    </row>
    <row r="13445" spans="1:6" x14ac:dyDescent="0.3">
      <c r="A13445" t="str">
        <f>HYPERLINK("https://us2.cloudbeds.com/connect/10074733072513#/reservations/31701645848772?display=MHRWHGCC8&amp;reservation_id=31701645848772", "MHRWHGCC8")</f>
        <v>MHRWHGCC8</v>
      </c>
      <c r="B13445" t="s">
        <v>1964</v>
      </c>
      <c r="C13445">
        <v>221.72</v>
      </c>
      <c r="D13445">
        <v>241.02</v>
      </c>
      <c r="E13445">
        <v>241.01</v>
      </c>
      <c r="F13445">
        <v>0.01</v>
      </c>
    </row>
    <row r="13446" spans="1:6" x14ac:dyDescent="0.3">
      <c r="A13446" t="str">
        <f>HYPERLINK("https://us2.cloudbeds.com/connect/10074733072513#/reservations/31713271804079?display=MX3WJQNZ6&amp;reservation_id=31713271804079", "MX3WJQNZ6")</f>
        <v>MX3WJQNZ6</v>
      </c>
      <c r="B13446" t="s">
        <v>1991</v>
      </c>
      <c r="C13446">
        <v>169</v>
      </c>
      <c r="D13446">
        <v>183.71</v>
      </c>
      <c r="E13446">
        <v>183.7</v>
      </c>
      <c r="F13446">
        <v>0.01</v>
      </c>
    </row>
    <row r="13447" spans="1:6" x14ac:dyDescent="0.3">
      <c r="A13447" t="str">
        <f>HYPERLINK("https://us2.cloudbeds.com/connect/10074733072513#/reservations/31703201530108?display=MHT699GHU&amp;reservation_id=31703201530108", "MHT699GHU")</f>
        <v>MHT699GHU</v>
      </c>
      <c r="B13447" t="s">
        <v>1981</v>
      </c>
      <c r="C13447">
        <v>169</v>
      </c>
      <c r="D13447">
        <v>183.71</v>
      </c>
      <c r="E13447">
        <v>183.7</v>
      </c>
      <c r="F13447">
        <v>0.01</v>
      </c>
    </row>
    <row r="13448" spans="1:6" x14ac:dyDescent="0.3">
      <c r="A13448" t="str">
        <f>HYPERLINK("https://us2.cloudbeds.com/connect/10074733072513#/reservations/31711074906334?display=MX29FAQE9&amp;reservation_id=31711074906334", "MX29FAQE9")</f>
        <v>MX29FAQE9</v>
      </c>
      <c r="B13448" t="s">
        <v>1987</v>
      </c>
      <c r="C13448">
        <v>420</v>
      </c>
      <c r="D13448">
        <v>456.55</v>
      </c>
      <c r="E13448">
        <v>456.54</v>
      </c>
      <c r="F13448">
        <v>0.01</v>
      </c>
    </row>
    <row r="13449" spans="1:6" x14ac:dyDescent="0.3">
      <c r="A13449" t="str">
        <f>HYPERLINK("https://us2.cloudbeds.com/connect/10074733072513#/reservations/31712278671525?display=MX377CB9A&amp;reservation_id=31712278671525", "MX377CB9A")</f>
        <v>MX377CB9A</v>
      </c>
      <c r="B13449" t="s">
        <v>1968</v>
      </c>
      <c r="C13449">
        <v>89</v>
      </c>
      <c r="D13449">
        <v>96.75</v>
      </c>
      <c r="E13449">
        <v>96.74</v>
      </c>
      <c r="F13449">
        <v>0.01</v>
      </c>
    </row>
    <row r="13450" spans="1:6" x14ac:dyDescent="0.3">
      <c r="A13450" t="str">
        <f>HYPERLINK("https://us2.cloudbeds.com/connect/10074733072513#/reservations/31712280436943?display=MX378SFDS&amp;reservation_id=31712280436943", "MX378SFDS")</f>
        <v>MX378SFDS</v>
      </c>
      <c r="B13450" t="s">
        <v>1968</v>
      </c>
      <c r="C13450">
        <v>149</v>
      </c>
      <c r="D13450">
        <v>161.97</v>
      </c>
      <c r="E13450">
        <v>161.96</v>
      </c>
      <c r="F13450">
        <v>0.01</v>
      </c>
    </row>
    <row r="13451" spans="1:6" x14ac:dyDescent="0.3">
      <c r="A13451" t="str">
        <f>HYPERLINK("https://us2.cloudbeds.com/connect/10074733072513#/reservations/31702182088922?display=MHSD7M1XP&amp;reservation_id=31702182088922", "MHSD7M1XP")</f>
        <v>MHSD7M1XP</v>
      </c>
      <c r="B13451" t="s">
        <v>1981</v>
      </c>
      <c r="C13451">
        <v>238</v>
      </c>
      <c r="D13451">
        <v>258.72000000000003</v>
      </c>
      <c r="E13451">
        <v>258.70999999999998</v>
      </c>
      <c r="F13451">
        <v>0.01</v>
      </c>
    </row>
    <row r="13452" spans="1:6" x14ac:dyDescent="0.3">
      <c r="A13452" t="str">
        <f>HYPERLINK("https://us2.cloudbeds.com/connect/10074733072513#/reservations/31711124648122?display=MX2AZ8V06&amp;reservation_id=31711124648122", "MX2AZ8V06")</f>
        <v>MX2AZ8V06</v>
      </c>
      <c r="B13452" t="s">
        <v>1997</v>
      </c>
      <c r="C13452">
        <v>258</v>
      </c>
      <c r="D13452">
        <v>280.45999999999998</v>
      </c>
      <c r="E13452">
        <v>280.45</v>
      </c>
      <c r="F13452">
        <v>0.01</v>
      </c>
    </row>
    <row r="13453" spans="1:6" x14ac:dyDescent="0.3">
      <c r="A13453" t="str">
        <f>HYPERLINK("https://us2.cloudbeds.com/connect/10074733072513#/reservations/31712292679839?display=MX37J64ZN&amp;reservation_id=31712292679839", "MX37J64ZN")</f>
        <v>MX37J64ZN</v>
      </c>
      <c r="B13453" t="s">
        <v>1968</v>
      </c>
      <c r="C13453">
        <v>159</v>
      </c>
      <c r="D13453">
        <v>172.84</v>
      </c>
      <c r="E13453">
        <v>172.83</v>
      </c>
      <c r="F13453">
        <v>0.01</v>
      </c>
    </row>
    <row r="13454" spans="1:6" x14ac:dyDescent="0.3">
      <c r="A13454" t="str">
        <f>HYPERLINK("https://us2.cloudbeds.com/connect/10074733072513#/reservations/31711535890595?display=MX2Y81C4A&amp;reservation_id=31711535890595", "MX2Y81C4A")</f>
        <v>MX2Y81C4A</v>
      </c>
      <c r="B13454" t="s">
        <v>1996</v>
      </c>
      <c r="C13454">
        <v>221.72</v>
      </c>
      <c r="D13454">
        <v>241.02</v>
      </c>
      <c r="E13454">
        <v>241.01</v>
      </c>
      <c r="F13454">
        <v>0.01</v>
      </c>
    </row>
    <row r="13455" spans="1:6" x14ac:dyDescent="0.3">
      <c r="A13455" t="str">
        <f>HYPERLINK("https://us2.cloudbeds.com/connect/10074733072513#/reservations/31711487762612?display=MX2K0F4FJ&amp;reservation_id=31711487762612", "MX2K0F4FJ")</f>
        <v>MX2K0F4FJ</v>
      </c>
      <c r="B13455" t="s">
        <v>1994</v>
      </c>
      <c r="C13455">
        <v>89</v>
      </c>
      <c r="D13455">
        <v>96.75</v>
      </c>
      <c r="E13455">
        <v>96.74</v>
      </c>
      <c r="F13455">
        <v>0.01</v>
      </c>
    </row>
    <row r="13456" spans="1:6" x14ac:dyDescent="0.3">
      <c r="A13456" t="str">
        <f>HYPERLINK("https://us2.cloudbeds.com/connect/10074733072513#/reservations/31711478427801?display=MX2JPJCXH&amp;reservation_id=31711478427801", "MX2JPJCXH")</f>
        <v>MX2JPJCXH</v>
      </c>
      <c r="B13456" t="s">
        <v>1994</v>
      </c>
      <c r="C13456">
        <v>149</v>
      </c>
      <c r="D13456">
        <v>161.97</v>
      </c>
      <c r="E13456">
        <v>161.96</v>
      </c>
      <c r="F13456">
        <v>0.01</v>
      </c>
    </row>
    <row r="13457" spans="1:6" x14ac:dyDescent="0.3">
      <c r="A13457" t="str">
        <f>HYPERLINK("https://us2.cloudbeds.com/connect/10074733072513#/reservations/31702835785932?display=MHSTUT4A2&amp;reservation_id=31702835785932", "MHSTUT4A2")</f>
        <v>MHSTUT4A2</v>
      </c>
      <c r="B13457" t="s">
        <v>1985</v>
      </c>
      <c r="C13457">
        <v>89</v>
      </c>
      <c r="D13457">
        <v>96.75</v>
      </c>
      <c r="E13457">
        <v>96.74</v>
      </c>
      <c r="F13457">
        <v>0.01</v>
      </c>
    </row>
    <row r="13458" spans="1:6" x14ac:dyDescent="0.3">
      <c r="A13458" t="str">
        <f>HYPERLINK("https://us2.cloudbeds.com/connect/10074733072513#/reservations/31711476965610?display=MX2JZBMSN&amp;reservation_id=31711476965610", "MX2JZBMSN")</f>
        <v>MX2JZBMSN</v>
      </c>
      <c r="B13458" t="s">
        <v>1994</v>
      </c>
      <c r="C13458">
        <v>149</v>
      </c>
      <c r="D13458">
        <v>161.97</v>
      </c>
      <c r="E13458">
        <v>161.96</v>
      </c>
      <c r="F13458">
        <v>0.01</v>
      </c>
    </row>
    <row r="13459" spans="1:6" x14ac:dyDescent="0.3">
      <c r="A13459" t="str">
        <f>HYPERLINK("https://us2.cloudbeds.com/connect/10074733072513#/reservations/31712231694492?display=MX360P4GT&amp;reservation_id=31712231694492", "MX360P4GT")</f>
        <v>MX360P4GT</v>
      </c>
      <c r="B13459" t="s">
        <v>1968</v>
      </c>
      <c r="C13459">
        <v>149</v>
      </c>
      <c r="D13459">
        <v>161.97</v>
      </c>
      <c r="E13459">
        <v>161.96</v>
      </c>
      <c r="F13459">
        <v>0.01</v>
      </c>
    </row>
    <row r="13460" spans="1:6" x14ac:dyDescent="0.3">
      <c r="A13460" t="str">
        <f>HYPERLINK("https://us2.cloudbeds.com/connect/10074733072513#/reservations/31711460712648?display=MX2JAYE6N&amp;reservation_id=31711460712648", "MX2JAYE6N")</f>
        <v>MX2JAYE6N</v>
      </c>
      <c r="B13460" t="s">
        <v>1994</v>
      </c>
      <c r="C13460">
        <v>149</v>
      </c>
      <c r="D13460">
        <v>161.97</v>
      </c>
      <c r="E13460">
        <v>161.96</v>
      </c>
      <c r="F13460">
        <v>0.01</v>
      </c>
    </row>
    <row r="13461" spans="1:6" x14ac:dyDescent="0.3">
      <c r="A13461" t="str">
        <f>HYPERLINK("https://us2.cloudbeds.com/connect/10074733072513#/reservations/31711434911932?display=MX2XYTG2R&amp;reservation_id=31711434911932", "MX2XYTG2R")</f>
        <v>MX2XYTG2R</v>
      </c>
      <c r="B13461" t="s">
        <v>1994</v>
      </c>
      <c r="C13461">
        <v>149</v>
      </c>
      <c r="D13461">
        <v>161.97</v>
      </c>
      <c r="E13461">
        <v>161.96</v>
      </c>
      <c r="F13461">
        <v>0.01</v>
      </c>
    </row>
    <row r="13462" spans="1:6" x14ac:dyDescent="0.3">
      <c r="A13462" t="str">
        <f>HYPERLINK("https://us2.cloudbeds.com/connect/10074733072513#/reservations/31711293927598?display=MX2F20CT9&amp;reservation_id=31711293927598", "MX2F20CT9")</f>
        <v>MX2F20CT9</v>
      </c>
      <c r="B13462" t="s">
        <v>1995</v>
      </c>
      <c r="C13462">
        <v>73</v>
      </c>
      <c r="D13462">
        <v>79.36</v>
      </c>
      <c r="E13462">
        <v>79.349999999999994</v>
      </c>
      <c r="F13462">
        <v>0.01</v>
      </c>
    </row>
    <row r="13463" spans="1:6" x14ac:dyDescent="0.3">
      <c r="A13463" t="str">
        <f>HYPERLINK("https://us2.cloudbeds.com/connect/10074733072513#/reservations/31703044255918?display=MHT28M3QC&amp;reservation_id=31703044255918", "MHT28M3QC")</f>
        <v>MHT28M3QC</v>
      </c>
      <c r="B13463" t="s">
        <v>1998</v>
      </c>
      <c r="C13463">
        <v>178</v>
      </c>
      <c r="D13463">
        <v>193.5</v>
      </c>
      <c r="E13463">
        <v>193.49</v>
      </c>
      <c r="F13463">
        <v>0.01</v>
      </c>
    </row>
    <row r="13464" spans="1:6" x14ac:dyDescent="0.3">
      <c r="A13464" t="str">
        <f>HYPERLINK("https://us2.cloudbeds.com/connect/10074733072513#/reservations/31711376674946?display=MX2H5PVJM&amp;reservation_id=31711376674946", "MX2H5PVJM")</f>
        <v>MX2H5PVJM</v>
      </c>
      <c r="B13464" t="s">
        <v>1990</v>
      </c>
      <c r="C13464">
        <v>418</v>
      </c>
      <c r="D13464">
        <v>454.38</v>
      </c>
      <c r="E13464">
        <v>454.37</v>
      </c>
      <c r="F13464">
        <v>0.01</v>
      </c>
    </row>
    <row r="13465" spans="1:6" x14ac:dyDescent="0.3">
      <c r="A13465" t="str">
        <f>HYPERLINK("https://us2.cloudbeds.com/connect/10074733072513#/reservations/31711033782439?display=MX28DYFEY&amp;reservation_id=31711033782439", "MX28DYFEY")</f>
        <v>MX28DYFEY</v>
      </c>
      <c r="B13465" t="s">
        <v>1987</v>
      </c>
      <c r="C13465">
        <v>252</v>
      </c>
      <c r="D13465">
        <v>273.93</v>
      </c>
      <c r="E13465">
        <v>273.92</v>
      </c>
      <c r="F13465">
        <v>0.01</v>
      </c>
    </row>
    <row r="13466" spans="1:6" x14ac:dyDescent="0.3">
      <c r="A13466" t="str">
        <f>HYPERLINK("https://us2.cloudbeds.com/connect/10074733072513#/reservations/31711478661251?display=MX2JPPSUP&amp;reservation_id=31711478661251", "MX2JPPSUP")</f>
        <v>MX2JPPSUP</v>
      </c>
      <c r="B13466" t="s">
        <v>1987</v>
      </c>
      <c r="C13466">
        <v>219.92</v>
      </c>
      <c r="D13466">
        <v>239.06</v>
      </c>
      <c r="E13466">
        <v>239.05</v>
      </c>
      <c r="F13466">
        <v>0.01</v>
      </c>
    </row>
    <row r="13467" spans="1:6" x14ac:dyDescent="0.3">
      <c r="A13467" t="str">
        <f>HYPERLINK("https://us2.cloudbeds.com/connect/10074733072513#/reservations/31711249776879?display=MX2DUPREN&amp;reservation_id=31711249776879", "MX2DUPREN")</f>
        <v>MX2DUPREN</v>
      </c>
      <c r="B13467" t="s">
        <v>1995</v>
      </c>
      <c r="C13467">
        <v>149</v>
      </c>
      <c r="D13467">
        <v>161.97</v>
      </c>
      <c r="E13467">
        <v>161.96</v>
      </c>
      <c r="F13467">
        <v>0.01</v>
      </c>
    </row>
    <row r="13468" spans="1:6" x14ac:dyDescent="0.3">
      <c r="A13468" t="str">
        <f>HYPERLINK("https://us2.cloudbeds.com/connect/10074733072513#/reservations/31711706968316?display=MX2PK9S9M&amp;reservation_id=31711706968316", "MX2PK9S9M")</f>
        <v>MX2PK9S9M</v>
      </c>
      <c r="B13468" t="s">
        <v>1996</v>
      </c>
      <c r="C13468">
        <v>149</v>
      </c>
      <c r="D13468">
        <v>161.97</v>
      </c>
      <c r="E13468">
        <v>161.96</v>
      </c>
      <c r="F13468">
        <v>0.01</v>
      </c>
    </row>
    <row r="13469" spans="1:6" x14ac:dyDescent="0.3">
      <c r="A13469" t="str">
        <f>HYPERLINK("https://us2.cloudbeds.com/connect/10074733072513#/reservations/31711224840393?display=MX2D9ZUUJ&amp;reservation_id=31711224840393", "MX2D9ZUUJ")</f>
        <v>MX2D9ZUUJ</v>
      </c>
      <c r="B13469" t="s">
        <v>1994</v>
      </c>
      <c r="C13469">
        <v>179</v>
      </c>
      <c r="D13469">
        <v>194.58</v>
      </c>
      <c r="E13469">
        <v>194.57</v>
      </c>
      <c r="F13469">
        <v>0.01</v>
      </c>
    </row>
    <row r="13470" spans="1:6" x14ac:dyDescent="0.3">
      <c r="A13470" t="str">
        <f>HYPERLINK("https://us2.cloudbeds.com/connect/10074733072513#/reservations/31711397302467?display=MX2HN5VA2&amp;reservation_id=31711397302467", "MX2HN5VA2")</f>
        <v>MX2HN5VA2</v>
      </c>
      <c r="B13470" t="s">
        <v>1990</v>
      </c>
      <c r="C13470">
        <v>378</v>
      </c>
      <c r="D13470">
        <v>410.9</v>
      </c>
      <c r="E13470">
        <v>410.89</v>
      </c>
      <c r="F13470">
        <v>0.01</v>
      </c>
    </row>
    <row r="13471" spans="1:6" x14ac:dyDescent="0.3">
      <c r="A13471" t="str">
        <f>HYPERLINK("https://us2.cloudbeds.com/connect/10074733072513#/reservations/31711304409216?display=MX2FARV5T&amp;reservation_id=31711304409216", "MX2FARV5T")</f>
        <v>MX2FARV5T</v>
      </c>
      <c r="B13471" t="s">
        <v>1995</v>
      </c>
      <c r="C13471">
        <v>149</v>
      </c>
      <c r="D13471">
        <v>161.97</v>
      </c>
      <c r="E13471">
        <v>161.96</v>
      </c>
      <c r="F13471">
        <v>0.01</v>
      </c>
    </row>
    <row r="13472" spans="1:6" x14ac:dyDescent="0.3">
      <c r="A13472" t="str">
        <f>HYPERLINK("https://us2.cloudbeds.com/connect/10074733072513#/reservations/31711416516802?display=MX2X6CKAY&amp;reservation_id=31711416516802", "MX2X6CKAY")</f>
        <v>MX2X6CKAY</v>
      </c>
      <c r="B13472" t="s">
        <v>1996</v>
      </c>
      <c r="C13472">
        <v>169</v>
      </c>
      <c r="D13472">
        <v>183.71</v>
      </c>
      <c r="E13472">
        <v>183.7</v>
      </c>
      <c r="F13472">
        <v>0.01</v>
      </c>
    </row>
    <row r="13473" spans="1:6" x14ac:dyDescent="0.3">
      <c r="A13473" t="str">
        <f>HYPERLINK("https://us2.cloudbeds.com/connect/10074733072513#/reservations/31700918255853?display=MHRDUW0VW&amp;reservation_id=31700918255853", "MHRDUW0VW")</f>
        <v>MHRDUW0VW</v>
      </c>
      <c r="B13473" t="s">
        <v>1788</v>
      </c>
      <c r="C13473">
        <v>318</v>
      </c>
      <c r="D13473">
        <v>345.68</v>
      </c>
      <c r="E13473">
        <v>345.67</v>
      </c>
      <c r="F13473">
        <v>0.01</v>
      </c>
    </row>
    <row r="13474" spans="1:6" x14ac:dyDescent="0.3">
      <c r="A13474" t="str">
        <f>HYPERLINK("https://us2.cloudbeds.com/connect/10074733072513#/reservations/31700933464229?display=MHREAQ7DS&amp;reservation_id=31700933464229", "MHREAQ7DS")</f>
        <v>MHREAQ7DS</v>
      </c>
      <c r="B13474" t="s">
        <v>1788</v>
      </c>
      <c r="C13474">
        <v>318</v>
      </c>
      <c r="D13474">
        <v>345.68</v>
      </c>
      <c r="E13474">
        <v>345.67</v>
      </c>
      <c r="F13474">
        <v>0.01</v>
      </c>
    </row>
    <row r="13475" spans="1:6" x14ac:dyDescent="0.3">
      <c r="A13475" t="str">
        <f>HYPERLINK("https://us2.cloudbeds.com/connect/10074733072513#/reservations/31711049642209?display=MX28R0Q1Z&amp;reservation_id=31711049642209", "MX28R0Q1Z")</f>
        <v>MX28R0Q1Z</v>
      </c>
      <c r="B13475" t="s">
        <v>1987</v>
      </c>
      <c r="C13475">
        <v>129</v>
      </c>
      <c r="D13475">
        <v>140.22999999999999</v>
      </c>
      <c r="E13475">
        <v>140.22</v>
      </c>
      <c r="F13475">
        <v>0.01</v>
      </c>
    </row>
    <row r="13476" spans="1:6" x14ac:dyDescent="0.3">
      <c r="A13476" t="str">
        <f>HYPERLINK("https://us2.cloudbeds.com/connect/10074733072513#/reservations/31711773556892?display=MX2RAEPRA&amp;reservation_id=31711773556892", "MX2RAEPRA")</f>
        <v>MX2RAEPRA</v>
      </c>
      <c r="B13476" t="s">
        <v>1995</v>
      </c>
      <c r="C13476">
        <v>169</v>
      </c>
      <c r="D13476">
        <v>183.71</v>
      </c>
      <c r="E13476">
        <v>183.7</v>
      </c>
      <c r="F13476">
        <v>0.01</v>
      </c>
    </row>
    <row r="13477" spans="1:6" x14ac:dyDescent="0.3">
      <c r="A13477" t="str">
        <f>HYPERLINK("https://us2.cloudbeds.com/connect/10074733072513#/reservations/31711496093947?display=MX2K7FVU9&amp;reservation_id=31711496093947", "MX2K7FVU9")</f>
        <v>MX2K7FVU9</v>
      </c>
      <c r="B13477" t="s">
        <v>1996</v>
      </c>
      <c r="C13477">
        <v>179</v>
      </c>
      <c r="D13477">
        <v>194.58</v>
      </c>
      <c r="E13477">
        <v>194.57</v>
      </c>
      <c r="F13477">
        <v>0.01</v>
      </c>
    </row>
    <row r="13478" spans="1:6" x14ac:dyDescent="0.3">
      <c r="A13478" t="str">
        <f>HYPERLINK("https://us2.cloudbeds.com/connect/10074733072513#/reservations/31711051722884?display=MX28SPMMG&amp;reservation_id=31711051722884", "MX28SPMMG")</f>
        <v>MX28SPMMG</v>
      </c>
      <c r="B13478" t="s">
        <v>1993</v>
      </c>
      <c r="C13478">
        <v>321.3</v>
      </c>
      <c r="D13478">
        <v>349.26</v>
      </c>
      <c r="E13478">
        <v>349.25</v>
      </c>
      <c r="F13478">
        <v>0.01</v>
      </c>
    </row>
    <row r="13479" spans="1:6" x14ac:dyDescent="0.3">
      <c r="A13479" t="str">
        <f>HYPERLINK("https://us2.cloudbeds.com/connect/10074733072513#/reservations/31711059321077?display=MX29263TP&amp;reservation_id=31711059321077", "MX29263TP")</f>
        <v>MX29263TP</v>
      </c>
      <c r="B13479" t="s">
        <v>1987</v>
      </c>
      <c r="C13479">
        <v>149</v>
      </c>
      <c r="D13479">
        <v>161.97</v>
      </c>
      <c r="E13479">
        <v>161.96</v>
      </c>
      <c r="F13479">
        <v>0.01</v>
      </c>
    </row>
    <row r="13480" spans="1:6" x14ac:dyDescent="0.3">
      <c r="A13480" t="str">
        <f>HYPERLINK("https://us2.cloudbeds.com/connect/10074733072513#/reservations/31703161520341?display=MHT58X5KZ&amp;reservation_id=31703161520341", "MHT58X5KZ")</f>
        <v>MHT58X5KZ</v>
      </c>
      <c r="B13480" t="s">
        <v>1981</v>
      </c>
      <c r="C13480">
        <v>199</v>
      </c>
      <c r="D13480">
        <v>216.32</v>
      </c>
      <c r="E13480">
        <v>216.31</v>
      </c>
      <c r="F13480">
        <v>0.01</v>
      </c>
    </row>
    <row r="13481" spans="1:6" x14ac:dyDescent="0.3">
      <c r="A13481" t="str">
        <f>HYPERLINK("https://us2.cloudbeds.com/connect/10074733072513#/reservations/31711505932494?display=MX2KFPZCW&amp;reservation_id=31711505932494", "MX2KFPZCW")</f>
        <v>MX2KFPZCW</v>
      </c>
      <c r="B13481" t="s">
        <v>1987</v>
      </c>
      <c r="C13481">
        <v>149</v>
      </c>
      <c r="D13481">
        <v>161.97</v>
      </c>
      <c r="E13481">
        <v>161.96</v>
      </c>
      <c r="F13481">
        <v>0.01</v>
      </c>
    </row>
    <row r="13482" spans="1:6" x14ac:dyDescent="0.3">
      <c r="A13482" t="str">
        <f>HYPERLINK("https://us2.cloudbeds.com/connect/10074733072513#/reservations/31711525625999?display=MX2KWCZDV&amp;reservation_id=31711525625999", "MX2KWCZDV")</f>
        <v>MX2KWCZDV</v>
      </c>
      <c r="B13482" t="s">
        <v>1996</v>
      </c>
      <c r="C13482">
        <v>169</v>
      </c>
      <c r="D13482">
        <v>183.71</v>
      </c>
      <c r="E13482">
        <v>183.7</v>
      </c>
      <c r="F13482">
        <v>0.01</v>
      </c>
    </row>
    <row r="13483" spans="1:6" x14ac:dyDescent="0.3">
      <c r="A13483" t="str">
        <f>HYPERLINK("https://us2.cloudbeds.com/connect/10074733072513#/reservations/31701648507121?display=MHRWJZBF9&amp;reservation_id=31701648507121", "MHRWJZBF9")</f>
        <v>MHRWJZBF9</v>
      </c>
      <c r="B13483" t="s">
        <v>1916</v>
      </c>
      <c r="C13483">
        <v>209</v>
      </c>
      <c r="D13483">
        <v>227.19</v>
      </c>
      <c r="E13483">
        <v>227.18</v>
      </c>
      <c r="F13483">
        <v>0.01</v>
      </c>
    </row>
    <row r="13484" spans="1:6" x14ac:dyDescent="0.3">
      <c r="A13484" t="str">
        <f>HYPERLINK("https://us2.cloudbeds.com/connect/10074733072513#/reservations/31711350816919?display=MX2GGWDS2&amp;reservation_id=31711350816919", "MX2GGWDS2")</f>
        <v>MX2GGWDS2</v>
      </c>
      <c r="B13484" t="s">
        <v>1990</v>
      </c>
      <c r="C13484">
        <v>149</v>
      </c>
      <c r="D13484">
        <v>161.97</v>
      </c>
      <c r="E13484">
        <v>161.96</v>
      </c>
      <c r="F13484">
        <v>0.01</v>
      </c>
    </row>
    <row r="13485" spans="1:6" x14ac:dyDescent="0.3">
      <c r="A13485" t="str">
        <f>HYPERLINK("https://us2.cloudbeds.com/connect/10074733072513#/reservations/31711520542954?display=MX2KS39Q9&amp;reservation_id=31711520542954", "MX2KS39Q9")</f>
        <v>MX2KS39Q9</v>
      </c>
      <c r="B13485" t="s">
        <v>1987</v>
      </c>
      <c r="C13485">
        <v>298</v>
      </c>
      <c r="D13485">
        <v>323.94</v>
      </c>
      <c r="E13485">
        <v>323.93</v>
      </c>
      <c r="F13485">
        <v>0.01</v>
      </c>
    </row>
    <row r="13486" spans="1:6" x14ac:dyDescent="0.3">
      <c r="A13486" t="str">
        <f>HYPERLINK("https://us2.cloudbeds.com/connect/10074733072513#/reservations/31702571188354?display=MHSN5PAAY&amp;reservation_id=31702571188354", "MHSN5PAAY")</f>
        <v>MHSN5PAAY</v>
      </c>
      <c r="B13486" t="s">
        <v>1988</v>
      </c>
      <c r="C13486">
        <v>420</v>
      </c>
      <c r="D13486">
        <v>456.55</v>
      </c>
      <c r="E13486">
        <v>456.54</v>
      </c>
      <c r="F13486">
        <v>0.01</v>
      </c>
    </row>
    <row r="13487" spans="1:6" x14ac:dyDescent="0.3">
      <c r="A13487" t="str">
        <f>HYPERLINK("https://us2.cloudbeds.com/connect/10074733072513#/reservations/31702556926169?display=MHSMQZEZ7&amp;reservation_id=31702556926169", "MHSMQZEZ7")</f>
        <v>MHSMQZEZ7</v>
      </c>
      <c r="B13487" t="s">
        <v>1917</v>
      </c>
      <c r="C13487">
        <v>159</v>
      </c>
      <c r="D13487">
        <v>172.84</v>
      </c>
      <c r="E13487">
        <v>172.83</v>
      </c>
      <c r="F13487">
        <v>0.01</v>
      </c>
    </row>
    <row r="13488" spans="1:6" x14ac:dyDescent="0.3">
      <c r="A13488" t="str">
        <f>HYPERLINK("https://us2.cloudbeds.com/connect/10074733072513#/reservations/31711067050123?display=MX298N699&amp;reservation_id=31711067050123", "MX298N699")</f>
        <v>MX298N699</v>
      </c>
      <c r="B13488" t="s">
        <v>1987</v>
      </c>
      <c r="C13488">
        <v>149</v>
      </c>
      <c r="D13488">
        <v>161.97</v>
      </c>
      <c r="E13488">
        <v>161.96</v>
      </c>
      <c r="F13488">
        <v>0.01</v>
      </c>
    </row>
    <row r="13489" spans="1:6" x14ac:dyDescent="0.3">
      <c r="A13489" t="str">
        <f>HYPERLINK("https://us2.cloudbeds.com/connect/10074733072513#/reservations/31702458855630?display=MHSKA1G4N&amp;reservation_id=31702458855630", "MHSKA1G4N")</f>
        <v>MHSKA1G4N</v>
      </c>
      <c r="B13489" t="s">
        <v>1988</v>
      </c>
      <c r="C13489">
        <v>336</v>
      </c>
      <c r="D13489">
        <v>365.24</v>
      </c>
      <c r="E13489">
        <v>365.23</v>
      </c>
      <c r="F13489">
        <v>0.01</v>
      </c>
    </row>
    <row r="13490" spans="1:6" x14ac:dyDescent="0.3">
      <c r="A13490" t="str">
        <f>HYPERLINK("https://us2.cloudbeds.com/connect/10074733072513#/reservations/31711124316304?display=MX2ANWNA3&amp;reservation_id=31711124316304", "MX2ANWNA3")</f>
        <v>MX2ANWNA3</v>
      </c>
      <c r="B13490" t="s">
        <v>1993</v>
      </c>
      <c r="C13490">
        <v>209</v>
      </c>
      <c r="D13490">
        <v>227.19</v>
      </c>
      <c r="E13490">
        <v>227.18</v>
      </c>
      <c r="F13490">
        <v>0.01</v>
      </c>
    </row>
    <row r="13491" spans="1:6" x14ac:dyDescent="0.3">
      <c r="A13491" t="str">
        <f>HYPERLINK("https://us2.cloudbeds.com/connect/10074733072513#/reservations/31710864224489?display=MX242M8RV&amp;reservation_id=31710864224489", "MX242M8RV")</f>
        <v>MX242M8RV</v>
      </c>
      <c r="B13491" t="s">
        <v>1697</v>
      </c>
      <c r="C13491">
        <v>418</v>
      </c>
      <c r="D13491">
        <v>454.38</v>
      </c>
      <c r="E13491">
        <v>454.37</v>
      </c>
      <c r="F13491">
        <v>0.01</v>
      </c>
    </row>
    <row r="13492" spans="1:6" x14ac:dyDescent="0.3">
      <c r="A13492" t="str">
        <f>HYPERLINK("https://us2.cloudbeds.com/connect/10074733072513#/reservations/31711025922254?display=MX2870ZY7&amp;reservation_id=31711025922254", "MX2870ZY7")</f>
        <v>MX2870ZY7</v>
      </c>
      <c r="B13492" t="s">
        <v>2000</v>
      </c>
      <c r="C13492">
        <v>99</v>
      </c>
      <c r="D13492">
        <v>107.62</v>
      </c>
      <c r="E13492">
        <v>107.61</v>
      </c>
      <c r="F13492">
        <v>0.01</v>
      </c>
    </row>
    <row r="13493" spans="1:6" x14ac:dyDescent="0.3">
      <c r="A13493" t="str">
        <f>HYPERLINK("https://us2.cloudbeds.com/connect/10074733072513#/reservations/31702480199822?display=MHSKS1DVD&amp;reservation_id=31702480199822", "MHSKS1DVD")</f>
        <v>MHSKS1DVD</v>
      </c>
      <c r="B13493" t="s">
        <v>1947</v>
      </c>
      <c r="C13493">
        <v>378</v>
      </c>
      <c r="D13493">
        <v>410.9</v>
      </c>
      <c r="E13493">
        <v>410.89</v>
      </c>
      <c r="F13493">
        <v>0.01</v>
      </c>
    </row>
    <row r="13494" spans="1:6" x14ac:dyDescent="0.3">
      <c r="A13494" t="str">
        <f>HYPERLINK("https://us2.cloudbeds.com/connect/10074733072513#/reservations/31711132090598?display=MX2AUX17P&amp;reservation_id=31711132090598", "MX2AUX17P")</f>
        <v>MX2AUX17P</v>
      </c>
      <c r="B13494" t="s">
        <v>1993</v>
      </c>
      <c r="C13494">
        <v>229</v>
      </c>
      <c r="D13494">
        <v>248.93</v>
      </c>
      <c r="E13494">
        <v>248.92</v>
      </c>
      <c r="F13494">
        <v>0.01</v>
      </c>
    </row>
    <row r="13495" spans="1:6" x14ac:dyDescent="0.3">
      <c r="A13495" t="str">
        <f>HYPERLINK("https://us2.cloudbeds.com/connect/10074733072513#/reservations/31702722617578?display=MHSR1F1Q0&amp;reservation_id=31702722617578", "MHSR1F1Q0")</f>
        <v>MHSR1F1Q0</v>
      </c>
      <c r="B13495" t="s">
        <v>2002</v>
      </c>
      <c r="C13495">
        <v>329.88</v>
      </c>
      <c r="D13495">
        <v>358.59</v>
      </c>
      <c r="E13495">
        <v>358.58</v>
      </c>
      <c r="F13495">
        <v>0.01</v>
      </c>
    </row>
    <row r="13496" spans="1:6" x14ac:dyDescent="0.3">
      <c r="A13496" t="str">
        <f>HYPERLINK("https://us2.cloudbeds.com/connect/10074733072513#/reservations/31710832046285?display=MX238HSES&amp;reservation_id=31710832046285", "MX238HSES")</f>
        <v>MX238HSES</v>
      </c>
      <c r="B13496" t="s">
        <v>1697</v>
      </c>
      <c r="C13496">
        <v>219</v>
      </c>
      <c r="D13496">
        <v>238.06</v>
      </c>
      <c r="E13496">
        <v>238.05</v>
      </c>
      <c r="F13496">
        <v>0.01</v>
      </c>
    </row>
    <row r="13497" spans="1:6" x14ac:dyDescent="0.3">
      <c r="A13497" t="str">
        <f>HYPERLINK("https://us2.cloudbeds.com/connect/10074733072513#/reservations/31711406768286?display=MX2HV5BH2&amp;reservation_id=31711406768286", "MX2HV5BH2")</f>
        <v>MX2HV5BH2</v>
      </c>
      <c r="B13497" t="s">
        <v>1990</v>
      </c>
      <c r="C13497">
        <v>149</v>
      </c>
      <c r="D13497">
        <v>161.97</v>
      </c>
      <c r="E13497">
        <v>161.96</v>
      </c>
      <c r="F13497">
        <v>0.01</v>
      </c>
    </row>
    <row r="13498" spans="1:6" x14ac:dyDescent="0.3">
      <c r="A13498" t="str">
        <f>HYPERLINK("https://us2.cloudbeds.com/connect/10074733072513#/reservations/31711345381629?display=MX2GCD5PB&amp;reservation_id=31711345381629", "MX2GCD5PB")</f>
        <v>MX2GCD5PB</v>
      </c>
      <c r="B13498" t="s">
        <v>1990</v>
      </c>
      <c r="C13498">
        <v>149</v>
      </c>
      <c r="D13498">
        <v>161.97</v>
      </c>
      <c r="E13498">
        <v>161.96</v>
      </c>
      <c r="F13498">
        <v>0.01</v>
      </c>
    </row>
    <row r="13499" spans="1:6" x14ac:dyDescent="0.3">
      <c r="A13499" t="str">
        <f>HYPERLINK("https://us2.cloudbeds.com/connect/10074733072513#/reservations/31701745840288?display=MHS22QPV6&amp;reservation_id=31701745840288", "MHS22QPV6")</f>
        <v>MHS22QPV6</v>
      </c>
      <c r="B13499" t="s">
        <v>1988</v>
      </c>
      <c r="C13499">
        <v>1000.8</v>
      </c>
      <c r="D13499">
        <v>1087.8800000000001</v>
      </c>
      <c r="E13499">
        <v>1087.8699999999999</v>
      </c>
      <c r="F13499">
        <v>0.01</v>
      </c>
    </row>
    <row r="13500" spans="1:6" x14ac:dyDescent="0.3">
      <c r="A13500" t="str">
        <f>HYPERLINK("https://us2.cloudbeds.com/connect/10074733072513#/reservations/31710873940119?display=MX24ASKEW&amp;reservation_id=31710873940119", "MX24ASKEW")</f>
        <v>MX24ASKEW</v>
      </c>
      <c r="B13500" t="s">
        <v>1990</v>
      </c>
      <c r="C13500">
        <v>149</v>
      </c>
      <c r="D13500">
        <v>161.97</v>
      </c>
      <c r="E13500">
        <v>161.96</v>
      </c>
      <c r="F13500">
        <v>0.01</v>
      </c>
    </row>
    <row r="13501" spans="1:6" x14ac:dyDescent="0.3">
      <c r="A13501" t="str">
        <f>HYPERLINK("https://us2.cloudbeds.com/connect/10074733072513#/reservations/31703177429184?display=MHT5FDY63&amp;reservation_id=31703177429184", "MHT5FDY63")</f>
        <v>MHT5FDY63</v>
      </c>
      <c r="B13501" t="s">
        <v>1947</v>
      </c>
      <c r="C13501">
        <v>219</v>
      </c>
      <c r="D13501">
        <v>238.06</v>
      </c>
      <c r="E13501">
        <v>238.05</v>
      </c>
      <c r="F13501">
        <v>0.01</v>
      </c>
    </row>
    <row r="13502" spans="1:6" x14ac:dyDescent="0.3">
      <c r="A13502" t="str">
        <f>HYPERLINK("https://us2.cloudbeds.com/connect/10074733072513#/reservations/31702901813466?display=MHSVKXEYE&amp;reservation_id=31702901813466", "MHSVKXEYE")</f>
        <v>MHSVKXEYE</v>
      </c>
      <c r="B13502" t="s">
        <v>1981</v>
      </c>
      <c r="C13502">
        <v>159</v>
      </c>
      <c r="D13502">
        <v>172.84</v>
      </c>
      <c r="E13502">
        <v>172.83</v>
      </c>
      <c r="F13502">
        <v>0.01</v>
      </c>
    </row>
    <row r="13503" spans="1:6" x14ac:dyDescent="0.3">
      <c r="A13503" t="str">
        <f>HYPERLINK("https://us2.cloudbeds.com/connect/10074733072513#/reservations/31702543831287?display=MHSMFN21K&amp;reservation_id=31702543831287", "MHSMFN21K")</f>
        <v>MHSMFN21K</v>
      </c>
      <c r="B13503" t="s">
        <v>1916</v>
      </c>
      <c r="C13503">
        <v>84.5</v>
      </c>
      <c r="D13503">
        <v>91.86</v>
      </c>
      <c r="E13503">
        <v>91.85</v>
      </c>
      <c r="F13503">
        <v>0.01</v>
      </c>
    </row>
    <row r="13504" spans="1:6" x14ac:dyDescent="0.3">
      <c r="A13504" t="str">
        <f>HYPERLINK("https://us2.cloudbeds.com/connect/10074733072513#/reservations/31702975803557?display=MHT0GVAQD&amp;reservation_id=31702975803557", "MHT0GVAQD")</f>
        <v>MHT0GVAQD</v>
      </c>
      <c r="B13504" t="s">
        <v>1886</v>
      </c>
      <c r="C13504">
        <v>318</v>
      </c>
      <c r="D13504">
        <v>345.68</v>
      </c>
      <c r="E13504">
        <v>345.67</v>
      </c>
      <c r="F13504">
        <v>0.01</v>
      </c>
    </row>
    <row r="13505" spans="1:6" x14ac:dyDescent="0.3">
      <c r="A13505" t="str">
        <f>HYPERLINK("https://us2.cloudbeds.com/connect/10074733072513#/reservations/31710934999286?display=MX25TBMFP&amp;reservation_id=31710934999286", "MX25TBMFP")</f>
        <v>MX25TBMFP</v>
      </c>
      <c r="B13505" t="s">
        <v>2000</v>
      </c>
      <c r="C13505">
        <v>73</v>
      </c>
      <c r="D13505">
        <v>79.36</v>
      </c>
      <c r="E13505">
        <v>79.349999999999994</v>
      </c>
      <c r="F13505">
        <v>0.01</v>
      </c>
    </row>
    <row r="13506" spans="1:6" x14ac:dyDescent="0.3">
      <c r="A13506" t="str">
        <f>HYPERLINK("https://us2.cloudbeds.com/connect/10074733072513#/reservations/31702771294360?display=MHSS9GXD0&amp;reservation_id=31702771294360", "MHSS9GXD0")</f>
        <v>MHSS9GXD0</v>
      </c>
      <c r="B13506" t="s">
        <v>2004</v>
      </c>
      <c r="C13506">
        <v>318</v>
      </c>
      <c r="D13506">
        <v>345.68</v>
      </c>
      <c r="E13506">
        <v>345.67</v>
      </c>
      <c r="F13506">
        <v>0.01</v>
      </c>
    </row>
    <row r="13507" spans="1:6" x14ac:dyDescent="0.3">
      <c r="A13507" t="str">
        <f>HYPERLINK("https://us2.cloudbeds.com/connect/10074733072513#/reservations/31703146774690?display=MHT4T3S2R&amp;reservation_id=31703146774690", "MHT4T3S2R")</f>
        <v>MHT4T3S2R</v>
      </c>
      <c r="B13507" t="s">
        <v>1997</v>
      </c>
      <c r="C13507">
        <v>189</v>
      </c>
      <c r="D13507">
        <v>205.45</v>
      </c>
      <c r="E13507">
        <v>205.44</v>
      </c>
      <c r="F13507">
        <v>0.01</v>
      </c>
    </row>
    <row r="13508" spans="1:6" x14ac:dyDescent="0.3">
      <c r="A13508" t="str">
        <f>HYPERLINK("https://us2.cloudbeds.com/connect/10074733072513#/reservations/31711086592156?display=MX29P5W73&amp;reservation_id=31711086592156", "MX29P5W73")</f>
        <v>MX29P5W73</v>
      </c>
      <c r="B13508" t="s">
        <v>1997</v>
      </c>
      <c r="C13508">
        <v>97.74</v>
      </c>
      <c r="D13508">
        <v>106.25</v>
      </c>
      <c r="E13508">
        <v>106.24</v>
      </c>
      <c r="F13508">
        <v>0.01</v>
      </c>
    </row>
    <row r="13509" spans="1:6" x14ac:dyDescent="0.3">
      <c r="A13509" t="str">
        <f>HYPERLINK("https://us2.cloudbeds.com/connect/10074733072513#/reservations/31703186931880?display=MHT5TW9CC&amp;reservation_id=31703186931880", "MHT5TW9CC")</f>
        <v>MHT5TW9CC</v>
      </c>
      <c r="B13509" t="s">
        <v>1997</v>
      </c>
      <c r="C13509">
        <v>189</v>
      </c>
      <c r="D13509">
        <v>205.45</v>
      </c>
      <c r="E13509">
        <v>205.44</v>
      </c>
      <c r="F13509">
        <v>0.01</v>
      </c>
    </row>
    <row r="13510" spans="1:6" x14ac:dyDescent="0.3">
      <c r="A13510" t="str">
        <f>HYPERLINK("https://us2.cloudbeds.com/connect/10074733072513#/reservations/31703182962847?display=MHT5QKRNY&amp;reservation_id=31703182962847", "MHT5QKRNY")</f>
        <v>MHT5QKRNY</v>
      </c>
      <c r="B13510" t="s">
        <v>1981</v>
      </c>
      <c r="C13510">
        <v>318</v>
      </c>
      <c r="D13510">
        <v>345.68</v>
      </c>
      <c r="E13510">
        <v>345.67</v>
      </c>
      <c r="F13510">
        <v>0.01</v>
      </c>
    </row>
    <row r="13511" spans="1:6" x14ac:dyDescent="0.3">
      <c r="A13511" t="str">
        <f>HYPERLINK("https://us2.cloudbeds.com/connect/10074733072513#/reservations/31702713528564?display=MHSQQQ4JB&amp;reservation_id=31702713528564", "MHSQQQ4JB")</f>
        <v>MHSQQQ4JB</v>
      </c>
      <c r="B13511" t="s">
        <v>1997</v>
      </c>
      <c r="C13511">
        <v>189</v>
      </c>
      <c r="D13511">
        <v>205.45</v>
      </c>
      <c r="E13511">
        <v>205.44</v>
      </c>
      <c r="F13511">
        <v>0.01</v>
      </c>
    </row>
    <row r="13512" spans="1:6" x14ac:dyDescent="0.3">
      <c r="A13512" t="str">
        <f>HYPERLINK("https://us2.cloudbeds.com/connect/10074733072513#/reservations/31702704742546?display=MHSQJCYKC&amp;reservation_id=31702704742546", "MHSQJCYKC")</f>
        <v>MHSQJCYKC</v>
      </c>
      <c r="B13512" t="s">
        <v>1997</v>
      </c>
      <c r="C13512">
        <v>178</v>
      </c>
      <c r="D13512">
        <v>193.5</v>
      </c>
      <c r="E13512">
        <v>193.49</v>
      </c>
      <c r="F13512">
        <v>0.01</v>
      </c>
    </row>
    <row r="13513" spans="1:6" x14ac:dyDescent="0.3">
      <c r="A13513" t="str">
        <f>HYPERLINK("https://us2.cloudbeds.com/connect/10074733072513#/reservations/31702306459873?display=MHSGDHS4F&amp;reservation_id=31702306459873", "MHSGDHS4F")</f>
        <v>MHSGDHS4F</v>
      </c>
      <c r="B13513" t="s">
        <v>2005</v>
      </c>
      <c r="C13513">
        <v>420</v>
      </c>
      <c r="D13513">
        <v>456.55</v>
      </c>
      <c r="E13513">
        <v>456.54</v>
      </c>
      <c r="F13513">
        <v>0.01</v>
      </c>
    </row>
    <row r="13514" spans="1:6" x14ac:dyDescent="0.3">
      <c r="A13514" t="str">
        <f>HYPERLINK("https://us2.cloudbeds.com/connect/10074733072513#/reservations/31703095910634?display=MHT3J7FVQ&amp;reservation_id=31703095910634", "MHT3J7FVQ")</f>
        <v>MHT3J7FVQ</v>
      </c>
      <c r="B13514" t="s">
        <v>1988</v>
      </c>
      <c r="C13514">
        <v>73</v>
      </c>
      <c r="D13514">
        <v>79.36</v>
      </c>
      <c r="E13514">
        <v>79.349999999999994</v>
      </c>
      <c r="F13514">
        <v>0.01</v>
      </c>
    </row>
    <row r="13515" spans="1:6" x14ac:dyDescent="0.3">
      <c r="A13515" t="str">
        <f>HYPERLINK("https://us2.cloudbeds.com/connect/10074733072513#/reservations/31701784952976?display=MHS32Q535&amp;reservation_id=31701784952976", "MHS32Q535")</f>
        <v>MHS32Q535</v>
      </c>
      <c r="B13515" t="s">
        <v>1988</v>
      </c>
      <c r="C13515">
        <v>209</v>
      </c>
      <c r="D13515">
        <v>227.19</v>
      </c>
      <c r="E13515">
        <v>227.18</v>
      </c>
      <c r="F13515">
        <v>0.01</v>
      </c>
    </row>
    <row r="13516" spans="1:6" x14ac:dyDescent="0.3">
      <c r="A13516" t="str">
        <f>HYPERLINK("https://us2.cloudbeds.com/connect/10074733072513#/reservations/31701782003955?display=MHS30A32T&amp;reservation_id=31701782003955", "MHS30A32T")</f>
        <v>MHS30A32T</v>
      </c>
      <c r="B13516" t="s">
        <v>1886</v>
      </c>
      <c r="C13516">
        <v>159</v>
      </c>
      <c r="D13516">
        <v>172.84</v>
      </c>
      <c r="E13516">
        <v>172.83</v>
      </c>
      <c r="F13516">
        <v>0.01</v>
      </c>
    </row>
    <row r="13517" spans="1:6" x14ac:dyDescent="0.3">
      <c r="A13517" t="str">
        <f>HYPERLINK("https://us2.cloudbeds.com/connect/10074733072513#/reservations/31701658067078?display=MHRWRQC3V&amp;reservation_id=31701658067078", "MHRWRQC3V")</f>
        <v>MHRWRQC3V</v>
      </c>
      <c r="B13517" t="s">
        <v>1964</v>
      </c>
      <c r="C13517">
        <v>189</v>
      </c>
      <c r="D13517">
        <v>205.45</v>
      </c>
      <c r="E13517">
        <v>205.44</v>
      </c>
      <c r="F13517">
        <v>0.01</v>
      </c>
    </row>
    <row r="13518" spans="1:6" x14ac:dyDescent="0.3">
      <c r="A13518" t="str">
        <f>HYPERLINK("https://us2.cloudbeds.com/connect/10074733072513#/reservations/31703169654954?display=MHT5FDHE5&amp;reservation_id=31703169654954", "MHT5FDHE5")</f>
        <v>MHT5FDHE5</v>
      </c>
      <c r="B13518" t="s">
        <v>1981</v>
      </c>
      <c r="C13518">
        <v>169</v>
      </c>
      <c r="D13518">
        <v>183.71</v>
      </c>
      <c r="E13518">
        <v>183.7</v>
      </c>
      <c r="F13518">
        <v>0.01</v>
      </c>
    </row>
    <row r="13519" spans="1:6" x14ac:dyDescent="0.3">
      <c r="A13519" t="str">
        <f>HYPERLINK("https://us2.cloudbeds.com/connect/10074733072513#/reservations/31702314188947?display=MHSGK1UHR&amp;reservation_id=31702314188947", "MHSGK1UHR")</f>
        <v>MHSGK1UHR</v>
      </c>
      <c r="B13519" t="s">
        <v>2005</v>
      </c>
      <c r="C13519">
        <v>336</v>
      </c>
      <c r="D13519">
        <v>365.24</v>
      </c>
      <c r="E13519">
        <v>365.23</v>
      </c>
      <c r="F13519">
        <v>0.01</v>
      </c>
    </row>
    <row r="13520" spans="1:6" x14ac:dyDescent="0.3">
      <c r="A13520" t="str">
        <f>HYPERLINK("https://us2.cloudbeds.com/connect/10074733072513#/reservations/31700881416360?display=MHRCWTU7N&amp;reservation_id=31700881416360", "MHRCWTU7N")</f>
        <v>MHRCWTU7N</v>
      </c>
      <c r="B13520" t="s">
        <v>1788</v>
      </c>
      <c r="C13520">
        <v>229</v>
      </c>
      <c r="D13520">
        <v>248.93</v>
      </c>
      <c r="E13520">
        <v>248.92</v>
      </c>
      <c r="F13520">
        <v>0.01</v>
      </c>
    </row>
    <row r="13521" spans="1:6" x14ac:dyDescent="0.3">
      <c r="A13521" t="str">
        <f>HYPERLINK("https://us2.cloudbeds.com/connect/10074733072513#/reservations/31702901809369?display=MHSVKXAT9&amp;reservation_id=31702901809369", "MHSVKXAT9")</f>
        <v>MHSVKXAT9</v>
      </c>
      <c r="B13521" t="s">
        <v>1981</v>
      </c>
      <c r="C13521">
        <v>189</v>
      </c>
      <c r="D13521">
        <v>205.45</v>
      </c>
      <c r="E13521">
        <v>205.44</v>
      </c>
      <c r="F13521">
        <v>0.01</v>
      </c>
    </row>
    <row r="13522" spans="1:6" x14ac:dyDescent="0.3">
      <c r="A13522" t="str">
        <f>HYPERLINK("https://us2.cloudbeds.com/connect/10074733072513#/reservations/31702997233850?display=MHT120YM7&amp;reservation_id=31702997233850", "MHT120YM7")</f>
        <v>MHT120YM7</v>
      </c>
      <c r="B13522" t="s">
        <v>1912</v>
      </c>
      <c r="C13522">
        <v>139</v>
      </c>
      <c r="D13522">
        <v>151.1</v>
      </c>
      <c r="E13522">
        <v>151.09</v>
      </c>
      <c r="F13522">
        <v>0.01</v>
      </c>
    </row>
    <row r="13523" spans="1:6" x14ac:dyDescent="0.3">
      <c r="A13523" t="str">
        <f>HYPERLINK("https://us2.cloudbeds.com/connect/10074733072513#/reservations/31702869770378?display=MHSUQHQAP&amp;reservation_id=31702869770378", "MHSUQHQAP")</f>
        <v>MHSUQHQAP</v>
      </c>
      <c r="B13523" t="s">
        <v>1985</v>
      </c>
      <c r="C13523">
        <v>129</v>
      </c>
      <c r="D13523">
        <v>140.22999999999999</v>
      </c>
      <c r="E13523">
        <v>140.22</v>
      </c>
      <c r="F13523">
        <v>0.01</v>
      </c>
    </row>
    <row r="13524" spans="1:6" x14ac:dyDescent="0.3">
      <c r="A13524" t="str">
        <f>HYPERLINK("https://us2.cloudbeds.com/connect/10074733072513#/reservations/31702856827034?display=MHSUFKKQ7&amp;reservation_id=31702856827034", "MHSUFKKQ7")</f>
        <v>MHSUFKKQ7</v>
      </c>
      <c r="B13524" t="s">
        <v>1985</v>
      </c>
      <c r="C13524">
        <v>129</v>
      </c>
      <c r="D13524">
        <v>140.22999999999999</v>
      </c>
      <c r="E13524">
        <v>140.22</v>
      </c>
      <c r="F13524">
        <v>0.01</v>
      </c>
    </row>
    <row r="13525" spans="1:6" x14ac:dyDescent="0.3">
      <c r="A13525" t="str">
        <f>HYPERLINK("https://us2.cloudbeds.com/connect/10074733072513#/reservations/31702156370071?display=MHSCXWCKY&amp;reservation_id=31702156370071", "MHSCXWCKY")</f>
        <v>MHSCXWCKY</v>
      </c>
      <c r="B13525" t="s">
        <v>1981</v>
      </c>
      <c r="C13525">
        <v>189</v>
      </c>
      <c r="D13525">
        <v>205.45</v>
      </c>
      <c r="E13525">
        <v>205.44</v>
      </c>
      <c r="F13525">
        <v>0.01</v>
      </c>
    </row>
    <row r="13526" spans="1:6" x14ac:dyDescent="0.3">
      <c r="A13526" t="str">
        <f>HYPERLINK("https://us2.cloudbeds.com/connect/10074733072513#/reservations/31702024503459?display=MHS96PWWN&amp;reservation_id=31702024503459", "MHS96PWWN")</f>
        <v>MHS96PWWN</v>
      </c>
      <c r="B13526" t="s">
        <v>1985</v>
      </c>
      <c r="C13526">
        <v>129</v>
      </c>
      <c r="D13526">
        <v>140.22999999999999</v>
      </c>
      <c r="E13526">
        <v>140.22</v>
      </c>
      <c r="F13526">
        <v>0.01</v>
      </c>
    </row>
    <row r="13527" spans="1:6" x14ac:dyDescent="0.3">
      <c r="A13527" t="str">
        <f>HYPERLINK("https://us2.cloudbeds.com/connect/10074733072513#/reservations/31702744453283?display=MHSRJSYV1&amp;reservation_id=31702744453283", "MHSRJSYV1")</f>
        <v>MHSRJSYV1</v>
      </c>
      <c r="B13527" t="s">
        <v>1985</v>
      </c>
      <c r="C13527">
        <v>258</v>
      </c>
      <c r="D13527">
        <v>280.45999999999998</v>
      </c>
      <c r="E13527">
        <v>280.45</v>
      </c>
      <c r="F13527">
        <v>0.01</v>
      </c>
    </row>
    <row r="13528" spans="1:6" x14ac:dyDescent="0.3">
      <c r="A13528" t="str">
        <f>HYPERLINK("https://us2.cloudbeds.com/connect/10074733072513#/reservations/31702040142041?display=MHS9JW5G4&amp;reservation_id=31702040142041", "MHS9JW5G4")</f>
        <v>MHS9JW5G4</v>
      </c>
      <c r="B13528" t="s">
        <v>1985</v>
      </c>
      <c r="C13528">
        <v>129</v>
      </c>
      <c r="D13528">
        <v>140.22999999999999</v>
      </c>
      <c r="E13528">
        <v>140.22</v>
      </c>
      <c r="F13528">
        <v>0.01</v>
      </c>
    </row>
    <row r="13529" spans="1:6" x14ac:dyDescent="0.3">
      <c r="A13529" t="str">
        <f>HYPERLINK("https://us2.cloudbeds.com/connect/10074733072513#/reservations/31702376542414?display=MHSX6Y02R&amp;reservation_id=31702376542414", "MHSX6Y02R")</f>
        <v>MHSX6Y02R</v>
      </c>
      <c r="B13529" t="s">
        <v>1970</v>
      </c>
      <c r="C13529">
        <v>197.1</v>
      </c>
      <c r="D13529">
        <v>214.26</v>
      </c>
      <c r="E13529">
        <v>214.25</v>
      </c>
      <c r="F13529">
        <v>0.01</v>
      </c>
    </row>
    <row r="13530" spans="1:6" x14ac:dyDescent="0.3">
      <c r="A13530" t="str">
        <f>HYPERLINK("https://us2.cloudbeds.com/connect/10074733072513#/reservations/31702876618974?display=MHSUWAC6W&amp;reservation_id=31702876618974", "MHSUWAC6W")</f>
        <v>MHSUWAC6W</v>
      </c>
      <c r="B13530" t="s">
        <v>1985</v>
      </c>
      <c r="C13530">
        <v>129</v>
      </c>
      <c r="D13530">
        <v>140.22999999999999</v>
      </c>
      <c r="E13530">
        <v>140.22</v>
      </c>
      <c r="F13530">
        <v>0.01</v>
      </c>
    </row>
    <row r="13531" spans="1:6" x14ac:dyDescent="0.3">
      <c r="A13531" t="str">
        <f>HYPERLINK("https://us2.cloudbeds.com/connect/10074733072513#/reservations/31702498738428?display=MHSYAM9FB&amp;reservation_id=31702498738428", "MHSYAM9FB")</f>
        <v>MHSYAM9FB</v>
      </c>
      <c r="B13531" t="s">
        <v>1947</v>
      </c>
      <c r="C13531">
        <v>219</v>
      </c>
      <c r="D13531">
        <v>238.06</v>
      </c>
      <c r="E13531">
        <v>238.05</v>
      </c>
      <c r="F13531">
        <v>0.01</v>
      </c>
    </row>
    <row r="13532" spans="1:6" x14ac:dyDescent="0.3">
      <c r="A13532" t="str">
        <f>HYPERLINK("https://us2.cloudbeds.com/connect/10074733072513#/reservations/31701998575744?display=MHS8HUDX6&amp;reservation_id=31701998575744", "MHS8HUDX6")</f>
        <v>MHS8HUDX6</v>
      </c>
      <c r="B13532" t="s">
        <v>2007</v>
      </c>
      <c r="C13532">
        <v>170</v>
      </c>
      <c r="D13532">
        <v>184.8</v>
      </c>
      <c r="E13532">
        <v>184.79</v>
      </c>
      <c r="F13532">
        <v>0.01</v>
      </c>
    </row>
    <row r="13533" spans="1:6" x14ac:dyDescent="0.3">
      <c r="A13533" t="str">
        <f>HYPERLINK("https://us2.cloudbeds.com/connect/10074733072513#/reservations/31702016483542?display=MHS900RGU&amp;reservation_id=31702016483542", "MHS900RGU")</f>
        <v>MHS900RGU</v>
      </c>
      <c r="B13533" t="s">
        <v>1985</v>
      </c>
      <c r="C13533">
        <v>129</v>
      </c>
      <c r="D13533">
        <v>140.22999999999999</v>
      </c>
      <c r="E13533">
        <v>140.22</v>
      </c>
      <c r="F13533">
        <v>0.01</v>
      </c>
    </row>
    <row r="13534" spans="1:6" x14ac:dyDescent="0.3">
      <c r="A13534" t="str">
        <f>HYPERLINK("https://us2.cloudbeds.com/connect/10074733072513#/reservations/31702006812802?display=MHS8ZSZ46&amp;reservation_id=31702006812802", "MHS8ZSZ46")</f>
        <v>MHS8ZSZ46</v>
      </c>
      <c r="B13534" t="s">
        <v>2007</v>
      </c>
      <c r="C13534">
        <v>129</v>
      </c>
      <c r="D13534">
        <v>140.22999999999999</v>
      </c>
      <c r="E13534">
        <v>140.22</v>
      </c>
      <c r="F13534">
        <v>0.01</v>
      </c>
    </row>
    <row r="13535" spans="1:6" x14ac:dyDescent="0.3">
      <c r="A13535" t="str">
        <f>HYPERLINK("https://us2.cloudbeds.com/connect/10074733072513#/reservations/31700767875299?display=MHRA35FFG&amp;reservation_id=31700767875299", "MHRA35FFG")</f>
        <v>MHRA35FFG</v>
      </c>
      <c r="B13535" t="s">
        <v>1788</v>
      </c>
      <c r="C13535">
        <v>229</v>
      </c>
      <c r="D13535">
        <v>248.93</v>
      </c>
      <c r="E13535">
        <v>248.92</v>
      </c>
      <c r="F13535">
        <v>0.01</v>
      </c>
    </row>
    <row r="13536" spans="1:6" x14ac:dyDescent="0.3">
      <c r="A13536" t="str">
        <f>HYPERLINK("https://us2.cloudbeds.com/connect/10074733072513#/reservations/31700877992148?display=MHRCU0KSN&amp;reservation_id=31700877992148", "MHRCU0KSN")</f>
        <v>MHRCU0KSN</v>
      </c>
      <c r="B13536" t="s">
        <v>2008</v>
      </c>
      <c r="C13536">
        <v>178</v>
      </c>
      <c r="D13536">
        <v>193.5</v>
      </c>
      <c r="E13536">
        <v>193.49</v>
      </c>
      <c r="F13536">
        <v>0.01</v>
      </c>
    </row>
    <row r="13537" spans="1:6" x14ac:dyDescent="0.3">
      <c r="A13537" t="str">
        <f>HYPERLINK("https://us2.cloudbeds.com/connect/10074733072513#/reservations/31702762635486?display=MHSS26K5T&amp;reservation_id=31702762635486", "MHSS26K5T")</f>
        <v>MHSS26K5T</v>
      </c>
      <c r="B13537" t="s">
        <v>1985</v>
      </c>
      <c r="C13537">
        <v>129</v>
      </c>
      <c r="D13537">
        <v>140.22999999999999</v>
      </c>
      <c r="E13537">
        <v>140.22</v>
      </c>
      <c r="F13537">
        <v>0.01</v>
      </c>
    </row>
    <row r="13538" spans="1:6" x14ac:dyDescent="0.3">
      <c r="A13538" t="str">
        <f>HYPERLINK("https://us2.cloudbeds.com/connect/10074733072513#/reservations/31702868041882?display=MHSUP2N33&amp;reservation_id=31702868041882", "MHSUP2N33")</f>
        <v>MHSUP2N33</v>
      </c>
      <c r="B13538" t="s">
        <v>2003</v>
      </c>
      <c r="C13538">
        <v>588</v>
      </c>
      <c r="D13538">
        <v>639.16999999999996</v>
      </c>
      <c r="E13538">
        <v>639.16</v>
      </c>
      <c r="F13538">
        <v>0.01</v>
      </c>
    </row>
    <row r="13539" spans="1:6" x14ac:dyDescent="0.3">
      <c r="A13539" t="str">
        <f>HYPERLINK("https://us2.cloudbeds.com/connect/10074733072513#/reservations/31700890370252?display=MHRD7F2BP&amp;reservation_id=31700890370252", "MHRD7F2BP")</f>
        <v>MHRD7F2BP</v>
      </c>
      <c r="B13539" t="s">
        <v>2008</v>
      </c>
      <c r="C13539">
        <v>258</v>
      </c>
      <c r="D13539">
        <v>280.45999999999998</v>
      </c>
      <c r="E13539">
        <v>280.45</v>
      </c>
      <c r="F13539">
        <v>0.01</v>
      </c>
    </row>
    <row r="13540" spans="1:6" x14ac:dyDescent="0.3">
      <c r="A13540" t="str">
        <f>HYPERLINK("https://us2.cloudbeds.com/connect/10074733072513#/reservations/31702812303567?display=MHSTB2N28&amp;reservation_id=31702812303567", "MHSTB2N28")</f>
        <v>MHSTB2N28</v>
      </c>
      <c r="B13540" t="s">
        <v>2008</v>
      </c>
      <c r="C13540">
        <v>258</v>
      </c>
      <c r="D13540">
        <v>280.45999999999998</v>
      </c>
      <c r="E13540">
        <v>280.45</v>
      </c>
      <c r="F13540">
        <v>0.01</v>
      </c>
    </row>
    <row r="13541" spans="1:6" x14ac:dyDescent="0.3">
      <c r="A13541" t="str">
        <f>HYPERLINK("https://us2.cloudbeds.com/connect/10074733072513#/reservations/31702049620107?display=MHS9RVTV8&amp;reservation_id=31702049620107", "MHS9RVTV8")</f>
        <v>MHS9RVTV8</v>
      </c>
      <c r="B13541" t="s">
        <v>1985</v>
      </c>
      <c r="C13541">
        <v>129</v>
      </c>
      <c r="D13541">
        <v>140.22999999999999</v>
      </c>
      <c r="E13541">
        <v>140.22</v>
      </c>
      <c r="F13541">
        <v>0.01</v>
      </c>
    </row>
    <row r="13542" spans="1:6" x14ac:dyDescent="0.3">
      <c r="A13542" t="str">
        <f>HYPERLINK("https://us2.cloudbeds.com/connect/10074733072513#/reservations/31700930601097?display=MHRE8CX99&amp;reservation_id=31700930601097", "MHRE8CX99")</f>
        <v>MHRE8CX99</v>
      </c>
      <c r="B13542" t="s">
        <v>2008</v>
      </c>
      <c r="C13542">
        <v>258</v>
      </c>
      <c r="D13542">
        <v>280.45999999999998</v>
      </c>
      <c r="E13542">
        <v>280.45</v>
      </c>
      <c r="F13542">
        <v>0.01</v>
      </c>
    </row>
    <row r="13543" spans="1:6" x14ac:dyDescent="0.3">
      <c r="A13543" t="str">
        <f>HYPERLINK("https://us2.cloudbeds.com/connect/10074733072513#/reservations/31701625237734?display=MHRW03RQB&amp;reservation_id=31701625237734", "MHRW03RQB")</f>
        <v>MHRW03RQB</v>
      </c>
      <c r="B13543" t="s">
        <v>1964</v>
      </c>
      <c r="C13543">
        <v>189</v>
      </c>
      <c r="D13543">
        <v>205.45</v>
      </c>
      <c r="E13543">
        <v>205.44</v>
      </c>
      <c r="F13543">
        <v>0.01</v>
      </c>
    </row>
    <row r="13544" spans="1:6" x14ac:dyDescent="0.3">
      <c r="A13544" t="str">
        <f>HYPERLINK("https://us2.cloudbeds.com/connect/10074733072513#/reservations/31702354624736?display=MHSHY53YP&amp;reservation_id=31702354624736", "MHSHY53YP")</f>
        <v>MHSHY53YP</v>
      </c>
      <c r="B13544" t="s">
        <v>2007</v>
      </c>
      <c r="C13544">
        <v>129</v>
      </c>
      <c r="D13544">
        <v>140.22999999999999</v>
      </c>
      <c r="E13544">
        <v>140.22</v>
      </c>
      <c r="F13544">
        <v>0.01</v>
      </c>
    </row>
    <row r="13545" spans="1:6" x14ac:dyDescent="0.3">
      <c r="A13545" t="str">
        <f>HYPERLINK("https://us2.cloudbeds.com/connect/10074733072513#/reservations/31702436380879?display=MHSJZ335Y&amp;reservation_id=31702436380879", "MHSJZ335Y")</f>
        <v>MHSJZ335Y</v>
      </c>
      <c r="B13545" t="s">
        <v>2008</v>
      </c>
      <c r="C13545">
        <v>89</v>
      </c>
      <c r="D13545">
        <v>96.75</v>
      </c>
      <c r="E13545">
        <v>96.74</v>
      </c>
      <c r="F13545">
        <v>0.01</v>
      </c>
    </row>
    <row r="13546" spans="1:6" x14ac:dyDescent="0.3">
      <c r="A13546" t="str">
        <f>HYPERLINK("https://us2.cloudbeds.com/connect/10074733072513#/reservations/31702444171491?display=MHSJUYT2Q&amp;reservation_id=31702444171491", "MHSJUYT2Q")</f>
        <v>MHSJUYT2Q</v>
      </c>
      <c r="B13546" t="s">
        <v>2008</v>
      </c>
      <c r="C13546">
        <v>149</v>
      </c>
      <c r="D13546">
        <v>161.97</v>
      </c>
      <c r="E13546">
        <v>161.96</v>
      </c>
      <c r="F13546">
        <v>0.01</v>
      </c>
    </row>
    <row r="13547" spans="1:6" x14ac:dyDescent="0.3">
      <c r="A13547" t="str">
        <f>HYPERLINK("https://us2.cloudbeds.com/connect/10074733072513#/reservations/31702199484572?display=MHSDMB3HM&amp;reservation_id=31702199484572", "MHSDMB3HM")</f>
        <v>MHSDMB3HM</v>
      </c>
      <c r="B13547" t="s">
        <v>1916</v>
      </c>
      <c r="C13547">
        <v>159</v>
      </c>
      <c r="D13547">
        <v>172.84</v>
      </c>
      <c r="E13547">
        <v>172.83</v>
      </c>
      <c r="F13547">
        <v>0.01</v>
      </c>
    </row>
    <row r="13548" spans="1:6" x14ac:dyDescent="0.3">
      <c r="A13548" t="str">
        <f>HYPERLINK("https://us2.cloudbeds.com/connect/10074733072513#/reservations/31702410997921?display=MHSJ2MYUM&amp;reservation_id=31702410997921", "MHSJ2MYUM")</f>
        <v>MHSJ2MYUM</v>
      </c>
      <c r="B13548" t="s">
        <v>2008</v>
      </c>
      <c r="C13548">
        <v>149</v>
      </c>
      <c r="D13548">
        <v>161.97</v>
      </c>
      <c r="E13548">
        <v>161.96</v>
      </c>
      <c r="F13548">
        <v>0.01</v>
      </c>
    </row>
    <row r="13549" spans="1:6" x14ac:dyDescent="0.3">
      <c r="A13549" t="str">
        <f>HYPERLINK("https://us2.cloudbeds.com/connect/10074733072513#/reservations/31701186674911?display=MHRKQA63R&amp;reservation_id=31701186674911", "MHRKQA63R")</f>
        <v>MHRKQA63R</v>
      </c>
      <c r="B13549" t="s">
        <v>2009</v>
      </c>
      <c r="C13549">
        <v>129</v>
      </c>
      <c r="D13549">
        <v>140.22999999999999</v>
      </c>
      <c r="E13549">
        <v>140.22</v>
      </c>
      <c r="F13549">
        <v>0.01</v>
      </c>
    </row>
    <row r="13550" spans="1:6" x14ac:dyDescent="0.3">
      <c r="A13550" t="str">
        <f>HYPERLINK("https://us2.cloudbeds.com/connect/10074733072513#/reservations/31702304080102?display=MHSGBHKS6&amp;reservation_id=31702304080102", "MHSGBHKS6")</f>
        <v>MHSGBHKS6</v>
      </c>
      <c r="B13550" t="s">
        <v>2005</v>
      </c>
      <c r="C13550">
        <v>97.74</v>
      </c>
      <c r="D13550">
        <v>106.25</v>
      </c>
      <c r="E13550">
        <v>106.24</v>
      </c>
      <c r="F13550">
        <v>0.01</v>
      </c>
    </row>
    <row r="13551" spans="1:6" x14ac:dyDescent="0.3">
      <c r="A13551" t="str">
        <f>HYPERLINK("https://us2.cloudbeds.com/connect/10074733072513#/reservations/31702439915667?display=MHSJR2F2E&amp;reservation_id=31702439915667", "MHSJR2F2E")</f>
        <v>MHSJR2F2E</v>
      </c>
      <c r="B13551" t="s">
        <v>2004</v>
      </c>
      <c r="C13551">
        <v>149</v>
      </c>
      <c r="D13551">
        <v>161.97</v>
      </c>
      <c r="E13551">
        <v>161.96</v>
      </c>
      <c r="F13551">
        <v>0.01</v>
      </c>
    </row>
    <row r="13552" spans="1:6" x14ac:dyDescent="0.3">
      <c r="A13552" t="str">
        <f>HYPERLINK("https://us2.cloudbeds.com/connect/10074733072513#/reservations/31702784692353?display=MHSSKQCDQ&amp;reservation_id=31702784692353", "MHSSKQCDQ")</f>
        <v>MHSSKQCDQ</v>
      </c>
      <c r="B13552" t="s">
        <v>2004</v>
      </c>
      <c r="C13552">
        <v>149</v>
      </c>
      <c r="D13552">
        <v>161.97</v>
      </c>
      <c r="E13552">
        <v>161.96</v>
      </c>
      <c r="F13552">
        <v>0.01</v>
      </c>
    </row>
    <row r="13553" spans="1:6" x14ac:dyDescent="0.3">
      <c r="A13553" t="str">
        <f>HYPERLINK("https://us2.cloudbeds.com/connect/10074733072513#/reservations/31702133039255?display=MHSBWA5X7&amp;reservation_id=31702133039255", "MHSBWA5X7")</f>
        <v>MHSBWA5X7</v>
      </c>
      <c r="B13553" t="s">
        <v>2009</v>
      </c>
      <c r="C13553">
        <v>557</v>
      </c>
      <c r="D13553">
        <v>605.47</v>
      </c>
      <c r="E13553">
        <v>605.46</v>
      </c>
      <c r="F13553">
        <v>0.01</v>
      </c>
    </row>
    <row r="13554" spans="1:6" x14ac:dyDescent="0.3">
      <c r="A13554" t="str">
        <f>HYPERLINK("https://us2.cloudbeds.com/connect/10074733072513#/reservations/31702287061224?display=MHSFU61SK&amp;reservation_id=31702287061224", "MHSFU61SK")</f>
        <v>MHSFU61SK</v>
      </c>
      <c r="B13554" t="s">
        <v>2005</v>
      </c>
      <c r="C13554">
        <v>195.48</v>
      </c>
      <c r="D13554">
        <v>212.5</v>
      </c>
      <c r="E13554">
        <v>212.49</v>
      </c>
      <c r="F13554">
        <v>0.01</v>
      </c>
    </row>
    <row r="13555" spans="1:6" x14ac:dyDescent="0.3">
      <c r="A13555" t="str">
        <f>HYPERLINK("https://us2.cloudbeds.com/connect/10074733072513#/reservations/31702658805933?display=MHSPDYD7Q&amp;reservation_id=31702658805933", "MHSPDYD7Q")</f>
        <v>MHSPDYD7Q</v>
      </c>
      <c r="B13555" t="s">
        <v>1947</v>
      </c>
      <c r="C13555">
        <v>209</v>
      </c>
      <c r="D13555">
        <v>227.19</v>
      </c>
      <c r="E13555">
        <v>227.18</v>
      </c>
      <c r="F13555">
        <v>0.01</v>
      </c>
    </row>
    <row r="13556" spans="1:6" x14ac:dyDescent="0.3">
      <c r="A13556" t="str">
        <f>HYPERLINK("https://us2.cloudbeds.com/connect/10074733072513#/reservations/31702746710146?display=MHSRYPFBR&amp;reservation_id=31702746710146", "MHSRYPFBR")</f>
        <v>MHSRYPFBR</v>
      </c>
      <c r="B13556" t="s">
        <v>2004</v>
      </c>
      <c r="C13556">
        <v>149</v>
      </c>
      <c r="D13556">
        <v>161.97</v>
      </c>
      <c r="E13556">
        <v>161.96</v>
      </c>
      <c r="F13556">
        <v>0.01</v>
      </c>
    </row>
    <row r="13557" spans="1:6" x14ac:dyDescent="0.3">
      <c r="A13557" t="str">
        <f>HYPERLINK("https://us2.cloudbeds.com/connect/10074733072513#/reservations/31702331981955?display=MHSH221CT&amp;reservation_id=31702331981955", "MHSH221CT")</f>
        <v>MHSH221CT</v>
      </c>
      <c r="B13557" t="s">
        <v>2001</v>
      </c>
      <c r="C13557">
        <v>139</v>
      </c>
      <c r="D13557">
        <v>151.1</v>
      </c>
      <c r="E13557">
        <v>151.09</v>
      </c>
      <c r="F13557">
        <v>0.01</v>
      </c>
    </row>
    <row r="13558" spans="1:6" x14ac:dyDescent="0.3">
      <c r="A13558" t="str">
        <f>HYPERLINK("https://us2.cloudbeds.com/connect/10074733072513#/reservations/31702439919760?display=MHSJR2XRF&amp;reservation_id=31702439919760", "MHSJR2XRF")</f>
        <v>MHSJR2XRF</v>
      </c>
      <c r="B13558" t="s">
        <v>1947</v>
      </c>
      <c r="C13558">
        <v>219</v>
      </c>
      <c r="D13558">
        <v>238.06</v>
      </c>
      <c r="E13558">
        <v>238.05</v>
      </c>
      <c r="F13558">
        <v>0.01</v>
      </c>
    </row>
    <row r="13559" spans="1:6" x14ac:dyDescent="0.3">
      <c r="A13559" t="str">
        <f>HYPERLINK("https://us2.cloudbeds.com/connect/10074733072513#/reservations/31702507274449?display=MHSYHSQSY&amp;reservation_id=31702507274449", "MHSYHSQSY")</f>
        <v>MHSYHSQSY</v>
      </c>
      <c r="B13559" t="s">
        <v>1947</v>
      </c>
      <c r="C13559">
        <v>209</v>
      </c>
      <c r="D13559">
        <v>227.19</v>
      </c>
      <c r="E13559">
        <v>227.18</v>
      </c>
      <c r="F13559">
        <v>0.01</v>
      </c>
    </row>
    <row r="13560" spans="1:6" x14ac:dyDescent="0.3">
      <c r="A13560" t="str">
        <f>HYPERLINK("https://us2.cloudbeds.com/connect/10074733072513#/reservations/31701937795265?display=MHS6WM74M&amp;reservation_id=31701937795265", "MHS6WM74M")</f>
        <v>MHS6WM74M</v>
      </c>
      <c r="B13560" t="s">
        <v>2006</v>
      </c>
      <c r="C13560">
        <v>159</v>
      </c>
      <c r="D13560">
        <v>172.84</v>
      </c>
      <c r="E13560">
        <v>172.83</v>
      </c>
      <c r="F13560">
        <v>0.01</v>
      </c>
    </row>
    <row r="13561" spans="1:6" x14ac:dyDescent="0.3">
      <c r="A13561" t="str">
        <f>HYPERLINK("https://us2.cloudbeds.com/connect/10074733072513#/reservations/31701922214093?display=MHS6JHYBV&amp;reservation_id=31701922214093", "MHS6JHYBV")</f>
        <v>MHS6JHYBV</v>
      </c>
      <c r="B13561" t="s">
        <v>2006</v>
      </c>
      <c r="C13561">
        <v>102.58</v>
      </c>
      <c r="D13561">
        <v>111.51</v>
      </c>
      <c r="E13561">
        <v>111.5</v>
      </c>
      <c r="F13561">
        <v>0.01</v>
      </c>
    </row>
    <row r="13562" spans="1:6" x14ac:dyDescent="0.3">
      <c r="A13562" t="str">
        <f>HYPERLINK("https://us2.cloudbeds.com/connect/10074733072513#/reservations/31701907480711?display=MHS673M2R&amp;reservation_id=31701907480711", "MHS673M2R")</f>
        <v>MHS673M2R</v>
      </c>
      <c r="B13562" t="s">
        <v>1833</v>
      </c>
      <c r="C13562">
        <v>495.92</v>
      </c>
      <c r="D13562">
        <v>539.08000000000004</v>
      </c>
      <c r="E13562">
        <v>539.07000000000005</v>
      </c>
      <c r="F13562">
        <v>0.01</v>
      </c>
    </row>
    <row r="13563" spans="1:6" x14ac:dyDescent="0.3">
      <c r="A13563" t="str">
        <f>HYPERLINK("https://us2.cloudbeds.com/connect/10074733072513#/reservations/31702354628828?display=MHSHY57DP&amp;reservation_id=31702354628828", "MHSHY57DP")</f>
        <v>MHSHY57DP</v>
      </c>
      <c r="B13563" t="s">
        <v>2005</v>
      </c>
      <c r="C13563">
        <v>298</v>
      </c>
      <c r="D13563">
        <v>323.94</v>
      </c>
      <c r="E13563">
        <v>323.93</v>
      </c>
      <c r="F13563">
        <v>0.01</v>
      </c>
    </row>
    <row r="13564" spans="1:6" x14ac:dyDescent="0.3">
      <c r="A13564" t="str">
        <f>HYPERLINK("https://us2.cloudbeds.com/connect/10074733072513#/reservations/31702352445569?display=MHSHJAFJD&amp;reservation_id=31702352445569", "MHSHJAFJD")</f>
        <v>MHSHJAFJD</v>
      </c>
      <c r="B13564" t="s">
        <v>2005</v>
      </c>
      <c r="C13564">
        <v>298</v>
      </c>
      <c r="D13564">
        <v>323.94</v>
      </c>
      <c r="E13564">
        <v>323.93</v>
      </c>
      <c r="F13564">
        <v>0.01</v>
      </c>
    </row>
    <row r="13565" spans="1:6" x14ac:dyDescent="0.3">
      <c r="A13565" t="str">
        <f>HYPERLINK("https://us2.cloudbeds.com/connect/10074733072513#/reservations/31702864289979?display=MHSUYU9R2&amp;reservation_id=31702864289979", "MHSUYU9R2")</f>
        <v>MHSUYU9R2</v>
      </c>
      <c r="B13565" t="s">
        <v>2002</v>
      </c>
      <c r="C13565">
        <v>169</v>
      </c>
      <c r="D13565">
        <v>183.71</v>
      </c>
      <c r="E13565">
        <v>183.7</v>
      </c>
      <c r="F13565">
        <v>0.01</v>
      </c>
    </row>
    <row r="13566" spans="1:6" x14ac:dyDescent="0.3">
      <c r="A13566" t="str">
        <f>HYPERLINK("https://us2.cloudbeds.com/connect/10074733072513#/reservations/31703095185543?display=MHT3XKA4B&amp;reservation_id=31703095185543", "MHT3XKA4B")</f>
        <v>MHT3XKA4B</v>
      </c>
      <c r="B13566" t="s">
        <v>2012</v>
      </c>
      <c r="C13566">
        <v>336</v>
      </c>
      <c r="D13566">
        <v>365.24</v>
      </c>
      <c r="E13566">
        <v>365.23</v>
      </c>
      <c r="F13566">
        <v>0.01</v>
      </c>
    </row>
    <row r="13567" spans="1:6" x14ac:dyDescent="0.3">
      <c r="A13567" t="str">
        <f>HYPERLINK("https://us2.cloudbeds.com/connect/10074733072513#/reservations/31703007334608?display=MHT1AHNUQ&amp;reservation_id=31703007334608", "MHT1AHNUQ")</f>
        <v>MHT1AHNUQ</v>
      </c>
      <c r="B13567" t="s">
        <v>1912</v>
      </c>
      <c r="C13567">
        <v>378</v>
      </c>
      <c r="D13567">
        <v>410.9</v>
      </c>
      <c r="E13567">
        <v>410.89</v>
      </c>
      <c r="F13567">
        <v>0.01</v>
      </c>
    </row>
    <row r="13568" spans="1:6" x14ac:dyDescent="0.3">
      <c r="A13568" t="str">
        <f>HYPERLINK("https://us2.cloudbeds.com/connect/10074733072513#/reservations/31702913421467?display=MHSVUBEW1&amp;reservation_id=31702913421467", "MHSVUBEW1")</f>
        <v>MHSVUBEW1</v>
      </c>
      <c r="B13568" t="s">
        <v>2002</v>
      </c>
      <c r="C13568">
        <v>189</v>
      </c>
      <c r="D13568">
        <v>205.45</v>
      </c>
      <c r="E13568">
        <v>205.44</v>
      </c>
      <c r="F13568">
        <v>0.01</v>
      </c>
    </row>
    <row r="13569" spans="1:6" x14ac:dyDescent="0.3">
      <c r="A13569" t="str">
        <f>HYPERLINK("https://us2.cloudbeds.com/connect/10074733072513#/reservations/31701664882900?display=MHS00X0U0&amp;reservation_id=31701664882900", "MHS00X0U0")</f>
        <v>MHS00X0U0</v>
      </c>
      <c r="B13569" t="s">
        <v>1964</v>
      </c>
      <c r="C13569">
        <v>219</v>
      </c>
      <c r="D13569">
        <v>238.06</v>
      </c>
      <c r="E13569">
        <v>238.05</v>
      </c>
      <c r="F13569">
        <v>0.01</v>
      </c>
    </row>
    <row r="13570" spans="1:6" x14ac:dyDescent="0.3">
      <c r="A13570" t="str">
        <f>HYPERLINK("https://us2.cloudbeds.com/connect/10074733072513#/reservations/31702084296946?display=MHSAZ6RPX&amp;reservation_id=31702084296946", "MHSAZ6RPX")</f>
        <v>MHSAZ6RPX</v>
      </c>
      <c r="B13570" t="s">
        <v>2009</v>
      </c>
      <c r="C13570">
        <v>318</v>
      </c>
      <c r="D13570">
        <v>345.68</v>
      </c>
      <c r="E13570">
        <v>345.67</v>
      </c>
      <c r="F13570">
        <v>0.01</v>
      </c>
    </row>
    <row r="13571" spans="1:6" x14ac:dyDescent="0.3">
      <c r="A13571" t="str">
        <f>HYPERLINK("https://us2.cloudbeds.com/connect/10074733072513#/reservations/31702689829053?display=MHSQ6QYVB&amp;reservation_id=31702689829053", "MHSQ6QYVB")</f>
        <v>MHSQ6QYVB</v>
      </c>
      <c r="B13571" t="s">
        <v>2002</v>
      </c>
      <c r="C13571">
        <v>189</v>
      </c>
      <c r="D13571">
        <v>205.45</v>
      </c>
      <c r="E13571">
        <v>205.44</v>
      </c>
      <c r="F13571">
        <v>0.01</v>
      </c>
    </row>
    <row r="13572" spans="1:6" x14ac:dyDescent="0.3">
      <c r="A13572" t="str">
        <f>HYPERLINK("https://us2.cloudbeds.com/connect/10074733072513#/reservations/31702856102083?display=MHSUF0F30&amp;reservation_id=31702856102083", "MHSUF0F30")</f>
        <v>MHSUF0F30</v>
      </c>
      <c r="B13572" t="s">
        <v>2002</v>
      </c>
      <c r="C13572">
        <v>109</v>
      </c>
      <c r="D13572">
        <v>118.49</v>
      </c>
      <c r="E13572">
        <v>118.48</v>
      </c>
      <c r="F13572">
        <v>0.01</v>
      </c>
    </row>
    <row r="13573" spans="1:6" x14ac:dyDescent="0.3">
      <c r="A13573" t="str">
        <f>HYPERLINK("https://us2.cloudbeds.com/connect/10074733072513#/reservations/31702497689838?display=MHSY9Q3XT&amp;reservation_id=31702497689838", "MHSY9Q3XT")</f>
        <v>MHSY9Q3XT</v>
      </c>
      <c r="B13573" t="s">
        <v>1947</v>
      </c>
      <c r="C13573">
        <v>187.78</v>
      </c>
      <c r="D13573">
        <v>204.13</v>
      </c>
      <c r="E13573">
        <v>204.12</v>
      </c>
      <c r="F13573">
        <v>0.01</v>
      </c>
    </row>
    <row r="13574" spans="1:6" x14ac:dyDescent="0.3">
      <c r="A13574" t="str">
        <f>HYPERLINK("https://us2.cloudbeds.com/connect/10074733072513#/reservations/31702986608863?display=MHT0Q200U&amp;reservation_id=31702986608863", "MHT0Q200U")</f>
        <v>MHT0Q200U</v>
      </c>
      <c r="B13574" t="s">
        <v>1912</v>
      </c>
      <c r="C13574">
        <v>139</v>
      </c>
      <c r="D13574">
        <v>151.1</v>
      </c>
      <c r="E13574">
        <v>151.09</v>
      </c>
      <c r="F13574">
        <v>0.01</v>
      </c>
    </row>
    <row r="13575" spans="1:6" x14ac:dyDescent="0.3">
      <c r="A13575" t="str">
        <f>HYPERLINK("https://us2.cloudbeds.com/connect/10074733072513#/reservations/31702940827811?display=MHSWKF2GA&amp;reservation_id=31702940827811", "MHSWKF2GA")</f>
        <v>MHSWKF2GA</v>
      </c>
      <c r="B13575" t="s">
        <v>2006</v>
      </c>
      <c r="C13575">
        <v>139</v>
      </c>
      <c r="D13575">
        <v>151.1</v>
      </c>
      <c r="E13575">
        <v>151.09</v>
      </c>
      <c r="F13575">
        <v>0.01</v>
      </c>
    </row>
    <row r="13576" spans="1:6" x14ac:dyDescent="0.3">
      <c r="A13576" t="str">
        <f>HYPERLINK("https://us2.cloudbeds.com/connect/10074733072513#/reservations/31703049482381?display=MHT2D2X41&amp;reservation_id=31703049482381", "MHT2D2X41")</f>
        <v>MHT2D2X41</v>
      </c>
      <c r="B13576" t="s">
        <v>2012</v>
      </c>
      <c r="C13576">
        <v>89</v>
      </c>
      <c r="D13576">
        <v>96.75</v>
      </c>
      <c r="E13576">
        <v>96.74</v>
      </c>
      <c r="F13576">
        <v>0.01</v>
      </c>
    </row>
    <row r="13577" spans="1:6" x14ac:dyDescent="0.3">
      <c r="A13577" t="str">
        <f>HYPERLINK("https://us2.cloudbeds.com/connect/10074733072513#/reservations/31701959803082?display=MHS7X7KB7&amp;reservation_id=31701959803082", "MHS7X7KB7")</f>
        <v>MHS7X7KB7</v>
      </c>
      <c r="B13577" t="s">
        <v>2006</v>
      </c>
      <c r="C13577">
        <v>89</v>
      </c>
      <c r="D13577">
        <v>96.75</v>
      </c>
      <c r="E13577">
        <v>96.74</v>
      </c>
      <c r="F13577">
        <v>0.01</v>
      </c>
    </row>
    <row r="13578" spans="1:6" x14ac:dyDescent="0.3">
      <c r="A13578" t="str">
        <f>HYPERLINK("https://us2.cloudbeds.com/connect/10074733072513#/reservations/31701888475345?display=MHS5Z2QVY&amp;reservation_id=31701888475345", "MHS5Z2QVY")</f>
        <v>MHS5Z2QVY</v>
      </c>
      <c r="B13578" t="s">
        <v>2001</v>
      </c>
      <c r="C13578">
        <v>221.72</v>
      </c>
      <c r="D13578">
        <v>241.02</v>
      </c>
      <c r="E13578">
        <v>241.01</v>
      </c>
      <c r="F13578">
        <v>0.01</v>
      </c>
    </row>
    <row r="13579" spans="1:6" x14ac:dyDescent="0.3">
      <c r="A13579" t="str">
        <f>HYPERLINK("https://us2.cloudbeds.com/connect/10074733072513#/reservations/31702396317891?display=MHSXNA9CN&amp;reservation_id=31702396317891", "MHSXNA9CN")</f>
        <v>MHSXNA9CN</v>
      </c>
      <c r="B13579" t="s">
        <v>1970</v>
      </c>
      <c r="C13579">
        <v>438</v>
      </c>
      <c r="D13579">
        <v>476.12</v>
      </c>
      <c r="E13579">
        <v>476.11</v>
      </c>
      <c r="F13579">
        <v>0.01</v>
      </c>
    </row>
    <row r="13580" spans="1:6" x14ac:dyDescent="0.3">
      <c r="A13580" t="str">
        <f>HYPERLINK("https://us2.cloudbeds.com/connect/10074733072513#/reservations/31702255403182?display=MHSF3G440&amp;reservation_id=31702255403182", "MHSF3G440")</f>
        <v>MHSF3G440</v>
      </c>
      <c r="B13580" t="s">
        <v>2001</v>
      </c>
      <c r="C13580">
        <v>318</v>
      </c>
      <c r="D13580">
        <v>345.68</v>
      </c>
      <c r="E13580">
        <v>345.67</v>
      </c>
      <c r="F13580">
        <v>0.01</v>
      </c>
    </row>
    <row r="13581" spans="1:6" x14ac:dyDescent="0.3">
      <c r="A13581" t="str">
        <f>HYPERLINK("https://us2.cloudbeds.com/connect/10074733072513#/reservations/31700873122004?display=MHRCPU3ZJ&amp;reservation_id=31700873122004", "MHRCPU3ZJ")</f>
        <v>MHRCPU3ZJ</v>
      </c>
      <c r="B13581" t="s">
        <v>1788</v>
      </c>
      <c r="C13581">
        <v>189</v>
      </c>
      <c r="D13581">
        <v>205.45</v>
      </c>
      <c r="E13581">
        <v>205.44</v>
      </c>
      <c r="F13581">
        <v>0.01</v>
      </c>
    </row>
    <row r="13582" spans="1:6" x14ac:dyDescent="0.3">
      <c r="A13582" t="str">
        <f>HYPERLINK("https://us2.cloudbeds.com/connect/10074733072513#/reservations/31702148800722?display=MHSCCJZTE&amp;reservation_id=31702148800722", "MHSCCJZTE")</f>
        <v>MHSCCJZTE</v>
      </c>
      <c r="B13582" t="s">
        <v>2006</v>
      </c>
      <c r="C13582">
        <v>129</v>
      </c>
      <c r="D13582">
        <v>140.22999999999999</v>
      </c>
      <c r="E13582">
        <v>140.22</v>
      </c>
      <c r="F13582">
        <v>0.01</v>
      </c>
    </row>
    <row r="13583" spans="1:6" x14ac:dyDescent="0.3">
      <c r="A13583" t="str">
        <f>HYPERLINK("https://us2.cloudbeds.com/connect/10074733072513#/reservations/31701455106182?display=MHRRYYMFP&amp;reservation_id=31701455106182", "MHRRYYMFP")</f>
        <v>MHRRYYMFP</v>
      </c>
      <c r="B13583" t="s">
        <v>2001</v>
      </c>
      <c r="C13583">
        <v>129</v>
      </c>
      <c r="D13583">
        <v>140.22999999999999</v>
      </c>
      <c r="E13583">
        <v>140.22</v>
      </c>
      <c r="F13583">
        <v>0.01</v>
      </c>
    </row>
    <row r="13584" spans="1:6" x14ac:dyDescent="0.3">
      <c r="A13584" t="str">
        <f>HYPERLINK("https://us2.cloudbeds.com/connect/10074733072513#/reservations/31701366571239?display=MHRPD025N&amp;reservation_id=31701366571239", "MHRPD025N")</f>
        <v>MHRPD025N</v>
      </c>
      <c r="B13584" t="s">
        <v>2012</v>
      </c>
      <c r="C13584">
        <v>73</v>
      </c>
      <c r="D13584">
        <v>79.36</v>
      </c>
      <c r="E13584">
        <v>79.349999999999994</v>
      </c>
      <c r="F13584">
        <v>0.01</v>
      </c>
    </row>
    <row r="13585" spans="1:6" x14ac:dyDescent="0.3">
      <c r="A13585" t="str">
        <f>HYPERLINK("https://us2.cloudbeds.com/connect/10074733072513#/reservations/31702160445605?display=MHSCMDQ2M&amp;reservation_id=31702160445605", "MHSCMDQ2M")</f>
        <v>MHSCMDQ2M</v>
      </c>
      <c r="B13585" t="s">
        <v>2001</v>
      </c>
      <c r="C13585">
        <v>129</v>
      </c>
      <c r="D13585">
        <v>140.22999999999999</v>
      </c>
      <c r="E13585">
        <v>140.22</v>
      </c>
      <c r="F13585">
        <v>0.01</v>
      </c>
    </row>
    <row r="13586" spans="1:6" x14ac:dyDescent="0.3">
      <c r="A13586" t="str">
        <f>HYPERLINK("https://us2.cloudbeds.com/connect/10074733072513#/reservations/31701469577464?display=MHRS0SC2E&amp;reservation_id=31701469577464", "MHRS0SC2E")</f>
        <v>MHRS0SC2E</v>
      </c>
      <c r="B13586" t="s">
        <v>2001</v>
      </c>
      <c r="C13586">
        <v>102.58</v>
      </c>
      <c r="D13586">
        <v>111.51</v>
      </c>
      <c r="E13586">
        <v>111.5</v>
      </c>
      <c r="F13586">
        <v>0.01</v>
      </c>
    </row>
    <row r="13587" spans="1:6" x14ac:dyDescent="0.3">
      <c r="A13587" t="str">
        <f>HYPERLINK("https://us2.cloudbeds.com/connect/10074733072513#/reservations/31701907484824?display=MHS673PSF&amp;reservation_id=31701907484824", "MHS673PSF")</f>
        <v>MHS673PSF</v>
      </c>
      <c r="B13587" t="s">
        <v>2006</v>
      </c>
      <c r="C13587">
        <v>129</v>
      </c>
      <c r="D13587">
        <v>140.22999999999999</v>
      </c>
      <c r="E13587">
        <v>140.22</v>
      </c>
      <c r="F13587">
        <v>0.01</v>
      </c>
    </row>
    <row r="13588" spans="1:6" x14ac:dyDescent="0.3">
      <c r="A13588" t="str">
        <f>HYPERLINK("https://us2.cloudbeds.com/connect/10074733072513#/reservations/31701461057690?display=MHRRQM9JG&amp;reservation_id=31701461057690", "MHRRQM9JG")</f>
        <v>MHRRQM9JG</v>
      </c>
      <c r="B13588" t="s">
        <v>2001</v>
      </c>
      <c r="C13588">
        <v>105.78</v>
      </c>
      <c r="D13588">
        <v>114.99</v>
      </c>
      <c r="E13588">
        <v>114.98</v>
      </c>
      <c r="F13588">
        <v>0.01</v>
      </c>
    </row>
    <row r="13589" spans="1:6" x14ac:dyDescent="0.3">
      <c r="A13589" t="str">
        <f>HYPERLINK("https://us2.cloudbeds.com/connect/10074733072513#/reservations/31702844407982?display=MHSU551NA&amp;reservation_id=31702844407982", "MHSU551NA")</f>
        <v>MHSU551NA</v>
      </c>
      <c r="B13589" t="s">
        <v>2003</v>
      </c>
      <c r="C13589">
        <v>129</v>
      </c>
      <c r="D13589">
        <v>140.22999999999999</v>
      </c>
      <c r="E13589">
        <v>140.22</v>
      </c>
      <c r="F13589">
        <v>0.01</v>
      </c>
    </row>
    <row r="13590" spans="1:6" x14ac:dyDescent="0.3">
      <c r="A13590" t="str">
        <f>HYPERLINK("https://us2.cloudbeds.com/connect/10074733072513#/reservations/31701896859890?display=MHS5V548P&amp;reservation_id=31701896859890", "MHS5V548P")</f>
        <v>MHS5V548P</v>
      </c>
      <c r="B13590" t="s">
        <v>2001</v>
      </c>
      <c r="C13590">
        <v>89</v>
      </c>
      <c r="D13590">
        <v>96.75</v>
      </c>
      <c r="E13590">
        <v>96.74</v>
      </c>
      <c r="F13590">
        <v>0.01</v>
      </c>
    </row>
    <row r="13591" spans="1:6" x14ac:dyDescent="0.3">
      <c r="A13591" t="str">
        <f>HYPERLINK("https://us2.cloudbeds.com/connect/10074733072513#/reservations/31702086963358?display=MHSAQF18U&amp;reservation_id=31702086963358", "MHSAQF18U")</f>
        <v>MHSAQF18U</v>
      </c>
      <c r="B13591" t="s">
        <v>2001</v>
      </c>
      <c r="C13591">
        <v>139</v>
      </c>
      <c r="D13591">
        <v>151.1</v>
      </c>
      <c r="E13591">
        <v>151.09</v>
      </c>
      <c r="F13591">
        <v>0.01</v>
      </c>
    </row>
    <row r="13592" spans="1:6" x14ac:dyDescent="0.3">
      <c r="A13592" t="str">
        <f>HYPERLINK("https://us2.cloudbeds.com/connect/10074733072513#/reservations/31703080026340?display=MHT35RFRX&amp;reservation_id=31703080026340", "MHT35RFRX")</f>
        <v>MHT35RFRX</v>
      </c>
      <c r="B13592" t="s">
        <v>2013</v>
      </c>
      <c r="C13592">
        <v>149</v>
      </c>
      <c r="D13592">
        <v>161.97</v>
      </c>
      <c r="E13592">
        <v>161.96</v>
      </c>
      <c r="F13592">
        <v>0.01</v>
      </c>
    </row>
    <row r="13593" spans="1:6" x14ac:dyDescent="0.3">
      <c r="A13593" t="str">
        <f>HYPERLINK("https://us2.cloudbeds.com/connect/10074733072513#/reservations/31702032392388?display=MHS9DEH65&amp;reservation_id=31702032392388", "MHS9DEH65")</f>
        <v>MHS9DEH65</v>
      </c>
      <c r="B13593" t="s">
        <v>1998</v>
      </c>
      <c r="C13593">
        <v>129</v>
      </c>
      <c r="D13593">
        <v>140.22999999999999</v>
      </c>
      <c r="E13593">
        <v>140.22</v>
      </c>
      <c r="F13593">
        <v>0.01</v>
      </c>
    </row>
    <row r="13594" spans="1:6" x14ac:dyDescent="0.3">
      <c r="A13594" t="str">
        <f>HYPERLINK("https://us2.cloudbeds.com/connect/10074733072513#/reservations/31702913417366?display=MHSVUBB6P&amp;reservation_id=31702913417366", "MHSVUBB6P")</f>
        <v>MHSVUBB6P</v>
      </c>
      <c r="B13594" t="s">
        <v>2003</v>
      </c>
      <c r="C13594">
        <v>129</v>
      </c>
      <c r="D13594">
        <v>140.22999999999999</v>
      </c>
      <c r="E13594">
        <v>140.22</v>
      </c>
      <c r="F13594">
        <v>0.01</v>
      </c>
    </row>
    <row r="13595" spans="1:6" x14ac:dyDescent="0.3">
      <c r="A13595" t="str">
        <f>HYPERLINK("https://us2.cloudbeds.com/connect/10074733072513#/reservations/31702923612400?display=MHSW5V116&amp;reservation_id=31702923612400", "MHSW5V116")</f>
        <v>MHSW5V116</v>
      </c>
      <c r="B13595" t="s">
        <v>2003</v>
      </c>
      <c r="C13595">
        <v>129</v>
      </c>
      <c r="D13595">
        <v>140.22999999999999</v>
      </c>
      <c r="E13595">
        <v>140.22</v>
      </c>
      <c r="F13595">
        <v>0.01</v>
      </c>
    </row>
    <row r="13596" spans="1:6" x14ac:dyDescent="0.3">
      <c r="A13596" t="str">
        <f>HYPERLINK("https://us2.cloudbeds.com/connect/10074733072513#/reservations/31702444175573?display=MHSJUYWRG&amp;reservation_id=31702444175573", "MHSJUYWRG")</f>
        <v>MHSJUYWRG</v>
      </c>
      <c r="B13596" t="s">
        <v>1970</v>
      </c>
      <c r="C13596">
        <v>336</v>
      </c>
      <c r="D13596">
        <v>365.24</v>
      </c>
      <c r="E13596">
        <v>365.23</v>
      </c>
      <c r="F13596">
        <v>0.01</v>
      </c>
    </row>
    <row r="13597" spans="1:6" x14ac:dyDescent="0.3">
      <c r="A13597" t="str">
        <f>HYPERLINK("https://us2.cloudbeds.com/connect/10074733072513#/reservations/31702048129186?display=MHS9QNDSQ&amp;reservation_id=31702048129186", "MHS9QNDSQ")</f>
        <v>MHS9QNDSQ</v>
      </c>
      <c r="B13597" t="s">
        <v>1998</v>
      </c>
      <c r="C13597">
        <v>129</v>
      </c>
      <c r="D13597">
        <v>140.22999999999999</v>
      </c>
      <c r="E13597">
        <v>140.22</v>
      </c>
      <c r="F13597">
        <v>0.01</v>
      </c>
    </row>
    <row r="13598" spans="1:6" x14ac:dyDescent="0.3">
      <c r="A13598" t="str">
        <f>HYPERLINK("https://us2.cloudbeds.com/connect/10074733072513#/reservations/31701699629271?display=MHS0TRTJB&amp;reservation_id=31701699629271", "MHS0TRTJB")</f>
        <v>MHS0TRTJB</v>
      </c>
      <c r="B13598" t="s">
        <v>1964</v>
      </c>
      <c r="C13598">
        <v>189</v>
      </c>
      <c r="D13598">
        <v>205.45</v>
      </c>
      <c r="E13598">
        <v>205.44</v>
      </c>
      <c r="F13598">
        <v>0.01</v>
      </c>
    </row>
    <row r="13599" spans="1:6" x14ac:dyDescent="0.3">
      <c r="A13599" t="str">
        <f>HYPERLINK("https://us2.cloudbeds.com/connect/10074733072513#/reservations/31702150623408?display=MHSCE4FKB&amp;reservation_id=31702150623408", "MHSCE4FKB")</f>
        <v>MHSCE4FKB</v>
      </c>
      <c r="B13599" t="s">
        <v>2011</v>
      </c>
      <c r="C13599">
        <v>376</v>
      </c>
      <c r="D13599">
        <v>408.72</v>
      </c>
      <c r="E13599">
        <v>408.71</v>
      </c>
      <c r="F13599">
        <v>0.01</v>
      </c>
    </row>
    <row r="13600" spans="1:6" x14ac:dyDescent="0.3">
      <c r="A13600" t="str">
        <f>HYPERLINK("https://us2.cloudbeds.com/connect/10074733072513#/reservations/31703104061686?display=MHT3Q39SC&amp;reservation_id=31703104061686", "MHT3Q39SC")</f>
        <v>MHT3Q39SC</v>
      </c>
      <c r="B13600" t="s">
        <v>2012</v>
      </c>
      <c r="C13600">
        <v>129</v>
      </c>
      <c r="D13600">
        <v>140.22999999999999</v>
      </c>
      <c r="E13600">
        <v>140.22</v>
      </c>
      <c r="F13600">
        <v>0.01</v>
      </c>
    </row>
    <row r="13601" spans="1:6" x14ac:dyDescent="0.3">
      <c r="A13601" t="str">
        <f>HYPERLINK("https://us2.cloudbeds.com/connect/10074733072513#/reservations/31700881420449?display=MHRCWU0WK&amp;reservation_id=31700881420449", "MHRCWU0WK")</f>
        <v>MHRCWU0WK</v>
      </c>
      <c r="B13601" t="s">
        <v>2015</v>
      </c>
      <c r="C13601">
        <v>318</v>
      </c>
      <c r="D13601">
        <v>345.68</v>
      </c>
      <c r="E13601">
        <v>345.67</v>
      </c>
      <c r="F13601">
        <v>0.01</v>
      </c>
    </row>
    <row r="13602" spans="1:6" x14ac:dyDescent="0.3">
      <c r="A13602" t="str">
        <f>HYPERLINK("https://us2.cloudbeds.com/connect/10074733072513#/reservations/31701217013919?display=MHRYXTDKN&amp;reservation_id=31701217013919", "MHRYXTDKN")</f>
        <v>MHRYXTDKN</v>
      </c>
      <c r="B13602" t="s">
        <v>2016</v>
      </c>
      <c r="C13602">
        <v>336</v>
      </c>
      <c r="D13602">
        <v>365.24</v>
      </c>
      <c r="E13602">
        <v>365.23</v>
      </c>
      <c r="F13602">
        <v>0.01</v>
      </c>
    </row>
    <row r="13603" spans="1:6" x14ac:dyDescent="0.3">
      <c r="A13603" t="str">
        <f>HYPERLINK("https://us2.cloudbeds.com/connect/10074733072513#/reservations/31701368127739?display=MHRPEACFC&amp;reservation_id=31701368127739", "MHRPEACFC")</f>
        <v>MHRPEACFC</v>
      </c>
      <c r="B13603" t="s">
        <v>2012</v>
      </c>
      <c r="C13603">
        <v>129</v>
      </c>
      <c r="D13603">
        <v>140.22999999999999</v>
      </c>
      <c r="E13603">
        <v>140.22</v>
      </c>
      <c r="F13603">
        <v>0.01</v>
      </c>
    </row>
    <row r="13604" spans="1:6" x14ac:dyDescent="0.3">
      <c r="A13604" t="str">
        <f>HYPERLINK("https://us2.cloudbeds.com/connect/10074733072513#/reservations/31702812659856?display=MHSTBCK7S&amp;reservation_id=31702812659856", "MHSTBCK7S")</f>
        <v>MHSTBCK7S</v>
      </c>
      <c r="B13604" t="s">
        <v>2012</v>
      </c>
      <c r="C13604">
        <v>129</v>
      </c>
      <c r="D13604">
        <v>140.22999999999999</v>
      </c>
      <c r="E13604">
        <v>140.22</v>
      </c>
      <c r="F13604">
        <v>0.01</v>
      </c>
    </row>
    <row r="13605" spans="1:6" x14ac:dyDescent="0.3">
      <c r="A13605" t="str">
        <f>HYPERLINK("https://us2.cloudbeds.com/connect/10074733072513#/reservations/31701315752068?display=MHRZ34V8R&amp;reservation_id=31701315752068", "MHRZ34V8R")</f>
        <v>MHRZ34V8R</v>
      </c>
      <c r="B13605" t="s">
        <v>2012</v>
      </c>
      <c r="C13605">
        <v>139</v>
      </c>
      <c r="D13605">
        <v>151.1</v>
      </c>
      <c r="E13605">
        <v>151.09</v>
      </c>
      <c r="F13605">
        <v>0.01</v>
      </c>
    </row>
    <row r="13606" spans="1:6" x14ac:dyDescent="0.3">
      <c r="A13606" t="str">
        <f>HYPERLINK("https://us2.cloudbeds.com/connect/10074733072513#/reservations/31700835885265?display=MHRBRGV7X&amp;reservation_id=31700835885265", "MHRBRGV7X")</f>
        <v>MHRBRGV7X</v>
      </c>
      <c r="B13606" t="s">
        <v>1788</v>
      </c>
      <c r="C13606">
        <v>189</v>
      </c>
      <c r="D13606">
        <v>205.45</v>
      </c>
      <c r="E13606">
        <v>205.44</v>
      </c>
      <c r="F13606">
        <v>0.01</v>
      </c>
    </row>
    <row r="13607" spans="1:6" x14ac:dyDescent="0.3">
      <c r="A13607" t="str">
        <f>HYPERLINK("https://us2.cloudbeds.com/connect/10074733072513#/reservations/31701952794849?display=MHS7CAJSH&amp;reservation_id=31701952794849", "MHS7CAJSH")</f>
        <v>MHS7CAJSH</v>
      </c>
      <c r="B13607" t="s">
        <v>1970</v>
      </c>
      <c r="C13607">
        <v>189</v>
      </c>
      <c r="D13607">
        <v>205.45</v>
      </c>
      <c r="E13607">
        <v>205.44</v>
      </c>
      <c r="F13607">
        <v>0.01</v>
      </c>
    </row>
    <row r="13608" spans="1:6" x14ac:dyDescent="0.3">
      <c r="A13608" t="str">
        <f>HYPERLINK("https://us2.cloudbeds.com/connect/10074733072513#/reservations/31703127015674?display=MHT4CF0TZ&amp;reservation_id=31703127015674", "MHT4CF0TZ")</f>
        <v>MHT4CF0TZ</v>
      </c>
      <c r="B13608" t="s">
        <v>1970</v>
      </c>
      <c r="C13608">
        <v>189</v>
      </c>
      <c r="D13608">
        <v>205.45</v>
      </c>
      <c r="E13608">
        <v>205.44</v>
      </c>
      <c r="F13608">
        <v>0.01</v>
      </c>
    </row>
    <row r="13609" spans="1:6" x14ac:dyDescent="0.3">
      <c r="A13609" t="str">
        <f>HYPERLINK("https://us2.cloudbeds.com/connect/10074733072513#/reservations/31702435037354?display=MHSJMVNEP&amp;reservation_id=31702435037354", "MHSJMVNEP")</f>
        <v>MHSJMVNEP</v>
      </c>
      <c r="B13609" t="s">
        <v>1970</v>
      </c>
      <c r="C13609">
        <v>189</v>
      </c>
      <c r="D13609">
        <v>205.45</v>
      </c>
      <c r="E13609">
        <v>205.44</v>
      </c>
      <c r="F13609">
        <v>0.01</v>
      </c>
    </row>
    <row r="13610" spans="1:6" x14ac:dyDescent="0.3">
      <c r="A13610" t="str">
        <f>HYPERLINK("https://us2.cloudbeds.com/connect/10074733072513#/reservations/31701597810820?display=MHRV9WYCZ&amp;reservation_id=31701597810820", "MHRV9WYCZ")</f>
        <v>MHRV9WYCZ</v>
      </c>
      <c r="B13610" t="s">
        <v>1970</v>
      </c>
      <c r="C13610">
        <v>199</v>
      </c>
      <c r="D13610">
        <v>216.32</v>
      </c>
      <c r="E13610">
        <v>216.31</v>
      </c>
      <c r="F13610">
        <v>0.01</v>
      </c>
    </row>
    <row r="13611" spans="1:6" x14ac:dyDescent="0.3">
      <c r="A13611" t="str">
        <f>HYPERLINK("https://us2.cloudbeds.com/connect/10074733072513#/reservations/31701607309524?display=MHRVHWVQ8&amp;reservation_id=31701607309524", "MHRVHWVQ8")</f>
        <v>MHRVHWVQ8</v>
      </c>
      <c r="B13611" t="s">
        <v>1970</v>
      </c>
      <c r="C13611">
        <v>189</v>
      </c>
      <c r="D13611">
        <v>205.45</v>
      </c>
      <c r="E13611">
        <v>205.44</v>
      </c>
      <c r="F13611">
        <v>0.01</v>
      </c>
    </row>
    <row r="13612" spans="1:6" x14ac:dyDescent="0.3">
      <c r="A13612" t="str">
        <f>HYPERLINK("https://us2.cloudbeds.com/connect/10074733072513#/reservations/31701640757395?display=MHRWD6N33&amp;reservation_id=31701640757395", "MHRWD6N33")</f>
        <v>MHRWD6N33</v>
      </c>
      <c r="B13612" t="s">
        <v>1916</v>
      </c>
      <c r="C13612">
        <v>318</v>
      </c>
      <c r="D13612">
        <v>345.68</v>
      </c>
      <c r="E13612">
        <v>345.67</v>
      </c>
      <c r="F13612">
        <v>0.01</v>
      </c>
    </row>
    <row r="13613" spans="1:6" x14ac:dyDescent="0.3">
      <c r="A13613" t="str">
        <f>HYPERLINK("https://us2.cloudbeds.com/connect/10074733072513#/reservations/31701983039720?display=MHS84R6UP&amp;reservation_id=31701983039720", "MHS84R6UP")</f>
        <v>MHS84R6UP</v>
      </c>
      <c r="B13613" t="s">
        <v>1970</v>
      </c>
      <c r="C13613">
        <v>189</v>
      </c>
      <c r="D13613">
        <v>205.45</v>
      </c>
      <c r="E13613">
        <v>205.44</v>
      </c>
      <c r="F13613">
        <v>0.01</v>
      </c>
    </row>
    <row r="13614" spans="1:6" x14ac:dyDescent="0.3">
      <c r="A13614" t="str">
        <f>HYPERLINK("https://us2.cloudbeds.com/connect/10074733072513#/reservations/31701992833213?display=MHS8D2Z19&amp;reservation_id=31701992833213", "MHS8D2Z19")</f>
        <v>MHS8D2Z19</v>
      </c>
      <c r="B13614" t="s">
        <v>1970</v>
      </c>
      <c r="C13614">
        <v>209</v>
      </c>
      <c r="D13614">
        <v>227.19</v>
      </c>
      <c r="E13614">
        <v>227.18</v>
      </c>
      <c r="F13614">
        <v>0.01</v>
      </c>
    </row>
    <row r="13615" spans="1:6" x14ac:dyDescent="0.3">
      <c r="A13615" t="str">
        <f>HYPERLINK("https://us2.cloudbeds.com/connect/10074733072513#/reservations/31701323260064?display=MHRZ9FSYS&amp;reservation_id=31701323260064", "MHRZ9FSYS")</f>
        <v>MHRZ9FSYS</v>
      </c>
      <c r="B13615" t="s">
        <v>1999</v>
      </c>
      <c r="C13615">
        <v>179</v>
      </c>
      <c r="D13615">
        <v>194.58</v>
      </c>
      <c r="E13615">
        <v>194.57</v>
      </c>
      <c r="F13615">
        <v>0.01</v>
      </c>
    </row>
    <row r="13616" spans="1:6" x14ac:dyDescent="0.3">
      <c r="A13616" t="str">
        <f>HYPERLINK("https://us2.cloudbeds.com/connect/10074733072513#/reservations/31703070425232?display=MHT2UZACT&amp;reservation_id=31703070425232", "MHT2UZACT")</f>
        <v>MHT2UZACT</v>
      </c>
      <c r="B13616" t="s">
        <v>2013</v>
      </c>
      <c r="C13616">
        <v>129</v>
      </c>
      <c r="D13616">
        <v>140.22999999999999</v>
      </c>
      <c r="E13616">
        <v>140.22</v>
      </c>
      <c r="F13616">
        <v>0.01</v>
      </c>
    </row>
    <row r="13617" spans="1:6" x14ac:dyDescent="0.3">
      <c r="A13617" t="str">
        <f>HYPERLINK("https://us2.cloudbeds.com/connect/10074733072513#/reservations/31702055456960?display=MHS9M7FPX&amp;reservation_id=31702055456960", "MHS9M7FPX")</f>
        <v>MHS9M7FPX</v>
      </c>
      <c r="B13617" t="s">
        <v>1916</v>
      </c>
      <c r="C13617">
        <v>209</v>
      </c>
      <c r="D13617">
        <v>227.19</v>
      </c>
      <c r="E13617">
        <v>227.18</v>
      </c>
      <c r="F13617">
        <v>0.01</v>
      </c>
    </row>
    <row r="13618" spans="1:6" x14ac:dyDescent="0.3">
      <c r="A13618" t="str">
        <f>HYPERLINK("https://us2.cloudbeds.com/connect/10074733072513#/reservations/31701128958202?display=MHRJAY4CY&amp;reservation_id=31701128958202", "MHRJAY4CY")</f>
        <v>MHRJAY4CY</v>
      </c>
      <c r="B13618" t="s">
        <v>2009</v>
      </c>
      <c r="C13618">
        <v>398</v>
      </c>
      <c r="D13618">
        <v>432.64</v>
      </c>
      <c r="E13618">
        <v>432.63</v>
      </c>
      <c r="F13618">
        <v>0.01</v>
      </c>
    </row>
    <row r="13619" spans="1:6" x14ac:dyDescent="0.3">
      <c r="A13619" t="str">
        <f>HYPERLINK("https://us2.cloudbeds.com/connect/10074733072513#/reservations/31701854036164?display=MHS4S1GC3&amp;reservation_id=31701854036164", "MHS4S1GC3")</f>
        <v>MHS4S1GC3</v>
      </c>
      <c r="B13619" t="s">
        <v>2014</v>
      </c>
      <c r="C13619">
        <v>129</v>
      </c>
      <c r="D13619">
        <v>140.22999999999999</v>
      </c>
      <c r="E13619">
        <v>140.22</v>
      </c>
      <c r="F13619">
        <v>0.01</v>
      </c>
    </row>
    <row r="13620" spans="1:6" x14ac:dyDescent="0.3">
      <c r="A13620" t="str">
        <f>HYPERLINK("https://us2.cloudbeds.com/connect/10074733072513#/reservations/31701843730591?display=MHS4JBZ10&amp;reservation_id=31701843730591", "MHS4JBZ10")</f>
        <v>MHS4JBZ10</v>
      </c>
      <c r="B13620" t="s">
        <v>2014</v>
      </c>
      <c r="C13620">
        <v>129</v>
      </c>
      <c r="D13620">
        <v>140.22999999999999</v>
      </c>
      <c r="E13620">
        <v>140.22</v>
      </c>
      <c r="F13620">
        <v>0.01</v>
      </c>
    </row>
    <row r="13621" spans="1:6" x14ac:dyDescent="0.3">
      <c r="A13621" t="str">
        <f>HYPERLINK("https://us2.cloudbeds.com/connect/10074733072513#/reservations/31701833253079?display=MHS4AH5QY&amp;reservation_id=31701833253079", "MHS4AH5QY")</f>
        <v>MHS4AH5QY</v>
      </c>
      <c r="B13621" t="s">
        <v>2014</v>
      </c>
      <c r="C13621">
        <v>129</v>
      </c>
      <c r="D13621">
        <v>140.22999999999999</v>
      </c>
      <c r="E13621">
        <v>140.22</v>
      </c>
      <c r="F13621">
        <v>0.01</v>
      </c>
    </row>
    <row r="13622" spans="1:6" x14ac:dyDescent="0.3">
      <c r="A13622" t="str">
        <f>HYPERLINK("https://us2.cloudbeds.com/connect/10074733072513#/reservations/31701820534914?display=MHS3WQ91N&amp;reservation_id=31701820534914", "MHS3WQ91N")</f>
        <v>MHS3WQ91N</v>
      </c>
      <c r="B13622" t="s">
        <v>2014</v>
      </c>
      <c r="C13622">
        <v>159</v>
      </c>
      <c r="D13622">
        <v>172.84</v>
      </c>
      <c r="E13622">
        <v>172.83</v>
      </c>
      <c r="F13622">
        <v>0.01</v>
      </c>
    </row>
    <row r="13623" spans="1:6" x14ac:dyDescent="0.3">
      <c r="A13623" t="str">
        <f>HYPERLINK("https://us2.cloudbeds.com/connect/10074733072513#/reservations/31700830245094?display=MHRBMP009&amp;reservation_id=31700830245094", "MHRBMP009")</f>
        <v>MHRBMP009</v>
      </c>
      <c r="B13623" t="s">
        <v>2017</v>
      </c>
      <c r="C13623">
        <v>119</v>
      </c>
      <c r="D13623">
        <v>129.36000000000001</v>
      </c>
      <c r="E13623">
        <v>129.35</v>
      </c>
      <c r="F13623">
        <v>0.01</v>
      </c>
    </row>
    <row r="13624" spans="1:6" x14ac:dyDescent="0.3">
      <c r="A13624" t="str">
        <f>HYPERLINK("https://us2.cloudbeds.com/connect/10074733072513#/reservations/31703025635505?display=MHT1PVW5E&amp;reservation_id=31703025635505", "MHT1PVW5E")</f>
        <v>MHT1PVW5E</v>
      </c>
      <c r="B13624" t="s">
        <v>1998</v>
      </c>
      <c r="C13624">
        <v>258</v>
      </c>
      <c r="D13624">
        <v>280.45999999999998</v>
      </c>
      <c r="E13624">
        <v>280.45</v>
      </c>
      <c r="F13624">
        <v>0.01</v>
      </c>
    </row>
    <row r="13625" spans="1:6" x14ac:dyDescent="0.3">
      <c r="A13625" t="str">
        <f>HYPERLINK("https://us2.cloudbeds.com/connect/10074733072513#/reservations/31701863944349?display=MHS53D6Q4&amp;reservation_id=31701863944349", "MHS53D6Q4")</f>
        <v>MHS53D6Q4</v>
      </c>
      <c r="B13625" t="s">
        <v>2014</v>
      </c>
      <c r="C13625">
        <v>129</v>
      </c>
      <c r="D13625">
        <v>140.22999999999999</v>
      </c>
      <c r="E13625">
        <v>140.22</v>
      </c>
      <c r="F13625">
        <v>0.01</v>
      </c>
    </row>
    <row r="13626" spans="1:6" x14ac:dyDescent="0.3">
      <c r="A13626" t="str">
        <f>HYPERLINK("https://us2.cloudbeds.com/connect/10074733072513#/reservations/31701115838669?display=MHRXWJ221&amp;reservation_id=31701115838669", "MHRXWJ221")</f>
        <v>MHRXWJ221</v>
      </c>
      <c r="B13626" t="s">
        <v>1999</v>
      </c>
      <c r="C13626">
        <v>258</v>
      </c>
      <c r="D13626">
        <v>280.45999999999998</v>
      </c>
      <c r="E13626">
        <v>280.45</v>
      </c>
      <c r="F13626">
        <v>0.01</v>
      </c>
    </row>
    <row r="13627" spans="1:6" x14ac:dyDescent="0.3">
      <c r="A13627" t="str">
        <f>HYPERLINK("https://us2.cloudbeds.com/connect/10074733072513#/reservations/31701428953244?display=MHRQWJUUG&amp;reservation_id=31701428953244", "MHRQWJUUG")</f>
        <v>MHRQWJUUG</v>
      </c>
      <c r="B13627" t="s">
        <v>1796</v>
      </c>
      <c r="C13627">
        <v>179</v>
      </c>
      <c r="D13627">
        <v>194.58</v>
      </c>
      <c r="E13627">
        <v>194.57</v>
      </c>
      <c r="F13627">
        <v>0.01</v>
      </c>
    </row>
    <row r="13628" spans="1:6" x14ac:dyDescent="0.3">
      <c r="A13628" t="str">
        <f>HYPERLINK("https://us2.cloudbeds.com/connect/10074733072513#/reservations/31701482303651?display=MHRSBJG6G&amp;reservation_id=31701482303651", "MHRSBJG6G")</f>
        <v>MHRSBJG6G</v>
      </c>
      <c r="B13628" t="s">
        <v>1796</v>
      </c>
      <c r="C13628">
        <v>113</v>
      </c>
      <c r="D13628">
        <v>122.84</v>
      </c>
      <c r="E13628">
        <v>122.83</v>
      </c>
      <c r="F13628">
        <v>0.01</v>
      </c>
    </row>
    <row r="13629" spans="1:6" x14ac:dyDescent="0.3">
      <c r="A13629" t="str">
        <f>HYPERLINK("https://us2.cloudbeds.com/connect/10074733072513#/reservations/31702200434833?display=MHSDN4X4F&amp;reservation_id=31702200434833", "MHSDN4X4F")</f>
        <v>MHSDN4X4F</v>
      </c>
      <c r="B13629" t="s">
        <v>2011</v>
      </c>
      <c r="C13629">
        <v>189</v>
      </c>
      <c r="D13629">
        <v>205.45</v>
      </c>
      <c r="E13629">
        <v>205.44</v>
      </c>
      <c r="F13629">
        <v>0.01</v>
      </c>
    </row>
    <row r="13630" spans="1:6" x14ac:dyDescent="0.3">
      <c r="A13630" t="str">
        <f>HYPERLINK("https://us2.cloudbeds.com/connect/10074733072513#/reservations/31702567280877?display=MHSN2FJ68&amp;reservation_id=31702567280877", "MHSN2FJ68")</f>
        <v>MHSN2FJ68</v>
      </c>
      <c r="B13630" t="s">
        <v>1917</v>
      </c>
      <c r="C13630">
        <v>378</v>
      </c>
      <c r="D13630">
        <v>410.9</v>
      </c>
      <c r="E13630">
        <v>410.89</v>
      </c>
      <c r="F13630">
        <v>0.01</v>
      </c>
    </row>
    <row r="13631" spans="1:6" x14ac:dyDescent="0.3">
      <c r="A13631" t="str">
        <f>HYPERLINK("https://us2.cloudbeds.com/connect/10074733072513#/reservations/31701402202254?display=MHRQA1X6E&amp;reservation_id=31701402202254", "MHRQA1X6E")</f>
        <v>MHRQA1X6E</v>
      </c>
      <c r="B13631" t="s">
        <v>1796</v>
      </c>
      <c r="C13631">
        <v>97.74</v>
      </c>
      <c r="D13631">
        <v>106.25</v>
      </c>
      <c r="E13631">
        <v>106.24</v>
      </c>
      <c r="F13631">
        <v>0.01</v>
      </c>
    </row>
    <row r="13632" spans="1:6" x14ac:dyDescent="0.3">
      <c r="A13632" t="str">
        <f>HYPERLINK("https://us2.cloudbeds.com/connect/10074733072513#/reservations/31701452669128?display=MHRRJJSJY&amp;reservation_id=31701452669128", "MHRRJJSJY")</f>
        <v>MHRRJJSJY</v>
      </c>
      <c r="B13632" t="s">
        <v>1796</v>
      </c>
      <c r="C13632">
        <v>149</v>
      </c>
      <c r="D13632">
        <v>161.97</v>
      </c>
      <c r="E13632">
        <v>161.96</v>
      </c>
      <c r="F13632">
        <v>0.01</v>
      </c>
    </row>
    <row r="13633" spans="1:6" x14ac:dyDescent="0.3">
      <c r="A13633" t="str">
        <f>HYPERLINK("https://us2.cloudbeds.com/connect/10074733072513#/reservations/31702612840621?display=MHSZ7TBGX&amp;reservation_id=31702612840621", "MHSZ7TBGX")</f>
        <v>MHSZ7TBGX</v>
      </c>
      <c r="B13633" t="s">
        <v>2011</v>
      </c>
      <c r="C13633">
        <v>149</v>
      </c>
      <c r="D13633">
        <v>161.97</v>
      </c>
      <c r="E13633">
        <v>161.96</v>
      </c>
      <c r="F13633">
        <v>0.01</v>
      </c>
    </row>
    <row r="13634" spans="1:6" x14ac:dyDescent="0.3">
      <c r="A13634" t="str">
        <f>HYPERLINK("https://us2.cloudbeds.com/connect/10074733072513#/reservations/31702621143174?display=MHSZETCH2&amp;reservation_id=31702621143174", "MHSZETCH2")</f>
        <v>MHSZETCH2</v>
      </c>
      <c r="B13634" t="s">
        <v>2011</v>
      </c>
      <c r="C13634">
        <v>129</v>
      </c>
      <c r="D13634">
        <v>140.22999999999999</v>
      </c>
      <c r="E13634">
        <v>140.22</v>
      </c>
      <c r="F13634">
        <v>0.01</v>
      </c>
    </row>
    <row r="13635" spans="1:6" x14ac:dyDescent="0.3">
      <c r="A13635" t="str">
        <f>HYPERLINK("https://us2.cloudbeds.com/connect/10074733072513#/reservations/31701482307746?display=MHRSBJJVJ&amp;reservation_id=31701482307746", "MHRSBJJVJ")</f>
        <v>MHRSBJJVJ</v>
      </c>
      <c r="B13635" t="s">
        <v>2011</v>
      </c>
      <c r="C13635">
        <v>169</v>
      </c>
      <c r="D13635">
        <v>183.71</v>
      </c>
      <c r="E13635">
        <v>183.7</v>
      </c>
      <c r="F13635">
        <v>0.01</v>
      </c>
    </row>
    <row r="13636" spans="1:6" x14ac:dyDescent="0.3">
      <c r="A13636" t="str">
        <f>HYPERLINK("https://us2.cloudbeds.com/connect/10074733072513#/reservations/31702668271816?display=MHSPYKQGZ&amp;reservation_id=31702668271816", "MHSPYKQGZ")</f>
        <v>MHSPYKQGZ</v>
      </c>
      <c r="B13636" t="s">
        <v>2011</v>
      </c>
      <c r="C13636">
        <v>149</v>
      </c>
      <c r="D13636">
        <v>161.97</v>
      </c>
      <c r="E13636">
        <v>161.96</v>
      </c>
      <c r="F13636">
        <v>0.01</v>
      </c>
    </row>
    <row r="13637" spans="1:6" x14ac:dyDescent="0.3">
      <c r="A13637" t="str">
        <f>HYPERLINK("https://us2.cloudbeds.com/connect/10074733072513#/reservations/31702126981263?display=MHSBR6JYN&amp;reservation_id=31702126981263", "MHSBR6JYN")</f>
        <v>MHSBR6JYN</v>
      </c>
      <c r="B13637" t="s">
        <v>2011</v>
      </c>
      <c r="C13637">
        <v>149</v>
      </c>
      <c r="D13637">
        <v>161.97</v>
      </c>
      <c r="E13637">
        <v>161.96</v>
      </c>
      <c r="F13637">
        <v>0.01</v>
      </c>
    </row>
    <row r="13638" spans="1:6" x14ac:dyDescent="0.3">
      <c r="A13638" t="str">
        <f>HYPERLINK("https://us2.cloudbeds.com/connect/10074733072513#/reservations/31702120296646?display=MHSBYXJBX&amp;reservation_id=31702120296646", "MHSBYXJBX")</f>
        <v>MHSBYXJBX</v>
      </c>
      <c r="B13638" t="s">
        <v>2011</v>
      </c>
      <c r="C13638">
        <v>149</v>
      </c>
      <c r="D13638">
        <v>161.97</v>
      </c>
      <c r="E13638">
        <v>161.96</v>
      </c>
      <c r="F13638">
        <v>0.01</v>
      </c>
    </row>
    <row r="13639" spans="1:6" x14ac:dyDescent="0.3">
      <c r="A13639" t="str">
        <f>HYPERLINK("https://us2.cloudbeds.com/connect/10074733072513#/reservations/31702115233965?display=MHSBH9NDW&amp;reservation_id=31702115233965", "MHSBH9NDW")</f>
        <v>MHSBH9NDW</v>
      </c>
      <c r="B13639" t="s">
        <v>2011</v>
      </c>
      <c r="C13639">
        <v>149</v>
      </c>
      <c r="D13639">
        <v>161.97</v>
      </c>
      <c r="E13639">
        <v>161.96</v>
      </c>
      <c r="F13639">
        <v>0.01</v>
      </c>
    </row>
    <row r="13640" spans="1:6" x14ac:dyDescent="0.3">
      <c r="A13640" t="str">
        <f>HYPERLINK("https://us2.cloudbeds.com/connect/10074733072513#/reservations/31701625241827?display=MHRW03VXC&amp;reservation_id=31701625241827", "MHRW03VXC")</f>
        <v>MHRW03VXC</v>
      </c>
      <c r="B13640" t="s">
        <v>1916</v>
      </c>
      <c r="C13640">
        <v>159</v>
      </c>
      <c r="D13640">
        <v>172.84</v>
      </c>
      <c r="E13640">
        <v>172.83</v>
      </c>
      <c r="F13640">
        <v>0.01</v>
      </c>
    </row>
    <row r="13641" spans="1:6" x14ac:dyDescent="0.3">
      <c r="A13641" t="str">
        <f>HYPERLINK("https://us2.cloudbeds.com/connect/10074733072513#/reservations/31702248059087?display=MHSEU9P7M&amp;reservation_id=31702248059087", "MHSEU9P7M")</f>
        <v>MHSEU9P7M</v>
      </c>
      <c r="B13641" t="s">
        <v>1916</v>
      </c>
      <c r="C13641">
        <v>189</v>
      </c>
      <c r="D13641">
        <v>205.45</v>
      </c>
      <c r="E13641">
        <v>205.44</v>
      </c>
      <c r="F13641">
        <v>0.01</v>
      </c>
    </row>
    <row r="13642" spans="1:6" x14ac:dyDescent="0.3">
      <c r="A13642" t="str">
        <f>HYPERLINK("https://us2.cloudbeds.com/connect/10074733072513#/reservations/31702599999699?display=MHSNU210N&amp;reservation_id=31702599999699", "MHSNU210N")</f>
        <v>MHSNU210N</v>
      </c>
      <c r="B13642" t="s">
        <v>2011</v>
      </c>
      <c r="C13642">
        <v>149</v>
      </c>
      <c r="D13642">
        <v>161.97</v>
      </c>
      <c r="E13642">
        <v>161.96</v>
      </c>
      <c r="F13642">
        <v>0.01</v>
      </c>
    </row>
    <row r="13643" spans="1:6" x14ac:dyDescent="0.3">
      <c r="A13643" t="str">
        <f>HYPERLINK("https://us2.cloudbeds.com/connect/10074733072513#/reservations/31701696819390?display=MHS0RFNBE&amp;reservation_id=31701696819390", "MHS0RFNBE")</f>
        <v>MHS0RFNBE</v>
      </c>
      <c r="B13643" t="s">
        <v>1916</v>
      </c>
      <c r="C13643">
        <v>189</v>
      </c>
      <c r="D13643">
        <v>205.45</v>
      </c>
      <c r="E13643">
        <v>205.44</v>
      </c>
      <c r="F13643">
        <v>0.01</v>
      </c>
    </row>
    <row r="13644" spans="1:6" x14ac:dyDescent="0.3">
      <c r="A13644" t="str">
        <f>HYPERLINK("https://us2.cloudbeds.com/connect/10074733072513#/reservations/31702685573267?display=MHSQ377W4&amp;reservation_id=31702685573267", "MHSQ377W4")</f>
        <v>MHSQ377W4</v>
      </c>
      <c r="B13644" t="s">
        <v>2018</v>
      </c>
      <c r="C13644">
        <v>282</v>
      </c>
      <c r="D13644">
        <v>306.54000000000002</v>
      </c>
      <c r="E13644">
        <v>306.52999999999997</v>
      </c>
      <c r="F13644">
        <v>0.01</v>
      </c>
    </row>
    <row r="13645" spans="1:6" x14ac:dyDescent="0.3">
      <c r="A13645" t="str">
        <f>HYPERLINK("https://us2.cloudbeds.com/connect/10074733072513#/reservations/31701702381778?display=MHS0W5G4Y&amp;reservation_id=31701702381778", "MHS0W5G4Y")</f>
        <v>MHS0W5G4Y</v>
      </c>
      <c r="B13645" t="s">
        <v>1916</v>
      </c>
      <c r="C13645">
        <v>219</v>
      </c>
      <c r="D13645">
        <v>238.06</v>
      </c>
      <c r="E13645">
        <v>238.05</v>
      </c>
      <c r="F13645">
        <v>0.01</v>
      </c>
    </row>
    <row r="13646" spans="1:6" x14ac:dyDescent="0.3">
      <c r="A13646" t="str">
        <f>HYPERLINK("https://us2.cloudbeds.com/connect/10074733072513#/reservations/31702590132410?display=MHSNYZF4V&amp;reservation_id=31702590132410", "MHSNYZF4V")</f>
        <v>MHSNYZF4V</v>
      </c>
      <c r="B13646" t="s">
        <v>1917</v>
      </c>
      <c r="C13646">
        <v>418</v>
      </c>
      <c r="D13646">
        <v>454.38</v>
      </c>
      <c r="E13646">
        <v>454.37</v>
      </c>
      <c r="F13646">
        <v>0.01</v>
      </c>
    </row>
    <row r="13647" spans="1:6" x14ac:dyDescent="0.3">
      <c r="A13647" t="str">
        <f>HYPERLINK("https://us2.cloudbeds.com/connect/10074733072513#/reservations/31702055457021?display=MHS9WTARE&amp;reservation_id=31702055457021", "MHS9WTARE")</f>
        <v>MHS9WTARE</v>
      </c>
      <c r="B13647" t="s">
        <v>2009</v>
      </c>
      <c r="C13647">
        <v>358</v>
      </c>
      <c r="D13647">
        <v>389.16</v>
      </c>
      <c r="E13647">
        <v>389.15</v>
      </c>
      <c r="F13647">
        <v>0.01</v>
      </c>
    </row>
    <row r="13648" spans="1:6" x14ac:dyDescent="0.3">
      <c r="A13648" t="str">
        <f>HYPERLINK("https://us2.cloudbeds.com/connect/10074733072513#/reservations/31701100961928?display=MHRXK134N&amp;reservation_id=31701100961928", "MHRXK134N")</f>
        <v>MHRXK134N</v>
      </c>
      <c r="B13648" t="s">
        <v>2016</v>
      </c>
      <c r="C13648">
        <v>139</v>
      </c>
      <c r="D13648">
        <v>151.1</v>
      </c>
      <c r="E13648">
        <v>151.09</v>
      </c>
      <c r="F13648">
        <v>0.01</v>
      </c>
    </row>
    <row r="13649" spans="1:6" x14ac:dyDescent="0.3">
      <c r="A13649" t="str">
        <f>HYPERLINK("https://us2.cloudbeds.com/connect/10074733072513#/reservations/31702171934882?display=MHSCW3GCJ&amp;reservation_id=31702171934882", "MHSCW3GCJ")</f>
        <v>MHSCW3GCJ</v>
      </c>
      <c r="B13649" t="s">
        <v>1917</v>
      </c>
      <c r="C13649">
        <v>189</v>
      </c>
      <c r="D13649">
        <v>205.45</v>
      </c>
      <c r="E13649">
        <v>205.44</v>
      </c>
      <c r="F13649">
        <v>0.01</v>
      </c>
    </row>
    <row r="13650" spans="1:6" x14ac:dyDescent="0.3">
      <c r="A13650" t="str">
        <f>HYPERLINK("https://us2.cloudbeds.com/connect/10074733072513#/reservations/31702556930258?display=MHSMQZXG4&amp;reservation_id=31702556930258", "MHSMQZXG4")</f>
        <v>MHSMQZXG4</v>
      </c>
      <c r="B13650" t="s">
        <v>1917</v>
      </c>
      <c r="C13650">
        <v>189</v>
      </c>
      <c r="D13650">
        <v>205.45</v>
      </c>
      <c r="E13650">
        <v>205.44</v>
      </c>
      <c r="F13650">
        <v>0.01</v>
      </c>
    </row>
    <row r="13651" spans="1:6" x14ac:dyDescent="0.3">
      <c r="A13651" t="str">
        <f>HYPERLINK("https://us2.cloudbeds.com/connect/10074733072513#/reservations/31702235373792?display=MHSEJJPYQ&amp;reservation_id=31702235373792", "MHSEJJPYQ")</f>
        <v>MHSEJJPYQ</v>
      </c>
      <c r="B13651" t="s">
        <v>1916</v>
      </c>
      <c r="C13651">
        <v>189</v>
      </c>
      <c r="D13651">
        <v>205.45</v>
      </c>
      <c r="E13651">
        <v>205.44</v>
      </c>
      <c r="F13651">
        <v>0.01</v>
      </c>
    </row>
    <row r="13652" spans="1:6" x14ac:dyDescent="0.3">
      <c r="A13652" t="str">
        <f>HYPERLINK("https://us2.cloudbeds.com/connect/10074733072513#/reservations/31702243483828?display=MHSEQEETF&amp;reservation_id=31702243483828", "MHSEQEETF")</f>
        <v>MHSEQEETF</v>
      </c>
      <c r="B13652" t="s">
        <v>1916</v>
      </c>
      <c r="C13652">
        <v>189</v>
      </c>
      <c r="D13652">
        <v>205.45</v>
      </c>
      <c r="E13652">
        <v>205.44</v>
      </c>
      <c r="F13652">
        <v>0.01</v>
      </c>
    </row>
    <row r="13653" spans="1:6" x14ac:dyDescent="0.3">
      <c r="A13653" t="str">
        <f>HYPERLINK("https://us2.cloudbeds.com/connect/10074733072513#/reservations/31701136904341?display=MHRJHB83Z&amp;reservation_id=31701136904341", "MHRJHB83Z")</f>
        <v>MHRJHB83Z</v>
      </c>
      <c r="B13653" t="s">
        <v>2009</v>
      </c>
      <c r="C13653">
        <v>129</v>
      </c>
      <c r="D13653">
        <v>140.22999999999999</v>
      </c>
      <c r="E13653">
        <v>140.22</v>
      </c>
      <c r="F13653">
        <v>0.01</v>
      </c>
    </row>
    <row r="13654" spans="1:6" x14ac:dyDescent="0.3">
      <c r="A13654" t="str">
        <f>HYPERLINK("https://us2.cloudbeds.com/connect/10074733072513#/reservations/31702574317707?display=MHSN8DCUH&amp;reservation_id=31702574317707", "MHSN8DCUH")</f>
        <v>MHSN8DCUH</v>
      </c>
      <c r="B13654" t="s">
        <v>2009</v>
      </c>
      <c r="C13654">
        <v>129</v>
      </c>
      <c r="D13654">
        <v>140.22999999999999</v>
      </c>
      <c r="E13654">
        <v>140.22</v>
      </c>
      <c r="F13654">
        <v>0.01</v>
      </c>
    </row>
    <row r="13655" spans="1:6" x14ac:dyDescent="0.3">
      <c r="A13655" t="str">
        <f>HYPERLINK("https://us2.cloudbeds.com/connect/10074733072513#/reservations/31701157900488?display=MHRK21GAK&amp;reservation_id=31701157900488", "MHRK21GAK")</f>
        <v>MHRK21GAK</v>
      </c>
      <c r="B13655" t="s">
        <v>2009</v>
      </c>
      <c r="C13655">
        <v>129</v>
      </c>
      <c r="D13655">
        <v>140.22999999999999</v>
      </c>
      <c r="E13655">
        <v>140.22</v>
      </c>
      <c r="F13655">
        <v>0.01</v>
      </c>
    </row>
    <row r="13656" spans="1:6" x14ac:dyDescent="0.3">
      <c r="A13656" t="str">
        <f>HYPERLINK("https://us2.cloudbeds.com/connect/10074733072513#/reservations/31701200306383?display=MHRY4QGHZ&amp;reservation_id=31701200306383", "MHRY4QGHZ")</f>
        <v>MHRY4QGHZ</v>
      </c>
      <c r="B13656" t="s">
        <v>2009</v>
      </c>
      <c r="C13656">
        <v>129</v>
      </c>
      <c r="D13656">
        <v>140.22999999999999</v>
      </c>
      <c r="E13656">
        <v>140.22</v>
      </c>
      <c r="F13656">
        <v>0.01</v>
      </c>
    </row>
    <row r="13657" spans="1:6" x14ac:dyDescent="0.3">
      <c r="A13657" t="str">
        <f>HYPERLINK("https://us2.cloudbeds.com/connect/10074733072513#/reservations/31701914034402?display=MHS6CY15H&amp;reservation_id=31701914034402", "MHS6CY15H")</f>
        <v>MHS6CY15H</v>
      </c>
      <c r="B13657" t="s">
        <v>1833</v>
      </c>
      <c r="C13657">
        <v>338</v>
      </c>
      <c r="D13657">
        <v>367.42</v>
      </c>
      <c r="E13657">
        <v>367.41</v>
      </c>
      <c r="F13657">
        <v>0.01</v>
      </c>
    </row>
    <row r="13658" spans="1:6" x14ac:dyDescent="0.3">
      <c r="A13658" t="str">
        <f>HYPERLINK("https://us2.cloudbeds.com/connect/10074733072513#/reservations/31701241106680?display=MHRM66RCC&amp;reservation_id=31701241106680", "MHRM66RCC")</f>
        <v>MHRM66RCC</v>
      </c>
      <c r="B13658" t="s">
        <v>2016</v>
      </c>
      <c r="C13658">
        <v>129</v>
      </c>
      <c r="D13658">
        <v>140.22999999999999</v>
      </c>
      <c r="E13658">
        <v>140.22</v>
      </c>
      <c r="F13658">
        <v>0.01</v>
      </c>
    </row>
    <row r="13659" spans="1:6" x14ac:dyDescent="0.3">
      <c r="A13659" t="str">
        <f>HYPERLINK("https://us2.cloudbeds.com/connect/10074733072513#/reservations/31701501358327?display=MHRSRYNJU&amp;reservation_id=31701501358327", "MHRSRYNJU")</f>
        <v>MHRSRYNJU</v>
      </c>
      <c r="B13659" t="s">
        <v>2018</v>
      </c>
      <c r="C13659">
        <v>241.32</v>
      </c>
      <c r="D13659">
        <v>262.32</v>
      </c>
      <c r="E13659">
        <v>262.31</v>
      </c>
      <c r="F13659">
        <v>0.01</v>
      </c>
    </row>
    <row r="13660" spans="1:6" x14ac:dyDescent="0.3">
      <c r="A13660" t="str">
        <f>HYPERLINK("https://us2.cloudbeds.com/connect/10074733072513#/reservations/31701195194521?display=MHRY0G8ER&amp;reservation_id=31701195194521", "MHRY0G8ER")</f>
        <v>MHRY0G8ER</v>
      </c>
      <c r="B13660" t="s">
        <v>2020</v>
      </c>
      <c r="C13660">
        <v>109</v>
      </c>
      <c r="D13660">
        <v>118.49</v>
      </c>
      <c r="E13660">
        <v>118.48</v>
      </c>
      <c r="F13660">
        <v>0.01</v>
      </c>
    </row>
    <row r="13661" spans="1:6" x14ac:dyDescent="0.3">
      <c r="A13661" t="str">
        <f>HYPERLINK("https://us2.cloudbeds.com/connect/10074733072513#/reservations/31701521031346?display=MHRTB84R0&amp;reservation_id=31701521031346", "MHRTB84R0")</f>
        <v>MHRTB84R0</v>
      </c>
      <c r="B13661" t="s">
        <v>2018</v>
      </c>
      <c r="C13661">
        <v>241.32</v>
      </c>
      <c r="D13661">
        <v>262.32</v>
      </c>
      <c r="E13661">
        <v>262.31</v>
      </c>
      <c r="F13661">
        <v>0.01</v>
      </c>
    </row>
    <row r="13662" spans="1:6" x14ac:dyDescent="0.3">
      <c r="A13662" t="str">
        <f>HYPERLINK("https://us2.cloudbeds.com/connect/10074733072513#/reservations/31701276565634?display=MHRN33HD4&amp;reservation_id=31701276565634", "MHRN33HD4")</f>
        <v>MHRN33HD4</v>
      </c>
      <c r="B13662" t="s">
        <v>2021</v>
      </c>
      <c r="C13662">
        <v>218</v>
      </c>
      <c r="D13662">
        <v>236.98</v>
      </c>
      <c r="E13662">
        <v>236.97</v>
      </c>
      <c r="F13662">
        <v>0.01</v>
      </c>
    </row>
    <row r="13663" spans="1:6" x14ac:dyDescent="0.3">
      <c r="A13663" t="str">
        <f>HYPERLINK("https://us2.cloudbeds.com/connect/10074733072513#/reservations/31701200310472?display=MHRY4QK9Y&amp;reservation_id=31701200310472", "MHRY4QK9Y")</f>
        <v>MHRY4QK9Y</v>
      </c>
      <c r="B13663" t="s">
        <v>2020</v>
      </c>
      <c r="C13663">
        <v>109</v>
      </c>
      <c r="D13663">
        <v>118.49</v>
      </c>
      <c r="E13663">
        <v>118.48</v>
      </c>
      <c r="F13663">
        <v>0.01</v>
      </c>
    </row>
    <row r="13664" spans="1:6" x14ac:dyDescent="0.3">
      <c r="A13664" t="str">
        <f>HYPERLINK("https://us2.cloudbeds.com/connect/10074733072513#/reservations/31701209649355?display=MHRYCMFV3&amp;reservation_id=31701209649355", "MHRYCMFV3")</f>
        <v>MHRYCMFV3</v>
      </c>
      <c r="B13664" t="s">
        <v>2020</v>
      </c>
      <c r="C13664">
        <v>109</v>
      </c>
      <c r="D13664">
        <v>118.49</v>
      </c>
      <c r="E13664">
        <v>118.48</v>
      </c>
      <c r="F13664">
        <v>0.01</v>
      </c>
    </row>
    <row r="13665" spans="1:6" x14ac:dyDescent="0.3">
      <c r="A13665" t="str">
        <f>HYPERLINK("https://us2.cloudbeds.com/connect/10074733072513#/reservations/31701353623710?display=MHRP22PQB&amp;reservation_id=31701353623710", "MHRP22PQB")</f>
        <v>MHRP22PQB</v>
      </c>
      <c r="B13665" t="s">
        <v>2022</v>
      </c>
      <c r="C13665">
        <v>109</v>
      </c>
      <c r="D13665">
        <v>118.49</v>
      </c>
      <c r="E13665">
        <v>118.48</v>
      </c>
      <c r="F13665">
        <v>0.01</v>
      </c>
    </row>
    <row r="13666" spans="1:6" x14ac:dyDescent="0.3">
      <c r="A13666" t="str">
        <f>HYPERLINK("https://us2.cloudbeds.com/connect/10074733072513#/reservations/31702812663956?display=MHSTBCZ04&amp;reservation_id=31702812663956", "MHSTBCZ04")</f>
        <v>MHSTBCZ04</v>
      </c>
      <c r="B13666" t="s">
        <v>2023</v>
      </c>
      <c r="C13666">
        <v>139</v>
      </c>
      <c r="D13666">
        <v>151.1</v>
      </c>
      <c r="E13666">
        <v>151.09</v>
      </c>
      <c r="F13666">
        <v>0.01</v>
      </c>
    </row>
    <row r="13667" spans="1:6" x14ac:dyDescent="0.3">
      <c r="A13667" t="str">
        <f>HYPERLINK("https://us2.cloudbeds.com/connect/10074733072513#/reservations/31702759145666?display=MHSRW8GXP&amp;reservation_id=31702759145666", "MHSRW8GXP")</f>
        <v>MHSRW8GXP</v>
      </c>
      <c r="B13667" t="s">
        <v>2023</v>
      </c>
      <c r="C13667">
        <v>87.82</v>
      </c>
      <c r="D13667">
        <v>95.47</v>
      </c>
      <c r="E13667">
        <v>95.46</v>
      </c>
      <c r="F13667">
        <v>0.01</v>
      </c>
    </row>
    <row r="13668" spans="1:6" x14ac:dyDescent="0.3">
      <c r="A13668" t="str">
        <f>HYPERLINK("https://us2.cloudbeds.com/connect/10074733072513#/reservations/31701235605662?display=MHRM1XZUS&amp;reservation_id=31701235605662", "MHRM1XZUS")</f>
        <v>MHRM1XZUS</v>
      </c>
      <c r="B13668" t="s">
        <v>2010</v>
      </c>
      <c r="C13668">
        <v>110.86</v>
      </c>
      <c r="D13668">
        <v>120.51</v>
      </c>
      <c r="E13668">
        <v>120.5</v>
      </c>
      <c r="F13668">
        <v>0.01</v>
      </c>
    </row>
    <row r="13669" spans="1:6" x14ac:dyDescent="0.3">
      <c r="A13669" t="str">
        <f>HYPERLINK("https://us2.cloudbeds.com/connect/10074733072513#/reservations/31701281255586?display=MHRN7211T&amp;reservation_id=31701281255586", "MHRN7211T")</f>
        <v>MHRN7211T</v>
      </c>
      <c r="B13669" t="s">
        <v>2010</v>
      </c>
      <c r="C13669">
        <v>159</v>
      </c>
      <c r="D13669">
        <v>172.84</v>
      </c>
      <c r="E13669">
        <v>172.83</v>
      </c>
      <c r="F13669">
        <v>0.01</v>
      </c>
    </row>
    <row r="13670" spans="1:6" x14ac:dyDescent="0.3">
      <c r="A13670" t="str">
        <f>HYPERLINK("https://us2.cloudbeds.com/connect/10074733072513#/reservations/31702296871105?display=MHSG5F10Z&amp;reservation_id=31702296871105", "MHSG5F10Z")</f>
        <v>MHSG5F10Z</v>
      </c>
      <c r="B13670" t="s">
        <v>1984</v>
      </c>
      <c r="C13670">
        <v>109</v>
      </c>
      <c r="D13670">
        <v>118.49</v>
      </c>
      <c r="E13670">
        <v>118.48</v>
      </c>
      <c r="F13670">
        <v>0.01</v>
      </c>
    </row>
    <row r="13671" spans="1:6" x14ac:dyDescent="0.3">
      <c r="A13671" t="str">
        <f>HYPERLINK("https://us2.cloudbeds.com/connect/10074733072513#/reservations/31702704746650?display=MHSQJCPCZ&amp;reservation_id=31702704746650", "MHSQJCPCZ")</f>
        <v>MHSQJCPCZ</v>
      </c>
      <c r="B13671" t="s">
        <v>2018</v>
      </c>
      <c r="C13671">
        <v>218</v>
      </c>
      <c r="D13671">
        <v>236.98</v>
      </c>
      <c r="E13671">
        <v>236.97</v>
      </c>
      <c r="F13671">
        <v>0.01</v>
      </c>
    </row>
    <row r="13672" spans="1:6" x14ac:dyDescent="0.3">
      <c r="A13672" t="str">
        <f>HYPERLINK("https://us2.cloudbeds.com/connect/10074733072513#/reservations/31701444649184?display=MHRRCRN31&amp;reservation_id=31701444649184", "MHRRCRN31")</f>
        <v>MHRRCRN31</v>
      </c>
      <c r="B13672" t="s">
        <v>2022</v>
      </c>
      <c r="C13672">
        <v>336</v>
      </c>
      <c r="D13672">
        <v>365.24</v>
      </c>
      <c r="E13672">
        <v>365.23</v>
      </c>
      <c r="F13672">
        <v>0.01</v>
      </c>
    </row>
    <row r="13673" spans="1:6" x14ac:dyDescent="0.3">
      <c r="A13673" t="str">
        <f>HYPERLINK("https://us2.cloudbeds.com/connect/10074733072513#/reservations/31701531214033?display=MHRTJRGA9&amp;reservation_id=31701531214033", "MHRTJRGA9")</f>
        <v>MHRTJRGA9</v>
      </c>
      <c r="B13673" t="s">
        <v>2022</v>
      </c>
      <c r="C13673">
        <v>336</v>
      </c>
      <c r="D13673">
        <v>365.24</v>
      </c>
      <c r="E13673">
        <v>365.23</v>
      </c>
      <c r="F13673">
        <v>0.01</v>
      </c>
    </row>
    <row r="13674" spans="1:6" x14ac:dyDescent="0.3">
      <c r="A13674" t="str">
        <f>HYPERLINK("https://us2.cloudbeds.com/connect/10074733072513#/reservations/31702772490401?display=MHSSAGRMM&amp;reservation_id=31702772490401", "MHSSAGRMM")</f>
        <v>MHSSAGRMM</v>
      </c>
      <c r="B13674" t="s">
        <v>2023</v>
      </c>
      <c r="C13674">
        <v>109</v>
      </c>
      <c r="D13674">
        <v>118.49</v>
      </c>
      <c r="E13674">
        <v>118.48</v>
      </c>
      <c r="F13674">
        <v>0.01</v>
      </c>
    </row>
    <row r="13675" spans="1:6" x14ac:dyDescent="0.3">
      <c r="A13675" t="str">
        <f>HYPERLINK("https://us2.cloudbeds.com/connect/10074733072513#/reservations/31702791700630?display=MHSSQNCUR&amp;reservation_id=31702791700630", "MHSSQNCUR")</f>
        <v>MHSSQNCUR</v>
      </c>
      <c r="B13675" t="s">
        <v>2023</v>
      </c>
      <c r="C13675">
        <v>87.82</v>
      </c>
      <c r="D13675">
        <v>95.47</v>
      </c>
      <c r="E13675">
        <v>95.46</v>
      </c>
      <c r="F13675">
        <v>0.01</v>
      </c>
    </row>
    <row r="13676" spans="1:6" x14ac:dyDescent="0.3">
      <c r="A13676" t="str">
        <f>HYPERLINK("https://us2.cloudbeds.com/connect/10074733072513#/reservations/31700982464641?display=MHRFJ3Z6R&amp;reservation_id=31700982464641", "MHRFJ3Z6R")</f>
        <v>MHRFJ3Z6R</v>
      </c>
      <c r="B13676" t="s">
        <v>1788</v>
      </c>
      <c r="C13676">
        <v>189</v>
      </c>
      <c r="D13676">
        <v>205.45</v>
      </c>
      <c r="E13676">
        <v>205.44</v>
      </c>
      <c r="F13676">
        <v>0.01</v>
      </c>
    </row>
    <row r="13677" spans="1:6" x14ac:dyDescent="0.3">
      <c r="A13677" t="str">
        <f>HYPERLINK("https://us2.cloudbeds.com/connect/10074733072513#/reservations/31701541310645?display=MHRTSBEP7&amp;reservation_id=31701541310645", "MHRTSBEP7")</f>
        <v>MHRTSBEP7</v>
      </c>
      <c r="B13677" t="s">
        <v>2018</v>
      </c>
      <c r="C13677">
        <v>139</v>
      </c>
      <c r="D13677">
        <v>151.1</v>
      </c>
      <c r="E13677">
        <v>151.09</v>
      </c>
      <c r="F13677">
        <v>0.01</v>
      </c>
    </row>
    <row r="13678" spans="1:6" x14ac:dyDescent="0.3">
      <c r="A13678" t="str">
        <f>HYPERLINK("https://us2.cloudbeds.com/connect/10074733072513#/reservations/31702062149855?display=MHSA5HXMJ&amp;reservation_id=31702062149855", "MHSA5HXMJ")</f>
        <v>MHSA5HXMJ</v>
      </c>
      <c r="B13678" t="s">
        <v>1833</v>
      </c>
      <c r="C13678">
        <v>318</v>
      </c>
      <c r="D13678">
        <v>345.68</v>
      </c>
      <c r="E13678">
        <v>345.67</v>
      </c>
      <c r="F13678">
        <v>0.01</v>
      </c>
    </row>
    <row r="13679" spans="1:6" x14ac:dyDescent="0.3">
      <c r="A13679" t="str">
        <f>HYPERLINK("https://us2.cloudbeds.com/connect/10074733072513#/reservations/31701597814912?display=MHRV9WYEX&amp;reservation_id=31701597814912", "MHRV9WYEX")</f>
        <v>MHRV9WYEX</v>
      </c>
      <c r="B13679" t="s">
        <v>1833</v>
      </c>
      <c r="C13679">
        <v>318</v>
      </c>
      <c r="D13679">
        <v>345.68</v>
      </c>
      <c r="E13679">
        <v>345.67</v>
      </c>
      <c r="F13679">
        <v>0.01</v>
      </c>
    </row>
    <row r="13680" spans="1:6" x14ac:dyDescent="0.3">
      <c r="A13680" t="str">
        <f>HYPERLINK("https://us2.cloudbeds.com/connect/10074733072513#/reservations/31702156365972?display=MHSCXW8SE&amp;reservation_id=31702156365972", "MHSCXW8SE")</f>
        <v>MHSCXW8SE</v>
      </c>
      <c r="B13680" t="s">
        <v>2010</v>
      </c>
      <c r="C13680">
        <v>159</v>
      </c>
      <c r="D13680">
        <v>172.84</v>
      </c>
      <c r="E13680">
        <v>172.83</v>
      </c>
      <c r="F13680">
        <v>0.01</v>
      </c>
    </row>
    <row r="13681" spans="1:6" x14ac:dyDescent="0.3">
      <c r="A13681" t="str">
        <f>HYPERLINK("https://us2.cloudbeds.com/connect/10074733072513#/reservations/31701322973394?display=MHRZ97TDT&amp;reservation_id=31701322973394", "MHRZ97TDT")</f>
        <v>MHRZ97TDT</v>
      </c>
      <c r="B13681" t="s">
        <v>2018</v>
      </c>
      <c r="C13681">
        <v>109</v>
      </c>
      <c r="D13681">
        <v>118.49</v>
      </c>
      <c r="E13681">
        <v>118.48</v>
      </c>
      <c r="F13681">
        <v>0.01</v>
      </c>
    </row>
    <row r="13682" spans="1:6" x14ac:dyDescent="0.3">
      <c r="A13682" t="str">
        <f>HYPERLINK("https://us2.cloudbeds.com/connect/10074733072513#/reservations/31701310451874?display=MHRNVMF7T&amp;reservation_id=31701310451874", "MHRNVMF7T")</f>
        <v>MHRNVMF7T</v>
      </c>
      <c r="B13682" t="s">
        <v>2018</v>
      </c>
      <c r="C13682">
        <v>109</v>
      </c>
      <c r="D13682">
        <v>118.49</v>
      </c>
      <c r="E13682">
        <v>118.48</v>
      </c>
      <c r="F13682">
        <v>0.01</v>
      </c>
    </row>
    <row r="13683" spans="1:6" x14ac:dyDescent="0.3">
      <c r="A13683" t="str">
        <f>HYPERLINK("https://us2.cloudbeds.com/connect/10074733072513#/reservations/31701293027573?display=MHRNGWJVP&amp;reservation_id=31701293027573", "MHRNGWJVP")</f>
        <v>MHRNGWJVP</v>
      </c>
      <c r="B13683" t="s">
        <v>2010</v>
      </c>
      <c r="C13683">
        <v>169</v>
      </c>
      <c r="D13683">
        <v>183.71</v>
      </c>
      <c r="E13683">
        <v>183.7</v>
      </c>
      <c r="F13683">
        <v>0.01</v>
      </c>
    </row>
    <row r="13684" spans="1:6" x14ac:dyDescent="0.3">
      <c r="A13684" t="str">
        <f>HYPERLINK("https://us2.cloudbeds.com/connect/10074733072513#/reservations/31700763234510?display=MHR9W8AVH&amp;reservation_id=31700763234510", "MHR9W8AVH")</f>
        <v>MHR9W8AVH</v>
      </c>
      <c r="B13684" t="s">
        <v>2021</v>
      </c>
      <c r="C13684">
        <v>139</v>
      </c>
      <c r="D13684">
        <v>151.1</v>
      </c>
      <c r="E13684">
        <v>151.09</v>
      </c>
      <c r="F13684">
        <v>0.01</v>
      </c>
    </row>
    <row r="13685" spans="1:6" x14ac:dyDescent="0.3">
      <c r="A13685" t="str">
        <f>HYPERLINK("https://us2.cloudbeds.com/connect/10074733072513#/reservations/31701711204520?display=MHS16JWRF&amp;reservation_id=31701711204520", "MHS16JWRF")</f>
        <v>MHS16JWRF</v>
      </c>
      <c r="B13685" t="s">
        <v>1984</v>
      </c>
      <c r="C13685">
        <v>149.56</v>
      </c>
      <c r="D13685">
        <v>162.58000000000001</v>
      </c>
      <c r="E13685">
        <v>162.57</v>
      </c>
      <c r="F13685">
        <v>0.01</v>
      </c>
    </row>
    <row r="13686" spans="1:6" x14ac:dyDescent="0.3">
      <c r="A13686" t="str">
        <f>HYPERLINK("https://us2.cloudbeds.com/connect/10074733072513#/reservations/31701136900262?display=MHRJHB4C4&amp;reservation_id=31701136900262", "MHRJHB4C4")</f>
        <v>MHRJHB4C4</v>
      </c>
      <c r="B13686" t="s">
        <v>2023</v>
      </c>
      <c r="C13686">
        <v>109</v>
      </c>
      <c r="D13686">
        <v>118.49</v>
      </c>
      <c r="E13686">
        <v>118.48</v>
      </c>
      <c r="F13686">
        <v>0.01</v>
      </c>
    </row>
    <row r="13687" spans="1:6" x14ac:dyDescent="0.3">
      <c r="A13687" t="str">
        <f>HYPERLINK("https://us2.cloudbeds.com/connect/10074733072513#/reservations/31702671401112?display=MHSPZ8T1T&amp;reservation_id=31702671401112", "MHSPZ8T1T")</f>
        <v>MHSPZ8T1T</v>
      </c>
      <c r="B13687" t="s">
        <v>2018</v>
      </c>
      <c r="C13687">
        <v>102.58</v>
      </c>
      <c r="D13687">
        <v>111.51</v>
      </c>
      <c r="E13687">
        <v>111.5</v>
      </c>
      <c r="F13687">
        <v>0.01</v>
      </c>
    </row>
    <row r="13688" spans="1:6" x14ac:dyDescent="0.3">
      <c r="A13688" t="str">
        <f>HYPERLINK("https://us2.cloudbeds.com/connect/10074733072513#/reservations/31702655152277?display=MHSPAXZ5V&amp;reservation_id=31702655152277", "MHSPAXZ5V")</f>
        <v>MHSPAXZ5V</v>
      </c>
      <c r="B13688" t="s">
        <v>2018</v>
      </c>
      <c r="C13688">
        <v>218</v>
      </c>
      <c r="D13688">
        <v>236.98</v>
      </c>
      <c r="E13688">
        <v>236.97</v>
      </c>
      <c r="F13688">
        <v>0.01</v>
      </c>
    </row>
    <row r="13689" spans="1:6" x14ac:dyDescent="0.3">
      <c r="A13689" t="str">
        <f>HYPERLINK("https://us2.cloudbeds.com/connect/10074733072513#/reservations/31701872922836?display=MHS5AW1GG&amp;reservation_id=31701872922836", "MHS5AW1GG")</f>
        <v>MHS5AW1GG</v>
      </c>
      <c r="B13689" t="s">
        <v>1833</v>
      </c>
      <c r="C13689">
        <v>159</v>
      </c>
      <c r="D13689">
        <v>172.84</v>
      </c>
      <c r="E13689">
        <v>172.83</v>
      </c>
      <c r="F13689">
        <v>0.01</v>
      </c>
    </row>
    <row r="13690" spans="1:6" x14ac:dyDescent="0.3">
      <c r="A13690" t="str">
        <f>HYPERLINK("https://us2.cloudbeds.com/connect/10074733072513#/reservations/31702077911271?display=MHSAXR4W8&amp;reservation_id=31702077911271", "MHSAXR4W8")</f>
        <v>MHSAXR4W8</v>
      </c>
      <c r="B13690" t="s">
        <v>1833</v>
      </c>
      <c r="C13690">
        <v>318</v>
      </c>
      <c r="D13690">
        <v>345.68</v>
      </c>
      <c r="E13690">
        <v>345.67</v>
      </c>
      <c r="F13690">
        <v>0.01</v>
      </c>
    </row>
    <row r="13691" spans="1:6" x14ac:dyDescent="0.3">
      <c r="A13691" t="str">
        <f>HYPERLINK("https://us2.cloudbeds.com/connect/10074733072513#/reservations/31701251711114?display=MHRMF4U4S&amp;reservation_id=31701251711114", "MHRMF4U4S")</f>
        <v>MHRMF4U4S</v>
      </c>
      <c r="B13691" t="s">
        <v>2010</v>
      </c>
      <c r="C13691">
        <v>159</v>
      </c>
      <c r="D13691">
        <v>172.84</v>
      </c>
      <c r="E13691">
        <v>172.83</v>
      </c>
      <c r="F13691">
        <v>0.01</v>
      </c>
    </row>
    <row r="13692" spans="1:6" x14ac:dyDescent="0.3">
      <c r="A13692" t="str">
        <f>HYPERLINK("https://us2.cloudbeds.com/connect/10074733072513#/reservations/31701332529339?display=MHRZH9QCW&amp;reservation_id=31701332529339", "MHRZH9QCW")</f>
        <v>MHRZH9QCW</v>
      </c>
      <c r="B13692" t="s">
        <v>1999</v>
      </c>
      <c r="C13692">
        <v>189</v>
      </c>
      <c r="D13692">
        <v>205.45</v>
      </c>
      <c r="E13692">
        <v>205.44</v>
      </c>
      <c r="F13692">
        <v>0.01</v>
      </c>
    </row>
    <row r="13693" spans="1:6" x14ac:dyDescent="0.3">
      <c r="A13693" t="str">
        <f>HYPERLINK("https://us2.cloudbeds.com/connect/10074733072513#/reservations/31702142750936?display=MHSC7GDHJ&amp;reservation_id=31702142750936", "MHSC7GDHJ")</f>
        <v>MHSC7GDHJ</v>
      </c>
      <c r="B13693" t="s">
        <v>2010</v>
      </c>
      <c r="C13693">
        <v>159</v>
      </c>
      <c r="D13693">
        <v>172.84</v>
      </c>
      <c r="E13693">
        <v>172.83</v>
      </c>
      <c r="F13693">
        <v>0.01</v>
      </c>
    </row>
    <row r="13694" spans="1:6" x14ac:dyDescent="0.3">
      <c r="A13694" t="str">
        <f>HYPERLINK("https://us2.cloudbeds.com/connect/10074733072513#/reservations/31701544722632?display=MHRTV7CTP&amp;reservation_id=31701544722632", "MHRTV7CTP")</f>
        <v>MHRTV7CTP</v>
      </c>
      <c r="B13694" t="s">
        <v>2022</v>
      </c>
      <c r="C13694">
        <v>376</v>
      </c>
      <c r="D13694">
        <v>408.72</v>
      </c>
      <c r="E13694">
        <v>408.71</v>
      </c>
      <c r="F13694">
        <v>0.01</v>
      </c>
    </row>
    <row r="13695" spans="1:6" x14ac:dyDescent="0.3">
      <c r="A13695" t="str">
        <f>HYPERLINK("https://us2.cloudbeds.com/connect/10074733072513#/reservations/31702134743287?display=MHSC0ZJAH&amp;reservation_id=31702134743287", "MHSC0ZJAH")</f>
        <v>MHSC0ZJAH</v>
      </c>
      <c r="B13695" t="s">
        <v>1833</v>
      </c>
      <c r="C13695">
        <v>89</v>
      </c>
      <c r="D13695">
        <v>96.75</v>
      </c>
      <c r="E13695">
        <v>96.74</v>
      </c>
      <c r="F13695">
        <v>0.01</v>
      </c>
    </row>
    <row r="13696" spans="1:6" x14ac:dyDescent="0.3">
      <c r="A13696" t="str">
        <f>HYPERLINK("https://us2.cloudbeds.com/connect/10074733072513#/reservations/31701868736641?display=MHS57EXE3&amp;reservation_id=31701868736641", "MHS57EXE3")</f>
        <v>MHS57EXE3</v>
      </c>
      <c r="B13696" t="s">
        <v>1833</v>
      </c>
      <c r="C13696">
        <v>179</v>
      </c>
      <c r="D13696">
        <v>194.58</v>
      </c>
      <c r="E13696">
        <v>194.57</v>
      </c>
      <c r="F13696">
        <v>0.01</v>
      </c>
    </row>
    <row r="13697" spans="1:6" x14ac:dyDescent="0.3">
      <c r="A13697" t="str">
        <f>HYPERLINK("https://us2.cloudbeds.com/connect/10074733072513#/reservations/31701933416690?display=MHS6SWCDJ&amp;reservation_id=31701933416690", "MHS6SWCDJ")</f>
        <v>MHS6SWCDJ</v>
      </c>
      <c r="B13697" t="s">
        <v>2010</v>
      </c>
      <c r="C13697">
        <v>159</v>
      </c>
      <c r="D13697">
        <v>172.84</v>
      </c>
      <c r="E13697">
        <v>172.83</v>
      </c>
      <c r="F13697">
        <v>0.01</v>
      </c>
    </row>
    <row r="13698" spans="1:6" x14ac:dyDescent="0.3">
      <c r="A13698" t="str">
        <f>HYPERLINK("https://us2.cloudbeds.com/connect/10074733072513#/reservations/31701874008306?display=MHS5BT88H&amp;reservation_id=31701874008306", "MHS5BT88H")</f>
        <v>MHS5BT88H</v>
      </c>
      <c r="B13698" t="s">
        <v>2010</v>
      </c>
      <c r="C13698">
        <v>159</v>
      </c>
      <c r="D13698">
        <v>172.84</v>
      </c>
      <c r="E13698">
        <v>172.83</v>
      </c>
      <c r="F13698">
        <v>0.01</v>
      </c>
    </row>
    <row r="13699" spans="1:6" x14ac:dyDescent="0.3">
      <c r="A13699" t="str">
        <f>HYPERLINK("https://us2.cloudbeds.com/connect/10074733072513#/reservations/31701615915190?display=MHRVP8E50&amp;reservation_id=31701615915190", "MHRVP8E50")</f>
        <v>MHRVP8E50</v>
      </c>
      <c r="B13699" t="s">
        <v>1833</v>
      </c>
      <c r="C13699">
        <v>109</v>
      </c>
      <c r="D13699">
        <v>118.49</v>
      </c>
      <c r="E13699">
        <v>118.48</v>
      </c>
      <c r="F13699">
        <v>0.01</v>
      </c>
    </row>
    <row r="13700" spans="1:6" x14ac:dyDescent="0.3">
      <c r="A13700" t="str">
        <f>HYPERLINK("https://us2.cloudbeds.com/connect/10074733072513#/reservations/31701561700493?display=MHRUCHR7D&amp;reservation_id=31701561700493", "MHRUCHR7D")</f>
        <v>MHRUCHR7D</v>
      </c>
      <c r="B13700" t="s">
        <v>2019</v>
      </c>
      <c r="C13700">
        <v>87.82</v>
      </c>
      <c r="D13700">
        <v>95.47</v>
      </c>
      <c r="E13700">
        <v>95.46</v>
      </c>
      <c r="F13700">
        <v>0.01</v>
      </c>
    </row>
    <row r="13701" spans="1:6" x14ac:dyDescent="0.3">
      <c r="A13701" t="str">
        <f>HYPERLINK("https://us2.cloudbeds.com/connect/10074733072513#/reservations/31701559754980?display=MHRUATMNF&amp;reservation_id=31701559754980", "MHRUATMNF")</f>
        <v>MHRUATMNF</v>
      </c>
      <c r="B13701" t="s">
        <v>2019</v>
      </c>
      <c r="C13701">
        <v>87.82</v>
      </c>
      <c r="D13701">
        <v>95.47</v>
      </c>
      <c r="E13701">
        <v>95.46</v>
      </c>
      <c r="F13701">
        <v>0.01</v>
      </c>
    </row>
    <row r="13702" spans="1:6" x14ac:dyDescent="0.3">
      <c r="A13702" t="str">
        <f>HYPERLINK("https://us2.cloudbeds.com/connect/10074733072513#/reservations/31701714424007?display=MHS19AJ6M&amp;reservation_id=31701714424007", "MHS19AJ6M")</f>
        <v>MHS19AJ6M</v>
      </c>
      <c r="B13702" t="s">
        <v>1984</v>
      </c>
      <c r="C13702">
        <v>109</v>
      </c>
      <c r="D13702">
        <v>118.49</v>
      </c>
      <c r="E13702">
        <v>118.48</v>
      </c>
      <c r="F13702">
        <v>0.01</v>
      </c>
    </row>
    <row r="13703" spans="1:6" x14ac:dyDescent="0.3">
      <c r="A13703" t="str">
        <f>HYPERLINK("https://us2.cloudbeds.com/connect/10074733072513#/reservations/31701569650851?display=MHRUJ81RB&amp;reservation_id=31701569650851", "MHRUJ81RB")</f>
        <v>MHRUJ81RB</v>
      </c>
      <c r="B13703" t="s">
        <v>2019</v>
      </c>
      <c r="C13703">
        <v>149</v>
      </c>
      <c r="D13703">
        <v>161.97</v>
      </c>
      <c r="E13703">
        <v>161.96</v>
      </c>
      <c r="F13703">
        <v>0.01</v>
      </c>
    </row>
    <row r="13704" spans="1:6" x14ac:dyDescent="0.3">
      <c r="A13704" t="str">
        <f>HYPERLINK("https://us2.cloudbeds.com/connect/10074733072513#/reservations/31701542703359?display=MHRTTH6YM&amp;reservation_id=31701542703359", "MHRTTH6YM")</f>
        <v>MHRTTH6YM</v>
      </c>
      <c r="B13704" t="s">
        <v>2019</v>
      </c>
      <c r="C13704">
        <v>119</v>
      </c>
      <c r="D13704">
        <v>129.36000000000001</v>
      </c>
      <c r="E13704">
        <v>129.35</v>
      </c>
      <c r="F13704">
        <v>0.01</v>
      </c>
    </row>
    <row r="13705" spans="1:6" x14ac:dyDescent="0.3">
      <c r="A13705" t="str">
        <f>HYPERLINK("https://us2.cloudbeds.com/connect/10074733072513#/reservations/31701534089382?display=MHRTM8GM2&amp;reservation_id=31701534089382", "MHRTM8GM2")</f>
        <v>MHRTM8GM2</v>
      </c>
      <c r="B13705" t="s">
        <v>2019</v>
      </c>
      <c r="C13705">
        <v>119</v>
      </c>
      <c r="D13705">
        <v>129.36000000000001</v>
      </c>
      <c r="E13705">
        <v>129.35</v>
      </c>
      <c r="F13705">
        <v>0.01</v>
      </c>
    </row>
    <row r="13706" spans="1:6" x14ac:dyDescent="0.3">
      <c r="A13706" t="str">
        <f>HYPERLINK("https://us2.cloudbeds.com/connect/10074733072513#/reservations/31701782003905?display=MHS30A31C&amp;reservation_id=31701782003905", "MHS30A31C")</f>
        <v>MHS30A31C</v>
      </c>
      <c r="B13706" t="s">
        <v>2024</v>
      </c>
      <c r="C13706">
        <v>278</v>
      </c>
      <c r="D13706">
        <v>302.2</v>
      </c>
      <c r="E13706">
        <v>302.19</v>
      </c>
      <c r="F13706">
        <v>0.01</v>
      </c>
    </row>
    <row r="13707" spans="1:6" x14ac:dyDescent="0.3">
      <c r="A13707" t="str">
        <f>HYPERLINK("https://us2.cloudbeds.com/connect/10074733072513#/reservations/31700840689821?display=MHRBVXY45&amp;reservation_id=31700840689821", "MHRBVXY45")</f>
        <v>MHRBVXY45</v>
      </c>
      <c r="B13707" t="s">
        <v>2025</v>
      </c>
      <c r="C13707">
        <v>109</v>
      </c>
      <c r="D13707">
        <v>118.49</v>
      </c>
      <c r="E13707">
        <v>118.48</v>
      </c>
      <c r="F13707">
        <v>0.01</v>
      </c>
    </row>
    <row r="13708" spans="1:6" x14ac:dyDescent="0.3">
      <c r="A13708" t="str">
        <f>HYPERLINK("https://us2.cloudbeds.com/connect/10074733072513#/reservations/31701526126801?display=MHRTFHURZ&amp;reservation_id=31701526126801", "MHRTFHURZ")</f>
        <v>MHRTFHURZ</v>
      </c>
      <c r="B13708" t="s">
        <v>2019</v>
      </c>
      <c r="C13708">
        <v>139</v>
      </c>
      <c r="D13708">
        <v>151.1</v>
      </c>
      <c r="E13708">
        <v>151.09</v>
      </c>
      <c r="F13708">
        <v>0.01</v>
      </c>
    </row>
    <row r="13709" spans="1:6" x14ac:dyDescent="0.3">
      <c r="A13709" t="str">
        <f>HYPERLINK("https://us2.cloudbeds.com/connect/10074733072513#/reservations/31701696819328?display=MHS0KVSE3&amp;reservation_id=31701696819328", "MHS0KVSE3")</f>
        <v>MHS0KVSE3</v>
      </c>
      <c r="B13709" t="s">
        <v>1984</v>
      </c>
      <c r="C13709">
        <v>109</v>
      </c>
      <c r="D13709">
        <v>118.49</v>
      </c>
      <c r="E13709">
        <v>118.48</v>
      </c>
      <c r="F13709">
        <v>0.01</v>
      </c>
    </row>
    <row r="13710" spans="1:6" x14ac:dyDescent="0.3">
      <c r="A13710" t="str">
        <f>HYPERLINK("https://us2.cloudbeds.com/connect/10074733072513#/reservations/31701479624846?display=MHRS9AVAJ&amp;reservation_id=31701479624846", "MHRS9AVAJ")</f>
        <v>MHRS9AVAJ</v>
      </c>
      <c r="B13710" t="s">
        <v>2022</v>
      </c>
      <c r="C13710">
        <v>321.3</v>
      </c>
      <c r="D13710">
        <v>349.26</v>
      </c>
      <c r="E13710">
        <v>349.25</v>
      </c>
      <c r="F13710">
        <v>0.01</v>
      </c>
    </row>
    <row r="13711" spans="1:6" x14ac:dyDescent="0.3">
      <c r="A13711" t="str">
        <f>HYPERLINK("https://us2.cloudbeds.com/connect/10074733072513#/reservations/31700887179392?display=MHRCU0ZYA&amp;reservation_id=31700887179392", "MHRCU0ZYA")</f>
        <v>MHRCU0ZYA</v>
      </c>
      <c r="B13711" t="s">
        <v>2024</v>
      </c>
      <c r="C13711">
        <v>217.1</v>
      </c>
      <c r="D13711">
        <v>236</v>
      </c>
      <c r="E13711">
        <v>235.99</v>
      </c>
      <c r="F13711">
        <v>0.01</v>
      </c>
    </row>
    <row r="13712" spans="1:6" x14ac:dyDescent="0.3">
      <c r="A13712" t="str">
        <f>HYPERLINK("https://us2.cloudbeds.com/connect/10074733072513#/reservations/31700890366169?display=MHRD7EVK1&amp;reservation_id=31700890366169", "MHRD7EVK1")</f>
        <v>MHRD7EVK1</v>
      </c>
      <c r="B13712" t="s">
        <v>2024</v>
      </c>
      <c r="C13712">
        <v>89</v>
      </c>
      <c r="D13712">
        <v>96.75</v>
      </c>
      <c r="E13712">
        <v>96.74</v>
      </c>
      <c r="F13712">
        <v>0.01</v>
      </c>
    </row>
    <row r="13713" spans="1:6" x14ac:dyDescent="0.3">
      <c r="A13713" t="str">
        <f>HYPERLINK("https://us2.cloudbeds.com/connect/10074733072513#/reservations/31701844447453?display=MHS4JVMA3&amp;reservation_id=31701844447453", "MHS4JVMA3")</f>
        <v>MHS4JVMA3</v>
      </c>
      <c r="B13713" t="s">
        <v>1999</v>
      </c>
      <c r="C13713">
        <v>189</v>
      </c>
      <c r="D13713">
        <v>205.45</v>
      </c>
      <c r="E13713">
        <v>205.44</v>
      </c>
      <c r="F13713">
        <v>0.01</v>
      </c>
    </row>
    <row r="13714" spans="1:6" x14ac:dyDescent="0.3">
      <c r="A13714" t="str">
        <f>HYPERLINK("https://us2.cloudbeds.com/connect/10074733072513#/reservations/31701676323001?display=MHS0A6C1Z&amp;reservation_id=31701676323001", "MHS0A6C1Z")</f>
        <v>MHS0A6C1Z</v>
      </c>
      <c r="B13714" t="s">
        <v>1984</v>
      </c>
      <c r="C13714">
        <v>109</v>
      </c>
      <c r="D13714">
        <v>118.49</v>
      </c>
      <c r="E13714">
        <v>118.48</v>
      </c>
      <c r="F13714">
        <v>0.01</v>
      </c>
    </row>
    <row r="13715" spans="1:6" x14ac:dyDescent="0.3">
      <c r="A13715" t="str">
        <f>HYPERLINK("https://us2.cloudbeds.com/connect/10074733072513#/reservations/31701679870097?display=MHS0D628G&amp;reservation_id=31701679870097", "MHS0D628G")</f>
        <v>MHS0D628G</v>
      </c>
      <c r="B13715" t="s">
        <v>1984</v>
      </c>
      <c r="C13715">
        <v>129</v>
      </c>
      <c r="D13715">
        <v>140.22999999999999</v>
      </c>
      <c r="E13715">
        <v>140.22</v>
      </c>
      <c r="F13715">
        <v>0.01</v>
      </c>
    </row>
    <row r="13716" spans="1:6" x14ac:dyDescent="0.3">
      <c r="A13716" t="str">
        <f>HYPERLINK("https://us2.cloudbeds.com/connect/10074733072513#/reservations/31701391589594?display=MHRQ137SM&amp;reservation_id=31701391589594", "MHRQ137SM")</f>
        <v>MHRQ137SM</v>
      </c>
      <c r="B13716" t="s">
        <v>2022</v>
      </c>
      <c r="C13716">
        <v>336</v>
      </c>
      <c r="D13716">
        <v>365.24</v>
      </c>
      <c r="E13716">
        <v>365.23</v>
      </c>
      <c r="F13716">
        <v>0.01</v>
      </c>
    </row>
    <row r="13717" spans="1:6" x14ac:dyDescent="0.3">
      <c r="A13717" t="str">
        <f>HYPERLINK("https://us2.cloudbeds.com/connect/10074733072513#/reservations/31702275154114?display=MHSFK4NT3&amp;reservation_id=31702275154114", "MHSFK4NT3")</f>
        <v>MHSFK4NT3</v>
      </c>
      <c r="B13717" t="s">
        <v>1984</v>
      </c>
      <c r="C13717">
        <v>109</v>
      </c>
      <c r="D13717">
        <v>118.49</v>
      </c>
      <c r="E13717">
        <v>118.48</v>
      </c>
      <c r="F13717">
        <v>0.01</v>
      </c>
    </row>
    <row r="13718" spans="1:6" x14ac:dyDescent="0.3">
      <c r="A13718" t="str">
        <f>HYPERLINK("https://us2.cloudbeds.com/connect/10074733072513#/reservations/31701044998389?display=MHRH5RR9T&amp;reservation_id=31701044998389", "MHRH5RR9T")</f>
        <v>MHRH5RR9T</v>
      </c>
      <c r="B13718" t="s">
        <v>2024</v>
      </c>
      <c r="C13718">
        <v>119</v>
      </c>
      <c r="D13718">
        <v>129.36000000000001</v>
      </c>
      <c r="E13718">
        <v>129.35</v>
      </c>
      <c r="F13718">
        <v>0.01</v>
      </c>
    </row>
    <row r="13719" spans="1:6" x14ac:dyDescent="0.3">
      <c r="A13719" t="str">
        <f>HYPERLINK("https://us2.cloudbeds.com/connect/10074733072513#/reservations/31701738401987?display=MHS1THQX4&amp;reservation_id=31701738401987", "MHS1THQX4")</f>
        <v>MHS1THQX4</v>
      </c>
      <c r="B13719" t="s">
        <v>1984</v>
      </c>
      <c r="C13719">
        <v>109</v>
      </c>
      <c r="D13719">
        <v>118.49</v>
      </c>
      <c r="E13719">
        <v>118.48</v>
      </c>
      <c r="F13719">
        <v>0.01</v>
      </c>
    </row>
    <row r="13720" spans="1:6" x14ac:dyDescent="0.3">
      <c r="A13720" t="str">
        <f>HYPERLINK("https://us2.cloudbeds.com/connect/10074733072513#/reservations/31701719535789?display=MHS1DKR75&amp;reservation_id=31701719535789", "MHS1DKR75")</f>
        <v>MHS1DKR75</v>
      </c>
      <c r="B13720" t="s">
        <v>2024</v>
      </c>
      <c r="C13720">
        <v>119</v>
      </c>
      <c r="D13720">
        <v>129.36000000000001</v>
      </c>
      <c r="E13720">
        <v>129.35</v>
      </c>
      <c r="F13720">
        <v>0.01</v>
      </c>
    </row>
    <row r="13721" spans="1:6" x14ac:dyDescent="0.3">
      <c r="A13721" t="str">
        <f>HYPERLINK("https://us2.cloudbeds.com/connect/10074733072513#/reservations/31700908208328?display=MHRDMGEJH&amp;reservation_id=31700908208328", "MHRDMGEJH")</f>
        <v>MHRDMGEJH</v>
      </c>
      <c r="B13721" t="s">
        <v>2024</v>
      </c>
      <c r="C13721">
        <v>119</v>
      </c>
      <c r="D13721">
        <v>129.36000000000001</v>
      </c>
      <c r="E13721">
        <v>129.35</v>
      </c>
      <c r="F13721">
        <v>0.01</v>
      </c>
    </row>
    <row r="13722" spans="1:6" x14ac:dyDescent="0.3">
      <c r="A13722" t="str">
        <f>HYPERLINK("https://us2.cloudbeds.com/connect/10074733072513#/reservations/31701497786606?display=MHRSZYAPV&amp;reservation_id=31701497786606", "MHRSZYAPV")</f>
        <v>MHRSZYAPV</v>
      </c>
      <c r="B13722" t="s">
        <v>1984</v>
      </c>
      <c r="C13722">
        <v>109</v>
      </c>
      <c r="D13722">
        <v>118.49</v>
      </c>
      <c r="E13722">
        <v>118.48</v>
      </c>
      <c r="F13722">
        <v>0.01</v>
      </c>
    </row>
    <row r="13723" spans="1:6" x14ac:dyDescent="0.3">
      <c r="A13723" t="str">
        <f>HYPERLINK("https://us2.cloudbeds.com/connect/10074733072513#/reservations/31700948598914?display=MHRENXC6M&amp;reservation_id=31700948598914", "MHRENXC6M")</f>
        <v>MHRENXC6M</v>
      </c>
      <c r="B13723" t="s">
        <v>2024</v>
      </c>
      <c r="C13723">
        <v>129</v>
      </c>
      <c r="D13723">
        <v>140.22999999999999</v>
      </c>
      <c r="E13723">
        <v>140.22</v>
      </c>
      <c r="F13723">
        <v>0.01</v>
      </c>
    </row>
    <row r="13724" spans="1:6" x14ac:dyDescent="0.3">
      <c r="A13724" t="str">
        <f>HYPERLINK("https://us2.cloudbeds.com/connect/10074733072513#/reservations/31701060608218?display=MHRHJ06D0&amp;reservation_id=31701060608218", "MHRHJ06D0")</f>
        <v>MHRHJ06D0</v>
      </c>
      <c r="B13724" t="s">
        <v>2026</v>
      </c>
      <c r="C13724">
        <v>98.1</v>
      </c>
      <c r="D13724">
        <v>106.64</v>
      </c>
      <c r="E13724">
        <v>106.63</v>
      </c>
      <c r="F13724">
        <v>0.01</v>
      </c>
    </row>
    <row r="13725" spans="1:6" x14ac:dyDescent="0.3">
      <c r="A13725" t="str">
        <f>HYPERLINK("https://us2.cloudbeds.com/connect/10074733072513#/reservations/31701626036445?display=MHRW0Q27N&amp;reservation_id=31701626036445", "MHRW0Q27N")</f>
        <v>MHRW0Q27N</v>
      </c>
      <c r="B13725" t="s">
        <v>2022</v>
      </c>
      <c r="C13725">
        <v>178</v>
      </c>
      <c r="D13725">
        <v>193.5</v>
      </c>
      <c r="E13725">
        <v>193.49</v>
      </c>
      <c r="F13725">
        <v>0.01</v>
      </c>
    </row>
    <row r="13726" spans="1:6" x14ac:dyDescent="0.3">
      <c r="A13726" t="str">
        <f>HYPERLINK("https://us2.cloudbeds.com/connect/10074733072513#/reservations/31701750870200?display=MHS271ZPP&amp;reservation_id=31701750870200", "MHS271ZPP")</f>
        <v>MHS271ZPP</v>
      </c>
      <c r="B13726" t="s">
        <v>2024</v>
      </c>
      <c r="C13726">
        <v>119</v>
      </c>
      <c r="D13726">
        <v>129.36000000000001</v>
      </c>
      <c r="E13726">
        <v>129.35</v>
      </c>
      <c r="F13726">
        <v>0.01</v>
      </c>
    </row>
    <row r="13727" spans="1:6" x14ac:dyDescent="0.3">
      <c r="A13727" t="str">
        <f>HYPERLINK("https://us2.cloudbeds.com/connect/10074733072513#/reservations/31701015154875?display=MHRGDMCPW&amp;reservation_id=31701015154875", "MHRGDMCPW")</f>
        <v>MHRGDMCPW</v>
      </c>
      <c r="B13727" t="s">
        <v>2017</v>
      </c>
      <c r="C13727">
        <v>252</v>
      </c>
      <c r="D13727">
        <v>273.93</v>
      </c>
      <c r="E13727">
        <v>273.92</v>
      </c>
      <c r="F13727">
        <v>0.01</v>
      </c>
    </row>
    <row r="13728" spans="1:6" x14ac:dyDescent="0.3">
      <c r="A13728" t="str">
        <f>HYPERLINK("https://us2.cloudbeds.com/connect/10074733072513#/reservations/31701113729209?display=MHRXUQC00&amp;reservation_id=31701113729209", "MHRXUQC00")</f>
        <v>MHRXUQC00</v>
      </c>
      <c r="B13728" t="s">
        <v>1999</v>
      </c>
      <c r="C13728">
        <v>199</v>
      </c>
      <c r="D13728">
        <v>216.32</v>
      </c>
      <c r="E13728">
        <v>216.31</v>
      </c>
      <c r="F13728">
        <v>0.01</v>
      </c>
    </row>
    <row r="13729" spans="1:6" x14ac:dyDescent="0.3">
      <c r="A13729" t="str">
        <f>HYPERLINK("https://us2.cloudbeds.com/connect/10074733072513#/reservations/31701203038453?display=MHRY73HAZ&amp;reservation_id=31701203038453", "MHRY73HAZ")</f>
        <v>MHRY73HAZ</v>
      </c>
      <c r="B13729" t="s">
        <v>2027</v>
      </c>
      <c r="C13729">
        <v>87.82</v>
      </c>
      <c r="D13729">
        <v>95.47</v>
      </c>
      <c r="E13729">
        <v>95.46</v>
      </c>
      <c r="F13729">
        <v>0.01</v>
      </c>
    </row>
    <row r="13730" spans="1:6" x14ac:dyDescent="0.3">
      <c r="A13730" t="str">
        <f>HYPERLINK("https://us2.cloudbeds.com/connect/10074733072513#/reservations/31701248045192?display=MHRMC1TRA&amp;reservation_id=31701248045192", "MHRMC1TRA")</f>
        <v>MHRMC1TRA</v>
      </c>
      <c r="B13730" t="s">
        <v>2027</v>
      </c>
      <c r="C13730">
        <v>139</v>
      </c>
      <c r="D13730">
        <v>151.1</v>
      </c>
      <c r="E13730">
        <v>151.09</v>
      </c>
      <c r="F13730">
        <v>0.01</v>
      </c>
    </row>
    <row r="13731" spans="1:6" x14ac:dyDescent="0.3">
      <c r="A13731" t="str">
        <f>HYPERLINK("https://us2.cloudbeds.com/connect/10074733072513#/reservations/31701388923054?display=MHRPVS18E&amp;reservation_id=31701388923054", "MHRPVS18E")</f>
        <v>MHRPVS18E</v>
      </c>
      <c r="B13731" t="s">
        <v>2022</v>
      </c>
      <c r="C13731">
        <v>159</v>
      </c>
      <c r="D13731">
        <v>172.84</v>
      </c>
      <c r="E13731">
        <v>172.83</v>
      </c>
      <c r="F13731">
        <v>0.01</v>
      </c>
    </row>
    <row r="13732" spans="1:6" x14ac:dyDescent="0.3">
      <c r="A13732" t="str">
        <f>HYPERLINK("https://us2.cloudbeds.com/connect/10074733072513#/reservations/31701338538194?display=MHRZMC05G&amp;reservation_id=31701338538194", "MHRZMC05G")</f>
        <v>MHRZMC05G</v>
      </c>
      <c r="B13732" t="s">
        <v>2021</v>
      </c>
      <c r="C13732">
        <v>252</v>
      </c>
      <c r="D13732">
        <v>273.93</v>
      </c>
      <c r="E13732">
        <v>273.92</v>
      </c>
      <c r="F13732">
        <v>0.01</v>
      </c>
    </row>
    <row r="13733" spans="1:6" x14ac:dyDescent="0.3">
      <c r="A13733" t="str">
        <f>HYPERLINK("https://us2.cloudbeds.com/connect/10074733072513#/reservations/31701230440605?display=MHRYU70WW&amp;reservation_id=31701230440605", "MHRYU70WW")</f>
        <v>MHRYU70WW</v>
      </c>
      <c r="B13733" t="s">
        <v>2027</v>
      </c>
      <c r="C13733">
        <v>119</v>
      </c>
      <c r="D13733">
        <v>129.36000000000001</v>
      </c>
      <c r="E13733">
        <v>129.35</v>
      </c>
      <c r="F13733">
        <v>0.01</v>
      </c>
    </row>
    <row r="13734" spans="1:6" x14ac:dyDescent="0.3">
      <c r="A13734" t="str">
        <f>HYPERLINK("https://us2.cloudbeds.com/connect/10074733072513#/reservations/31701169574096?display=MHRKBTATA&amp;reservation_id=31701169574096", "MHRKBTATA")</f>
        <v>MHRKBTATA</v>
      </c>
      <c r="B13734" t="s">
        <v>2027</v>
      </c>
      <c r="C13734">
        <v>119</v>
      </c>
      <c r="D13734">
        <v>129.36000000000001</v>
      </c>
      <c r="E13734">
        <v>129.35</v>
      </c>
      <c r="F13734">
        <v>0.01</v>
      </c>
    </row>
    <row r="13735" spans="1:6" x14ac:dyDescent="0.3">
      <c r="A13735" t="str">
        <f>HYPERLINK("https://us2.cloudbeds.com/connect/10074733072513#/reservations/31701432197293?display=MHRR2B6S0&amp;reservation_id=31701432197293", "MHRR2B6S0")</f>
        <v>MHRR2B6S0</v>
      </c>
      <c r="B13735" t="s">
        <v>2022</v>
      </c>
      <c r="C13735">
        <v>119</v>
      </c>
      <c r="D13735">
        <v>129.36000000000001</v>
      </c>
      <c r="E13735">
        <v>129.35</v>
      </c>
      <c r="F13735">
        <v>0.01</v>
      </c>
    </row>
    <row r="13736" spans="1:6" x14ac:dyDescent="0.3">
      <c r="A13736" t="str">
        <f>HYPERLINK("https://us2.cloudbeds.com/connect/10074733072513#/reservations/31701166797041?display=MHRK9X1Q4&amp;reservation_id=31701166797041", "MHRK9X1Q4")</f>
        <v>MHRK9X1Q4</v>
      </c>
      <c r="B13736" t="s">
        <v>1999</v>
      </c>
      <c r="C13736">
        <v>238</v>
      </c>
      <c r="D13736">
        <v>258.72000000000003</v>
      </c>
      <c r="E13736">
        <v>258.70999999999998</v>
      </c>
      <c r="F13736">
        <v>0.01</v>
      </c>
    </row>
    <row r="13737" spans="1:6" x14ac:dyDescent="0.3">
      <c r="A13737" t="str">
        <f>HYPERLINK("https://us2.cloudbeds.com/connect/10074733072513#/reservations/31700983345347?display=MHRFJS7UT&amp;reservation_id=31700983345347", "MHRFJS7UT")</f>
        <v>MHRFJS7UT</v>
      </c>
      <c r="B13737" t="s">
        <v>2017</v>
      </c>
      <c r="C13737">
        <v>109</v>
      </c>
      <c r="D13737">
        <v>118.49</v>
      </c>
      <c r="E13737">
        <v>118.48</v>
      </c>
      <c r="F13737">
        <v>0.01</v>
      </c>
    </row>
    <row r="13738" spans="1:6" x14ac:dyDescent="0.3">
      <c r="A13738" t="str">
        <f>HYPERLINK("https://us2.cloudbeds.com/connect/10074733072513#/reservations/31701504950493?display=MHRSUMM6E&amp;reservation_id=31701504950493", "MHRSUMM6E")</f>
        <v>MHRSUMM6E</v>
      </c>
      <c r="B13738" t="s">
        <v>2022</v>
      </c>
      <c r="C13738">
        <v>87.82</v>
      </c>
      <c r="D13738">
        <v>95.47</v>
      </c>
      <c r="E13738">
        <v>95.46</v>
      </c>
      <c r="F13738">
        <v>0.01</v>
      </c>
    </row>
    <row r="13739" spans="1:6" x14ac:dyDescent="0.3">
      <c r="A13739" t="str">
        <f>HYPERLINK("https://us2.cloudbeds.com/connect/10074733072513#/reservations/31701375070369?display=MHRPK5XN3&amp;reservation_id=31701375070369", "MHRPK5XN3")</f>
        <v>MHRPK5XN3</v>
      </c>
      <c r="B13739" t="s">
        <v>2022</v>
      </c>
      <c r="C13739">
        <v>87.82</v>
      </c>
      <c r="D13739">
        <v>95.47</v>
      </c>
      <c r="E13739">
        <v>95.46</v>
      </c>
      <c r="F13739">
        <v>0.01</v>
      </c>
    </row>
    <row r="13740" spans="1:6" x14ac:dyDescent="0.3">
      <c r="A13740" t="str">
        <f>HYPERLINK("https://us2.cloudbeds.com/connect/10074733072513#/reservations/31700844998834?display=MHRC26HWA&amp;reservation_id=31700844998834", "MHRC26HWA")</f>
        <v>MHRC26HWA</v>
      </c>
      <c r="B13740" t="s">
        <v>1788</v>
      </c>
      <c r="C13740">
        <v>189</v>
      </c>
      <c r="D13740">
        <v>205.45</v>
      </c>
      <c r="E13740">
        <v>205.44</v>
      </c>
      <c r="F13740">
        <v>0.01</v>
      </c>
    </row>
    <row r="13741" spans="1:6" x14ac:dyDescent="0.3">
      <c r="A13741" t="str">
        <f>HYPERLINK("https://us2.cloudbeds.com/connect/10074733072513#/reservations/31701039485089?display=MHRH16DJ6&amp;reservation_id=31701039485089", "MHRH16DJ6")</f>
        <v>MHRH16DJ6</v>
      </c>
      <c r="B13741" t="s">
        <v>2026</v>
      </c>
      <c r="C13741">
        <v>214</v>
      </c>
      <c r="D13741">
        <v>232.63</v>
      </c>
      <c r="E13741">
        <v>232.62</v>
      </c>
      <c r="F13741">
        <v>0.01</v>
      </c>
    </row>
    <row r="13742" spans="1:6" x14ac:dyDescent="0.3">
      <c r="A13742" t="str">
        <f>HYPERLINK("https://us2.cloudbeds.com/connect/10074733072513#/reservations/31701060735199?display=MHRHJ3NWU&amp;reservation_id=31701060735199", "MHRHJ3NWU")</f>
        <v>MHRHJ3NWU</v>
      </c>
      <c r="B13742" t="s">
        <v>1999</v>
      </c>
      <c r="C13742">
        <v>219</v>
      </c>
      <c r="D13742">
        <v>238.06</v>
      </c>
      <c r="E13742">
        <v>238.05</v>
      </c>
      <c r="F13742">
        <v>0.01</v>
      </c>
    </row>
    <row r="13743" spans="1:6" x14ac:dyDescent="0.3">
      <c r="A13743" t="str">
        <f>HYPERLINK("https://us2.cloudbeds.com/connect/10074733072513#/reservations/31701461053601?display=MHRRQM5RJ&amp;reservation_id=31701461053601", "MHRRQM5RJ")</f>
        <v>MHRRQM5RJ</v>
      </c>
      <c r="B13743" t="s">
        <v>2022</v>
      </c>
      <c r="C13743">
        <v>89</v>
      </c>
      <c r="D13743">
        <v>96.75</v>
      </c>
      <c r="E13743">
        <v>96.74</v>
      </c>
      <c r="F13743">
        <v>0.01</v>
      </c>
    </row>
    <row r="13744" spans="1:6" x14ac:dyDescent="0.3">
      <c r="A13744" t="str">
        <f>HYPERLINK("https://us2.cloudbeds.com/connect/10074733072513#/reservations/31701521035425?display=MHRTB88XK&amp;reservation_id=31701521035425", "MHRTB88XK")</f>
        <v>MHRTB88XK</v>
      </c>
      <c r="B13744" t="s">
        <v>2022</v>
      </c>
      <c r="C13744">
        <v>87.82</v>
      </c>
      <c r="D13744">
        <v>95.47</v>
      </c>
      <c r="E13744">
        <v>95.46</v>
      </c>
      <c r="F13744">
        <v>0.01</v>
      </c>
    </row>
    <row r="13745" spans="1:6" x14ac:dyDescent="0.3">
      <c r="A13745" t="str">
        <f>HYPERLINK("https://us2.cloudbeds.com/connect/10074733072513#/reservations/31701039480995?display=MHRH169R4&amp;reservation_id=31701039480995", "MHRH169R4")</f>
        <v>MHRH169R4</v>
      </c>
      <c r="B13745" t="s">
        <v>2025</v>
      </c>
      <c r="C13745">
        <v>218</v>
      </c>
      <c r="D13745">
        <v>236.98</v>
      </c>
      <c r="E13745">
        <v>236.97</v>
      </c>
      <c r="F13745">
        <v>0.01</v>
      </c>
    </row>
    <row r="13746" spans="1:6" x14ac:dyDescent="0.3">
      <c r="A13746" t="str">
        <f>HYPERLINK("https://us2.cloudbeds.com/connect/10074733072513#/reservations/31701301121226?display=MHRNNQR4W&amp;reservation_id=31701301121226", "MHRNNQR4W")</f>
        <v>MHRNNQR4W</v>
      </c>
      <c r="B13746" t="s">
        <v>2021</v>
      </c>
      <c r="C13746">
        <v>321.3</v>
      </c>
      <c r="D13746">
        <v>349.26</v>
      </c>
      <c r="E13746">
        <v>349.25</v>
      </c>
      <c r="F13746">
        <v>0.01</v>
      </c>
    </row>
    <row r="13747" spans="1:6" x14ac:dyDescent="0.3">
      <c r="A13747" t="str">
        <f>HYPERLINK("https://us2.cloudbeds.com/connect/10074733072513#/reservations/31700790063250?display=MHRAYST2Y&amp;reservation_id=31700790063250", "MHRAYST2Y")</f>
        <v>MHRAYST2Y</v>
      </c>
      <c r="B13747" t="s">
        <v>2021</v>
      </c>
      <c r="C13747">
        <v>252</v>
      </c>
      <c r="D13747">
        <v>273.93</v>
      </c>
      <c r="E13747">
        <v>273.92</v>
      </c>
      <c r="F13747">
        <v>0.01</v>
      </c>
    </row>
    <row r="13748" spans="1:6" x14ac:dyDescent="0.3">
      <c r="A13748" t="str">
        <f>HYPERLINK("https://us2.cloudbeds.com/connect/10074733072513#/reservations/31700809085125?display=MHRB4U6C3&amp;reservation_id=31700809085125", "MHRB4U6C3")</f>
        <v>MHRB4U6C3</v>
      </c>
      <c r="B13748" t="s">
        <v>2015</v>
      </c>
      <c r="C13748">
        <v>119</v>
      </c>
      <c r="D13748">
        <v>129.36000000000001</v>
      </c>
      <c r="E13748">
        <v>129.35</v>
      </c>
      <c r="F13748">
        <v>0.01</v>
      </c>
    </row>
    <row r="13749" spans="1:6" x14ac:dyDescent="0.3">
      <c r="A13749" t="str">
        <f>HYPERLINK("https://us2.cloudbeds.com/connect/10074733072513#/reservations/31700987744385?display=MHRFNXYF2&amp;reservation_id=31700987744385", "MHRFNXYF2")</f>
        <v>MHRFNXYF2</v>
      </c>
      <c r="B13749" t="s">
        <v>2025</v>
      </c>
      <c r="C13749">
        <v>109</v>
      </c>
      <c r="D13749">
        <v>118.49</v>
      </c>
      <c r="E13749">
        <v>118.48</v>
      </c>
      <c r="F13749">
        <v>0.01</v>
      </c>
    </row>
    <row r="13750" spans="1:6" x14ac:dyDescent="0.3">
      <c r="A13750" t="str">
        <f>HYPERLINK("https://us2.cloudbeds.com/connect/10074733072513#/reservations/31700873126093?display=MHRCPU7GG&amp;reservation_id=31700873126093", "MHRCPU7GG")</f>
        <v>MHRCPU7GG</v>
      </c>
      <c r="B13750" t="s">
        <v>2015</v>
      </c>
      <c r="C13750">
        <v>109</v>
      </c>
      <c r="D13750">
        <v>118.49</v>
      </c>
      <c r="E13750">
        <v>118.48</v>
      </c>
      <c r="F13750">
        <v>0.01</v>
      </c>
    </row>
    <row r="13751" spans="1:6" x14ac:dyDescent="0.3">
      <c r="A13751" t="str">
        <f>HYPERLINK("https://us2.cloudbeds.com/connect/10074733072513#/reservations/31700870594809?display=MHRCNPQ2U&amp;reservation_id=31700870594809", "MHRCNPQ2U")</f>
        <v>MHRCNPQ2U</v>
      </c>
      <c r="B13751" t="s">
        <v>2015</v>
      </c>
      <c r="C13751">
        <v>129</v>
      </c>
      <c r="D13751">
        <v>140.22999999999999</v>
      </c>
      <c r="E13751">
        <v>140.22</v>
      </c>
      <c r="F13751">
        <v>0.01</v>
      </c>
    </row>
    <row r="13752" spans="1:6" x14ac:dyDescent="0.3">
      <c r="A13752" t="str">
        <f>HYPERLINK("https://us2.cloudbeds.com/connect/10074733072513#/reservations/31700820623512?display=MHRBEY8P6&amp;reservation_id=31700820623512", "MHRBEY8P6")</f>
        <v>MHRBEY8P6</v>
      </c>
      <c r="B13752" t="s">
        <v>2025</v>
      </c>
      <c r="C13752">
        <v>87.82</v>
      </c>
      <c r="D13752">
        <v>95.47</v>
      </c>
      <c r="E13752">
        <v>95.46</v>
      </c>
      <c r="F13752">
        <v>0.01</v>
      </c>
    </row>
    <row r="13753" spans="1:6" x14ac:dyDescent="0.3">
      <c r="A13753" t="str">
        <f>HYPERLINK("https://us2.cloudbeds.com/connect/10074733072513#/reservations/31700790067349?display=MHRAYSWRS&amp;reservation_id=31700790067349", "MHRAYSWRS")</f>
        <v>MHRAYSWRS</v>
      </c>
      <c r="B13753" t="s">
        <v>2025</v>
      </c>
      <c r="C13753">
        <v>109</v>
      </c>
      <c r="D13753">
        <v>118.49</v>
      </c>
      <c r="E13753">
        <v>118.48</v>
      </c>
      <c r="F13753">
        <v>0.01</v>
      </c>
    </row>
    <row r="13754" spans="1:6" x14ac:dyDescent="0.3">
      <c r="A13754" t="str">
        <f>HYPERLINK("https://us2.cloudbeds.com/connect/10074733072513#/reservations/31700786831607?display=MHRAJ4VX2&amp;reservation_id=31700786831607", "MHRAJ4VX2")</f>
        <v>MHRAJ4VX2</v>
      </c>
      <c r="B13754" t="s">
        <v>2025</v>
      </c>
      <c r="C13754">
        <v>87.82</v>
      </c>
      <c r="D13754">
        <v>95.47</v>
      </c>
      <c r="E13754">
        <v>95.46</v>
      </c>
      <c r="F13754">
        <v>0.01</v>
      </c>
    </row>
    <row r="13755" spans="1:6" x14ac:dyDescent="0.3">
      <c r="A13755" t="str">
        <f>HYPERLINK("https://us2.cloudbeds.com/connect/10074733072513#/reservations/31700775329978?display=MHRA9ETTS&amp;reservation_id=31700775329978", "MHRA9ETTS")</f>
        <v>MHRA9ETTS</v>
      </c>
      <c r="B13755" t="s">
        <v>2025</v>
      </c>
      <c r="C13755">
        <v>109</v>
      </c>
      <c r="D13755">
        <v>118.49</v>
      </c>
      <c r="E13755">
        <v>118.48</v>
      </c>
      <c r="F13755">
        <v>0.01</v>
      </c>
    </row>
    <row r="13756" spans="1:6" x14ac:dyDescent="0.3">
      <c r="A13756" t="str">
        <f>HYPERLINK("https://us2.cloudbeds.com/connect/10074733072513#/reservations/31697617281163?display=MHZSJGHTU&amp;reservation_id=31697617281163", "MHZSJGHTU")</f>
        <v>MHZSJGHTU</v>
      </c>
      <c r="B13756" t="s">
        <v>2026</v>
      </c>
      <c r="C13756">
        <v>267</v>
      </c>
      <c r="D13756">
        <v>290.24</v>
      </c>
      <c r="E13756">
        <v>290.23</v>
      </c>
      <c r="F13756">
        <v>0.01</v>
      </c>
    </row>
    <row r="13757" spans="1:6" x14ac:dyDescent="0.3">
      <c r="A13757" t="str">
        <f>HYPERLINK("https://us2.cloudbeds.com/connect/10074733072513#/reservations/31700799422686?display=MHRATPAJU&amp;reservation_id=31700799422686", "MHRATPAJU")</f>
        <v>MHRATPAJU</v>
      </c>
      <c r="B13757" t="s">
        <v>2025</v>
      </c>
      <c r="C13757">
        <v>149</v>
      </c>
      <c r="D13757">
        <v>161.97</v>
      </c>
      <c r="E13757">
        <v>161.96</v>
      </c>
      <c r="F13757">
        <v>0.01</v>
      </c>
    </row>
    <row r="13758" spans="1:6" x14ac:dyDescent="0.3">
      <c r="A13758" t="str">
        <f>HYPERLINK("https://us2.cloudbeds.com/connect/10074733072513#/reservations/31701070414001?display=MHRHR91PV&amp;reservation_id=31701070414001", "MHRHR91PV")</f>
        <v>MHRHR91PV</v>
      </c>
      <c r="B13758" t="s">
        <v>2021</v>
      </c>
      <c r="C13758">
        <v>258</v>
      </c>
      <c r="D13758">
        <v>280.45999999999998</v>
      </c>
      <c r="E13758">
        <v>280.45</v>
      </c>
      <c r="F13758">
        <v>0.01</v>
      </c>
    </row>
    <row r="13759" spans="1:6" x14ac:dyDescent="0.3">
      <c r="A13759" t="str">
        <f>HYPERLINK("https://us2.cloudbeds.com/connect/10074733072513#/reservations/31700763230417?display=MHR9W876G&amp;reservation_id=31700763230417", "MHR9W876G")</f>
        <v>MHR9W876G</v>
      </c>
      <c r="B13759" t="s">
        <v>2017</v>
      </c>
      <c r="C13759">
        <v>139</v>
      </c>
      <c r="D13759">
        <v>151.1</v>
      </c>
      <c r="E13759">
        <v>151.09</v>
      </c>
      <c r="F13759">
        <v>0.01</v>
      </c>
    </row>
    <row r="13760" spans="1:6" x14ac:dyDescent="0.3">
      <c r="A13760" t="str">
        <f>HYPERLINK("https://us2.cloudbeds.com/connect/10074733072513#/reservations/31696113365219?display=MHNN5BSHF&amp;reservation_id=31696113365219", "MHNN5BSHF")</f>
        <v>MHNN5BSHF</v>
      </c>
      <c r="B13760" t="s">
        <v>2025</v>
      </c>
      <c r="C13760">
        <v>109</v>
      </c>
      <c r="D13760">
        <v>118.49</v>
      </c>
      <c r="E13760">
        <v>118.48</v>
      </c>
      <c r="F13760">
        <v>0.01</v>
      </c>
    </row>
    <row r="13761" spans="1:6" x14ac:dyDescent="0.3">
      <c r="A13761" t="str">
        <f>HYPERLINK("https://us2.cloudbeds.com/connect/10074733072513#/reservations/31701264363743?display=MHRMPQWNS&amp;reservation_id=31701264363743", "MHRMPQWNS")</f>
        <v>MHRMPQWNS</v>
      </c>
      <c r="B13761" t="s">
        <v>2021</v>
      </c>
      <c r="C13761">
        <v>205.2</v>
      </c>
      <c r="D13761">
        <v>223.06</v>
      </c>
      <c r="E13761">
        <v>223.05</v>
      </c>
      <c r="F13761">
        <v>0.01</v>
      </c>
    </row>
    <row r="13762" spans="1:6" x14ac:dyDescent="0.3">
      <c r="A13762" t="str">
        <f>HYPERLINK("https://us2.cloudbeds.com/connect/10074733072513#/reservations/31700963021005?display=MHRF2NMKZ&amp;reservation_id=31700963021005", "MHRF2NMKZ")</f>
        <v>MHRF2NMKZ</v>
      </c>
      <c r="B13762" t="s">
        <v>2017</v>
      </c>
      <c r="C13762">
        <v>278</v>
      </c>
      <c r="D13762">
        <v>302.2</v>
      </c>
      <c r="E13762">
        <v>302.19</v>
      </c>
      <c r="F13762">
        <v>0.01</v>
      </c>
    </row>
    <row r="13763" spans="1:6" x14ac:dyDescent="0.3">
      <c r="A13763" t="str">
        <f>HYPERLINK("https://us2.cloudbeds.com/connect/10074733072513#/reservations/31701022048424?display=MHRGJG6VD&amp;reservation_id=31701022048424", "MHRGJG6VD")</f>
        <v>MHRGJG6VD</v>
      </c>
      <c r="B13763" t="s">
        <v>2025</v>
      </c>
      <c r="C13763">
        <v>139</v>
      </c>
      <c r="D13763">
        <v>151.1</v>
      </c>
      <c r="E13763">
        <v>151.09</v>
      </c>
      <c r="F13763">
        <v>0.01</v>
      </c>
    </row>
    <row r="13764" spans="1:6" x14ac:dyDescent="0.3">
      <c r="A13764" t="str">
        <f>HYPERLINK("https://us2.cloudbeds.com/connect/10074733072513#/reservations/31701034406025?display=MHRGTU2K5&amp;reservation_id=31701034406025", "MHRGTU2K5")</f>
        <v>MHRGTU2K5</v>
      </c>
      <c r="B13764" t="s">
        <v>2025</v>
      </c>
      <c r="C13764">
        <v>139</v>
      </c>
      <c r="D13764">
        <v>151.1</v>
      </c>
      <c r="E13764">
        <v>151.09</v>
      </c>
      <c r="F13764">
        <v>0.01</v>
      </c>
    </row>
    <row r="13765" spans="1:6" x14ac:dyDescent="0.3">
      <c r="A13765" t="str">
        <f>HYPERLINK("https://us2.cloudbeds.com/connect/10074733072513#/reservations/31701100961980?display=MHRXK1369&amp;reservation_id=31701100961980", "MHRXK1369")</f>
        <v>MHRXK1369</v>
      </c>
      <c r="B13765" t="s">
        <v>2021</v>
      </c>
      <c r="C13765">
        <v>129</v>
      </c>
      <c r="D13765">
        <v>140.22999999999999</v>
      </c>
      <c r="E13765">
        <v>140.22</v>
      </c>
      <c r="F13765">
        <v>0.01</v>
      </c>
    </row>
    <row r="13766" spans="1:6" x14ac:dyDescent="0.3">
      <c r="A13766" t="str">
        <f>HYPERLINK("https://us2.cloudbeds.com/connect/10074733072513#/reservations/31701249601769?display=MHRMDC76A&amp;reservation_id=31701249601769", "MHRMDC76A")</f>
        <v>MHRMDC76A</v>
      </c>
      <c r="B13766" t="s">
        <v>2021</v>
      </c>
      <c r="C13766">
        <v>129</v>
      </c>
      <c r="D13766">
        <v>140.22999999999999</v>
      </c>
      <c r="E13766">
        <v>140.22</v>
      </c>
      <c r="F13766">
        <v>0.01</v>
      </c>
    </row>
    <row r="13767" spans="1:6" x14ac:dyDescent="0.3">
      <c r="A13767" t="str">
        <f>HYPERLINK("https://us2.cloudbeds.com/connect/10074733072513#/reservations/31701251707023?display=MHRMF4QCT&amp;reservation_id=31701251707023", "MHRMF4QCT")</f>
        <v>MHRMF4QCT</v>
      </c>
      <c r="B13767" t="s">
        <v>2021</v>
      </c>
      <c r="C13767">
        <v>129</v>
      </c>
      <c r="D13767">
        <v>140.22999999999999</v>
      </c>
      <c r="E13767">
        <v>140.22</v>
      </c>
      <c r="F13767">
        <v>0.01</v>
      </c>
    </row>
    <row r="13768" spans="1:6" x14ac:dyDescent="0.3">
      <c r="A13768" t="str">
        <f>HYPERLINK("https://us2.cloudbeds.com/connect/10074733072513#/reservations/30646783496337?display=YQ36BKEET&amp;reservation_id=30646783496337", "YQ36BKEET")</f>
        <v>YQ36BKEET</v>
      </c>
      <c r="B13768" t="s">
        <v>10</v>
      </c>
      <c r="C13768">
        <v>278</v>
      </c>
      <c r="D13768">
        <v>302.20999999999998</v>
      </c>
      <c r="E13768">
        <v>302.19</v>
      </c>
      <c r="F13768">
        <v>0.02</v>
      </c>
    </row>
    <row r="13769" spans="1:6" x14ac:dyDescent="0.3">
      <c r="A13769" t="str">
        <f>HYPERLINK("https://us2.cloudbeds.com/connect/10074733072513#/reservations/30647638507734?display=YQ3S6JCT5&amp;reservation_id=30647638507734", "YQ3S6JCT5")</f>
        <v>YQ3S6JCT5</v>
      </c>
      <c r="B13769" t="s">
        <v>11</v>
      </c>
      <c r="C13769">
        <v>318</v>
      </c>
      <c r="D13769">
        <v>345.69</v>
      </c>
      <c r="E13769">
        <v>345.67</v>
      </c>
      <c r="F13769">
        <v>0.02</v>
      </c>
    </row>
    <row r="13770" spans="1:6" x14ac:dyDescent="0.3">
      <c r="A13770" t="str">
        <f>HYPERLINK("https://us2.cloudbeds.com/connect/10074733072513#/reservations/30646099411102?display=YQ2YSPP09&amp;reservation_id=30646099411102", "YQ2YSPP09")</f>
        <v>YQ2YSPP09</v>
      </c>
      <c r="B13770" t="s">
        <v>12</v>
      </c>
      <c r="C13770">
        <v>139</v>
      </c>
      <c r="D13770">
        <v>151.11000000000001</v>
      </c>
      <c r="E13770">
        <v>151.09</v>
      </c>
      <c r="F13770">
        <v>0.02</v>
      </c>
    </row>
    <row r="13771" spans="1:6" x14ac:dyDescent="0.3">
      <c r="A13771" t="str">
        <f>HYPERLINK("https://us2.cloudbeds.com/connect/10074733072513#/reservations/30645750165643?display=YQ2CV9G3H&amp;reservation_id=30645750165643", "YQ2CV9G3H")</f>
        <v>YQ2CV9G3H</v>
      </c>
      <c r="B13771" t="s">
        <v>17</v>
      </c>
      <c r="C13771">
        <v>278</v>
      </c>
      <c r="D13771">
        <v>302.20999999999998</v>
      </c>
      <c r="E13771">
        <v>302.19</v>
      </c>
      <c r="F13771">
        <v>0.02</v>
      </c>
    </row>
    <row r="13772" spans="1:6" x14ac:dyDescent="0.3">
      <c r="A13772" t="str">
        <f>HYPERLINK("https://us2.cloudbeds.com/connect/10074733072513#/reservations/30651517858012?display=YQ6SAP106&amp;reservation_id=30651517858012", "YQ6SAP106")</f>
        <v>YQ6SAP106</v>
      </c>
      <c r="B13772" t="s">
        <v>148</v>
      </c>
      <c r="C13772">
        <v>211.89</v>
      </c>
      <c r="D13772">
        <v>230.34</v>
      </c>
      <c r="E13772">
        <v>230.32</v>
      </c>
      <c r="F13772">
        <v>0.02</v>
      </c>
    </row>
    <row r="13773" spans="1:6" x14ac:dyDescent="0.3">
      <c r="A13773" t="str">
        <f>HYPERLINK("https://us2.cloudbeds.com/connect/10074733072513#/reservations/30663477715090?display=YQG3UKMXY&amp;reservation_id=30663477715090", "YQG3UKMXY")</f>
        <v>YQG3UKMXY</v>
      </c>
      <c r="B13773" t="s">
        <v>473</v>
      </c>
      <c r="C13773">
        <v>361.58</v>
      </c>
      <c r="D13773">
        <v>393.06</v>
      </c>
      <c r="E13773">
        <v>393.04</v>
      </c>
      <c r="F13773">
        <v>0.02</v>
      </c>
    </row>
    <row r="13774" spans="1:6" x14ac:dyDescent="0.3">
      <c r="A13774" t="str">
        <f>HYPERLINK("https://us2.cloudbeds.com/connect/10074733072513#/reservations/30670832132351?display=YQYQS263P&amp;reservation_id=30670832132351", "YQYQS263P")</f>
        <v>YQYQS263P</v>
      </c>
      <c r="B13774" t="s">
        <v>690</v>
      </c>
      <c r="C13774">
        <v>267</v>
      </c>
      <c r="D13774">
        <v>290.25</v>
      </c>
      <c r="E13774">
        <v>290.23</v>
      </c>
      <c r="F13774">
        <v>0.02</v>
      </c>
    </row>
    <row r="13775" spans="1:6" x14ac:dyDescent="0.3">
      <c r="A13775" t="str">
        <f>HYPERLINK("https://us2.cloudbeds.com/connect/10074733072513#/reservations/30688149618833?display=YR27BKPXD&amp;reservation_id=30688149618833", "YR27BKPXD")</f>
        <v>YR27BKPXD</v>
      </c>
      <c r="B13775" t="s">
        <v>832</v>
      </c>
      <c r="C13775">
        <v>213.6</v>
      </c>
      <c r="D13775">
        <v>232.2</v>
      </c>
      <c r="E13775">
        <v>232.18</v>
      </c>
      <c r="F13775">
        <v>0.02</v>
      </c>
    </row>
    <row r="13776" spans="1:6" x14ac:dyDescent="0.3">
      <c r="A13776" t="str">
        <f>HYPERLINK("https://us2.cloudbeds.com/connect/10074733072513#/reservations/30687724536033?display=YR1TG677E&amp;reservation_id=30687724536033", "YR1TG677E")</f>
        <v>YR1TG677E</v>
      </c>
      <c r="B13776" t="s">
        <v>858</v>
      </c>
      <c r="C13776">
        <v>475</v>
      </c>
      <c r="D13776">
        <v>516.35</v>
      </c>
      <c r="E13776">
        <v>516.33000000000004</v>
      </c>
      <c r="F13776">
        <v>0.02</v>
      </c>
    </row>
    <row r="13777" spans="1:6" x14ac:dyDescent="0.3">
      <c r="A13777" t="str">
        <f>HYPERLINK("https://us2.cloudbeds.com/connect/10074733072513#/reservations/30687651393722?display=YR1RKGUXP&amp;reservation_id=30687651393722", "YR1RKGUXP")</f>
        <v>YR1RKGUXP</v>
      </c>
      <c r="B13777" t="s">
        <v>881</v>
      </c>
      <c r="C13777">
        <v>512</v>
      </c>
      <c r="D13777">
        <v>556.55999999999995</v>
      </c>
      <c r="E13777">
        <v>556.54</v>
      </c>
      <c r="F13777">
        <v>0.02</v>
      </c>
    </row>
    <row r="13778" spans="1:6" x14ac:dyDescent="0.3">
      <c r="A13778" t="str">
        <f>HYPERLINK("https://us2.cloudbeds.com/connect/10074733072513#/reservations/30684876644598?display=YQWMNPEXW&amp;reservation_id=30684876644598", "YQWMNPEXW")</f>
        <v>YQWMNPEXW</v>
      </c>
      <c r="B13778" t="s">
        <v>976</v>
      </c>
      <c r="C13778">
        <v>387</v>
      </c>
      <c r="D13778">
        <v>420.69</v>
      </c>
      <c r="E13778">
        <v>420.67</v>
      </c>
      <c r="F13778">
        <v>0.02</v>
      </c>
    </row>
    <row r="13779" spans="1:6" x14ac:dyDescent="0.3">
      <c r="A13779" t="str">
        <f>HYPERLINK("https://us2.cloudbeds.com/connect/10074733072513#/reservations/30683099594946?display=YQVAAADNH&amp;reservation_id=30683099594946", "YQVAAADNH")</f>
        <v>YQVAAADNH</v>
      </c>
      <c r="B13779" t="s">
        <v>1036</v>
      </c>
      <c r="C13779">
        <v>146</v>
      </c>
      <c r="D13779">
        <v>158.72</v>
      </c>
      <c r="E13779">
        <v>158.69999999999999</v>
      </c>
      <c r="F13779">
        <v>0.02</v>
      </c>
    </row>
    <row r="13780" spans="1:6" x14ac:dyDescent="0.3">
      <c r="A13780" t="str">
        <f>HYPERLINK("https://us2.cloudbeds.com/connect/10074733072513#/reservations/31678322569461?display=MH9UXMZYH&amp;reservation_id=31678322569461", "MH9UXMZYH")</f>
        <v>MH9UXMZYH</v>
      </c>
      <c r="B13780" t="s">
        <v>1217</v>
      </c>
      <c r="C13780">
        <v>1128</v>
      </c>
      <c r="D13780">
        <v>1226.1600000000001</v>
      </c>
      <c r="E13780">
        <v>1226.1400000000001</v>
      </c>
      <c r="F13780">
        <v>0.02</v>
      </c>
    </row>
    <row r="13781" spans="1:6" x14ac:dyDescent="0.3">
      <c r="A13781" t="str">
        <f>HYPERLINK("https://us2.cloudbeds.com/connect/10074733072513#/reservations/31684610379969?display=MHEQ7ZBAT&amp;reservation_id=31684610379969", "MHEQ7ZBAT")</f>
        <v>MHEQ7ZBAT</v>
      </c>
      <c r="B13781" t="s">
        <v>1300</v>
      </c>
      <c r="C13781">
        <v>146</v>
      </c>
      <c r="D13781">
        <v>158.72</v>
      </c>
      <c r="E13781">
        <v>158.69999999999999</v>
      </c>
      <c r="F13781">
        <v>0.02</v>
      </c>
    </row>
    <row r="13782" spans="1:6" x14ac:dyDescent="0.3">
      <c r="A13782" t="str">
        <f>HYPERLINK("https://us2.cloudbeds.com/connect/10074733072513#/reservations/31680753541364?display=MHBQMX42Z&amp;reservation_id=31680753541364", "MHBQMX42Z")</f>
        <v>MHBQMX42Z</v>
      </c>
      <c r="B13782" t="s">
        <v>1290</v>
      </c>
      <c r="C13782">
        <v>507</v>
      </c>
      <c r="D13782">
        <v>551.13</v>
      </c>
      <c r="E13782">
        <v>551.11</v>
      </c>
      <c r="F13782">
        <v>0.02</v>
      </c>
    </row>
    <row r="13783" spans="1:6" x14ac:dyDescent="0.3">
      <c r="A13783" t="str">
        <f>HYPERLINK("https://us2.cloudbeds.com/connect/10074733072513#/reservations/31686353277078?display=MHG4PD0QQ&amp;reservation_id=31686353277078", "MHG4PD0QQ")</f>
        <v>MHG4PD0QQ</v>
      </c>
      <c r="B13783" t="s">
        <v>1218</v>
      </c>
      <c r="C13783">
        <v>237</v>
      </c>
      <c r="D13783">
        <v>257.64</v>
      </c>
      <c r="E13783">
        <v>257.62</v>
      </c>
      <c r="F13783">
        <v>0.02</v>
      </c>
    </row>
    <row r="13784" spans="1:6" x14ac:dyDescent="0.3">
      <c r="A13784" t="str">
        <f>HYPERLINK("https://us2.cloudbeds.com/connect/10074733072513#/reservations/31694478127313?display=MHMECFVYM&amp;reservation_id=31694478127313", "MHMECFVYM")</f>
        <v>MHMECFVYM</v>
      </c>
      <c r="B13784" t="s">
        <v>1468</v>
      </c>
      <c r="C13784">
        <v>237</v>
      </c>
      <c r="D13784">
        <v>257.64</v>
      </c>
      <c r="E13784">
        <v>257.62</v>
      </c>
      <c r="F13784">
        <v>0.02</v>
      </c>
    </row>
    <row r="13785" spans="1:6" x14ac:dyDescent="0.3">
      <c r="A13785" t="str">
        <f>HYPERLINK("https://us2.cloudbeds.com/connect/10074733072513#/reservations/31691428651198?display=MHK2F2Q3X&amp;reservation_id=31691428651198", "MHK2F2Q3X")</f>
        <v>MHK2F2Q3X</v>
      </c>
      <c r="B13785" t="s">
        <v>1377</v>
      </c>
      <c r="C13785">
        <v>166</v>
      </c>
      <c r="D13785">
        <v>180.46</v>
      </c>
      <c r="E13785">
        <v>180.44</v>
      </c>
      <c r="F13785">
        <v>0.02</v>
      </c>
    </row>
    <row r="13786" spans="1:6" x14ac:dyDescent="0.3">
      <c r="A13786" t="str">
        <f>HYPERLINK("https://us2.cloudbeds.com/connect/10074733072513#/reservations/31733362634941?display=MXJHVUN7Y&amp;reservation_id=31733362634941", "MXJHVUN7Y")</f>
        <v>MXJHVUN7Y</v>
      </c>
      <c r="B13786" t="s">
        <v>1569</v>
      </c>
      <c r="C13786">
        <v>1008</v>
      </c>
      <c r="D13786">
        <v>1095.72</v>
      </c>
      <c r="E13786">
        <v>1095.7</v>
      </c>
      <c r="F13786">
        <v>0.02</v>
      </c>
    </row>
    <row r="13787" spans="1:6" x14ac:dyDescent="0.3">
      <c r="A13787" t="str">
        <f>HYPERLINK("https://us2.cloudbeds.com/connect/10074733072513#/reservations/31728919277759?display=MXG3E5ZEA&amp;reservation_id=31728919277759", "MXG3E5ZEA")</f>
        <v>MXG3E5ZEA</v>
      </c>
      <c r="B13787" t="s">
        <v>1675</v>
      </c>
      <c r="C13787">
        <v>507</v>
      </c>
      <c r="D13787">
        <v>551.13</v>
      </c>
      <c r="E13787">
        <v>551.11</v>
      </c>
      <c r="F13787">
        <v>0.02</v>
      </c>
    </row>
    <row r="13788" spans="1:6" x14ac:dyDescent="0.3">
      <c r="A13788" t="str">
        <f>HYPERLINK("https://us2.cloudbeds.com/connect/10074733072513#/reservations/31733252776114?display=MXJF59NP9&amp;reservation_id=31733252776114", "MXJF59NP9")</f>
        <v>MXJF59NP9</v>
      </c>
      <c r="B13788" t="s">
        <v>1672</v>
      </c>
      <c r="C13788">
        <v>146</v>
      </c>
      <c r="D13788">
        <v>158.72</v>
      </c>
      <c r="E13788">
        <v>158.69999999999999</v>
      </c>
      <c r="F13788">
        <v>0.02</v>
      </c>
    </row>
    <row r="13789" spans="1:6" x14ac:dyDescent="0.3">
      <c r="A13789" t="str">
        <f>HYPERLINK("https://us2.cloudbeds.com/connect/10074733072513#/reservations/30652188283076?display=YQ7CF2JM7&amp;reservation_id=30652188283076", "YQ7CF2JM7")</f>
        <v>YQ7CF2JM7</v>
      </c>
      <c r="B13789" t="s">
        <v>60</v>
      </c>
      <c r="C13789">
        <v>456</v>
      </c>
      <c r="D13789">
        <v>495.7</v>
      </c>
      <c r="E13789">
        <v>495.67</v>
      </c>
      <c r="F13789">
        <v>0.03</v>
      </c>
    </row>
    <row r="13790" spans="1:6" x14ac:dyDescent="0.3">
      <c r="A13790" t="str">
        <f>HYPERLINK("https://us2.cloudbeds.com/connect/10074733072513#/reservations/31694615998690?display=MHMHTZEA6&amp;reservation_id=31694615998690", "MHMHTZEA6")</f>
        <v>MHMHTZEA6</v>
      </c>
      <c r="B13790" t="s">
        <v>1496</v>
      </c>
      <c r="C13790">
        <v>316</v>
      </c>
      <c r="D13790">
        <v>343.52</v>
      </c>
      <c r="E13790">
        <v>343.49</v>
      </c>
      <c r="F13790">
        <v>0.03</v>
      </c>
    </row>
    <row r="13791" spans="1:6" x14ac:dyDescent="0.3">
      <c r="A13791" t="str">
        <f>HYPERLINK("https://us2.cloudbeds.com/connect/10074733072513#/reservations/31695640867017?display=MHNB2UTT5&amp;reservation_id=31695640867017", "MHNB2UTT5")</f>
        <v>MHNB2UTT5</v>
      </c>
      <c r="B13791" t="s">
        <v>1491</v>
      </c>
      <c r="C13791">
        <v>316</v>
      </c>
      <c r="D13791">
        <v>343.52</v>
      </c>
      <c r="E13791">
        <v>343.49</v>
      </c>
      <c r="F13791">
        <v>0.03</v>
      </c>
    </row>
    <row r="13792" spans="1:6" x14ac:dyDescent="0.3">
      <c r="A13792" t="str">
        <f>HYPERLINK("https://us2.cloudbeds.com/connect/10074733072513#/reservations/31721497305259?display=MXABPPDMM&amp;reservation_id=31721497305259", "MXABPPDMM")</f>
        <v>MXABPPDMM</v>
      </c>
      <c r="B13792" t="s">
        <v>1832</v>
      </c>
      <c r="C13792">
        <v>495</v>
      </c>
      <c r="D13792">
        <v>538.1</v>
      </c>
      <c r="E13792">
        <v>538.07000000000005</v>
      </c>
      <c r="F13792">
        <v>0.03</v>
      </c>
    </row>
    <row r="13793" spans="1:6" x14ac:dyDescent="0.3">
      <c r="A13793" t="str">
        <f>HYPERLINK("https://us2.cloudbeds.com/connect/10074733072513#/reservations/180394219139203?display=3T8PHDT0EZ&amp;reservation_id=180394219139203", "3T8PHDT0EZ")</f>
        <v>3T8PHDT0EZ</v>
      </c>
      <c r="B13793" t="s">
        <v>2038</v>
      </c>
      <c r="C13793">
        <v>1034</v>
      </c>
      <c r="D13793">
        <v>1123.98</v>
      </c>
      <c r="E13793">
        <v>1122.57</v>
      </c>
      <c r="F13793">
        <v>1.41</v>
      </c>
    </row>
  </sheetData>
  <autoFilter ref="A1:G1" xr:uid="{00000000-0001-0000-0000-000000000000}">
    <sortState xmlns:xlrd2="http://schemas.microsoft.com/office/spreadsheetml/2017/richdata2" ref="A2:G13942">
      <sortCondition ref="F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Olsen</cp:lastModifiedBy>
  <dcterms:created xsi:type="dcterms:W3CDTF">2026-05-05T12:26:41Z</dcterms:created>
  <dcterms:modified xsi:type="dcterms:W3CDTF">2026-05-05T13:32:01Z</dcterms:modified>
</cp:coreProperties>
</file>